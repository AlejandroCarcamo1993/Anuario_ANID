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nzaleza\Desktop\ANID 2024\Unidad Controller\Anuario SCIA 2023-2024\Productividad 2024\Centros (productividad)\"/>
    </mc:Choice>
  </mc:AlternateContent>
  <xr:revisionPtr revIDLastSave="0" documentId="13_ncr:1_{C7776426-B6DE-4AFB-9B6B-7E63E8496B69}" xr6:coauthVersionLast="47" xr6:coauthVersionMax="47" xr10:uidLastSave="{00000000-0000-0000-0000-000000000000}"/>
  <bookViews>
    <workbookView xWindow="-120" yWindow="-120" windowWidth="20730" windowHeight="11040" xr2:uid="{47DCDBA3-8460-42AA-9917-B59E8594A563}"/>
  </bookViews>
  <sheets>
    <sheet name="Patentes y prop Intelectu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2" l="1"/>
  <c r="O18" i="2" s="1"/>
  <c r="S6" i="2"/>
  <c r="R17" i="2" s="1"/>
  <c r="S5" i="2"/>
  <c r="O16" i="2" s="1"/>
  <c r="N16" i="2" l="1"/>
  <c r="R16" i="2"/>
  <c r="Q16" i="2"/>
  <c r="P16" i="2"/>
  <c r="N18" i="2"/>
  <c r="R18" i="2"/>
  <c r="Q18" i="2"/>
  <c r="P18" i="2"/>
  <c r="O17" i="2"/>
  <c r="Q17" i="2"/>
  <c r="P17" i="2"/>
  <c r="N17" i="2"/>
  <c r="S17" i="2" s="1"/>
  <c r="S16" i="2" l="1"/>
  <c r="S18" i="2"/>
</calcChain>
</file>

<file path=xl/sharedStrings.xml><?xml version="1.0" encoding="utf-8"?>
<sst xmlns="http://schemas.openxmlformats.org/spreadsheetml/2006/main" count="371" uniqueCount="138">
  <si>
    <t>Center Code</t>
  </si>
  <si>
    <t>IP Type</t>
  </si>
  <si>
    <t>Copyright</t>
  </si>
  <si>
    <t>Invention Patent</t>
  </si>
  <si>
    <t>Services</t>
  </si>
  <si>
    <t>15110019</t>
  </si>
  <si>
    <t>15110027</t>
  </si>
  <si>
    <t>15130011</t>
  </si>
  <si>
    <t>ACT210004</t>
  </si>
  <si>
    <t>Certification Trademarks</t>
  </si>
  <si>
    <t>AFB230001</t>
  </si>
  <si>
    <t>AFB230003</t>
  </si>
  <si>
    <t>AFB240002</t>
  </si>
  <si>
    <t>FB0002</t>
  </si>
  <si>
    <t>FB0008</t>
  </si>
  <si>
    <t>FB210003</t>
  </si>
  <si>
    <t>Others: trade secret</t>
  </si>
  <si>
    <t>FB210005</t>
  </si>
  <si>
    <t>FB210006</t>
  </si>
  <si>
    <t>FB210008</t>
  </si>
  <si>
    <t>FB210015</t>
  </si>
  <si>
    <t>FB210021</t>
  </si>
  <si>
    <t>Application Date</t>
  </si>
  <si>
    <t>Grant Date</t>
  </si>
  <si>
    <t>Registration Number</t>
  </si>
  <si>
    <t>Country of Registration</t>
  </si>
  <si>
    <t>Estados Unidos</t>
  </si>
  <si>
    <t>Chile</t>
  </si>
  <si>
    <t>México</t>
  </si>
  <si>
    <t>Argentina</t>
  </si>
  <si>
    <t>Australia</t>
  </si>
  <si>
    <t>Canada</t>
  </si>
  <si>
    <t>España</t>
  </si>
  <si>
    <t>Brasil</t>
  </si>
  <si>
    <t>07 May 2020</t>
  </si>
  <si>
    <t>0</t>
  </si>
  <si>
    <t>16 Nov 2023</t>
  </si>
  <si>
    <t>01 Feb 2021</t>
  </si>
  <si>
    <t>02 Feb 2024</t>
  </si>
  <si>
    <t>68516</t>
  </si>
  <si>
    <t>28 Mar 2022</t>
  </si>
  <si>
    <t>08 Feb 2024</t>
  </si>
  <si>
    <t>CL202200770</t>
  </si>
  <si>
    <t>13 Feb 2024</t>
  </si>
  <si>
    <t>202400431</t>
  </si>
  <si>
    <t>202400429</t>
  </si>
  <si>
    <t>202400428</t>
  </si>
  <si>
    <t>14 Feb 2024</t>
  </si>
  <si>
    <t>2024-A-1550</t>
  </si>
  <si>
    <t>01 Feb 2024</t>
  </si>
  <si>
    <t>29 Feb 2024</t>
  </si>
  <si>
    <t>68540</t>
  </si>
  <si>
    <t>20 Dec 2023</t>
  </si>
  <si>
    <t>28 Mar 2024</t>
  </si>
  <si>
    <t>2024-A-3036</t>
  </si>
  <si>
    <t>22 Dec 2023</t>
  </si>
  <si>
    <t>2024-A-3039</t>
  </si>
  <si>
    <t>2024-A-3034</t>
  </si>
  <si>
    <t>01 Mar 2024</t>
  </si>
  <si>
    <t>30 Mar 2024</t>
  </si>
  <si>
    <t>68705</t>
  </si>
  <si>
    <t>17 May 2024</t>
  </si>
  <si>
    <t>US24/30089</t>
  </si>
  <si>
    <t>22 May 2024</t>
  </si>
  <si>
    <t>2024-A-5026</t>
  </si>
  <si>
    <t>14 May 2024</t>
  </si>
  <si>
    <t>07 Jun 2024</t>
  </si>
  <si>
    <t>1584218</t>
  </si>
  <si>
    <t>04 May 2022</t>
  </si>
  <si>
    <t>10 Jun 2024</t>
  </si>
  <si>
    <t>PCT/CL2022/01171</t>
  </si>
  <si>
    <t>16 Jun 2024</t>
  </si>
  <si>
    <t>202401772</t>
  </si>
  <si>
    <t>27 Dec 2022</t>
  </si>
  <si>
    <t>04 Jul 2024</t>
  </si>
  <si>
    <t>WO2024138255A1</t>
  </si>
  <si>
    <t>07 Jul 2021</t>
  </si>
  <si>
    <t>18 Jul 2024</t>
  </si>
  <si>
    <t>69297</t>
  </si>
  <si>
    <t>29 Jul 2024</t>
  </si>
  <si>
    <t>spz2vh</t>
  </si>
  <si>
    <t>31 Jul 2024</t>
  </si>
  <si>
    <t>202402314</t>
  </si>
  <si>
    <t>01 Sep 2024</t>
  </si>
  <si>
    <t>1441476</t>
  </si>
  <si>
    <t>1441477</t>
  </si>
  <si>
    <t>11 Sep 2024</t>
  </si>
  <si>
    <t>202002355</t>
  </si>
  <si>
    <t>28 Dec 2022</t>
  </si>
  <si>
    <t>08 Oct 2024</t>
  </si>
  <si>
    <t>PCT/CL2022/03793</t>
  </si>
  <si>
    <t>09 Oct 2024</t>
  </si>
  <si>
    <t>2024 01 02750</t>
  </si>
  <si>
    <t>23 May 2022</t>
  </si>
  <si>
    <t>17 Oct 2024</t>
  </si>
  <si>
    <t>PCT/CL2019/050117</t>
  </si>
  <si>
    <t>28 Oct 2024</t>
  </si>
  <si>
    <t>05 Nov 2024</t>
  </si>
  <si>
    <t>2024-A-10953</t>
  </si>
  <si>
    <t>202403380</t>
  </si>
  <si>
    <t>22 Nov 2024</t>
  </si>
  <si>
    <t>PCT/CL2024/050149</t>
  </si>
  <si>
    <t>11 Jul 2022</t>
  </si>
  <si>
    <t>01 Jan 2024</t>
  </si>
  <si>
    <t>ISO/IEC 17025:2017</t>
  </si>
  <si>
    <t>19 Oct 2017</t>
  </si>
  <si>
    <t>02 Jan 2024</t>
  </si>
  <si>
    <t>CA2982961A1</t>
  </si>
  <si>
    <t>03 Apr 2024</t>
  </si>
  <si>
    <t>IB2024/053265</t>
  </si>
  <si>
    <t>09 Dec 2024</t>
  </si>
  <si>
    <t>PCT/CL2024/050159</t>
  </si>
  <si>
    <t>25 Jun 2020</t>
  </si>
  <si>
    <t>18 Apr 2024</t>
  </si>
  <si>
    <t>AU2017433381B2</t>
  </si>
  <si>
    <t>20 Aug 2024</t>
  </si>
  <si>
    <t>EP3693568</t>
  </si>
  <si>
    <t>22 Dec 2024</t>
  </si>
  <si>
    <t>22 Jan 2024</t>
  </si>
  <si>
    <t xml:space="preserve"> MX409854</t>
  </si>
  <si>
    <t>30 Dec 2024</t>
  </si>
  <si>
    <t>202404078</t>
  </si>
  <si>
    <t>202404079</t>
  </si>
  <si>
    <t>202404088</t>
  </si>
  <si>
    <t>202404089</t>
  </si>
  <si>
    <t>Instrumento</t>
  </si>
  <si>
    <t>Anillos</t>
  </si>
  <si>
    <t>Centros Fondap</t>
  </si>
  <si>
    <t>Centros Basales</t>
  </si>
  <si>
    <t>Patentes</t>
  </si>
  <si>
    <t>Marcas</t>
  </si>
  <si>
    <t>Derecho de Autor</t>
  </si>
  <si>
    <t>Secreto Industrial</t>
  </si>
  <si>
    <t>Servicios</t>
  </si>
  <si>
    <t>Total</t>
  </si>
  <si>
    <t>Categoria - Cantidad</t>
  </si>
  <si>
    <t>Categoria - %</t>
  </si>
  <si>
    <t>Contar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</si>
</sst>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name val="Arial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>
      <protection locked="0"/>
    </xf>
  </cellStyleXfs>
  <cellXfs count="18">
    <xf numFmtId="0" fontId="0" fillId="0" borderId="0" xfId="0">
      <protection locked="0"/>
    </xf>
    <xf numFmtId="0" fontId="2" fillId="0" borderId="0" xfId="0" applyFont="1" applyBorder="1" applyAlignment="1">
      <alignment vertical="center"/>
      <protection locked="0"/>
    </xf>
    <xf numFmtId="0" fontId="2" fillId="0" borderId="1" xfId="0" applyFont="1" applyBorder="1" applyAlignment="1">
      <alignment vertical="center"/>
      <protection locked="0"/>
    </xf>
    <xf numFmtId="0" fontId="1" fillId="0" borderId="1" xfId="0" applyFont="1" applyBorder="1" applyAlignment="1">
      <alignment horizontal="center" vertical="center"/>
      <protection locked="0"/>
    </xf>
    <xf numFmtId="0" fontId="1" fillId="0" borderId="0" xfId="0" applyFont="1" applyBorder="1" applyAlignment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  <protection locked="0"/>
    </xf>
    <xf numFmtId="0" fontId="2" fillId="0" borderId="0" xfId="0" applyFont="1" applyBorder="1" applyAlignment="1">
      <alignment horizontal="center" vertical="center"/>
      <protection locked="0"/>
    </xf>
    <xf numFmtId="0" fontId="3" fillId="0" borderId="0" xfId="0" applyFont="1" applyAlignment="1" applyProtection="1">
      <alignment vertical="center"/>
    </xf>
    <xf numFmtId="0" fontId="3" fillId="3" borderId="0" xfId="0" applyFont="1" applyFill="1" applyAlignment="1" applyProtection="1">
      <alignment vertical="center"/>
    </xf>
    <xf numFmtId="0" fontId="1" fillId="3" borderId="0" xfId="0" applyFont="1" applyFill="1" applyBorder="1" applyAlignment="1">
      <alignment vertical="center"/>
      <protection locked="0"/>
    </xf>
    <xf numFmtId="0" fontId="2" fillId="3" borderId="1" xfId="0" applyFont="1" applyFill="1" applyBorder="1" applyAlignment="1">
      <alignment vertical="center"/>
      <protection locked="0"/>
    </xf>
    <xf numFmtId="0" fontId="4" fillId="0" borderId="0" xfId="0" applyFont="1" applyAlignment="1" applyProtection="1">
      <alignment vertical="center"/>
    </xf>
    <xf numFmtId="0" fontId="3" fillId="0" borderId="1" xfId="0" applyFont="1" applyBorder="1" applyAlignment="1" applyProtection="1">
      <alignment horizontal="center" vertical="center"/>
    </xf>
    <xf numFmtId="0" fontId="3" fillId="0" borderId="0" xfId="0" applyFont="1" applyAlignment="1" applyProtection="1">
      <alignment horizontal="center" vertical="center"/>
    </xf>
    <xf numFmtId="0" fontId="4" fillId="0" borderId="1" xfId="0" applyFont="1" applyBorder="1" applyAlignment="1" applyProtection="1">
      <alignment vertical="center"/>
    </xf>
    <xf numFmtId="164" fontId="3" fillId="0" borderId="1" xfId="0" applyNumberFormat="1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13DC-5CF9-495B-B01B-5A885B9856A8}">
  <dimension ref="B1:S49"/>
  <sheetViews>
    <sheetView tabSelected="1" topLeftCell="G1" workbookViewId="0">
      <pane activePane="bottomRight" state="frozen"/>
      <selection activeCell="N7" sqref="N7:R7"/>
    </sheetView>
  </sheetViews>
  <sheetFormatPr baseColWidth="10" defaultRowHeight="15" x14ac:dyDescent="0.2"/>
  <cols>
    <col min="1" max="1" width="11.42578125" style="1"/>
    <col min="2" max="2" width="12.28515625" style="1" bestFit="1" customWidth="1"/>
    <col min="3" max="3" width="14.85546875" style="1" bestFit="1" customWidth="1"/>
    <col min="4" max="4" width="23" style="1" bestFit="1" customWidth="1"/>
    <col min="5" max="5" width="6.85546875" style="4" bestFit="1" customWidth="1"/>
    <col min="6" max="6" width="10" style="1" customWidth="1"/>
    <col min="7" max="7" width="11.7109375" style="1" bestFit="1" customWidth="1"/>
    <col min="8" max="8" width="10" style="1" customWidth="1"/>
    <col min="9" max="9" width="21.7109375" style="1" bestFit="1" customWidth="1"/>
    <col min="10" max="10" width="9.140625" style="1" customWidth="1"/>
    <col min="11" max="11" width="16.7109375" style="1" bestFit="1" customWidth="1"/>
    <col min="12" max="12" width="9.140625" style="1" customWidth="1"/>
    <col min="13" max="13" width="14.85546875" style="1" bestFit="1" customWidth="1"/>
    <col min="14" max="14" width="8.85546875" style="1" bestFit="1" customWidth="1"/>
    <col min="15" max="15" width="16.7109375" style="1" bestFit="1" customWidth="1"/>
    <col min="16" max="16" width="8.42578125" style="1" bestFit="1" customWidth="1"/>
    <col min="17" max="17" width="16.7109375" style="1" bestFit="1" customWidth="1"/>
    <col min="18" max="18" width="8.85546875" style="1" bestFit="1" customWidth="1"/>
    <col min="19" max="19" width="8.42578125" style="1" bestFit="1" customWidth="1"/>
    <col min="20" max="20" width="9.140625" style="1" customWidth="1"/>
    <col min="21" max="16384" width="11.42578125" style="1"/>
  </cols>
  <sheetData>
    <row r="1" spans="2:19" s="4" customFormat="1" x14ac:dyDescent="0.2">
      <c r="B1" s="3" t="s">
        <v>0</v>
      </c>
      <c r="C1" s="5" t="s">
        <v>125</v>
      </c>
      <c r="D1" s="3" t="s">
        <v>1</v>
      </c>
      <c r="E1" s="5" t="s">
        <v>137</v>
      </c>
      <c r="F1" s="3" t="s">
        <v>22</v>
      </c>
      <c r="G1" s="3" t="s">
        <v>23</v>
      </c>
      <c r="H1" s="3" t="s">
        <v>24</v>
      </c>
      <c r="I1" s="3" t="s">
        <v>25</v>
      </c>
    </row>
    <row r="2" spans="2:19" x14ac:dyDescent="0.2">
      <c r="B2" s="2" t="s">
        <v>8</v>
      </c>
      <c r="C2" s="6" t="s">
        <v>126</v>
      </c>
      <c r="D2" s="2" t="s">
        <v>3</v>
      </c>
      <c r="E2" s="3">
        <v>1</v>
      </c>
      <c r="F2" s="2" t="s">
        <v>120</v>
      </c>
      <c r="G2" s="2" t="s">
        <v>120</v>
      </c>
      <c r="H2" s="2" t="s">
        <v>121</v>
      </c>
      <c r="I2" s="2" t="s">
        <v>27</v>
      </c>
      <c r="K2" s="8" t="s">
        <v>129</v>
      </c>
    </row>
    <row r="3" spans="2:19" x14ac:dyDescent="0.2">
      <c r="B3" s="2" t="s">
        <v>8</v>
      </c>
      <c r="C3" s="6" t="s">
        <v>126</v>
      </c>
      <c r="D3" s="2" t="s">
        <v>3</v>
      </c>
      <c r="E3" s="3">
        <v>2</v>
      </c>
      <c r="F3" s="2" t="s">
        <v>120</v>
      </c>
      <c r="G3" s="2" t="s">
        <v>120</v>
      </c>
      <c r="H3" s="2" t="s">
        <v>122</v>
      </c>
      <c r="I3" s="2" t="s">
        <v>27</v>
      </c>
      <c r="K3" s="9" t="s">
        <v>131</v>
      </c>
      <c r="M3" s="12"/>
      <c r="N3" s="17" t="s">
        <v>135</v>
      </c>
      <c r="O3" s="17"/>
      <c r="P3" s="17"/>
      <c r="Q3" s="17"/>
      <c r="R3" s="17"/>
      <c r="S3" s="12"/>
    </row>
    <row r="4" spans="2:19" x14ac:dyDescent="0.2">
      <c r="B4" s="2" t="s">
        <v>8</v>
      </c>
      <c r="C4" s="6" t="s">
        <v>126</v>
      </c>
      <c r="D4" s="2" t="s">
        <v>3</v>
      </c>
      <c r="E4" s="3">
        <v>3</v>
      </c>
      <c r="F4" s="2" t="s">
        <v>120</v>
      </c>
      <c r="G4" s="2" t="s">
        <v>120</v>
      </c>
      <c r="H4" s="2" t="s">
        <v>123</v>
      </c>
      <c r="I4" s="2" t="s">
        <v>27</v>
      </c>
      <c r="K4" s="9" t="s">
        <v>130</v>
      </c>
      <c r="M4" s="13" t="s">
        <v>125</v>
      </c>
      <c r="N4" s="13" t="s">
        <v>129</v>
      </c>
      <c r="O4" s="13" t="s">
        <v>131</v>
      </c>
      <c r="P4" s="13" t="s">
        <v>130</v>
      </c>
      <c r="Q4" s="13" t="s">
        <v>132</v>
      </c>
      <c r="R4" s="13" t="s">
        <v>133</v>
      </c>
      <c r="S4" s="14" t="s">
        <v>134</v>
      </c>
    </row>
    <row r="5" spans="2:19" x14ac:dyDescent="0.2">
      <c r="B5" s="2" t="s">
        <v>8</v>
      </c>
      <c r="C5" s="6" t="s">
        <v>126</v>
      </c>
      <c r="D5" s="2" t="s">
        <v>3</v>
      </c>
      <c r="E5" s="3">
        <v>4</v>
      </c>
      <c r="F5" s="2" t="s">
        <v>120</v>
      </c>
      <c r="G5" s="2" t="s">
        <v>120</v>
      </c>
      <c r="H5" s="2" t="s">
        <v>124</v>
      </c>
      <c r="I5" s="2" t="s">
        <v>27</v>
      </c>
      <c r="K5" s="9" t="s">
        <v>132</v>
      </c>
      <c r="M5" s="15" t="s">
        <v>126</v>
      </c>
      <c r="N5" s="13">
        <v>4</v>
      </c>
      <c r="O5" s="13">
        <v>0</v>
      </c>
      <c r="P5" s="13">
        <v>0</v>
      </c>
      <c r="Q5" s="13">
        <v>0</v>
      </c>
      <c r="R5" s="13">
        <v>0</v>
      </c>
      <c r="S5" s="13">
        <f>SUM(N5:R5)</f>
        <v>4</v>
      </c>
    </row>
    <row r="6" spans="2:19" x14ac:dyDescent="0.2">
      <c r="B6" s="2" t="s">
        <v>10</v>
      </c>
      <c r="C6" s="6" t="s">
        <v>128</v>
      </c>
      <c r="D6" s="11" t="s">
        <v>9</v>
      </c>
      <c r="E6" s="3">
        <v>1</v>
      </c>
      <c r="F6" s="2" t="s">
        <v>36</v>
      </c>
      <c r="G6" s="2" t="s">
        <v>83</v>
      </c>
      <c r="H6" s="2" t="s">
        <v>84</v>
      </c>
      <c r="I6" s="2" t="s">
        <v>27</v>
      </c>
      <c r="K6" s="10" t="s">
        <v>133</v>
      </c>
      <c r="M6" s="15" t="s">
        <v>128</v>
      </c>
      <c r="N6" s="13">
        <v>26</v>
      </c>
      <c r="O6" s="13">
        <v>7</v>
      </c>
      <c r="P6" s="13">
        <v>3</v>
      </c>
      <c r="Q6" s="13">
        <v>3</v>
      </c>
      <c r="R6" s="13">
        <v>1</v>
      </c>
      <c r="S6" s="13">
        <f>SUM(N6:R6)</f>
        <v>40</v>
      </c>
    </row>
    <row r="7" spans="2:19" x14ac:dyDescent="0.2">
      <c r="B7" s="2" t="s">
        <v>10</v>
      </c>
      <c r="C7" s="6" t="s">
        <v>128</v>
      </c>
      <c r="D7" s="11" t="s">
        <v>9</v>
      </c>
      <c r="E7" s="3">
        <v>2</v>
      </c>
      <c r="F7" s="2" t="s">
        <v>36</v>
      </c>
      <c r="G7" s="2" t="s">
        <v>83</v>
      </c>
      <c r="H7" s="2" t="s">
        <v>85</v>
      </c>
      <c r="I7" s="2" t="s">
        <v>27</v>
      </c>
      <c r="M7" s="15" t="s">
        <v>127</v>
      </c>
      <c r="N7" s="13">
        <v>4</v>
      </c>
      <c r="O7" s="13">
        <v>0</v>
      </c>
      <c r="P7" s="13">
        <v>0</v>
      </c>
      <c r="Q7" s="13">
        <v>0</v>
      </c>
      <c r="R7" s="13">
        <v>0</v>
      </c>
      <c r="S7" s="13">
        <f>SUM(N7:R7)</f>
        <v>4</v>
      </c>
    </row>
    <row r="8" spans="2:19" x14ac:dyDescent="0.2">
      <c r="B8" s="2" t="s">
        <v>21</v>
      </c>
      <c r="C8" s="6" t="s">
        <v>128</v>
      </c>
      <c r="D8" s="11" t="s">
        <v>9</v>
      </c>
      <c r="E8" s="3">
        <v>3</v>
      </c>
      <c r="F8" s="2" t="s">
        <v>65</v>
      </c>
      <c r="G8" s="2" t="s">
        <v>66</v>
      </c>
      <c r="H8" s="2" t="s">
        <v>67</v>
      </c>
      <c r="I8" s="2" t="s">
        <v>27</v>
      </c>
      <c r="L8" s="7"/>
      <c r="M8" s="12"/>
      <c r="N8" s="14"/>
      <c r="O8" s="14"/>
      <c r="P8" s="14"/>
      <c r="Q8" s="14"/>
      <c r="R8" s="14"/>
      <c r="S8" s="12"/>
    </row>
    <row r="9" spans="2:19" x14ac:dyDescent="0.2">
      <c r="B9" s="2" t="s">
        <v>10</v>
      </c>
      <c r="C9" s="6" t="s">
        <v>128</v>
      </c>
      <c r="D9" s="11" t="s">
        <v>2</v>
      </c>
      <c r="E9" s="3">
        <v>1</v>
      </c>
      <c r="F9" s="2" t="s">
        <v>52</v>
      </c>
      <c r="G9" s="2" t="s">
        <v>53</v>
      </c>
      <c r="H9" s="2" t="s">
        <v>54</v>
      </c>
      <c r="I9" s="2" t="s">
        <v>27</v>
      </c>
      <c r="M9" s="12"/>
      <c r="N9" s="14"/>
      <c r="O9" s="14"/>
      <c r="P9" s="14"/>
      <c r="Q9" s="14"/>
      <c r="R9" s="14"/>
      <c r="S9" s="12"/>
    </row>
    <row r="10" spans="2:19" x14ac:dyDescent="0.2">
      <c r="B10" s="2" t="s">
        <v>10</v>
      </c>
      <c r="C10" s="6" t="s">
        <v>128</v>
      </c>
      <c r="D10" s="11" t="s">
        <v>2</v>
      </c>
      <c r="E10" s="3">
        <v>2</v>
      </c>
      <c r="F10" s="2" t="s">
        <v>55</v>
      </c>
      <c r="G10" s="2" t="s">
        <v>53</v>
      </c>
      <c r="H10" s="2" t="s">
        <v>56</v>
      </c>
      <c r="I10" s="2" t="s">
        <v>27</v>
      </c>
    </row>
    <row r="11" spans="2:19" x14ac:dyDescent="0.2">
      <c r="B11" s="2" t="s">
        <v>10</v>
      </c>
      <c r="C11" s="6" t="s">
        <v>128</v>
      </c>
      <c r="D11" s="11" t="s">
        <v>2</v>
      </c>
      <c r="E11" s="3">
        <v>3</v>
      </c>
      <c r="F11" s="2" t="s">
        <v>49</v>
      </c>
      <c r="G11" s="2" t="s">
        <v>53</v>
      </c>
      <c r="H11" s="2" t="s">
        <v>57</v>
      </c>
      <c r="I11" s="2" t="s">
        <v>27</v>
      </c>
    </row>
    <row r="12" spans="2:19" x14ac:dyDescent="0.2">
      <c r="B12" s="2" t="s">
        <v>15</v>
      </c>
      <c r="C12" s="6" t="s">
        <v>128</v>
      </c>
      <c r="D12" s="11" t="s">
        <v>2</v>
      </c>
      <c r="E12" s="3">
        <v>4</v>
      </c>
      <c r="F12" s="2" t="s">
        <v>79</v>
      </c>
      <c r="G12" s="2" t="s">
        <v>79</v>
      </c>
      <c r="H12" s="2" t="s">
        <v>80</v>
      </c>
      <c r="I12" s="2" t="s">
        <v>27</v>
      </c>
    </row>
    <row r="13" spans="2:19" x14ac:dyDescent="0.2">
      <c r="B13" s="2" t="s">
        <v>17</v>
      </c>
      <c r="C13" s="6" t="s">
        <v>128</v>
      </c>
      <c r="D13" s="11" t="s">
        <v>2</v>
      </c>
      <c r="E13" s="3">
        <v>5</v>
      </c>
      <c r="F13" s="2" t="s">
        <v>43</v>
      </c>
      <c r="G13" s="2" t="s">
        <v>47</v>
      </c>
      <c r="H13" s="2" t="s">
        <v>48</v>
      </c>
      <c r="I13" s="2" t="s">
        <v>27</v>
      </c>
      <c r="M13" s="12"/>
      <c r="N13" s="14"/>
      <c r="O13" s="14"/>
      <c r="P13" s="14"/>
      <c r="Q13" s="14"/>
      <c r="R13" s="14"/>
      <c r="S13" s="12"/>
    </row>
    <row r="14" spans="2:19" x14ac:dyDescent="0.2">
      <c r="B14" s="2" t="s">
        <v>17</v>
      </c>
      <c r="C14" s="6" t="s">
        <v>128</v>
      </c>
      <c r="D14" s="11" t="s">
        <v>2</v>
      </c>
      <c r="E14" s="3">
        <v>6</v>
      </c>
      <c r="F14" s="2" t="s">
        <v>61</v>
      </c>
      <c r="G14" s="2" t="s">
        <v>63</v>
      </c>
      <c r="H14" s="2" t="s">
        <v>64</v>
      </c>
      <c r="I14" s="2" t="s">
        <v>27</v>
      </c>
      <c r="M14" s="12"/>
      <c r="N14" s="17" t="s">
        <v>136</v>
      </c>
      <c r="O14" s="17"/>
      <c r="P14" s="17"/>
      <c r="Q14" s="17"/>
      <c r="R14" s="17"/>
      <c r="S14" s="12"/>
    </row>
    <row r="15" spans="2:19" x14ac:dyDescent="0.2">
      <c r="B15" s="2" t="s">
        <v>18</v>
      </c>
      <c r="C15" s="6" t="s">
        <v>128</v>
      </c>
      <c r="D15" s="11" t="s">
        <v>2</v>
      </c>
      <c r="E15" s="3">
        <v>7</v>
      </c>
      <c r="F15" s="2" t="s">
        <v>96</v>
      </c>
      <c r="G15" s="2" t="s">
        <v>97</v>
      </c>
      <c r="H15" s="2" t="s">
        <v>98</v>
      </c>
      <c r="I15" s="2" t="s">
        <v>27</v>
      </c>
      <c r="M15" s="13" t="s">
        <v>125</v>
      </c>
      <c r="N15" s="13" t="s">
        <v>129</v>
      </c>
      <c r="O15" s="13" t="s">
        <v>131</v>
      </c>
      <c r="P15" s="13" t="s">
        <v>130</v>
      </c>
      <c r="Q15" s="13" t="s">
        <v>132</v>
      </c>
      <c r="R15" s="13" t="s">
        <v>133</v>
      </c>
      <c r="S15" s="14" t="s">
        <v>134</v>
      </c>
    </row>
    <row r="16" spans="2:19" x14ac:dyDescent="0.2">
      <c r="B16" s="2" t="s">
        <v>10</v>
      </c>
      <c r="C16" s="6" t="s">
        <v>128</v>
      </c>
      <c r="D16" s="2" t="s">
        <v>3</v>
      </c>
      <c r="E16" s="3">
        <v>1</v>
      </c>
      <c r="F16" s="2" t="s">
        <v>37</v>
      </c>
      <c r="G16" s="2" t="s">
        <v>38</v>
      </c>
      <c r="H16" s="2" t="s">
        <v>39</v>
      </c>
      <c r="I16" s="2" t="s">
        <v>27</v>
      </c>
      <c r="M16" s="15" t="s">
        <v>126</v>
      </c>
      <c r="N16" s="16">
        <f>(N5*100)/$S$5</f>
        <v>100</v>
      </c>
      <c r="O16" s="16">
        <f t="shared" ref="O16:R16" si="0">(O5*100)/$S$5</f>
        <v>0</v>
      </c>
      <c r="P16" s="16">
        <f t="shared" si="0"/>
        <v>0</v>
      </c>
      <c r="Q16" s="16">
        <f t="shared" si="0"/>
        <v>0</v>
      </c>
      <c r="R16" s="16">
        <f t="shared" si="0"/>
        <v>0</v>
      </c>
      <c r="S16" s="13">
        <f>SUM(N16:R16)</f>
        <v>100</v>
      </c>
    </row>
    <row r="17" spans="2:19" x14ac:dyDescent="0.2">
      <c r="B17" s="2" t="s">
        <v>11</v>
      </c>
      <c r="C17" s="6" t="s">
        <v>128</v>
      </c>
      <c r="D17" s="2" t="s">
        <v>3</v>
      </c>
      <c r="E17" s="3">
        <v>2</v>
      </c>
      <c r="F17" s="2" t="s">
        <v>112</v>
      </c>
      <c r="G17" s="2" t="s">
        <v>113</v>
      </c>
      <c r="H17" s="2" t="s">
        <v>114</v>
      </c>
      <c r="I17" s="2" t="s">
        <v>30</v>
      </c>
      <c r="M17" s="15" t="s">
        <v>128</v>
      </c>
      <c r="N17" s="16">
        <f>(N6*100)/$S$6</f>
        <v>65</v>
      </c>
      <c r="O17" s="16">
        <f t="shared" ref="O17:R17" si="1">(O6*100)/$S$6</f>
        <v>17.5</v>
      </c>
      <c r="P17" s="16">
        <f t="shared" si="1"/>
        <v>7.5</v>
      </c>
      <c r="Q17" s="16">
        <f t="shared" si="1"/>
        <v>7.5</v>
      </c>
      <c r="R17" s="16">
        <f t="shared" si="1"/>
        <v>2.5</v>
      </c>
      <c r="S17" s="13">
        <f t="shared" ref="S17:S18" si="2">SUM(N17:R17)</f>
        <v>100</v>
      </c>
    </row>
    <row r="18" spans="2:19" x14ac:dyDescent="0.2">
      <c r="B18" s="2" t="s">
        <v>11</v>
      </c>
      <c r="C18" s="6" t="s">
        <v>128</v>
      </c>
      <c r="D18" s="2" t="s">
        <v>3</v>
      </c>
      <c r="E18" s="3">
        <v>3</v>
      </c>
      <c r="F18" s="2" t="s">
        <v>112</v>
      </c>
      <c r="G18" s="2" t="s">
        <v>115</v>
      </c>
      <c r="H18" s="2" t="s">
        <v>116</v>
      </c>
      <c r="I18" s="2" t="s">
        <v>32</v>
      </c>
      <c r="M18" s="15" t="s">
        <v>127</v>
      </c>
      <c r="N18" s="16">
        <f>(N7*100)/$S$7</f>
        <v>100</v>
      </c>
      <c r="O18" s="16">
        <f t="shared" ref="O18:R18" si="3">(O7*100)/$S$7</f>
        <v>0</v>
      </c>
      <c r="P18" s="16">
        <f t="shared" si="3"/>
        <v>0</v>
      </c>
      <c r="Q18" s="16">
        <f t="shared" si="3"/>
        <v>0</v>
      </c>
      <c r="R18" s="16">
        <f t="shared" si="3"/>
        <v>0</v>
      </c>
      <c r="S18" s="13">
        <f t="shared" si="2"/>
        <v>100</v>
      </c>
    </row>
    <row r="19" spans="2:19" x14ac:dyDescent="0.2">
      <c r="B19" s="2" t="s">
        <v>11</v>
      </c>
      <c r="C19" s="6" t="s">
        <v>128</v>
      </c>
      <c r="D19" s="2" t="s">
        <v>3</v>
      </c>
      <c r="E19" s="3">
        <v>4</v>
      </c>
      <c r="F19" s="2" t="s">
        <v>112</v>
      </c>
      <c r="G19" s="2" t="s">
        <v>115</v>
      </c>
      <c r="H19" s="2" t="s">
        <v>116</v>
      </c>
      <c r="I19" s="2" t="s">
        <v>32</v>
      </c>
    </row>
    <row r="20" spans="2:19" x14ac:dyDescent="0.2">
      <c r="B20" s="2" t="s">
        <v>11</v>
      </c>
      <c r="C20" s="6" t="s">
        <v>128</v>
      </c>
      <c r="D20" s="2" t="s">
        <v>3</v>
      </c>
      <c r="E20" s="3">
        <v>5</v>
      </c>
      <c r="F20" s="2" t="s">
        <v>34</v>
      </c>
      <c r="G20" s="2" t="s">
        <v>118</v>
      </c>
      <c r="H20" s="2" t="s">
        <v>119</v>
      </c>
      <c r="I20" s="2" t="s">
        <v>28</v>
      </c>
    </row>
    <row r="21" spans="2:19" x14ac:dyDescent="0.2">
      <c r="B21" s="2" t="s">
        <v>12</v>
      </c>
      <c r="C21" s="6" t="s">
        <v>128</v>
      </c>
      <c r="D21" s="2" t="s">
        <v>3</v>
      </c>
      <c r="E21" s="3">
        <v>6</v>
      </c>
      <c r="F21" s="2" t="s">
        <v>105</v>
      </c>
      <c r="G21" s="2" t="s">
        <v>106</v>
      </c>
      <c r="H21" s="2" t="s">
        <v>107</v>
      </c>
      <c r="I21" s="2" t="s">
        <v>31</v>
      </c>
    </row>
    <row r="22" spans="2:19" x14ac:dyDescent="0.2">
      <c r="B22" s="2" t="s">
        <v>13</v>
      </c>
      <c r="C22" s="6" t="s">
        <v>128</v>
      </c>
      <c r="D22" s="2" t="s">
        <v>3</v>
      </c>
      <c r="E22" s="3">
        <v>7</v>
      </c>
      <c r="F22" s="2" t="s">
        <v>93</v>
      </c>
      <c r="G22" s="2" t="s">
        <v>94</v>
      </c>
      <c r="H22" s="2" t="s">
        <v>95</v>
      </c>
      <c r="I22" s="2" t="s">
        <v>27</v>
      </c>
    </row>
    <row r="23" spans="2:19" x14ac:dyDescent="0.2">
      <c r="B23" s="2" t="s">
        <v>14</v>
      </c>
      <c r="C23" s="6" t="s">
        <v>128</v>
      </c>
      <c r="D23" s="2" t="s">
        <v>3</v>
      </c>
      <c r="E23" s="3">
        <v>8</v>
      </c>
      <c r="F23" s="2" t="s">
        <v>40</v>
      </c>
      <c r="G23" s="2" t="s">
        <v>41</v>
      </c>
      <c r="H23" s="2" t="s">
        <v>42</v>
      </c>
      <c r="I23" s="2" t="s">
        <v>27</v>
      </c>
    </row>
    <row r="24" spans="2:19" x14ac:dyDescent="0.2">
      <c r="B24" s="2" t="s">
        <v>17</v>
      </c>
      <c r="C24" s="6" t="s">
        <v>128</v>
      </c>
      <c r="D24" s="2" t="s">
        <v>3</v>
      </c>
      <c r="E24" s="3">
        <v>9</v>
      </c>
      <c r="F24" s="2" t="s">
        <v>120</v>
      </c>
      <c r="G24" s="2" t="s">
        <v>120</v>
      </c>
      <c r="H24" s="2" t="s">
        <v>121</v>
      </c>
      <c r="I24" s="2" t="s">
        <v>27</v>
      </c>
    </row>
    <row r="25" spans="2:19" x14ac:dyDescent="0.2">
      <c r="B25" s="2" t="s">
        <v>17</v>
      </c>
      <c r="C25" s="6" t="s">
        <v>128</v>
      </c>
      <c r="D25" s="2" t="s">
        <v>3</v>
      </c>
      <c r="E25" s="3">
        <v>10</v>
      </c>
      <c r="F25" s="2" t="s">
        <v>120</v>
      </c>
      <c r="G25" s="2" t="s">
        <v>120</v>
      </c>
      <c r="H25" s="2" t="s">
        <v>122</v>
      </c>
      <c r="I25" s="2" t="s">
        <v>27</v>
      </c>
    </row>
    <row r="26" spans="2:19" x14ac:dyDescent="0.2">
      <c r="B26" s="2" t="s">
        <v>17</v>
      </c>
      <c r="C26" s="6" t="s">
        <v>128</v>
      </c>
      <c r="D26" s="2" t="s">
        <v>3</v>
      </c>
      <c r="E26" s="3">
        <v>11</v>
      </c>
      <c r="F26" s="2" t="s">
        <v>120</v>
      </c>
      <c r="G26" s="2" t="s">
        <v>120</v>
      </c>
      <c r="H26" s="2" t="s">
        <v>123</v>
      </c>
      <c r="I26" s="2" t="s">
        <v>27</v>
      </c>
    </row>
    <row r="27" spans="2:19" x14ac:dyDescent="0.2">
      <c r="B27" s="2" t="s">
        <v>17</v>
      </c>
      <c r="C27" s="6" t="s">
        <v>128</v>
      </c>
      <c r="D27" s="2" t="s">
        <v>3</v>
      </c>
      <c r="E27" s="3">
        <v>12</v>
      </c>
      <c r="F27" s="2" t="s">
        <v>120</v>
      </c>
      <c r="G27" s="2" t="s">
        <v>120</v>
      </c>
      <c r="H27" s="2" t="s">
        <v>124</v>
      </c>
      <c r="I27" s="2" t="s">
        <v>27</v>
      </c>
    </row>
    <row r="28" spans="2:19" x14ac:dyDescent="0.2">
      <c r="B28" s="2" t="s">
        <v>19</v>
      </c>
      <c r="C28" s="6" t="s">
        <v>128</v>
      </c>
      <c r="D28" s="2" t="s">
        <v>3</v>
      </c>
      <c r="E28" s="3">
        <v>13</v>
      </c>
      <c r="F28" s="2" t="s">
        <v>43</v>
      </c>
      <c r="G28" s="2" t="s">
        <v>43</v>
      </c>
      <c r="H28" s="2" t="s">
        <v>44</v>
      </c>
      <c r="I28" s="2" t="s">
        <v>27</v>
      </c>
    </row>
    <row r="29" spans="2:19" x14ac:dyDescent="0.2">
      <c r="B29" s="2" t="s">
        <v>19</v>
      </c>
      <c r="C29" s="6" t="s">
        <v>128</v>
      </c>
      <c r="D29" s="2" t="s">
        <v>3</v>
      </c>
      <c r="E29" s="3">
        <v>14</v>
      </c>
      <c r="F29" s="2" t="s">
        <v>43</v>
      </c>
      <c r="G29" s="2" t="s">
        <v>43</v>
      </c>
      <c r="H29" s="2" t="s">
        <v>45</v>
      </c>
      <c r="I29" s="2" t="s">
        <v>27</v>
      </c>
    </row>
    <row r="30" spans="2:19" x14ac:dyDescent="0.2">
      <c r="B30" s="2" t="s">
        <v>19</v>
      </c>
      <c r="C30" s="6" t="s">
        <v>128</v>
      </c>
      <c r="D30" s="2" t="s">
        <v>3</v>
      </c>
      <c r="E30" s="3">
        <v>15</v>
      </c>
      <c r="F30" s="2" t="s">
        <v>43</v>
      </c>
      <c r="G30" s="2" t="s">
        <v>43</v>
      </c>
      <c r="H30" s="2" t="s">
        <v>46</v>
      </c>
      <c r="I30" s="2" t="s">
        <v>27</v>
      </c>
    </row>
    <row r="31" spans="2:19" x14ac:dyDescent="0.2">
      <c r="B31" s="2" t="s">
        <v>19</v>
      </c>
      <c r="C31" s="6" t="s">
        <v>128</v>
      </c>
      <c r="D31" s="2" t="s">
        <v>3</v>
      </c>
      <c r="E31" s="3">
        <v>16</v>
      </c>
      <c r="F31" s="2" t="s">
        <v>61</v>
      </c>
      <c r="G31" s="2" t="s">
        <v>61</v>
      </c>
      <c r="H31" s="2" t="s">
        <v>62</v>
      </c>
      <c r="I31" s="2" t="s">
        <v>27</v>
      </c>
    </row>
    <row r="32" spans="2:19" x14ac:dyDescent="0.2">
      <c r="B32" s="2" t="s">
        <v>19</v>
      </c>
      <c r="C32" s="6" t="s">
        <v>128</v>
      </c>
      <c r="D32" s="2" t="s">
        <v>3</v>
      </c>
      <c r="E32" s="3">
        <v>17</v>
      </c>
      <c r="F32" s="2" t="s">
        <v>81</v>
      </c>
      <c r="G32" s="2" t="s">
        <v>81</v>
      </c>
      <c r="H32" s="2" t="s">
        <v>82</v>
      </c>
      <c r="I32" s="2" t="s">
        <v>27</v>
      </c>
    </row>
    <row r="33" spans="2:9" x14ac:dyDescent="0.2">
      <c r="B33" s="2" t="s">
        <v>19</v>
      </c>
      <c r="C33" s="6" t="s">
        <v>128</v>
      </c>
      <c r="D33" s="2" t="s">
        <v>3</v>
      </c>
      <c r="E33" s="3">
        <v>18</v>
      </c>
      <c r="F33" s="2" t="s">
        <v>86</v>
      </c>
      <c r="G33" s="2" t="s">
        <v>86</v>
      </c>
      <c r="H33" s="2" t="s">
        <v>87</v>
      </c>
      <c r="I33" s="2" t="s">
        <v>27</v>
      </c>
    </row>
    <row r="34" spans="2:9" x14ac:dyDescent="0.2">
      <c r="B34" s="2" t="s">
        <v>19</v>
      </c>
      <c r="C34" s="6" t="s">
        <v>128</v>
      </c>
      <c r="D34" s="2" t="s">
        <v>3</v>
      </c>
      <c r="E34" s="3">
        <v>19</v>
      </c>
      <c r="F34" s="2" t="s">
        <v>91</v>
      </c>
      <c r="G34" s="2" t="s">
        <v>91</v>
      </c>
      <c r="H34" s="2" t="s">
        <v>92</v>
      </c>
      <c r="I34" s="2" t="s">
        <v>29</v>
      </c>
    </row>
    <row r="35" spans="2:9" x14ac:dyDescent="0.2">
      <c r="B35" s="2" t="s">
        <v>19</v>
      </c>
      <c r="C35" s="6" t="s">
        <v>128</v>
      </c>
      <c r="D35" s="2" t="s">
        <v>3</v>
      </c>
      <c r="E35" s="3">
        <v>20</v>
      </c>
      <c r="F35" s="2" t="s">
        <v>97</v>
      </c>
      <c r="G35" s="2" t="s">
        <v>97</v>
      </c>
      <c r="H35" s="2" t="s">
        <v>99</v>
      </c>
      <c r="I35" s="2" t="s">
        <v>27</v>
      </c>
    </row>
    <row r="36" spans="2:9" x14ac:dyDescent="0.2">
      <c r="B36" s="2" t="s">
        <v>19</v>
      </c>
      <c r="C36" s="6" t="s">
        <v>128</v>
      </c>
      <c r="D36" s="2" t="s">
        <v>3</v>
      </c>
      <c r="E36" s="3">
        <v>21</v>
      </c>
      <c r="F36" s="2" t="s">
        <v>108</v>
      </c>
      <c r="G36" s="2" t="s">
        <v>108</v>
      </c>
      <c r="H36" s="2" t="s">
        <v>109</v>
      </c>
      <c r="I36" s="2" t="s">
        <v>27</v>
      </c>
    </row>
    <row r="37" spans="2:9" x14ac:dyDescent="0.2">
      <c r="B37" s="2" t="s">
        <v>20</v>
      </c>
      <c r="C37" s="6" t="s">
        <v>128</v>
      </c>
      <c r="D37" s="2" t="s">
        <v>3</v>
      </c>
      <c r="E37" s="3">
        <v>22</v>
      </c>
      <c r="F37" s="2" t="s">
        <v>68</v>
      </c>
      <c r="G37" s="2" t="s">
        <v>69</v>
      </c>
      <c r="H37" s="2" t="s">
        <v>70</v>
      </c>
      <c r="I37" s="2" t="s">
        <v>27</v>
      </c>
    </row>
    <row r="38" spans="2:9" x14ac:dyDescent="0.2">
      <c r="B38" s="2" t="s">
        <v>20</v>
      </c>
      <c r="C38" s="6" t="s">
        <v>128</v>
      </c>
      <c r="D38" s="2" t="s">
        <v>3</v>
      </c>
      <c r="E38" s="3">
        <v>23</v>
      </c>
      <c r="F38" s="2" t="s">
        <v>88</v>
      </c>
      <c r="G38" s="2" t="s">
        <v>89</v>
      </c>
      <c r="H38" s="2" t="s">
        <v>90</v>
      </c>
      <c r="I38" s="2" t="s">
        <v>27</v>
      </c>
    </row>
    <row r="39" spans="2:9" x14ac:dyDescent="0.2">
      <c r="B39" s="2" t="s">
        <v>20</v>
      </c>
      <c r="C39" s="6" t="s">
        <v>128</v>
      </c>
      <c r="D39" s="2" t="s">
        <v>3</v>
      </c>
      <c r="E39" s="3">
        <v>24</v>
      </c>
      <c r="F39" s="2" t="s">
        <v>100</v>
      </c>
      <c r="G39" s="2" t="s">
        <v>100</v>
      </c>
      <c r="H39" s="2" t="s">
        <v>101</v>
      </c>
      <c r="I39" s="2" t="s">
        <v>27</v>
      </c>
    </row>
    <row r="40" spans="2:9" x14ac:dyDescent="0.2">
      <c r="B40" s="2" t="s">
        <v>20</v>
      </c>
      <c r="C40" s="6" t="s">
        <v>128</v>
      </c>
      <c r="D40" s="2" t="s">
        <v>3</v>
      </c>
      <c r="E40" s="3">
        <v>25</v>
      </c>
      <c r="F40" s="2" t="s">
        <v>110</v>
      </c>
      <c r="G40" s="2" t="s">
        <v>110</v>
      </c>
      <c r="H40" s="2" t="s">
        <v>111</v>
      </c>
      <c r="I40" s="2" t="s">
        <v>27</v>
      </c>
    </row>
    <row r="41" spans="2:9" x14ac:dyDescent="0.2">
      <c r="B41" s="2" t="s">
        <v>21</v>
      </c>
      <c r="C41" s="6" t="s">
        <v>128</v>
      </c>
      <c r="D41" s="2" t="s">
        <v>3</v>
      </c>
      <c r="E41" s="3">
        <v>26</v>
      </c>
      <c r="F41" s="2" t="s">
        <v>76</v>
      </c>
      <c r="G41" s="2" t="s">
        <v>77</v>
      </c>
      <c r="H41" s="2" t="s">
        <v>78</v>
      </c>
      <c r="I41" s="2" t="s">
        <v>27</v>
      </c>
    </row>
    <row r="42" spans="2:9" x14ac:dyDescent="0.2">
      <c r="B42" s="2" t="s">
        <v>15</v>
      </c>
      <c r="C42" s="6" t="s">
        <v>128</v>
      </c>
      <c r="D42" s="11" t="s">
        <v>16</v>
      </c>
      <c r="E42" s="3">
        <v>1</v>
      </c>
      <c r="F42" s="2" t="s">
        <v>81</v>
      </c>
      <c r="G42" s="2" t="s">
        <v>81</v>
      </c>
      <c r="H42" s="2" t="s">
        <v>35</v>
      </c>
      <c r="I42" s="2" t="s">
        <v>27</v>
      </c>
    </row>
    <row r="43" spans="2:9" x14ac:dyDescent="0.2">
      <c r="B43" s="2" t="s">
        <v>15</v>
      </c>
      <c r="C43" s="6" t="s">
        <v>128</v>
      </c>
      <c r="D43" s="11" t="s">
        <v>16</v>
      </c>
      <c r="E43" s="3">
        <v>2</v>
      </c>
      <c r="F43" s="2" t="s">
        <v>81</v>
      </c>
      <c r="G43" s="2" t="s">
        <v>81</v>
      </c>
      <c r="H43" s="2" t="s">
        <v>35</v>
      </c>
      <c r="I43" s="2" t="s">
        <v>27</v>
      </c>
    </row>
    <row r="44" spans="2:9" x14ac:dyDescent="0.2">
      <c r="B44" s="2" t="s">
        <v>15</v>
      </c>
      <c r="C44" s="6" t="s">
        <v>128</v>
      </c>
      <c r="D44" s="11" t="s">
        <v>16</v>
      </c>
      <c r="E44" s="3">
        <v>3</v>
      </c>
      <c r="F44" s="2" t="s">
        <v>117</v>
      </c>
      <c r="G44" s="2" t="s">
        <v>117</v>
      </c>
      <c r="H44" s="2" t="s">
        <v>35</v>
      </c>
      <c r="I44" s="2" t="s">
        <v>27</v>
      </c>
    </row>
    <row r="45" spans="2:9" x14ac:dyDescent="0.2">
      <c r="B45" s="2" t="s">
        <v>21</v>
      </c>
      <c r="C45" s="6" t="s">
        <v>128</v>
      </c>
      <c r="D45" s="11" t="s">
        <v>4</v>
      </c>
      <c r="E45" s="3">
        <v>1</v>
      </c>
      <c r="F45" s="2" t="s">
        <v>102</v>
      </c>
      <c r="G45" s="2" t="s">
        <v>103</v>
      </c>
      <c r="H45" s="2" t="s">
        <v>104</v>
      </c>
      <c r="I45" s="2" t="s">
        <v>26</v>
      </c>
    </row>
    <row r="46" spans="2:9" x14ac:dyDescent="0.2">
      <c r="B46" s="2" t="s">
        <v>5</v>
      </c>
      <c r="C46" s="6" t="s">
        <v>127</v>
      </c>
      <c r="D46" s="2" t="s">
        <v>3</v>
      </c>
      <c r="E46" s="3">
        <v>1</v>
      </c>
      <c r="F46" s="2" t="s">
        <v>49</v>
      </c>
      <c r="G46" s="2" t="s">
        <v>50</v>
      </c>
      <c r="H46" s="2" t="s">
        <v>51</v>
      </c>
      <c r="I46" s="2" t="s">
        <v>27</v>
      </c>
    </row>
    <row r="47" spans="2:9" x14ac:dyDescent="0.2">
      <c r="B47" s="2" t="s">
        <v>5</v>
      </c>
      <c r="C47" s="6" t="s">
        <v>127</v>
      </c>
      <c r="D47" s="2" t="s">
        <v>3</v>
      </c>
      <c r="E47" s="3">
        <v>2</v>
      </c>
      <c r="F47" s="2" t="s">
        <v>58</v>
      </c>
      <c r="G47" s="2" t="s">
        <v>59</v>
      </c>
      <c r="H47" s="2" t="s">
        <v>60</v>
      </c>
      <c r="I47" s="2" t="s">
        <v>27</v>
      </c>
    </row>
    <row r="48" spans="2:9" x14ac:dyDescent="0.2">
      <c r="B48" s="2" t="s">
        <v>6</v>
      </c>
      <c r="C48" s="6" t="s">
        <v>127</v>
      </c>
      <c r="D48" s="2" t="s">
        <v>3</v>
      </c>
      <c r="E48" s="3">
        <v>3</v>
      </c>
      <c r="F48" s="2" t="s">
        <v>71</v>
      </c>
      <c r="G48" s="2" t="s">
        <v>71</v>
      </c>
      <c r="H48" s="2" t="s">
        <v>72</v>
      </c>
      <c r="I48" s="2" t="s">
        <v>27</v>
      </c>
    </row>
    <row r="49" spans="2:9" x14ac:dyDescent="0.2">
      <c r="B49" s="2" t="s">
        <v>7</v>
      </c>
      <c r="C49" s="6" t="s">
        <v>127</v>
      </c>
      <c r="D49" s="2" t="s">
        <v>3</v>
      </c>
      <c r="E49" s="3">
        <v>4</v>
      </c>
      <c r="F49" s="2" t="s">
        <v>73</v>
      </c>
      <c r="G49" s="2" t="s">
        <v>74</v>
      </c>
      <c r="H49" s="2" t="s">
        <v>75</v>
      </c>
      <c r="I49" s="2" t="s">
        <v>33</v>
      </c>
    </row>
  </sheetData>
  <sortState xmlns:xlrd2="http://schemas.microsoft.com/office/spreadsheetml/2017/richdata2" ref="B6:I45">
    <sortCondition ref="D6:D45"/>
  </sortState>
  <mergeCells count="2">
    <mergeCell ref="N3:R3"/>
    <mergeCell ref="N14:R14"/>
  </mergeCells>
  <conditionalFormatting sqref="M5:M7">
    <cfRule type="duplicateValues" dxfId="1" priority="2"/>
  </conditionalFormatting>
  <conditionalFormatting sqref="M16:M18">
    <cfRule type="duplicateValues" dxfId="0" priority="1"/>
  </conditionalFormatting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Patentes y prop Intelectual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Alfredo Gonzalez Aguero</dc:creator>
  <cp:lastModifiedBy>Mauricio Alfredo Gonzalez Aguero</cp:lastModifiedBy>
  <dcterms:created xsi:type="dcterms:W3CDTF">2025-12-15T19:02:40Z</dcterms:created>
  <dcterms:modified xsi:type="dcterms:W3CDTF">2025-12-16T12:23:35Z</dcterms:modified>
</cp:coreProperties>
</file>