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Centros (productividad)\"/>
    </mc:Choice>
  </mc:AlternateContent>
  <xr:revisionPtr revIDLastSave="0" documentId="13_ncr:1_{64DDCCB7-26A6-426D-9CFF-3140166AE10B}" xr6:coauthVersionLast="47" xr6:coauthVersionMax="47" xr10:uidLastSave="{00000000-0000-0000-0000-000000000000}"/>
  <bookViews>
    <workbookView xWindow="-28920" yWindow="-4725" windowWidth="29040" windowHeight="15720" xr2:uid="{D3F89DE3-016D-409E-960D-C1867ADF2D6C}"/>
  </bookViews>
  <sheets>
    <sheet name="Participation in Scientific Eve" sheetId="1" r:id="rId1"/>
  </sheets>
  <definedNames>
    <definedName name="_xlnm._FilterDatabase" localSheetId="0" hidden="1">'Participation in Scientific Eve'!$N$1:$N$3963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3" i="1" l="1"/>
  <c r="AA34" i="1" s="1"/>
  <c r="AA28" i="1"/>
  <c r="AA29" i="1" s="1"/>
  <c r="AA23" i="1"/>
  <c r="AA24" i="1" s="1"/>
  <c r="AA18" i="1"/>
  <c r="AA19" i="1" s="1"/>
  <c r="AA13" i="1"/>
  <c r="AA14" i="1" s="1"/>
  <c r="Z34" i="1"/>
  <c r="Z29" i="1"/>
  <c r="Z24" i="1"/>
  <c r="Z19" i="1"/>
  <c r="Z14" i="1"/>
  <c r="X5" i="1"/>
  <c r="X6" i="1"/>
  <c r="X7" i="1"/>
  <c r="X8" i="1"/>
  <c r="X4" i="1"/>
</calcChain>
</file>

<file path=xl/sharedStrings.xml><?xml version="1.0" encoding="utf-8"?>
<sst xmlns="http://schemas.openxmlformats.org/spreadsheetml/2006/main" count="47456" uniqueCount="13600">
  <si>
    <t>Center Code</t>
  </si>
  <si>
    <t>Type of Event</t>
  </si>
  <si>
    <t>Event Name</t>
  </si>
  <si>
    <t>Country</t>
  </si>
  <si>
    <t>Modality of Presentation</t>
  </si>
  <si>
    <t>Title</t>
  </si>
  <si>
    <t>Name of Person Involved (Part of the Center/Project)</t>
  </si>
  <si>
    <t>Other Participants (Not part of the Center/Project)</t>
  </si>
  <si>
    <t>Start Date</t>
  </si>
  <si>
    <t>Ending Date</t>
  </si>
  <si>
    <t>Name of Research Line</t>
  </si>
  <si>
    <t>ANID Notes</t>
  </si>
  <si>
    <t>Creation Date</t>
  </si>
  <si>
    <t>Seminar</t>
  </si>
  <si>
    <t>Chile</t>
  </si>
  <si>
    <t>Workshop</t>
  </si>
  <si>
    <t>Italia</t>
  </si>
  <si>
    <t>Claudio Antonio Muñoz Cerón (Principal Researcher)</t>
  </si>
  <si>
    <t>Estados Unidos</t>
  </si>
  <si>
    <t>Francia</t>
  </si>
  <si>
    <t>International Congress Presentation</t>
  </si>
  <si>
    <t>Uruguay</t>
  </si>
  <si>
    <t>Oral Presentation</t>
  </si>
  <si>
    <t>Leonardo Avelio Sepúlveda Donoso (Adjunct Researcher)</t>
  </si>
  <si>
    <t>Given Conference</t>
  </si>
  <si>
    <t>Ecuador</t>
  </si>
  <si>
    <t>Peru</t>
  </si>
  <si>
    <t>Jocelyn Mariel Dunstan Escudero (Adjunct Researcher)</t>
  </si>
  <si>
    <t>Maya Jakobine Stein (Principal Researcher)</t>
  </si>
  <si>
    <t>Julio Bernardo Aracena Lucero (Adjunct Researcher)</t>
  </si>
  <si>
    <t>Salome Minerva Martinez Salazar (Principal Researcher)</t>
  </si>
  <si>
    <t>Patricio Luis Felmer Aichele (Main Researcher Not part of Central Team)</t>
  </si>
  <si>
    <t>National Congress Presentation</t>
  </si>
  <si>
    <t>Manuel Esteban Solano Palma (Adjunct Researcher)</t>
  </si>
  <si>
    <t>Argentina</t>
  </si>
  <si>
    <t>Others</t>
  </si>
  <si>
    <t>China</t>
  </si>
  <si>
    <t>Sebastián Andrés Donoso Fuentes (Adjunct Researcher)</t>
  </si>
  <si>
    <t>Poster</t>
  </si>
  <si>
    <t>España</t>
  </si>
  <si>
    <t>México</t>
  </si>
  <si>
    <t>Alemania</t>
  </si>
  <si>
    <t>Suiza</t>
  </si>
  <si>
    <t>Brasil</t>
  </si>
  <si>
    <t>Reino Unido</t>
  </si>
  <si>
    <t>Dinamarca</t>
  </si>
  <si>
    <t>Others: Seminar</t>
  </si>
  <si>
    <t>Colombia</t>
  </si>
  <si>
    <t>Irlanda</t>
  </si>
  <si>
    <t>India</t>
  </si>
  <si>
    <t>David Andrés Mora Herrera (Adjunct Researcher)</t>
  </si>
  <si>
    <t>Australia</t>
  </si>
  <si>
    <t>Polonia</t>
  </si>
  <si>
    <t>Holanda</t>
  </si>
  <si>
    <t>Canada</t>
  </si>
  <si>
    <t>Paraguay</t>
  </si>
  <si>
    <t>Given Course</t>
  </si>
  <si>
    <t xml:space="preserve">Daniela Rojas </t>
  </si>
  <si>
    <t>Hong Kong</t>
  </si>
  <si>
    <t>Austria</t>
  </si>
  <si>
    <t>Marruecos</t>
  </si>
  <si>
    <t>Attentand</t>
  </si>
  <si>
    <t>Vietnam</t>
  </si>
  <si>
    <t>Rumania</t>
  </si>
  <si>
    <t>Panamá</t>
  </si>
  <si>
    <t>Japón</t>
  </si>
  <si>
    <t>Taiwán</t>
  </si>
  <si>
    <t>Hungría</t>
  </si>
  <si>
    <t>Grecia</t>
  </si>
  <si>
    <t>Turquia</t>
  </si>
  <si>
    <t>Israel</t>
  </si>
  <si>
    <t>New Directions in Biology and Disease of Skeletal Muscle Conference</t>
  </si>
  <si>
    <t>Portugal</t>
  </si>
  <si>
    <t>Cuba</t>
  </si>
  <si>
    <t>Luis Antonio Cubillos Santander (Adjunct Researcher)</t>
  </si>
  <si>
    <t>Carina Beatriz Lange Mahn (Adjunct Researcher)</t>
  </si>
  <si>
    <t>Iván Ernesto Pérez Santos (Adjunct Researcher)</t>
  </si>
  <si>
    <t>Maria Andrea Piñones Valenzuela (Adjunct Researcher)</t>
  </si>
  <si>
    <t>Marcelo Hernán Gutiérrez Astete (Principal Researcher)</t>
  </si>
  <si>
    <t>Seminario de Intereses Marítimos</t>
  </si>
  <si>
    <t>Puerto Rico</t>
  </si>
  <si>
    <t>Finlandia</t>
  </si>
  <si>
    <t>Symposium</t>
  </si>
  <si>
    <t>MANGALARAJA Ramalinga Viswanathan (Adjunct Researcher)</t>
  </si>
  <si>
    <t>Bolivia</t>
  </si>
  <si>
    <t>Croacia</t>
  </si>
  <si>
    <t>Bélgica</t>
  </si>
  <si>
    <t>Romina Patricia Romero Carrillo (Adjunct Researcher)</t>
  </si>
  <si>
    <t>No aplica</t>
  </si>
  <si>
    <t>Congreso Futuro</t>
  </si>
  <si>
    <t>01 Jun 2022</t>
  </si>
  <si>
    <t>Nueva Zelanda</t>
  </si>
  <si>
    <t>15110006</t>
  </si>
  <si>
    <t xml:space="preserve">V Congreso Internacional de Educación para el Desarrollo Sustentable (CIEDS 2024) y el VI Congreso Internacional de Educación e Interculturalidad de la Red Interuniversitaria de Educación e Interculturalidad (RIEDI 2024) </t>
  </si>
  <si>
    <t>Fondos de conocimientos como estrategia pedagógica para la interculturalidad y la convivencia en las aulas chilenas</t>
  </si>
  <si>
    <t>Laura Luna Figueroa (Adjunct Researcher)</t>
  </si>
  <si>
    <t>04 Nov 2024</t>
  </si>
  <si>
    <t>07 Nov 2024</t>
  </si>
  <si>
    <t>Difference, Coexistence and Citizenship</t>
  </si>
  <si>
    <t>30 Oct 2024, 14:19</t>
  </si>
  <si>
    <t>Mesa redonda: El enfoque de los fondos de conocimiento para establecer puentes entre la escuela, la familia y la comunidad:  aproximaciones y aplicaciones  en Chile</t>
  </si>
  <si>
    <t>Gerardo Muñoz, Macarena Lamas</t>
  </si>
  <si>
    <t>30 Oct 2024, 14:22</t>
  </si>
  <si>
    <t xml:space="preserve">XLIV Congreso Chileno de Anatomía y II Congreso Latinoamericano de Morfología Clínica </t>
  </si>
  <si>
    <t>Qué define a Homo sapiens? Taxonomía y evolución de los rasgos anatómicos y conductuales de nuestra especie</t>
  </si>
  <si>
    <t>Felipe Ignacio Martinez Latrach (Adjunct Researcher)</t>
  </si>
  <si>
    <t>03 Oct 2024</t>
  </si>
  <si>
    <t>Cultural Heritage and the Aesthetics of Identity</t>
  </si>
  <si>
    <t>28 Oct 2024, 11:11</t>
  </si>
  <si>
    <t>Passado e Presente: Experiências da Pandemia de Covid-19 no Brasil e no Chile</t>
  </si>
  <si>
    <t>Saborear la tranquilidad: Usos y representaciones del IFE en un grupo de familias que viven en barrios de bajos ingresos en Santiago de Chile durante la pandemia COVID19</t>
  </si>
  <si>
    <t>Marjorie Murray García (Principal Researcher)</t>
  </si>
  <si>
    <t>02 Oct 2024</t>
  </si>
  <si>
    <t>14 Oct 2024, 18:35</t>
  </si>
  <si>
    <t>XIX Jornadas Interescuelas de Historia, Argentina</t>
  </si>
  <si>
    <t>La negación continua de los afrodescendientes en el país frente a los fallidos procesos constituyentes</t>
  </si>
  <si>
    <t>Luis Eugenio Campos Muñoz (Principal Researcher)</t>
  </si>
  <si>
    <t>15 Sep 2024</t>
  </si>
  <si>
    <t>18 Sep 2024</t>
  </si>
  <si>
    <t>28 Oct 2024, 00:19</t>
  </si>
  <si>
    <t>“Maternidades, família e governança reprodutiva”</t>
  </si>
  <si>
    <t>Cuidados em dissolução: mulheres deslocadas e os rostos do Estado</t>
  </si>
  <si>
    <t>22 Aug 2024</t>
  </si>
  <si>
    <t>15 Oct 2024, 14:36</t>
  </si>
  <si>
    <t>Congreso Internacional XV JALLA "Utopías y distopías de la tierra"</t>
  </si>
  <si>
    <t>Desapariciones de Zurita &amp; Desolaciones de Mistral: diálogos en torno a países, paisajes y paraísos</t>
  </si>
  <si>
    <t>Paula Miranda Herrera (Adjunct Researcher)</t>
  </si>
  <si>
    <t>19 Aug 2024</t>
  </si>
  <si>
    <t>28 Oct 2024, 11:26</t>
  </si>
  <si>
    <t>Etnogenesis en América Latina: Argentina, Chile, Uruguay y Brasil</t>
  </si>
  <si>
    <t>Procesos de Etnogénesis en Chile</t>
  </si>
  <si>
    <t>15 Aug 2024</t>
  </si>
  <si>
    <t>18 Aug 2024</t>
  </si>
  <si>
    <t>28 Oct 2024, 00:26</t>
  </si>
  <si>
    <t>EASA 2024</t>
  </si>
  <si>
    <t>The haunted house and the presidential residency: fear of crime, hopes of social mobility and the unfulfilled promises of democracy.</t>
  </si>
  <si>
    <t>Helene Risor (Principal Researcher)</t>
  </si>
  <si>
    <t>23 Jul 2024</t>
  </si>
  <si>
    <t>26 Jul 2024</t>
  </si>
  <si>
    <t>14 Oct 2024, 19:26</t>
  </si>
  <si>
    <t>Seminario Desafíos Éticos para el Trabajo Participativo con Niñeces</t>
  </si>
  <si>
    <t xml:space="preserve">Mesa redonda: mesa redonda “Ética, interculturalidad y participación en el trabajo con niñeces” </t>
  </si>
  <si>
    <t>11 Jul 2024</t>
  </si>
  <si>
    <t>14 Oct 2024, 20:04</t>
  </si>
  <si>
    <t>THE 47TH ANNUAL SCIENTIFIC MEETING OF THE INTERNATIONAL SOCIETY OF POLITICAL PSYCHOLOGY (ISPP)</t>
  </si>
  <si>
    <t>Identity, Memory, and Rhetorics: Experiments on Psychological Processes Involved in the Collective Memory of the Chilean Military Coup of 1973</t>
  </si>
  <si>
    <t>Andres Antonio Haye Molina (Adjunct Researcher)</t>
  </si>
  <si>
    <t>04 Jul 2024</t>
  </si>
  <si>
    <t>06 Oct 2024</t>
  </si>
  <si>
    <t>14 Oct 2024, 18:57</t>
  </si>
  <si>
    <t>2da versión de Ciclo de Seminarios "Violencia Estructural Hoy"</t>
  </si>
  <si>
    <t>“Arqueología de la ilegalización de los derechos territoriales y prácticas culturales mapuche en Wallmapu”</t>
  </si>
  <si>
    <t>Fabien Nicolas Le Bonniec Chevalier (Adjunct Researcher)</t>
  </si>
  <si>
    <t>28 Jun 2024</t>
  </si>
  <si>
    <t>04 Nov 2024, 14:55</t>
  </si>
  <si>
    <t xml:space="preserve">Conversatorio Internacional </t>
  </si>
  <si>
    <t>Yo no escribo cosas bonitas, Raúl Zurita</t>
  </si>
  <si>
    <t>26 Jun 2024</t>
  </si>
  <si>
    <t xml:space="preserve">Online </t>
  </si>
  <si>
    <t>28 Oct 2024, 10:30</t>
  </si>
  <si>
    <t>Royal Anthropological Institute: Anthropology and Education</t>
  </si>
  <si>
    <t>Learning beyond schooling in Apiao, Chiloé (Chile)</t>
  </si>
  <si>
    <t>Giovanna Bacchiddu Bacchiddu (Adjunct Researcher)</t>
  </si>
  <si>
    <t>25 Jun 2024</t>
  </si>
  <si>
    <t>14 Oct 2024, 18:44</t>
  </si>
  <si>
    <t>FoK as a pedagogical strategy for recognition and coexistence in intercultural Chilean classrooms</t>
  </si>
  <si>
    <t>14 Oct 2024, 19:14</t>
  </si>
  <si>
    <t>36th CIHA World Congress</t>
  </si>
  <si>
    <t>Veneration of a sculpture of Baby Jesus in Sotaquí. A case of Material Religion.</t>
  </si>
  <si>
    <t>Olaya Francisca Sanfuentes Echeverría (Adjunct Researcher)</t>
  </si>
  <si>
    <t>23 Jun 2024</t>
  </si>
  <si>
    <t>28 Oct 2024, 00:03</t>
  </si>
  <si>
    <t>PSI #29: Performance Epistemologies of the Global Majority Summer School</t>
  </si>
  <si>
    <t>Paper: Reading the neighbourhood: micro segregation and the longing for dialogue in post dictatorship Chile</t>
  </si>
  <si>
    <t>20 Jun 2024</t>
  </si>
  <si>
    <t>14 Oct 2024, 19:49</t>
  </si>
  <si>
    <t>Creating a Cosmopolitics of Climate Change Conference</t>
  </si>
  <si>
    <t>Indigenous Peoples' advocacy in International climate processes. Advancing the recognition of rights at the national level?</t>
  </si>
  <si>
    <t>Rosario Carmona (PhD Thesis)</t>
  </si>
  <si>
    <t>15 Jun 2024</t>
  </si>
  <si>
    <t>Development and Environment</t>
  </si>
  <si>
    <t>26 Sep 2024, 12:35</t>
  </si>
  <si>
    <t>LASA 2024. Reacción y resistencia: Imaginar futuros posibles en las Américas</t>
  </si>
  <si>
    <t>La significancia de la educación intercultural e indígena: El caso de educación EIB en escuelas de la región de Arica y Parinacota, Chile</t>
  </si>
  <si>
    <t>Dante Ivan Choque Caseres (Adjunct Researcher)</t>
  </si>
  <si>
    <t>12 Jun 2024</t>
  </si>
  <si>
    <t>26 Sep 2024, 16:35</t>
  </si>
  <si>
    <t>Mesa Redonda: Repensando la planificación desde los conocimientos indígenas</t>
  </si>
  <si>
    <t>Andrés Ramirez, Matthew Caulkins, Macarena Ugarte</t>
  </si>
  <si>
    <t>26 Sep 2024, 16:38</t>
  </si>
  <si>
    <t>6tas Jornadas de Estudios sobre la Infancia</t>
  </si>
  <si>
    <t>Panel de Apertura. La construcción del campo: dinámicas, políticas y contextos</t>
  </si>
  <si>
    <t>04 Jun 2024</t>
  </si>
  <si>
    <t>06 Jun 2024</t>
  </si>
  <si>
    <t>14 Oct 2024, 19:56</t>
  </si>
  <si>
    <t>Seminario Internacional Salud y Bienestar en la Primera Infancia</t>
  </si>
  <si>
    <t>Crianza y diferencia cultural: Pertinencia de las intervenciones en primera infancia</t>
  </si>
  <si>
    <t>03 Jun 2024</t>
  </si>
  <si>
    <t>09 Jun 2024</t>
  </si>
  <si>
    <t>15 Oct 2024, 14:55</t>
  </si>
  <si>
    <t>7th Biennial International Conference Of The Association of Critical Heritage Studies (ACHS)</t>
  </si>
  <si>
    <t>Migrants reconstructing senses of belonging through embodies heritages: the Afro Movement in Santiago de Chile, 2015-2023”</t>
  </si>
  <si>
    <t>Joseph Gómez Villar (Adjunct Researcher)</t>
  </si>
  <si>
    <t>28 Oct 2024, 10:00</t>
  </si>
  <si>
    <t>29 May 2024</t>
  </si>
  <si>
    <t>Seminario Permanente “Usos sociales y políticos de los derechos humanos en América latina</t>
  </si>
  <si>
    <t xml:space="preserve"> La diferencia cultural al estrado.  Reflexiones en torno a experiencias de pericias antropológicas en el sur de Chile y en la Corte Interamericana de Derechos Humanos</t>
  </si>
  <si>
    <t>23 May 2024</t>
  </si>
  <si>
    <t>04 Nov 2024, 14:48</t>
  </si>
  <si>
    <t>XII NOLAN CONFERENCE/ II FIEALC FORUM</t>
  </si>
  <si>
    <t>The haunted house and the presidential residency: fear of crime, hopes of social mobility and the unfulfilled promises of democracy</t>
  </si>
  <si>
    <t>21 May 2024</t>
  </si>
  <si>
    <t>14 Oct 2024, 19:20</t>
  </si>
  <si>
    <t xml:space="preserve">Diálogos Críticos con la Herencia Cultural </t>
  </si>
  <si>
    <t>Patrimonios de la Negritud y la afrodescendencia migrante en Chile</t>
  </si>
  <si>
    <t>16 May 2024</t>
  </si>
  <si>
    <t>28 Oct 2024, 11:23</t>
  </si>
  <si>
    <t>Seminário Políticas da Reprodução II: perspectivas latino-americanas</t>
  </si>
  <si>
    <t>Silêncios e silencamientos diante dos rostos do Estado: O caso das mulheres com filhos pequenos en Santiago</t>
  </si>
  <si>
    <t>23 Apr 2024</t>
  </si>
  <si>
    <t>15 Oct 2024, 14:31</t>
  </si>
  <si>
    <t>Convesatorio</t>
  </si>
  <si>
    <t>Poetry, Democracy, Hope Part II</t>
  </si>
  <si>
    <t xml:space="preserve">Zurita, Raúl </t>
  </si>
  <si>
    <t>12 Apr 2024</t>
  </si>
  <si>
    <t>28 Oct 2024, 10:10</t>
  </si>
  <si>
    <t>VII CONGRESO ALA</t>
  </si>
  <si>
    <t>Resistencias silenciosas: indagando intimidades de mujeres madres en Santiago</t>
  </si>
  <si>
    <t>Constanza Tizzoni</t>
  </si>
  <si>
    <t>11 Mar 2024</t>
  </si>
  <si>
    <t>15 Mar 2024</t>
  </si>
  <si>
    <t>07 May 2024, 23:37</t>
  </si>
  <si>
    <t>The Thirteenth Annual Dimensions of Political Ecology Conference February 23 – 24, 2024</t>
  </si>
  <si>
    <t>Assessing Water Extraction Impacts on Atacama Desert's Bofedales: A Critical Physical Geography Study</t>
  </si>
  <si>
    <t>Manuel Prieto (Adjunct Researcher)</t>
  </si>
  <si>
    <t>22 Feb 2024</t>
  </si>
  <si>
    <t>24 Feb 2024</t>
  </si>
  <si>
    <t>07 May 2024, 13:39</t>
  </si>
  <si>
    <t>Congreso VI CEIBA</t>
  </si>
  <si>
    <t>El Niño de Sotaqui</t>
  </si>
  <si>
    <t>14 Feb 2024</t>
  </si>
  <si>
    <t>16 Feb 2024</t>
  </si>
  <si>
    <t>28 Oct 2024, 00:07</t>
  </si>
  <si>
    <t>Indigenous Histories Course</t>
  </si>
  <si>
    <t>igital Humanities and Mapuche Histories</t>
  </si>
  <si>
    <t>Allison Boise Ramay (Adjunct Researcher)</t>
  </si>
  <si>
    <t>Stephen E. Lewis.</t>
  </si>
  <si>
    <t>27 Oct 2024, 23:54</t>
  </si>
  <si>
    <t>New Approaches and Synergies in Nordic Latin-American Studies: Applying Area Studies in a Multipolar World</t>
  </si>
  <si>
    <t>Violence and Democracy: Ethnography of fear, crime and civility</t>
  </si>
  <si>
    <t>25 Jan 2024</t>
  </si>
  <si>
    <t>26 Jan 2024</t>
  </si>
  <si>
    <t>14 Oct 2024, 19:38</t>
  </si>
  <si>
    <t xml:space="preserve"> La irrupción del turismo </t>
  </si>
  <si>
    <t>Transformaciones territoriales, disputas políticas y nuevas infraestructuras en contextos indígenas e interculturales en Chile</t>
  </si>
  <si>
    <t>Luis Eugenio Campos Muñoz (Principal Researcher); Francisca Antonia De La Maza Cabrera (Principal Researcher)</t>
  </si>
  <si>
    <t>23 Jan 2024</t>
  </si>
  <si>
    <t>28 Oct 2024, 10:51</t>
  </si>
  <si>
    <t>Congreso Pasado</t>
  </si>
  <si>
    <t>Cantos prehispánicos, mayas, nahuas y quechuas: eco poéticas alter-nativas</t>
  </si>
  <si>
    <t>17 Jan 2024</t>
  </si>
  <si>
    <t>18 Jan 2024</t>
  </si>
  <si>
    <t>28 Oct 2024, 11:34</t>
  </si>
  <si>
    <t>Congreso Pasado, Universidad Alberto Hurtado</t>
  </si>
  <si>
    <t>21 Apr 2024, 18:45</t>
  </si>
  <si>
    <t>American Historical Association (AHA)</t>
  </si>
  <si>
    <t>Whose Sovereignty? Mapuche Women’s Participation in the Feminist and Indigenous Movements</t>
  </si>
  <si>
    <t>06 Jan 2024</t>
  </si>
  <si>
    <t>27 Oct 2024, 23:59</t>
  </si>
  <si>
    <t>José Tomás Ibarra Eliessetch (Adjunct Researcher)</t>
  </si>
  <si>
    <t>15 Nov 2023</t>
  </si>
  <si>
    <t>26 Apr 2023</t>
  </si>
  <si>
    <t>Online</t>
  </si>
  <si>
    <t>Guatemala</t>
  </si>
  <si>
    <t>Suecia</t>
  </si>
  <si>
    <t>Noruega</t>
  </si>
  <si>
    <t>-</t>
  </si>
  <si>
    <t>Rep. Dominicana</t>
  </si>
  <si>
    <t>15110009</t>
  </si>
  <si>
    <t>XXX Congreso de la Sociedad de Ecología de Chile</t>
  </si>
  <si>
    <t>Cambio climático y disrupción de ciclos ecológicos en bosques subantárticos</t>
  </si>
  <si>
    <t>Raul Valenzuela (Adjunct Researcher)</t>
  </si>
  <si>
    <t>Claudio Álvarez, Juan Carlos Aravena, Roberto Chávez, Álvaro Gutiérrez</t>
  </si>
  <si>
    <t>05 Nov 2024</t>
  </si>
  <si>
    <t>08 Nov 2024</t>
  </si>
  <si>
    <t>Water availability and extremes</t>
  </si>
  <si>
    <t>31 Oct 2024, 19:12</t>
  </si>
  <si>
    <t>7° Congreso de Oceanografía Física, Meteorología y Clima del Pacifico Sur Oriental</t>
  </si>
  <si>
    <t>CONDICIONES SINÓPTICAS ASOCIADAS A ANILLOS DE CONGELAMIENTO EN ARAUCARIA ARAUCANA EN LA LADERA OCCIDENTAL DE LA CORDILLERA DE LOS ANDES</t>
  </si>
  <si>
    <t>María Estrella Alcamán Arias (Adjunct Researcher)</t>
  </si>
  <si>
    <t>Tomás Muñoz-Salazar, Carlos LeQuesne, Moisés Rojas-Badilla, Tania Gipoulou-Zuñiga, Manuel Suazo-Álvarez, Álvaro González-Reyes, Martín Jacques-Coper, Juan Quintana</t>
  </si>
  <si>
    <t>06 Nov 2024</t>
  </si>
  <si>
    <t>sexto Congreso Interdisciplinario de Investigación en Educación (CIIE).</t>
  </si>
  <si>
    <t>Panel Investigación Educativa y Sostenibilidad en Respuesta a la Crisis Socio climática: Perspectivas desde la Ciencia a la Educación</t>
  </si>
  <si>
    <t>Pamela Elisa Smith Guerra (Adjunct Researcher)</t>
  </si>
  <si>
    <t>23 Oct 2024</t>
  </si>
  <si>
    <t>24 Oct 2024</t>
  </si>
  <si>
    <t>Cities in a changing climate</t>
  </si>
  <si>
    <t>11th International Symposium on Atmospheric Sciences</t>
  </si>
  <si>
    <t>Drougths and Giants</t>
  </si>
  <si>
    <t>Fabrice Lambert (Adjunct Researcher)</t>
  </si>
  <si>
    <t>22 Oct 2024</t>
  </si>
  <si>
    <t>25 Oct 2024</t>
  </si>
  <si>
    <t>IX CONGRESO CHILENO DE CIENCIAS FORESTALES</t>
  </si>
  <si>
    <t>Reconstrucción del régimen de fuego en los bosques de Araucaria-Nothofagus de la cordillera de Nahuelbuta</t>
  </si>
  <si>
    <t>Marco Billi (Adjunct Researcher)</t>
  </si>
  <si>
    <t>A Muñoz, ME Solari, F Solari, C Rodriguez, T Riquelme, M Montiel</t>
  </si>
  <si>
    <t>26 Oct 2024</t>
  </si>
  <si>
    <t>Land use change</t>
  </si>
  <si>
    <t>IX Congreso Chileno de Ciencias Forestales</t>
  </si>
  <si>
    <t>Cambio climático y disrupción de ciclos ecológicos en los bosques subantárticos.</t>
  </si>
  <si>
    <t>Duncan Andres Christie Browne (Principal Researcher)</t>
  </si>
  <si>
    <t>21 Oct 2024</t>
  </si>
  <si>
    <t>Respuesta del crecimiento radial al clima y resiliencia a la sequía en tres especies de Nothofagus ubicadas en sus límites de distribución altitudinales en bosques de la Patagonia norte</t>
  </si>
  <si>
    <t>Claudio Álvarez, Álvaro González-Reyes, Thomas T. Veblen, Carlos LeQuesne, Felipe Flores, Moisés Rojas-Badilla, Tania Gipoulou-Zúñiga, Diego Aliste, Vicente Rozas.</t>
  </si>
  <si>
    <t>Respuestas del crecimiento radial y de la eficiencia intrínseca en el uso del agua mediante isótopos estables a factores ambientales en bosques de altura del desierto de Atacama</t>
  </si>
  <si>
    <t>Felipe Flores-Sáez, Ariel Muñoz, Claudio Álvarez, Antonio Maldonado, Paul Szejner</t>
  </si>
  <si>
    <t>Respuesta del crecimiento radial de Aristotelia chilensis a la variabilidad climática en un bosque secundario de Valdivia</t>
  </si>
  <si>
    <t>Sharp-Riffo, K., LeQuesne, C., Rojas_Badilla, M., Alvarez, C., Flores, F.</t>
  </si>
  <si>
    <t>Análisis dendroecológico de los remotos bosques endémicos de Nothomyrcia fernandeziana de la isla Robinson Crusoe en el Pacífico Sudeste</t>
  </si>
  <si>
    <t>Pamela Almonacid, Moisés Rojas-Badilla, Carlos LeQuesne, Tomás Muñoz-Salazar, Duncan Christie</t>
  </si>
  <si>
    <t>Reconstrucción de la altitud de la isoterma 0°C en Patagonia Norte desde el año 1141 usando anillos de árboles</t>
  </si>
  <si>
    <t>Suazo, M., Fernández, A., Muñoz, A., González-Reyes, A., Jacques, M., Hadad, M., LeQuesne, C., Mundo, I., Villalba, R.</t>
  </si>
  <si>
    <t>Patrones de crecimiento y sensibilidad a la variabilidad climática y ambiental en cronologías de ancho de anillos de Austrocedrus chilensis en laderas de exposición norte y sur en los Andes del Maule</t>
  </si>
  <si>
    <t>Gabriela Alejandra Azócar de la Cruz (Adjunct Researcher)</t>
  </si>
  <si>
    <t>Antonia Mondion Solar, Roberto Chávez Oyanedel, Moises Rojas Badilla, Carlos LeQuesne Geier, Ignacio López Acevedo, Gabriel Castro Barrientos</t>
  </si>
  <si>
    <t>XLIV CONGRESO NACIONAL Y XXIX INTERNACIONAL DE GEOGRAFÍA</t>
  </si>
  <si>
    <t>¿Qué nos depara el antropoceno urbano? evaluación de su efecto sobre el comportamiento en el clima actual y futuro en Chile</t>
  </si>
  <si>
    <t>Mauricio Humberto Galleguillos Torres (Adjunct Researcher)</t>
  </si>
  <si>
    <t>Felipe Thomas, Alejandra Tapia</t>
  </si>
  <si>
    <t>14 Oct 2024</t>
  </si>
  <si>
    <t>18 Oct 2024</t>
  </si>
  <si>
    <t>2° Encuentro - Workshop de la Sociedad Chilena de Geomorfología</t>
  </si>
  <si>
    <t>Reconstrucción de glaciares en el límite occidental del Altiplano (18.5°-19°S): singularidades y perspectivas sobre potenciales impulsores de avances pasados</t>
  </si>
  <si>
    <t>Eugenia Monserrat Gayo Hernandez (Adjunct Researcher)</t>
  </si>
  <si>
    <t>Gallardo, M., Otto, J-C, Sitzia, L.</t>
  </si>
  <si>
    <t>01 Oct 2024</t>
  </si>
  <si>
    <t>04 Oct 2024</t>
  </si>
  <si>
    <t>Andean Dust from Sources to Sinks (A-dust) Workshop</t>
  </si>
  <si>
    <t>Effect of Patagonian Ice Sheet Height on South American Climate during the LGM</t>
  </si>
  <si>
    <t>Fabián Riquelme, Álvaro Gómez, Nicolás Cosentino, JiangZhu, Esteban Sagredo, María José Puentes</t>
  </si>
  <si>
    <t>09 Sep 2024</t>
  </si>
  <si>
    <t>10 Sep 2024</t>
  </si>
  <si>
    <t>Cloud Permiting Climate Simultions</t>
  </si>
  <si>
    <t>If I were a modeler....</t>
  </si>
  <si>
    <t>René Dario Garreaud Salazar (Principal Researcher)</t>
  </si>
  <si>
    <t>03 Sep 2024</t>
  </si>
  <si>
    <t>05 Sep 2024</t>
  </si>
  <si>
    <t>I Simposio de la Sociedad Chilena de Ciencias del Cuaternario</t>
  </si>
  <si>
    <t>Respuestas del crecimiento radial y de la eficiencia intrínseca en el uso del agua mediante isótopos estables a factores ambientales en bosques de altura del Desierto de Atacama.</t>
  </si>
  <si>
    <t>Flores, F., Muñoz, A., Alvarez, C., Maldonado, A., Szejner, P.</t>
  </si>
  <si>
    <t>28 Aug 2024</t>
  </si>
  <si>
    <t>30 Aug 2024</t>
  </si>
  <si>
    <t>Paulina Aldunce (Adjunct Researcher)</t>
  </si>
  <si>
    <t>Primer Simposio Sociedad Chilena de Ciencias del Cuaternario. Del Hielo al Desierto: Investigaciones del periodo Cuaternario en Chile</t>
  </si>
  <si>
    <t>36th Annual Conference of the International Society for Environmental Epidemiology</t>
  </si>
  <si>
    <t>Residential wood burning in Southern Chile: a perinatal health study in Temuco</t>
  </si>
  <si>
    <t>Estela Blanco (Adjunct Researcher)</t>
  </si>
  <si>
    <t>Quinteros ME, Ruiz-Rudolph P</t>
  </si>
  <si>
    <t>26 Aug 2024</t>
  </si>
  <si>
    <t>35th International Geographical Congrees, IGC.</t>
  </si>
  <si>
    <t>Urban climate simulation model to support climate sensitive planning decisions in a mediterranean city</t>
  </si>
  <si>
    <t>25 Aug 2024</t>
  </si>
  <si>
    <t>Primer Congreso Hábitat y Salud UAndes</t>
  </si>
  <si>
    <t>Exposición a temperaturas extremas durante el embarazo y efectos sobre el peso al nacer:  Chile, 2011 – 2020.</t>
  </si>
  <si>
    <t>José Daniel Conejeros, Paulo Guiñez, María Isabel Matute, Sofía Madariaga, Paola Rubilar, Raquel Jiménez</t>
  </si>
  <si>
    <t>23 Aug 2024</t>
  </si>
  <si>
    <t>Climate Pan American Conference</t>
  </si>
  <si>
    <t>The new fire regime in Chile</t>
  </si>
  <si>
    <t>Primer Congreso de la Red Latinoamericana de Sistemas Sociales y Complejidad (RELASSC)</t>
  </si>
  <si>
    <t>Construcción del riesgo en sistemas socioecológicos</t>
  </si>
  <si>
    <t>Deniz Bozkurt (Adjunct Researcher)</t>
  </si>
  <si>
    <t>Governance and science-policy interface</t>
  </si>
  <si>
    <t>SCAR Open Science Conference 2024</t>
  </si>
  <si>
    <t>Extreme compound events triggered by an atmospheric river in the Antarctic Peninsula during mid-austral winter 2023: Observational evidence and climatic implications</t>
  </si>
  <si>
    <t>Jorge F. Carrasco, Raúl R. Cordero, Francisco Fernandoy, Álvaro G. Gómez, Benjamín Carrillo, Bin Guan</t>
  </si>
  <si>
    <t>Coastal zones</t>
  </si>
  <si>
    <t>Cooling the coldest continent: The 4 December 2021 Total Solar Eclipse over Antarctica</t>
  </si>
  <si>
    <t>René Garreaud</t>
  </si>
  <si>
    <t>High spatio-temporal reconstruction of snow cover variability in Chilean southern Patagonia</t>
  </si>
  <si>
    <t>Francisco Aguirre, Jorge Carrasco, Tobias Sauter, Christoph Schneider, Christie Vera, Ricardo Jaña, Gino Casassa</t>
  </si>
  <si>
    <t>Synoptic Analysis of Weather Patterns, Trends, Extreme Events, and Cryosphere Impacts in Southern South America</t>
  </si>
  <si>
    <t>Pablo Andrade, Jorge Arévalo, Diana Pozo, Julio Marín, Ana María Córdova</t>
  </si>
  <si>
    <t>Impacts of Cyclonic Systems on Meteorology and Glaciology of the South Shetland Islands’ Glaciers in the Northern Antarctic Peninsula</t>
  </si>
  <si>
    <t>Christian Torres, Michael Mat?jka, Kamil Láska, Ricardo Jaña, Jorge Arigony-Neto</t>
  </si>
  <si>
    <t>Congreso RELASSC</t>
  </si>
  <si>
    <t>Reframing climate governance as third-order couplings: exploring methodological approaches for assessing governance and its tipping points in territorial systems</t>
  </si>
  <si>
    <t>Gabriel Barrantes, Bernardo Reyes, Paz Orellana, Cristina Zurbriggen</t>
  </si>
  <si>
    <t>Cities in a changing climate; Governance and science-policy interface</t>
  </si>
  <si>
    <t>Imaginarios sobre la agroecología, la soberanía y la seguridad alimentaria en actores de la Región Metropolitana: desafíos y oportunidades para pensar los procesos de transición desde una perspectiva sistémica</t>
  </si>
  <si>
    <t>Valentina Barrera, Constanza Jimenez, Sebastian Palma, Juan Carlos Varela</t>
  </si>
  <si>
    <t>19th International Symposium on Microbial Ecology (ISME19).</t>
  </si>
  <si>
    <t>Ecological Patterns and Adaptations of Virioplankton Communities in Cold Marine Environments</t>
  </si>
  <si>
    <t>Juan Pablo Boisier (Adjunct Researcher); René Dario Garreaud Salazar (Principal Researcher)</t>
  </si>
  <si>
    <t>19th International Symposium on Microbial Ecology</t>
  </si>
  <si>
    <t>Mauro Esteban González Cangas (Adjunct Researcher)</t>
  </si>
  <si>
    <t>Ignacio Ramos-Tapia, Gastón Higuera, Roberto Bastías, Carlos Manzano, Juan Ugalde, Zoë Fleming, Camilo Rodriguez</t>
  </si>
  <si>
    <t>XXVI Jornadas de Derecho y Gestión de Aguas UC “Colaboración y Articulación para la Seguridad Hídrica”</t>
  </si>
  <si>
    <t>Seguridad hídrica en Chile: Caracterización y perspectivas de futuro</t>
  </si>
  <si>
    <t>07 Aug 2024</t>
  </si>
  <si>
    <t>08 Aug 2024</t>
  </si>
  <si>
    <t>Water availability and extremes; Land use change; Governance and science-policy interface</t>
  </si>
  <si>
    <t>Congreso IEI</t>
  </si>
  <si>
    <t>Metálogo como herramienta de colaboración transdisciplinariaAprendizajes y desafíos de su aplicación. Co-construyendo metagobernanza en Aconcagua/Valparaíso, Chile</t>
  </si>
  <si>
    <t>Catalina Amigo, Ninoska Araya, Julio Labraña, Tamara Oyarzún, Anahí Urquiza</t>
  </si>
  <si>
    <t>Comunicación pública de la ciencia con pertinencia territorialReflexiones sobre dos experiencias de co-construcción de conocimientos para la adaptación climática</t>
  </si>
  <si>
    <t>Antoine Maillet (Adjunct Researcher)</t>
  </si>
  <si>
    <t>Catalina Amigo, Roxana Bórquez, Marcela Cuevas, Cristián Escobar, Matías Fleischmann, Rodrigo Fuster, Íñigo Irarrázaval, Javiera Rauld, Katherinne Silva, Anahí Urquiza, Hilda Moya, José Miguel Valdés</t>
  </si>
  <si>
    <t>TOAR-II SC and Assessment Coordinating Lead Authors</t>
  </si>
  <si>
    <t>Regional assessment of tropospheric ozone over South America</t>
  </si>
  <si>
    <t>Beatriz Eugenia Diez Moreno (Adjunct Researcher)</t>
  </si>
  <si>
    <t>22 Jul 2024</t>
  </si>
  <si>
    <t>24 Jul 2024</t>
  </si>
  <si>
    <t>EASST-4S 2024 Amsterdam: Making and Doing Transformations</t>
  </si>
  <si>
    <t>Damaged ecologies and unexpected enemies: a dramatic tale on black-neck swans, sea lions and experts in southern Chile.</t>
  </si>
  <si>
    <t>Iriarte, P.</t>
  </si>
  <si>
    <t>16 Jul 2024</t>
  </si>
  <si>
    <t>19 Jul 2024</t>
  </si>
  <si>
    <t>2024 International SWAT Conference</t>
  </si>
  <si>
    <t>Evaluation of soil clustering techniques to characterise hydrological soil processes at the catchment scale with SWAT+</t>
  </si>
  <si>
    <t>Mauricio Zambrano-Bigiarini (Adjunct Researcher)</t>
  </si>
  <si>
    <t>Fernando Gimeno, Mauricio Galleguillos, Rodrigo Marinao</t>
  </si>
  <si>
    <t>10 Jul 2024</t>
  </si>
  <si>
    <t>12 Jul 2024</t>
  </si>
  <si>
    <t>Environmental and Climate Mobility Network Conference 2024</t>
  </si>
  <si>
    <t>Environmental im/mobilities, knowledge production and epistemic climate mobility justice</t>
  </si>
  <si>
    <t>09 Jul 2024</t>
  </si>
  <si>
    <t>Invited Talk - Desert Research Institute</t>
  </si>
  <si>
    <t>08 Jul 2024</t>
  </si>
  <si>
    <t>2024 SLAS Conference</t>
  </si>
  <si>
    <t>Climate change, (im)mobilities and struggles for justice in Latin America</t>
  </si>
  <si>
    <t>Gustavo Emilio Blanco Wells (Adjunct Researcher)</t>
  </si>
  <si>
    <t>01 Jul 2024</t>
  </si>
  <si>
    <t>03 Jul 2024</t>
  </si>
  <si>
    <t>CLIMATE CHANGE AND HUMAN (IM)MOBILITY: A GENDER PERSPECTIVE</t>
  </si>
  <si>
    <t>Gender in Climate (Im)mobility Governance:  Insights from Peru and Chile</t>
  </si>
  <si>
    <t>Astrid Morales Villalobos</t>
  </si>
  <si>
    <t>27 Jun 2024</t>
  </si>
  <si>
    <t>Sediment Cascades and Climate Change</t>
  </si>
  <si>
    <t>The effect of deglaciation on Andean sediment export</t>
  </si>
  <si>
    <t>Ian Delaney, Álvaro Ayala</t>
  </si>
  <si>
    <t>4th International Atmospheric River Conference</t>
  </si>
  <si>
    <t>Zonal and Tilted Atmospheric Rivers</t>
  </si>
  <si>
    <t>24 Jun 2024</t>
  </si>
  <si>
    <t>International Atmospheric Rivers Conference 2024</t>
  </si>
  <si>
    <t>Atmospheric river brings warmth and rainfall to the northern Antarctic Peninsula during the mid-austral winter of 2023</t>
  </si>
  <si>
    <t>Carrasco, J., Cordero, R., Fernandoy, F., Gómez, A., Carrillo, B., Guan, B.</t>
  </si>
  <si>
    <t>When Nature Collides: The 2023 Türkiye-Syria earthquake disaster exacerbated by an atmospheric river</t>
  </si>
  <si>
    <t>Tolga Görüma, Oliver Korupc, Erkan ?stanbulluo?lue, Ömer Lütfi ?ena, Abdüssamet Y?lmaza, Furkan Karabacaka, Luigi Lombardof, Bin Guang, H., Hakan Tanyasf</t>
  </si>
  <si>
    <t>XXVI IUFRO World Congress</t>
  </si>
  <si>
    <t>Old-growth Araucaria-Nothofagus forests in Northwest Patagonia: fire, management, and conservation</t>
  </si>
  <si>
    <t>Ariel Muñoz</t>
  </si>
  <si>
    <t>Landscape-wide loss of threatened temperate Nothofagus forests in the coastal range of central Chile: Synergism among fire, land use and climate change</t>
  </si>
  <si>
    <t>Mauricio Galleguillos, Javier Lopatin, Claudia Leal, Constanza Becerra-Rodas, Antonio Lara, Nicole Burger</t>
  </si>
  <si>
    <t>IUFRO 2024</t>
  </si>
  <si>
    <t>Impacts of native forest replacement by Pinus plantations on water consumption and groundwater recharge in a Mediterranean context</t>
  </si>
  <si>
    <t>Elizabeth Ramirez, Carlos Faundez, Oscar Seguel</t>
  </si>
  <si>
    <t>29 Jun 2024</t>
  </si>
  <si>
    <t>Society for Epidemiologic Research Annual Meeting</t>
  </si>
  <si>
    <t>Maternal and paternal characteristics: associations with adverse birth outcomes in Chile 1992-2020.</t>
  </si>
  <si>
    <t>Ana Karen Espinoza, W. Conor Rork, Paola Rubilar, Raquel Jiménez</t>
  </si>
  <si>
    <t>21 Jun 2024</t>
  </si>
  <si>
    <t>RSA24 Conference</t>
  </si>
  <si>
    <t>Regional approaches to climate change adaptation and governance: experiences from collaborative projects in the Americas, the case of Aconcagua, Chile</t>
  </si>
  <si>
    <t>11 Jun 2024</t>
  </si>
  <si>
    <t>14 Jun 2024</t>
  </si>
  <si>
    <t>POLLEN 24 - Hacia Futuros Plurales y Justos (Lima, Dodoma, Lund)</t>
  </si>
  <si>
    <t>Epistemic injustices in hegemonic narratives on Climate (Im)mobilities in Chile</t>
  </si>
  <si>
    <t>10 Jun 2024</t>
  </si>
  <si>
    <t>Invited Talk, American Meteorological Society, San Diego Chapter</t>
  </si>
  <si>
    <t>Eclipse Antarctico</t>
  </si>
  <si>
    <t>CW3E Annual Meeting</t>
  </si>
  <si>
    <t>CR2 versus CW3E</t>
  </si>
  <si>
    <t>Extinguir la imaginación: posibles contra - respuestas a futuros apocalípticos, distopías y mitos transicionales</t>
  </si>
  <si>
    <t>Los desafíos de la movilización en torno al hidrogeno “verde”. Un estudio de caso multisituado desde Magallanes, Chile”</t>
  </si>
  <si>
    <t>Valentina Cariaga</t>
  </si>
  <si>
    <t>18 May 2024</t>
  </si>
  <si>
    <t>Taller Latinoamericano de Opiniones Consultivas sobre Cambio Climático</t>
  </si>
  <si>
    <t>Cambio Climático Presente y Futuro y sus Consecuencias</t>
  </si>
  <si>
    <t>06 May 2024</t>
  </si>
  <si>
    <t>07 May 2024</t>
  </si>
  <si>
    <t>Sixteenth International Conference on Climate Change: Impacts &amp; Responses</t>
  </si>
  <si>
    <t>Are We Transforming to Face Droughts and Extreme Precipitations in a Changing Climate? Atacama and Aconcagua Valley, Chile</t>
  </si>
  <si>
    <t>Haverbeck, F., Quilaqueo, A.</t>
  </si>
  <si>
    <t>24 Apr 2024</t>
  </si>
  <si>
    <t>26 Apr 2024</t>
  </si>
  <si>
    <t>SAA 89th Annual Meeting</t>
  </si>
  <si>
    <t>Stable Isotopic Evidence for Camelid Mobility and Its Consequences for Early Hunter-Gatherer Settlement Patterns in the Hyperarid Core of the Atacama Desert, Chile</t>
  </si>
  <si>
    <t>Ugalde, P., Labarca-Encina, R., Quade J., Santoro, C.</t>
  </si>
  <si>
    <t>17 Apr 2024</t>
  </si>
  <si>
    <t>21 Apr 2024</t>
  </si>
  <si>
    <t>EGU General Assembly 2024</t>
  </si>
  <si>
    <t>Spatially-distributed Intensity-Duration-Frequency (IDF) curves for Chile using sub-daily gridded datasets</t>
  </si>
  <si>
    <t>Juan Pablo Boisier (Adjunct Researcher)</t>
  </si>
  <si>
    <t>Soto, Cristóbal, Tolorza, Violeta</t>
  </si>
  <si>
    <t>14 Apr 2024</t>
  </si>
  <si>
    <t>19 Apr 2024</t>
  </si>
  <si>
    <t>Deniz Bozkurt, Jorge F. Carrasco, Raul R. Cordero, Francisco Fernandoy, Alvaro Gómez, Benjamin Carillo, and Bin Guan</t>
  </si>
  <si>
    <t>Temporal Analysis of Large-Scale Winds in Austral Chile</t>
  </si>
  <si>
    <t>Ana Maria Cordova, Pablo Andrade, Diana Pozo, Jorge Arevalo</t>
  </si>
  <si>
    <t>The interplay of Atmospheric Rivers and topography on snowmelt induced landslides in Northern Anatolian Mountains (Türkiye)</t>
  </si>
  <si>
    <t>Harun Aslan, Tolga Gorum, Omer Lutfi Sen, Yasemin Ezber, Abdullah Akbas, Seckin Fidan</t>
  </si>
  <si>
    <t>Hyper-Resolution Wind Forecasting in Austral Chile combining WRF forecasting and Deep Learning techniques</t>
  </si>
  <si>
    <t>Jorge Arevalo, Andrés Ávila, Walter Gomez, Pablo Andrade, Diana Pozo, Deniz Bozkurt, Ruben Lagos, Francisco Alvial, and Ana María Cordova</t>
  </si>
  <si>
    <t>Seminario ""Importancia de los radares meteorológicos en el mundo"" Junta Vigilancia Río Huasco</t>
  </si>
  <si>
    <t>Medición de lluvia con radar meteorológico: usos en recursos hídricos y eventos extremos</t>
  </si>
  <si>
    <t>21 Mar 2024</t>
  </si>
  <si>
    <t>Escuela de Verano ""Riesgos de Desastres Naturales y Cambio Climático""</t>
  </si>
  <si>
    <t>Incendios forestales en Chile: Impactos socioambientales y desafíos clave</t>
  </si>
  <si>
    <t>Rodrigo José Seguel Albornoz (Adjunct Researcher)</t>
  </si>
  <si>
    <t>Paige Fischer, Gonzalo Saavedra</t>
  </si>
  <si>
    <t>Charla Invitada, DGEO-UdeC</t>
  </si>
  <si>
    <t>Megaincendios forestales en un clima cambiante</t>
  </si>
  <si>
    <t>08 Jan 2024</t>
  </si>
  <si>
    <t>28 Feb 2024, 13:28</t>
  </si>
  <si>
    <t>Roxana Elizabeth Bórquez González (Adjunct Researcher)</t>
  </si>
  <si>
    <t>Rene Garreaud Salazar (Principal Researcher)</t>
  </si>
  <si>
    <t>Rene Gareaud</t>
  </si>
  <si>
    <t>11 Dec 2023</t>
  </si>
  <si>
    <t>Congreso ICHA 2023 (International Conference on Harmful Algae)</t>
  </si>
  <si>
    <t>Perceptions and Preparedness of Local Coastal Communities Towards Harmful Algal Blooms in Chilean Patagonia: A Survey-Based Study</t>
  </si>
  <si>
    <t>SAPIAINS, R., AZÓCAR, G., BARREIRO, A., ROMERO, J., FRANGOPULOS, M</t>
  </si>
  <si>
    <t>05 Nov 2023</t>
  </si>
  <si>
    <t>10 Jan 2024</t>
  </si>
  <si>
    <t>Costa Rica</t>
  </si>
  <si>
    <t>28 Aug 2023</t>
  </si>
  <si>
    <t>Conferencia Incendios Forestales</t>
  </si>
  <si>
    <t>Mega Incendios forestales en un clima cambiante</t>
  </si>
  <si>
    <t>22 Aug 2023</t>
  </si>
  <si>
    <t>24 Jan 2024</t>
  </si>
  <si>
    <t>Encuentro Anual de Innovación de la Universidad de Chile</t>
  </si>
  <si>
    <t>Co-producción de conocimientos, los desafíos para la replicabilidad y escalabilidad de los proyectos</t>
  </si>
  <si>
    <t>10 Aug 2023</t>
  </si>
  <si>
    <t>11 Jan 2024</t>
  </si>
  <si>
    <t>Axel Esteban Osses Alvarado (Adjunct Researcher)</t>
  </si>
  <si>
    <t>02 May 2023</t>
  </si>
  <si>
    <t>X Encuentro CTS Chile. "Travesías, Maritorios y Territorios de la Ciencia y la Tecnología Austral. 10 años de CTS Chile".</t>
  </si>
  <si>
    <t>Ecologías de la reparación: experiencias más-que-humanas en el Río Cruces e Isla Riesco, sur de Chile</t>
  </si>
  <si>
    <t>28 Mar 2024</t>
  </si>
  <si>
    <t>EGU General Assembly</t>
  </si>
  <si>
    <t>01 Dec 2022</t>
  </si>
  <si>
    <t>Eslovaquia</t>
  </si>
  <si>
    <t>Kenia</t>
  </si>
  <si>
    <t>Rep. Checa</t>
  </si>
  <si>
    <t>15110019</t>
  </si>
  <si>
    <t>PEDES 2024</t>
  </si>
  <si>
    <t>Predictive Phase Shift Control of Interleaved Quadratic Buck Converter for DC Regulation of Green Hydrogen Electrolyze</t>
  </si>
  <si>
    <t>Samir Felipe Kouro Renaer (Principal Researcher)</t>
  </si>
  <si>
    <t>02 Dec 2024</t>
  </si>
  <si>
    <t>Power electronics and energy conversion</t>
  </si>
  <si>
    <t>13 Nov 2024, 12:04</t>
  </si>
  <si>
    <t>"Reconfigurable Type I and Type II buck-boost partial power converter for EV fast chargers"</t>
  </si>
  <si>
    <t>13 Nov 2024, 12:05</t>
  </si>
  <si>
    <t>2024 34th Australasian Universities Power Engineering Conference (AUPEC)</t>
  </si>
  <si>
    <t>MPC-Based Current and Local Cluster Balancing Controls for Low-Frequency AC Transmission Systems</t>
  </si>
  <si>
    <t>Javier Eduardo Pereda Torres (Adjunct Researcher)</t>
  </si>
  <si>
    <t>13 Nov 2024, 11:22</t>
  </si>
  <si>
    <t>The International Middle East Power Systems Conference (MEPCON)</t>
  </si>
  <si>
    <t>Egipto</t>
  </si>
  <si>
    <t>A step-up 15-Level multilevel inverter topology with self-balancing switched capacitors and higher boosting gain for renewable energy applications</t>
  </si>
  <si>
    <t>Mokhtar Aly (Postdoctoral Fellow)</t>
  </si>
  <si>
    <t>13 Nov 2024, 11:56</t>
  </si>
  <si>
    <t>Predictive Optimal Torque Control for Permanent-Magnet Synchronous Generators in Wind Turbine Systems</t>
  </si>
  <si>
    <t>13 Nov 2024, 11:57</t>
  </si>
  <si>
    <t>2023 IEEE CHILEAN Conference on Electrical, Electronics Engineering, Information and Communication Technologies (CHILECON)</t>
  </si>
  <si>
    <t>Modular Multilevel Series-Parallel Converter with Parallel-Connected Phases and Coupled Inductors for High-Current Applications</t>
  </si>
  <si>
    <t>Sebastián Andre Rivera Iunnissi (Adjunct Researcher)</t>
  </si>
  <si>
    <t>13 Nov 2024, 11:58</t>
  </si>
  <si>
    <t>Hexagonal Power Converter Based on Modular Multilevel Series Parallel Converter for Decoupled DC Terminals</t>
  </si>
  <si>
    <t>13 Nov 2024, 11:59</t>
  </si>
  <si>
    <t>XV Congreso Latino-Americano de Generación y Transmisión de Energía Eléctrica CLAGTEE 2024</t>
  </si>
  <si>
    <t>Identifying Extreme Wind Resource Scenarios for Power System Operation and Planning with High Renewable Energy Penetration</t>
  </si>
  <si>
    <t>Danny Alexander Espín Sarzosa (Adjunct Researcher)</t>
  </si>
  <si>
    <t>11 Nov 2024</t>
  </si>
  <si>
    <t>Energy systems</t>
  </si>
  <si>
    <t>12 Nov 2024, 18:27</t>
  </si>
  <si>
    <t>Assessing the Energy Impact of Carbon Footprint of AI Model Training: A Case Study Using GPU Servers</t>
  </si>
  <si>
    <t>12 Nov 2024, 18:29</t>
  </si>
  <si>
    <t>IECON 2024</t>
  </si>
  <si>
    <t>Interleaved Dual Buck Converters for Low-Carbon Hydrogen Production: Electrolyzer Current Control and Input Capacitors Voltage Balancing</t>
  </si>
  <si>
    <t>13 Nov 2024, 12:02</t>
  </si>
  <si>
    <t>Hybrid Fractional Order and Model Predictive Control Method for Single-Phase Five-Level T-type Inverter with LCL Filter</t>
  </si>
  <si>
    <t>Abraham Márquez (Postdoctoral Fellow)</t>
  </si>
  <si>
    <t>Feedback Linearization Control of Classical Second Order DC/DC Converters</t>
  </si>
  <si>
    <t>Carlos Alberto Restrepo Patiño (Adjunct Researcher)</t>
  </si>
  <si>
    <t>13 Nov 2024, 12:09</t>
  </si>
  <si>
    <t>Steady-state analysis of Dual Active Bridge converter in PPC ISOP configuration in a step-down PV aplication</t>
  </si>
  <si>
    <t>José Rubén Espinoza Castro (Adjunct Researcher)</t>
  </si>
  <si>
    <t>Control and industrial processes</t>
  </si>
  <si>
    <t>13 Nov 2024, 15:57</t>
  </si>
  <si>
    <t>Control Strategy for Even Power Distribution in Parallel Converters for Off-Grid Green Hydrogen</t>
  </si>
  <si>
    <t>13 Nov 2024, 16:08</t>
  </si>
  <si>
    <t>"Enhanced Model Predictive Control for Voltage Source Inverters in Photovoltaic Microgrids with Unbalanced Loads and Wide Frequency Ranges"</t>
  </si>
  <si>
    <t>13 Nov 2024, 16:09</t>
  </si>
  <si>
    <t>IECON24</t>
  </si>
  <si>
    <t>"Mitigation of Power Oscillations in a Quad Active Bridge with GHA-based modeling and Hepta-Phase-Shift Modulation"</t>
  </si>
  <si>
    <t>Felix Eduardo Rojas Lobos (Adjunct Researcher)</t>
  </si>
  <si>
    <t>13 Nov 2024, 16:13</t>
  </si>
  <si>
    <t>"Elimination of Low Frequency Power Oscillation in Triple Active Bridge with Optimal Penta-Phase-Shift Modulation"</t>
  </si>
  <si>
    <t>The 2024 Annual Conference of the IEEE Industrial Electronics Society (IECON) 2024</t>
  </si>
  <si>
    <t>A novel optimization of Torque performance using DTC strategy implemented in a 3L-NPC for induction machines</t>
  </si>
  <si>
    <t>13 Nov 2024, 11:15</t>
  </si>
  <si>
    <t>13 Nov 2024, 11:18</t>
  </si>
  <si>
    <t>Thermal Loss Analysis For Model Predictive Controlled Three-Level F-type Inverter</t>
  </si>
  <si>
    <t>13 Nov 2024, 11:19</t>
  </si>
  <si>
    <t>IECON 2024 – 51th Annual Conference of the IEEE Industrial Electronics Society</t>
  </si>
  <si>
    <t>Elimination of Low Frequency Power Oscillation in Triple Active Bridge with Optimal Penta-Phase-Shift Modulation</t>
  </si>
  <si>
    <t>13 Nov 2024, 11:24</t>
  </si>
  <si>
    <t>"4th IFAC Conference of Modelling, Identification and Control of Nonlinear Systems"</t>
  </si>
  <si>
    <t>An observer for solar concentrator fields based on multiple measurements</t>
  </si>
  <si>
    <t>Daniel Geronimo Sbarbaro Hofer (Adjunct Researcher)</t>
  </si>
  <si>
    <t>13 Nov 2024, 16:10</t>
  </si>
  <si>
    <t>Seminario de Postgrado de la Universidad Autónoma San Luis Potosí</t>
  </si>
  <si>
    <t>La electrónica de potencia al servicio de la producción de hidrógeno en sistemas off-grid de baja potencia: un caso de estudio</t>
  </si>
  <si>
    <t>13 Nov 2024, 15:56</t>
  </si>
  <si>
    <t>Efficiency analysis of charging profiles in electric vehicle fast charging stations</t>
  </si>
  <si>
    <t>13 Nov 2024, 10:28</t>
  </si>
  <si>
    <t>13 Nov 2024, 10:39</t>
  </si>
  <si>
    <t>2024 IEEE 34th Australasian Universities Power Engineering Conference (AUPEC)</t>
  </si>
  <si>
    <t>13 Nov 2024, 12:00</t>
  </si>
  <si>
    <t>I Jornadas de Ciencia de Materiales y Nanotecnología</t>
  </si>
  <si>
    <t>"“Diseño Computacional de Nuevos MOFs: Elucidación de Propiedades Electrónicas y Óptica"yo</t>
  </si>
  <si>
    <t>Yoan Hidalgo Rosa (Adjunct Researcher)</t>
  </si>
  <si>
    <t>Material science and solar resource assessment</t>
  </si>
  <si>
    <t>12 Nov 2024, 21:43</t>
  </si>
  <si>
    <t>Mesa intersectoria : Establecimientos Educacionales Región de Antofagasta</t>
  </si>
  <si>
    <t>La Educación Media Técnico Profesional frente a las transiciones de las industrias: energías renovables, inteligencia artificial y competencias para el futuro</t>
  </si>
  <si>
    <t>Edward Fuentealba Vidal (Principal Researcher)</t>
  </si>
  <si>
    <t>12 Nov 2024, 21:46</t>
  </si>
  <si>
    <t>9no Simposio de Ingeniería Aplicada 2024</t>
  </si>
  <si>
    <t>Producción de Hidrogeno Solar desde Salmueras Altiplánicas</t>
  </si>
  <si>
    <t>Felipe Marcelo Galleguillos Madrid (Adjunct Researcher)</t>
  </si>
  <si>
    <t>12 Nov 2024, 22:21</t>
  </si>
  <si>
    <t>IEEE IFAC Int. Conf. Ind. Autom. ACCA (ICA-ACCA) 2024</t>
  </si>
  <si>
    <t>On the Modeling of a Three-Level Flying Capacitor Buck DC-DC Converter based on Bond Graph and Port Hamiltonian System Approaches</t>
  </si>
  <si>
    <t>CHRISTIAN ALEXIS ROJAS MONRROY (Adjunct Researcher)</t>
  </si>
  <si>
    <t>13 Nov 2024, 11:27</t>
  </si>
  <si>
    <t>IEEE Southern Power Electronics Conference</t>
  </si>
  <si>
    <t>MPC Strategy Applied to Modular Multilevel Matrix Converters for Low-Frequency AC Transmission Systems</t>
  </si>
  <si>
    <t>13 Nov 2024, 11:26</t>
  </si>
  <si>
    <t>Model Predictive Control of a Dual Active Bridge: Real-Time HIL Validation with FPGA Modulator</t>
  </si>
  <si>
    <t>13 Nov 2024, 11:28</t>
  </si>
  <si>
    <t>ISIE24</t>
  </si>
  <si>
    <t>Corea del Sur</t>
  </si>
  <si>
    <t>Microgrid Secondary Control Design Based on Second-Order Sliding Mode Algorithm</t>
  </si>
  <si>
    <t>08 Oct 2024</t>
  </si>
  <si>
    <t>13 Nov 2024, 10:38</t>
  </si>
  <si>
    <t>Impact of charging profiles on cumulative semiconductor damage used in EV chargers</t>
  </si>
  <si>
    <t>07 Oct 2024</t>
  </si>
  <si>
    <t>13 Nov 2024, 10:42</t>
  </si>
  <si>
    <t>SolarPaces</t>
  </si>
  <si>
    <t>Standardization of Durability Tests and Life-time Estimation of Solar Reflectors</t>
  </si>
  <si>
    <t>Diego Pulido Iparraguirre (Adjunct Researcher)</t>
  </si>
  <si>
    <t>12 Nov 2024, 22:13</t>
  </si>
  <si>
    <t>XIX Congresso Ibérico e XV Congresso Ibero-americano de Energía Solar</t>
  </si>
  <si>
    <t>EVALUACIÓN DEL PROCESO DE SOLDADURA MIG/MAG DE ACERO 316L CON Y SIN OSCILACIÓN PARA SISTEMAS DE ALMACENAMIENTO TÉRMICO CON SALES FUNDIDAS</t>
  </si>
  <si>
    <t>Mauro Alexis Henríquez Heimpeller (Adjunct Researcher)</t>
  </si>
  <si>
    <t>Energy storage</t>
  </si>
  <si>
    <t>13 Nov 2024, 10:00</t>
  </si>
  <si>
    <t>SolarPACES 2024 Conference</t>
  </si>
  <si>
    <t>Hybrid CSP-PV System for Sustainable Energy in a Chilean Mine</t>
  </si>
  <si>
    <t>Frank Dinter (Principal Researcher)</t>
  </si>
  <si>
    <t>13 Nov 2024, 10:05</t>
  </si>
  <si>
    <t>SOLARPACES 2024</t>
  </si>
  <si>
    <t>Mechanisms of Welding Process for High Temperature Thermal Energy Storage Tanks for CSP</t>
  </si>
  <si>
    <t>13 Nov 2024, 10:08</t>
  </si>
  <si>
    <t>Solar PACES</t>
  </si>
  <si>
    <t>Design and experimental testing of a radial packed bed for thermal energy storage using copper slags as the storage medium</t>
  </si>
  <si>
    <t>José Miguel Cardemil Iglesias (Adjunct Researcher)</t>
  </si>
  <si>
    <t>13 Nov 2024, 10:09</t>
  </si>
  <si>
    <t>SolarPACES</t>
  </si>
  <si>
    <t>Assessing the variability of specific heat capacity on PBTES performance: probabilistic and thermal modelling</t>
  </si>
  <si>
    <t>13 Nov 2024, 10:10</t>
  </si>
  <si>
    <t>IEEE PES Innovative Smart Grid Technologies (ISGT) Europe 2024</t>
  </si>
  <si>
    <t>A Computational Platform to Assess the Integration of Renewable Distributed Generation in Chile</t>
  </si>
  <si>
    <t>Luis Daniel Gutiérrez Lagos (Adjunct Researcher)</t>
  </si>
  <si>
    <t>13 Nov 2024, 10:22</t>
  </si>
  <si>
    <t>IEEE ICA ACCA 2024</t>
  </si>
  <si>
    <t>Desafíos y Oportunidades para la Carbono Neutralidad en los Sistemas Eléctricos de Potencia</t>
  </si>
  <si>
    <t>rodrigo palma behnke (Director)</t>
  </si>
  <si>
    <t>13 Nov 2024, 16:14</t>
  </si>
  <si>
    <t>Numerical platform for the selection of zeotropic mixtures for Rankine cycles</t>
  </si>
  <si>
    <t>Rodrigo Sebastian Barraza Vicencio (Adjunct Researcher)</t>
  </si>
  <si>
    <t>Solar Water Treatment</t>
  </si>
  <si>
    <t>13 Nov 2024, 16:27</t>
  </si>
  <si>
    <t>30th Solar PACES</t>
  </si>
  <si>
    <t>Cellular automaton model for corrosion prediction in thermal storage systems with molten salts in CSP plants</t>
  </si>
  <si>
    <t>Marcelo Alfredo Cortés Carmona (Adjunct Researcher)</t>
  </si>
  <si>
    <t>13 Nov 2024, 16:36</t>
  </si>
  <si>
    <t>36 Congreso Latinoamericano de Química CLAQ 2024</t>
  </si>
  <si>
    <t>Assessment of Contaminants of Emerging Concern and antibiotic resistance genes in the Mapocho River (Chile): A Comprehensive Study on Water Quality and Municipal Wastewater Impact</t>
  </si>
  <si>
    <t>Ricardo Andrés Salazar González (Adjunct Researcher)</t>
  </si>
  <si>
    <t>12 Nov 2024, 18:01</t>
  </si>
  <si>
    <t>XXIX Congreso Iberoamericano de Catálisis</t>
  </si>
  <si>
    <t>SÍNTESIS CONTROLADA DE CeO2 CON DISTINTAS MORFOLOGÍAS COMO SOPORTE EN CATALIZADORES DE NÍQUEL PARA METANACIÓN DE CO2</t>
  </si>
  <si>
    <t>Francisco Javier Gracia Caroca (Adjunct Researcher)</t>
  </si>
  <si>
    <t>12 Nov 2024, 18:07</t>
  </si>
  <si>
    <t>SOLARIND</t>
  </si>
  <si>
    <t>Segunda Vida de Módulos Fotovoltaicos: Pruebas Técnicas y Posibles Aplicaciones</t>
  </si>
  <si>
    <t>Jorge Rabanal Arabach (Adjunct Researcher)</t>
  </si>
  <si>
    <t>12 Nov 2024, 21:54</t>
  </si>
  <si>
    <t>IEEE ICA - ACCA 2024</t>
  </si>
  <si>
    <t>Energy Management and Cost Operation Optimization Modeling Applied to an Off-grid DC Microgrid With Green Hydrogen Production</t>
  </si>
  <si>
    <t>13 Nov 2024, 12:07</t>
  </si>
  <si>
    <t>Digital current control based on passivity for the Versatile Buck-Boost converter</t>
  </si>
  <si>
    <t>13 Nov 2024, 12:08</t>
  </si>
  <si>
    <t>Grid Forming Control Applied to Isolated Hybrid DC Microgrid for Green Hydrogen Production</t>
  </si>
  <si>
    <t>ACCA 2024: 2024 IEEE INTERNATIONAL CONFERENCE ON AUTOMATION/XXVI CONGRESS OF THE CHILEAN ASSOCIATION OF AUTOMATIC CONTROL</t>
  </si>
  <si>
    <t>Optimization of Dual Inverter’s DC Voltages for Predictive Control of Permanent Magnet Synchronous Motor Drive</t>
  </si>
  <si>
    <t>Freddy Arturo Flores Bahamonde (Adjunct Researcher)</t>
  </si>
  <si>
    <t>13 Nov 2024, 12:12</t>
  </si>
  <si>
    <t>Encuentro de investigación, Energía, Agua y Sostenibilidad</t>
  </si>
  <si>
    <t>Desafíos de la Transición Energética en Chile</t>
  </si>
  <si>
    <t>13 Nov 2024, 16:16</t>
  </si>
  <si>
    <t>29th International Cryogenic Engineering Conference</t>
  </si>
  <si>
    <t>CFD modelling of the non-isobaric evaporation of cryogenic liquids in storage tanks</t>
  </si>
  <si>
    <t>Felipe Gesser Battisti (Adjunct Researcher)</t>
  </si>
  <si>
    <t>13 Nov 2024, 10:16</t>
  </si>
  <si>
    <t>The 2024 Annual Conference of the IEEE Industrial Electronics Society (IECON)</t>
  </si>
  <si>
    <t>A Simplified Non-Linear Active Disturbance Rejection Control for Electric Traction Drives</t>
  </si>
  <si>
    <t>13 Nov 2024, 10:34</t>
  </si>
  <si>
    <t>IEEE ICA - ACCA 2024: 2024 IEEE International Conference on Automation/XXVI Congress of the Chilean Association of Automatic Control</t>
  </si>
  <si>
    <t>13 Nov 2024, 11:52</t>
  </si>
  <si>
    <t>Adaptive Hybrid Backstepping Sliding Mode Controller Based Voltage and Current Control in Master-Slave Organized AC Smart Island</t>
  </si>
  <si>
    <t>13 Nov 2024, 11:53</t>
  </si>
  <si>
    <t>Finite Remote State Deadbeat Control of Grid-Tied Inverter for Leakage Current Reduction</t>
  </si>
  <si>
    <t>13 Nov 2024, 11:54</t>
  </si>
  <si>
    <t>Second-Order Model-Free Predictive Speed Control of PMSM Drives with Comparison of Cascaded and Non-Cascaded Speed Control Schemes</t>
  </si>
  <si>
    <t>13 Nov 2024, 11:55</t>
  </si>
  <si>
    <t>2024 IEEE INTERNATIONAL CONFERENCE ON AUTOMATION/XXVI CONGRESS OF THE CHILEAN ASSOCIATION OF AUTOMATIC CONTROL</t>
  </si>
  <si>
    <t>13 Nov 2024, 12:11</t>
  </si>
  <si>
    <t>13 Nov 2024, 12:13</t>
  </si>
  <si>
    <t>CIPOA - VI Iberoamerican Conference on Advanced Oxidation Technologies</t>
  </si>
  <si>
    <t>Development of glass surfaces with self-cleaning properties under visible light irradiation based on BiOI/TiO2 heterojunction</t>
  </si>
  <si>
    <t>David Rodrigo Contreras Pérez (Adjunct Researcher)</t>
  </si>
  <si>
    <t>12 Nov 2024, 18:10</t>
  </si>
  <si>
    <t>CIPOA – VI Iberoamerican Conference on Advanced Oxidation Technologies.</t>
  </si>
  <si>
    <t>Highly selective photocatalytic oxidation of veratryl alcohol by bandstructure modulation of Bi4Ti3O12 through heterojunctions</t>
  </si>
  <si>
    <t>04 Mar 2024</t>
  </si>
  <si>
    <t>12 Nov 2024, 18:12</t>
  </si>
  <si>
    <t>CIPOA – VI Iberoamerican Conference on Advanced Oxidation Technologies</t>
  </si>
  <si>
    <t>Study of Fenton Systems in Acetic Acid for the Oxidation of Bonds Between Phenylpropane Units in a Lignin Model</t>
  </si>
  <si>
    <t>12 Nov 2024, 18:13</t>
  </si>
  <si>
    <t>Fenton like System in a non-aqueous medium for oxidation of a lignin model molecules</t>
  </si>
  <si>
    <t>12 Nov 2024, 18:14</t>
  </si>
  <si>
    <t>Fenton reaction driven by tannic acid and their application in biofilm removal</t>
  </si>
  <si>
    <t>Fenton-Mediated Oxidative Depolymerization of Kraft Lignin: Understanding Reaction Mechanisms and Product Formation</t>
  </si>
  <si>
    <t>12 Nov 2024, 18:15</t>
  </si>
  <si>
    <t>Seminario Internacional en Energía Transactiva</t>
  </si>
  <si>
    <t>Situación actual de la energía distribuida en Chile</t>
  </si>
  <si>
    <t>13 Nov 2024, 16:17</t>
  </si>
  <si>
    <t>IEEE ICA – ACCA 2024</t>
  </si>
  <si>
    <t>Optimal sizing and allocation of Battery Energy Storage for improving voltage robustness</t>
  </si>
  <si>
    <t>Ricardo Javier Alvarez Malebrán (Adjunct Researcher)</t>
  </si>
  <si>
    <t>12 Nov 2024, 18:26</t>
  </si>
  <si>
    <t>XIX Encuentro de Quimica Inorganica</t>
  </si>
  <si>
    <t>Complejos Luminescentes de Eu3+ usados como down-shifting layer para mejorar eficiencia de celdas solares</t>
  </si>
  <si>
    <t>Jaime Alfonso Llanos Silva (Adjunct Researcher)</t>
  </si>
  <si>
    <t>12 Nov 2024, 22:12</t>
  </si>
  <si>
    <t>XVII cumbre mundial de empresa y educación "Innovación y mejora continua: Constantes para una educación transformadora"</t>
  </si>
  <si>
    <t>12 Nov 2024, 22:16</t>
  </si>
  <si>
    <t>SolarPACES 2024</t>
  </si>
  <si>
    <t>Aerosol Influence on Concentrating Solar Systems: Experience at Plataforma Solar de Almería</t>
  </si>
  <si>
    <t>AITOR MARZO (Adjunct Researcher)</t>
  </si>
  <si>
    <t>12 Nov 2024, 22:26</t>
  </si>
  <si>
    <t>Validation of Solar Extinction Model at Plataforma Solar de Almería</t>
  </si>
  <si>
    <t>12 Nov 2024, 22:27</t>
  </si>
  <si>
    <t>More Efficient Heliostat Fields for Solar Tower Plants: The HELIOSUN Project</t>
  </si>
  <si>
    <t>12 Nov 2024, 22:28</t>
  </si>
  <si>
    <t>IEEE IAS Annual Meeting 2024</t>
  </si>
  <si>
    <t>New requirements for mine electrical distribution systems in the energy transition of traction systems</t>
  </si>
  <si>
    <t>13 Nov 2024, 16:12</t>
  </si>
  <si>
    <t>"Oportunidades de Nexo Agua,  Energía y Alimentos en Chile Y Colombia"</t>
  </si>
  <si>
    <t>Carbono neutralidad e hidrógeno</t>
  </si>
  <si>
    <t>13 Nov 2024, 16:21</t>
  </si>
  <si>
    <t>Tecnologías de la Energía para un Futuro Sostenible</t>
  </si>
  <si>
    <t>Fenómenos de Transferencia de calor en sistemas de almacenamiento de energía de lecho empacado</t>
  </si>
  <si>
    <t>13 Nov 2024, 16:29</t>
  </si>
  <si>
    <t>Ecuador Technical Chapters Meeting 2024</t>
  </si>
  <si>
    <t>Impact of Modeling Photovoltaic Power Plants Operating in Grid Forming Mode on Small-Signal Stability of Power Systems</t>
  </si>
  <si>
    <t>13 Nov 2024, 16:35</t>
  </si>
  <si>
    <t>I Jornada de Ciencias de Materiales y Nanotecnología</t>
  </si>
  <si>
    <t>¡Qué Materiales son más Efectivos como electrodos en el Tratamiento de Aguas Residuales?</t>
  </si>
  <si>
    <t>12 Nov 2024, 17:56</t>
  </si>
  <si>
    <t>XXXIV Jornadas Chilenas de Química 2024</t>
  </si>
  <si>
    <t>ASSESSMENT OF FENTON REACTION DRIVEN BY TANNINS FROM PINE BARK</t>
  </si>
  <si>
    <t>12 Nov 2024, 18:03</t>
  </si>
  <si>
    <t>2024 IEEE ANDESCON</t>
  </si>
  <si>
    <t>On the Multivariable Control of a Three-Level Flying Capacitor Buck DC-DC Converter</t>
  </si>
  <si>
    <t>13 Nov 2024, 11:51</t>
  </si>
  <si>
    <t>2024 Pucon Symposium</t>
  </si>
  <si>
    <t>Exploring the potential of large language models</t>
  </si>
  <si>
    <t>Pablo Antonio Estevez Valencia (Adjunct Researcher)</t>
  </si>
  <si>
    <t>13 Nov 2024, 10:18</t>
  </si>
  <si>
    <t>Symposium on Ammonia Energy</t>
  </si>
  <si>
    <t>Ammonia-Methane Combustion on an Alumina Packed Bed Porous Media Reactor</t>
  </si>
  <si>
    <t>Mario Gonzalo Toledo Torres (Adjunct Researcher)</t>
  </si>
  <si>
    <t>13 Nov 2024, 16:33</t>
  </si>
  <si>
    <t>Analysis of the Impact of Multiple Truck Operation on Mining Trolley Systems</t>
  </si>
  <si>
    <t>13 Nov 2024, 16:11</t>
  </si>
  <si>
    <t>Series Sobre Redes Inteligentes - Smart Grids -</t>
  </si>
  <si>
    <t>13 Nov 2024, 16:19</t>
  </si>
  <si>
    <t>I Congreso Internacional. Docencia innovadora, sostenible e inclusiva en la era de la Inteligencia Artificial</t>
  </si>
  <si>
    <t>La utilidad de los cuestionarios de valoración de las actividades y salidas prácticas en las enseñanzas universitarias y educación secundaria</t>
  </si>
  <si>
    <t>02 Sep 2024</t>
  </si>
  <si>
    <t>12 Nov 2024, 21:52</t>
  </si>
  <si>
    <t>XXIX Congreso Iberoamericano de catálisis CICAT 2024</t>
  </si>
  <si>
    <t>Advancements in Fenton Chemistry: Enhancing Pollutant Degradation through the dihidroxybenzenes ligands</t>
  </si>
  <si>
    <t>12 Nov 2024, 18:09</t>
  </si>
  <si>
    <t>SOLARID 2024</t>
  </si>
  <si>
    <t>EFECTOS DE LAS CONDICIONES ATMOSFÉRICAS EN EL RENDIMIENTO DE TECNOLOGÍAS FV Y CSP EN EL DESIERTO DE ATACAMA</t>
  </si>
  <si>
    <t>Douglas Rodrigo Olivares Soza (Adjunct Researcher)</t>
  </si>
  <si>
    <t>12 Nov 2024, 21:48</t>
  </si>
  <si>
    <t>Symposium: Strategic Litigation on Climate Equality</t>
  </si>
  <si>
    <t>“Equity and Vulnerability in the Face of Climate Change: A Contribution from the Inter-American Court of Human Rights - New Standards?”</t>
  </si>
  <si>
    <t>Pilar Moraga Sariego (Adjunct Researcher)</t>
  </si>
  <si>
    <t>Sustainable development</t>
  </si>
  <si>
    <t>13 Nov 2024, 12:35</t>
  </si>
  <si>
    <t>XIII LIBS 2024 International Meeting &amp; II Latin American Meeting on Laser Induced Breakdown Spectroscopy</t>
  </si>
  <si>
    <t>3D Imaging of Sulphur-based minerals on irregular rocks by LIBS</t>
  </si>
  <si>
    <t>Jorge Carlos Yañez Solorza (Adjunct Researcher)</t>
  </si>
  <si>
    <t>12 Nov 2024, 18:19</t>
  </si>
  <si>
    <t>B-MRS Meeting</t>
  </si>
  <si>
    <t>"Graphene as transparent conductive electrode in silicon heterojunction solar cells"</t>
  </si>
  <si>
    <t>Valeria Isabel Del Campo Sfeir (Adjunct Researcher)</t>
  </si>
  <si>
    <t>12 Nov 2024, 21:53</t>
  </si>
  <si>
    <t>4° Encuentro de Áreas Protegidas y Comunidades Portal</t>
  </si>
  <si>
    <t>Información atingente para la toma de decisiones y vinculación con el medio</t>
  </si>
  <si>
    <t>13 Nov 2024, 12:36</t>
  </si>
  <si>
    <t>Social studies of energy and the making and unmaking of energy resources</t>
  </si>
  <si>
    <t>Anticipating Green Hydrogen Cleantech fairs, prototypes and the making of energy futures</t>
  </si>
  <si>
    <t>Tomas Andres Ariztia Larrain (Adjunct Researcher)</t>
  </si>
  <si>
    <t>13 Nov 2024, 12:37</t>
  </si>
  <si>
    <t>Lanzamiento Centro de Innovación Municipal de Energía y Electromovilidad de Frutillar</t>
  </si>
  <si>
    <t>Transición energética e innovación</t>
  </si>
  <si>
    <t>13 Nov 2024, 16:22</t>
  </si>
  <si>
    <t>Advanced LIBS applications for real-time analytical assessment in the copper mining industry</t>
  </si>
  <si>
    <t>12 Nov 2024, 18:17</t>
  </si>
  <si>
    <t>LIBS for mineralochemical characterization in the Chilean copper and petroleum industries</t>
  </si>
  <si>
    <t>12 Nov 2024, 18:18</t>
  </si>
  <si>
    <t>SAM-CONAMET 2024</t>
  </si>
  <si>
    <t>Análisis comparativo de celdas PEM en diferentes condiciones de operación</t>
  </si>
  <si>
    <t>Claudia Andrea Carrasco Carrasco (Adjunct Researcher)</t>
  </si>
  <si>
    <t>12 Aug 2024</t>
  </si>
  <si>
    <t>13 Nov 2024, 15:51</t>
  </si>
  <si>
    <t>UTS Workshop</t>
  </si>
  <si>
    <t>Advanced Modulation Techniques to Optimize the Operation of Power Converters</t>
  </si>
  <si>
    <t>13 Nov 2024, 11:25</t>
  </si>
  <si>
    <t>Model Predictive Control-Based Dual Input Split Source Inverter for PV Applications</t>
  </si>
  <si>
    <t>13 Nov 2024, 11:13</t>
  </si>
  <si>
    <t>IEEE Southern Power Electronics Conference (IEEE SPEC 2024)</t>
  </si>
  <si>
    <t>Instantaneous Circulating Current Reference Design Strategy for Inter-arm Power Imbalance Control in Delta-connected CHB Converters</t>
  </si>
  <si>
    <t>13 Nov 2024, 11:20</t>
  </si>
  <si>
    <t>Seminario Transición energética e innovación Universidad de Atacama</t>
  </si>
  <si>
    <t>13 Nov 2024, 16:23</t>
  </si>
  <si>
    <t>Conversion of caol-fired power plants using energy storage systems</t>
  </si>
  <si>
    <t>Pathways for repurposing coal power plants into storage systems using Carnot Batteries schemes</t>
  </si>
  <si>
    <t>13 Nov 2024, 10:02</t>
  </si>
  <si>
    <t>Hardware y herramientas computacionales aplicadas a la gestión/optimización de redes y microrredes con energías renovables</t>
  </si>
  <si>
    <t>Implementación HIL de convertidor modular multinivel para reutilizacion de baterías descartadas de electromovilidad</t>
  </si>
  <si>
    <t>Miguel Torres Lépez (Adjunct Researcher)</t>
  </si>
  <si>
    <t>13 Nov 2024, 15:50</t>
  </si>
  <si>
    <t>Síntesis libre de surfactantes y evaluación fotocatalítica de microesferas de BiOCl</t>
  </si>
  <si>
    <t>13 Nov 2024, 15:54</t>
  </si>
  <si>
    <t>Worshop Doctorado en energía solar</t>
  </si>
  <si>
    <t>Caracterización territorial y radiometría</t>
  </si>
  <si>
    <t>05 Aug 2024</t>
  </si>
  <si>
    <t>12 Nov 2024, 21:47</t>
  </si>
  <si>
    <t>the 7th Conference on the Physics og Optical Materials</t>
  </si>
  <si>
    <t>Yugoslavia</t>
  </si>
  <si>
    <t>Enhancing c-Si solar cells efficiency in the Uv region.Using Eu-complexes as Down-Shifting Layers (DSL)</t>
  </si>
  <si>
    <t>12 Nov 2024, 21:56</t>
  </si>
  <si>
    <t>INGENIERIA UMSS</t>
  </si>
  <si>
    <t>Desarrollo energético en el norte de Chile</t>
  </si>
  <si>
    <t>Abdiel Mallco Carpio (PhD Thesis)</t>
  </si>
  <si>
    <t>12 Nov 2024, 22:24</t>
  </si>
  <si>
    <t>Annual Meeting Society of Social Studies of Science (4S)</t>
  </si>
  <si>
    <t>Antillas Holandesas</t>
  </si>
  <si>
    <t>Anticipating Green Hydrogen: clean tech fairs and the making of energy futures.</t>
  </si>
  <si>
    <t>13 Nov 2024, 12:25</t>
  </si>
  <si>
    <t>32nd International Materials Research Congress (IMRC2024)</t>
  </si>
  <si>
    <t>Corrosion on CSP plants: electrochemical monitoring of stainless steel exposed to molten salt</t>
  </si>
  <si>
    <t>Fabiola Makarena Pineda Parra (Adjunct Researcher)</t>
  </si>
  <si>
    <t>13 Nov 2024, 10:03</t>
  </si>
  <si>
    <t>Optimization of solar photo-electro Fenton process for degradation of contaminants of emerging concern and disinfection of wastewater treatment plant effluents</t>
  </si>
  <si>
    <t>12 Nov 2024, 17:59</t>
  </si>
  <si>
    <t>Efectos de las condiciones atmosféricas en tecnologías CSP en el desierto de Atacama</t>
  </si>
  <si>
    <t>12 Nov 2024, 21:42</t>
  </si>
  <si>
    <t>2° WORKSHOP EN CIENCIAS E INGENIERÍA DE MATERIALES PARA APLICACIONES ENERGÉTICAS Y MEDIOAMBIENTALES</t>
  </si>
  <si>
    <t>Nanotecnología: Un camino para construir un mundo inteligente con energía verde y medio ambiente limpio</t>
  </si>
  <si>
    <t>12 Nov 2024, 17:55</t>
  </si>
  <si>
    <t>Conferencia "Extinguir la Imaginación"</t>
  </si>
  <si>
    <t>Hidrógeno Verde Un Nuevo Combustible para la transición energetica</t>
  </si>
  <si>
    <t>13 Nov 2024, 12:23</t>
  </si>
  <si>
    <t>International Combustion Symposium</t>
  </si>
  <si>
    <t>Stabilization of methane–hydrogen flames inside a divergent porous media reactor</t>
  </si>
  <si>
    <t>13 Nov 2024, 16:31</t>
  </si>
  <si>
    <t>III International E-Syposium on Sustainable Energy: Powering a clean future</t>
  </si>
  <si>
    <t>Two-dimensional (2D) Materials and Their Composites for Green Energy</t>
  </si>
  <si>
    <t>12 Nov 2024, 17:54</t>
  </si>
  <si>
    <t>IEEE PES General Meeting 2024</t>
  </si>
  <si>
    <t>Evolving Interconnection Procedures: The Chilean experience</t>
  </si>
  <si>
    <t>12 Nov 2024, 18:25</t>
  </si>
  <si>
    <t>FORO REGIONAL DE DIVULGACIÓN CIENTÍFICA: TRANSICIÓN Y SOSTENIBILIDAD ENERGÉTICA</t>
  </si>
  <si>
    <t>¿Cuál es el rol de la inversión en generación renovable y BESS en el desarrollo de un sistema eléctrico bajo en carbono e hidro-dependiente? - Caso de estudio Ecuador</t>
  </si>
  <si>
    <t>12 Nov 2024, 18:30</t>
  </si>
  <si>
    <t>Capitulo estudiantil IEEE Power and Energy Society (PES)</t>
  </si>
  <si>
    <t>Recuperación de H2 solar y energía azul desde salmueras de mar</t>
  </si>
  <si>
    <t>12 Nov 2024, 22:17</t>
  </si>
  <si>
    <t>Flame 2024</t>
  </si>
  <si>
    <t>Generalization of the test parameters and standards for the solar thermal cookers: Importance and usefulness</t>
  </si>
  <si>
    <t>Atul Sagade (Postdoctoral Fellow)</t>
  </si>
  <si>
    <t>13 Nov 2024, 10:04</t>
  </si>
  <si>
    <t>Decarbonization strategies: market design and computational tools</t>
  </si>
  <si>
    <t>13 Nov 2024, 16:26</t>
  </si>
  <si>
    <t>PREPARACIÓN DE FERRITAS METÁLICAS PARA LA REMOCIÓN DE SULFAMETOXAZOL EN AGUA</t>
  </si>
  <si>
    <t>12 Nov 2024, 17:58</t>
  </si>
  <si>
    <t>International Conference on Emerging Multifunctional Materials and Devices for Sustainable Technologies (IEMDST-2024)</t>
  </si>
  <si>
    <t>Synthesis of silver doped cerium dioxide for antimicrobial activity and an efficient azo dyes degradation under solar light excitation in the context of wastewater treatment</t>
  </si>
  <si>
    <t>Rekha Paiachappan (Postdoctoral Fellow)</t>
  </si>
  <si>
    <t>15 Jul 2024</t>
  </si>
  <si>
    <t>18 Jul 2024</t>
  </si>
  <si>
    <t>12 Nov 2024, 17:52</t>
  </si>
  <si>
    <t>4th International Conference on Smart Grid and Renewable Energy (SGRE)</t>
  </si>
  <si>
    <t>Qatar</t>
  </si>
  <si>
    <t>Stability Analysis of a Hybrid Distribution Transformer with a Series/Parallel Converter Connected to the Primary/Secondary Side</t>
  </si>
  <si>
    <t>Marcelo Alejandro Pérez Leiva (Adjunct Researcher)</t>
  </si>
  <si>
    <t>13 Nov 2024, 10:36</t>
  </si>
  <si>
    <t>X aniversario de la Facultad de Ingenieria Mecanica Electrica (UNAS)</t>
  </si>
  <si>
    <t>Mineria Solar</t>
  </si>
  <si>
    <t>12 Nov 2024, 22:15</t>
  </si>
  <si>
    <t>ExpoNor / Charla en el Stand de AHK Chile</t>
  </si>
  <si>
    <t>Descarbonización de la minería: luz, calor y transporte con energía limpia</t>
  </si>
  <si>
    <t>13 Nov 2024, 09:58</t>
  </si>
  <si>
    <t>I Jornada de Ciencia de Materiales y Nanotecnología</t>
  </si>
  <si>
    <t>"Exploring the Electronic and Photophysical Properties of Metalloporphyrin-based MOFs for Photocatalysis by means of Molecular Modelling"</t>
  </si>
  <si>
    <t>12 Nov 2024, 22:14</t>
  </si>
  <si>
    <t>Solarpaces2024</t>
  </si>
  <si>
    <t>17 Jun 2024</t>
  </si>
  <si>
    <t>13 Nov 2024, 10:01</t>
  </si>
  <si>
    <t>Argentinean Energy Week</t>
  </si>
  <si>
    <t>Descarbonización del Sector Calor en Argentina: Enfoque en Ciudades y Procesos Industriales</t>
  </si>
  <si>
    <t>13 Nov 2024, 09:57</t>
  </si>
  <si>
    <t>18th International Conference on Compatibility, Power Electronics and Power Engineering</t>
  </si>
  <si>
    <t>Integrated Model Predictive Control of Permanent Magnet Synchronous Motor Drive Fed by a 3-Phase Interleaved Boost Converter</t>
  </si>
  <si>
    <t>13 Nov 2024, 10:31</t>
  </si>
  <si>
    <t>"Using Model-Free Predictive Current Control in the Quadratic Buck Converter for more Efficient Data Centers"</t>
  </si>
  <si>
    <t>13 Nov 2024, 10:32</t>
  </si>
  <si>
    <t>"Reducing Calculation Time in Finite-Set Model Predictive Control of Open-End Winding Synchronous Reluctance Motors"</t>
  </si>
  <si>
    <t>13 Nov 2024, 10:33</t>
  </si>
  <si>
    <t>Colegio de Ingenieros de Perú - Consejo departamental de Lambayeque - Capitulo de Ingeniería Mecánica Eléctrica</t>
  </si>
  <si>
    <t>Hidrógeno Solar</t>
  </si>
  <si>
    <t>12 Nov 2024, 22:23</t>
  </si>
  <si>
    <t>I Congreso Internacional Docencia innovadora, sostenible e inclusiva en la era de la Inteligencia Artificial</t>
  </si>
  <si>
    <t>Didáctica de la planificación energética en Educación Secundaria: IA y SIG como herramientas para la toma de decisiones</t>
  </si>
  <si>
    <t>12 Nov 2024, 21:50</t>
  </si>
  <si>
    <t>CIES - Congreso Iberoamericano de Energía Solar</t>
  </si>
  <si>
    <t>Oportunidades para descarbonizar el suministro de calor industrial</t>
  </si>
  <si>
    <t>13 Nov 2024, 09:50</t>
  </si>
  <si>
    <t>Improved Sliding Mode Control Strategy Based on Photovoltaic- Energy Storage Virtual Synchronous Generator System</t>
  </si>
  <si>
    <t>13 Nov 2024, 10:37</t>
  </si>
  <si>
    <t>Operating Region of a Three-Phase UPQC Including Photovoltaic Power Injection</t>
  </si>
  <si>
    <t>13 Nov 2024, 15:58</t>
  </si>
  <si>
    <t>SolarIND</t>
  </si>
  <si>
    <t>Power-To-Heat - suministro de calor renovable</t>
  </si>
  <si>
    <t>13 Nov 2024, 09:51</t>
  </si>
  <si>
    <t>Forest and Indigenous land policies in Latin America: Lessons from the Chilean Experience – International Conference</t>
  </si>
  <si>
    <t>Forestación y mitigación del cambio climático: lecciones de Chile</t>
  </si>
  <si>
    <t>13 Nov 2024, 12:30</t>
  </si>
  <si>
    <t>"13th International Conference on Power Electronics, Machines and Drives (PEMD 2024), Nottingham, UK"</t>
  </si>
  <si>
    <t>“Interleaved dual buck converters with low current ripple for green hydrogen production”</t>
  </si>
  <si>
    <t>13 Nov 2024, 10:27</t>
  </si>
  <si>
    <t>13th International Conference on Power Electronics, Machines and Drives (PEMD 2024)</t>
  </si>
  <si>
    <t>Multi-objective sequential model predictive control for high-power railway induction motor application</t>
  </si>
  <si>
    <t>13 Nov 2024, 12:06</t>
  </si>
  <si>
    <t>45th IAEE International Conference</t>
  </si>
  <si>
    <t>Developers' perspective on barriers affecting distributed solar PV generations in Chile</t>
  </si>
  <si>
    <t>Claudio Agostini (Principal Researcher)</t>
  </si>
  <si>
    <t>13 Nov 2024, 12:16</t>
  </si>
  <si>
    <t>IAEE 45th INTERNATIONAL CONFERENCE ISTANBUL 2024</t>
  </si>
  <si>
    <t>LCOH in the Antofagasta Region</t>
  </si>
  <si>
    <t>Carlos Silva Montes (Adjunct Researcher)</t>
  </si>
  <si>
    <t>13 Nov 2024, 12:18</t>
  </si>
  <si>
    <t>Reuse of mining sites as pumped-storage systems</t>
  </si>
  <si>
    <t>13 Nov 2024, 12:19</t>
  </si>
  <si>
    <t>Assessing Consumer Behavior in The Adoption of Residential Solar PV Systems</t>
  </si>
  <si>
    <t>Shahriyar Nasirov (Adjunct Researcher)</t>
  </si>
  <si>
    <t>13 Nov 2024, 12:39</t>
  </si>
  <si>
    <t>2024 IEEE International Conference on Industrial Technology (ICIT)</t>
  </si>
  <si>
    <t>Implementation of a Predictive Control Strategy for a Multi-Drive System based on an Indirect Matrix Converter</t>
  </si>
  <si>
    <t>Marco Esteban Rivera Abarca (Adjunct Researcher)</t>
  </si>
  <si>
    <t>13 Nov 2024, 15:59</t>
  </si>
  <si>
    <t>Power Electronics, Machines and Drives 13th International Conference PEMD 2024</t>
  </si>
  <si>
    <t>Sensorless Model Predictive Direct Speed Control of an Induction Motor</t>
  </si>
  <si>
    <t>13 Nov 2024, 16:00</t>
  </si>
  <si>
    <t>Multi-Objective Sequential Model Predictive Control for High-Power Railway Induction Motor Application</t>
  </si>
  <si>
    <t>13 Nov 2024, 16:01</t>
  </si>
  <si>
    <t>Weighting Factor-Free Direct Speed Predictive Control with Improved Transient Performance</t>
  </si>
  <si>
    <t>Sequential Direct Speed Predictive Control Without Weighting Factors</t>
  </si>
  <si>
    <t>13 Nov 2024, 16:02</t>
  </si>
  <si>
    <t>Current Source Rectifier for High-Power Water Electrolysers: Analysis and Sizing</t>
  </si>
  <si>
    <t>13 Nov 2024, 16:03</t>
  </si>
  <si>
    <t>Novel Converter-Dynamic Voltage Restorer Integration to Mitigate Voltage Sags</t>
  </si>
  <si>
    <t>13 Nov 2024, 16:04</t>
  </si>
  <si>
    <t>Three-level Dc-dc Converter with Fuzzy Logic-based MPPT Controller for Photovoltaic Applications</t>
  </si>
  <si>
    <t>13 Nov 2024, 16:06</t>
  </si>
  <si>
    <t>2nd International Conference on Renewable Energies and Smart Technologies</t>
  </si>
  <si>
    <t>Serbia</t>
  </si>
  <si>
    <t>On the Impact of High-Power Grid-Connected Thyristor Rectifiers on the Efficiency of Hydrogen Electrolyzers</t>
  </si>
  <si>
    <t>Seminario de Concentración Solar</t>
  </si>
  <si>
    <t>Corrosion en materiales a alta temperatura en sales fundidas</t>
  </si>
  <si>
    <t>12 Nov 2024, 18:41</t>
  </si>
  <si>
    <t>07 Jun 2024</t>
  </si>
  <si>
    <t>12 Nov 2024, 21:40</t>
  </si>
  <si>
    <t>XVIII Symposium EPNC 2024</t>
  </si>
  <si>
    <t>Eslovenia</t>
  </si>
  <si>
    <t>Model-free of a DC-DC Boost Converter Based on the Inductor Current Averaging</t>
  </si>
  <si>
    <t>13 Nov 2024, 12:10</t>
  </si>
  <si>
    <t>Nuevas Tendencias en Investigación sobre Almacenamiento Energético</t>
  </si>
  <si>
    <t>Smart Management of Thermal Loads in Residential Microgrids with Peer-to-Peer Transactions</t>
  </si>
  <si>
    <t>Conmeracion 40 Años de Academia Jaime Llanos</t>
  </si>
  <si>
    <t>DE Estudiante a Docente e Investigador</t>
  </si>
  <si>
    <t>12 Nov 2024, 18:37</t>
  </si>
  <si>
    <t>Capitulo de ingeniería eléctrica</t>
  </si>
  <si>
    <t>efecto de las condiciones atmosféricas en el rendimiento de tecnologías FV y CSP en zonas desérticas</t>
  </si>
  <si>
    <t>12 Nov 2024, 21:41</t>
  </si>
  <si>
    <t>Solar Energy Week Chile</t>
  </si>
  <si>
    <t>Moderación del panel Developers Dialog</t>
  </si>
  <si>
    <t>13 Nov 2024, 09:59</t>
  </si>
  <si>
    <t>CIES 2024</t>
  </si>
  <si>
    <t>13 Nov 2024, 10:06</t>
  </si>
  <si>
    <t>Model-based Battery Thermal Parameter Optimization using Symbolic Regression</t>
  </si>
  <si>
    <t>13 Nov 2024, 10:19</t>
  </si>
  <si>
    <t>PEMD 2024</t>
  </si>
  <si>
    <t>Charla Plenaria: Electric Vehicle Charging Infrastructure and Grid Integration</t>
  </si>
  <si>
    <t>13 Nov 2024, 10:30</t>
  </si>
  <si>
    <t>XI Encuentro Red de Estudios de Ciencia, Tecnologia y Sociedad</t>
  </si>
  <si>
    <t>Ferias tecnológicas y futuros energéticos: una mirada etnográfica a las ferias y eventos del hidrogeno verde.</t>
  </si>
  <si>
    <t>13 Nov 2024, 12:22</t>
  </si>
  <si>
    <t>ISC Global Knowledge Dialogue for Latin America and the Caribbean</t>
  </si>
  <si>
    <t>"Opportunities and Challenges for the 2030 Agenda through empowering regional networks in the multilateral space"</t>
  </si>
  <si>
    <t>13 Nov 2024, 12:26</t>
  </si>
  <si>
    <t>New BiOCl microsphere-based photo anodes and its impact on DSSCs performance</t>
  </si>
  <si>
    <t>13 May 2024</t>
  </si>
  <si>
    <t>13 Nov 2024, 15:55</t>
  </si>
  <si>
    <t>International Conference on Modeling and Simulation of Electric Machines, Converters and Systems.</t>
  </si>
  <si>
    <t>Control of Dual Asymmetric Alternate Arm HVDC Converter under AC and DC Network Faults</t>
  </si>
  <si>
    <t>Ruben Peña (Adjunct Researcher)</t>
  </si>
  <si>
    <t>13 Nov 2024, 12:40</t>
  </si>
  <si>
    <t>Expo Frío y Calor</t>
  </si>
  <si>
    <t>Baterías Térmicas para el suministro de calor industrial</t>
  </si>
  <si>
    <t>13 Nov 2024, 09:53</t>
  </si>
  <si>
    <t>Almuerzo Minera Etica</t>
  </si>
  <si>
    <t>"Concentración Solar de Potencia ¿Por qué Chile debe diversificar sus tecnologías de almacenamiento?"</t>
  </si>
  <si>
    <t>13 Nov 2024, 09:56</t>
  </si>
  <si>
    <t>Seminario “Reciclaje con Innovación e Investigación”</t>
  </si>
  <si>
    <t>Pilotajes de reutilización en ambiente real, implementación de buenas prácticas en plantas, O&amp;M y avances regulatorios</t>
  </si>
  <si>
    <t>01 May 2024</t>
  </si>
  <si>
    <t>03 May 2024</t>
  </si>
  <si>
    <t>12 Nov 2024, 18:35</t>
  </si>
  <si>
    <t>Seminario "La facilitación del acceso a la información ambiental para la sociedad civil"</t>
  </si>
  <si>
    <t>Experiencias desde la ley marco de cambio climático</t>
  </si>
  <si>
    <t>15 Apr 2024</t>
  </si>
  <si>
    <t>13 Nov 2024, 12:27</t>
  </si>
  <si>
    <t>Seminario «Ciencia para la sostenibilidad: Innovación aplicada en medio ambiente»</t>
  </si>
  <si>
    <t>Los desafíos actuales asociados al medio ambiente y el logro de una sostenibilidad futura</t>
  </si>
  <si>
    <t>13 Nov 2024, 12:29</t>
  </si>
  <si>
    <t>Engaging Sustainability Seminar SeriesUniversity of Adger, Kristiansand</t>
  </si>
  <si>
    <t>Anticipating green hydrogen: clean tech conferences and the making of energy futures in Latin America</t>
  </si>
  <si>
    <t>13 Nov 2024, 12:38</t>
  </si>
  <si>
    <t>BifiPV 2024</t>
  </si>
  <si>
    <t>5 years of ATAMOSTEC project: Bifacial nPV in Atacama Desert</t>
  </si>
  <si>
    <t>Felipe Valencia Arroyave (Adjunct Researcher)</t>
  </si>
  <si>
    <t>08 Apr 2024</t>
  </si>
  <si>
    <t>05 Apr 2024</t>
  </si>
  <si>
    <t>12 Nov 2024, 22:30</t>
  </si>
  <si>
    <t>Proyecta Solar 2024</t>
  </si>
  <si>
    <t>Recursos Energéticos Distribuidos: Tendencias, Desafíos y Oportunidades</t>
  </si>
  <si>
    <t>12 Nov 2024, 22:29</t>
  </si>
  <si>
    <t>Green Transition in Latin America: Harnessing regional integration and industrial policy to build the economies of the future (UNCTAD/BNDES)</t>
  </si>
  <si>
    <t>Propuesta para un nuevo enfoque en torno a los minerales críticos en América Latina</t>
  </si>
  <si>
    <t>Willy Andrés Kracht Gajardo (Adjunct Researcher)</t>
  </si>
  <si>
    <t>02 Apr 2024</t>
  </si>
  <si>
    <t>13 Nov 2024, 15:49</t>
  </si>
  <si>
    <t>SiliconPV 2024</t>
  </si>
  <si>
    <t>Improving the accuracy of PV yield calculation by exploitation of real weather data</t>
  </si>
  <si>
    <t>01 Apr 2024</t>
  </si>
  <si>
    <t>12 Nov 2024, 18:31</t>
  </si>
  <si>
    <t>Enhancing Electric Vehicle Autonomy with Solar Energy: a case study of the “Takai Urban” in northern Chile</t>
  </si>
  <si>
    <t>12 Nov 2024, 18:32</t>
  </si>
  <si>
    <t>Clean Energy and Sustainability Symposium</t>
  </si>
  <si>
    <t>CDEA</t>
  </si>
  <si>
    <t>12 Nov 2024, 22:22</t>
  </si>
  <si>
    <t>IEEE PES Day 2024 - Rama IEEE ESPE</t>
  </si>
  <si>
    <t>Soluciones energéticas: Aproximaciones inter y transdisciplinarias en transiciones socio ambientales</t>
  </si>
  <si>
    <t>12 Nov 2024, 18:24</t>
  </si>
  <si>
    <t>SiliconPV2024</t>
  </si>
  <si>
    <t>12 Nov 2024, 18:38</t>
  </si>
  <si>
    <t>Feria de Sustentabilidad UC 2024</t>
  </si>
  <si>
    <t>Grupo de Investigación de Sistemas Poliméricos Funcionales</t>
  </si>
  <si>
    <t>Angel Rodrigo Leiva Campusano (Adjunct Researcher)</t>
  </si>
  <si>
    <t>12 Nov 2024, 18:39</t>
  </si>
  <si>
    <t>Sistemas de Almacenamiento de Energía: Modelación Numérica</t>
  </si>
  <si>
    <t>Transferencia de calor en sistemas de lecho empacado evaluación de los efectos radiativos</t>
  </si>
  <si>
    <t>13 Nov 2024, 16:28</t>
  </si>
  <si>
    <t>2nd ENSURE, International Conference on Environmental Sustainability through Waste and Recycling</t>
  </si>
  <si>
    <t>Advanced Treatment of Wastewater Containing Microcontaminants in a Novel Pilot-Scale UV-LED Photoreactor</t>
  </si>
  <si>
    <t>Alejandro Cabrera Reina (Adjunct Researcher)</t>
  </si>
  <si>
    <t>01 Mar 2024</t>
  </si>
  <si>
    <t>12 Nov 2024, 17:48</t>
  </si>
  <si>
    <t>Simultaneous Removal of Microcontaminants and Microorganisms Inactivation through Sulphate Radical Advanced Oxidation Processes: Comparison of Solar Radiation and UV-LED Technology as Activation Method</t>
  </si>
  <si>
    <t>12 Nov 2024, 17:49</t>
  </si>
  <si>
    <t>Hybrid Modulation Strategy for DC-Bias Current Mitigation in Dual Active Bridge Converters</t>
  </si>
  <si>
    <t>19 Feb 2024</t>
  </si>
  <si>
    <t>13 Nov 2024, 10:25</t>
  </si>
  <si>
    <t>CPEEE</t>
  </si>
  <si>
    <t>An Artificial Neural Network for Compensation of MTPA Algorithm in Permanent Magnet Synchronous Machines</t>
  </si>
  <si>
    <t>Margarita Norambuena (Adjunct Researcher)</t>
  </si>
  <si>
    <t>12 Feb 2024</t>
  </si>
  <si>
    <t>13 Nov 2024, 10:24</t>
  </si>
  <si>
    <t>ECCE24</t>
  </si>
  <si>
    <t>Lifespan Dependence of Power Converters in Wind Energy Systems</t>
  </si>
  <si>
    <t>15 Jan 2024</t>
  </si>
  <si>
    <t>13 Nov 2024, 11:12</t>
  </si>
  <si>
    <t>SDEWES 2024 Chile - Sustainable Development of Energy, Water and Environment Systems</t>
  </si>
  <si>
    <t>Learnings from all-sector energy transition optimization: a look at Chile and New Zealand</t>
  </si>
  <si>
    <t>Jannik Haas (Adjunct Researcher)</t>
  </si>
  <si>
    <t>13 Nov 2024, 09:55</t>
  </si>
  <si>
    <t>Seminiario SERC - Linea 4: Sistemas de Almacenamiento</t>
  </si>
  <si>
    <t>An Implementable Operation Framework for a Distribution Network Aware Provision of System Level Services from Multiple Aggregators of Distributed Energy Resources</t>
  </si>
  <si>
    <t>Participación en mesa de descarbonización</t>
  </si>
  <si>
    <t>Desafíos en los diseños de mercado</t>
  </si>
  <si>
    <t>12 Nov 2024, 18:20</t>
  </si>
  <si>
    <t>Bienvenida a estudiantes de ingeniería UTA 2024</t>
  </si>
  <si>
    <t>Mi experiencia colaborativa desde la academia</t>
  </si>
  <si>
    <t>12 Nov 2024, 18:22</t>
  </si>
  <si>
    <t>XXXIV Jornadas Chilenas de Química</t>
  </si>
  <si>
    <t>Peliculas Luminescentes como Conversores de Energía y su Aplicación en Celdas Solares (postr)</t>
  </si>
  <si>
    <t>12 Nov 2024, 18:36</t>
  </si>
  <si>
    <t>Synthesis and Characterization of europium complex of tridentate isoquinoline ligand in polyvynil butyral (PVB)</t>
  </si>
  <si>
    <t>12 Nov 2024, 21:57</t>
  </si>
  <si>
    <t>Assessing the Impact of Frequency Stability Constraints in Generation Expansion Planning with Variable Renewable Energy</t>
  </si>
  <si>
    <t>16 Jan 2024</t>
  </si>
  <si>
    <t>13 Nov 2024, 09:54</t>
  </si>
  <si>
    <t>Jornadas Chilenas de Química</t>
  </si>
  <si>
    <t>Desarrollo de estrategias de tratamientos en serie para la eliminación simultánea de contaminantes emergentes e inactivación de bacterias mediante procesos foto-químicos.</t>
  </si>
  <si>
    <t>12 Nov 2024, 17:50</t>
  </si>
  <si>
    <t>Eliminación simultánea de contaminantes emergentes y desactivación bacteriana mediante persulfato activado por diferentes vías</t>
  </si>
  <si>
    <t>12 Nov 2024, 17:51</t>
  </si>
  <si>
    <t>CIPOA: Iberoamerican Conference on Advanced Oxidation Technologies</t>
  </si>
  <si>
    <t>19 Jan 2024</t>
  </si>
  <si>
    <t>12 Nov 2024, 18:04</t>
  </si>
  <si>
    <t>12 Nov 2024, 18:05</t>
  </si>
  <si>
    <t>CIPOA: Iberoamerican Conference on Advanced Oxidation Technologiesl</t>
  </si>
  <si>
    <t>12 Nov 2024, 18:06</t>
  </si>
  <si>
    <t>4S Annual Meeting Society for Studies of Science</t>
  </si>
  <si>
    <t>13 Nov 2024, 12:24</t>
  </si>
  <si>
    <t>06 Nov 2023</t>
  </si>
  <si>
    <t>14 Aug 2023</t>
  </si>
  <si>
    <t>12 Jun 2023</t>
  </si>
  <si>
    <t>Estonia</t>
  </si>
  <si>
    <t>Singapur</t>
  </si>
  <si>
    <t>Bulgaria</t>
  </si>
  <si>
    <t>Suráfrica</t>
  </si>
  <si>
    <t>15110020</t>
  </si>
  <si>
    <t>Jorge Alfredo Gironás León (Principal Researcher)</t>
  </si>
  <si>
    <t>Critical Resources</t>
  </si>
  <si>
    <t>Sociospatial Dynamics</t>
  </si>
  <si>
    <t>Alejandra Schueftan Hochstetter (Adjunct Researcher)</t>
  </si>
  <si>
    <t>05 Aug 2025</t>
  </si>
  <si>
    <t>Built Environment</t>
  </si>
  <si>
    <t>Sergio Eduardo Vera Araya (Adjunct Researcher)</t>
  </si>
  <si>
    <t>Carolina Alejandra Rojas Quezada (Principal Researcher)</t>
  </si>
  <si>
    <t>Access and Mobility</t>
  </si>
  <si>
    <t>Giovanni Vecchio (Adjunct Researcher)</t>
  </si>
  <si>
    <t>PPEM Seminar Series, The University of Manchester</t>
  </si>
  <si>
    <t>Marie Geraldine Herrmann Lunecke (Adjunct Researcher)</t>
  </si>
  <si>
    <t>Maureen Eileen Trebilcock Kelly (Adjunct Researcher)</t>
  </si>
  <si>
    <t>Exploración de la justicia espacial-urbana en Chile: Diagnóstico, proyección y propuestas para escenarios situacionalmente óptimos</t>
  </si>
  <si>
    <t>Xenia Soledad Fuster Farfán (Adjunct Researcher)</t>
  </si>
  <si>
    <t>Access and Mobility; Built Environment</t>
  </si>
  <si>
    <t>Cristhian Alfonso Figueroa Martínez (Adjunct Researcher); Natan Waintrub Santibáñez (Adjunct Researcher)</t>
  </si>
  <si>
    <t>Access and Mobility; Sociospatial Dynamics</t>
  </si>
  <si>
    <t>22 May 2025</t>
  </si>
  <si>
    <t>SANDRA ISABEL CORTES ARANCIBIA (Adjunct Researcher)</t>
  </si>
  <si>
    <t>Cristián Chadwick</t>
  </si>
  <si>
    <t>Héctor Iván Jorquera González (Adjunct Researcher)</t>
  </si>
  <si>
    <t>Access and Mobility; Critical Resources</t>
  </si>
  <si>
    <t>Jonathan Richard Barton Cant (Adjunct Researcher)</t>
  </si>
  <si>
    <t>TAAC meeting</t>
  </si>
  <si>
    <t>Performance evaluation of humidity controlled decentralized ventilation systems in social housing in Chile</t>
  </si>
  <si>
    <t>Waldo Enrique Bustamante Gómez (Director); Gilles Flamant (Adjunct Researcher)</t>
  </si>
  <si>
    <t>Arnold Janssens, Jelle Laverge</t>
  </si>
  <si>
    <t>Built Environment; Critical Resources</t>
  </si>
  <si>
    <t>Waldo Enrique Bustamante Gómez (Director)</t>
  </si>
  <si>
    <t>Pablo Arturo Pastén Gonzalez (Principal Researcher); Alejandra Soledad Vega Contreras (Adjunct Researcher)</t>
  </si>
  <si>
    <t>25 Jul 2025, 13:43</t>
  </si>
  <si>
    <t>Cristian Gonzalo Henriquez Ruiz (Adjunct Researcher)</t>
  </si>
  <si>
    <t>Nature in the city</t>
  </si>
  <si>
    <t xml:space="preserve">Restoration of the Rocuant-Andalién Wetland System: Nature-Based Solutions for Flood Risk Reduction and Habitat Recovery for Birds. Annual Meeting Nature in the City. Nature Based Strategies for urban climate adaptation insights from cities in the Global </t>
  </si>
  <si>
    <t>10 Dec 2024</t>
  </si>
  <si>
    <t>12 Dec 2024</t>
  </si>
  <si>
    <t>13 May 2025, 10:16</t>
  </si>
  <si>
    <t>AGU Fall Meeting 2024</t>
  </si>
  <si>
    <t>Comparing Rainfall Disaggregation Methods in their Capability to Reproduce Extreme Events</t>
  </si>
  <si>
    <t>Jorge Alfredo Gironás León (Principal Researcher); Claudio Andrés Sandoval Vásquez (Master Thesis)</t>
  </si>
  <si>
    <t>Cristián Chadwick3</t>
  </si>
  <si>
    <t>09 Dec 2024</t>
  </si>
  <si>
    <t>13 Dec 2024</t>
  </si>
  <si>
    <t>24 Mar 2025, 14:25</t>
  </si>
  <si>
    <t>Assessment of climate change induced extreme turbidity events in a mountain’s catchment in the western subtropical Andes</t>
  </si>
  <si>
    <t>María Ibañez, René Garreaud, Cristian Chadwick</t>
  </si>
  <si>
    <t>31 Mar 2025, 11:03</t>
  </si>
  <si>
    <t>Impacts of landscape structure on hydrology: Analysis of basins in USA and Chile</t>
  </si>
  <si>
    <t>Jorge Alfredo Gironás León (Principal Researcher); Carlos Francisco Guzmán Leiva (PhD Thesis)</t>
  </si>
  <si>
    <t>31 Mar 2025, 11:06</t>
  </si>
  <si>
    <t>Percepción de la inseguridad por miedo al crimen en espacios público: teoría y metodologías de análisis en España, México y Chile</t>
  </si>
  <si>
    <t>Cercanos, pero inseguros Caminatae inseguridadpercibidaenpersonas mayoresde Santiago de Chile</t>
  </si>
  <si>
    <t>03 Dec 2024</t>
  </si>
  <si>
    <t>18 Mar 2025, 15:54</t>
  </si>
  <si>
    <t>Objetivos de Desarrollo Sostenible para la Región de Antofagasta</t>
  </si>
  <si>
    <t>Los ODS sub-nacionales: Un desafío pendiente en el camino de la Agenda 2030</t>
  </si>
  <si>
    <t>29 Nov 2024</t>
  </si>
  <si>
    <t>19 Mar 2025, 12:09</t>
  </si>
  <si>
    <t>Webinar “Buildings Energy Efficiency”, Organiza: Energy parnetship Uruguay-Alemania &amp; German Energy Agency (DENA)</t>
  </si>
  <si>
    <t>Promoting energy-efficient buildings in the Chilean context</t>
  </si>
  <si>
    <t>28 Nov 2024</t>
  </si>
  <si>
    <t>21 Mar 2025, 10:40</t>
  </si>
  <si>
    <t>IV Encuentro ECOARQ Concurso Desafío Net Zero 2030+Actualización RT</t>
  </si>
  <si>
    <t>Desafíos y oportunidades: transición energética hacia energía neta cero en edificios</t>
  </si>
  <si>
    <t>27 Nov 2024</t>
  </si>
  <si>
    <t>21 Mar 2025, 10:56</t>
  </si>
  <si>
    <t>63 Congreso Chileno de Pediatría</t>
  </si>
  <si>
    <t>Mejora de la función pulmonar mediante el uso de purificadores de aire en la sala de clases en niños y niñas en edad escolar. Intervención en colegios de educación básica en el centro sur de Chile</t>
  </si>
  <si>
    <t>Maria Isabel Rivera Barraza (Adjunct Researcher)</t>
  </si>
  <si>
    <t>Tamara Ugarte-Avilés, Patricia A. Huerta</t>
  </si>
  <si>
    <t>26 Nov 2024</t>
  </si>
  <si>
    <t>20 Mar 2025, 15:49</t>
  </si>
  <si>
    <t>III Congreso Iberoamericano de Biogeografía, Conferencia “Revolución de paisajes: protección e invisibilidades actuales y futuras</t>
  </si>
  <si>
    <t>PROCESOS DE REGIONALIZACIÓN PARA RECONOCER SOCIOECOSISTEMAS EN UNA ESCALA URBANA: MÁS ALLÁ DE LAS ÁREAS VERDES</t>
  </si>
  <si>
    <t>Francisco Javier De la Barrera Melgarejo (Adjunct Researcher); RICARDO ENRIQUE TRUFFELLO ROBLEDO (Adjunct Researcher)</t>
  </si>
  <si>
    <t>Francisco Ramos, Valentina Salinas, Sergio González, Helen de la Fuente</t>
  </si>
  <si>
    <t>26 Mar 2025, 15:10</t>
  </si>
  <si>
    <t>Comfort at the Extremes CATE 2024</t>
  </si>
  <si>
    <t>School locations in urban areas and their potential impact on indoor air quality</t>
  </si>
  <si>
    <t>Maria Isabel Rivera Barraza (Adjunct Researcher); Maureen Eileen Trebilcock Kelly (Adjunct Researcher)</t>
  </si>
  <si>
    <t>Sergio González, Diego Medina, Ivonne Rueda, Pía Monreal</t>
  </si>
  <si>
    <t>22 Nov 2024</t>
  </si>
  <si>
    <t>20 Mar 2025, 14:59</t>
  </si>
  <si>
    <t>Simposio Internacional REDEUS-LAC: LUZ, CÁMARA Y ACCION II</t>
  </si>
  <si>
    <t>De la tesis doctoral a la Política Pública: Humedales urbanos para ciudades sustentables</t>
  </si>
  <si>
    <t>20 Nov 2024</t>
  </si>
  <si>
    <t>18 Mar 2025, 14:48</t>
  </si>
  <si>
    <t>Centro de Desarrollo Urbano Sustentable:  12 años de investigación e impacto en Chile</t>
  </si>
  <si>
    <t>Carolina Alejandra Rojas Quezada (Principal Researcher); rodrigo ivan mora vega (Adjunct Researcher)</t>
  </si>
  <si>
    <t>20 Mar 2025, 16:28</t>
  </si>
  <si>
    <t>XI Seminario de Internacionalización. Doctorado en Arquitectura. Universidad de Sevilla</t>
  </si>
  <si>
    <t>Desde la eficiencia a las ciudades resilientes: la tecnología no basta</t>
  </si>
  <si>
    <t>15 Nov 2024</t>
  </si>
  <si>
    <t>21 Mar 2025, 10:31</t>
  </si>
  <si>
    <t>Coloquio Internacional Ciudades en Transición</t>
  </si>
  <si>
    <t>Transiciones Postpandemia en Ciudades del Centro-Sur de Chile</t>
  </si>
  <si>
    <t>14 Nov 2024</t>
  </si>
  <si>
    <t>16 Nov 2024</t>
  </si>
  <si>
    <t>18 Mar 2025, 14:51</t>
  </si>
  <si>
    <t>2do Congreso Latinoamericano de Ciencias Sociales y Gobierno 2024</t>
  </si>
  <si>
    <t>“Los que no tienen la oportunidad de conocer esto, nunca nos van a entender”. Estigma y reconocimiento: su dimensión afectiva y moral en jóvenes de la periferia urbana de cinco ciudades chilenas.</t>
  </si>
  <si>
    <t>Alejandra Paz Rasse Figueroa (Principal Researcher)</t>
  </si>
  <si>
    <t>Camila Rasse, Claudia Concha, Sarella Robles, Pablo Contreras, Grace Amigo</t>
  </si>
  <si>
    <t>13 Nov 2024</t>
  </si>
  <si>
    <t>18 Mar 2025, 11:52</t>
  </si>
  <si>
    <t>Segundo Congreso Latinoamericano de Ciencias Sociales y Gobierno: Inequidades en América Latina: Diagnóstico y Propuestas para un Futuro Equitativo</t>
  </si>
  <si>
    <t>Gabriela Guevara Cue (Postdoctoral Fellow)</t>
  </si>
  <si>
    <t>24 Mar 2025, 16:03</t>
  </si>
  <si>
    <t>Walking research Forum, VREF Foundations</t>
  </si>
  <si>
    <t>Crime, perceived insecurity and the walking behaviour of older people</t>
  </si>
  <si>
    <t>19 Mar 2025, 09:37</t>
  </si>
  <si>
    <t>XVIII Seminario Internacional de la RII</t>
  </si>
  <si>
    <t>Modelos de gobernanza urbana y producción de viviendas sociales en Chile: Impacto en la configuración del espacio urbano</t>
  </si>
  <si>
    <t>Francisca Zegers Delgado (Postdoctoral Fellow)</t>
  </si>
  <si>
    <t>24 Mar 2025, 15:55</t>
  </si>
  <si>
    <t>MIVAU - Presentación Monográfico CyTET 2024, "Escenarios para el espacio público de la movilidad urbana"</t>
  </si>
  <si>
    <t>Accesibilidad de proximidad y envejecimiento demográfico Desafíos para la adaptación de los espacios de la movilidad</t>
  </si>
  <si>
    <t>19 Mar 2025, 10:14</t>
  </si>
  <si>
    <t>epensando el concepto de Calles Completas desde miradas coloniales</t>
  </si>
  <si>
    <t>Martin Tironi Rodo (Adjunct Researcher); Lake Sagaris (Adjunct Researcher)</t>
  </si>
  <si>
    <t>19 Mar 2025, 15:55</t>
  </si>
  <si>
    <t>XI Conferencia Internacional COES</t>
  </si>
  <si>
    <t>Camila Rasse, Sarella Robles, Claudia Concha, Pablo Contreras, Grace Amigo</t>
  </si>
  <si>
    <t>18 Mar 2025, 11:45</t>
  </si>
  <si>
    <t>Regeneración de barrios de viviendas sociales: evaluación de los efectos del entorno construido en los síntomas depresivos. Un estudio cuasi-experimentalcombinando datos longitudinales RUCAS y ELSOC (2018 a 2023)</t>
  </si>
  <si>
    <t>Alejandra Paz Rasse Figueroa (Principal Researcher); Alejandra Vives Vergara (Adjunct Researcher)</t>
  </si>
  <si>
    <t>Gabriel Gonzalez-Medina</t>
  </si>
  <si>
    <t>18 Mar 2025, 12:15</t>
  </si>
  <si>
    <t>Convivialidad en los barrios verticalizados de Santiago de Chile Entre la diversidad étnica y la vitalidad urbana</t>
  </si>
  <si>
    <t>Felipe Alejandro Link Lazo (Adjunct Researcher)</t>
  </si>
  <si>
    <t>Andrés Señoret, Cristóbal Ortiz</t>
  </si>
  <si>
    <t>18 Mar 2025, 15:14</t>
  </si>
  <si>
    <t>40 Años De Investigación En Geografía Aplicada Haciendo Ciencia En, Con y Para El Perú y El Mundo</t>
  </si>
  <si>
    <t>MODELOS EN GEOGRAFÍA: HACIA UNA INTEGRACIÓN Y APLICACIÓN DE SABERES</t>
  </si>
  <si>
    <t>19 Mar 2025, 14:23</t>
  </si>
  <si>
    <t>Congreso READU 2024</t>
  </si>
  <si>
    <t>Hacia espacios públicos y comunes más amigables para la vejez: un análisis desde la perspectiva de expertos en Chile</t>
  </si>
  <si>
    <t>Cristhian Alfonso Figueroa Martínez (Adjunct Researcher); Marie Geraldine Herrmann Lunecke (Adjunct Researcher); rodrigo ivan mora vega (Adjunct Researcher)</t>
  </si>
  <si>
    <t>Antonio Zumelzu, Amanda Toro</t>
  </si>
  <si>
    <t>Built Environment; Sociospatial Dynamics</t>
  </si>
  <si>
    <t>19 Dec 2024, 12:59</t>
  </si>
  <si>
    <t>Entorno construido y movilidad según los habitantes de los barrios vulnerables de Santiago</t>
  </si>
  <si>
    <t>Amanda Toro</t>
  </si>
  <si>
    <t>19 Dec 2024, 15:24</t>
  </si>
  <si>
    <t>Salir a la calle: Los niños y niñas en los instrumentos y políticas públicas urbanas chilenas</t>
  </si>
  <si>
    <t>19 Dec 2024, 16:00</t>
  </si>
  <si>
    <t>Infra-estructurasviolentas, espacio habitado y movilidades de mujeres cuidadoras de campamentos</t>
  </si>
  <si>
    <t>Alejandra Paz Rasse Figueroa (Principal Researcher); Graciela Alejandra Luneke Reyes (Adjunct Researcher)</t>
  </si>
  <si>
    <t>18 Mar 2025, 11:33</t>
  </si>
  <si>
    <t>Análisis de patrones de uso de energía en un barrio de Coyhaique: implicancias de la caracterización sociotécnica para el diseño de políticas públicas</t>
  </si>
  <si>
    <t>Alejandra Schueftan Hochstetter (Adjunct Researcher); Amapola Núñez Marengo (Master Thesis)</t>
  </si>
  <si>
    <t>René Reyes, Rafael Sanhuenza, Mariana Andrade</t>
  </si>
  <si>
    <t>18 Mar 2025, 12:00</t>
  </si>
  <si>
    <t>Caracterización multidimensional de la vulnerabilidad patrimonial para la puesta en valor de los conjuntos rurales productivos en la cuenca del Río San Pedro.</t>
  </si>
  <si>
    <t>Virginia Vásquez, Andrés Horn, Galo Valdebenito, Pamela Zambrano</t>
  </si>
  <si>
    <t>18 Mar 2025, 12:05</t>
  </si>
  <si>
    <t>Entorno construido y cohesión social en el barrio Remodelación Paicaví de Concepción.  Redes internas y externas de la transitoriedad residencial.</t>
  </si>
  <si>
    <t>Aaron Napadensky</t>
  </si>
  <si>
    <t>18 Mar 2025, 15:12</t>
  </si>
  <si>
    <t>Los instrumentos de planificación territorial local y la bicicleta: un análisis de la ciudad de Santiago</t>
  </si>
  <si>
    <t>rodrigo ivan mora vega (Adjunct Researcher)</t>
  </si>
  <si>
    <t>Luis Haro</t>
  </si>
  <si>
    <t>20 Mar 2025, 16:22</t>
  </si>
  <si>
    <t>Interacción entre usuarios de ciclos otros modos de transporte: un análisis de conflictos menores</t>
  </si>
  <si>
    <t>Marie Geraldine Herrmann Lunecke (Adjunct Researcher); rodrigo ivan mora vega (Adjunct Researcher)</t>
  </si>
  <si>
    <t>Tomás Cox, Gonzalo Cancino</t>
  </si>
  <si>
    <t>20 Mar 2025, 16:24</t>
  </si>
  <si>
    <t>ARBOLADO Y HUMEDALES REFRESCANTES PARA UN CLIMA CALIENTE: UN VISTAZO A 56 CENTROS POBLADOS DE LA REGIÓN DEL BIOBÍO Y SUS CAPACIDADES DE ADAPTACIÓN</t>
  </si>
  <si>
    <t>Cecilia Mondaca, Sergio González</t>
  </si>
  <si>
    <t>26 Mar 2025, 15:30</t>
  </si>
  <si>
    <t>World Urban Forum 12</t>
  </si>
  <si>
    <t>Action-Oriented Research on the Road to SDGs</t>
  </si>
  <si>
    <t>MARGARITA GREENE ZUNIGA (Adjunct Researcher)</t>
  </si>
  <si>
    <t>20 Mar 2025, 14:28</t>
  </si>
  <si>
    <t>XXXIV Congreso Latinoamericano de Sociología – ALAS</t>
  </si>
  <si>
    <t>Otro Chile es posible: el surgimiento masivo de asambleas territoriales en la revuelta de octubre de 2019</t>
  </si>
  <si>
    <t>Katia Corina Valenzuela Fuentes (Adjunct Researcher)</t>
  </si>
  <si>
    <t>03 Nov 2024</t>
  </si>
  <si>
    <t>19 Mar 2025, 14:40</t>
  </si>
  <si>
    <t>Clase Magistral. Violencia y Crimen Urbano</t>
  </si>
  <si>
    <t>Estado, Violencias y Sociedad: los alcances de la in-seguridadurbana</t>
  </si>
  <si>
    <t>Graciela Alejandra Luneke Reyes (Adjunct Researcher)</t>
  </si>
  <si>
    <t>19 May 2025, 16:23</t>
  </si>
  <si>
    <t>Harvard Kennedy School Growth Lab Research Seminar</t>
  </si>
  <si>
    <t>Effects of Transport Infrastructure on Housing Supply: The Role of Land-Use Regulation</t>
  </si>
  <si>
    <t>Kenzo Asahi (Adjunct Researcher); Hugo Emilio Silva Montalva (Adjunct Researcher)</t>
  </si>
  <si>
    <t>Andrea Herrera</t>
  </si>
  <si>
    <t>19 Mar 2025, 14:45</t>
  </si>
  <si>
    <t>XVII Jornadas Francisco Javier Domínguez "Desde los datos a las decisiones: el poder de la información en la gestión integrada de cuencas“</t>
  </si>
  <si>
    <t>Desde la medición al modelo: desafíos en el uso de datos hidroquímicos y geoquímicos a escala territorial</t>
  </si>
  <si>
    <t>Alejandra Soledad Vega Contreras (Adjunct Researcher)</t>
  </si>
  <si>
    <t>24 Mar 2025, 15:10</t>
  </si>
  <si>
    <t>AAAR 42nd Annual Conference</t>
  </si>
  <si>
    <t>A new methodology for indoor PM2.5 source apportionment</t>
  </si>
  <si>
    <t>Héctor Iván Jorquera González (Adjunct Researcher); Shiva Nourani Jirandeh (PhD Thesis)</t>
  </si>
  <si>
    <t>29 Oct 2024, 09:00</t>
  </si>
  <si>
    <t>Walk21 Portugal</t>
  </si>
  <si>
    <t>Walking, Proximity and the Activity Space of Older People Insights from Santiago de Chile</t>
  </si>
  <si>
    <t>Stefan Steiniger (Adjunct Researcher); Giovanni Vecchio (Adjunct Researcher)</t>
  </si>
  <si>
    <t>17 Oct 2024</t>
  </si>
  <si>
    <t>21 Mar 2025, 09:27</t>
  </si>
  <si>
    <t>Doctorado en Ciudad, Territorio y Desarrollo Sostenible, Universitat Rovira i Virgili</t>
  </si>
  <si>
    <t>Impacto en los vínculos sociales y la construcción de marcas espaciales de la política de mixtura social chilena</t>
  </si>
  <si>
    <t>21 Mar 2025, 12:27</t>
  </si>
  <si>
    <t>Impacto social de la transición energética en Iberoamérica</t>
  </si>
  <si>
    <t>Mujeres y sus actitudes hacia la electromovilidad en ciudades chilenas</t>
  </si>
  <si>
    <t>Carolina Alejandra Rojas Quezada (Principal Researcher); Giovanni Vecchio (Adjunct Researcher)</t>
  </si>
  <si>
    <t>19 Mar 2025, 10:25</t>
  </si>
  <si>
    <t>Cumulus Monterrey</t>
  </si>
  <si>
    <t>¿How to Become Planetary? Note for a Planetary Design</t>
  </si>
  <si>
    <t>Martin Tironi Rodo (Adjunct Researcher)</t>
  </si>
  <si>
    <t>16 Oct 2024</t>
  </si>
  <si>
    <t>02 Jun 2025, 14:40</t>
  </si>
  <si>
    <t>Envejecimiento y ruralidad: ¿Territorios vulnerables o atractivos?</t>
  </si>
  <si>
    <t>Ruralidad y envejecimiento Una mirada a los territorios de Chile</t>
  </si>
  <si>
    <t>19 Mar 2025, 10:30</t>
  </si>
  <si>
    <t>SOCHIGEO 2024</t>
  </si>
  <si>
    <t>“Desde chica que he escuchado eso” Producción y reproducción del estigma territorial desde la perspectiva de los jóvenes.</t>
  </si>
  <si>
    <t>15 Oct 2024</t>
  </si>
  <si>
    <t>19 Oct 2024</t>
  </si>
  <si>
    <t>18 Mar 2025, 11:39</t>
  </si>
  <si>
    <t>Panarquía regional versus utopias prospectivas: aprendiendo del pasado para una planificación pragmática y contextualizada.</t>
  </si>
  <si>
    <t>19 Mar 2025, 12:05</t>
  </si>
  <si>
    <t>Expresiones Del Antropoceno Urbano en la Planificación Territorial en Chile</t>
  </si>
  <si>
    <t>19 Mar 2025, 14:25</t>
  </si>
  <si>
    <t>La financiarización del arriendo en el Gran Santiago. Mecanismos de producción de vivienda para arriendo y sus tipologías</t>
  </si>
  <si>
    <t>Luis Alejandro Fuentes Arce (Principal Researcher)</t>
  </si>
  <si>
    <t>Damián Maffioletti</t>
  </si>
  <si>
    <t>19 Mar 2025, 16:13</t>
  </si>
  <si>
    <t>La ciudad de los activos. Las Compañías de Seguros de Vida como agente en la financiarización urbana en Santiago de Chile</t>
  </si>
  <si>
    <t>Emmaleah Jones, Martín Rosas</t>
  </si>
  <si>
    <t>19 Mar 2025, 16:16</t>
  </si>
  <si>
    <t>Gobernanza Multinivel y producción de Vivienda Social en Chile: Un Análisis del Programa DS19</t>
  </si>
  <si>
    <t>24 Mar 2025, 15:49</t>
  </si>
  <si>
    <t>MÁS ALLÁ DE LAS ÁREAS VERDES COMO CÁPSULAS DE NATURALEZA EN LA CIUDAD: CONTRASTANDO LA NATURALEZA EN CIUDADES</t>
  </si>
  <si>
    <t>Valentina Salinas, Francisco Ramos, Sergio Gonzalez, Helen de la Fuente, Alfo Puppo</t>
  </si>
  <si>
    <t>26 Mar 2025, 15:34</t>
  </si>
  <si>
    <t>26 Mar 2025, 15:56</t>
  </si>
  <si>
    <t>DEVELANDOLA (IN)JUSTICIA ESPACIAL: EXPLORACIÓN DE LAS DINÁMICAS DE LA TRIPLE ESPACIALIDAD EN CHILE Y SU IMPACTO EN LA GENERACIÓN DE BARRERAS ESPACIALES PARA LA REALIZACIÓN DE DERECHOS SOCIALES</t>
  </si>
  <si>
    <t>27 Mar 2025, 10:20</t>
  </si>
  <si>
    <t>27 Mar 2025, 10:22</t>
  </si>
  <si>
    <t>Gobernar la crisis de la vivienda en Chile: prácticas alternativas al modelo subsidiario de vivienda</t>
  </si>
  <si>
    <t>21 Mar 2025, 12:23</t>
  </si>
  <si>
    <t>2nd Young Soil Researchers Forum</t>
  </si>
  <si>
    <t>A citywide analysis of soil properties in urban parks: Organic matter and metal concentration in the inner city parallel to urbanization-driven soil homogenization</t>
  </si>
  <si>
    <t>Pablo Arturo Pastén Gonzalez (Principal Researcher); Sara Ester Acevedo Godoy (Adjunct Researcher); Carlos Alberto Bonilla Meléndez (Adjunct Researcher); SONIA REYES PAECKE (Adjunct Researcher); Alejandra Soledad Vega Contreras (Adjunct Researcher)</t>
  </si>
  <si>
    <t>Javier Rivera</t>
  </si>
  <si>
    <t>25 Mar 2025, 11:31</t>
  </si>
  <si>
    <t>44th AIVC conference "Retrofitting the Building Stock: Challenges and Opportunities for Indoor Environmental Quality</t>
  </si>
  <si>
    <t>09 Oct 2024</t>
  </si>
  <si>
    <t>10 Oct 2024</t>
  </si>
  <si>
    <t>24 Mar 2025, 16:24</t>
  </si>
  <si>
    <t>Ciudades sostenibles y amigables con las personas mayores: desafíos para territorios en transformación</t>
  </si>
  <si>
    <t>El lugar del envejecimiento urbano Una aproximación multiescalar al espacio de actividad de las personas mayores en Santiago de Chile</t>
  </si>
  <si>
    <t>19 Mar 2025, 10:32</t>
  </si>
  <si>
    <t>El futuro desde la perspectiva del presente: comparando la realidad urbana desde las antípodas Santiago-Singapur</t>
  </si>
  <si>
    <t>La historia de un barrio desfavorecido en Santiago de Chile: entorno construido y apego al lugar de las personas en la transición hacia la sustentabilidad</t>
  </si>
  <si>
    <t>Cristhian Alfonso Figueroa Martínez (Adjunct Researcher)</t>
  </si>
  <si>
    <t>Sebastián Rodríguez Leiva, Roxanna Ríos Peters, Camila Muñoz Navarrete, Francisca Parra Huerta, Amanda Toro</t>
  </si>
  <si>
    <t>19 Dec 2024, 15:31</t>
  </si>
  <si>
    <t>XVIII Congreso Chileno de Psicología 2024</t>
  </si>
  <si>
    <t>Inferencia causal yvalidación longitudinal de cuestionarios de salud mental (GHQ-12 y PHQ-2) en residentes de vivienda social</t>
  </si>
  <si>
    <t>Alejandra Vives Vergara (Adjunct Researcher)</t>
  </si>
  <si>
    <t>Gabriel González-Medina</t>
  </si>
  <si>
    <t>18 Mar 2025, 12:29</t>
  </si>
  <si>
    <t>IX Workshop Integração de Saberes Ambientais: Cidades Inteligentes e Sustentáveis</t>
  </si>
  <si>
    <t>Expresiones y Proyecciones del Antropoceno Urbano en Chile: Reflexiones para la Planificación Territorial</t>
  </si>
  <si>
    <t>19 Mar 2025, 14:28</t>
  </si>
  <si>
    <t>III Congreso de Derecho y Sociedad Chile</t>
  </si>
  <si>
    <t>Perspectivas Interdisciplinares sobre la Ciudad Justa: Desafíos y Oportunidades para la Operacionalización del Concepto</t>
  </si>
  <si>
    <t>25 Sep 2024</t>
  </si>
  <si>
    <t>27 Sep 2024</t>
  </si>
  <si>
    <t>24 Mar 2025, 16:15</t>
  </si>
  <si>
    <t>Global Symposium on Soil Information and Data</t>
  </si>
  <si>
    <t>ggsoiltexture: an R package for plotting soil textural data</t>
  </si>
  <si>
    <t>Sara Ester Acevedo Godoy (Adjunct Researcher); Alejandra Soledad Vega Contreras (Adjunct Researcher)</t>
  </si>
  <si>
    <t>28 Sep 2024</t>
  </si>
  <si>
    <t>25 Mar 2025, 11:23</t>
  </si>
  <si>
    <t>XV Encontro Nacional de Águas Urbanas (ENAU) e V Simpósio de Revitalização de Rios Urbanos (SRRU)</t>
  </si>
  <si>
    <t>Sobre parques lineales e infraestructura verde y azul en Chile</t>
  </si>
  <si>
    <t>Rodolfo Bertoni, Bonifacio Fernández, Milo Millán, Náyade Vásquez, César Méndez, Camila Teutsch</t>
  </si>
  <si>
    <t>16 Sep 2024</t>
  </si>
  <si>
    <t>20 Sep 2024</t>
  </si>
  <si>
    <t>24 Mar 2025, 14:32</t>
  </si>
  <si>
    <t>Taller SuReMin 2 Gestión Sostenible de cadenas de suministro internacionales</t>
  </si>
  <si>
    <t>Urban environmental geochemistry in metal mining districts: Street dust as a screening tool</t>
  </si>
  <si>
    <t>Pablo Arturo Pastén Gonzalez (Principal Researcher); SANDRA ISABEL CORTES ARANCIBIA (Adjunct Researcher); Alejandra Soledad Vega Contreras (Adjunct Researcher)</t>
  </si>
  <si>
    <t>José Antonio Díaz</t>
  </si>
  <si>
    <t>24 Mar 2025, 15:13</t>
  </si>
  <si>
    <t>II° Seminario Internacional en Bienestar, salud y calidad de vida en ciudades</t>
  </si>
  <si>
    <t>Personas mayores y bienestar: Desafíos del entorno construido urbano</t>
  </si>
  <si>
    <t>19 Dec 2024, 14:32</t>
  </si>
  <si>
    <t>Humedales Urbanos y Bienestar Estudios de Acceso y Percepción</t>
  </si>
  <si>
    <t>Paula Villagra, Octavio Rojas</t>
  </si>
  <si>
    <t>18 Mar 2025, 14:31</t>
  </si>
  <si>
    <t>LA-ISMET 2O24</t>
  </si>
  <si>
    <t>Extreme and Contaminated Environments: A Source for New Electrotrophic Microorganisms</t>
  </si>
  <si>
    <t>Ignacio Tomás Vargas Cucurella (Adjunct Researcher)</t>
  </si>
  <si>
    <t>04 Sep 2024</t>
  </si>
  <si>
    <t>19 Mar 2025, 11:24</t>
  </si>
  <si>
    <t>IINTRA 2024: Primer Congreso de Investigación en Infraestructura y Transporte</t>
  </si>
  <si>
    <t>Ciclo-P: una herramienta computacional para la planificación de infraestructura ciclista</t>
  </si>
  <si>
    <t>Ricardo Daniel Hurtubia González (Principal Researcher); Sebastián Raveau Feliú (Adjunct Researcher)</t>
  </si>
  <si>
    <t>Ignacio Abé, Homero Larraín</t>
  </si>
  <si>
    <t>29 Aug 2024</t>
  </si>
  <si>
    <t>08 Oct 2024, 11:47</t>
  </si>
  <si>
    <t>Brechas del Transporte Público Regulado en el Gran Concepción</t>
  </si>
  <si>
    <t>Juan Antonio Carrasco Montagna (Principal Researcher); Sebastian Astroza Tagle (Adjunct Researcher)</t>
  </si>
  <si>
    <t>Claudia Hurtado, José Oliveros</t>
  </si>
  <si>
    <t>08 Oct 2024, 16:25</t>
  </si>
  <si>
    <t>Ciencia, Planificación y Gestión Local para la Adaptación de Ciudades ante el Cambio Climático</t>
  </si>
  <si>
    <t>Humedales Urbanos (Costeros) como SbN</t>
  </si>
  <si>
    <t>18 Mar 2025, 14:06</t>
  </si>
  <si>
    <t xml:space="preserve">Programa de Posgrado en Arquitectura Y Urbanismo, 2ª Jornada Latinoamericana de Enseñanza e Investigación en Arquitectura y Urbanismo </t>
  </si>
  <si>
    <t xml:space="preserve">Charla magistral titulada “Sustentabilidad Urbana: desde la academia hacia la política pública” </t>
  </si>
  <si>
    <t>07 Oct 2024, 16:14</t>
  </si>
  <si>
    <t>ISEE 2024</t>
  </si>
  <si>
    <t>COVID-19 incidence and mortality in Chile: Socio-environmental indicators as measurement of health environmental justice</t>
  </si>
  <si>
    <t>Pablo Arturo Pastén Gonzalez (Principal Researcher); Sara Ester Acevedo Godoy (Adjunct Researcher); SANDRA ISABEL CORTES ARANCIBIA (Adjunct Researcher); RICARDO ENRIQUE TRUFFELLO ROBLEDO (Adjunct Researcher); Alejandra Soledad Vega Contreras (Adjunct Researcher)</t>
  </si>
  <si>
    <t>Raquel Jiménez</t>
  </si>
  <si>
    <t>08 Oct 2024, 12:15</t>
  </si>
  <si>
    <t>Environmental health risk assessment in Chile: Strengths and limitations</t>
  </si>
  <si>
    <t>Cinthya Leiva</t>
  </si>
  <si>
    <t>08 Oct 2024, 12:17</t>
  </si>
  <si>
    <t>Patterns of health by gender in a "zone of sacrifice": social and environmental factors for chronic diseases in Coronel, Chile</t>
  </si>
  <si>
    <t>Jenny Ruedlinger, Margarita Valenzuela, Cinthya Leiva</t>
  </si>
  <si>
    <t>08 Oct 2024, 12:22</t>
  </si>
  <si>
    <t>Metals in street dusts near industrial areas: the Quintero-Puchuncaví-Concón case, Chile</t>
  </si>
  <si>
    <t>Cinthya Leiva, Carolina Marcial</t>
  </si>
  <si>
    <t>08 Oct 2024, 12:38</t>
  </si>
  <si>
    <t>Assessing environmental justice for communities living in industrially contaminated areas: sharing approaches and experiences</t>
  </si>
  <si>
    <t>Roberto Pasetto, Daniela Marsili, Carmen Froes Asmus, Juan Pablo Ramos-Bonilla, Marcela Tamayo-Ortiz, Ivano Iavarone</t>
  </si>
  <si>
    <t>08 Oct 2024, 12:44</t>
  </si>
  <si>
    <t>PRIMERA HACKATHON DE OPEN IA EN LATINOAMÉRICA</t>
  </si>
  <si>
    <t>Impactos Planetarios de la Inteligencia Artificial</t>
  </si>
  <si>
    <t>02 Jun 2025, 14:48</t>
  </si>
  <si>
    <t>Primer Congreso Hábitat y Salud UANDES</t>
  </si>
  <si>
    <t>Los ciclos y sus conflictos con otros modos de transporte</t>
  </si>
  <si>
    <t>Marie Geraldine Herrmann Lunecke (Adjunct Researcher); Natan Waintrub Santibáñez (Adjunct Researcher); rodrigo ivan mora vega (Adjunct Researcher)</t>
  </si>
  <si>
    <t>Isaura Becker, Gonzalo Cancino, Alejandro Díaz, Tomás Cox</t>
  </si>
  <si>
    <t>20 Mar 2025, 16:19</t>
  </si>
  <si>
    <t>Goldschmidt 2024</t>
  </si>
  <si>
    <t>Urban geochemistry to inform public policy and residential soil quality guidelines for toxic metals in mining cities</t>
  </si>
  <si>
    <t>08 Oct 2024, 16:09</t>
  </si>
  <si>
    <t>Foro “Juventudes Andinas Impulsoras de Innovaciones Digitales para el Desarrollo Sostenible”</t>
  </si>
  <si>
    <t>Proximidad y espaciosde actividad de las personas mayores Comparandooportunidadesbarriales y prácticasindividualesenSantiago de Chile</t>
  </si>
  <si>
    <t>13 Aug 2024</t>
  </si>
  <si>
    <t>19 Mar 2025, 10:46</t>
  </si>
  <si>
    <t>Recuperando la humanidad para progresar en la era de la IA</t>
  </si>
  <si>
    <t>Devastaciones Generativas: Inteligencia Artificial en un planeta dañado</t>
  </si>
  <si>
    <t>02 Jun 2025, 16:06</t>
  </si>
  <si>
    <t>ICS Seminar Series 2024</t>
  </si>
  <si>
    <t>Socio-ecological transitions from indigenous contexts: Mobile resurgences of Mapuche communities in Wallmapu, Chile</t>
  </si>
  <si>
    <t>Gonzalo Eduardo Salazar Preece (Adjunct Researcher)</t>
  </si>
  <si>
    <t>01 Aug 2024</t>
  </si>
  <si>
    <t>07 Oct 2024, 12:12</t>
  </si>
  <si>
    <t>ASABE 2024 Annual International Meeting</t>
  </si>
  <si>
    <t>Probabilistic Modeling of Water Erosion on Roadway Slopes using RUSLE and Long-term Rainfall Data</t>
  </si>
  <si>
    <t>Carlos Alberto Bonilla Meléndez (Adjunct Researcher)</t>
  </si>
  <si>
    <t>28 Jul 2024</t>
  </si>
  <si>
    <t>31 Jul 2024</t>
  </si>
  <si>
    <t>02 Oct 2024, 16:07</t>
  </si>
  <si>
    <t>Curso biodiversidad y conservación de humedales UST</t>
  </si>
  <si>
    <t>Humedales Urbanos y planificación de las ciudades</t>
  </si>
  <si>
    <t>27 Jul 2024</t>
  </si>
  <si>
    <t>02 Oct 2024, 16:24</t>
  </si>
  <si>
    <t>RC21 CONFERENCE 2024</t>
  </si>
  <si>
    <t>Community kitchens as national-scale urban care infrastructure: the case of Chilean cities during COVID-19</t>
  </si>
  <si>
    <t>Nicolas Darío Valenzuela Levi (Adjunct Researcher)</t>
  </si>
  <si>
    <t>J. Ponce-Méndez, J. Aguirre de Padua</t>
  </si>
  <si>
    <t>08 Oct 2024, 11:41</t>
  </si>
  <si>
    <t>Unveiling Privilege and Power: Corporate governance’s impact on urban development in Santiago, Chile</t>
  </si>
  <si>
    <t>24 Mar 2025, 15:52</t>
  </si>
  <si>
    <t>2nd Conference on Advancing Transportation Equity</t>
  </si>
  <si>
    <t>Bike sharing systems as a tool for the gig economy: delivery workers and emerging issues for mobility justice in São Paulo</t>
  </si>
  <si>
    <t>07 Oct 2024, 11:13</t>
  </si>
  <si>
    <t>Gender in Crisis</t>
  </si>
  <si>
    <t>The gendered activity space of older people Care Activities and Everyday Mobility in the Urban Fringes of Santiago de Chile</t>
  </si>
  <si>
    <t>05 Jul 2024</t>
  </si>
  <si>
    <t>07 Oct 2024, 11:09</t>
  </si>
  <si>
    <t>Estado y violencias en los márgenes urbanos. Los casos de Chile y Argentina</t>
  </si>
  <si>
    <t>Estado y violencias en los márgenes urbanos, Chile.</t>
  </si>
  <si>
    <t>02 Jul 2024</t>
  </si>
  <si>
    <t>18 Mar 2025, 10:55</t>
  </si>
  <si>
    <t>Núcleo estudios de violencias. Instituto de Escuela Interdisciplinaria de Altos Estudios Sociales–Universidad de San Martín</t>
  </si>
  <si>
    <t>Violencias en los márgenes; entre punitivismo, la militarización y participación</t>
  </si>
  <si>
    <t>18 Mar 2025, 11:11</t>
  </si>
  <si>
    <t>Proximity Planning International Conference</t>
  </si>
  <si>
    <t>Proximity and the activity space of older people Contrasting neighbourhood opportunities and individual practices in Santiago de Chile</t>
  </si>
  <si>
    <t>07 Oct 2024, 11:06</t>
  </si>
  <si>
    <t>The challenges of everyday activities in hostile public spaces. The case of older persons’ walking in central neighbourhoods of Santiago, Chile</t>
  </si>
  <si>
    <t>03 Oct 2024, 13:02</t>
  </si>
  <si>
    <t>DSA Development Studies Association – Annual Conference</t>
  </si>
  <si>
    <t>08 Oct 2024, 11:30</t>
  </si>
  <si>
    <t>Humanities Bridgeford Street Building (HBS), The University of Manchester</t>
  </si>
  <si>
    <t>The Built Environment Challenges for the Elderly in Santiago, Chile</t>
  </si>
  <si>
    <t>03 Oct 2024, 12:43</t>
  </si>
  <si>
    <t>PLEA 2024</t>
  </si>
  <si>
    <t>Thermal comfort and indoor air quality in new social housing in Chile The case of Cordilleras de Doña Marta, Puente Alto, Santiago</t>
  </si>
  <si>
    <t>01 Oct 2024, 15:26</t>
  </si>
  <si>
    <t>Design Recommendations for Office Building Facades Based on Visual Comfort and Minimum Energy Consumption Criteria: The case of Chile</t>
  </si>
  <si>
    <t>01 Oct 2024, 15:28</t>
  </si>
  <si>
    <t>REVEAL The Unseen: The Incidence of Air Purifiers on Indoor Air Quality in Classrooms Located in Polluted Urban Areas in Southern Chile</t>
  </si>
  <si>
    <t>Valentina González, Patricia Huerta, Pía Mellado, Ángela Carrasco, María Pía Coronado, Alison Kwok, Andrea Martínez</t>
  </si>
  <si>
    <t>08 Oct 2024, 10:59</t>
  </si>
  <si>
    <t>Retrofitting classrooms Diagnostic and improvement for lighting and energy efficiency in Chilean public schools</t>
  </si>
  <si>
    <t>08 Oct 2024, 11:07</t>
  </si>
  <si>
    <t>Occupants’ well being in office buildings a field work in Chile</t>
  </si>
  <si>
    <t>Jaime Soto-Muñoz, Paulina Wegersteder-Martínez, Raúl Ramírez-Vielma</t>
  </si>
  <si>
    <t>08 Oct 2024, 11:23</t>
  </si>
  <si>
    <t>Livable Cities Conference 2024</t>
  </si>
  <si>
    <t>Cyclists´ conflicts with other road users: experiences from a large Latin American city </t>
  </si>
  <si>
    <t>Cristhian Alfonso Figueroa Martínez (Adjunct Researcher); Natan Waintrub Santibáñez (Adjunct Researcher); rodrigo ivan mora vega (Adjunct Researcher)</t>
  </si>
  <si>
    <t>08 Oct 2024, 11:59</t>
  </si>
  <si>
    <t>VREF Research workshop Walking as a Mode of Transport: new research, issues, perspectives, Cardiff</t>
  </si>
  <si>
    <t>Crime, perceived insecurity and the walking behaviours of older people</t>
  </si>
  <si>
    <t>04 Oct 2024, 12:52</t>
  </si>
  <si>
    <t>Global Workshop on Walking for Transportation VREF</t>
  </si>
  <si>
    <t>Walking for Joy? A Participatory Action Research Collaboration to Explore Communications-for-Action</t>
  </si>
  <si>
    <t>Lake Sagaris (Adjunct Researcher)</t>
  </si>
  <si>
    <t>07 Oct 2024, 12:56</t>
  </si>
  <si>
    <t xml:space="preserve">DRS2024 </t>
  </si>
  <si>
    <t>Hybrid Ecologies of AI, Prototyping terrestrial practices through a design installation</t>
  </si>
  <si>
    <t>08 Oct 2024, 11:18</t>
  </si>
  <si>
    <t>2024 IEEE China Belt and Road Congress on AI for Sustainable Development</t>
  </si>
  <si>
    <t>Cities in transition: towards resilience and sustainability. Some experiences in Chile</t>
  </si>
  <si>
    <t>22 Jun 2024</t>
  </si>
  <si>
    <t>21 Mar 2025, 12:14</t>
  </si>
  <si>
    <t>13ª Conferencia Internacional de Ciudad 2024-Revitalización Urbana</t>
  </si>
  <si>
    <t>Ciudad y Vejez</t>
  </si>
  <si>
    <t>19 Jun 2024</t>
  </si>
  <si>
    <t>04 Oct 2024, 12:25</t>
  </si>
  <si>
    <t>Conferencia Alternative Futures Power and Protest</t>
  </si>
  <si>
    <t>The seeds of the October rebellion: politics from below in Chile</t>
  </si>
  <si>
    <t>07 Oct 2024, 12:38</t>
  </si>
  <si>
    <t>2024 WSTLUR: 2024 World Symposium on Transport and Land Use Research</t>
  </si>
  <si>
    <t>Violence, power and participation Using gender to innovate in mobility and land use</t>
  </si>
  <si>
    <t>07 Oct 2024, 12:44</t>
  </si>
  <si>
    <t>XVII Coloquio de Geografía Urbana, I Coloquio Internacional de Geografía Urbana</t>
  </si>
  <si>
    <t>¿CUÁL INTEGRACIÓN?: ANÁLISIS DE LA POLÍTICA DE MIXTURA SOCIAL EN CHILE</t>
  </si>
  <si>
    <t>11 Oct 2024, 11:10</t>
  </si>
  <si>
    <t>Conferencia Internacional Latin American Social Association</t>
  </si>
  <si>
    <t>Entre la resistencia política, los cuidados y las emociones: historias de mujeres pobladoras de las periferias urbanas en Chile</t>
  </si>
  <si>
    <t>02 Oct 2024, 15:08</t>
  </si>
  <si>
    <t>Latin American Studies Association conference 2024</t>
  </si>
  <si>
    <t>Practising transport justice: theory – practice gaps in three Latin American metropolises</t>
  </si>
  <si>
    <t>04 Oct 2024, 12:45</t>
  </si>
  <si>
    <t>Foro de Colaboración Chile-Suecia – ACCESS</t>
  </si>
  <si>
    <t>Sustentabilidad y construcción de comunidad: La experiencia de la huerta comunitaria en la JJVV 8-R, Boca Sur</t>
  </si>
  <si>
    <t>07 Oct 2024, 12:34</t>
  </si>
  <si>
    <t>Congreso Nacional de Ciencia, Tecnología, Conocimiento e Innovación con Perspectiva de Género</t>
  </si>
  <si>
    <t>Hacia la construcción de autonomía:  Experiencias de movilidad y participación de mujeres mayores en los barrios que envejecen en Santiago de Chile </t>
  </si>
  <si>
    <t>05 Jun 2024</t>
  </si>
  <si>
    <t>04 Oct 2024, 12:34</t>
  </si>
  <si>
    <t>Air Pollution Conference Brazil 2024 &amp; 5th CMAS South America</t>
  </si>
  <si>
    <t>Ozone and PM2.5 modeling in Quito, Ecuador</t>
  </si>
  <si>
    <t>07 Oct 2024, 12:26</t>
  </si>
  <si>
    <t>Festival Faire Autrement 2024</t>
  </si>
  <si>
    <t>Fabriquer la ville inclusive : des Hauts-de-France à Medellin ou Nairobi</t>
  </si>
  <si>
    <t>30 May 2024</t>
  </si>
  <si>
    <t>02 Jun 2024</t>
  </si>
  <si>
    <t>07 Oct 2024, 15:03</t>
  </si>
  <si>
    <t>Congreso Internacional Tecnología(s) y transformaciones del Trabajo</t>
  </si>
  <si>
    <t>Repensando el trabajo en la era de la computación planetaria Interdependencias humanas y más que humanas de la Inteligencia Artificial</t>
  </si>
  <si>
    <t>Diego Rivera</t>
  </si>
  <si>
    <t>08 Oct 2024, 11:14</t>
  </si>
  <si>
    <t>Presentación a investigadores de NREL Laboratorio Nacional de Energía Renovable</t>
  </si>
  <si>
    <t>Research on complex building envelopes and materials in semiarid climates</t>
  </si>
  <si>
    <t>24 May 2024</t>
  </si>
  <si>
    <t>10 Oct 2024, 09:36</t>
  </si>
  <si>
    <t>IBPSA - SimBuild 2024 Conference</t>
  </si>
  <si>
    <t>Optimization of the PCM Glazing Façade for an Open-Plan Office Building in a Semiarid Climate</t>
  </si>
  <si>
    <t>Daniel Uribe, Marco Perino, Marcus Bianchi</t>
  </si>
  <si>
    <t>10 Oct 2024, 09:23</t>
  </si>
  <si>
    <t>Unpacking the Lithium Battery</t>
  </si>
  <si>
    <t>Chilean lithium: Pragmatic neostructuralism and lessons from the copper sector</t>
  </si>
  <si>
    <t>17 May 2024</t>
  </si>
  <si>
    <t>18 Jul 2024, 11:31</t>
  </si>
  <si>
    <t>Nature of Cities Festival</t>
  </si>
  <si>
    <t>Hay lugar para todos: interviniendo barrios populares latinoamericanos</t>
  </si>
  <si>
    <t>07 Oct 2024, 15:21</t>
  </si>
  <si>
    <t>AAG Annual Meeting 2024</t>
  </si>
  <si>
    <t>Being vulnerable in Latin American cities: concepts and current research</t>
  </si>
  <si>
    <t>Natan Waintrub Santibáñez (Adjunct Researcher)</t>
  </si>
  <si>
    <t>16 Apr 2024</t>
  </si>
  <si>
    <t>20 Apr 2024</t>
  </si>
  <si>
    <t>02 Oct 2024, 14:59</t>
  </si>
  <si>
    <t>American Association of Geographers 2024 Annual Meeting</t>
  </si>
  <si>
    <t>The story of success of a deprived neighbourhood of Santiago de Chile: exploring the links between the built environment and people’s place attachment</t>
  </si>
  <si>
    <t>04 Jul 2024, 15:51</t>
  </si>
  <si>
    <t>XII Congress of toxicology in Developing Countries</t>
  </si>
  <si>
    <t>Exposure to pesticides in an occupational Chilean Cohort</t>
  </si>
  <si>
    <t>18 Apr 2024</t>
  </si>
  <si>
    <t>23 Jul 2024, 11:43</t>
  </si>
  <si>
    <t>A citywide analysis of urban soil in parks: metals and organic matter concentration and homogeneous infiltration capacity</t>
  </si>
  <si>
    <t>Pablo Arturo Pastén Gonzalez (Principal Researcher); Sara Ester Acevedo Godoy (Adjunct Researcher); Carlos Alberto Bonilla Meléndez (Adjunct Researcher); Alejandra Soledad Vega Contreras (Adjunct Researcher)</t>
  </si>
  <si>
    <t>04 Jul 2024, 15:13</t>
  </si>
  <si>
    <t>2° Simposio Brasileiro de Sintaxe Espacial</t>
  </si>
  <si>
    <t>Sintaxis Espacial en la Interdisciplina</t>
  </si>
  <si>
    <t>18 Jul 2024, 14:48</t>
  </si>
  <si>
    <t>SETI - Sustainable Energy Transitions Initiative Annual Conference</t>
  </si>
  <si>
    <t>Multiscalar energy poverty: socio-spatial drivers of suppressed energy demand in Valdivia households</t>
  </si>
  <si>
    <t>18 Mar 2024</t>
  </si>
  <si>
    <t>02 Oct 2024, 15:58</t>
  </si>
  <si>
    <t>American Chemical Society National Meeting</t>
  </si>
  <si>
    <t>Contrasting patterns of toxic metal mobility in three Andean rivers impacted by acid drainage: implications for mining areas</t>
  </si>
  <si>
    <t>17 Mar 2024</t>
  </si>
  <si>
    <t>01 Oct 2024, 14:31</t>
  </si>
  <si>
    <t>American Chemical Society  National Meeting</t>
  </si>
  <si>
    <t>Mainstreaming community engagement in urban geochemistry research: experience from a mining area in Northern Chile</t>
  </si>
  <si>
    <t>Pablo Arturo Pastén Gonzalez (Principal Researcher); SANDRA ISABEL CORTES ARANCIBIA (Adjunct Researcher); Alejandra Soledad Vega Contreras (Adjunct Researcher); Francisca Zegers Delgado (Postdoctoral Fellow)</t>
  </si>
  <si>
    <t>Alejandra Precht</t>
  </si>
  <si>
    <t>01 Oct 2024, 14:45</t>
  </si>
  <si>
    <t>Urban Heat Islands impacts and mitigation in Chile and Japan</t>
  </si>
  <si>
    <t>Urban Heat Islands in Chile: ARClim and others cases</t>
  </si>
  <si>
    <t>13 Mar 2024</t>
  </si>
  <si>
    <t>14 Mar 2024</t>
  </si>
  <si>
    <t>11 Jul 2024, 10:38</t>
  </si>
  <si>
    <t>Impact of the building airtightness and natural driving forces on the operation of an exhaust ventilation system in social housing in Chile</t>
  </si>
  <si>
    <t>29 Feb 2024</t>
  </si>
  <si>
    <t>02 Oct 2024, 14:47</t>
  </si>
  <si>
    <t>XX Workshop da Rede de Pesquisadores sobre Cidades Médias (ReCiMe)</t>
  </si>
  <si>
    <t>Rezagos de los instrumentos de planificación urbana en las dinámicas de crecimiento de ciudades medias chilenas</t>
  </si>
  <si>
    <t>Federico Arenas, A. Paulsen, J. Quense, P. Smith</t>
  </si>
  <si>
    <t>27 Feb 2024</t>
  </si>
  <si>
    <t>28 Feb 2024</t>
  </si>
  <si>
    <t>11 Jul 2024, 10:47</t>
  </si>
  <si>
    <t>Charla para alumnos del Programa de Master de la Bartlett School of Architecture</t>
  </si>
  <si>
    <t>Informal to Incremental:  from housing towards neighbourhoods</t>
  </si>
  <si>
    <t>06 Feb 2024</t>
  </si>
  <si>
    <t>18 Jul 2024, 15:04</t>
  </si>
  <si>
    <t>PhD Viva External Examiner</t>
  </si>
  <si>
    <t>External examiner for Wafa Alghatam’s (UCL student)</t>
  </si>
  <si>
    <t>05 Feb 2024</t>
  </si>
  <si>
    <t>18 Jul 2024, 14:56</t>
  </si>
  <si>
    <t>VI Conferencia RIGTIG 2024 Cambio climático, territorio y planificación</t>
  </si>
  <si>
    <t>Modelación de escenarios de crecimiento urbano</t>
  </si>
  <si>
    <t>11 Jul 2024, 10:55</t>
  </si>
  <si>
    <t>31 Oct 2023</t>
  </si>
  <si>
    <t>Hugo Emilio Silva Montalva (Adjunct Researcher)</t>
  </si>
  <si>
    <t>Ricardo Daniel Hurtubia González (Adjunct Researcher)</t>
  </si>
  <si>
    <t>Daniela Rivera</t>
  </si>
  <si>
    <t>15110027</t>
  </si>
  <si>
    <t>Animal Health in the Marine Environment</t>
  </si>
  <si>
    <t>Jaime Eugenio Figueroa Valverde (Principal Researcher)</t>
  </si>
  <si>
    <t>Alex Patricio Romero Zúñiga (Adjunct Researcher)</t>
  </si>
  <si>
    <t>14 encuentro SOCHER</t>
  </si>
  <si>
    <t>Explaining socioeconomic vulnerability diversity in small scale aquaculture in Chile</t>
  </si>
  <si>
    <t>César Salazar (Adjunct Researcher)</t>
  </si>
  <si>
    <t>11 Dec 2024</t>
  </si>
  <si>
    <t>Socioeconomic sustainability; Socioeconomic Sustainability</t>
  </si>
  <si>
    <t>28 Oct 2024, 17:49</t>
  </si>
  <si>
    <t>Diversificación productiva en pequeños acuicultores de Chile</t>
  </si>
  <si>
    <t>XLVI Congreso Chileno de Microbiología</t>
  </si>
  <si>
    <t xml:space="preserve">Potencial patogénico de Edwardsiella anguillarum S-002-23 aislada durante un evento de mortalidad en tilapia del Nilo (Oreochromis niloticus) cultivada en México (Pathogenic potential of Edwardsiella anguillarum S-002-23 isolated during a mortality event </t>
  </si>
  <si>
    <t>Ruben Esteban Avendaño Herrera (Principal Researcher)</t>
  </si>
  <si>
    <t>Eduardo Martinez-Matus, César Ortega, Beatriz Cámara-Herrera</t>
  </si>
  <si>
    <t>06 Dec 2024</t>
  </si>
  <si>
    <t>IX Congreso Nacional de Acuicultura</t>
  </si>
  <si>
    <t>Primer aislamiento de Tenacibaculum dicentrarchi a partir de mortalidades de juveniles de cojinoba del norte (Seriolella violácea) cultivados en Chile (First isolation of Tenacibaculum dicentrarchi from mortalities of juvenile northern cojinoba (Seriolell</t>
  </si>
  <si>
    <t>Ruben Esteban Avendaño Herrera (Principal Researcher); Rute Irgang (Other Center/Project Researcher)</t>
  </si>
  <si>
    <t>Edison Serrano, Marcia Oliva, Pedro Toledo</t>
  </si>
  <si>
    <t>1st Conference on Antibiotic Use in Aquaculture: A Multidisciplinary Approach to Sustainability – 2024</t>
  </si>
  <si>
    <t>Wild-Type and Non-Wild-Type vs Resistance and Susceptible—That Is the Question</t>
  </si>
  <si>
    <t>Metagenomic analysis of microbial communities in marine sediment associated with salmon farms under antimicrobial treatments in the Los Lagos Region, Chile</t>
  </si>
  <si>
    <t>Ruben Esteban Avendaño Herrera (Principal Researcher); Pamela Evelyn Thomson Morales (Adjunct Researcher)</t>
  </si>
  <si>
    <t>LYNCH, S., SANTIBAÑEZ, R.</t>
  </si>
  <si>
    <t>First Antibiotic in Aquaculture Congress</t>
  </si>
  <si>
    <t>Response ofmarine planktonic microbial metabolism to florfenicol used in salmon farming: a microcosms approach</t>
  </si>
  <si>
    <t>DORIS ISABEL SOTO BENAVIDES (Principal Researcher); Ruben Esteban Avendaño Herrera (Principal Researcher); Renato Andres Quiñones Bergeret (Director)</t>
  </si>
  <si>
    <t>10 Nov 2024</t>
  </si>
  <si>
    <t>Environmental Sustainability; Environmental Sustainability; Integrative Program</t>
  </si>
  <si>
    <t>LXVII Reunión Anual de la Sociedad de Biología de Chile</t>
  </si>
  <si>
    <t>Efecto de la salinidad sobre la integridad estructural y funcional de células epiteliales intestinales de trucha arcoíris RTGutGC y su influencia en la infección de Piscirickettsia salmonis (Effect of salinity on the structural and functional integrity of</t>
  </si>
  <si>
    <t>Perez JA., Suarez R., Pérez T., Santibañez N., Cárcamo D., Vega M., Enríquez R.M</t>
  </si>
  <si>
    <t>18 Annual EfD Meeting</t>
  </si>
  <si>
    <t>Social Context, Framing, and Compliance with the Law: Experimental Evidence</t>
  </si>
  <si>
    <t>Carlos Alberto Chávez Rebolledo (Adjunct Researcher)</t>
  </si>
  <si>
    <t xml:space="preserve">18 Annual EfD Meeting </t>
  </si>
  <si>
    <t>Socioeconomic sustainability</t>
  </si>
  <si>
    <t>28 Oct 2024, 17:57</t>
  </si>
  <si>
    <t>FAO Expert Workshop on spatial planning of mariculture</t>
  </si>
  <si>
    <t>Staus of marine spatial planning in  Latin America</t>
  </si>
  <si>
    <t>DORIS ISABEL SOTO BENAVIDES (Principal Researcher)</t>
  </si>
  <si>
    <t>28 Oct 2024</t>
  </si>
  <si>
    <t>30 Oct 2024</t>
  </si>
  <si>
    <t>Integrative Program</t>
  </si>
  <si>
    <t>Annual Workshop on Environmental and Natural Resource Economics-NENRE-EfD-Chile</t>
  </si>
  <si>
    <t>EfD meeting</t>
  </si>
  <si>
    <t>Do information biases drive local community misconceptions of aquaculture? A comparison study of mussel farming in Chile and Vietnam</t>
  </si>
  <si>
    <t>NENRE EfD-Chile 2024</t>
  </si>
  <si>
    <t>Is there a Lack of Integration in Seafood Value Chains?</t>
  </si>
  <si>
    <t>LEONARDO ESTEBAN SALAZAR VERGARA (Adjunct Researcher)</t>
  </si>
  <si>
    <t>Marine Resource Projects for Economic Development Policies in Chile: Disruption Costs and Property Rights</t>
  </si>
  <si>
    <t>Jorge Dresdner Cid (Principal Researcher)</t>
  </si>
  <si>
    <t>10 Encuentro Nemre-EfD, Chile</t>
  </si>
  <si>
    <t>10th meeting EFD-Chile 2024</t>
  </si>
  <si>
    <t>An empirical evaluation of production quotas in a strategic location and entry setting</t>
  </si>
  <si>
    <t>Manuel Enrique Estay Montecinos (Adjunct Researcher)</t>
  </si>
  <si>
    <t>28 Oct 2024, 17:58</t>
  </si>
  <si>
    <t>IUMS 2024</t>
  </si>
  <si>
    <t>Farmed Atlantic salmon (Salmo salar) coinfected with Tenacibaculum dicentrarchi, T. finnmarkense and Renibacterium salmoninarum in Chile: Isolation and characterization reveal high heterogeneity</t>
  </si>
  <si>
    <t>18th Congress of the International Union of Microbiological
Societies (IUMS)</t>
  </si>
  <si>
    <t>Strategies for improved growth of Renibacterium salmoninarum: Peptone variability and NaCl supplementation</t>
  </si>
  <si>
    <t>Sandra Flores-Martin, Claudia Barrientos</t>
  </si>
  <si>
    <t>2° Congreso Impacto y Estrategis de Prevención y Control de la Caligidosis en la Salmonicultura Chilena.</t>
  </si>
  <si>
    <t>&lt;html&gt;Hologenomica para la Comprensión de la Resistencia y Susceptibilidad de Salmón del Atlantico a la infección con &lt;i&gt;Caligus rogercresseyi&lt;/i&gt; (Hologenomics for Understanding the Resistance and Susceptibility of Atlantic Salmon to infection with Calig</t>
  </si>
  <si>
    <t>Valentina Marjorie Valenzuela Muñoz (Adjunct Researcher); Cristian Jorge Gallardo Escárate (Principal Researcher); Diego Andrés Valenzuela Miranda (Adjunct Researcher)</t>
  </si>
  <si>
    <t>Aquaculture Genomics</t>
  </si>
  <si>
    <t>Cambios transcriptómicos y morfológicos gatillados porla salinidad y temperatura en copepoditos de Caligus rogercresseyi (Transcriptomic and morphological changes triggered by salinity and temperature in copepodites of Caligus rogercresseyi)</t>
  </si>
  <si>
    <t>Valentina Marjorie Valenzuela Muñoz (Adjunct Researcher); Cristian Jorge Gallardo Escárate (Principal Researcher)</t>
  </si>
  <si>
    <t>Explorando la respuesta de Caligus rogercresseyi a la selección de fenotipos resistentes de Salmo salar al piojo de mar (Exploring the response of Caligus rogercresseyi to the selection of sea louse resistant phenotypes of Salmo salar)</t>
  </si>
  <si>
    <t>Cristian Jorge Gallardo Escárate (Principal Researcher)</t>
  </si>
  <si>
    <t xml:space="preserve">Efecto de las vacunas de uso regular en salmonicultura sobre la respuesta inmune de Salmón del Atlántico durante una infección con Caligus rogercresseyi (Effect of vaccines regularly used in salmon farming on the immune response of Atlantic salmon during </t>
  </si>
  <si>
    <t>&lt;html&gt;Diferencias en la microbiota de &lt;i&gt;Caligus rogercresseyi&lt;/i&gt; según el sexo. Relevancia biológica y su implicancia en el desarrollo de nuevos tratamientos contra la caligidosis (Sex differences in the microbiota of Caligus rogercresseyi. Biological r</t>
  </si>
  <si>
    <t>Diego Andrés Valenzuela Miranda (Adjunct Researcher); Cristian Jorge Gallardo Escárate (Principal Researcher)</t>
  </si>
  <si>
    <t>Evaluación de respuesta inmune de Caligus rogercresseyi expuesto a vacuna antimicrobiota (Evaluation of immune response of Caligus rogercresseyi exposed to antimicrobiota vaccine)</t>
  </si>
  <si>
    <t>Catalina Gutierres</t>
  </si>
  <si>
    <t>Evaluación de la respuesta de salmón del Atlántico vacunados con IPathÓ y expuesto a condiciones experimentales de hipoxia (Evaluation of the response of Atlantic salmon vaccinated with IPathÒ and exposed to experimental hypoxia conditions.)</t>
  </si>
  <si>
    <t>Felipe Duran</t>
  </si>
  <si>
    <t>&lt;html&gt;Evaluación del probiótico &lt;i&gt;Bacillus&lt;/i&gt; spp. aislado desde &lt;i&gt;Caligus rogercresseyi&lt;/i&gt; añadido a la dieta del salmón del Atlántico (&lt;i&gt;Salmo salar&lt;/i&gt;) sobre la modulación del sistema inmune y su microbiota (Evaluation of the probiotic Bacillus s</t>
  </si>
  <si>
    <t>Valentina Marjorie Valenzuela Muñoz (Adjunct Researcher)</t>
  </si>
  <si>
    <t>IV° Jornadas de Inmunología del Sur de Chile</t>
  </si>
  <si>
    <t>Estudio de la infección de Piscirickettsia salmonis en células epiteliales de intestino de trucha arcoíris (Study of Piscirickettsia salmonis infection in rainbow trout intestinal epithelial cells)</t>
  </si>
  <si>
    <t>Suarez R., Escalona C., Pérez T.</t>
  </si>
  <si>
    <t>1er Workshop Latinoamericano en Inmunología de Peces e Invertebrados</t>
  </si>
  <si>
    <t>Patógenos bacterianos endémicos en la salmonicultura chilena: importancia de la diversidad genética y antigénica en la virulencia (Bacterial pathogens endemic to Chilean salmon farming: the importance of genetic and antigenic diversity in virulence)</t>
  </si>
  <si>
    <t>Tenacibaculum dicentrarchi produce Outer Membrane Vesicles (OMV) that are associated with the cytotoxic effect in Rainbow trout head kidney macrophages</t>
  </si>
  <si>
    <t>Sofía Castro Araya, Valentina Valencia Soler</t>
  </si>
  <si>
    <t>1er workshop latinoamericano en inmunología de peces e invertebrados</t>
  </si>
  <si>
    <t>Estudio de la infección de Piscirickettsia salmonis planctónica y sésil en células epiteliales de intestino de trucha arcoíris RTGutGC (Study of planktonic and sessile Piscirickettsia salmonis infection in RTGutGC rainbow trout intestinal epithelial cells</t>
  </si>
  <si>
    <t>Risk perception and production risk in seaweed
aquaculture</t>
  </si>
  <si>
    <t>EfD Annual Meeting 2024</t>
  </si>
  <si>
    <t>AQUA2024</t>
  </si>
  <si>
    <t>Botanical blent inclusion in feed stimulates Salmo salar cellular mediated immunity (CMI) in ex vivo stydy</t>
  </si>
  <si>
    <t>Caruso F., Dantagnan P., Hernández A., Ruiz J., Leonardi G., Piva A., Grilli E.</t>
  </si>
  <si>
    <t>30 Sep 2024</t>
  </si>
  <si>
    <t>LAQUA24</t>
  </si>
  <si>
    <t>Aislamiento, identificación y caracterización de Edwarsiella anguillarum causantes de brotes infecciosos en tilapia del nilo Oreochromis niloticus cultivada en México (Isolation, identification and characterization of Edwarsiella anguillarum causing infec</t>
  </si>
  <si>
    <t>Eduardo Martínez-Matus, Cesar Ortega</t>
  </si>
  <si>
    <t>Eficacia de una vacuna de limitación de hierro de Tenacibaculum dicentrarchi en salmón del Atlántico Salmo salar (Efficacy of an iron-limiting vaccine of Tenacibaculum dicentrarchi in Atlantic salmon Salmo salar)</t>
  </si>
  <si>
    <t>Pedro Ilardi, Raul Cortés</t>
  </si>
  <si>
    <t>Freshwater aquaculture risks for brazilian amazon biodiversity: Challenges and opportunities</t>
  </si>
  <si>
    <t>Latin American &amp; Caribbean Aquaculture 2024</t>
  </si>
  <si>
    <t>Análisis de genomas completos de cepas de Piscirickettsia salmonis: evaluacion de virulencia, resistencia antibiotica y organización genica (Whole genome analysis of Piscirickettsia salmonis strains: evaluation of virulence, antibiotic resistance and gene</t>
  </si>
  <si>
    <t>Karen Moreno, Denise Haussmann</t>
  </si>
  <si>
    <t>24 Sep 2024</t>
  </si>
  <si>
    <t>Latin American &amp; Caribbean Aquaculture 2025</t>
  </si>
  <si>
    <t>Sistema inmune y endocrino del Salmon Atlántico y su interaccion con el patógenos bacteriano Piscirickettsia salmonis (Immune and endocrine system of Atlantic salmon and its interaction with the bacterial pathogen Piscirickettsia salmonis)</t>
  </si>
  <si>
    <t>Denise Haussmann</t>
  </si>
  <si>
    <t>Congreso Latinoamericano de Acuicultura</t>
  </si>
  <si>
    <t>Freshwater aquaculture risks for brazilian amazon biodiversity: challenges and opportunities</t>
  </si>
  <si>
    <t>3rd International Symposium on Mucosal Health in Aquaculture</t>
  </si>
  <si>
    <t>Atlantic salmon resistance to sea lice infestation Is associated with transcriptome and microbiome shifts</t>
  </si>
  <si>
    <t>Valentina Marjorie Valenzuela Muñoz (Adjunct Researcher); Cristian Jorge Gallardo Escárate (Principal Researcher); Diego Andrés Valenzuela Miranda (Adjunct Researcher); Gustavo Núñez Acuña (Adjunct Researcher)</t>
  </si>
  <si>
    <t>13 Sep 2024</t>
  </si>
  <si>
    <t>Functional diets increase the survival of Atlantic salmons to Piscirikettsia salmonis infection by modulating the host microbiome</t>
  </si>
  <si>
    <t>M. Morales-Rivera, A. Gonçalves</t>
  </si>
  <si>
    <t>Evaluation ofo Bacillus wiedmannii Probiotec Added to the diet of Atlantic Salmon (Salmo salar) as a modulator of microbiota and the immune system (Evaluation ofo Bacillus wiedmannii Probiotec Added to the diet of Atlantic Salmon (Salmo salar) as a modula</t>
  </si>
  <si>
    <t>Cristian Jorge Gallardo Escárate (Principal Researcher); Diego Andrés Valenzuela Miranda (Adjunct Researcher); Valentina Valenzuela Muñoz (Adjunct Researcher); Gustavo Nuñez Acuña (Other Center/Project Researcher); Antonio Casuso Cabrera (Postdoctoral Fellow); Yeny Leal (PhD Thesis)</t>
  </si>
  <si>
    <t>28 Oct 2024, 17:54</t>
  </si>
  <si>
    <t>SECHI 2024</t>
  </si>
  <si>
    <t>31ST CONFERENCE
OF EUROPEAN
COMPARATIVE
ENDOCRINOLOGISTS</t>
  </si>
  <si>
    <t>Transcriptomic and epigenomic responses to cortisol in rainbow trout (Oncorhynchus mykiss) skeletal muscle</t>
  </si>
  <si>
    <t>Valentina Marjorie Valenzuela Muñoz (Adjunct Researcher); Cristian Jorge Gallardo Escárate (Principal Researcher); Alfredo Iván Molina Sirguiado (Adjunct Researcher); Juan Antonio Valdés Muñoz (Adjunct Researcher)</t>
  </si>
  <si>
    <t>Llanos-Azócar Katalina</t>
  </si>
  <si>
    <t>01 Sep 2024</t>
  </si>
  <si>
    <t>20° Congreso Latinoamericano de Ciencias del Mar</t>
  </si>
  <si>
    <t>Impacto del florfenicol sobre el metabolismo microbiano planctónico marino en un modelo de micrococosmos (Impact of florfenicol on marine planktonic microbial metabolism in a micrococosm model)</t>
  </si>
  <si>
    <t>16 Aug 2024</t>
  </si>
  <si>
    <t>XXVI Seminario Pucón</t>
  </si>
  <si>
    <t>Actualización de flavobacteriosis en piscicultura y factores que inciden en salmonicultura en agua de mar (Update on flavobacteriosis in fish farming and factors affecting seawater salmon farming)</t>
  </si>
  <si>
    <t>Programa de Vigilancia de la Resistencia a los Antimicrobianos de Uso Habitual en la Salmonicultura Nacional Etapa X</t>
  </si>
  <si>
    <t>Interpretación de los datos de susceptibilidad a antimicrobianos en patógenos acuícolas chilenos: una aproximación científico-técnica para la correcta toma de decisiones (Interpretation of antimicrobial susceptibility data on Chilean aquaculture pathogens</t>
  </si>
  <si>
    <t>2nd International Conference on Marine Flavobacteria</t>
  </si>
  <si>
    <t>Serotyping of Tenacibaculum dicentrarchi outbreak isolates from salmonid farmed in Chile</t>
  </si>
  <si>
    <t>Rute Irgang (Other Center/Project Researcher); Ruben Esteban Avendaño Herrera (Principal Researcher)</t>
  </si>
  <si>
    <t>27 May 2024</t>
  </si>
  <si>
    <t>31 May 2024</t>
  </si>
  <si>
    <t>XLIII Congreso de Ciencias del Mar</t>
  </si>
  <si>
    <t xml:space="preserve">11-deoxicorticosterona (DOC) induce cambios transcriptómicos y fisiológicos en branquias e hígado de 
trucha arcoíris (Oncorhynchus mykiss) (11-deoxycorticosterone (DOC) induces transcriptomic and physiological changes in gills and liver of rainbow trout </t>
  </si>
  <si>
    <t>Alfredo Iván Molina Sirguiado (Adjunct Researcher); Juan Antonio Valdés Muñoz (Adjunct Researcher)</t>
  </si>
  <si>
    <t>Luciano Ahumada</t>
  </si>
  <si>
    <t xml:space="preserve">Las condiciones de surgencia regulan el transcriptoma del músculo esquelético de un pez intermareal en la Corriente de Humboldt (Upwelling conditions regulate the skeletal muscle transcriptome of an intertidal fish in the Humboldt Current in the Humboldt </t>
  </si>
  <si>
    <t>Katalina Llanos-Azócar, Phillip Dettleff, Victor M Pulgar, Oscar Varas, Cristian Duarte, Marcela Aldana, José Pulgar</t>
  </si>
  <si>
    <t>XLIII Congreso Ciencias del Mar</t>
  </si>
  <si>
    <t>Usos de la zona costera en el Golfo de Arauco: importancia ambiental y ecológica (Uses of the coastal zone in the Gulf of Arauco: environmental and ecological importance)</t>
  </si>
  <si>
    <t>Eduardo Hernández Miranda (Adjunct Researcher)</t>
  </si>
  <si>
    <t>Aldo Hernández Rodríguez, Oscar Inostroza-Michael, Marco Salamanca Orrego, Cristian Chandía, Odette A. Vergara, José Miguel Bogdanovich, Carlos Leal González</t>
  </si>
  <si>
    <t>Environmental Sustainability; Environmental Sustainability</t>
  </si>
  <si>
    <t>Cambios hidrográficos estacionales a lo largo de la costa del golfo de Arauco (37ºS) (Seasonal hydrographic changes along the coast of the Arauco Gulf (37ºS))</t>
  </si>
  <si>
    <t>Odette A. Vergara, Josselyn Contreras, Richard Muñoz, Luis Bermedo, Marcus Sobarzo, Gonzalo S. Saldías, Cristian Chandia, Aldo Hernández, Marco Salamanca</t>
  </si>
  <si>
    <t>Condiciones Físico-Químicas en Aguas Costeras del Golfo de Arauco (Physical-Chemical Conditions in Coastal Waters of the Gulf of Arauco)</t>
  </si>
  <si>
    <t>Marco Salamanca, Luis Bermedo, Cristian Chandia, Aldo Hernández</t>
  </si>
  <si>
    <t>Variación Espacial y Estacional de Metales y Compuestos Orgánicos en los Sedimentos Costeros del Golfo de Arauco (Spatial and Seasonal Variation of Metals and Organic Compounds in the Coastal Sediments of the Gulf of Arauco)</t>
  </si>
  <si>
    <t>Cristian Chandía, Marco Salamanca, Aldo Hernández, Luis Bermedo, Oscar Inostroza-Michael</t>
  </si>
  <si>
    <t>Dinámica Metacomunitaria de la Macrofauna Bentónica de Fondos Blandos de la Zona Costera del Golfo de Arauco (Metacommunity Dynamics of the Soft Bottom Benthic Macrofauna of the Coastal Zone of the Gulf of Arauco)</t>
  </si>
  <si>
    <t>Rodrigo Veas, Patricio Torres-Ramírez, M. Cristina Krautz, Aldo Hernández, Cristián Chandía, Marco Salamanca</t>
  </si>
  <si>
    <t>Estatus Ecológico del Bentos de la Zona Costera del Golfo de Arauco: Patrones Espacio-Temporales de Índices Bióticos de la Macrofauna (Ecological Status of the Benthos of the Coastal Zone of the Gulf of Arauco: Spatio-Temporal Patterns of Biotic Indices o</t>
  </si>
  <si>
    <t>Patricio Torres-Ramírez, Rodrigo Veas, M. Cristina Krautz, Cristián Chandía, Marco Salamanca, Aldo Hernández, Sergio Contreras</t>
  </si>
  <si>
    <t>Las comunidades intermareales de playas de arena del Golfo de Arauco (Intertidal sandy beach communities of the Gulf of Arauco)</t>
  </si>
  <si>
    <t>José Miguel Bogdanovich, Aldo Hernández Rodríguez, Oscar Inostroza-Michael, Carlos Leal González, Rodrigo Veas, Marco Salamanca Orrego, Cristian Chandia</t>
  </si>
  <si>
    <t>Comunidades del intermareal rocoso del Golfo de Arauco (Communities of the rocky intertidal in the Gulf of Arauco)</t>
  </si>
  <si>
    <t>Aldo Hernández Rodríguez, Carlos Leal González, Oscar Inostroza-Michael, José Miguel Bogdanovich, Marco Salamanca, Cristian Chandía</t>
  </si>
  <si>
    <t>XLIII Congreso Nacional de Ciencias del Mar</t>
  </si>
  <si>
    <t>Efectos de un detergente usado en la salmonicultura sobre el metabolismo microbiano planctónico marino (Effects of a detergent used in salmon farming on marine microbial planktonic metabolism)</t>
  </si>
  <si>
    <t>Renato Andres Quiñones Bergeret (Director)</t>
  </si>
  <si>
    <t>María-Lorena González, Constanza D. Fariña</t>
  </si>
  <si>
    <t>XLIII CONGRESO DE CIENCIAS DEL MAR</t>
  </si>
  <si>
    <t>Gobernanza Territorial y Adaptación al Cambio Climático en la Región de Aysén (Territorial Governance and Adaptation to Climate Change in the Aysén Region)</t>
  </si>
  <si>
    <t>Jeanne Wirtner Simon Rodgers (Adjunct Researcher)</t>
  </si>
  <si>
    <t>Cambios en la interfase río-mar de la Patagonia norte de Chile (Changes in the river-sea interface of northern Patagonia of Chile)</t>
  </si>
  <si>
    <t>Jorge Eduardo León Muñoz (Adjunct Researcher)</t>
  </si>
  <si>
    <t>Impacto del cambio climático sobre la firma hidrológica de los ríos que sustentan la salmonicultura chilena (Impact of climate change on the hydrological signature of the rivers that support Chilean salmon farming)</t>
  </si>
  <si>
    <t>BioAqua 2024</t>
  </si>
  <si>
    <t>Exploring Atlantic salmon resistance/susceptibility to sea lice through a hologenomics approach</t>
  </si>
  <si>
    <t>26 May 2024</t>
  </si>
  <si>
    <t>&lt;html&gt;Vitellogenin-based anti-caligidosis vaccines using genes identified in the &lt;i&gt;Caligus rogercresseyi&lt;/i&gt; genome&lt;/html&gt;</t>
  </si>
  <si>
    <t>Exploring IPathÒ vaccine-induced blood transcriptional immune remodeling in Atlantic salmon during pathogenic infections</t>
  </si>
  <si>
    <t>Cristian Jorge Gallardo Escárate (Principal Researcher); Valentina Marjorie Valenzuela Muñoz (Adjunct Researcher)</t>
  </si>
  <si>
    <t>28 Oct 2024, 17:52</t>
  </si>
  <si>
    <t>INTER-AMERICAN NETWORK FOR EDUCATION IN PUBLIC ADMINISTRATION (INPAE Network) Conference</t>
  </si>
  <si>
    <t>Los Objetivos de Desarrollo Sostenible como facilitadores de capacidad territorial en Chile: Estudio de caso de la Región de Aysen (The Sustainable Development Goals as facilitators of territorial capacity in Chile: Case study of the Aysen Region)</t>
  </si>
  <si>
    <t>Claudio González</t>
  </si>
  <si>
    <t>28 Oct 2024, 17:59</t>
  </si>
  <si>
    <t>Global Expert Consultation Workshop on “Revisions to the Code of Conduct for Responsible Fisheries Aquaculture Questionnaire towards GSA Monitoring</t>
  </si>
  <si>
    <t>Assessment of agreement bwetween the CCRF questionnaire and the new guidelines</t>
  </si>
  <si>
    <t>08 May 2024</t>
  </si>
  <si>
    <t>10 May 2024</t>
  </si>
  <si>
    <t>1era. Jornada Internacional de Biotecnología UdeC</t>
  </si>
  <si>
    <t>Nuevas herramientas para el análisis in vitro de aditivos funcionales para dietas aplicadas en organismos acuáticos (New tools for in vitro analysis of functional additives for diets applied in aquatic organisms)</t>
  </si>
  <si>
    <t>Congreso por una Mejor Universidad, UdeC</t>
  </si>
  <si>
    <t>Construyendo interdisciplina en un centro de investigación aplicada de alta complejidad: el caso del INCAR (Building interdiscipline in a highly complex applied research center: the case of INCAR)</t>
  </si>
  <si>
    <t>20 Mar 2024</t>
  </si>
  <si>
    <t>VIII Taller Internacional Salud y Sistema Inmune de Organismos Acuáticos Nucleo INLARVI-UACh</t>
  </si>
  <si>
    <t>Nuevas herramientas para el análisis in vitro de aditivos funcionales para dietas aplicadas en organismos acuáticos (New tools for in vitro analysis of functional additives for diets applied in aquatic organisms)</t>
  </si>
  <si>
    <t>20 Jan 2024</t>
  </si>
  <si>
    <t>29 Jul 2023</t>
  </si>
  <si>
    <t>Indonesia</t>
  </si>
  <si>
    <t>Tailandia</t>
  </si>
  <si>
    <t>15130011</t>
  </si>
  <si>
    <t>Reunión Aptámeros en Chile - Oligonucleotide Therapeutics Society (OTS)</t>
  </si>
  <si>
    <t>Bloqueo mediante aptámeros de la transición epitelial-mesenquimática promovida por vesículas extracelulares secretadas por células de cáncer de mama triple negativo</t>
  </si>
  <si>
    <t>Lorena Lobos-Gonzalez (Adjunct Researcher)</t>
  </si>
  <si>
    <t>Tumor cell biology and inflammation</t>
  </si>
  <si>
    <t>15 Nov 2024, 14:55</t>
  </si>
  <si>
    <t>XXXVI Reunión Anual Sociedad de Biología Celular de Chile</t>
  </si>
  <si>
    <t xml:space="preserve">Adipocyte-derived extracellular vesicles increase the tumor-derived spheroid formation capacity of breast cancer cells. </t>
  </si>
  <si>
    <t>Mariana Cifuentes Koster (Principal Researcher); Andrew Frederick Geoffery Quest Minikus (Principal Researcher); Lisette - Leyton Campos (Adjunct Researcher); Lorena Lobos-Gonzalez (Adjunct Researcher); Sofía Amaranta Sanhueza Gatica (PhD Thesis)</t>
  </si>
  <si>
    <t>18 Nov 2024</t>
  </si>
  <si>
    <t>Inflammatory communication via extracellular vesicles in metabolically healthy and unhealthy obesity; Tumor cell biology and inflammation</t>
  </si>
  <si>
    <t>02 Dec 2024, 22:36</t>
  </si>
  <si>
    <t>Galectin-3 Upregulation and Its Role in Diet-Induced Inflammation During Obesity</t>
  </si>
  <si>
    <t>Mariana Cifuentes Koster (Principal Researcher)</t>
  </si>
  <si>
    <t>Inflammatory communication via extracellular vesicles in metabolically healthy and unhealthy obesity</t>
  </si>
  <si>
    <t>02 Dec 2024, 22:37</t>
  </si>
  <si>
    <t>Lower pro-inflammatory factor expression in THP-1 macrophages exposed to peripheral blood mononuclear cell–derived exosomes from individuals with adipose tissue dysfunction</t>
  </si>
  <si>
    <t>Mariana Cifuentes Koster (Principal Researcher); Lisette - Leyton Campos (Adjunct Researcher); Gabriela Yuri Vogel (PhD Thesis); Natalia Santillana Tobar (PhD Thesis)</t>
  </si>
  <si>
    <t>02 Dec 2024, 22:38</t>
  </si>
  <si>
    <t>IV escuela andinoamazonica de quimica</t>
  </si>
  <si>
    <t>Nanobarras de oro en combinación con vesículas extracelulares de la línea B16F10 para la administración controlada de fármacos antitumorales a hacia melanoma metastático al pulmón</t>
  </si>
  <si>
    <t>Marcelo Javier Kogan Bocian (Principal Researcher); Karen Liceth Bolaños Jiménez (Postdoctoral Fellow)</t>
  </si>
  <si>
    <t>29 Oct 2024</t>
  </si>
  <si>
    <t>01 Nov 2024</t>
  </si>
  <si>
    <t>Nanomedicine and chemical science for diagnosis and therapy of cancer and cardiovascular</t>
  </si>
  <si>
    <t>02 Dec 2024, 22:34</t>
  </si>
  <si>
    <t>Reunión Anual de la ISHR-Sección Latinoamericana</t>
  </si>
  <si>
    <t>Impact of Sexual Dimorphism on Sarcomere Protein Expression in Bortezomib-Induced Cardiotoxicity</t>
  </si>
  <si>
    <t>Clara Quiroga Lagos (Main Researcher Not part of Central Team); Georthan Mancilla Alvarez (Adjunct Researcher); Hugo Verdejo Pinochet (Adjunct Researcher); Matias Andres Guerra Concha (Undergraduate Thesis)</t>
  </si>
  <si>
    <t>Gender related differences in heart failure</t>
  </si>
  <si>
    <t>02 Dec 2024, 22:31</t>
  </si>
  <si>
    <t>Sexual Dimorphism in Mic19 Expression in a Model of Anthracycline-Induced Cardiac Senescence</t>
  </si>
  <si>
    <t>Pablo Castro Gálvez (Principal Researcher); Clara Quiroga Lagos (Main Researcher Not part of Central Team); Georthan Mancilla Alvarez (Adjunct Researcher); Hugo Verdejo Pinochet (Adjunct Researcher); Wileidy Andrea Gomez Calderon  (Postdoctoral Fellow)</t>
  </si>
  <si>
    <t>Epigenomic landscapes in gastric cancer</t>
  </si>
  <si>
    <t>02 Dec 2024, 22:32</t>
  </si>
  <si>
    <t>02 Nov 2024, 22:10</t>
  </si>
  <si>
    <t>ALAG 2024 - XIX Congreso Latinoamericano de Genética</t>
  </si>
  <si>
    <t>Mapa celular de la diversidad genética en Latinoamérica: resultados y métodos accesibles para todos (LatinCells: creando un mapa de la diversidad latinoamericana en células humanas)</t>
  </si>
  <si>
    <t>Vinicius Ramos Henriques Maracaja Coutinho (Principal Researcher)</t>
  </si>
  <si>
    <t>Integrative Genomics and Systems Biology of Post-Transcriptional Events in Heart Failure</t>
  </si>
  <si>
    <t>15 Nov 2024, 14:54</t>
  </si>
  <si>
    <t>Mesa redonda “Cronobiología, Nutrición y Obesidad” XXIV Congreso de la Sociedad Chilena de Nutrición</t>
  </si>
  <si>
    <t>¿Sí o no al ayuno intermitente? Evidencia, polémicas y experiencia con alimentación en tiempo restringido</t>
  </si>
  <si>
    <t>15 Nov 2024, 14:53</t>
  </si>
  <si>
    <t>XXIV Congreso de la Sociedad Chilena de Nutrición, Bromatología y Toxicología</t>
  </si>
  <si>
    <t>Aspectos claves de las intervenciones basadas en plantas y su efectividad en la modulación de la composición del microbioma intestinal: Una revisión sistemática</t>
  </si>
  <si>
    <t>Vinicius Ramos Henriques Maracaja Coutinho (Principal Researcher); Marcell Horacio Leonario Rodriguez (PhD Thesis)</t>
  </si>
  <si>
    <t>02 Dec 2024, 22:30</t>
  </si>
  <si>
    <t>Avances en alimentos y salud humana</t>
  </si>
  <si>
    <t>Metabolismo, microambiente y malignidad tumoral</t>
  </si>
  <si>
    <t>Nicolas Andres Tobar Bachler ()</t>
  </si>
  <si>
    <t>11 Oct 2024</t>
  </si>
  <si>
    <t>15 Nov 2024, 14:52</t>
  </si>
  <si>
    <t>Neuroscience 2024 - Society for Neuroscience (SfN)</t>
  </si>
  <si>
    <t>Sex-biased effects induced by chronic restraint stress on m6A epitranscriptomics and neuroplasticity in the rat dorsal hippocampus</t>
  </si>
  <si>
    <t>Vinicius Ramos Henriques Maracaja Coutinho (Principal Researcher); Juan Pablo Silva Rodriguez (PhD Thesis); Wladimir Antonio Corrales Ibáñez (PhD Thesis)</t>
  </si>
  <si>
    <t>05 Oct 2024</t>
  </si>
  <si>
    <t>02 Dec 2024, 22:20</t>
  </si>
  <si>
    <t>3rd Annual IIBM PhD Symposium</t>
  </si>
  <si>
    <t>FXa and protease activated receptor 1 (PAR-1) have potential as anti metastatic targets</t>
  </si>
  <si>
    <t>Gareth Owen Jardine (Adjunct Researcher)</t>
  </si>
  <si>
    <t>15 Nov 2024, 14:51</t>
  </si>
  <si>
    <t>Coagulation and sepsis: the potential role of protease activated receptors on endothelial cell activation</t>
  </si>
  <si>
    <t>Gareth Owen Jardine (Adjunct Researcher); Cristian Espinoza (PhD Thesis)</t>
  </si>
  <si>
    <t>02 Dec 2024, 22:18</t>
  </si>
  <si>
    <t>Ephrin-B2 is involved in the formation of Vasculogenic Mimicry</t>
  </si>
  <si>
    <t>Gareth Owen Jardine (Adjunct Researcher); Nicole Babbitt (Undergraduate Thesis)</t>
  </si>
  <si>
    <t>02 Dec 2024, 22:19</t>
  </si>
  <si>
    <t>Universidad de Valparaiso</t>
  </si>
  <si>
    <t>Envejecimiento y enfermedades crónicas no trasmisibles</t>
  </si>
  <si>
    <t>Sergio Alejandro Lavandero Gonzalez (Director)</t>
  </si>
  <si>
    <t>Metabolic signaling in heart failure</t>
  </si>
  <si>
    <t>15 Nov 2024, 14:50</t>
  </si>
  <si>
    <t>"XLVII Annual Meeting Chilean Society of Biochemistry and Molecular Biology"</t>
  </si>
  <si>
    <t>Oral Session 1</t>
  </si>
  <si>
    <t>Vicente Armando Torres Gómez (Adjunct Researcher)</t>
  </si>
  <si>
    <t>15 Nov 2024, 14:40</t>
  </si>
  <si>
    <t>XLVII Annual Meeting Chilean Society for Biochemistry and Molecular Biology</t>
  </si>
  <si>
    <t>Histatin-1, a salivary peptide with regenerative capacity</t>
  </si>
  <si>
    <t>15 Nov 2024, 14:47</t>
  </si>
  <si>
    <t>Identification and characterization of novel lncRNAs in R. norvegicus cardiac fibroblasts</t>
  </si>
  <si>
    <t>Sergio Alejandro Lavandero Gonzalez (Director); Vinicius Ramos Henriques Maracaja Coutinho (Principal Researcher); Allan Peñaloza Otarola (PhD Thesis); Danica Jimenez (PhD Thesis); Francisco Sigcho Garrido (PhD Thesis); Sebastian Urquiza (PhD Thesis)</t>
  </si>
  <si>
    <t>Integrative Genomics and Systems Biology of Post-Transcriptional Events in Heart Failure; Metabolic signaling in heart failure</t>
  </si>
  <si>
    <t>15 Nov 2024, 14:42</t>
  </si>
  <si>
    <t>The long intergenic non-coding RNA 698 is dysregulated during cardiomyocyte differentiation of iPSCs from Down Syndrome individuals</t>
  </si>
  <si>
    <t>Vinicius Ramos Henriques Maracaja Coutinho (Principal Researcher); Valentina María Parra Ortiz (Adjunct Researcher); Francisco Sigcho Garrido (PhD Thesis); Leslye Venegas Zamora (PhD Thesis); Wladimir Antonio Corrales Ibáñez (PhD Thesis)</t>
  </si>
  <si>
    <t>15 Nov 2024, 14:44</t>
  </si>
  <si>
    <t>From biomolecules, vesicles and nanoconstructs to biomedical applications</t>
  </si>
  <si>
    <t>Andrew Frederick Geoffery Quest Minikus (Principal Researcher); Lorena Lobos-Gonzalez (Adjunct Researcher)</t>
  </si>
  <si>
    <t>15 Nov 2024, 14:45</t>
  </si>
  <si>
    <t>Nanoformulations of curcumin and their applications in cancer prevention and treatment</t>
  </si>
  <si>
    <t>Andrew Frederick Geoffery Quest Minikus (Principal Researcher)</t>
  </si>
  <si>
    <t>15 Nov 2024, 14:48</t>
  </si>
  <si>
    <t>Novel molecular and cellular insights of non-canonical renin-angiotensin system in cardiovascular diseases.</t>
  </si>
  <si>
    <t>15 Nov 2024, 14:49</t>
  </si>
  <si>
    <t>XLVII Reunión Anual 2024 Sociedad de Bioquímica y Biología Molecular de Chile</t>
  </si>
  <si>
    <t>“Insulin regulates MUL1 expression in cultured skeletal muscle cells”</t>
  </si>
  <si>
    <t>Erick Lopez (Master Thesis)</t>
  </si>
  <si>
    <t>29 Nov 2024, 14:31</t>
  </si>
  <si>
    <t>Assessment of vascular remodeling and senescence in a mouse model heart failure with preserved ejection fraction</t>
  </si>
  <si>
    <t>Francisca Valenzuela (Master Thesis)</t>
  </si>
  <si>
    <t>Cardiometabolic effect of angiotensin-(1-9) on diabetic cardiomyopathy</t>
  </si>
  <si>
    <t>Ignacio Norambuena (Postdoctoral Fellow)</t>
  </si>
  <si>
    <t>29 Nov 2024, 14:32</t>
  </si>
  <si>
    <t>Cardiomyocyte vascular cell adhesion molecule 1 (VCAM-1) decreases during palmitic acid-induced cardiomyocyte hypertrophy and cell death.</t>
  </si>
  <si>
    <t>Laura Navarrete (Master Thesis)</t>
  </si>
  <si>
    <t>Cardiomyocyte VCAM-1 prevents cardiac dysfunction induced by a high-fat diet.</t>
  </si>
  <si>
    <t>Mayarling Troncoso (Postdoctoral Fellow)</t>
  </si>
  <si>
    <t>29 Nov 2024, 14:33</t>
  </si>
  <si>
    <t>Exploring regulatory effects of stress and corticosterone on the m6A landscape ofthe dorsal hippocampus in male and female rats</t>
  </si>
  <si>
    <t>Juan Pablo Silva Rodriguez (PhD Thesis); Wladimir Antonio Corrales Ibáñez (PhD Thesis)</t>
  </si>
  <si>
    <t>29 Nov 2024, 14:36</t>
  </si>
  <si>
    <t>Extracellular vesicles from MDA-MB-231 breast cancer cells enhance endothelial cell tube formation in a Caveolin-1-dependent manner.</t>
  </si>
  <si>
    <t>Mariana Cifuentes Koster (Principal Researcher); Andrew Frederick Geoffery Quest Minikus (Principal Researcher); Lisette - Leyton Campos (Adjunct Researcher); Sofía Amaranta Sanhueza Gatica (PhD Thesis)</t>
  </si>
  <si>
    <t>29 Nov 2024, 14:37</t>
  </si>
  <si>
    <t>Fibroblast activated protein (FAP): a novel target for the early detection of cardiac fibrosis and fibrogenesis.</t>
  </si>
  <si>
    <t>Yanay Montano Peguero (PhD Thesis)</t>
  </si>
  <si>
    <t>29 Nov 2024, 15:18</t>
  </si>
  <si>
    <t>Mic19 expression and sexual dimorphism in an anthracycline-induced cardiac senescence model.</t>
  </si>
  <si>
    <t>29 Nov 2024, 15:19</t>
  </si>
  <si>
    <t>MicroRNAs Recovered from Biobank Samples as Biomarker Candidates in Cancer Research. Kevin Guzmán-Nawrath.</t>
  </si>
  <si>
    <t>Lorena Lobos-Gonzalez (Adjunct Researcher); Kevin Guzman Nawrath (Master Thesis)</t>
  </si>
  <si>
    <t>29 Nov 2024, 15:20</t>
  </si>
  <si>
    <t>miR-15b Modulation of p53/p21cip and p16ink4A Pathways in Cardiomyocyte.</t>
  </si>
  <si>
    <t>Pablo Castro Gálvez (Principal Researcher); Clara Quiroga Lagos (Main Researcher Not part of Central Team); Georthan Mancilla Alvarez (Adjunct Researcher); Hugo Verdejo Pinochet (Adjunct Researcher)</t>
  </si>
  <si>
    <t xml:space="preserve">Mitochondrial E3 ligase MUL1 prevents early cardiac remodeling induced by angiotensin II </t>
  </si>
  <si>
    <t>Magda Carolina Diaz (Postdoctoral Fellow)</t>
  </si>
  <si>
    <t>29 Nov 2024, 15:21</t>
  </si>
  <si>
    <t>N6-methyladenosine (m6A) epitranscriptomic changes induced by chronic stress in neuropile stratum of CA1 region in rat hippocampus</t>
  </si>
  <si>
    <t>29 Nov 2024, 15:22</t>
  </si>
  <si>
    <t>Outer membrane vesicles from Helicobacter pylori (Hp) promote NFkB activation mediated by TLR2 in astrocytes</t>
  </si>
  <si>
    <t>Lisette - Leyton Campos (Adjunct Researcher)</t>
  </si>
  <si>
    <t>Potential competing endogenous long non-coding RNAs in heart failure as epithelial-mesenchymal transition regulators of colon cancer genes</t>
  </si>
  <si>
    <t>Sergio Alejandro Lavandero Gonzalez (Director); Vinicius Ramos Henriques Maracaja Coutinho (Principal Researcher); Roberto Andrés Munita Robert (Adjunct Researcher); Vicente Armando Torres Gómez (Adjunct Researcher); Ignacio Norambuena (Postdoctoral Fellow); Allan Peñaloza Otarola (PhD Thesis); Danica Jimenez (PhD Thesis); Francisco Sigcho Garrido (PhD Thesis); Wladimir Antonio Corrales Ibáñez (PhD Thesis)</t>
  </si>
  <si>
    <t>29 Nov 2024, 15:24</t>
  </si>
  <si>
    <t>Role of mitochondrial E3 ubiquitin ligase MUL1 in heart failure with preserved ejection fraction (HEpEF)</t>
  </si>
  <si>
    <t>Angelica Ortega (PhD Thesis)</t>
  </si>
  <si>
    <t>29 Nov 2024, 15:25</t>
  </si>
  <si>
    <t>Role of the Primary cilium in maintaining the contractile phenotype of vascular smooth muscle cells.</t>
  </si>
  <si>
    <t>Georthan Mancilla Alvarez (Adjunct Researcher); Zully Pedrozo Cibils (Adjunct Researcher); Hugo Verdejo Pinochet (Adjunct Researcher)</t>
  </si>
  <si>
    <t>Senescence in rat aorta vascular smooth muscle cells induced by iNOS.</t>
  </si>
  <si>
    <t>Andrea Mella Torres (PhD Thesis)</t>
  </si>
  <si>
    <t>29 Nov 2024, 15:26</t>
  </si>
  <si>
    <t>Transcriptome-guided assembly for coding and non-coding RNAs in cardiac hypertrophy induced by norepinephrine</t>
  </si>
  <si>
    <t>Sergio Alejandro Lavandero Gonzalez (Director); Vinicius Ramos Henriques Maracaja Coutinho (Principal Researcher); Allan Peñaloza Otarola (PhD Thesis); Sebastian Urquiza (PhD Thesis)</t>
  </si>
  <si>
    <t>29 Nov 2024, 15:27</t>
  </si>
  <si>
    <t>Two types of physical training improve diastolic function in an experimental HFpEF model, saludos</t>
  </si>
  <si>
    <t>FRANCISCO PINO (PhD Thesis)</t>
  </si>
  <si>
    <t>Novel target for cardiac fibrosis detection using nanotechnology</t>
  </si>
  <si>
    <t>Marcelo Javier Kogan Bocian (Principal Researcher)</t>
  </si>
  <si>
    <t>29 Nov 2024, 15:28</t>
  </si>
  <si>
    <t>Gender related differences in heart failure; Metabolic signaling in heart failure</t>
  </si>
  <si>
    <t>02 Nov 2024, 22:03</t>
  </si>
  <si>
    <t>Pablo Castro Gálvez (Principal Researcher); Clara Quiroga Lagos (Main Researcher Not part of Central Team); Georthan Mancilla Alvarez (Adjunct Researcher); Zully Pedrozo Cibils (Adjunct Researcher); Hugo Verdejo Pinochet (Adjunct Researcher)</t>
  </si>
  <si>
    <t>02 Nov 2024, 22:05</t>
  </si>
  <si>
    <t>02 Nov 2024, 22:07</t>
  </si>
  <si>
    <t>XXXV Reunion Anual Sociedad Chilena de Reproduccion y Desarrollo</t>
  </si>
  <si>
    <t>Effects of estetrol on proliferation and viability in cell lines derived from estrogen-dependent pathologies</t>
  </si>
  <si>
    <t>29 Nov 2024, 14:30</t>
  </si>
  <si>
    <t>59º MEDTROP - Congresso da Sociedade Brasileira de Medicina Tropical</t>
  </si>
  <si>
    <t>Análise transcriptômica do PBMC de pacientes com reações hansenícas do tipo I (RR) e II (ENH)</t>
  </si>
  <si>
    <t>Vinicius Ramos Henriques Maracaja Coutinho (Principal Researcher); Joyce Karoline da Silva (PhD Thesis)</t>
  </si>
  <si>
    <t>15 Nov 2024, 14:39</t>
  </si>
  <si>
    <t>Human Cell Atlas General Meeting 2024</t>
  </si>
  <si>
    <t>Breakout Session: What are the major computational challenges for the HCA?</t>
  </si>
  <si>
    <t>18 Nov 2024, 23:24</t>
  </si>
  <si>
    <t>XXI Congreso Argentino de medicina reproductiva</t>
  </si>
  <si>
    <t>Efectos del estetrol sobre la proliferacion y viabilidad en lineas celulares derivadas de patologias dependientes de estradiol</t>
  </si>
  <si>
    <t>12 Sep 2024</t>
  </si>
  <si>
    <t>14 Sep 2024</t>
  </si>
  <si>
    <t>29 Nov 2024, 14:29</t>
  </si>
  <si>
    <t>37th Workshop of the European Helicobacter and Microbiota Study Group</t>
  </si>
  <si>
    <t>The cap-independent translation of the Survivin 5’ untranslated region (5’UTR) and viral IRES sequences is inhibited by H. pylori infection in gastric cells</t>
  </si>
  <si>
    <t>Andrew Frederick Geoffery Quest Minikus (Principal Researcher); Manuel Valenzuela Valderrama (Adjunct Researcher)</t>
  </si>
  <si>
    <t>15 Nov 2024, 14:30</t>
  </si>
  <si>
    <t>4ta Edición International Society for Neurochemistry</t>
  </si>
  <si>
    <t>Pharmacological applications of nanoformulations using exosomes</t>
  </si>
  <si>
    <t>08 Sep 2024</t>
  </si>
  <si>
    <t>15 Nov 2024, 14:28</t>
  </si>
  <si>
    <t>Systemic nanoscale vesicles from Helicobacter pylori alters astrocyte functionality inducing neurodegeneration</t>
  </si>
  <si>
    <t>II Jornadas de Investigación e Innovación - Postgrado y Educación Continua de la Facultad de Ciencias Químicas y Farmacéuticas.</t>
  </si>
  <si>
    <t>Resultados de una estancia de investigación en Argentina: Recuperación de ARN a partir de muestras de biobanco para evaluar biomarcadores</t>
  </si>
  <si>
    <t>Andrew Frederick Geoffery Quest Minikus (Principal Researcher); Kevin Guzman Nawrath (Master Thesis)</t>
  </si>
  <si>
    <t>06 Sep 2024</t>
  </si>
  <si>
    <t>29 Nov 2024, 14:28</t>
  </si>
  <si>
    <t>ISEE 2024: 36th Annual Conference of the International Society of Environmental Epidemiology</t>
  </si>
  <si>
    <t>SANDRA ISABEL CORTES ARANCIBIA (Principal Researcher)</t>
  </si>
  <si>
    <t>Chemical Exposure in the Onset and Progression of Chronic Diseases</t>
  </si>
  <si>
    <t>18 Nov 2024, 23:27</t>
  </si>
  <si>
    <t>Evaluation of a screening questionnaire for agricultural workers exposed to organophosphate pesticides to strengthen the Chilean epidemiological surveillance system</t>
  </si>
  <si>
    <t>18 Nov 2024, 23:28</t>
  </si>
  <si>
    <t>Evaluation of pesticide exposure and metabolic health indicators among adults in the agricultural community of Molina, Chile</t>
  </si>
  <si>
    <t>18 Nov 2024, 23:29</t>
  </si>
  <si>
    <t>Exposure to pesticides in Chile and its relationship with carcinogenic potential: a review</t>
  </si>
  <si>
    <t>First Biomonitoring Study on Bisphenols, Parabens and Benzophenones in the Chilean population: Maule Cohort (MAUCO)</t>
  </si>
  <si>
    <t>18 Nov 2024, 23:30</t>
  </si>
  <si>
    <t>Measuring exposures to agrochemicals and their link to renal disease: a pilot study</t>
  </si>
  <si>
    <t>18 Nov 2024, 23:47</t>
  </si>
  <si>
    <t>Mycotoxin exposure and their potential risk in the Maule Cohort (MAUCO), Chile.</t>
  </si>
  <si>
    <t>18 Nov 2024, 23:48</t>
  </si>
  <si>
    <t>Occupational Pesticide Exposure Is Associated with Symptomatic Gallstone Disease in Baseline Data from the Chile Biliary Longitudinal Study (Chile BiLS)</t>
  </si>
  <si>
    <t>Risk assessment of heavy metals due to the consumption of sea products in the Chilean population</t>
  </si>
  <si>
    <t>Claudia Foerster Guzmán (Main Researcher Not part of Central Team)</t>
  </si>
  <si>
    <t>Digestive cancer natural history</t>
  </si>
  <si>
    <t>18 Nov 2024, 23:49</t>
  </si>
  <si>
    <t>Space and space-time cluster at high risk of lung cancer mortality in the south-central macrozone, Chile (1990-2019)</t>
  </si>
  <si>
    <t>fresia catterina ferreccio readi (Adjunct Researcher)</t>
  </si>
  <si>
    <t>18 Nov 2024, 23:50</t>
  </si>
  <si>
    <t>Genética 2024 - 69o Congresso Brasileiro de Genética</t>
  </si>
  <si>
    <t>Deciphering the role of lncRNAs in cellular function and development through single-cell sequencing</t>
  </si>
  <si>
    <t>20 Aug 2024</t>
  </si>
  <si>
    <t>15 Nov 2024, 12:38</t>
  </si>
  <si>
    <t>Regulatory roles of snoRNAs and snRNA variants in ribosome and spliceosome heterogeneity: implications for cell differentiation and cancer</t>
  </si>
  <si>
    <t>Roberto Andrés Munita Robert (Adjunct Researcher)</t>
  </si>
  <si>
    <t>15 Nov 2024, 12:39</t>
  </si>
  <si>
    <t xml:space="preserve">International Congress of the Brazilian Genetics Society - 69ºCBG. </t>
  </si>
  <si>
    <t>Cell-type specific characteristics of long non-coding RNAs (lncRNAs) identified in rat cardiomyocytes and hippocampal neurons are emphasized by Nanopore RNA-seq</t>
  </si>
  <si>
    <t>Sergio Alejandro Lavandero Gonzalez (Director); Vinicius Ramos Henriques Maracaja Coutinho (Principal Researcher); Sebastian Urquiza (PhD Thesis); Laura Shimohara Bradaschia (Master Thesis); Maria Bárbara Borges de Santana (Master Thesis)</t>
  </si>
  <si>
    <t>29 Nov 2024, 14:27</t>
  </si>
  <si>
    <t>XIth SCAR – Open Science Conference &amp; Biennial Meetings</t>
  </si>
  <si>
    <t>Clinical health status and biomonitoring of pollutants in adults living in Antarctica: a novel study</t>
  </si>
  <si>
    <t>18 Nov 2024, 23:23</t>
  </si>
  <si>
    <t>Single Cell LATAM Symposium: Connecting Communities and Advancing Research</t>
  </si>
  <si>
    <t>Human Cell Atlas Data Structure and Governance</t>
  </si>
  <si>
    <t>17 Aug 2024</t>
  </si>
  <si>
    <t>15 Nov 2024, 12:37</t>
  </si>
  <si>
    <t>Single Cell Genomics - Latin America &amp; the Caribbean</t>
  </si>
  <si>
    <t>Designing unbiased and inclusive assays  in genomic studies</t>
  </si>
  <si>
    <t>09 Aug 2024</t>
  </si>
  <si>
    <t>15 Nov 2024, 12:35</t>
  </si>
  <si>
    <t>Simposio Interdisciplinario de Ingeniería Química:Innovación en Procesos Sostenibles para la industria Química y de Alimentos</t>
  </si>
  <si>
    <t>Desafíos y oportunidades para el desarrollo de la biotecnología en Chile</t>
  </si>
  <si>
    <t>15 Nov 2024, 12:36</t>
  </si>
  <si>
    <t>UNESCO</t>
  </si>
  <si>
    <t>¿La mision de Investigar en una Universidad Publica?</t>
  </si>
  <si>
    <t>15 Nov 2024, 12:33</t>
  </si>
  <si>
    <t>Facultad de Ciencias Quimicas y Framaceuticas de la Universidad de Chile</t>
  </si>
  <si>
    <t>Cronica de una Inteligencia Artificial Anunciada:Desafios y Oportunidades en Investigacio Inovacion y Docencia</t>
  </si>
  <si>
    <t>15 Nov 2024, 12:34</t>
  </si>
  <si>
    <t>1er Congreso Interdisciplinario en Ciencias de la Salud</t>
  </si>
  <si>
    <t>Exposición a micotoxinas y su riego para la salud de la población chilena: una visión desde una salud</t>
  </si>
  <si>
    <t>02 Aug 2024</t>
  </si>
  <si>
    <t>18 Nov 2024, 23:51</t>
  </si>
  <si>
    <t>2024 Human Cell Atlas Latin America Symposium</t>
  </si>
  <si>
    <t>Building a community for single-cell research in Latin America</t>
  </si>
  <si>
    <t>29 Jul 2024</t>
  </si>
  <si>
    <t>30 Jul 2024</t>
  </si>
  <si>
    <t>15 Nov 2024, 12:32</t>
  </si>
  <si>
    <t>Nanopore Day 2024</t>
  </si>
  <si>
    <t>Assessing sex- and stress-biased m6A effects on the dorsal hippocampus through multiplexed direct RNA sequencing</t>
  </si>
  <si>
    <t>29 Nov 2024, 14:26</t>
  </si>
  <si>
    <t xml:space="preserve">Universidad  Catolica de Cuenca </t>
  </si>
  <si>
    <t>TRASPASANDO FRONTERAS EN INVESTIGACIÓN E INNOVACIÓN EN ENFERMEDADES CRÓNICAS</t>
  </si>
  <si>
    <t>15 Nov 2024, 12:31</t>
  </si>
  <si>
    <t xml:space="preserve">32nd Conference on Intelligent Systems for Molecular Biology (ISMB) </t>
  </si>
  <si>
    <t>Epitranscriptomic m6A changes in coding and non-coding transcripts induced by hypertrophic stimulus in neonatal ventricular rat myocytes</t>
  </si>
  <si>
    <t>29 Nov 2024, 14:25</t>
  </si>
  <si>
    <t>Universidad Mayor</t>
  </si>
  <si>
    <t>Desafios y oprtunidades para la Investigacion Biomedica en Chile</t>
  </si>
  <si>
    <t>15 Nov 2024, 12:29</t>
  </si>
  <si>
    <t xml:space="preserve">48th Meeting of The European Biochemical Societies (FEBS) Milán </t>
  </si>
  <si>
    <t>New molecular and cellular insights in cardiovascular diseases</t>
  </si>
  <si>
    <t>15 Nov 2024, 12:28</t>
  </si>
  <si>
    <t>10th Iberian Meeting on Colloids and Interfaces</t>
  </si>
  <si>
    <t>Microfluidic Platform for Enhanced Detection of Breast Cancer Cell Line-Derived Exosomes</t>
  </si>
  <si>
    <t>Natalia Andrea Hassan Lopez (Adjunct Researcher)</t>
  </si>
  <si>
    <t>15 Nov 2024, 12:26</t>
  </si>
  <si>
    <t>X International Symposium on Helicobacter pylori Infection, Gastric Cancer and Microbiota</t>
  </si>
  <si>
    <t>EBV-positive gastric cancer</t>
  </si>
  <si>
    <t>Alejandro Hernan Corvalan Rodriguez (Principal Researcher)</t>
  </si>
  <si>
    <t>15 Nov 2024, 12:25</t>
  </si>
  <si>
    <t>X-Meeting 2024: The Brazilian Conference on Bioinformatics</t>
  </si>
  <si>
    <t>15 Nov 2024, 12:23</t>
  </si>
  <si>
    <t>20º Congresso Brasileiro de Bioinformática: X-Meeting 2024</t>
  </si>
  <si>
    <t>Nanopore direct RNA sequencing reveals a myriad of antisense, intergenic and alternatively spliced isoforms of long non-coding RNAs</t>
  </si>
  <si>
    <t>Sergio Alejandro Lavandero Gonzalez (Director); Vinicius Ramos Henriques Maracaja Coutinho (Principal Researcher); Juan Pablo Silva Rodriguez (PhD Thesis); Sebastian Urquiza (PhD Thesis); Laura Shimohara Bradaschia (Master Thesis); Maria Bárbara Borges de Santana (Master Thesis)</t>
  </si>
  <si>
    <t>29 Nov 2024, 00:28</t>
  </si>
  <si>
    <t>1º Congreso Nacional de Ciencia, Tecnología, Conocimiento e Innovación con Perspectiva de Género</t>
  </si>
  <si>
    <t xml:space="preserve">¿Quiénes se benefician con el cambio del diagnostico enfermedad por hígado graso?: análisis en la cohorte MAUCO </t>
  </si>
  <si>
    <t>Laura Andrea Huidobro Muñoz (Principal Researcher); Marco Antonio Arrese Jimenez (Main Researcher Not part of Central Team); fresia catterina ferreccio readi (Adjunct Researcher); María de los Angeles Spencer (PhD Thesis); Franco Aaron Godoy Herrera (Undergraduate Thesis)</t>
  </si>
  <si>
    <t>Digestive cancer natural history; Predictors for Diabetes Mellitus, Requiring Insulin and Implementation of Continuous Glucose Monitoring Devices</t>
  </si>
  <si>
    <t>15 Nov 2024, 14:57</t>
  </si>
  <si>
    <t>Impacto de una intervención en el rendimiento funcional, masa muscular y actividad objetiva en mujeres, Intervención MAUCO+. Resultados preliminares</t>
  </si>
  <si>
    <t>Laura Andrea Huidobro Muñoz (Principal Researcher); Marco Antonio Arrese Jimenez (Main Researcher Not part of Central Team); Natalia Bustamante-Ara (Main Researcher Not part of Central Team); fresia catterina ferreccio readi (Adjunct Researcher); Franco Aaron Godoy Herrera (Undergraduate Thesis)</t>
  </si>
  <si>
    <t>15 Nov 2024, 14:59</t>
  </si>
  <si>
    <t>Mas allá del Índice de Masa Corporal: Obesidad y Salud Metabólica en una comuna agrícola del Maule, Chile</t>
  </si>
  <si>
    <t>Laura Andrea Huidobro Muñoz (Principal Researcher); fresia catterina ferreccio readi (Adjunct Researcher); Gladys del Carmen Quezada Figueroa (PhD Thesis); Franco Aaron Godoy Herrera (Undergraduate Thesis)</t>
  </si>
  <si>
    <t>15 Nov 2024, 15:01</t>
  </si>
  <si>
    <t>Historias de proyectos y estrategias de vinculación con la sociedad: ACCDiS</t>
  </si>
  <si>
    <t>15 Nov 2024, 12:21</t>
  </si>
  <si>
    <t>2do Congreso de Estudiantes de Postgrado en Ciencias y Salud.</t>
  </si>
  <si>
    <t>¿¡Por qué Batman y no Superman?! La búsqueda de la pertenencia”</t>
  </si>
  <si>
    <t>22 May 2024</t>
  </si>
  <si>
    <t>25 May 2024</t>
  </si>
  <si>
    <t>15 Nov 2024, 12:19</t>
  </si>
  <si>
    <t>1er Congreso de Estudiantes de Postgrado en Ciencias y Salud.</t>
  </si>
  <si>
    <t>Caracterización de Vesículas Extracelulares Pequeñas de Pacientes con Cáncer de Mama y Donantes Libres de la Enfermedad”</t>
  </si>
  <si>
    <t>Ana Luisa Riveros Salvatierra (Adjunct Researcher); Lorena Lobos-Gonzalez (Adjunct Researcher); Eduardo Felipe Durán (PhD Thesis); Kevin Guzman Nawrath (Master Thesis); Matías Ignacio del Campo Smith (Master Thesis)</t>
  </si>
  <si>
    <t>15 Nov 2024, 12:20</t>
  </si>
  <si>
    <t>THE 3R-LÄND CONFERENCE 2024, TÜBINGEN</t>
  </si>
  <si>
    <t>Brain-blood barrier-on-a-chip to evaluate the permeability and protective performance of a beta-amyloid inhibitor based on functionalized gold nanoparticles</t>
  </si>
  <si>
    <t>Marcelo Javier Kogan Bocian (Principal Researcher); Natalia Andrea Hassan Lopez (Adjunct Researcher); Andreas Leonardo Tapia Arellano (Postdoctoral Fellow); Elizabeth Nicole Cortés Adasme (PhD Thesis)</t>
  </si>
  <si>
    <t>29 Nov 2024, 00:27</t>
  </si>
  <si>
    <t>Digestive Disease Week (DDW) 2024</t>
  </si>
  <si>
    <t>DYSREGULATION OF KCNQ1OT1 AND ITS COMPETING ENDOGENOUS RNA (CERNA)NETWORK AFTER H. PYLORI INFECTION: ROLE IN GASTRIC CANCER PATHOGENESIS</t>
  </si>
  <si>
    <t>Alejandro Hernan Corvalan Rodriguez (Principal Researcher); Andrew Frederick Geoffery Quest Minikus (Principal Researcher); Wilda del Carmen Olivares Diaz (Main Researcher Not part of Central Team); Francisco Javier Carvajal Cachaña (Postdoctoral Fellow); Pablo Moises Santoro Villavicencio (PhD Thesis)</t>
  </si>
  <si>
    <t>Epigenomic landscapes in gastric cancer; Tumor cell biology and inflammation</t>
  </si>
  <si>
    <t>29 Nov 2024, 00:24</t>
  </si>
  <si>
    <t>Biennial Meeting Society for Research on Biological Rhythms</t>
  </si>
  <si>
    <t>Elevated mRNA Expression of Clock Genes Clock and Rev-erb? Associated With a Healthier Profile in Adults With Obesity</t>
  </si>
  <si>
    <t>Mariana Cifuentes Koster (Principal Researcher); Rodrigo Andrés Chamorro Melo (Adjunct Researcher); Gabriela Yuri Vogel (PhD Thesis); Natalia Santillana Tobar (PhD Thesis); Liliana Soto (Master Thesis)</t>
  </si>
  <si>
    <t>29 Nov 2024, 00:25</t>
  </si>
  <si>
    <t>Avances en las bases moleculares y celulares de la insuficiencia cardiaca” y “Angiotensina-(1-9): un nuevo regulador del sistema cardiovascular”.</t>
  </si>
  <si>
    <t>29 Apr 2024</t>
  </si>
  <si>
    <t>15 Nov 2024, 12:17</t>
  </si>
  <si>
    <t>Global Breast Cancer Conference 2024 (GBCC 2024)</t>
  </si>
  <si>
    <t>Aptamer based blockage of Epithelial-Mesenchymal transition promoted by extracellular vesicles secreted by triple negative breast cancer cells.</t>
  </si>
  <si>
    <t>Marcelo Javier Kogan Bocian (Principal Researcher); Ana Luisa Riveros Salvatierra (Adjunct Researcher); Lorena Lobos-Gonzalez (Adjunct Researcher); Cristina Mayorga Lobos (Master Thesis)</t>
  </si>
  <si>
    <t>25 Apr 2024</t>
  </si>
  <si>
    <t>27 Apr 2024</t>
  </si>
  <si>
    <t>Nanomedicine and chemical science for diagnosis and therapy of cancer and cardiovascular; Tumor cell biology and inflammation</t>
  </si>
  <si>
    <t>29 Nov 2024, 00:22</t>
  </si>
  <si>
    <t>XII Congress of Toxicology in Developing Countries</t>
  </si>
  <si>
    <t>Dietary exposure to pesticides in Coquimbo, O’Higgins, and Maule populations because of fruit and vegetable consumption</t>
  </si>
  <si>
    <t>15 Nov 2024, 15:05</t>
  </si>
  <si>
    <t>Exposures to pesticides in an occupational chilean cohort: evidence from MAUCO</t>
  </si>
  <si>
    <t>15 Nov 2024, 15:07</t>
  </si>
  <si>
    <t>American Association for Cancer Research</t>
  </si>
  <si>
    <t>Deciphering the genomic landscape of Chilean cancer: Unveiling driver pathway divergence, and novel germline and actionable somatic variants</t>
  </si>
  <si>
    <t>Alejandro Hernan Corvalan Rodriguez (Principal Researcher); Gareth Owen Jardine (Adjunct Researcher)</t>
  </si>
  <si>
    <t>10 Apr 2024</t>
  </si>
  <si>
    <t>02 Dec 2024, 22:39</t>
  </si>
  <si>
    <t>Tumor genomic heterogeneity in non-small cell lung cancer (NSCLC) patients from Latin America</t>
  </si>
  <si>
    <t>02 Dec 2024, 22:40</t>
  </si>
  <si>
    <t>Vasculogenic mimicry: A three-step progress to form lumen-containing and fluid-conducting tubular structures in vitro</t>
  </si>
  <si>
    <t>Gareth Owen Jardine (Adjunct Researcher); Gema Santander (PhD Thesis); Nicole Babbitt (Undergraduate Thesis)</t>
  </si>
  <si>
    <t>02 Dec 2024, 22:41</t>
  </si>
  <si>
    <t>AACR Annual Meeting 2024</t>
  </si>
  <si>
    <t>Interobserver agreement in ultrasounddetected steatotic liver in the Chile Biliary Longitudinal Study (BiLS)</t>
  </si>
  <si>
    <t>María Paz Cook Herrera (Main Researcher Not part of Central Team); fresia catterina ferreccio readi (Adjunct Researcher); María de los Angeles Spencer (PhD Thesis)</t>
  </si>
  <si>
    <t>02 Dec 2024, 22:42</t>
  </si>
  <si>
    <t>Academia Chilena de Medicina</t>
  </si>
  <si>
    <t>Avances en el conocimiento logrado por el Centro de Excelencia chileno para el Estudio de las Enfermedades crónicas</t>
  </si>
  <si>
    <t>03 Apr 2024</t>
  </si>
  <si>
    <t>15 Nov 2024, 12:16</t>
  </si>
  <si>
    <t>course: Tiny packages with big impact: Workshop on Extracellular Vesicles Separation and Characterization</t>
  </si>
  <si>
    <t>Caracterización de pequeñas vesículas extracelulares de pacientes con cáncer de mama y donantes sanos</t>
  </si>
  <si>
    <t>Ana Luisa Riveros Salvatierra (Adjunct Researcher); Lorena Lobos-Gonzalez (Adjunct Researcher); Eduardo Felipe Durán (PhD Thesis); Kevin Guzman Nawrath (Master Thesis)</t>
  </si>
  <si>
    <t>10 Mar 2024</t>
  </si>
  <si>
    <t>29 Nov 2024, 00:21</t>
  </si>
  <si>
    <t>Workshop "Genómica en acción: hacia la medicina personalizada"  Tecnológico de Monterrey</t>
  </si>
  <si>
    <t>Evaluación de compuestos bioactivos en un modelo de inflamación y diabetes tipo 2 en Drosophila melanogaster</t>
  </si>
  <si>
    <t>02 Mar 2024</t>
  </si>
  <si>
    <t>15 Nov 2024, 12:14</t>
  </si>
  <si>
    <t>Summer School in Obesity</t>
  </si>
  <si>
    <t>Obesity-related diseases: an adipocentric view</t>
  </si>
  <si>
    <t>22 Jan 2024</t>
  </si>
  <si>
    <t>18 Nov 2024, 23:25</t>
  </si>
  <si>
    <t>Rodrigo Andrés Chamorro Melo (Adjunct Researcher)</t>
  </si>
  <si>
    <t>18 Nov 2024, 23:26</t>
  </si>
  <si>
    <t>"4th International Symposium Cancer and Inflammation: from cell biology to therapy"</t>
  </si>
  <si>
    <t>Exploring the differences in microRNA content between plasma small extracellular vesicles (psEVs) derived from breast cancer patients and healthy donors</t>
  </si>
  <si>
    <t>02 Dec 2024, 22:43</t>
  </si>
  <si>
    <t>4th International Symposium Cancer and Inflammation: from cell biology to therapy</t>
  </si>
  <si>
    <t>Inmuno-blockade of Lactadherin present in extracellular vesicles decreases metastasis capacities in inflammatory breast cancer models</t>
  </si>
  <si>
    <t>18 Nov 2024, 23:20</t>
  </si>
  <si>
    <t xml:space="preserve">On the role of Caveolin-1- containing cancer cell derived extracellular vesicles in inflammation and metastasis. </t>
  </si>
  <si>
    <t>18 Nov 2024, 23:21</t>
  </si>
  <si>
    <t>Mechanistic insights to elevated cancer risk in obesity</t>
  </si>
  <si>
    <t>18 Nov 2024, 23:22</t>
  </si>
  <si>
    <t>"Péptidos terapéuticos para bioaplicaciones"</t>
  </si>
  <si>
    <t>Péptidos miméticos del sistema renina-angiotensina en la farmacología cardiovascular</t>
  </si>
  <si>
    <t>12 Jan 2024</t>
  </si>
  <si>
    <t>15 Nov 2024, 12:15</t>
  </si>
  <si>
    <t>Javier Octavio Morales Montecinos (Adjunct Researcher)</t>
  </si>
  <si>
    <t>AACR Annual Meeting 2020</t>
  </si>
  <si>
    <t>"An additive effect of ebv-miR-BART5-5p and hsa-miR18a-5p in the downregulation of CDH1 transcript in Epstein-Barr virus associated gastric cancer"</t>
  </si>
  <si>
    <t>Alejandro Hernan Corvalan Rodriguez (Principal Researcher); María José Maturana Rojas (Adjunct Researcher); Iva Polakovicova (Adjunct Researcher); Vinicius Ramos Henriques Maracaja Coutinho (Adjunct Researcher); Keila Torres (Postdoctoral Fellow); Natalia Landeros  (Postdoctoral Fellow); Ignacio Wichmann  (PhD Thesis); Allan Javier Peñaloza Otarola  (Master Thesis)</t>
  </si>
  <si>
    <t>Franz Villaroel-Espindola</t>
  </si>
  <si>
    <t>01 Jun 2024</t>
  </si>
  <si>
    <t>Digestive cancer natural history; Epigenomic landscapes in gastric cancer</t>
  </si>
  <si>
    <t>02 Nov 2020, 14:58</t>
  </si>
  <si>
    <t>Clara Quiroga Lagos (Main Researcher Not part of Central Team); Georthan Mancilla Alvarez (Adjunct Researcher); Hugo Verdejo Pinochet (Adjunct Researcher)</t>
  </si>
  <si>
    <t>Venezuela</t>
  </si>
  <si>
    <t>23 Nov 1924</t>
  </si>
  <si>
    <t>02 Nov 2024, 22:08</t>
  </si>
  <si>
    <t>15150012</t>
  </si>
  <si>
    <t>Felipe Alfredo Court Goldsmith (Director)</t>
  </si>
  <si>
    <t>Clinical aspects associated to aging in Chile</t>
  </si>
  <si>
    <t>Interventions to improve the quality of life of elderly people</t>
  </si>
  <si>
    <t>Jovenes conciencia</t>
  </si>
  <si>
    <t>Bárbara Saavedra (PhD Thesis); Felipe Veliz  Valverde (PhD Thesis)</t>
  </si>
  <si>
    <t>18 Dec 2024, 12:22</t>
  </si>
  <si>
    <t>XXXVI Reunión Anual de la Sociedad de Biología Celular</t>
  </si>
  <si>
    <t>Unveiling Cytoskeletal Changes in Senescent  Astrocytes</t>
  </si>
  <si>
    <t>Cristopher Villablanca (Postdoctoral Fellow)</t>
  </si>
  <si>
    <t>18 Dec 2024, 12:33</t>
  </si>
  <si>
    <t>Targeting Central and Peripheral Innervation to Prevent and Reverse Age-Related Conditions</t>
  </si>
  <si>
    <t>19 Nov 2024</t>
  </si>
  <si>
    <t>Preclinical models to evaluate the contribution of the hallmarks or pillars of aging</t>
  </si>
  <si>
    <t>18 Dec 2024, 12:32</t>
  </si>
  <si>
    <t>Mitochondrial impairments in directly induced neurons from frontotemporal dementia patients associated with the mutation G389R in Tau</t>
  </si>
  <si>
    <t>Camila Gudenschwager Ruiz (PhD Thesis)</t>
  </si>
  <si>
    <t>18 Dec 2024, 12:45</t>
  </si>
  <si>
    <t>Nutrition and Aging: Lessons from Animal Model and Human Studies</t>
  </si>
  <si>
    <t>Christian Enrique Gonzalez Billault (Principal Researcher)</t>
  </si>
  <si>
    <t>Interventions to improve the quality of life of elderly people; Preclinical models to evaluate the contribution of the hallmarks or pillars of aging</t>
  </si>
  <si>
    <t>18 Dec 2024, 12:29</t>
  </si>
  <si>
    <t>Unveiling Systemic and Brain Dysfunctions in Parkinson's Disease: Exploring the Impact of Immunomodulator Agents</t>
  </si>
  <si>
    <t>Rene Luis Vidal Gómez (Adjunct Researcher)</t>
  </si>
  <si>
    <t>18 Dec 2024, 12:31</t>
  </si>
  <si>
    <t>Senescent astrocytes induce synaptic and phenotypic alterations in mature co-cultured neurons</t>
  </si>
  <si>
    <t>Alison Díaz Martínez  (Undergraduate Thesis)</t>
  </si>
  <si>
    <t>18 Dec 2024, 12:35</t>
  </si>
  <si>
    <t>Study of G389R mutation in Tau on lysosomal fusion in overexpression of Tau system</t>
  </si>
  <si>
    <t>Paulina Espinosa Labandur (Master Thesis)</t>
  </si>
  <si>
    <t>18 Dec 2024, 12:43</t>
  </si>
  <si>
    <t>Administration of a cyclic ketogenic diet improves motor performance and alters NMJ organization in aged mice</t>
  </si>
  <si>
    <t>Jessica Mella Castro (Postdoctoral Fellow)</t>
  </si>
  <si>
    <t>18 Dec 2024, 12:44</t>
  </si>
  <si>
    <t>ICSA 2024</t>
  </si>
  <si>
    <t>"Senescent Peripheral Glia as a Barrier to Nerve Regeneration in Aging and Chronic Denervation."</t>
  </si>
  <si>
    <t>09 Nov 2024</t>
  </si>
  <si>
    <t>19 Nov 2024, 15:40</t>
  </si>
  <si>
    <t>"Targeting Chemotherapy-Induced Senescence with Ketogenic Diet for Breast Cancer Treatment."</t>
  </si>
  <si>
    <t>Hernan Huerta (Postdoctoral Fellow)</t>
  </si>
  <si>
    <t>19 Nov 2024, 15:42</t>
  </si>
  <si>
    <t>MERCS, calcium and therapy induce senescence</t>
  </si>
  <si>
    <t>Julio Cesar Cardenas Matus (Principal Researcher)</t>
  </si>
  <si>
    <t>19 Nov 2024, 15:43</t>
  </si>
  <si>
    <t>"- Interplay of senescent cells and macrophage polarization in peripheral nerve repair in aging and chronic denervation."</t>
  </si>
  <si>
    <t>Karina Girardi (Postdoctoral Fellow)</t>
  </si>
  <si>
    <t>19 Nov 2024, 15:44</t>
  </si>
  <si>
    <t>19 Nov 2024, 15:45</t>
  </si>
  <si>
    <t>"Targeting cell senescence and fibrosis to enhance peripheral nerve regeneration following chronic damage.</t>
  </si>
  <si>
    <t>Daniela Rebolledo</t>
  </si>
  <si>
    <t>19 Nov 2024, 15:47</t>
  </si>
  <si>
    <t>"Interaction between Bcl-xL and VDAC1 regulates mitochondrial Ca 2+ uptake as a survivalmechanism in early stage of Therapy-Induced Senescence (TIS)"</t>
  </si>
  <si>
    <t>Andrea Puebla</t>
  </si>
  <si>
    <t>19 Nov 2024, 15:48</t>
  </si>
  <si>
    <t>?-Ketoglutarate dehydrogenase (a-KGDH) as a regulator of chemotherapyinduced cellular senescence escape in a cellular model of glioblastoma multiforme.</t>
  </si>
  <si>
    <t>César Casanova (PhD Thesis)</t>
  </si>
  <si>
    <t>"DRP1 and Bcl-xL interaction in therapy-induced senescence progression in a model of colorectal cancer."</t>
  </si>
  <si>
    <t>Pablo Andrés Cáceres Morgado (PhD Thesis)</t>
  </si>
  <si>
    <t>19 Nov 2024, 15:49</t>
  </si>
  <si>
    <t>"Cytoskeleton remodeling in senescent astrocytes leads to morphological changes and SASP production. "</t>
  </si>
  <si>
    <t>19 Nov 2024, 15:50</t>
  </si>
  <si>
    <t>Cell Symposia: Multifaceted mitochondria</t>
  </si>
  <si>
    <t xml:space="preserve"> The role of necroptosis and the mitochondrial phosphatase PGAM5 in neural retina degeneration in the hOPA1delTTAG mouse model of Dominant Optic Atrophy.</t>
  </si>
  <si>
    <t>Macarena Arrázola (Other Center/Project Researcher)</t>
  </si>
  <si>
    <t>29 Oct 2024, 10:32</t>
  </si>
  <si>
    <t>"Seminario Programa de Fisiología y Biofísica Universidad de chile</t>
  </si>
  <si>
    <t>Trastornos de la funcionalidad en trastorno cognitivo: una ventana a la interacción cerebro ambiente", Andrea Slachevsky</t>
  </si>
  <si>
    <t>Andrea Maria Slachevsky Chonchol (Principal Researcher)</t>
  </si>
  <si>
    <t xml:space="preserve">- </t>
  </si>
  <si>
    <t>21 Oct 2024, 11:09</t>
  </si>
  <si>
    <t xml:space="preserve">8vo Congreso Chileno de rehabilitación Neuropsicológica </t>
  </si>
  <si>
    <t>Trastornos cognitivos en parkisonismo</t>
  </si>
  <si>
    <t>roque villagra</t>
  </si>
  <si>
    <t>21 Oct 2024, 11:57</t>
  </si>
  <si>
    <t>8vo Congreso Chileno de rehabilitación Neuropsicológica</t>
  </si>
  <si>
    <t xml:space="preserve">Factores psicológicos y sociales asociados a la pérdida de la funcionalidad en la vejez </t>
  </si>
  <si>
    <t>Daniela Cecilia Thumala Dockendorff (Adjunct Researcher)</t>
  </si>
  <si>
    <t>21 Oct 2024, 11:59</t>
  </si>
  <si>
    <t xml:space="preserve">Registro de evaluaciones en Unidad de Memoria y automatización de informes: Experiencia con software REDCAP </t>
  </si>
  <si>
    <t>Andrea Maria Slachevsky Chonchol (Principal Researcher); Mauricio Cerda (Other Center/Project Researcher)</t>
  </si>
  <si>
    <t>29 Oct 2024, 10:40</t>
  </si>
  <si>
    <t>Congreso Nacional de Geriatría y Gerontología</t>
  </si>
  <si>
    <t>La obesidad como acelerador del envejecimiento biológico: sinergias entre epidemiología y gerociencia</t>
  </si>
  <si>
    <t>María Paulina Correa (Other Center/Project Researcher)</t>
  </si>
  <si>
    <t>26 Sep 2024</t>
  </si>
  <si>
    <t>21 Oct 2024, 11:15</t>
  </si>
  <si>
    <t>Modificación de la conectividad neuronal para aumentar la función cognitiva en el envejecimiento</t>
  </si>
  <si>
    <t>Felipe Salech (Adjunct Researcher)</t>
  </si>
  <si>
    <t>21 Oct 2024, 11:20</t>
  </si>
  <si>
    <t>Nicotinamida en la prevención del Delirium en adultos mayores</t>
  </si>
  <si>
    <t>21 Oct 2024, 11:21</t>
  </si>
  <si>
    <t>Pannel discussion  International Conference on Frontotemporal Dementias</t>
  </si>
  <si>
    <t>21 Sep 2024</t>
  </si>
  <si>
    <t>21 Oct 2024, 11:03</t>
  </si>
  <si>
    <t>Simposio latinoamericano de resilencia cerebral y longevidad saludable</t>
  </si>
  <si>
    <t>29 Aug 2024, 10:10</t>
  </si>
  <si>
    <t xml:space="preserve"> Alzheimer's Association International Conference</t>
  </si>
  <si>
    <t>Recruitment and attrition rates in the community-based cohort of functional decline of elderly with cognitive complaint: The Geroscience Center for Brain Health and Metabolisms (GERO) cohort study</t>
  </si>
  <si>
    <t>07 Aug 2024, 13:52</t>
  </si>
  <si>
    <t>Correlations between white matter microintegrity and risk level of allostatic load in cognitive complaint subjects</t>
  </si>
  <si>
    <t>Andrea Maria Slachevsky Chonchol (Principal Researcher); Pamela Guevara (Other Center/Project Researcher); Fernando Henriquez Chaparro (PhD Thesis); Patricio Riquelme (Master Thesis)</t>
  </si>
  <si>
    <t>07 Aug 2024, 13:38</t>
  </si>
  <si>
    <t>Functional Capacity in Activities of Daily Living in the Alzheimer's Disease Continuum</t>
  </si>
  <si>
    <t>Andrea Maria Slachevsky Chonchol (Principal Researcher); Fernando Henriquez Chaparro (PhD Thesis)</t>
  </si>
  <si>
    <t>07 Aug 2024, 13:51</t>
  </si>
  <si>
    <t>Neuroanatomical Correlates of Functional Capacity in Activities of Daily Living in the Alzheimer´s Disease Continuum</t>
  </si>
  <si>
    <t>Fernando Henriquez Chaparro (PhD Thesis)</t>
  </si>
  <si>
    <t>07 Aug 2024, 13:50</t>
  </si>
  <si>
    <t>Differences between white matter hyperintensities lesion load across allostatic load risk in cognitive complaint subjects</t>
  </si>
  <si>
    <t>Andrea Maria Slachevsky Chonchol (Principal Researcher); Patricia Del Carmen Lillo Zurita (Adjunct Researcher); Pamela Guevara (Other Center/Project Researcher); Fernando Henriquez Chaparro (PhD Thesis); Patricio Riquelme (Master Thesis)</t>
  </si>
  <si>
    <t>07 Aug 2024, 13:34</t>
  </si>
  <si>
    <t>"Impact of Grey Matter Volume and White Matter Hyperintensities on Functional Capacity for Activities of Daily Living: A Study in the Alzheimer's Disease Continuum</t>
  </si>
  <si>
    <t>Andrea Maria Slachevsky Chonchol (Principal Researcher); Patricia Del Carmen Lillo Zurita (Adjunct Researcher); Daniela Cecilia Thumala Dockendorff (Adjunct Researcher); David Martinez (Other Center/Project Researcher); Fernando Henriquez Chaparro (PhD Thesis); Patricio Riquelme (Master Thesis)</t>
  </si>
  <si>
    <t>07 Aug 2024, 13:45</t>
  </si>
  <si>
    <t>Impact salud: Advisory Board &amp; Annual Meeting</t>
  </si>
  <si>
    <t>Experiencia en el Plan Nacional de Demencia en Chile</t>
  </si>
  <si>
    <t>17 Jun 2024, 12:10</t>
  </si>
  <si>
    <t>Symposium V – Brain Aging of the V Neurobiology Meeting of the Mexican Society for Biochemistry</t>
  </si>
  <si>
    <t>"Necroptosis Inhibition as a Geroprotective Strategy for Age-Dependent Brain Dysfunction and Cognitive Impairment"</t>
  </si>
  <si>
    <t>13 Apr 2024</t>
  </si>
  <si>
    <t>10 May 2024, 13:50</t>
  </si>
  <si>
    <t xml:space="preserve"> Institutional Seminar at the Institute of Cellular Physiology of the Universidad Nacional Autónoma de México</t>
  </si>
  <si>
    <t>Mecanismos asociados a la degeneración y regeneración axonal como posibles blancos terapeuticos</t>
  </si>
  <si>
    <t>12 May 2024</t>
  </si>
  <si>
    <t>10 May 2024, 13:58</t>
  </si>
  <si>
    <t>International Conference on Frailty and Sarcopenia Research</t>
  </si>
  <si>
    <t>Plasma from young, physically trained donors improves the muscular response to physical training in older mice.</t>
  </si>
  <si>
    <t>Julio Cesar Cardenas Matus (Principal Researcher); Felipe Salech (Adjunct Researcher); Hernan Huerta (Postdoctoral Fellow); Sergio Linsambarth Salgado (Postdoctoral Fellow)</t>
  </si>
  <si>
    <t>Cecilia albala, Paulina Correa , Alejandra López-Moroni</t>
  </si>
  <si>
    <t>22 Mar 2024</t>
  </si>
  <si>
    <t>Clinical aspects associated to aging in Chile; Interventions to improve the quality of life of elderly people; Preclinical models to evaluate the contribution of the hallmarks or pillars of aging</t>
  </si>
  <si>
    <t>18 Mar 2024, 10:28</t>
  </si>
  <si>
    <t>V Jornada Universitaria de Psicogerontología</t>
  </si>
  <si>
    <t>Relación entre modos de afrontamiento y la sintomatología de ánimo, ansiedad, irritabilidad y carga en cuidadores de personas con demencia durante la pandemia del COVID-19 en Chile.</t>
  </si>
  <si>
    <t>José Lema  (Undergraduate Thesis)</t>
  </si>
  <si>
    <t>30 Jan 2024, 12:10</t>
  </si>
  <si>
    <t>30 Jan 2024, 12:12</t>
  </si>
  <si>
    <t>V Jornada de psicogerontología interuniversitaria</t>
  </si>
  <si>
    <t xml:space="preserve"> Relación entre modos de afrontamiento y la sintomatología de ánimo, ansiedad, irritabilidad y carga en cuidadores de personas con demencia durante la pandemia del COVID-19 en Chile.</t>
  </si>
  <si>
    <t>20 Feb 2024, 11:59</t>
  </si>
  <si>
    <t>152220002</t>
  </si>
  <si>
    <t>XIII CONGRESO INTERNACIONAL DE DOLOR</t>
  </si>
  <si>
    <t>¿Cuales son los desafíos posteriores a la promulgación de las Leyes de Fibromialgia y dolor Crónico y cuidados Paliativos Universales? Una visión desde la Política Pública</t>
  </si>
  <si>
    <t>Manuel Antonio Espinoza Sepulveda (Principal Researcher); Pedro Emilio Pérez Cruz (Adjunct Researcher)</t>
  </si>
  <si>
    <t>WP2: OPTIMIZING PATIENT CARE: Information for early diagnosis and to improve patient experience</t>
  </si>
  <si>
    <t>19 Nov 2024, 12:51</t>
  </si>
  <si>
    <t>2024 Latin America Conference on Lung Cancer IASLC</t>
  </si>
  <si>
    <t>Experiences of Informal Caregivers of Adult Patients with Lung cancer in Chile: A Qualitative Study</t>
  </si>
  <si>
    <t>Carla Andrea Campaña Castillo (Adjunct Researcher)</t>
  </si>
  <si>
    <t>WP4: HEALTH POLICY RESEARCH</t>
  </si>
  <si>
    <t>19 Nov 2024, 14:50</t>
  </si>
  <si>
    <t>WP1: Cancer prevention and inequity reduction</t>
  </si>
  <si>
    <t>Congreso SEOC</t>
  </si>
  <si>
    <t>Taller de investigación</t>
  </si>
  <si>
    <t>Báltica Beatriz Cabieses Valdés (Adjunct Researcher)</t>
  </si>
  <si>
    <t>Alexandra Obach</t>
  </si>
  <si>
    <t>20 Nov 2024, 09:04</t>
  </si>
  <si>
    <t>VI Congreso Internacional de Enfermería Oncológica</t>
  </si>
  <si>
    <t xml:space="preserve">Oportunidades de la investigación en enfermería oncológica </t>
  </si>
  <si>
    <t>19 Nov 2024, 12:53</t>
  </si>
  <si>
    <t>19 Nov 2024, 14:32</t>
  </si>
  <si>
    <t>“XVIII Coloquio Panamericano de Investigación en Enfermería: Innovación e Impacto de la Investigación y Liderazgo en Enfermería”</t>
  </si>
  <si>
    <t> “Experiencias de Cuidadores Informales de Pacientes con Cáncer de Mama y Pulmón en Chile”</t>
  </si>
  <si>
    <t>19 Nov 2024, 14:47</t>
  </si>
  <si>
    <t>PROMOVIENDO LA «ENFERMERÍA DE PRÁCTICA AVANZADA» EN CHILE</t>
  </si>
  <si>
    <t>Relevar el potencial de la Enfermería de Práctica Avanzada (EPAs) en Chile</t>
  </si>
  <si>
    <t>Bruno Nervi Nattero (Director)</t>
  </si>
  <si>
    <t>20 Nov 2024, 11:32</t>
  </si>
  <si>
    <t>Jornada de Investigación  de la Facultad de Medicina UC</t>
  </si>
  <si>
    <t>Analisis epidemiológico de sobrevivientes de cáncer utilizando la Encuenta Nacional de Salud chilena 2016-2017</t>
  </si>
  <si>
    <t>paula andrea margozzini maira (Principal Researcher)</t>
  </si>
  <si>
    <t>19 Nov 2024, 14:56</t>
  </si>
  <si>
    <t>Congreso Instituto Milenio para la Investigación del Cuidado, MICARE</t>
  </si>
  <si>
    <t>EXPERIENCIAS DE CUIDADORES INFORMALES DE PACIENTES ADULTOS CON CÁNCER DE MAMA Y PULMÓN EN CHILE PARA LA EVALUACIÓN DE DESEMPEÑO DEL SISTEMA DE SALUD: UN ESTUDIO CUALITATIVO </t>
  </si>
  <si>
    <t>19 Nov 2024, 14:48</t>
  </si>
  <si>
    <t>IXX Aniversario Sociedad Chilena de Cancerología</t>
  </si>
  <si>
    <t>Ventajas de la colaboración  interdisciplinaria en Oncología</t>
  </si>
  <si>
    <t>20 Nov 2024, 15:41</t>
  </si>
  <si>
    <t>"II CONGRESO CÁNCER EN LA MUJER CHILE"</t>
  </si>
  <si>
    <t>Avances en la prevención, diagnóstico y tratamiento para cánceres de mujeres</t>
  </si>
  <si>
    <t>Carolina Goic</t>
  </si>
  <si>
    <t>13 Oct 2024</t>
  </si>
  <si>
    <t>20 Nov 2024, 11:52</t>
  </si>
  <si>
    <t>Segunda Jornada de Oncología Macrorregional Sur</t>
  </si>
  <si>
    <t>Desafíos de la investigación para la prevención y control del Cáncer en la Región de Ñuble</t>
  </si>
  <si>
    <t>19 Nov 2024, 12:49</t>
  </si>
  <si>
    <t>XVI Congreso Chileno de Mastología</t>
  </si>
  <si>
    <t>Epidemiología y factores de riesgo del cáncer de mama</t>
  </si>
  <si>
    <t>CLAUDIA ELENA BAMBS SANDOVAL (Adjunct Researcher)</t>
  </si>
  <si>
    <t>20 Nov 2024, 09:00</t>
  </si>
  <si>
    <t>Curso obesidad en la edad pediátrica</t>
  </si>
  <si>
    <t>Relevancia de los entornos en las grandes epidemias de estilos de vida del siglo XXI</t>
  </si>
  <si>
    <t>19 Nov 2024, 14:57</t>
  </si>
  <si>
    <t>Conferencia: Seguridad social en salud</t>
  </si>
  <si>
    <t>“Seguridad social en salud: situación actual y perspectivas futuras en Chile”</t>
  </si>
  <si>
    <t>Oscar Germán Arteaga Herrera (Principal Researcher)</t>
  </si>
  <si>
    <t>20 Nov 2024, 08:48</t>
  </si>
  <si>
    <t>8° Taller de Economía de la Salud e Innovación para prestadores y pagadores</t>
  </si>
  <si>
    <t>Compra estratégica: Desafíos y oportunidades para la Innovación en Chile</t>
  </si>
  <si>
    <t>Manuel Antonio Espinoza Sepulveda (Principal Researcher)</t>
  </si>
  <si>
    <t>20 Nov 2024, 08:38</t>
  </si>
  <si>
    <t>Ciclo de conferencias de Medicina de la UCT</t>
  </si>
  <si>
    <t>Investigación pragmática en cáncer al servicio de las personas</t>
  </si>
  <si>
    <t>19 Nov 2024, 12:34</t>
  </si>
  <si>
    <t>XXVIII Congreso Chileno Sociedad Geriatría y Gerontología</t>
  </si>
  <si>
    <t>Estereotipos negativos que marginan socialmente</t>
  </si>
  <si>
    <t>Alejandra Fuentes García (Adjunct Researcher)</t>
  </si>
  <si>
    <t>20 Nov 2024, 15:35</t>
  </si>
  <si>
    <t>IV Jornada de Investigación HPM 2024</t>
  </si>
  <si>
    <t>los tiempos de las personas enfermas son distintos a los de quienes no lo están</t>
  </si>
  <si>
    <t>20 Nov 2024, 16:04</t>
  </si>
  <si>
    <t>CIPS UDD y CARE "Cáncer de mama en Chile"</t>
  </si>
  <si>
    <t>Estudio cáncer de mama en mujeres jóvenes</t>
  </si>
  <si>
    <t>20 Nov 2024, 09:05</t>
  </si>
  <si>
    <t>"X Asamble General de la Red de Biobancos de Latinoamérica y del Caribe – REBLAC"</t>
  </si>
  <si>
    <t>Alicia Angelina Colombo Flores (Adjunct Researcher)</t>
  </si>
  <si>
    <t>WP3: INNOVATION AND PERSONALIZED CARE: Platform for developing cutting-edge research in translational oncology</t>
  </si>
  <si>
    <t>15 Nov 2024, 08:27</t>
  </si>
  <si>
    <t>Annual Congress Health Technology Assessment</t>
  </si>
  <si>
    <t>Defining early health technology assessment</t>
  </si>
  <si>
    <t>20 Nov 2024, 15:39</t>
  </si>
  <si>
    <t>Primer congreso de estudiantes de posgrado en ciencias de la salud-Universidad del Desarrollo</t>
  </si>
  <si>
    <t>Perceived barriers to reaching equity in effective access to diagnosis and treatment for women with breast cancer in Chile: a qualitative analysis using the Tanahashi model.</t>
  </si>
  <si>
    <t>19 Nov 2024, 14:46</t>
  </si>
  <si>
    <t>"Cholangiocarcinoma Foundation Annual  Conference"</t>
  </si>
  <si>
    <t>Global Challenges / Global Solutions</t>
  </si>
  <si>
    <t>20 Nov 2024, 11:42</t>
  </si>
  <si>
    <t>Issue pannel: Rethinking Value Assessment of Preventive Health Interventions</t>
  </si>
  <si>
    <t>The Health ROI Assessor Framework</t>
  </si>
  <si>
    <t>20 Nov 2024, 08:49</t>
  </si>
  <si>
    <t>2do. Congreso internacional de Metodología de Investigación en Ciencias Sociales</t>
  </si>
  <si>
    <t>Develando necesidades de cuidadores secundarios de pacientes con cáncer en Chile</t>
  </si>
  <si>
    <t>18 Nov 2024, 15:53</t>
  </si>
  <si>
    <t>Jornada de Actualización de Implementación en Tamizajes en Cáncer Pulmonar y Digestivos</t>
  </si>
  <si>
    <t>Prevención y control en cáncer pulmonar y digestivo</t>
  </si>
  <si>
    <t>20 Nov 2024, 11:50</t>
  </si>
  <si>
    <t>Desafíos para un financiamiento sostenible y equitativo del sistema de salud chileno</t>
  </si>
  <si>
    <t>Economía y salud</t>
  </si>
  <si>
    <t>20 Nov 2024, 11:55</t>
  </si>
  <si>
    <t>1º Congreso Latinoamericano sobre la Implementación del Cuidado Centrado en las Personas. </t>
  </si>
  <si>
    <t>EXPLORANDO BARRERAS PARA UNA ATENCIÓN CENTRADA EN LA PERSONA:EL DESAFÍO DE LA ACEPTABILIDAD Y CONTACTO PARA LA ATENCIÓN DEL CÁNCER DE MAMA EN CHILE</t>
  </si>
  <si>
    <t>18 Nov 2024, 15:46</t>
  </si>
  <si>
    <t>09 Oct 2023</t>
  </si>
  <si>
    <t>1523A0001</t>
  </si>
  <si>
    <t>RL1. Efficient use of water in agriculture and mining</t>
  </si>
  <si>
    <t>MARJORIE MARIANELA REYES DIAZ (Adjunct Researcher)</t>
  </si>
  <si>
    <t>Gladys Cecilia Vidal Saez (Director)</t>
  </si>
  <si>
    <t>RL4. Technology for water treatment and environmental remediation</t>
  </si>
  <si>
    <t>Juan Ricardo Figueroa Jara (Adjunct Researcher)</t>
  </si>
  <si>
    <t>RL5. Water governance, ecosystem services and sustainability</t>
  </si>
  <si>
    <t>RL3. Water availability and quality for agriculture and mining amid climate change</t>
  </si>
  <si>
    <t>Raimund Klaus Bürger (Adjunct Researcher)</t>
  </si>
  <si>
    <t>Leopoldo Esteban Gutierrez Briones (Principal Researcher)</t>
  </si>
  <si>
    <t>Leopoldo Esteban Gutierrez Briones (Principal Researcher); LINA MARCELA URIBE VÉLEZ (Adjunct Researcher)</t>
  </si>
  <si>
    <t>Jose Luis Arumi Ribera (Principal Researcher); Rayen Gabriela Rivera Vidal (PhD Thesis)</t>
  </si>
  <si>
    <t>Patricio Neumann (Adjunct Researcher); Ximena De Jesús Vallejos Mora (Undergraduate Thesis)</t>
  </si>
  <si>
    <t>14° Encuentro Anual Sociedad Chilena de Estudios Regionales SOCHER</t>
  </si>
  <si>
    <t>Eco-Innovation in Economic Sectors and Agenda 2023: The Case of Chile.</t>
  </si>
  <si>
    <t>NELYDA AURORA CAMPOS REQUENA (Adjunct Researcher)</t>
  </si>
  <si>
    <t>23 May 2025, 12:27</t>
  </si>
  <si>
    <t>XXXIX Congreso Interamericano de Ingeniería Sanitaria y Ambiental de AIDIS</t>
  </si>
  <si>
    <t>Aguas grises tratadas mediante un humedal construido comparando medio soporte de grava y zeolita.</t>
  </si>
  <si>
    <t>Colaborador Nacional: Gloria Gómez, Colaborador Nacional: Javiera Gutiérrez</t>
  </si>
  <si>
    <t>24 Nov 2024</t>
  </si>
  <si>
    <t>09 Dec 2024, 12:57</t>
  </si>
  <si>
    <t>Tratamiento de aguas grises mediante humedal vertical subsuperficial en una zona rural de Chile.</t>
  </si>
  <si>
    <t>Colaborador Nacional: Carlos Cabrera</t>
  </si>
  <si>
    <t>09 Dec 2024, 13:01</t>
  </si>
  <si>
    <t>3th Workshop: Advances in mineral processing, bioprocesses and wastewater treatment</t>
  </si>
  <si>
    <t>Evaluation of the use of mixtures of recycled vegetable oil esters and biosolids as collectors for the flotation of copper sulfides</t>
  </si>
  <si>
    <t>LINA MARCELA URIBE VÉLEZ (Adjunct Researcher)</t>
  </si>
  <si>
    <t>Colaborador Nacional: Carlos Moraga, Colaborador Nacional: Lorenzo Reyes-Bozo, Colaborador Nacional: Daniel Zuluaga</t>
  </si>
  <si>
    <t>17 Dec 2024, 12:50</t>
  </si>
  <si>
    <t>Study of the interaction of collectors prepared by waste oil and biosolid and iron sulfide minerals in flotation processes</t>
  </si>
  <si>
    <t>Colaborador Nacional: Daniel Zuluaga, Colaborador Nacional: Carlos Moraga, Colaborador Nacional: Mari?a del Pilar Caramanti?n, Colaborador Nacional: Lorenzo Reyes-Bozo</t>
  </si>
  <si>
    <t>17 Dec 2024, 12:52</t>
  </si>
  <si>
    <t>Evaluación del impacto de nanopartículas de estireno en la flotación de molibdenita y pirita</t>
  </si>
  <si>
    <t>Colaborador Nacional: Camila Rodríguez, Colaborador Nacional: Romina Murga, Colaborador Nacional: John Amalraj</t>
  </si>
  <si>
    <t>17 Dec 2024, 12:56</t>
  </si>
  <si>
    <t>VII Seminario de sustentabilidad y medioambiente «El agua nos une para una región de Ñuble sostenible”</t>
  </si>
  <si>
    <t>“Desafíos ambientales para la sostenibilidad en el siglo 21”.</t>
  </si>
  <si>
    <t>Ricardo Orlando Barra Rios (Principal Researcher)</t>
  </si>
  <si>
    <t>17 Dec 2024, 12:48</t>
  </si>
  <si>
    <t>XVII Congreso de la Sociedad Chilena de Limnología “Conectando Ciencia y Sociedad”</t>
  </si>
  <si>
    <t>Evaluación de un fotobioreactor de capa fina como depurador de lagos urbanos.</t>
  </si>
  <si>
    <t>Colaborador Nacional: Martínez, A., Colaborador Nacional: Gómez, P., Colaborador Nacional: Castro-Varela, P.</t>
  </si>
  <si>
    <t>17 Dec 2024, 12:25</t>
  </si>
  <si>
    <t xml:space="preserve">Estudio de la colonización de invertebrados en el Estero Cárcamo: Un refugio para la conservación.   </t>
  </si>
  <si>
    <t>Colaborador Nacional: Peña, C., Colaborador Nacional: Díaz, M.E., Colaborador Nacional: Ruíz, R., Colaborador Nacional: Aguayo, M.</t>
  </si>
  <si>
    <t>17 Dec 2024, 12:27</t>
  </si>
  <si>
    <t xml:space="preserve">Desarrollo de bases experimentales para la utilización de micro-nano burbujas en un contexto de remediación lacustre.  </t>
  </si>
  <si>
    <t>Colaborador Nacional: Ruiz, R.,, Colaborador Nacional: Parra, V., Colaborador Nacional: Diaz, M., Colaborador Nacional:Peña, C.</t>
  </si>
  <si>
    <t>17 Dec 2024, 12:28</t>
  </si>
  <si>
    <t xml:space="preserve">Diversidad del fitoplancton de los lagos Araucanos durante el período 2021-2022. </t>
  </si>
  <si>
    <t>Roberto Enrique Urrutia Perez (Principal Researcher)</t>
  </si>
  <si>
    <t xml:space="preserve">Colaborador Nacional: Ascencio, E., Colaborador Nacional: Pedreros, P., Colaborador Nacional: Basualto, S., Colaborador Nacional: Rivera, P., Colaborador Nacional: Cruces, F., Colaborador Nacional: Avilés, D., Colaborador Nacional: Bascur, J., </t>
  </si>
  <si>
    <t>17 Dec 2024, 12:31</t>
  </si>
  <si>
    <t>Reconstrucción ambiental de la Laguna Espejo (Futaleufú: X Región de Los Lagos), basada en las comunidades de diatomeas sedimentarias.</t>
  </si>
  <si>
    <t>Colaborador Nacional: Bascur-Fuentes, J., Colaborador Nacional: Cruces F., Colaborador Nacional: Santelices-Urrutia, C., Colaborador Nacional: Torrejón, F., Colaborador Nacional: Pedreros, P., Colaborador Nacional: Vega Alay, I., Colaborador Nacional: Araneda, A.</t>
  </si>
  <si>
    <t>17 Dec 2024, 12:36</t>
  </si>
  <si>
    <t xml:space="preserve">Determinación de coeficientes de exportación (CE) de nutrientes en microcuencas en la subcuenca del Río Rahue, Provincia de Osorno. </t>
  </si>
  <si>
    <t>Colaborador Nacional: Pedreros, P., Colaborador Nacional: Soto M., Colaborador Nacional: Alcayaga, H., Colaborador Nacional: Gesell, N., Colaborador Nacional: Bernales, A., Colaborador Nacional: Sairafi, S.</t>
  </si>
  <si>
    <t>17 Dec 2024, 12:38</t>
  </si>
  <si>
    <t xml:space="preserve">XXXI International Mineral Processing Congress (IMP 2024) </t>
  </si>
  <si>
    <t>Evaluation of the use of mixtures of recycled vegetable oil esters and biosolids as collectors for the flotation of copper sulfides.</t>
  </si>
  <si>
    <t>Colaborador Nacional: Daniel Zuluaga, Colaborador Nacional: Carlos Moraga, Colaborador Nacional: María del Pilar Caramantín, Colaborador Nacional: Lorenzo Reyes-Bozo</t>
  </si>
  <si>
    <t>29 Sep 2024</t>
  </si>
  <si>
    <t>08 Oct 2024, 22:17</t>
  </si>
  <si>
    <t>The Effect of an Anionic Polyacrylamide on the Flotation of Chalcopyrite, Enargite and Bornite</t>
  </si>
  <si>
    <t>Colaborador Nacional: Pablo Cabrera , Colaborador Nacional: Angie Rodríguez , Colaborador Nacional: Camilo Cuervo</t>
  </si>
  <si>
    <t>09 Oct 2024, 10:50</t>
  </si>
  <si>
    <t>XXXI International Mineral Processing Congress (IMP 2024)</t>
  </si>
  <si>
    <t>Influence of Anionic Polyacrylamides on Molybdenite Flotation in Waters of Varying Ionic Strength</t>
  </si>
  <si>
    <t>Leopoldo Esteban Gutierrez Briones (Principal Researcher); Ginna Alejandra Jiménez Tovar (PhD Thesis)</t>
  </si>
  <si>
    <t>09 Oct 2024, 10:54</t>
  </si>
  <si>
    <t>XVI Congreso Latinoamericano de Hidrogeologia</t>
  </si>
  <si>
    <t xml:space="preserve">Contribución de los sistemas de agua subterránea de montaña al caudal del río Diguillín en Chile Central. </t>
  </si>
  <si>
    <t>Jose Luis Arumi Ribera (Principal Researcher)</t>
  </si>
  <si>
    <t>Colaborador Nacional: Enrique Muñoz , Colaborador Nacional: Victor Parra</t>
  </si>
  <si>
    <t>09 Oct 2024, 12:48</t>
  </si>
  <si>
    <t>¿Cuáles son las brechas para la implementación de recarga gestionada de acuíferos en Chile? acuíferos en Chile?</t>
  </si>
  <si>
    <t>Colaborador Nacional: Victor Parra, Colaborador Nacional: Ovidio Melo, Colaborador Nacional: Verónica Delgado</t>
  </si>
  <si>
    <t>09 Oct 2024, 12:50</t>
  </si>
  <si>
    <t>Una introducción a la formación de patrones de Turing, dictada a estudiantes de la Maestría en Ingeniería Matemática, Universidad Tecnológica de Panamá</t>
  </si>
  <si>
    <t>Una introducción a la formación de patrones de Turing</t>
  </si>
  <si>
    <t>17 Dec 2024, 12:24</t>
  </si>
  <si>
    <t>12° Congreso Internacional en Gestión del Agua en Minería y Procesos Industriales (Water Congress 2024)</t>
  </si>
  <si>
    <t>Evaluación ambiental de alternativas de valorización de relaves mineros para elaboración espumas cerámicas.</t>
  </si>
  <si>
    <t>Yannay Casas Ledon (Adjunct Researcher); LINA MARCELA URIBE VÉLEZ (Adjunct Researcher)</t>
  </si>
  <si>
    <t>Colaborador Nacional: Cristian Salazar</t>
  </si>
  <si>
    <t>24 Oct 2024, 12:44</t>
  </si>
  <si>
    <t>Economic viability of obtaining drinking water from the air to supply rural areas.</t>
  </si>
  <si>
    <t>José Luis Campos Gómez (Adjunct Researcher)</t>
  </si>
  <si>
    <t>Colaborador Nacional: Carolina Mulet, Colaborador Nacional: Jacques Dumais, Colaborador Nacional: Dafne Crutchik, Colaborador Nacional: Javiera Toledo, Colaborador Nacional: Edgar Velastegui, Colaborador Nacional: Héctor Zúñiga, Colaborador Internacional: Ángeles Val del Rio, Colaborador Internacional: Alba Pedrouso, Colaborador Internacional: Anuska Mosquera</t>
  </si>
  <si>
    <t>24 Oct 2024, 12:47</t>
  </si>
  <si>
    <t>Hidrología isotópica (3H) en una cuenca de montaña, Centro-Norte de Chile.</t>
  </si>
  <si>
    <t>Jose Luis Arumi Ribera (Principal Researcher); Ricardo Andrés Oyarzún Lucero (Adjunct Researcher)</t>
  </si>
  <si>
    <t>Colaborador Nacional: Denisse Duhalde, Colaborador Internacional: Jan Boll, Colaborador Internacional: Shelley MacDonell</t>
  </si>
  <si>
    <t>24 Oct 2024, 12:50</t>
  </si>
  <si>
    <t>What are the gaps for the implementation of managed aquifer recharge in Chile?</t>
  </si>
  <si>
    <t>Colaborador Nacional: Ovidio Melo, Colaborador Nacional: Verónica Delgado V, Colaborador Nacional: Víctor Parra</t>
  </si>
  <si>
    <t>24 Oct 2024, 12:57</t>
  </si>
  <si>
    <t>Impacto de magnesio en floculación, sedimentación y consolidación de relaves arcillosos en agua de mar tratada con cal.</t>
  </si>
  <si>
    <t>Ricardo Iván Jeldres Valenzuela (Adjunct Researcher)</t>
  </si>
  <si>
    <t>Colaborador Nacional: Steven Nieto, Colaborador Nacional: Alejandro Villalobos</t>
  </si>
  <si>
    <t>RL2. New water sources for agriculture, mining and communities</t>
  </si>
  <si>
    <t>24 Oct 2024, 12:59</t>
  </si>
  <si>
    <t>Reducción de magnesio de agua de mar para mejorar recuperación de agua desde relaves mineros.</t>
  </si>
  <si>
    <t>24 Oct 2024, 13:02</t>
  </si>
  <si>
    <t>Gestión en el origen, caracterización y tratamiento de aguas grises.</t>
  </si>
  <si>
    <t>Gladys Cecilia Vidal Saez (Director); Yenifer González Ortiz (PhD Thesis); Carlos Bastian Cabrera Parra (Undergraduate Thesis)</t>
  </si>
  <si>
    <t>24 Oct 2024, 13:03</t>
  </si>
  <si>
    <t>Recuperación de fósforo de aguas servidas en forma de estruvita como potencial fertilizante para la agricultura.</t>
  </si>
  <si>
    <t>Gladys Cecilia Vidal Saez (Director); Pablo Enrique Cornejo Rivas (Adjunct Researcher); Valentina Paz Carrillo Líbano  (Postdoctoral Fellow)</t>
  </si>
  <si>
    <t>Colaborador Nacional: Rodrigo Pérez, Colaborador Nacional: Yves Lesty, Colaborador Nacional: Edinson Cáceres</t>
  </si>
  <si>
    <t>24 Oct 2024, 17:50</t>
  </si>
  <si>
    <t>Simulation and validation of mini-hydrocyclones for fine particle removal from water.</t>
  </si>
  <si>
    <t>Colaborador Nacional: Andrés Ramírez, Colaborador Nacional: Dennis Vega, Colaborador Internacional: Carlos Díaz, Colaborador Internacional: Lais Mujica</t>
  </si>
  <si>
    <t>24 Oct 2024, 18:36</t>
  </si>
  <si>
    <t>Criterios de Sustentabilidad para Proyectos de Embalses en Chile: Desafíos y aplicabilidad.</t>
  </si>
  <si>
    <t>Diego Andrés Rivera Salazar (Principal Researcher); Claudio Rodrigo Toledo Sepúlveda (Master Thesis)</t>
  </si>
  <si>
    <t>24 Oct 2024, 18:39</t>
  </si>
  <si>
    <t>Workshop SPP-2410: Nonlocal Modelling in Fluidmechanical Applications</t>
  </si>
  <si>
    <t>On nonlocal conservation laws for models of sedimentation and related applications.</t>
  </si>
  <si>
    <t>17 Dec 2024, 12:22</t>
  </si>
  <si>
    <t>27th INTERNATIONAL CONGRESS OF CHEMICAL AND PROCESS ENGINEERING CHISA 2024</t>
  </si>
  <si>
    <t>Bubble stability on foam phase in a dynamic bubbling system</t>
  </si>
  <si>
    <t>Colaborador Nacional: Echeverría, V., Colaborador Nacional: Retamal, F., Colaborador Nacional: Osorio, P., Colaborador Nacional: Solar, C.A., Colaborador Nacional: Saavedra, J.</t>
  </si>
  <si>
    <t>10 Oct 2024, 09:40</t>
  </si>
  <si>
    <t>Charla plenaria: “Influence of catchment surface material on quality of rainwater harvested”</t>
  </si>
  <si>
    <t>24 Aug 2024</t>
  </si>
  <si>
    <t>09 Oct 2024, 12:21</t>
  </si>
  <si>
    <t>Rawmina: Un proyecto europeo para la valorización de los residuos de minería</t>
  </si>
  <si>
    <t>Guillermo Pozo</t>
  </si>
  <si>
    <t>09 Oct 2024, 13:03</t>
  </si>
  <si>
    <t xml:space="preserve">Procemin-Geomet 2024 </t>
  </si>
  <si>
    <t>Ceramic Foams from Mine Tailings and Slag: A Mechanism for Reducing the Environmental Impact</t>
  </si>
  <si>
    <t>Colaborador Nacional: Cristian Salazar, Colaborador Nacional: Romina Murga, Colaborador Nacional: Daniel Zuluaga</t>
  </si>
  <si>
    <t>08 Oct 2024, 22:46</t>
  </si>
  <si>
    <t xml:space="preserve">The use of polystyrene nanoparticles as a collector in the flotation of copper sulfides with Kaolinite. </t>
  </si>
  <si>
    <t>Leopoldo Esteban Gutierrez Briones (Principal Researcher); LINA MARCELA URIBE VÉLEZ (Adjunct Researcher); Romina Francisca Murga Moraga (PhD Thesis)</t>
  </si>
  <si>
    <t>Colaborador Nacional: Camila Opazo, Colaborador Nacional: John Amalraj</t>
  </si>
  <si>
    <t>09 Oct 2024, 11:29</t>
  </si>
  <si>
    <t>Procemin-Geomet 2024</t>
  </si>
  <si>
    <t xml:space="preserve">Effect of sintering time on ceramic foams based on mine tailings using glycerine as a foaming agent. </t>
  </si>
  <si>
    <t>09 Oct 2024, 11:31</t>
  </si>
  <si>
    <t>Study of mixtures of vegetable oil andbiosolids as collector for flotation of CuFeS2.</t>
  </si>
  <si>
    <t>Colaborador Nacional: Daniel Zuluaga, Colaborador Nacional: Carlos Moraga, Colaborador Nacional: Lorenzo Reyes-Bozo</t>
  </si>
  <si>
    <t>09 Oct 2024, 11:34</t>
  </si>
  <si>
    <t>5ta Conferencia Chilena de Análisis de Ciclo de Vida</t>
  </si>
  <si>
    <t>Evaluación de la ecoeficiencia de estrategias de reúso de aguas residuales urbanas en la región de Ñuble.</t>
  </si>
  <si>
    <t>Patricio Neumann (Adjunct Researcher); Fernanda Andrea Mardones Castro (Undergraduate Thesis)</t>
  </si>
  <si>
    <t>09 Oct 2024, 11:36</t>
  </si>
  <si>
    <t>Foaming Properties of Lignosulfonates in the Flotation Process.</t>
  </si>
  <si>
    <t>Leopoldo Esteban Gutierrez Briones (Principal Researcher); Jhon Vicente Chique Acero (PhD Thesis)</t>
  </si>
  <si>
    <t>09 Oct 2024, 12:05</t>
  </si>
  <si>
    <t>Determinación de la huella hídrica asociada a la construcción residencial con madera en Chile.</t>
  </si>
  <si>
    <t>09 Oct 2024, 12:42</t>
  </si>
  <si>
    <t>XXVI Jornadas de Derecho y Gestión de Aguas UC 2024</t>
  </si>
  <si>
    <t>Actores locales y seguridad hídrica: Estrategias de gobernanza para el abordaje de conflictos a nivel de cuenta hidrográfica en Chile.</t>
  </si>
  <si>
    <t>Juan Ricardo Figueroa Jara (Adjunct Researcher); Natalia Andrea Julio González (Postdoctoral Fellow)</t>
  </si>
  <si>
    <t>09 Oct 2024, 13:00</t>
  </si>
  <si>
    <t xml:space="preserve">32nd International Conference of Agricultural Economists. Transformation Towards Sustainable Agri-Food Systems. </t>
  </si>
  <si>
    <t xml:space="preserve">Policy Implications of Tariff Preferences in Rural Water Management: Insights from Chile. </t>
  </si>
  <si>
    <t>Diego Andrés Rivera Salazar (Principal Researcher); NELYDA AURORA CAMPOS REQUENA (Adjunct Researcher); Roberto Daniel Ponce Oliva (Adjunct Researcher)</t>
  </si>
  <si>
    <t xml:space="preserve">Colaborador Nacional: Fernández, F. J., Colaborador Nacional: Vásquez-Lavín, F., Colaborador Nacional: Hernández, F., Colaborador Nacional: Bopp, C. </t>
  </si>
  <si>
    <t>RL1. Efficient use of water in agriculture and mining; RL5. Water governance, ecosystem services and sustainability</t>
  </si>
  <si>
    <t>17 Dec 2024, 12:44</t>
  </si>
  <si>
    <t>Seminario "Análisis crítico de la Reforma al Código de Aguas del 2022"</t>
  </si>
  <si>
    <t>09 Oct 2024, 12:56</t>
  </si>
  <si>
    <t>Presentation given at School of Civil and Resource Engineering, University of Science and Technology Beijing (USTB)</t>
  </si>
  <si>
    <t xml:space="preserve">Mathematical modelling in solid-liquid separation in mining </t>
  </si>
  <si>
    <t>19th International Conference on Hyperbolic Problems: Theory, Numerics, Applications</t>
  </si>
  <si>
    <t>A multilayer shallow water model for tsunamis and coastal forest interaction.</t>
  </si>
  <si>
    <t>13 Dec 2024, 12:24</t>
  </si>
  <si>
    <t>Curso de Actualización en Derecho de Aguas</t>
  </si>
  <si>
    <t>18 Jun 2024</t>
  </si>
  <si>
    <t>09 Oct 2024, 10:31</t>
  </si>
  <si>
    <t>XLIII Congreso Chileno de Ciencias del Mar</t>
  </si>
  <si>
    <t>Contaminantes Orgánicos Persistentes en el Océano: Desafíos para la Ciencia del Siglo XXI</t>
  </si>
  <si>
    <t>09 Oct 2024, 12:45</t>
  </si>
  <si>
    <t>“Manejo de la Rizosfera: rol de los microorganismos promotores de crecimiento vegetal y proyecciones de su uso en biorremediación” Programa de Doctorado en Química Agrícola, Universidad Autómona de Madrid (España).</t>
  </si>
  <si>
    <t>Pablo Enrique Cornejo Rivas (Adjunct Researcher)</t>
  </si>
  <si>
    <t>08 Oct 2024, 22:36</t>
  </si>
  <si>
    <t>5to Congreso Internacional de Investigación Transdisciplinar en Ciencias Humanas "Transdisciplinariedad: entre la incertidumbre y la innovación"</t>
  </si>
  <si>
    <t>Consumo del camarón de vega en Chile: Percepción social de beneficios y riesgo de salud</t>
  </si>
  <si>
    <t>Ricardo Orlando Barra Rios (Principal Researcher); Samuel Alexis Pérez Espinoza (PhD Thesis)</t>
  </si>
  <si>
    <t>Colaborador Nacional: José Yamil Neira Hinojosa  , Colaborador Nacional: Octavio Enrique Rojas Vilches , Colaborador Nacional: Esperanza López Vásquez</t>
  </si>
  <si>
    <t>08 Oct 2024, 15:41</t>
  </si>
  <si>
    <t>Centennial Celebration and Congress of the International Union of Soil Sciences</t>
  </si>
  <si>
    <t>Extremophile microorganisms to develop à la carte bio inoculants for a sustainable agriculture.</t>
  </si>
  <si>
    <t>Colaborador Nacional: Santander, C., Colaborador Nacional: Ruiz, A., Colaborador Nacional: Meneses, C., Colaborador Nacional: Perez, R. , Colaborador Nacional: Pimentel, P., Colaborador Nacional: Bustamante, L., Colaborador Nacional: Santos, C.</t>
  </si>
  <si>
    <t>19 May 2024</t>
  </si>
  <si>
    <t>08 Oct 2024, 22:34</t>
  </si>
  <si>
    <t>II Workshop Latinoamericano en Nano y Biotecnología</t>
  </si>
  <si>
    <t>MeJA induces the accumulation of osmolytes and antioxidants in Vaccinium corymbosum exposed to combined stress of water deficit and aluminum toxicity.</t>
  </si>
  <si>
    <t>Colaborador Nacional: Mabel Delgado</t>
  </si>
  <si>
    <t>14 May 2024</t>
  </si>
  <si>
    <t>08 Oct 2024, 22:49</t>
  </si>
  <si>
    <t>The application of methyl jasmonate improves growth and water relations in highbush blueberry (Vaccinium corymbosum) subjected to water deficit and Al toxicity in an Andisol.</t>
  </si>
  <si>
    <t>Colaborador Nacional: Pablo Gutiérrez, Colaborador Nacional: Maicol González, Colaborador Nacional: Mabel Delgado, Colaborador Nacional: Alejandra Ribera Fonseca, Colaborador Nacional: Claudio Inostroza Blancheteau, Colaborador Nacional: Jorge Goznzalez Villagra</t>
  </si>
  <si>
    <t>08 Oct 2024, 22:53</t>
  </si>
  <si>
    <t>The exogenous methyl jasmonate improves the Al and P relationship in highbush blueberry (Vaccinium corymbosum L.) under Al toxicity and water deficit.</t>
  </si>
  <si>
    <t xml:space="preserve">Colaborador Nacional: Maicol Gonzalez, Colaborador Nacional: Claudio Inostroza-Blancheteau </t>
  </si>
  <si>
    <t>08 Oct 2024, 22:55</t>
  </si>
  <si>
    <t>XXXVI Jornada de Matemática de la Zona Sur</t>
  </si>
  <si>
    <t>A multilayer shallow water model for tsunamis and coastal forest interaction</t>
  </si>
  <si>
    <t>09 Oct 2024, 10:44</t>
  </si>
  <si>
    <t>Numerical schemes for a moving boundary convection-diffusion-reaction model of sequencing batch reactors</t>
  </si>
  <si>
    <t>Romel Tarquino Pineda Frias (PhD Thesis)</t>
  </si>
  <si>
    <t>09 Oct 2024, 10:39</t>
  </si>
  <si>
    <t>Seminario Geo-Minero-Metalúrgico (SEMIN)</t>
  </si>
  <si>
    <t>Uso eficiente del agua en la minería.</t>
  </si>
  <si>
    <t>08 Oct 2024, 22:27</t>
  </si>
  <si>
    <t>XII Toxicology in Developing Countries Meeting</t>
  </si>
  <si>
    <t>Fate and effects of EDCs in aquatic ecosystems, improving the cause-effect relationship establishment for environmental and human risk assessment policy.</t>
  </si>
  <si>
    <t>09 Oct 2024, 12:43</t>
  </si>
  <si>
    <t>The response of Groundwater-Dependent Ecosystems to drought in central Chile.</t>
  </si>
  <si>
    <t>Colaborador Nacional: Duran-Llacer, I., Colaborador Nacional: Zambrano, F. , Colaborador Nacional: Gómez-Escalonilla Canales, V. , Colaborador Nacional: Martínez Santos, P., Colaborador Nacional: Aliagada Alvarado, M., Colaborador Nacional: Rodríguez-López, L., Colaborador Nacional: Martínez-Retureta, R.</t>
  </si>
  <si>
    <t>08 Oct 2024, 23:00</t>
  </si>
  <si>
    <t>XIX Jornada Anual Sociedad Chilena de Parasitología</t>
  </si>
  <si>
    <t>Determinación molecular de subtipos de Blastocystis hominis aislados de ambiente.</t>
  </si>
  <si>
    <t>Gladys Cecilia Vidal Saez (Director); Pilar Eugenia Suárez Roa (PhD Thesis)</t>
  </si>
  <si>
    <t>08 Oct 2024, 22:23</t>
  </si>
  <si>
    <t>20 Aug 2023</t>
  </si>
  <si>
    <t>Roberto Daniel Ponce Oliva (Adjunct Researcher)</t>
  </si>
  <si>
    <t>1523A0005</t>
  </si>
  <si>
    <t>The Socioeconomic Dimensions of Conflict</t>
  </si>
  <si>
    <t>Geographies of Conflict: The Spatial Dimension of Conflict and Social Cohesion</t>
  </si>
  <si>
    <t>Group And Individual Interactions</t>
  </si>
  <si>
    <t>Social and Political Conflict</t>
  </si>
  <si>
    <t>Rodolfo Disi Pavlic (Adjunct Researcher)</t>
  </si>
  <si>
    <t>Luis Abelardo Garrido Vergara (Adjunct Researcher)</t>
  </si>
  <si>
    <t>Geographies of Conflict: The Spatial Dimension of Conflict and Social Cohesion; Social and Political Conflict</t>
  </si>
  <si>
    <t>Isabel Castillo Carniglia (Adjunct Researcher)</t>
  </si>
  <si>
    <t>Emmanuelle Barozet (Principal Researcher)</t>
  </si>
  <si>
    <t>Matias Andrés Bargsted Valdés (Adjunct Researcher)</t>
  </si>
  <si>
    <t>Nicolas Manuel Somma Gonzalez (Adjunct Researcher)</t>
  </si>
  <si>
    <t>Naim Bro Khomasi (Adjunct Researcher)</t>
  </si>
  <si>
    <t>Claudia Sylvia Heiss Bendersky (Adjunct Researcher)</t>
  </si>
  <si>
    <t>Daniela Paz Jara Leiva (Adjunct Researcher)</t>
  </si>
  <si>
    <t>Rodrigo Mauricio Cofré Basaure (Adjunct Researcher)</t>
  </si>
  <si>
    <t>Carolina Segovia Arancibia (Adjunct Researcher)</t>
  </si>
  <si>
    <t>Catherine Reyes-Housholder Catherine Reyes-Housholder (Adjunct Researcher)</t>
  </si>
  <si>
    <t>MACARENA ANDREA ORCHARD RIEIRO (Adjunct Researcher)</t>
  </si>
  <si>
    <t>Francisca Paz Gutierrez Crocco (Adjunct Researcher)</t>
  </si>
  <si>
    <t>Manuela Badilla Rajevic (Adjunct Researcher)</t>
  </si>
  <si>
    <t>07 Nov 2025</t>
  </si>
  <si>
    <t>Social and Political Conflict; The Socioeconomic Dimensions of Conflict</t>
  </si>
  <si>
    <t>PAOLA ALEJANDRA DIAZ ARAVENA (Adjunct Researcher)</t>
  </si>
  <si>
    <t>Alfredo Roberto Joignant Rondón (Principal Researcher)</t>
  </si>
  <si>
    <t>Aldo Ramiro Madariaga Espinoza (Adjunct Researcher)</t>
  </si>
  <si>
    <t>Javier Andrés Couso Salas (Adjunct Researcher)</t>
  </si>
  <si>
    <t>Sofia Catalina Donoso Knaudt (Adjunct Researcher)</t>
  </si>
  <si>
    <t>Cristóbal Gonzalo Rovira Kaltwasser (Adjunct Researcher)</t>
  </si>
  <si>
    <t>Roxana Chiappa (Adjunct Researcher)</t>
  </si>
  <si>
    <t>Francisco Jose Pino Emhart (Adjunct Researcher)</t>
  </si>
  <si>
    <t>Pablo Pérez Ahumada (Adjunct Researcher)</t>
  </si>
  <si>
    <t>Loreto Francisca Quiroz Rojas (Adjunct Researcher)</t>
  </si>
  <si>
    <t>Ignacio Andrés Madero Cabib (Adjunct Researcher)</t>
  </si>
  <si>
    <t>Juan Pablo Rodríguez López (Adjunct Researcher)</t>
  </si>
  <si>
    <t>Tomas Undurraga (Adjunct Researcher)</t>
  </si>
  <si>
    <t>Marcos José González Hernando (Adjunct Researcher)</t>
  </si>
  <si>
    <t>Macarena Bonhomme (Postdoctoral Fellow)</t>
  </si>
  <si>
    <t>Emmanuelle Barozet (Principal Researcher); Vicente IVAN Espinoza E (Adjunct Researcher)</t>
  </si>
  <si>
    <t>Joel Stillerman</t>
  </si>
  <si>
    <t>Coloquio</t>
  </si>
  <si>
    <t>24 Jun 2025, 12:06</t>
  </si>
  <si>
    <t>Manuel Garate Chateau (Adjunct Researcher)</t>
  </si>
  <si>
    <t>Javier Andrés Couso Salas (Adjunct Researcher); Claudia Sylvia Heiss Bendersky (Adjunct Researcher)</t>
  </si>
  <si>
    <t>Member of International Jury "Tang Prize on the Rule of Law”</t>
  </si>
  <si>
    <t>Lisa Zanotti (Adjunct Researcher)</t>
  </si>
  <si>
    <t>The event was online.</t>
  </si>
  <si>
    <t>06 Jan 2025</t>
  </si>
  <si>
    <t xml:space="preserve">Judicial autonomy in the era of authoritarian-populism: Origins and features of the attack on courts, and strategies to confront it </t>
  </si>
  <si>
    <t>17 Dec 2024</t>
  </si>
  <si>
    <t>02 Jan 2025, 10:20</t>
  </si>
  <si>
    <t>Reforma al sistema electoral y político</t>
  </si>
  <si>
    <t>Claudio Fuentes, Pablo Rodríguez, Leslie Sánchez, Hernán Larraín Matte, Claudio Alvarado</t>
  </si>
  <si>
    <t>16 Dec 2024</t>
  </si>
  <si>
    <t>02 Jan 2025, 10:18</t>
  </si>
  <si>
    <t>Seminario internacional 50 años de FLACSO Ecuador: “Democracia en Latinoamérica: nuevos retos y viejos desafíos”</t>
  </si>
  <si>
    <t>Descifrando a la extrema derecha: ¿los monstruos andan, de verdad, sueltos?</t>
  </si>
  <si>
    <t>06 Dec 2024, 09:33</t>
  </si>
  <si>
    <t>Polarización afectiva, apoyo a la democracia y valores democráticos en América Latina</t>
  </si>
  <si>
    <t>06 Dec 2024, 09:34</t>
  </si>
  <si>
    <t xml:space="preserve"> International Conference EU-Values: Promoting Democracy and the Rule of Law – Global Perspectives</t>
  </si>
  <si>
    <t>The role of expertise for the cohesion of networks: The case of the Chilean Constitucional Convention</t>
  </si>
  <si>
    <t>Luis Abelardo Garrido Vergara (Adjunct Researcher); Marcos José González Hernando (Adjunct Researcher)</t>
  </si>
  <si>
    <t>04 Dec 2024</t>
  </si>
  <si>
    <t>06 Dec 2024, 09:30</t>
  </si>
  <si>
    <t>Affective polarization, support for democracy, and democratic values. A cross- and within-country analysis.</t>
  </si>
  <si>
    <t>06 Dec 2024, 09:31</t>
  </si>
  <si>
    <t>Democracia Constitucional: pasado, presente y futuro. VIII Jornadas de Historia y Filosofía del Derecho</t>
  </si>
  <si>
    <t>Lecciones de los intentos de reemplazo constitucional en Chile</t>
  </si>
  <si>
    <t>05 Dec 2024</t>
  </si>
  <si>
    <t>06 Dec 2024, 09:29</t>
  </si>
  <si>
    <t>Inteligencia artificial y su impacto en la opinión pública en Chile</t>
  </si>
  <si>
    <t>Paulina Valenzuela, Pablo Matamoros, Magdalena Saldaña</t>
  </si>
  <si>
    <t>06 Dec 2024, 09:26</t>
  </si>
  <si>
    <t>Seminario de Historieta y Humor Gráfico</t>
  </si>
  <si>
    <t>Discusión del libro de historia de Manuel Gárate: La creación de un Monstruo. La imagen de Augusto Pinochet en caricaturas de prensa extranjera</t>
  </si>
  <si>
    <t>Mara Burkart, Mariano Zarowsky</t>
  </si>
  <si>
    <t>The event was online, organized by the Universidad de Buenos Aires, CONICET.</t>
  </si>
  <si>
    <t>10 Dec 2024, 09:30</t>
  </si>
  <si>
    <t>XXIX Congreso Internacional del CLAD sobre la Reforma del Estado y de la Administración Pública</t>
  </si>
  <si>
    <t>Regímenes del conocimiento y coordinación de políticas públicas: los casos de Chile y Uruguay</t>
  </si>
  <si>
    <t>The link provides the programme of the Congress, alluding therefore to Garrido's presentation.</t>
  </si>
  <si>
    <t>06 Dec 2024, 08:59</t>
  </si>
  <si>
    <t>Creencias y actitudes en torno a la transparenciaen la función pública: El caso Chileno</t>
  </si>
  <si>
    <t>06 Dec 2024, 09:01</t>
  </si>
  <si>
    <t>Ciclo de conferencias “25 años del Diploma Superior en Organizaciones de la Sociedad Civil”.</t>
  </si>
  <si>
    <t>Aproximaciones metodológicas al análisis de la conflictividad social en América del Sur</t>
  </si>
  <si>
    <t>Agustina Gradin, Matías Reiri</t>
  </si>
  <si>
    <t>06 Dec 2024, 09:24</t>
  </si>
  <si>
    <t>Tomás Vodanovic: conversación sobre sociología y política local</t>
  </si>
  <si>
    <t>Tomás Vodanovic, Tomás Ariztía</t>
  </si>
  <si>
    <t>06 Dec 2024, 09:03</t>
  </si>
  <si>
    <t>De la justificación de la violencia. Breve análisis sociológico y filosófico</t>
  </si>
  <si>
    <t>José Luis Villacañas</t>
  </si>
  <si>
    <t>25 Nov 2024</t>
  </si>
  <si>
    <t>06 Dec 2024, 08:57</t>
  </si>
  <si>
    <t>VIII Latin American PolMeth meeting </t>
  </si>
  <si>
    <t>The Longitudinal Unexpected Event During Survey Design</t>
  </si>
  <si>
    <t>23 Nov 2024</t>
  </si>
  <si>
    <t>09 Dec 2024, 13:25</t>
  </si>
  <si>
    <t>Presentación de Libro: “Las Constituciones del miedo, Chile 2019-2023”</t>
  </si>
  <si>
    <t>Augusto Varas, Felipe Agüero, Domingo Lovera</t>
  </si>
  <si>
    <t>06 Dec 2024, 08:55</t>
  </si>
  <si>
    <t>International Conference: Decolonizing Museums and Resignifying Monuments</t>
  </si>
  <si>
    <t>Memorialicidio: Patrimonio de Derechos Humanos en Riesgo</t>
  </si>
  <si>
    <t>21 Nov 2024</t>
  </si>
  <si>
    <t>06 Dec 2024, 08:52</t>
  </si>
  <si>
    <t>Congreso Internacional: Evaluación de la Gobernanza y el Valor Público</t>
  </si>
  <si>
    <t>Comunas contenciosas: democracia municipal y protestas sociales en el Wallmapu</t>
  </si>
  <si>
    <t>06 Dec 2024, 08:53</t>
  </si>
  <si>
    <t>De la población al estallido. Lanzamiento de libro: Mobilizin at the Urban Margins: Citizenship and Patronage Politics in Post-Dictatorial Chile</t>
  </si>
  <si>
    <t>Maria Luisa Mendez Layera (Director); Nicolas Manuel Somma Gonzalez (Adjunct Researcher)</t>
  </si>
  <si>
    <t>Simón Escoffier, Leigh Payne</t>
  </si>
  <si>
    <t>06 Dec 2024, 08:51</t>
  </si>
  <si>
    <t>Presentación Informe de Desarrollo Humano 2024: ¿por qué nos cuesta cambiar? y Homenaje a Norbert Lechner</t>
  </si>
  <si>
    <t>MACARENA ANDREA ORCHARD RIEIRO (Adjunct Researcher); Jorge Atria Curi (Adjunct Researcher)</t>
  </si>
  <si>
    <t>Maya Zilveti</t>
  </si>
  <si>
    <t>Group And Individual Interactions; Social and Political Conflict</t>
  </si>
  <si>
    <t>06 Dec 2024, 08:49</t>
  </si>
  <si>
    <t>La Gramática de las Emociones en el Estallido Social Chileno: Análisis de Mensajes en Twitter sobre la Justificación o Condena de la Violencia</t>
  </si>
  <si>
    <t>06 Dec 2024, 08:47</t>
  </si>
  <si>
    <t>Segundo Encuentro Nacional de Abogados</t>
  </si>
  <si>
    <t>panel "Independencia judicial y acusaciones constitucionales"</t>
  </si>
  <si>
    <t>09 Dec 2024, 13:59</t>
  </si>
  <si>
    <t>Violencias Estado-criminales en América Latina: los casos de Chile y México</t>
  </si>
  <si>
    <t>18 Dec 2024, 10:52</t>
  </si>
  <si>
    <t>Coloquio Interregional e Internacional de Ciencias Humanas y Sociales</t>
  </si>
  <si>
    <t>Vocación y Sublimación Psíquica</t>
  </si>
  <si>
    <t>The link provides information about this event and Basaure's participation in it.</t>
  </si>
  <si>
    <t>06 Dec 2024, 08:46</t>
  </si>
  <si>
    <t>Programme and Impact Lead - Innovation and Special Projects Meeting</t>
  </si>
  <si>
    <t>Presentación del curso Técnicas de la Democracia Deliberativa y la Mediación</t>
  </si>
  <si>
    <t>Jemma Stringer</t>
  </si>
  <si>
    <t>12 Nov 2024</t>
  </si>
  <si>
    <t>The document presents a chain of emails that serves as a means of verification of the event.</t>
  </si>
  <si>
    <t>06 Dec 2024, 08:43</t>
  </si>
  <si>
    <t>Book Presentation: "Supermajority Voting in Constitutional Courts: The Problem of Majority Rule for Democracy and Legislation" </t>
  </si>
  <si>
    <t>Cristóbal Caviedes, Marisol Peña, Eduardo Aldunate</t>
  </si>
  <si>
    <t>09 Dec 2024, 14:03</t>
  </si>
  <si>
    <t>Festival Puerto de Ideas Valparaíso</t>
  </si>
  <si>
    <t>El Poder de la Envidia y los Celos Hoy</t>
  </si>
  <si>
    <t>Renata Salecl</t>
  </si>
  <si>
    <t>The link refers to this event, alluding to Basaure's participation in it.</t>
  </si>
  <si>
    <t>06 Dec 2024, 08:40</t>
  </si>
  <si>
    <t>XVI Congreso Nacional y IX Internacional sobre DEMOCRACIA</t>
  </si>
  <si>
    <t>Polarización en la élite política chilena. Una encuesta a candidatos a alcaldes</t>
  </si>
  <si>
    <t>06 Dec 2024, 08:34</t>
  </si>
  <si>
    <t>Sociedad y Apatía en la Sociedad Actual</t>
  </si>
  <si>
    <t>The link provides information about the event, where Basaure participated as moderator.</t>
  </si>
  <si>
    <t>06 Dec 2024, 08:38</t>
  </si>
  <si>
    <t>Críticos y desesperanzados, pero no resignados: Jóvenes de sectores populares y su relación con la política institucional en el Chile post estallido</t>
  </si>
  <si>
    <t>06 Dec 2024, 08:35</t>
  </si>
  <si>
    <t>Special Panel: “Ciclo electoral 2024 en América Latina”</t>
  </si>
  <si>
    <t>06 Dec 2024, 08:32</t>
  </si>
  <si>
    <t>Las bases sociales de la polarización afectiva. Chile en perspectiva comparada</t>
  </si>
  <si>
    <t>06 Dec 2024, 08:33</t>
  </si>
  <si>
    <t>Desigualdades sociales en salud: Conversación cruzada sobre los casos de Chile y Francia</t>
  </si>
  <si>
    <t>Silvia Rochet, Anne Vega, María Sol Anigstein, Marcela Ferrer</t>
  </si>
  <si>
    <t>06 Dec 2024, 08:30</t>
  </si>
  <si>
    <t xml:space="preserve"> Derecho &amp; Sociedades en el Sur de Chile</t>
  </si>
  <si>
    <t>El problema de la cultura jurídica: las recientes transformaciones del caso chileno</t>
  </si>
  <si>
    <t>06 Dec 2024, 08:28</t>
  </si>
  <si>
    <t>Apoio e Rejeicao à ultradireita: Estudo comparado sobre Argentina, Brasil e Chile</t>
  </si>
  <si>
    <t>Talita Tanscheit</t>
  </si>
  <si>
    <t>06 Dec 2024, 08:25</t>
  </si>
  <si>
    <t>06 Dec 2024, 08:24</t>
  </si>
  <si>
    <t>Jornada de Reflexión: Renovando el Socialismo</t>
  </si>
  <si>
    <t>Alfredo Roberto Joignant Rondón (Principal Researcher); Rodrigo Mauricio Cofré Basaure (Adjunct Researcher)</t>
  </si>
  <si>
    <t>26 Dec 2024, 11:00</t>
  </si>
  <si>
    <t>Democracy and democratization after the Third Wave. International Conference celebrating Andrew Arato’s 80th Birthday.</t>
  </si>
  <si>
    <t>Constitution-Making in Chile</t>
  </si>
  <si>
    <t>06 Dec 2024, 08:21</t>
  </si>
  <si>
    <t>Crisis de representación, constitucionalismo fallido y democracia inestable en Chile</t>
  </si>
  <si>
    <t>06 Dec 2024, 08:17</t>
  </si>
  <si>
    <t>Seminarios ICP-UC</t>
  </si>
  <si>
    <t>Religion and Affective Polarization in Argentina and Chile</t>
  </si>
  <si>
    <t>The link provides the full schedule of the ICP Seminar series, showing Isabel Castillo's participation on 23 October.</t>
  </si>
  <si>
    <t>06 Dec 2024, 08:15</t>
  </si>
  <si>
    <t>Coloquios Sociológicos</t>
  </si>
  <si>
    <t>Book Presentation "Mobilizing at the Urban Margins: Citizenship and Patronage Politics in Post-Dictatorial Chile”</t>
  </si>
  <si>
    <t>Simón Escoffier</t>
  </si>
  <si>
    <t>06 Dec 2024, 08:20</t>
  </si>
  <si>
    <t>When Do Citizens Support Democratic Backsliding in the Name of Democracy?</t>
  </si>
  <si>
    <t>Noam Titelman</t>
  </si>
  <si>
    <t>The link above provides details about the activity, including Zanotti's participation in it.</t>
  </si>
  <si>
    <t>06 Dec 2024, 08:12</t>
  </si>
  <si>
    <t>De la esperanza a la incertidumbre: claves para interpretar el legado político del 18 de octubre chileno</t>
  </si>
  <si>
    <t>Amenazas para la memorialización de la violencia dictatorial en Chile post-estallido</t>
  </si>
  <si>
    <t>03 Dec 2024, 22:54</t>
  </si>
  <si>
    <t>03 Dec 2024, 22:55</t>
  </si>
  <si>
    <t>Resistencias periféricas post-estallido: Perspectivas de futuro entre la esperanza y el desencanto</t>
  </si>
  <si>
    <t>03 Dec 2024, 22:52</t>
  </si>
  <si>
    <t>Estado y Fuerzas Armadas: ¿Una adecuada política pública en el orden interno?</t>
  </si>
  <si>
    <t>The link above refers to this event and the participation of Claudia Heiss in it.</t>
  </si>
  <si>
    <t>03 Dec 2024, 22:49</t>
  </si>
  <si>
    <t>Movement-parties and backlash politics: A relational approach to study movement-parties</t>
  </si>
  <si>
    <t>03 Dec 2024, 21:49</t>
  </si>
  <si>
    <t>Movement Parties from the Left and their Political Consequences in Latin America and Southern Europe</t>
  </si>
  <si>
    <t>The link above provides information about the event, referring to Sofía Donoso's participation.</t>
  </si>
  <si>
    <t>03 Dec 2024, 21:47</t>
  </si>
  <si>
    <t>Sobre el Sentido de la Investigación Social en Chile Hoy: ¿Qué Ciencia Social ante el Chile Neoliberal en Crisis?</t>
  </si>
  <si>
    <t>Emmanuelle Barozet (Principal Researcher); Juan Carlos Castillo Valenzuela (Principal Researcher)</t>
  </si>
  <si>
    <t>03 Dec 2024, 22:46</t>
  </si>
  <si>
    <t>Lecciones de Octubre: ¿Qué hemos aprendido del estallido social?</t>
  </si>
  <si>
    <t>Isabel Castillo Carniglia (Adjunct Researcher); Rodrigo Mauricio Cofré Basaure (Adjunct Researcher)</t>
  </si>
  <si>
    <t>03 Dec 2024, 22:51</t>
  </si>
  <si>
    <t>Disputar el estallido: subjetividades, contramemorias y procesos institucionales</t>
  </si>
  <si>
    <t>La construcción del marco moral de un contramovimiento</t>
  </si>
  <si>
    <t>Manuela Badilla Rajevic (Adjunct Researcher); Daniela Paz Jara Leiva (Adjunct Researcher)</t>
  </si>
  <si>
    <t>31 Oct 2024, 17:18</t>
  </si>
  <si>
    <t>Taller: Politización sin identificación: jóvenes de sectores populares y su relación con la política institucional</t>
  </si>
  <si>
    <t>Politización sin identificación: jóvenes de sectores populares y su relación con la política institucional</t>
  </si>
  <si>
    <t>24 Oct 2024, 17:41</t>
  </si>
  <si>
    <t>Mesa Redonda: Feminismos, Antifeminismos y Ultraderecha</t>
  </si>
  <si>
    <t>Catherine Reyes-Housholder Catherine Reyes-Housholder (Adjunct Researcher); Cristóbal Gonzalo Rovira Kaltwasser (Adjunct Researcher)</t>
  </si>
  <si>
    <t>Julieta Suárez-Cao, leslie Schwindt-Bayer, Flavia Biroli</t>
  </si>
  <si>
    <t>24 Oct 2024, 17:44</t>
  </si>
  <si>
    <t>Cinco años del estallido social: cinco miradas</t>
  </si>
  <si>
    <t>David Altman, María José Naudón, Antonia Rivas, Claudio Alvarado</t>
  </si>
  <si>
    <t>24 Oct 2024, 17:57</t>
  </si>
  <si>
    <t>Workshop Feminism, Antifeminism and Far-right</t>
  </si>
  <si>
    <t>Women in Conservative Religious Mobilization in Latin America: Chile and Mexico in Comparative Perspective</t>
  </si>
  <si>
    <t>24 Oct 2024, 19:20</t>
  </si>
  <si>
    <t>Feminism, Antifeminism and Far-right</t>
  </si>
  <si>
    <t>•	BACKLASH POLITICS AND THE RISE OF THE FAR-RIGHT: LONGITUDINAL EVIDENCE FROM CONTEMPORARY CHILE</t>
  </si>
  <si>
    <t>24 Oct 2024, 19:23</t>
  </si>
  <si>
    <t>Crisis de la democracia en Chile: Fragmentación, representación y legitimidad</t>
  </si>
  <si>
    <t>Alexis Cortés, Gabriel Chouhy</t>
  </si>
  <si>
    <t>24 Oct 2024, 18:05</t>
  </si>
  <si>
    <t>TERCER COLOQUIO	INTERNACIONAL	IRN	– HISTEMAL. Extremos y polarización: memoria y emociones en América Latina, España y Portugal (Siglo XX y XXI)</t>
  </si>
  <si>
    <t>24 Oct 2024, 19:27</t>
  </si>
  <si>
    <t>Regional Conference IDEA International: ¿Cómo frenar los retrocesos democráticos en América Latina? Experiencias y diseños para fortalecer instituciones y la resiliencia democrática</t>
  </si>
  <si>
    <t>24 Oct 2024, 20:00</t>
  </si>
  <si>
    <t>La política de la rabia: dolor e ira en los movimientos feministas en México</t>
  </si>
  <si>
    <t xml:space="preserve"> Ana Miranda</t>
  </si>
  <si>
    <t>The event was online. Mauro Basaure was the moderator.</t>
  </si>
  <si>
    <t>24 Oct 2024, 19:54</t>
  </si>
  <si>
    <t>Volver a mirar(nos): A 5 años de octubre 2019</t>
  </si>
  <si>
    <t>24 Oct 2024, 20:02</t>
  </si>
  <si>
    <t>Les mésaventures de la justice sociale au Chili. Puissance du mouvement social et échec des référendums constitutionnels</t>
  </si>
  <si>
    <t>24 Oct 2024, 20:05</t>
  </si>
  <si>
    <t xml:space="preserve">Seminario "Elites y Derechas" </t>
  </si>
  <si>
    <t>Rachel Théodore (Adjunct Researcher)</t>
  </si>
  <si>
    <t>31 Oct 2024, 17:17</t>
  </si>
  <si>
    <t>Webinar: Populism, polarization and authoritarian regression</t>
  </si>
  <si>
    <t>The Far-Right in Latin America in Comparative Perspective</t>
  </si>
  <si>
    <t>24 Oct 2024, 20:10</t>
  </si>
  <si>
    <t>Jornada Internacional: Erosión democrática y amenaza a los derechos fundamentales en las Américas</t>
  </si>
  <si>
    <t>Keynote lecture: "Evaluación del proceso constituyente en Chile: lecciones para la región”</t>
  </si>
  <si>
    <t>In the link above it is possible to confirm that Claudia Heiss was a key lecturer at this event.</t>
  </si>
  <si>
    <t>24 Oct 2024, 20:34</t>
  </si>
  <si>
    <t>Journée d’étude: Pour un histoire populiare de l'Amérique Latine: Approche comparée et monde ruraux</t>
  </si>
  <si>
    <t>Pour un histoire populiare de l'Amérique Latine: Approche comparée et monde ruraux</t>
  </si>
  <si>
    <t>Emmanuelle Barozet acted as commentator in this activity.</t>
  </si>
  <si>
    <t>24 Oct 2024, 20:38</t>
  </si>
  <si>
    <t xml:space="preserve">Linchamientos y cultura jurídica popular en Chile </t>
  </si>
  <si>
    <t>24 Oct 2024, 20:42</t>
  </si>
  <si>
    <t>Chili, cinq ans après la révolte sociale: quels défis pour le présent?</t>
  </si>
  <si>
    <t>Franck Gaudichaud</t>
  </si>
  <si>
    <t>24 Oct 2024, 20:40</t>
  </si>
  <si>
    <t>Coloquio Doctoral del Doctorado de Psicología de la Pontificia Universidad Católica de Chile</t>
  </si>
  <si>
    <t>Unsettling the experience of time: the indexical rol of monument contestation</t>
  </si>
  <si>
    <t>24 Oct 2024, 20:46</t>
  </si>
  <si>
    <t>Resistance and Food Delivery Platforms in the Global South: Latin American and Caribbean migrant workers using social media as a tool of resistance</t>
  </si>
  <si>
    <t>24 Oct 2024, 20:53</t>
  </si>
  <si>
    <t>Back to the future: could a 20th century dictator (unintendendly) self-transform into a 21st century depolarizing democrat? The return of Alberto Fujimori to electoral politics in Perú</t>
  </si>
  <si>
    <t>Carlos Eleodoro Meléndez Guerrero (Adjunct Researcher); Carolina Segovia Arancibia (Adjunct Researcher)</t>
  </si>
  <si>
    <t>The event was online. Carolina Segovia acted as moderator.</t>
  </si>
  <si>
    <t>24 Oct 2024, 20:50</t>
  </si>
  <si>
    <t>8th Annual PSG Workshop: Populism Anti-Populism, Polarisation</t>
  </si>
  <si>
    <t>Populism, anti-populism, and the moralization of politics</t>
  </si>
  <si>
    <t>Carlos Eleodoro Meléndez Guerrero (Adjunct Researcher); Lisa Zanotti (Adjunct Researcher)</t>
  </si>
  <si>
    <t>The link above provides de programme of the event. it confirms the participation of Lisa Zanotti and Carlos Meléndez.</t>
  </si>
  <si>
    <t>24 Oct 2024, 20:52</t>
  </si>
  <si>
    <t>Budapest Forum 2024: Building Sustainable Democracies</t>
  </si>
  <si>
    <t>Panel: Political polarization in modern democracies. Origins, dynamics, and consequences</t>
  </si>
  <si>
    <t>Carlos Eleodoro Meléndez Guerrero (Adjunct Researcher)</t>
  </si>
  <si>
    <t>Kirk Hawkins , Murat Somer, Natasha Wunsch, Catarina Leao</t>
  </si>
  <si>
    <t>Carlos Meléndez was the moderator for this event.</t>
  </si>
  <si>
    <t>24 Oct 2024, 20:57</t>
  </si>
  <si>
    <t>Far Right Extremism and Democracy in a Comparative Perspective: Europe and Latin America</t>
  </si>
  <si>
    <t>BACKLASH POLITICS AND THE RISE OF THE FAR-RIGHT: LONGITUDINAL EVIDENCE FROM CONTEMPORARY CHILE</t>
  </si>
  <si>
    <t>24 Oct 2024, 21:00</t>
  </si>
  <si>
    <t>0 Roundtable Discussion ‘Is the far right a global phenomenon?’</t>
  </si>
  <si>
    <t>Vasiliki Georgiadou, Daphne Halikiopoulou, Christina Koulouri</t>
  </si>
  <si>
    <t>11 Sep 2024</t>
  </si>
  <si>
    <t>24 Oct 2024, 21:02</t>
  </si>
  <si>
    <t>Seminario Comportamiento y Opinión Pública</t>
  </si>
  <si>
    <t>24 Oct 2024, 21:07</t>
  </si>
  <si>
    <t>Séminaire Verelect: La fabrique de la vérité électorale</t>
  </si>
  <si>
    <t>C’est quoi la vérité électotale? Autonomie institutionnelle, vitesse du décompte des voix et contrôle visuel populaire au Chili (2012-2023)</t>
  </si>
  <si>
    <t>Romain Rambaud</t>
  </si>
  <si>
    <t>24 Oct 2024, 21:28</t>
  </si>
  <si>
    <t>APSA Annual Meeting</t>
  </si>
  <si>
    <t>Measuring the Support for Democratic Backsliding in Europe</t>
  </si>
  <si>
    <t>07 Sep 2024</t>
  </si>
  <si>
    <t>24 Oct 2024, 21:31</t>
  </si>
  <si>
    <t>How Women Win Presidential Elections in Latin America</t>
  </si>
  <si>
    <t>24 Oct 2024, 21:35</t>
  </si>
  <si>
    <t>Nationalism in Populist Party Agendas: Comparing Europe and Latin America</t>
  </si>
  <si>
    <t>24 Oct 2024, 21:32</t>
  </si>
  <si>
    <t>Simposio «Agenda Neoliberal»</t>
  </si>
  <si>
    <t>The link above refers to the participation of Juan Pablo Rodríguez in this event.</t>
  </si>
  <si>
    <t>24 Oct 2024, 21:41</t>
  </si>
  <si>
    <t>II Congreso Estudiantil de Ciencias del Derecho</t>
  </si>
  <si>
    <t>Coloquio "Actualidad y desafíos de las derechas e izquierdas chilenas”</t>
  </si>
  <si>
    <t>25 Oct 2024, 09:35</t>
  </si>
  <si>
    <t>Greening Growth Models Workshop</t>
  </si>
  <si>
    <t>Latin America</t>
  </si>
  <si>
    <t>25 Oct 2024, 09:33</t>
  </si>
  <si>
    <t>Participación, ciudadanía y poder</t>
  </si>
  <si>
    <t>The link provided comes from one of the institutions that organised the event and reports the participation of Claudia Heiss, providing a document with its content, which is also uploaded here.</t>
  </si>
  <si>
    <t>25 Oct 2024, 09:40</t>
  </si>
  <si>
    <t>A cinco años del estallido: los intelectuales ante la crisis</t>
  </si>
  <si>
    <t>Revisiting the social uprising: explanations, interpretations, and over-interpretations</t>
  </si>
  <si>
    <t>25 Oct 2024, 09:44</t>
  </si>
  <si>
    <t>Ciclo de Conversatorio sobre movimientos sociales</t>
  </si>
  <si>
    <t>Revueltas urbanas en América Latina: revisión bibliográfica y propuesta conceptual</t>
  </si>
  <si>
    <t>25 Oct 2024, 09:52</t>
  </si>
  <si>
    <t>Activismo en mujeres conservadoras</t>
  </si>
  <si>
    <t>Isabel Castillo Carniglia (Adjunct Researcher); Rodolfo Disi Pavlic (Adjunct Researcher)</t>
  </si>
  <si>
    <t>25 Oct 2024, 09:58</t>
  </si>
  <si>
    <t>Book Presentation: Las ciencias sociales revisitadas</t>
  </si>
  <si>
    <t>Maria Luisa Mendez Layera (Director); Mauro Basaure (Undergraduate Thesis)</t>
  </si>
  <si>
    <t>Gustavo Leyva, Fernando Valenzuela, Luis López</t>
  </si>
  <si>
    <t>25 Oct 2024, 10:02</t>
  </si>
  <si>
    <t>Apoyo y rechazo a la ultraderecha en Argentina, Brasil y Chile</t>
  </si>
  <si>
    <t>Michelle Bachelet, Paula Escobar</t>
  </si>
  <si>
    <t>25 Oct 2024, 10:05</t>
  </si>
  <si>
    <t>Radicalización de la derecha convencional en Europa y sus consecuencias para los sistemas de partidos</t>
  </si>
  <si>
    <t>Carolina Segovia Arancibia (Adjunct Researcher); Lisa Zanotti (Adjunct Researcher)</t>
  </si>
  <si>
    <t>In this event, Carolina Segovia acted as moderator.</t>
  </si>
  <si>
    <t>25 Oct 2024, 10:19</t>
  </si>
  <si>
    <t>Seminario Internacional de Investigación de la Facultad de Gobierno, Universidad de Chile.</t>
  </si>
  <si>
    <t># Trayectorias de vida y evolución de los centros de estudio en Chile (2011-2022)</t>
  </si>
  <si>
    <t>Robert Funk</t>
  </si>
  <si>
    <t>27 Aug 2024</t>
  </si>
  <si>
    <t>25 Oct 2024, 10:23</t>
  </si>
  <si>
    <t>CALC Colloquium</t>
  </si>
  <si>
    <t>Family life course pluralization and differentiation across liberal regime countries.</t>
  </si>
  <si>
    <t>23 Oct 2024, 22:34</t>
  </si>
  <si>
    <t>Inversiones identitarias: Las reacciones de adultos de clase media a su condición de privilegio precario en el Chile Neoliberal</t>
  </si>
  <si>
    <t>Basaure participated in this event as a moderator.</t>
  </si>
  <si>
    <t>25 Oct 2024, 10:29</t>
  </si>
  <si>
    <t>Seminario POLICIS, Universidad del Desarrollo</t>
  </si>
  <si>
    <t>25 Oct 2024, 10:27</t>
  </si>
  <si>
    <t>Seminario sobre proyecto ”Hacia una cartografía del movimiento estudiantil en la ciudad de Montevideo: lugares, identidades y territorios”</t>
  </si>
  <si>
    <t>Vania Makrarian, Gabriela González Vaillant</t>
  </si>
  <si>
    <t>Nicolás Somma participated as a commentator, in this activity.</t>
  </si>
  <si>
    <t>25 Oct 2024, 10:35</t>
  </si>
  <si>
    <t>Book Presentation: Resistir a la extorsión. Víctimas, crimen y Estados en América Latina.</t>
  </si>
  <si>
    <t>Eduardo Moncada, José González, Antonio Fuentes Díaz, Evangelina Caravaca</t>
  </si>
  <si>
    <t>This event was online.</t>
  </si>
  <si>
    <t>25 Oct 2024, 10:32</t>
  </si>
  <si>
    <t>Book Presentation: La Era del Pesimismo Democrático</t>
  </si>
  <si>
    <t>Camila Vallejo, Carolina Urrejol</t>
  </si>
  <si>
    <t>The link above comes from the institution that organised de event and alludes to Cristóbal Rovira's participation.</t>
  </si>
  <si>
    <t>25 Oct 2024, 10:38</t>
  </si>
  <si>
    <t>Book Presentation: "Fortaleciendo al mundo del trabajo: política salarial y gobiernos de izquierda en democracias desiguales"</t>
  </si>
  <si>
    <t>Juan Bogliaccini, Giorgio Boccardo, Cäcilie Schildberg</t>
  </si>
  <si>
    <t>The link above, from the University that organised the event, alludes to Aldo Madariaga's participation.</t>
  </si>
  <si>
    <t>25 Oct 2024, 10:42</t>
  </si>
  <si>
    <t xml:space="preserve"> 119th American Sociological Association (ASA) Annual Meeting, </t>
  </si>
  <si>
    <t>Can strike action revitalize labor unions: Evidence from Chile</t>
  </si>
  <si>
    <t>23 Oct 2024, 22:17</t>
  </si>
  <si>
    <t>23 Oct 2024, 22:37</t>
  </si>
  <si>
    <t>Strategies for Combating the Far-Right: Experiences from Latin America and Europe</t>
  </si>
  <si>
    <t>The Far-Right in Comparative Perspective</t>
  </si>
  <si>
    <t>25 Oct 2024, 10:48</t>
  </si>
  <si>
    <t>Book Presentation: “The Persistence of Local Caudillos in Latin America”</t>
  </si>
  <si>
    <t>Emmanuelle Barozet (Principal Researcher); Rodolfo Disi Pavlic (Adjunct Researcher)</t>
  </si>
  <si>
    <t>Tomás Dosek, Julieta Suárez-Cao</t>
  </si>
  <si>
    <t>The link above comes from the university that organised the event and refers to the participation of Emmanuelle Barozet and Rodolfo Disi.</t>
  </si>
  <si>
    <t>25 Oct 2024, 10:53</t>
  </si>
  <si>
    <t>Seminario RIS Investigación 2024: Novedades y Hallazgos</t>
  </si>
  <si>
    <t>Dante Contreras Guajardo (Principal Researcher); Diana Isabel Kruger (Adjunct Researcher)</t>
  </si>
  <si>
    <t>06 Aug 2024</t>
  </si>
  <si>
    <t>24 Oct 2024, 21:51</t>
  </si>
  <si>
    <t>Coloquios NIUMAP</t>
  </si>
  <si>
    <t>Procesos de construcción de respeto: explorando el movimiento por un parto respetado</t>
  </si>
  <si>
    <t>25 Oct 2024, 10:58</t>
  </si>
  <si>
    <t>RC21 Conference “The politics and spaces of encounters: advancing dialogues between and within the Global North and the Global South”</t>
  </si>
  <si>
    <t>Whiteness and cities</t>
  </si>
  <si>
    <t>24 Oct 2024, 20:43</t>
  </si>
  <si>
    <t xml:space="preserve"> Summit de Educación Superior “Protagonistas 2030”</t>
  </si>
  <si>
    <t>“Conéctate: las potencialidades de la ‘atención plena’ en la educación”</t>
  </si>
  <si>
    <t>24 Oct 2024, 21:43</t>
  </si>
  <si>
    <t>Participación ciudadana en política: lecciones del proceso constitucional chileno</t>
  </si>
  <si>
    <t>Claudia Sylvia Heiss Bendersky (Adjunct Researcher); Pilar Veas (PhD Thesis)</t>
  </si>
  <si>
    <t>Yanina Welp, Hernán Larraín Matte</t>
  </si>
  <si>
    <t>The link above comes from the university that organised the event and refers to the participation of Claudia Heiss and Pilar Veas.</t>
  </si>
  <si>
    <t>25 Oct 2024, 11:04</t>
  </si>
  <si>
    <t>XXI Jornadas de Alternativas Religiosas en América Latina, RC22 - ACSRAL</t>
  </si>
  <si>
    <t>Evangelicals and Political Participation in Chile's Rural South</t>
  </si>
  <si>
    <t>25 Oct 2024, 11:08</t>
  </si>
  <si>
    <t>VIII Congreso Internacional Pre ALAS Perú</t>
  </si>
  <si>
    <t xml:space="preserve">Mesa: Sociología Jurídica </t>
  </si>
  <si>
    <t>25 Oct 2024, 11:15</t>
  </si>
  <si>
    <t>Segundo Seminario de Justicia Reproductiva: “Una epidemia alarmante: cesáreas no justificadas”</t>
  </si>
  <si>
    <t>Martina Yopo, Gonzalo Leiva Rojas, Michelle Sadler</t>
  </si>
  <si>
    <t>The link above comes from the institution that organised the event and refers to Macarena Orchard's participation.</t>
  </si>
  <si>
    <t>25 Oct 2024, 11:11</t>
  </si>
  <si>
    <t>XII Congreso Latinoamericano de Ciencia Política "América Latina como actor en la configuración geopolítica global"</t>
  </si>
  <si>
    <t>Towards a Comparative Analysis of the Far Right in Latin America</t>
  </si>
  <si>
    <t>17 Jul 2024</t>
  </si>
  <si>
    <t>25 Oct 2024, 11:26</t>
  </si>
  <si>
    <t>XII Congreso Latinoamericano de Ciencia Política "América Latina como actor en la configuración geopolítica global"</t>
  </si>
  <si>
    <t>Populismos en América Latina y Europa: ¿mismas características de un mismo fenómeno?</t>
  </si>
  <si>
    <t>25 Oct 2024, 11:28</t>
  </si>
  <si>
    <t>Participación de los movimientos sociales en la Convención Constitucional (2021-2022) y las consecuencias del rechazo para la movilización social en Chile</t>
  </si>
  <si>
    <t>20 Jul 2024</t>
  </si>
  <si>
    <t>25 Oct 2024, 11:34</t>
  </si>
  <si>
    <t>Eighth Annual Conference of the Memory Studies Association (MSA)</t>
  </si>
  <si>
    <t>La amenaza discursiva de la extrema derecha en Chile: cuestionamientos y riesgos para las políticas de la memoria de los crímenes de la dictadura civil militar</t>
  </si>
  <si>
    <t>25 Oct 2024, 11:20</t>
  </si>
  <si>
    <t xml:space="preserve">International Conference for Computational Social Science (IC2S2) </t>
  </si>
  <si>
    <t>LLMs for Political Predictions in the Chilean Context</t>
  </si>
  <si>
    <t>The link above provides the schedule of the conference, referring to Naim Bro's participation.</t>
  </si>
  <si>
    <t>11 Nov 2024, 11:22</t>
  </si>
  <si>
    <t>International Conference for Computational Social Science (IC2S2)</t>
  </si>
  <si>
    <t>Extracting Political Networks from Text Using GPT-4</t>
  </si>
  <si>
    <t>11 Nov 2024, 11:23</t>
  </si>
  <si>
    <t>Conferencia REPAL 2024</t>
  </si>
  <si>
    <t>Chair in sessions 4A and 4B</t>
  </si>
  <si>
    <t>13 Jul 2024</t>
  </si>
  <si>
    <t>25 Oct 2024, 11:37</t>
  </si>
  <si>
    <t>Book Panel “Historic Racial Exclusion and Subnational Socio-economic Outcomes in Colombia: Equal but Different”</t>
  </si>
  <si>
    <t>25 Oct 2024, 11:38</t>
  </si>
  <si>
    <t>Information session about Palgrave-MacMillan Latin American Book series</t>
  </si>
  <si>
    <t>25 Oct 2024, 11:41</t>
  </si>
  <si>
    <t>Political learning and the rise of movement-parties: lessons from Latin America</t>
  </si>
  <si>
    <t>Donatella Della Porta, Daniela Chironi, Lorenzo Zamponi</t>
  </si>
  <si>
    <t>The link above, provided by the university that organised the event, refers to the conference given by Sofía Donoso.</t>
  </si>
  <si>
    <t>25 Oct 2024, 11:45</t>
  </si>
  <si>
    <t>ICON·S 2024 ANNUAL CONFERENCE</t>
  </si>
  <si>
    <t>Citizen Participation in the Chilean Constitutional Cycle: A Critical Assesment</t>
  </si>
  <si>
    <t>25 Oct 2024, 11:49</t>
  </si>
  <si>
    <t>States of Exception in the Chilean Constitutional Cycle 2018-2023</t>
  </si>
  <si>
    <t>25 Oct 2024, 11:50</t>
  </si>
  <si>
    <t>El estudio sociológico del respeto desde un enfoque metodológico mixto</t>
  </si>
  <si>
    <t>Macarena Orchard was invited to give this lecture at the Doctotadoen Ciencias Sociales of the Universidad de Playa Ancha. The link comes from this university and alludes directly to this activity.</t>
  </si>
  <si>
    <t>25 Oct 2024, 11:57</t>
  </si>
  <si>
    <t>Encuentro investigadores proyecto ERASMUS+ NETeJOB: Strengthening interdisciplinary knowledge networks on the impacts of digital transformation on work conditions in Latin America</t>
  </si>
  <si>
    <t>ISPP Annual Meeting: Dismantling Democracy: Insecurity, emotions and authoritarian populism</t>
  </si>
  <si>
    <t>Identity and/or Ideology? The Bases of Affective Polarization in Chile</t>
  </si>
  <si>
    <t>25 Oct 2024, 12:03</t>
  </si>
  <si>
    <t>Higher Education  Close Up (HECU)</t>
  </si>
  <si>
    <t>Trust in what? A critical analysis of promises linked to Higher Education in the context of Chile</t>
  </si>
  <si>
    <t>24 Oct 2024, 21:40</t>
  </si>
  <si>
    <t>The Far Right in Latin America in Comparative Perspective</t>
  </si>
  <si>
    <t>Donatella Della Porta, Manuela Caiani, César Guzmán-Concha</t>
  </si>
  <si>
    <t>25 Oct 2024, 12:13</t>
  </si>
  <si>
    <t xml:space="preserve"> Dire les violences extrêmes</t>
  </si>
  <si>
    <t>Violence extrême et narrativité. Assembler l’histoire des absents  Sonora (México)</t>
  </si>
  <si>
    <t>25 Oct 2024, 12:15</t>
  </si>
  <si>
    <t>Seminario interdisciplinario en comportamiento político y opinión pública</t>
  </si>
  <si>
    <t>Gender and Presidential Voting in Latin America</t>
  </si>
  <si>
    <t>25 Oct 2024, 12:18</t>
  </si>
  <si>
    <t>Annual meeting of the Society for Latin American Studies (SLAS)</t>
  </si>
  <si>
    <t>Boric and the Judicial Branch: Taking the Rule of Law Seriously in the Era of Democratic Backsliding</t>
  </si>
  <si>
    <t>25 Oct 2024, 12:22</t>
  </si>
  <si>
    <t>XV Congreso Español de Sociología</t>
  </si>
  <si>
    <t>La investigación comparada internacional: posibilidades y limitaciones</t>
  </si>
  <si>
    <t>25 Oct 2024, 12:29</t>
  </si>
  <si>
    <t>El sentido y alcance de los métodos mixtos</t>
  </si>
  <si>
    <t>25 Oct 2024, 12:37</t>
  </si>
  <si>
    <t>Estratificación, desigualdad y pacto social en el Chile actual. Evaluaciones y preferencias de la población para la política pública</t>
  </si>
  <si>
    <t>25 Oct 2024, 12:40</t>
  </si>
  <si>
    <t>SASE2024</t>
  </si>
  <si>
    <t>The return of industrial policy? The structural limits to the environmental state in Latin America</t>
  </si>
  <si>
    <t>25 Oct 2024, 12:43</t>
  </si>
  <si>
    <t>IV Seminario Regional de Desarrollo Social “Protección social y desigualdad. América Latina y el Caribe hacia la Segunda Cumbre Mundial para el Desarrollo Social de 2025”</t>
  </si>
  <si>
    <t>“El marco regional de análisis y primeros hallazgos de la actualización del marco de medición de la cohesión social en América Latina”, Carlos Maldonado Valera, Oficial de Asuntos Sociales de la División de Desarrollo Social, CEPAL.</t>
  </si>
  <si>
    <t>Maria Luisa Mendez Layera (Director)</t>
  </si>
  <si>
    <t>31 Oct 2024, 17:12</t>
  </si>
  <si>
    <t>Mesa Redonda: Doctorado, universidad, empleabilidad y transferencia. Una mirada desde Latinoamérica</t>
  </si>
  <si>
    <t>25 Oct 2024, 12:46</t>
  </si>
  <si>
    <t>Cuarto Seminario Regional de Desarrollo Social: Protección social y desigualdad: América Latina y el Caribe hacia la Segunda Cumbre Mundial sobre Desarrollo Social de 2025</t>
  </si>
  <si>
    <t>Panel: Estratificación Social y Desigualdad</t>
  </si>
  <si>
    <t>The link above provides the event's programme, refering to the participation of Emmanuelle Barozet.</t>
  </si>
  <si>
    <t>25 Oct 2024, 15:06</t>
  </si>
  <si>
    <t>INoGS 9th International Conference on Genocide</t>
  </si>
  <si>
    <t>Surviving Extreme Violence in Sonora-Mexico</t>
  </si>
  <si>
    <t>25 Oct 2024, 15:10</t>
  </si>
  <si>
    <t>Recent Trends in Social Studies of Quantification</t>
  </si>
  <si>
    <t>The social effects and political uses of quantifying extreme violence: Three American cases</t>
  </si>
  <si>
    <t>25 Oct 2024, 15:14</t>
  </si>
  <si>
    <t>La Política entre la Izquierda Woke y la Ultraderecha</t>
  </si>
  <si>
    <t>25 Oct 2024, 15:12</t>
  </si>
  <si>
    <t>Chile: social conflict and constitutional power</t>
  </si>
  <si>
    <t>Sofia Catalina Donoso Knaudt (Adjunct Researcher); Cristóbal Gonzalo Rovira Kaltwasser (Adjunct Researcher)</t>
  </si>
  <si>
    <t>Lorenzo Bosi, Cesar Guzman Concha, Donatella Della Porta</t>
  </si>
  <si>
    <t>The link above comes fron the university that organised the event and allude to the participation of Sofía Donoso and Cristóbal Rovira.</t>
  </si>
  <si>
    <t>25 Oct 2024, 15:17</t>
  </si>
  <si>
    <t>Jornadas de Investigación en el IEUT 2024</t>
  </si>
  <si>
    <t>La cohesión barrial en las ciudades chilenas: tipologías y tendencias territoriales</t>
  </si>
  <si>
    <t>Maria Luisa Mendez Layera (Director); Daniel Andrés Miranda Fuenzalida (Adjunct Researcher); Cristóbal Ortiz Vilches (Master Thesis)</t>
  </si>
  <si>
    <t>31 Oct 2024, 17:10</t>
  </si>
  <si>
    <t>LASA2024</t>
  </si>
  <si>
    <t>Panel: Archivos desobedientes: Poéticas para desafiar la necromáquina - Parte 2</t>
  </si>
  <si>
    <t>25 Oct 2024, 15:20</t>
  </si>
  <si>
    <t>La temporalidad larga de la impunidad: Análisis de discurso de la justicia transicional para el pueblo mapuche en Chile</t>
  </si>
  <si>
    <t>25 Oct 2024, 15:24</t>
  </si>
  <si>
    <t>Conciencia jurídica y burocracia judicial en procedimientos de violencia intrafamiliar en Chile</t>
  </si>
  <si>
    <t>25 Oct 2024, 15:27</t>
  </si>
  <si>
    <t>Otherization Strategies in the Chilean Far-Right Discourse: Analyzing José Antonio Kast and the Republican Party</t>
  </si>
  <si>
    <t>25 Oct 2024, 15:28</t>
  </si>
  <si>
    <t>25 Oct 2024, 15:29</t>
  </si>
  <si>
    <t>Panel “The Rise and Consolidation of the Far-Right in Latin America”</t>
  </si>
  <si>
    <t>25 Oct 2024, 15:30</t>
  </si>
  <si>
    <t>Embedding Environmental Policy? Pitfalls and Promises of the Chilean Green State</t>
  </si>
  <si>
    <t>25 Oct 2024, 15:32</t>
  </si>
  <si>
    <t>Panel “Participación política de mujeres en América Latina: Experiencias nacionales y subnacionales”</t>
  </si>
  <si>
    <t>13 Jun 2024</t>
  </si>
  <si>
    <t>25 Oct 2024, 15:33</t>
  </si>
  <si>
    <t>Citizen Participation and Constitution-Making: The Case of Chile</t>
  </si>
  <si>
    <t>25 Oct 2024, 15:34</t>
  </si>
  <si>
    <t>Programmatic Preferences, Social Distance, and Ontological Security in Argentina and Brazil</t>
  </si>
  <si>
    <t>25 Oct 2024, 15:36</t>
  </si>
  <si>
    <t>Violencias en las errancias por la fronteras de Chile-Perú-Bolivia</t>
  </si>
  <si>
    <t>25 Oct 2024, 15:37</t>
  </si>
  <si>
    <t>Round table: Violencias entrelazadas en México contemporáneo</t>
  </si>
  <si>
    <t>25 Oct 2024, 15:38</t>
  </si>
  <si>
    <t>Defensores mapuche y activistas de DD.HH.: Tensiones y articulaciones entre narrativas y prácticas globales y locales de justicia</t>
  </si>
  <si>
    <t>25 Oct 2024, 15:39</t>
  </si>
  <si>
    <t>Panel “Understanding the Respective Roles of State and NonState Actors in Criminalization, Violence Against Rights Defenders and Impunity: Converging Dynamics, Possible Solutions? - Part 1”</t>
  </si>
  <si>
    <t>25 Oct 2024, 15:40</t>
  </si>
  <si>
    <t>Round Table: Cómo entender el ascenso del populismo de derecha radical en Chile</t>
  </si>
  <si>
    <t>25 Oct 2024, 15:41</t>
  </si>
  <si>
    <t>Round Table: Gustavo Petro vs. Rodolfo Hernández: ¿Dos populismos encontrados?</t>
  </si>
  <si>
    <t>25 Oct 2024, 15:42</t>
  </si>
  <si>
    <t>LASA 2024: Reacción y resistencia: Imaginar futuros posibles en las Américas</t>
  </si>
  <si>
    <t>“Huelgas laborales y crecimiento de la afiliación sindical: un estudio de Chile en perspectiva comparada”</t>
  </si>
  <si>
    <t>23 Oct 2024, 22:16</t>
  </si>
  <si>
    <t>Reacción y resistencia: Imaginar futuros posibles en las Américas</t>
  </si>
  <si>
    <t>¿Managers, marionetas o desafiadores del algoritmo? El rol de consumidores y negocios locales en la economía gig</t>
  </si>
  <si>
    <t>24 Oct 2024, 20:48</t>
  </si>
  <si>
    <t>Strengthening interdisciplinary knowledge networks on the impacts of digital transformation on work conditions in Latin America</t>
  </si>
  <si>
    <t>24 Oct 2024, 20:49</t>
  </si>
  <si>
    <t>Conferencia ACCESS Forum 2024</t>
  </si>
  <si>
    <t>"Strategic Participation in Protests: Evidence from Women’s March in Chile"</t>
  </si>
  <si>
    <t>24 Oct 2024, 22:13</t>
  </si>
  <si>
    <t>Academic Collaboration Chile Sweden (ACCESS) Forum 2024</t>
  </si>
  <si>
    <t>Collective Action for Just, Inclusive, and Sustainable Societies: Micro, Meso and Macro Perspectives</t>
  </si>
  <si>
    <t>Rodolfo Disi Pavlic (Adjunct Researcher); Sofia Catalina Donoso Knaudt (Adjunct Researcher); Nicolas Manuel Somma Gonzalez (Adjunct Researcher)</t>
  </si>
  <si>
    <t>25 Oct 2024, 15:48</t>
  </si>
  <si>
    <t>Seminar in Latin America of Constitutional and Political Theory (SELA)</t>
  </si>
  <si>
    <t>How Neutral Should the 'Economic Constitution' be? Lessons from Chile's Constituent Debates (1973-2023)</t>
  </si>
  <si>
    <t>The link above contains the programme of the seminar. It refers to Javier Couso's presentation.</t>
  </si>
  <si>
    <t>25 Oct 2024, 15:51</t>
  </si>
  <si>
    <t>Journe?es d’E?tudes du projet MORTEL, LATTS</t>
  </si>
  <si>
    <t xml:space="preserve">Tisser l'histoire de l'absence des êtres chers disparus Sonora (Mexique) </t>
  </si>
  <si>
    <t>25 Oct 2024, 15:53</t>
  </si>
  <si>
    <t>Ciclo de Seminarios MEPOP (Núcleo Milenio para el Estudio de la Política, Opinión Pública y Medios en Chile)</t>
  </si>
  <si>
    <t>Análisis de manifiestos electorales: The Party Manifesto Project</t>
  </si>
  <si>
    <t>25 Oct 2024, 15:56</t>
  </si>
  <si>
    <t>Seminario Internacional de Investigación de la Facultad de Gobierno de la Universidad de Chile</t>
  </si>
  <si>
    <t>Política desorganizada: las secuelas políticas del estallido social en Chile</t>
  </si>
  <si>
    <t>Fernando Rosenblatt</t>
  </si>
  <si>
    <t>28 May 2024</t>
  </si>
  <si>
    <t>Isabel Castillo acted as moderator in this seminar. The link above provides information about the event, alluding to Castillo's participation.</t>
  </si>
  <si>
    <t>25 Oct 2024, 15:59</t>
  </si>
  <si>
    <t>Seminario Magíster en Ciencia Política de la Universidad de Chile</t>
  </si>
  <si>
    <t>Populismo en el siglo XXI</t>
  </si>
  <si>
    <t>25 Oct 2024, 16:02</t>
  </si>
  <si>
    <t>Conferencia Instituto de Ciencias Antropológicas, UBA</t>
  </si>
  <si>
    <t>Crisis habitacional, ciudadanía y autoconstrucción: la reemergencia de campamentos en Chile</t>
  </si>
  <si>
    <t>Miguel Perez (Adjunct Researcher)</t>
  </si>
  <si>
    <t>31 Oct 2024, 17:06</t>
  </si>
  <si>
    <t>Inauguración de año académico del Doctorado en Ciencias Sociales de la Universidad Católica del Maule.</t>
  </si>
  <si>
    <t>Pitutos, patronazgos y otras instituciones informales en el orden social del Chile actual</t>
  </si>
  <si>
    <t>25 Oct 2024, 16:06</t>
  </si>
  <si>
    <t>The Academic Cooperation Association, Conference the Inclusion Academ</t>
  </si>
  <si>
    <t>“Diversity &amp; Inclusion in international higher ed.? Potentialities, limits and contradictions”</t>
  </si>
  <si>
    <t>24 Oct 2024, 21:30</t>
  </si>
  <si>
    <t>Seminario Internacional del Doctorado en Ciencias Sociales, Universidad de Chile</t>
  </si>
  <si>
    <t>¿Cómo estudiar los grandes cambios macrosociales? Enfoques interdisciplinarios</t>
  </si>
  <si>
    <t>The link above provides detailed information about the event.</t>
  </si>
  <si>
    <t>25 Oct 2024, 16:04</t>
  </si>
  <si>
    <t>¿Qué Reformar?: Diagnóstico y Propuestas para un Nuevo Sistema Político</t>
  </si>
  <si>
    <t>Panel 2. Sistema Política: Equilibrio Ejecutivo-Legislativo, Organización del Congreso</t>
  </si>
  <si>
    <t>Lihuén Nocetto, Valeria Palanza, Andrés Dockendorff, Alejandro Olivares</t>
  </si>
  <si>
    <t>Carolina Segovia acted as moderator at this event.</t>
  </si>
  <si>
    <t>25 Oct 2024, 16:15</t>
  </si>
  <si>
    <t>Transnational Elites: Imperial Histories, Global Power and Public Resistance Today British Academy</t>
  </si>
  <si>
    <t>An intersectional exploration of access privilege positions of upwardly mobile indigenous people in Chile</t>
  </si>
  <si>
    <t>Maria Luisa Mendez Layera (Director); Jorge Atria Curi (Adjunct Researcher); Denisse Sepúlveda  (Postdoctoral Fellow)</t>
  </si>
  <si>
    <t>Geographies of Conflict: The Spatial Dimension of Conflict and Social Cohesion; Group And Individual Interactions</t>
  </si>
  <si>
    <t>31 Oct 2024, 17:04</t>
  </si>
  <si>
    <t xml:space="preserve">Jornadas de Estudios del Trabajo </t>
  </si>
  <si>
    <t>Las consecuencias locales de la transición eléctrica. El caso del proceso de cierre de centrales a carbón en Chile</t>
  </si>
  <si>
    <t>31 Oct 2024, 17:02</t>
  </si>
  <si>
    <t>Seminario Académico 2024 Entre consolidación y erosión democrática: poder, mujeres, y elecciones</t>
  </si>
  <si>
    <t>Opening Keynote Lecture: Cómo las mujeres ganan la Presidencia</t>
  </si>
  <si>
    <t>25 Oct 2024, 16:29</t>
  </si>
  <si>
    <t>XII Congreso Chileno de Sociología</t>
  </si>
  <si>
    <t>Teoría Crítica en Chile: una reconstrucción</t>
  </si>
  <si>
    <t>04 May 2024</t>
  </si>
  <si>
    <t>25 Oct 2024, 16:32</t>
  </si>
  <si>
    <t>Los valores de la naturaleza y la naturaleza de las valoraciones: una sociología cultural y económica sobre bosques en Chile</t>
  </si>
  <si>
    <t>25 Oct 2024, 16:33</t>
  </si>
  <si>
    <t>Dinámicas del respeto entre ciudadanía y carabineros. La tensión entre respeto categórico, posicional y performativo</t>
  </si>
  <si>
    <t>25 Oct 2024, 16:35</t>
  </si>
  <si>
    <t>La protesta social después del estallido: diagnóstico preliminar</t>
  </si>
  <si>
    <t>02 May 2024</t>
  </si>
  <si>
    <t>25 Oct 2024, 16:39</t>
  </si>
  <si>
    <t>Comunas Contenciosas: Democracia Municipal y Protestas Locales en Chile</t>
  </si>
  <si>
    <t>25 Oct 2024, 16:40</t>
  </si>
  <si>
    <t>La deuda y sus descontentos: Correlaciones de la financialización y la participación política en Chile</t>
  </si>
  <si>
    <t>25 Oct 2024, 16:41</t>
  </si>
  <si>
    <t>Movimientos sociales y política constitucional: Las consecuencias no esperadas de la acción colectiva</t>
  </si>
  <si>
    <t>25 Oct 2024, 16:43</t>
  </si>
  <si>
    <t>Entre la autodeterminación y la evidencia. Tensiones en torno a la implementación de la demanda por parto respetado en Chile</t>
  </si>
  <si>
    <t>25 Oct 2024, 16:44</t>
  </si>
  <si>
    <t>¿Pueden los movimientos sociales influir las preferencias ideológicas de la ciudadanía?</t>
  </si>
  <si>
    <t>Matias Andrés Bargsted Valdés (Adjunct Researcher); Nicolas Manuel Somma Gonzalez (Adjunct Researcher)</t>
  </si>
  <si>
    <t>25 Oct 2024, 16:45</t>
  </si>
  <si>
    <t>Modelos cuantitativos para el estudio de la protesta y los movimientos sociales en Chile y América Latina</t>
  </si>
  <si>
    <t>Rodolfo Disi Pavlic (Adjunct Researcher); Matias Andrés Bargsted Valdés (Adjunct Researcher); Daniel Andrés Miranda Fuenzalida (Adjunct Researcher)</t>
  </si>
  <si>
    <t>25 Oct 2024, 16:47</t>
  </si>
  <si>
    <t>Policías y Sociedad en el Chile contemporáneo</t>
  </si>
  <si>
    <t>MACARENA ANDREA ORCHARD RIEIRO (Adjunct Researcher); Monica Michelle Gerber Plüss (Adjunct Researcher)</t>
  </si>
  <si>
    <t>25 Oct 2024, 16:48</t>
  </si>
  <si>
    <t>Sobre la formación de aspiraciones estudiantiles: estrategias institucionales en la transición desde la escuela a la educación superior</t>
  </si>
  <si>
    <t>Carlos Felipe Palma Amestoy (Postdoctoral Fellow); Denisse Sepúlveda  (Postdoctoral Fellow)</t>
  </si>
  <si>
    <t>31 Oct 2024, 16:58</t>
  </si>
  <si>
    <t>Cambio social y trayectorias diversas en contextos educacionales desde una perspectiva interseccional y decolonial</t>
  </si>
  <si>
    <t>31 Oct 2024, 16:59</t>
  </si>
  <si>
    <t>Barreras para la Ciencia Abierta en la investigación en Ciencias Sociales en Chile</t>
  </si>
  <si>
    <t>Juan Carlos Castillo Valenzuela (Principal Researcher); Cristóbal Ortiz Vilches (Master Thesis); Kevin Carrasco (Master Thesis)</t>
  </si>
  <si>
    <t>31 Oct 2024, 17:00</t>
  </si>
  <si>
    <t>XII Congreso Chileno de Sociología Pre-Alas</t>
  </si>
  <si>
    <t>¿Pueden las huelgas revitalizar a los sindicatos? Chile en perspectiva comparada</t>
  </si>
  <si>
    <t>Nicolas Godoy</t>
  </si>
  <si>
    <t>23 Oct 2024, 22:18</t>
  </si>
  <si>
    <t>"Conmemorar el golpe: estudio comparado de prácticas conmemorativas”</t>
  </si>
  <si>
    <t>Modesto Guillermo Gayo Cal (Adjunct Researcher); Daniela Paz Jara Leiva (Adjunct Researcher)</t>
  </si>
  <si>
    <t>24 Oct 2024, 21:03</t>
  </si>
  <si>
    <t>24 Oct 2024, 21:05</t>
  </si>
  <si>
    <t xml:space="preserve">XII Congreso Chileno de Sociología </t>
  </si>
  <si>
    <t>“Cooptados por las plataformas digitales: el rol de consumidores y locales en el control de los repartidores”</t>
  </si>
  <si>
    <t>Tecnocracia en tiempos polarizados: ¿cuál debe ser el rol de los centros de estudio en Chile?</t>
  </si>
  <si>
    <t>Leonidas Montes, Patricio Domínguez</t>
  </si>
  <si>
    <t>25 Oct 2024, 16:37</t>
  </si>
  <si>
    <t xml:space="preserve">Lanzamiento del Primer índice de gobernanza regional en Chile, Núcleo Milenio para el desarrollo integral de los territorios. </t>
  </si>
  <si>
    <t>The link above provides detailed information about the event, alluding to the participation of Claudia Heiss.</t>
  </si>
  <si>
    <t>25 Oct 2024, 16:51</t>
  </si>
  <si>
    <t>IV Congreso de Seguridad Ciudadana de la UNVM: Anacronismos, innovaciones y desafíos en la agenda de la seguridad en Argentina</t>
  </si>
  <si>
    <t>Las formas del vigilantismo en América Latina. Un debate sobre sus contornos conceptuales y empíricos</t>
  </si>
  <si>
    <t>25 Oct 2024, 16:53</t>
  </si>
  <si>
    <t>Ciclo de Seminarios CEAS</t>
  </si>
  <si>
    <t>Los desafíos de la movilización en torno al hidrógeno verde</t>
  </si>
  <si>
    <t>31 Oct 2024, 16:55</t>
  </si>
  <si>
    <t>VI Jornadas Internacionales de Estudios de América Latina y el Caribe</t>
  </si>
  <si>
    <t>Think tanks y crisis políticas en Chile (2011-2022): aumento de la oferta, demanda y desconfianza en la opinión de los expertos en un país de ingreso medio</t>
  </si>
  <si>
    <t>25 Oct 2024, 17:02</t>
  </si>
  <si>
    <t xml:space="preserve">Inauguration of the academic year, Sociology, Universidad Andrés Bello </t>
  </si>
  <si>
    <t>La violencia: entre la rabia y el odio</t>
  </si>
  <si>
    <t>The link leads to a press release from the university itself about this activity of Mauro Basaure.</t>
  </si>
  <si>
    <t>25 Oct 2024, 16:59</t>
  </si>
  <si>
    <t>Grupos Vigilantistas en América Latina: Mediaciones entre las Comunidades y el Estado</t>
  </si>
  <si>
    <t>Antonio Fuentes Díaz, Mariana Fernández, Leandro Gamallo</t>
  </si>
  <si>
    <t>25 Oct 2024, 16:56</t>
  </si>
  <si>
    <t>Seminario Semillero Derecho Constitucional: Procesos Constituyentes en Chile: ¿Una nueva Constitución?</t>
  </si>
  <si>
    <t>22 Apr 2024</t>
  </si>
  <si>
    <t>The link comes from the university that organised the event, providing details about it that shows the participation of Claudia Heiss.</t>
  </si>
  <si>
    <t>25 Oct 2024, 17:04</t>
  </si>
  <si>
    <t>The transformation of the mainstream right in Europe and its impact on (social) democracy</t>
  </si>
  <si>
    <t>The link provides detailed information about the event.</t>
  </si>
  <si>
    <t>25 Oct 2024, 17:10</t>
  </si>
  <si>
    <t>The link provides detailed information about the event, alluding to Cristóbal Rovira as a speaker.</t>
  </si>
  <si>
    <t>25 Oct 2024, 17:13</t>
  </si>
  <si>
    <t xml:space="preserve">Population Association of America PAA Conference </t>
  </si>
  <si>
    <t>Higher education trajectories of migrants and the role of age of arrival: Evidence from native and migrant students in Chile</t>
  </si>
  <si>
    <t>Alejandra Abufhele (Adjunct Researcher); Luis Herskovic (Adjunct Researcher)</t>
  </si>
  <si>
    <t>24 Oct 2024, 21:11</t>
  </si>
  <si>
    <t>¿Está en retroceso la democracia?</t>
  </si>
  <si>
    <t>25 Oct 2024, 17:15</t>
  </si>
  <si>
    <t>2024 AERA ANNUAL MEETING</t>
  </si>
  <si>
    <t>Research positionality and the process of developing one´s voice in decolonial academic projects:  Some reflections from Chile, México and the USA</t>
  </si>
  <si>
    <t>11 Apr 2024</t>
  </si>
  <si>
    <t>24 Oct 2024, 21:37</t>
  </si>
  <si>
    <t>In_equality Conference</t>
  </si>
  <si>
    <t>Roundtable – Global South</t>
  </si>
  <si>
    <t>The link alludes directly to Aldo Madariaga's participation at the Conference.</t>
  </si>
  <si>
    <t>25 Oct 2024, 17:18</t>
  </si>
  <si>
    <t>25 Oct 2024, 17:20</t>
  </si>
  <si>
    <t>Human Rights Forum and OLLAS Charla</t>
  </si>
  <si>
    <t>What is a Border? Human Rights and Borders: Events and Context at the U.S. Border.</t>
  </si>
  <si>
    <t>Cristián Alberto Doña Reveco (Adjunct Researcher)</t>
  </si>
  <si>
    <t>31 Oct 2024, 16:53</t>
  </si>
  <si>
    <t>Mujeres TP en STEM: Evidencia y acciones para el cierre de brechas</t>
  </si>
  <si>
    <t>Maria Paola Sevilla (Adjunct Researcher)</t>
  </si>
  <si>
    <t>26 Mar 2024</t>
  </si>
  <si>
    <t>24 Oct 2024, 21:15</t>
  </si>
  <si>
    <t>Workshop Democracy, Political Trust, and Trustworthiness</t>
  </si>
  <si>
    <t>Democratic experience matters twice: the cross-national and longitudinal effect of democracy on winner-loser gaps in political trust</t>
  </si>
  <si>
    <t>25 Mar 2024</t>
  </si>
  <si>
    <t>The link provides the programme of the event. The participation of Matías Bargsted can be verified.</t>
  </si>
  <si>
    <t>25 Oct 2024, 17:22</t>
  </si>
  <si>
    <t>Seminario de Cierre de Fondecyt “Movimiento monumental. Negociación, creación y disputas por la memoria colectiva en el espacio público constituyente”</t>
  </si>
  <si>
    <t>The link provides detailed information about the seminar.</t>
  </si>
  <si>
    <t>25 Oct 2024, 17:24</t>
  </si>
  <si>
    <t>Conciencia Jurídica, alienación legal y vigilantismo: un estudio en 3 barrios de Santiago de Chile</t>
  </si>
  <si>
    <t>Leandro Gamallo, Evangelina Caravaca</t>
  </si>
  <si>
    <t>The event was online. The link provides detailed information about the event.</t>
  </si>
  <si>
    <t>25 Oct 2024, 17:27</t>
  </si>
  <si>
    <t>Innovación subnacional en contextos complejos</t>
  </si>
  <si>
    <t>Gonzalo Antonio de la maza Escobar (Adjunct Researcher); Antoine Maillet (Adjunct Researcher)</t>
  </si>
  <si>
    <t>31 Oct 2024, 16:51</t>
  </si>
  <si>
    <t>Encuentro regional para Latinoamérica Scholactivism en el Sur Global 2024</t>
  </si>
  <si>
    <t>25 Oct 2024, 17:33</t>
  </si>
  <si>
    <t>El ataque al liberalismo en América Latina</t>
  </si>
  <si>
    <t>25 Oct 2024, 17:37</t>
  </si>
  <si>
    <t>El rol de las mujeres en la construcción de la sociología en Chile</t>
  </si>
  <si>
    <t>Teresa Valdés, María José Azócar, Natalia Díaz Soto</t>
  </si>
  <si>
    <t>The link above refers to the event and, also, to the participation  of Macarena Orchard.</t>
  </si>
  <si>
    <t>25 Oct 2024, 17:40</t>
  </si>
  <si>
    <t>Seminario Permanente Red de Investigación en Gobiernos Locales Mexicanos (IGLOM)</t>
  </si>
  <si>
    <t>Presentación de libro: "Procesos de políticas públicas en gobiernos subnacionales. Casos de México, Brasil y Chile”</t>
  </si>
  <si>
    <t>12 Mar 2024</t>
  </si>
  <si>
    <t>25 Oct 2024, 17:42</t>
  </si>
  <si>
    <t>Liberal Script in Latin America. University of Sao Paulo</t>
  </si>
  <si>
    <t>The link provides detailed information about the event. It alludes to Cristóbal Rovira as a speaker in this workshop.</t>
  </si>
  <si>
    <t>25 Oct 2024, 17:47</t>
  </si>
  <si>
    <t>DESIGUALDADES Y VIOLENCIAS DE GÉNERO EN LAS CIENCIAS SOCIALES EN CHILE</t>
  </si>
  <si>
    <t>24 Oct 2024, 21:26</t>
  </si>
  <si>
    <t>Presentación resultados ¿Cómo mejorar los procesos de calificación ambiental? Evaluación ambiental, conflictos y participación ciudadana en proyectos energéticos</t>
  </si>
  <si>
    <t>Caroline Stamm (Adjunct Researcher); Felipe Irarrazaval (Postdoctoral Fellow)</t>
  </si>
  <si>
    <t>05 Mar 2024</t>
  </si>
  <si>
    <t>31 Oct 2024, 16:50</t>
  </si>
  <si>
    <t>Seminario de Comportamiento y Opinión Pública</t>
  </si>
  <si>
    <t>25 Oct 2024, 17:49</t>
  </si>
  <si>
    <t>4th Laign Conference: Gender and Political Axes in Latin America and the Caribbean: Where are Gender Studies Headed?</t>
  </si>
  <si>
    <t>Panel 2: Right-wing, far-right, and neoconservatism in Latin America and the Caribbean</t>
  </si>
  <si>
    <t>25 Oct 2024, 17:52</t>
  </si>
  <si>
    <t>Linchamientos y conciencia jurídica en Chile</t>
  </si>
  <si>
    <t>25 Oct 2024, 17:56</t>
  </si>
  <si>
    <t>Ten Years of Utokyo LAINAC and Beyond, The University of Tokyo &amp; Doshisha University</t>
  </si>
  <si>
    <t>Labor movements and urban revolts in Latin America: findings, ideas, and trans-regional collaborations</t>
  </si>
  <si>
    <t>26 Feb 2024</t>
  </si>
  <si>
    <t>03 Mar 2024</t>
  </si>
  <si>
    <t>25 Oct 2024, 17:59</t>
  </si>
  <si>
    <t>Political Learning in Social Movements: Individual, Organizational, and Generational Carriers</t>
  </si>
  <si>
    <t>25 Oct 2024, 18:00</t>
  </si>
  <si>
    <t>Chili : un processus référendaire paradoxal</t>
  </si>
  <si>
    <t>Sophie Daviaud</t>
  </si>
  <si>
    <t>25 Oct 2024, 18:06</t>
  </si>
  <si>
    <t>Why Chile’s Constitutional Reform Failed –Twice</t>
  </si>
  <si>
    <t>Patricio Navia,  Marcela Ríos Tobar, Steven Levitsky</t>
  </si>
  <si>
    <t>Hybrid format.</t>
  </si>
  <si>
    <t>25 Oct 2024, 18:11</t>
  </si>
  <si>
    <t>International Seminar "Constitutionalism in Latin America”</t>
  </si>
  <si>
    <t>31 Jan 2024</t>
  </si>
  <si>
    <t>25 Oct 2024, 18:13</t>
  </si>
  <si>
    <t>XII Congreso de Derecho y Cambio Social</t>
  </si>
  <si>
    <t>Participación ciudadana en el ciclo constitucional: una mirada crítica</t>
  </si>
  <si>
    <t>The link above provides the program of the event, alluding to the participation of Claudia Heiss.</t>
  </si>
  <si>
    <t>25 Oct 2024, 18:17</t>
  </si>
  <si>
    <t>Coloquio “Inteligencia Artificial y el Futuro del Trabajo”</t>
  </si>
  <si>
    <t>24 Oct 2024, 21:14</t>
  </si>
  <si>
    <t>Conversatorio “Una década de opinión pública en Los Lagos: La Experiencia del Barómetro Regional”</t>
  </si>
  <si>
    <t>Una década de opinión pública en Los Lagos: La Experiencia del Barómetro Regional</t>
  </si>
  <si>
    <t>Gonzalo Antonio de la maza Escobar (Adjunct Researcher)</t>
  </si>
  <si>
    <t>31 Oct 2024, 16:45</t>
  </si>
  <si>
    <t>Movimientos sociales en Chile y América Latina</t>
  </si>
  <si>
    <t>Movimiento estudiantil</t>
  </si>
  <si>
    <t>The link provided presents more information about the event and also some images that can serve as means of vertification</t>
  </si>
  <si>
    <t>24 Sep 2024, 09:01</t>
  </si>
  <si>
    <t>Explicando las variaciones en los movimientos laborales latinoamericanos: Objetivos y metodología del proyecto</t>
  </si>
  <si>
    <t>25 Oct 2024, 18:20</t>
  </si>
  <si>
    <t>Unidad sindical en sociedades cambiantes</t>
  </si>
  <si>
    <t>25 Oct 2024, 18:24</t>
  </si>
  <si>
    <t>Opinión pública y sindicatos</t>
  </si>
  <si>
    <t>Matias Andrés Bargsted Valdés (Adjunct Researcher); Andrés González (Master Thesis)</t>
  </si>
  <si>
    <t>25 Oct 2024, 18:26</t>
  </si>
  <si>
    <t>Desigualdad y sindicatos</t>
  </si>
  <si>
    <t>25 Oct 2024, 18:28</t>
  </si>
  <si>
    <t xml:space="preserve"> ¿Producción o Reproducción de la Desigualdad en la Academia? Élites, Expertos/as y Sujetos/as  de Frontera</t>
  </si>
  <si>
    <t>09 Jan 2024</t>
  </si>
  <si>
    <t>24 Oct 2024, 21:48</t>
  </si>
  <si>
    <t>¿Producción o Reproducción de la Desigualdad en la Academia?: Élites, expertos y sujetos de frontera</t>
  </si>
  <si>
    <t>24 Sep 2024, 08:53</t>
  </si>
  <si>
    <t>05 Jan 2024</t>
  </si>
  <si>
    <t>07 Jan 2024</t>
  </si>
  <si>
    <t>1523A0009</t>
  </si>
  <si>
    <t>Cristián Rodrigo Escauriaza Mesa (Adjunct Researcher)</t>
  </si>
  <si>
    <t>Surface Water Processes and Associated Hazards</t>
  </si>
  <si>
    <t>Oportunidades para reducir el riesgo de incendios en paisajes proclives al fuego. Resultados preliminares sobre el estudio de caso de la Red de Prevención Comunitaria.</t>
  </si>
  <si>
    <t>Citizen Governance; Socio-Economic Assessment of disasters and Mitigation Strategies for Resilient Critical Infrastructure Systems; Disaster Cultures and Risk Governance</t>
  </si>
  <si>
    <t>30 Oct 2024, 18:16</t>
  </si>
  <si>
    <t>Método CRET: una propuesta paraMétodo CRET: una propuesta para incorporar áreas de riesgo concatenado sismo-tsunami en la planificación territorial chilena</t>
  </si>
  <si>
    <t>Simón Ignacio Inzunza (Asistente de investigación); Carolina Del Pilar Martinez Reyes (Principal Researcher)</t>
  </si>
  <si>
    <t>Citizen Governance</t>
  </si>
  <si>
    <t>Erosión costera en Chile: desafíos del espacio costero</t>
  </si>
  <si>
    <t>Carolina Del Pilar Martinez Reyes (Principal Researcher)</t>
  </si>
  <si>
    <t>Cambios climáticos y actividad tectónica del Holoceno revelados por evidencia geomorfológica y sedimentológica: El caso del sistema geomorfológico complejo de la costa del Golfo Arauco, Chile</t>
  </si>
  <si>
    <t>Cristian Araya, Diego Aedo</t>
  </si>
  <si>
    <t>Inundación por marejadas: avances en mapeo de riesgos para el nuevo marco normativo en Chile</t>
  </si>
  <si>
    <t>María Paz Escalona, Gonzalo Concha Salas</t>
  </si>
  <si>
    <t>Evaluación del impacto del espigón que conecta el Islote Los Pájaros con el continente en la morfodinámica de la Bahía de Algarrobo</t>
  </si>
  <si>
    <t>Matías Figueroa Marín, Matías Gómez Canto, Mauricio Villagran, Gonzalo Concha Salas</t>
  </si>
  <si>
    <t>De borde a zona costera: criterios técnico-científicos para la actualización del marco normativo costero en Chile espigón que conecta el Islote Los Pájaros con el continente en la morfodinámica de la Bahía de Algarrobo</t>
  </si>
  <si>
    <t>Christian Creixell</t>
  </si>
  <si>
    <t>Dinámica de desembocaduras y barras de Chile central: desafíos al manejo costero</t>
  </si>
  <si>
    <t>Carolina Del Pilar Martinez Reyes (Principal Researcher); JORGE ROLANDO QUENSE ABARZUA (Adjunct Researcher)</t>
  </si>
  <si>
    <t>Relación entre vulnerabilidad social y resiliencia comunitaria en Cartagena: una Estudio Geoespacial en el Contexto de Desastres Naturales</t>
  </si>
  <si>
    <t>Nikole Guerrero (Coordinador(a)/Jefe/Encargado de línea/área o similar); Nicolas Bronfman Caceres (Principal Researcher); Pamela Cisternas (Coordinador(a)/Jefe/Encargado de línea/área o similar); Paula Beatriz Repetto Lisboa (Principal Researcher)</t>
  </si>
  <si>
    <t>Citizen Governance; Socio-Economic Assessment of disasters and Mitigation Strategies for Resilient Critical Infrastructure Systems</t>
  </si>
  <si>
    <t>12th International INQUA Meeting on Paleoseismology, Active Tectonics and Archaeoseismology (PATA Chile 2024)</t>
  </si>
  <si>
    <t>Frictional properties and deformation mechanisms of upper-plate faults reactivation triggered by subduction earthquakes: Insights from the Atacama Fault System</t>
  </si>
  <si>
    <t>Gabriel Armando Gonzalez Lopez (Principal Researcher); Erik Jensen Siles ()</t>
  </si>
  <si>
    <t>Solid Earth Processes and Associated Hazards</t>
  </si>
  <si>
    <t>3er congreso de amenaza sísmica “GIASIS III”</t>
  </si>
  <si>
    <t>Bayesian Model Selection and Correlation Analysis of Horizontal and Vertical Peak Ground Acceleration</t>
  </si>
  <si>
    <t>Jorge Gustavo Federico Crempien de la Carrera (Adjunct Researcher); Roberto Fabián Benavente Bravo (Adjunct Researcher)</t>
  </si>
  <si>
    <t>Abell, J.A.</t>
  </si>
  <si>
    <t>Surface Water Processes and Associated Hazards; Solid Earth Processes and Associated Hazards</t>
  </si>
  <si>
    <t>Probability Distribution of Tsunami Intensity Measures with CNNs from coseismic deformation</t>
  </si>
  <si>
    <t>Jorge Gustavo Federico Crempien de la Carrera (Adjunct Researcher); Rosita Jünemann Ureta (Adjunct Researcher); Alejandro Urrutia (Coordinador(a)/Jefe/Encargado de línea/área o similar)</t>
  </si>
  <si>
    <t>Buenrostro, M.</t>
  </si>
  <si>
    <t>Risk and Resilience of Complex Systems and Networks; Surface Water Processes and Associated Hazards; Solid Earth Processes and Associated Hazards</t>
  </si>
  <si>
    <t>A Bayesian Method to Characterize the Spatial Correlation of Coseismic Slip Distributions</t>
  </si>
  <si>
    <t>Roberto Fabián Benavente Bravo (Adjunct Researcher); Jorge Gustavo Federico Crempien de la Carrera (Adjunct Researcher)</t>
  </si>
  <si>
    <t>Morales-Yañez, C.</t>
  </si>
  <si>
    <t>Evaluación del peligro sísmico, de la teoría a la práctica</t>
  </si>
  <si>
    <t>Gabriel Alfonso Candia Agusti (Adjunct Researcher)</t>
  </si>
  <si>
    <t>Risk and Resilience of Complex Systems and Networks</t>
  </si>
  <si>
    <t>Predicción espacial de curvas HVSR en un espacio de baja dimensión</t>
  </si>
  <si>
    <t>Mauricio Nivaldo Andrés Monsalve Moreno ()</t>
  </si>
  <si>
    <t>Figueroa, R., Vega, R.</t>
  </si>
  <si>
    <t>Risk and Resilience of Complex Systems and Networks; Solid Earth Processes and Associated Hazards</t>
  </si>
  <si>
    <t>VIII Congreso internacional ISUF-H Valencia 2024, FORMAS URBANAS DIVERSAS PARA ESPACIOS EN RECOMPOSICIÓN</t>
  </si>
  <si>
    <t>RECONSTRUCCIÓN POST INCENDIOS FORESTALES E IMPLEMENTACIÓN DE MEDIDAS PARA LA REDUCCIÓN DEL RIESGO EN ASENTAMIENTOS EN CHILE</t>
  </si>
  <si>
    <t>María Constanza González Mathiesen (Adjunct Researcher)</t>
  </si>
  <si>
    <t>Natalia Aravena</t>
  </si>
  <si>
    <t>EVALUACIÓN DE LA IMPLEMENTACIÓN DE PLANES DE RECONSTRUCCIÓN DE BORDES COSTEROS (PRBC 18), POST TERREMOTO 2010 EN CHILE</t>
  </si>
  <si>
    <t>Jose Alejandro Oliveros Romero, Yanira Figueroa</t>
  </si>
  <si>
    <t>Coloquio (UAI-FAIR). El punto de vista de lo no-humano: perspectivas múltiples para un mundo en crisis</t>
  </si>
  <si>
    <t>“Los cangrejos son el corazón del laboratorio”: reflexiones teórico-metodológicas sobre el foco en el animal en una investigación etnográfica</t>
  </si>
  <si>
    <t>Disaster Cultures and Risk Governance</t>
  </si>
  <si>
    <t>I Simposio de Fallas activas y sus riesgos geológicos</t>
  </si>
  <si>
    <t>Amenazas sísmicas en contextos sismotectónicos complejos: subducción, fallas corticales y sismos intraplaca</t>
  </si>
  <si>
    <t>Jorge Gustavo Federico Crempien de la Carrera (Adjunct Researcher)</t>
  </si>
  <si>
    <t>Impacto sísmico: evaluación de riesgo en el entorno construido y normativa actual</t>
  </si>
  <si>
    <t>Rosita Jünemann Ureta (Adjunct Researcher)</t>
  </si>
  <si>
    <t>Physics of Estuaries and Coastal Seas (PECS) - 2024</t>
  </si>
  <si>
    <t>HIGH-RESOLUTION SIMULATIONS OF FRESHWATER PLUME DYNAMICS</t>
  </si>
  <si>
    <t>Cristián Rodrigo Escauriaza Mesa (Adjunct Researcher); Megan Williams (Adjunct Researcher)</t>
  </si>
  <si>
    <t>Contreras M, Fringer, O.</t>
  </si>
  <si>
    <t>23 Sep 2024</t>
  </si>
  <si>
    <t>38th International Conference on Coastal Engineering (ICCE 2024)</t>
  </si>
  <si>
    <t>Extreme sea-level projections based on local waves and foreshore slope.</t>
  </si>
  <si>
    <t>Rodrigo Alberto Cienfuegos Carrasco (Director); Patricio Alejandro Winckler Grez (Adjunct Researcher)</t>
  </si>
  <si>
    <t>Prototyping an engineered algae field to attenuate long swells in Maitencillo, Chile.</t>
  </si>
  <si>
    <t>Patricio Alejandro Winckler Grez (Adjunct Researcher)</t>
  </si>
  <si>
    <t>Hurtado, F., Toledo, J.P., López, J., Zamora, V., Magnere, M., Bruna, A., Pérez, J., Córdova, P., Correa, S.,</t>
  </si>
  <si>
    <t>The role of tsunami resonance on the balance of mechanical energy and its implications for fragility analyses</t>
  </si>
  <si>
    <t>Patricio Andres Catalan Mondaca (Adjunct Researcher); Rodrigo Alberto Cienfuegos Carrasco (Director)</t>
  </si>
  <si>
    <t>Zamora, N., Carvajal, M.</t>
  </si>
  <si>
    <t>The generation of rogue waves from surf-zone infragravity motions penetrating a shallow bar-built estuary</t>
  </si>
  <si>
    <t>Rodrigo Alberto Cienfuegos Carrasco (Director); Patricio Andres Catalan Mondaca (Adjunct Researcher); Raúl Pedro Flores Audibert (Adjunct Researcher)</t>
  </si>
  <si>
    <t>Guerra, M., Lucero, F., Diaz, P., Gómez, R.</t>
  </si>
  <si>
    <t>A generalized tool for wave-by-wave estimasian of nearshore wave breaking dissipation from optical imagery</t>
  </si>
  <si>
    <t>Patricio Andres Catalan Mondaca (Adjunct Researcher)</t>
  </si>
  <si>
    <t>Valle, C., Díaz, H., Fournier, F.</t>
  </si>
  <si>
    <t>Tsunami inundation limits based on probabilistic analysis of runup and inundtion distance</t>
  </si>
  <si>
    <t>Rafael Aránguiz Muñoz (Adjunct Researcher)</t>
  </si>
  <si>
    <t>Coastal Hazard Group tsunami seminar</t>
  </si>
  <si>
    <t>Preliminary experiments on tsunami scour around on-shore square structure using long waves</t>
  </si>
  <si>
    <t>I Workshop PANDA-Lille- Santiago</t>
  </si>
  <si>
    <t>Nonlinear energy transfers in very shallow coastal waters: rogue waves forced by infragravity waves penetrating in the laguna Cáhuil</t>
  </si>
  <si>
    <t>Rodrigo Alberto Cienfuegos Carrasco (Director)</t>
  </si>
  <si>
    <t>The 12th International Conference on Fluvial Hydraulics - Riverflow 2024</t>
  </si>
  <si>
    <t>EFFECTS OF TURBULENCE DYNAMICS ON BEDLOAD TRANSPORT: A LAGRANGIAN PERSPECTIVE OF PARTICLE SIZE INTERACTIONS</t>
  </si>
  <si>
    <t>Barros, M.</t>
  </si>
  <si>
    <t>International Conference on Resilient Systems (ICRS)</t>
  </si>
  <si>
    <t>An integrative framework for tsunami vertical-evacuation planning</t>
  </si>
  <si>
    <t>Jorge Enrique León Canales (Adjunct Researcher); Patricio Andres Catalan Mondaca (Adjunct Researcher); Rosita Jünemann Ureta (Adjunct Researcher); Alejandra Gubler (Ingeniero investigador o similar)</t>
  </si>
  <si>
    <t>Claudio Morgues</t>
  </si>
  <si>
    <t>31 Aug 2024</t>
  </si>
  <si>
    <t>Post-wildfire Reconstruction and Settlement Change in Chile</t>
  </si>
  <si>
    <t>María Constanza González Mathiesen (Adjunct Researcher); Jorge Enrique León Canales (Adjunct Researcher)</t>
  </si>
  <si>
    <t>VI Coloquio sobre Señales Geofísicas de Terremotos y Volcanes (GSEV 24)</t>
  </si>
  <si>
    <t>Unveiling the Prolonged Nucleation Phase of the 1992 Mw 7.8 Corinto Earthquake, Nicaragua: A Deep Dive into Seismic Precursors</t>
  </si>
  <si>
    <t>Cabrera, L., Riquelme, S.</t>
  </si>
  <si>
    <t>Size of the 1868 and 1877 South America earthquakes</t>
  </si>
  <si>
    <t>Alejandra Gubler (Ingeniero investigador o similar)</t>
  </si>
  <si>
    <t>Carvajal, M.</t>
  </si>
  <si>
    <t>ASABE Annual International Meeting. 2024</t>
  </si>
  <si>
    <t>Probabilistic modeling of water erosion on roadway slopes using RUSLE and long-term rainfall data</t>
  </si>
  <si>
    <t>Marcela Alondra Chamorro Gine (Principal Researcher); Tomas Benjamin Echaveguren Navarro (Adjunct Researcher)</t>
  </si>
  <si>
    <t>C.Bonilla, C.Contreras</t>
  </si>
  <si>
    <t>Socio-Economic Assessment of disasters and Mitigation Strategies for Resilient Critical Infrastructure Systems; Solid Earth Processes and Associated Hazards</t>
  </si>
  <si>
    <t>RC21 Conference The politics and spaces of encounters Advancing dialogues between and within the Global North and the Global South</t>
  </si>
  <si>
    <t>Ponencia "Local Realities, Global Lessons: Bridging Perspectives on Urban Disaster Risk in Informal Settlements". En: Session 32. Bridging Hierarchies for Mutual Learning: Advancing International Cooperation in Urban Disaster Risk and Resilience Research.</t>
  </si>
  <si>
    <t>Katherine Campos (Otro (indicar en Observations))</t>
  </si>
  <si>
    <t>Participación en Mesa Redonda “Informal settlements and Disaster Risks: feminist actions and movements in Latin American Region"</t>
  </si>
  <si>
    <t>Latin American Conference in Statistical Computing (LACSC)</t>
  </si>
  <si>
    <t>Some precursors for earthquake prediction in Chile</t>
  </si>
  <si>
    <t>Orietta Nicolis ()</t>
  </si>
  <si>
    <t>Socio-Economic Assessment of disasters and Mitigation Strategies for Resilient Critical Infrastructure Systems</t>
  </si>
  <si>
    <t>The 18th World Conference on Earthquake Engineering (WCEE2024)</t>
  </si>
  <si>
    <t>BUILDING SURROGATE MODELS FOR SEISMIC PERFORMANCE EVALUATIONS USING DIMENSIONALITY REDUCTION AND RF</t>
  </si>
  <si>
    <t>30 Jun 2024</t>
  </si>
  <si>
    <t>HEALTHCARE SYSTEM RESILIENCE AFTER THE 27F EARTHQUAKE AND TSUNAMI</t>
  </si>
  <si>
    <t>Mauricio Nivaldo Andrés Monsalve Moreno (); Juan Carlos De La Llera Martín (Principal Researcher)</t>
  </si>
  <si>
    <t>SIMULATION PLATFORM FOR EARTHQUAKE PERFORMANCE EVALUATION OF URGENT MEDICAL CARE NETWORKS</t>
  </si>
  <si>
    <t>Juan Pablo Muñoz (Coordinador(a)/Jefe/Encargado de línea/área o similar); Juan Carlos De La Llera Martín (Principal Researcher); Paula Andrea Aguirre Aparicio (Adjunct Researcher); Mauricio Nivaldo Andrés Monsalve Moreno ()</t>
  </si>
  <si>
    <t>Local resonance and its relation to uncertainty in hazard characterization</t>
  </si>
  <si>
    <t>Zamora,N., Carvajal, M.</t>
  </si>
  <si>
    <t>PROBABILITY DISTRIBUTIONS OF TSUNAMI INTENSITY MEASURES WITH CNNS FROM UPLIFT DATA</t>
  </si>
  <si>
    <t>M. Buenrostro</t>
  </si>
  <si>
    <t>CONSISTENT FRAGILITY FUNCTIONS FOR RESIDENTIAL BUILDINGS IN CHILE</t>
  </si>
  <si>
    <t>Rosita Jünemann Ureta (Adjunct Researcher); Jorge Gustavo Federico Crempien de la Carrera (Adjunct Researcher); Alejandro Urrutia (Coordinador(a)/Jefe/Encargado de línea/área o similar); Felipe Zurita Lillo (Adjunct Researcher)</t>
  </si>
  <si>
    <t>M. Damian, P. Heresi,</t>
  </si>
  <si>
    <t>SEISMIC BEHAVIOR OF ISOLATED STRUCTURES UNDER SUBDUCTION AND CRUSTAL GROUND MOTIONS: A COMPARATIVE STUDY</t>
  </si>
  <si>
    <t>Juan Carlos De La Llera Martín (Principal Researcher); Jorge Gustavo Federico Crempien de la Carrera (Adjunct Researcher); Juan Pablo Muñoz (Coordinador(a)/Jefe/Encargado de línea/área o similar)</t>
  </si>
  <si>
    <t>F. Gutierrez-Urzua, F. Freddi, J.A. Gallardo, T. Rossetto, S. Dede, J. Cembrano, F. Rivera, M.F. Chacon</t>
  </si>
  <si>
    <t>SHAKERMAKER: HIGH-FIDELITY EARTHQUAKE SIMULATIONS FOR SEISMIC ANALYSIS WITH THE DRM</t>
  </si>
  <si>
    <t>J.A. Abell, O. Oyarce</t>
  </si>
  <si>
    <t>UNVEILING THE LINK BETWEEN MECHANICAL COUPLING AND GROUND MOTION FROM FUTURE MEGA EARTHQUAKES</t>
  </si>
  <si>
    <t>Jorge Gustavo Federico Crempien de la Carrera (Adjunct Researcher); Marcos Simón Moreno Switt (Adjunct Researcher)</t>
  </si>
  <si>
    <t>Becerra Carreño, V., Fernández, C.</t>
  </si>
  <si>
    <t>EFFECT OF SOIL NONLINEARITY ON PHYSICS-BASED GROUND MOTION SIMULATIONS</t>
  </si>
  <si>
    <t>W. Zhang, Y. Dong, J.,P. Arduino, E. Taciroglu</t>
  </si>
  <si>
    <t>SIMPLIFIED NONLINEAR MODEL FOR SIMULATING DAMAGED REINFORCED CONCRETE WALLS</t>
  </si>
  <si>
    <t>Matias Andres Hube Ginestar (Adjunct Researcher); Rosita Jünemann Ureta (Adjunct Researcher)</t>
  </si>
  <si>
    <t>H.A. Galvez, R.S. Henry,</t>
  </si>
  <si>
    <t>ASSESMENT OF THE EFFECT OF THE EMBEDMENT ON SEISMIC FRAGILITY OF SHEAR WALL BUILDINGS THROUGHT COMPUTATIONAL UPSCALING FROM 1G EXPERIMENTS</t>
  </si>
  <si>
    <t>CONSISTENT EARTHQUAKE AND TSUNAMI SEQUENTIAL ANALYSIS OF A REINFORCED CONCRETE RESIDENTIAL BUILDING</t>
  </si>
  <si>
    <t>Nebrijo ,J.</t>
  </si>
  <si>
    <t>Seismic performance of steel moment frames incorporating ductile column base connections</t>
  </si>
  <si>
    <t>Diego Lopez-Garcia (Adjunct Researcher)</t>
  </si>
  <si>
    <t>Earthquake-induced loss and downtime of seismically enhanced RC dual wall-frame buildings in Chile</t>
  </si>
  <si>
    <t>Shaking table test of a cost-efficient isolation system for light frame timber buildings</t>
  </si>
  <si>
    <t>D. Quizanga, J. Almazán, D. Valdivieso, P. Guindos, F. Hernandez</t>
  </si>
  <si>
    <t>Evaluation of system effects in light frame timber buildings through a shake table test</t>
  </si>
  <si>
    <t>Multi-objective optimization of buildings equipped with two-layer isolation systems with inerters</t>
  </si>
  <si>
    <t>Consistent fragility functions for residential buildings in Chile</t>
  </si>
  <si>
    <t>Rosita Jünemann Ureta (Adjunct Researcher); Jorge Gustavo Federico Crempien de la Carrera (Adjunct Researcher); Felipe Zurita Lillo (Adjunct Researcher)</t>
  </si>
  <si>
    <t>Seismis risk sensitivity analysis of a large drinking water distribution network in central Chile</t>
  </si>
  <si>
    <t>Juan Pablo Muñoz (Coordinador(a)/Jefe/Encargado de línea/área o similar); Juan Carlos De La Llera Martín (Principal Researcher)</t>
  </si>
  <si>
    <t>Seismic fragility assessment of historical unreinforced masonry building aggregates</t>
  </si>
  <si>
    <t>Juan Carlos De La Llera Martín (Principal Researcher)</t>
  </si>
  <si>
    <t>SEISMIC FRAGILITY OF AGGREGATES IN YUNGAY NEIGHBORHOOD OF SANTIAGO DE CHILE</t>
  </si>
  <si>
    <t>Consistent earthquake and tsunami sequential analysis of a Viña del Mar residential building</t>
  </si>
  <si>
    <t>Nonlinear response of reinforced concrete walls with lightweight concrete.</t>
  </si>
  <si>
    <t>Raul Hernan Santa Maria Oyanedel (Adjunct Researcher); Rosita Jünemann Ureta (Adjunct Researcher)</t>
  </si>
  <si>
    <t>Probability distributions of tsunami intensity measures with convolutional neural networks from slip.</t>
  </si>
  <si>
    <t>Jorge Gustavo Federico Crempien de la Carrera (Adjunct Researcher); Rosita Jünemann Ureta (Adjunct Researcher)</t>
  </si>
  <si>
    <t>Simplified nonlinear model for simulating damaged reinforced concrete walls</t>
  </si>
  <si>
    <t>National exposure model for industrial structures in Chile</t>
  </si>
  <si>
    <t>Raul Hernan Santa Maria Oyanedel (Adjunct Researcher); Paula Andrea Aguirre Aparicio (Adjunct Researcher)</t>
  </si>
  <si>
    <t>Influence of seismic design criteria on bridge design costs</t>
  </si>
  <si>
    <t>Raul Hernan Santa Maria Oyanedel (Adjunct Researcher)</t>
  </si>
  <si>
    <t>Amaya E., Rojas H.</t>
  </si>
  <si>
    <t>Bridge Maintenance, Safety, Management, Digitalization and Sustainability</t>
  </si>
  <si>
    <t>Seismic design modifications for damage prevention in skewed bridges</t>
  </si>
  <si>
    <t>Repairability limits for earthquake-damaged RC walls with unconfined boundaries</t>
  </si>
  <si>
    <t>Raul Hernan Santa Maria Oyanedel (Adjunct Researcher); Matias Andres Hube Ginestar (Adjunct Researcher)</t>
  </si>
  <si>
    <t>EVALUATION OF COMPUTATIONAL UPSCALING ON DSSI EFFECTS IN BUILDINGS WITH MULTIPLE BASEMENTS</t>
  </si>
  <si>
    <t>Esteban Patricio Sáez Robert (Adjunct Researcher)</t>
  </si>
  <si>
    <t>Zamorano, F., Segaline, H., Ubilla, J. Llanquilef, B.</t>
  </si>
  <si>
    <t>7th International Conference on Geotechnical and Geophysical Site Characterization</t>
  </si>
  <si>
    <t>Uncertainty Estimation on Active Surface-Waves Based Tests</t>
  </si>
  <si>
    <t>LASA 2024 Reacción y resistencia: Imaginar futuros posibles en las Américas</t>
  </si>
  <si>
    <t>Geologías diversas: haciendo tierras en plural</t>
  </si>
  <si>
    <t>Kristina Lyons, Mónica Espinoza</t>
  </si>
  <si>
    <t>“Comprendiendo la vulnerabilidad al riesgo de desastres desde la experiencia de los habitantes del Campamento Aurora Esperanza-Antofagasta, Chile”</t>
  </si>
  <si>
    <t>Katherine Campos (Otro (indicar en Observations)); Leila Juzam (Coordinador(a)/Jefe/Encargado de línea/área o similar)</t>
  </si>
  <si>
    <t>Political Ecology Network Conference 2024 / Panel: Political afterlives of ecological change</t>
  </si>
  <si>
    <t>Becoming multiple: Exploring Chilean contemporary political struggles through fire</t>
  </si>
  <si>
    <t>Congrès National d'Analyse Numérique 2024 (CANUM 2024)</t>
  </si>
  <si>
    <t>Single Porosity Model: Exploring the Spatial Resolution Limits in Complex Urban Patterns</t>
  </si>
  <si>
    <t>Finaud-Guyot, P., Rousseau, A., Jahn, W.</t>
  </si>
  <si>
    <t>Engineering Mechanics Institute 2024</t>
  </si>
  <si>
    <t>“Assessing rainfall-induced slope failure fragility curves by a FEM hydromechanical model: case study in the road network of Biobío Region - Chile”</t>
  </si>
  <si>
    <t>Marcela Alondra Chamorro Gine (Principal Researcher)</t>
  </si>
  <si>
    <t>Engineering Mechanics Institute</t>
  </si>
  <si>
    <t>Assessing rainfall-induced slope failure fragility curves by a FEM hydromechanical model: case study in the road network of Biobío Region - Chile</t>
  </si>
  <si>
    <t>Esteban Patricio Sáez Robert (Adjunct Researcher); Marcela Alondra Chamorro Gine (Principal Researcher); Tomas Benjamin Echaveguren Navarro (Adjunct Researcher); Jorge Alfredo Gironás León (Adjunct Researcher)</t>
  </si>
  <si>
    <t>Contreras, C., Guzán, JdeD, Bonilla, C.</t>
  </si>
  <si>
    <t>CONGRESO DE ECONOMIA Y DESARROLLO REGIONAL</t>
  </si>
  <si>
    <t>Resiliencia territorial y participación empresarial: análisis de la reconstrucción de zonas afectadas por incendios forestales de interfaz, mediante alianzas público-privadas (PPPs)</t>
  </si>
  <si>
    <t>Natalia Aravena-Solís, José Oliveros Romero,cl.</t>
  </si>
  <si>
    <t>Community Surface Dynamics Modeling System Anual Meeting 2024 (CSDMS 2024)</t>
  </si>
  <si>
    <t>On the impact of coastline anthropogenic geomorphological alterations on flood hazards and upscaling potential for coupled systems.</t>
  </si>
  <si>
    <t>Contreras, M.T., Rousseau, A.</t>
  </si>
  <si>
    <t>Seminario  "Avances en ciencia de terremotos y tsunamis"</t>
  </si>
  <si>
    <t>Explorando el orden en el caos presentes en ciclos y amenazas sísmicas</t>
  </si>
  <si>
    <t>Earthquake prediction: from statistical models to deep learning algorithms</t>
  </si>
  <si>
    <t>El estudio de tsunamis con una mirada desde la ingeniería costera</t>
  </si>
  <si>
    <t>Socio-Economic Assessment of disasters and Mitigation Strategies for Resilient Critical Infrastructure Systems; Surface Water Processes and Associated Hazards</t>
  </si>
  <si>
    <t>Análisis secuencial sismo-tsunami: comportamiento de edificios chilenos</t>
  </si>
  <si>
    <t>¿El terremoto, la batimetria, o ambos? ¿Quien controla al tsunami en la  costa?</t>
  </si>
  <si>
    <t>Modelling Seismic Risk in an Emergency Healthcare Network</t>
  </si>
  <si>
    <t>Paula Andrea Aguirre Aparicio (Adjunct Researcher)</t>
  </si>
  <si>
    <t>XII Congreso Chileno de Sociología 2024.Cambio Social y Diversidad: los Desafíos de una Nueva Convivencia.</t>
  </si>
  <si>
    <t>Panel: “Sociología, CTS y Medio Ambiente: Desafíos de Investigación”</t>
  </si>
  <si>
    <t>¿Cuál es el valor de un piñón? Fricciones entre ecologizaciones y Economizaciones plurales, heterogéneas y equívocas de la araucaria”</t>
  </si>
  <si>
    <t>Workshop Disaster Research Center celebrates: Innovating for an Imagined Disaster Future</t>
  </si>
  <si>
    <t>How can residents and tourists be prepared for earthquakes and tsunamis in coastal communities?</t>
  </si>
  <si>
    <t>Pamela Cisternas (Coordinador(a)/Jefe/Encargado de línea/área o similar); Nicolas Bronfman Caceres (Principal Researcher); Paula Beatriz Repetto Lisboa (Principal Researcher)</t>
  </si>
  <si>
    <t>Luis cifuentes</t>
  </si>
  <si>
    <t>05 May 2024</t>
  </si>
  <si>
    <t>European Geosciences Union (EGU) General Assembly 2024</t>
  </si>
  <si>
    <t>Interaction between historical earthquakes in the seismic gap of central Chile and the Marga-Marga crustal Fault: The seismic potential of the Valparaiso region</t>
  </si>
  <si>
    <t>Álvarez, J., Calisto, I., Cortés, J., Faccenna, C. , Araya.R.</t>
  </si>
  <si>
    <t>In_equality Conference 2024</t>
  </si>
  <si>
    <t>Does information about economic inequality affect opportunity beliefs? Results from survey experiments</t>
  </si>
  <si>
    <t>International Multi-Risk Seminar</t>
  </si>
  <si>
    <t>MULTI-RISK MAPPING AND CLIMATE CHANGE IN THE COASTAL ZONE</t>
  </si>
  <si>
    <t>13th Statistical seismology international conference</t>
  </si>
  <si>
    <t>Bayesian investigation of some seismic precursors in Chile</t>
  </si>
  <si>
    <t>16 Mar 2024</t>
  </si>
  <si>
    <t>AGU Ocean Science Meeting 2024</t>
  </si>
  <si>
    <t>Understanding and anticipating river mouth dynamics and coastal resilience at Laguna Cáhuil (Chile), a narrow bar-built estuary with ancestral salt production activities</t>
  </si>
  <si>
    <t>Rodrigo Alberto Cienfuegos Carrasco (Director); Patricio Andres Catalan Mondaca (Adjunct Researcher); Carolina Del Pilar Martinez Reyes (Principal Researcher)</t>
  </si>
  <si>
    <t>Lucero, F., Díaz, P., Araya, L, Silva, C.</t>
  </si>
  <si>
    <t>18 Feb 2024</t>
  </si>
  <si>
    <t>23 Feb 2024</t>
  </si>
  <si>
    <t>Citizen Governance; Surface Water Processes and Associated Hazards</t>
  </si>
  <si>
    <t>Vigilancia, oportunidades y riquezas del borde costero de Chile</t>
  </si>
  <si>
    <t>XII Encuentro CTS-Chile</t>
  </si>
  <si>
    <t>A pluralizar los modos de valorización de la naturaleza: tipologías equívocas de la naturaleza y fricciones en contextos de conservación en territorio mapuche”</t>
  </si>
  <si>
    <t>03 Jan 2024</t>
  </si>
  <si>
    <t>N/A</t>
  </si>
  <si>
    <t>United States</t>
  </si>
  <si>
    <t>David Holmes Salway (Adjunct Researcher)</t>
  </si>
  <si>
    <t>Francisco Antonio Squeo Porcile (Principal Researcher)</t>
  </si>
  <si>
    <t>LOHENGRIN ALEXIS CAVIERES GONZÁLEZ (Principal Researcher)</t>
  </si>
  <si>
    <t>Algorithms and Combinatorics</t>
  </si>
  <si>
    <t>Daniel Ilan Remenik Zisis (Principal Researcher)</t>
  </si>
  <si>
    <t>Felipe Arturo Tobar Henriquez (Adjunct Researcher)</t>
  </si>
  <si>
    <t>Francisco Forster Burón (Adjunct Researcher)</t>
  </si>
  <si>
    <t>Raimund Bürger (Principal Researcher)</t>
  </si>
  <si>
    <t>Numerical Analysis of PDEs</t>
  </si>
  <si>
    <t>Luis Miguel Villada Osorio (Adjunct Researcher)</t>
  </si>
  <si>
    <t>Sociedad de Biología Celular de Chile</t>
  </si>
  <si>
    <t>Seminario</t>
  </si>
  <si>
    <t>SPIE Astronomical Telescopes + Instrumentation</t>
  </si>
  <si>
    <t>Pamela Beatriz Guevara Alvez (Principal Researcher)</t>
  </si>
  <si>
    <t>ESA Annual Meeting</t>
  </si>
  <si>
    <t>Priorización de áreas para restauración forestal de paisajes altamente perturbados por agricultura en Chile Central: Planificación sistemática de objetivos múltiples</t>
  </si>
  <si>
    <t>ACT210004</t>
  </si>
  <si>
    <t xml:space="preserve"> XLVII Reunión Anual 2024 Sociedad de Bioquímica y Biología Molecular de Chile</t>
  </si>
  <si>
    <t>Systems Biology Centers for the development of research and innovation in the fields of mining, agroindustry and health.</t>
  </si>
  <si>
    <t>Mauricio Alejandro Latorre Mora (Director); Lorena Andrea Pizarro Arcos (Director)</t>
  </si>
  <si>
    <t xml:space="preserve">Diana Panesso Boterno - International Colaborador </t>
  </si>
  <si>
    <t>Bioinformatics; Biotechnology; Microbiology; Systems Biology</t>
  </si>
  <si>
    <t>17 Oct 2024, 16:00</t>
  </si>
  <si>
    <t>ACT210005</t>
  </si>
  <si>
    <t>FOAM Closing Workshop</t>
  </si>
  <si>
    <t>Error bounds for the Krasnoselskii-Mann iteration for contractions</t>
  </si>
  <si>
    <t>Mario Andrés Bravo González (Principal Researcher)</t>
  </si>
  <si>
    <t>26 Mar 2025, 17:01</t>
  </si>
  <si>
    <t>Latin American Economic Association (LACEA) and the Latin American and Caribbean Chapter of the Econometric Society (LAMES)</t>
  </si>
  <si>
    <t>Coalitional stability in matching problems with externalities and random preferences</t>
  </si>
  <si>
    <t>Adriana Piazza Chifflet (Principal Researcher)</t>
  </si>
  <si>
    <t>Data-Driven Market Design; Dynamic Games and Allocations; Fairness and Bias; mechanism design without money</t>
  </si>
  <si>
    <t>26 Mar 2025, 16:57</t>
  </si>
  <si>
    <t>Seminar in Economy - Montevideo University</t>
  </si>
  <si>
    <t>Search and Information in Centralized School Choice Systems</t>
  </si>
  <si>
    <t>Juan Fernando Escobar (Principal Researcher)</t>
  </si>
  <si>
    <t>26 Mar 2025, 17:11</t>
  </si>
  <si>
    <t>2024 Stony Brook International Conference on Game Theory</t>
  </si>
  <si>
    <t>26 Mar 2025, 17:09</t>
  </si>
  <si>
    <t>Conference on Learning Theory</t>
  </si>
  <si>
    <t>Mirror Descent Algorithms with Nearly Dimension-Independent Rates for Differentially-Private Stochastic Saddle-Point Problems</t>
  </si>
  <si>
    <t>Cristóbal Guzmán Paredes (Adjunct Researcher)</t>
  </si>
  <si>
    <t>26 Mar 2025, 17:03</t>
  </si>
  <si>
    <t>23rd annual SAET Conference Society for the Advancement of Economic Theory SAET 2024</t>
  </si>
  <si>
    <t>Efficiency with Political Power Dynamics and Costly Policy Change</t>
  </si>
  <si>
    <t>26 Mar 2025, 16:59</t>
  </si>
  <si>
    <t>Private Algorithms for Stochastic Saddle Points and Variational Inequalities: Beyond Euclidean Geometry</t>
  </si>
  <si>
    <t>ACT210006</t>
  </si>
  <si>
    <t>Neurochallenges 2024 - brain aging, neurodegenerative diseases, and therapies</t>
  </si>
  <si>
    <t>Nutrition and Aging: Lessons from animal models and humans</t>
  </si>
  <si>
    <t>Christian Enrique Gonzalez Billault (Adjunct Researcher)</t>
  </si>
  <si>
    <t>Biological hallmarks of aging; Obesity-related cardiometabolic risk</t>
  </si>
  <si>
    <t>15 Jul 2025, 16:48</t>
  </si>
  <si>
    <t>HLLC Fall Meeting</t>
  </si>
  <si>
    <t>Phenomics from birth to adulthood: New Horizons in the Santiago Longitudinal Study</t>
  </si>
  <si>
    <t>MARIA PAULINA CORREA BURROWS (Director)</t>
  </si>
  <si>
    <t>Biological hallmarks of aging; Epidemiology of chronic diseases</t>
  </si>
  <si>
    <t>15 Jul 2025, 16:42</t>
  </si>
  <si>
    <t>Congreso de la Sociedad Chilena de Ciencias Fisiológicas</t>
  </si>
  <si>
    <t>Body composition and cadiometabolic health as determinants of biological age in young adults from a Chilean birth cohort</t>
  </si>
  <si>
    <t>MARIA PAULINA CORREA BURROWS (Director); Cecilia Albala Brevis (Principal Researcher); Raquel del Carmen Burrows Argote (Principal Researcher); Christian Enrique Gonzalez Billault (Adjunct Researcher); Rodrigo Hernán Troncoso Cotal (Adjunct Researcher); Carlos Andrés Sepúlveda Guzmán (Postdoctoral Fellow); Zacarías Lizana Payeras (Master Thesis)</t>
  </si>
  <si>
    <t>Biological hallmarks of aging; Epidemiology of chronic diseases; Obesity-related cardiometabolic risk</t>
  </si>
  <si>
    <t>Received 3rd place for best oral presentation.</t>
  </si>
  <si>
    <t>14 Jul 2025, 14:38</t>
  </si>
  <si>
    <t>Obesity-induced accelerated aging: Cumulative effect of historical changes in body mass index and metabolic profile on muscle quality and function in young adults</t>
  </si>
  <si>
    <t>MARIA PAULINA CORREA BURROWS (Director); Cecilia Albala Brevis (Principal Researcher); Raquel del Carmen Burrows Argote (Principal Researcher); Christian Enrique Gonzalez Billault (Adjunct Researcher); Rodrigo Hernán Troncoso Cotal (Adjunct Researcher); Carlos Andrés Sepúlveda Guzmán (Postdoctoral Fellow); Felipe Barahona del Castillo (Master Thesis)</t>
  </si>
  <si>
    <t>Epidemiology of chronic diseases; Obesity-related cardiometabolic risk</t>
  </si>
  <si>
    <t>14 Jul 2025, 14:40</t>
  </si>
  <si>
    <t>Research seminar at UNC Gillings School of Public Health</t>
  </si>
  <si>
    <t>Phenomic featuring of diverse Hispanic Populations</t>
  </si>
  <si>
    <t>15 Jul 2025, 16:45</t>
  </si>
  <si>
    <t>Congreso de la Sociedad Chilena de Geriatría y Gerontología</t>
  </si>
  <si>
    <t>La obesidad como acelerador de envejecimiento: sinergias entre epidemiología y gerociencia</t>
  </si>
  <si>
    <t>MARIA PAULINA CORREA BURROWS (Director); Felipe Salech Morales (Principal Researcher); Felipe Court Goldsmith (Other Center/Project Researcher)</t>
  </si>
  <si>
    <t>14 Jul 2025, 17:10</t>
  </si>
  <si>
    <t>Latin-American Society of Pediatric Endocrinology Annual Meeting</t>
  </si>
  <si>
    <t>Adverse childhood experiences exacerbate the harmful effects of obesity on aging biomarkers in adulthood</t>
  </si>
  <si>
    <t>MARIA PAULINA CORREA BURROWS (Director); Cecilia Albala Brevis (Principal Researcher); Raquel del Carmen Burrows Argote (Principal Researcher); Felipe Salech Morales (Principal Researcher); Guillermo Enrique Sanhueza Olivares (Principal Researcher); Christian Enrique Gonzalez Billault (Adjunct Researcher); Joselyn Alejandra Arce Marenco (Master Thesis)</t>
  </si>
  <si>
    <t>Biological hallmarks of aging; Obesity-related cardiometabolic risk; Social hallmarks of aging</t>
  </si>
  <si>
    <t>14 Jul 2025, 15:25</t>
  </si>
  <si>
    <t>Exposure to childhood or adolescent obesity seems to accelerate the aging rate of young adultsby altering the intercellular communication</t>
  </si>
  <si>
    <t>MARIA PAULINA CORREA BURROWS (Director); Cecilia Albala Brevis (Principal Researcher); Raquel del Carmen Burrows Argote (Principal Researcher); Felipe Salech Morales (Principal Researcher); Christian Enrique Gonzalez Billault (Adjunct Researcher); Rodrigo Hernán Troncoso Cotal (Adjunct Researcher); Carlos Andrés Sepúlveda Guzmán (Postdoctoral Fellow)</t>
  </si>
  <si>
    <t>14 Jul 2025, 16:01</t>
  </si>
  <si>
    <t xml:space="preserve">Obesity during childhood or adolescence accelerates aging in young adults by creating a chronic proinflammatory state </t>
  </si>
  <si>
    <t>14 Jul 2025, 16:14</t>
  </si>
  <si>
    <t>Congreso Chileno de Obesidad</t>
  </si>
  <si>
    <t>Obesidad de inicio temprano y envejecimiento prematuro</t>
  </si>
  <si>
    <t>14 Jul 2025, 17:20</t>
  </si>
  <si>
    <t>Actualizacion del uso de tecnología Luminex  en el análisis múltiple de proteínas, Red de Equipamiento Clinico Avanzado, Facultad de Medicina, Universdad de Chile</t>
  </si>
  <si>
    <t>Profundizando en la relación entre obesidad y envejecimiento</t>
  </si>
  <si>
    <t>MARIA PAULINA CORREA BURROWS (Director); Felipe Salech Morales (Principal Researcher); Daniela Campos Burgos (Master Thesis)</t>
  </si>
  <si>
    <t>14 Jul 2025, 17:28</t>
  </si>
  <si>
    <t>I Congreso Interdisciplinario en Ciencias de la Salud</t>
  </si>
  <si>
    <t xml:space="preserve">La obesidad como modelo de envejecimiento acelerado </t>
  </si>
  <si>
    <t>14 Jul 2025, 17:41</t>
  </si>
  <si>
    <t>Anatomical Society Summer Meeting</t>
  </si>
  <si>
    <t>Obesity-induced accelerated aging is related to poor physical fitness, proinflammatory profile and impaired autophagy in response to exercise in young adults</t>
  </si>
  <si>
    <t>MARIA PAULINA CORREA BURROWS (Director); Cecilia Albala Brevis (Principal Researcher); Raquel del Carmen Burrows Argote (Principal Researcher); Felipe Salech Morales (Principal Researcher); Christian Enrique Gonzalez Billault (Adjunct Researcher); Rodrigo Hernán Troncoso Cotal (Adjunct Researcher); Carlos Andrés Sepúlveda Guzmán (Postdoctoral Fellow); Felipe Barahona del Castillo (Master Thesis); Zacarías Lizana Payeras (Master Thesis)</t>
  </si>
  <si>
    <t>14 Jul 2025, 15:22</t>
  </si>
  <si>
    <t>Intl Society of Sports Nutriton Annual Conference</t>
  </si>
  <si>
    <t>Protein yogurt consumption results in similar body composition and strength gains but differential changes in gut microbiome than whey protein in untrained older adults during eight weeks of strenth training: A randomized trial</t>
  </si>
  <si>
    <t>MARIA PAULINA CORREA BURROWS (Director); Christian Enrique Gonzalez Billault (Adjunct Researcher); Rodrigo Hernán Troncoso Cotal (Adjunct Researcher); Felipe Court Goldsmith (Other Center/Project Researcher); Matías Monsalves Álvarez (Other Center/Project Researcher); Carlos Andrés Sepúlveda Guzmán (Postdoctoral Fellow)</t>
  </si>
  <si>
    <t>14 Jul 2025, 15:14</t>
  </si>
  <si>
    <t>Seminarios Clínicos Fundación Arturo López Pérez</t>
  </si>
  <si>
    <t>Edad epigenética y envejecimiento biológico: implicancias en el tratamiento del cáncer</t>
  </si>
  <si>
    <t>Felipe Salech Morales (Principal Researcher)</t>
  </si>
  <si>
    <t>16 Jun 2024</t>
  </si>
  <si>
    <t>Biological hallmarks of aging</t>
  </si>
  <si>
    <t>14 Jul 2025, 18:00</t>
  </si>
  <si>
    <t>Seminarios de investigación del Instituto de Investigación Sanitaria, Facultad de Medicina y Odontología, Universidad de Valencia</t>
  </si>
  <si>
    <t>Obesity as a model of accelerated aging: Epidemiological, epigenetic and biomarker research in a life-course approach</t>
  </si>
  <si>
    <t>José Viña</t>
  </si>
  <si>
    <t>15 Jul 2025, 16:53</t>
  </si>
  <si>
    <t>Gordon Research Conference 'Aging Systems'</t>
  </si>
  <si>
    <t>Obesity as a model of accelerated aging</t>
  </si>
  <si>
    <t>MARIA PAULINA CORREA BURROWS (Director); Cecilia Albala Brevis (Principal Researcher); Raquel del Carmen Burrows Argote (Principal Researcher); Felipe Salech Morales (Principal Researcher); Rodrigo Hernán Troncoso Cotal (Adjunct Researcher); Daniel Bunout Barnett (Other Center/Project Researcher); Carlos Andrés Sepúlveda Guzmán (Postdoctoral Fellow)</t>
  </si>
  <si>
    <t>14 Jul 2025, 14:53</t>
  </si>
  <si>
    <t>GERO Workshop</t>
  </si>
  <si>
    <t>Longevidad saludable: Un concepto de largo plazo</t>
  </si>
  <si>
    <t>09 May 2024</t>
  </si>
  <si>
    <t>14 Jul 2025, 17:57</t>
  </si>
  <si>
    <t>14th Intl Conference on Frailty and Sarcopenia Research</t>
  </si>
  <si>
    <t>Long-term obesity as a driver of early expression f biologicl aging signatures and reduced muscle mass in young adults</t>
  </si>
  <si>
    <t>14 Jul 2025, 14:56</t>
  </si>
  <si>
    <t>2023 ESPID Internship Poster Session</t>
  </si>
  <si>
    <t>Parental substance use and its effects on offspring growth at birth, 6 mo and 12 mo</t>
  </si>
  <si>
    <t>Jennifer Landeta</t>
  </si>
  <si>
    <t>Epidemiology of chronic diseases; Social hallmarks of aging</t>
  </si>
  <si>
    <t>14 Jul 2025, 14:59</t>
  </si>
  <si>
    <t>ACT210007</t>
  </si>
  <si>
    <t>Claudio Urra (Postdoctoral Fellow)</t>
  </si>
  <si>
    <t>Modeling of Epigenetic Gene Regulatory Networks in sweet cherry floral buds in response to differential seasonal climate condition</t>
  </si>
  <si>
    <t>Andrea Miyasaka de Almeida (Director)</t>
  </si>
  <si>
    <t>Manuel Jesús Ahumada Escandón (Adjunct Researcher)</t>
  </si>
  <si>
    <t>Puntos cuánticos de carbono como herramientas biotecnológicas</t>
  </si>
  <si>
    <t>15 Jul 2025, 10:19</t>
  </si>
  <si>
    <t>La Nanotecnología y su Potencial para el Sector Agroalimentario</t>
  </si>
  <si>
    <t>15 Jul 2025, 10:16</t>
  </si>
  <si>
    <t>Bio-nanomateriales: Aplicaciones y Desafíos</t>
  </si>
  <si>
    <t>15 Jul 2025, 10:18</t>
  </si>
  <si>
    <t>13th International Plant Cold Hardiness Seminar</t>
  </si>
  <si>
    <t>Small RNA modules associated to regulatory events during sweet cherry dormancy.</t>
  </si>
  <si>
    <t>15 Jul 2025, 11:31</t>
  </si>
  <si>
    <t>Use of vegetation indices derived from remote sensing to estimate formancy and bloom onset in sweet cherry trees with contrasting chilling requirements</t>
  </si>
  <si>
    <t>28 Oct 2024, 17:01</t>
  </si>
  <si>
    <t>Nanopore Day Santiago</t>
  </si>
  <si>
    <t>Chromosome scale genome assembly of sweet cherry Regina cv.</t>
  </si>
  <si>
    <t>28 Oct 2024, 16:57</t>
  </si>
  <si>
    <t>Epigenética, regulación de la dormancia en cerezos</t>
  </si>
  <si>
    <t>15 Jul 2025, 10:25</t>
  </si>
  <si>
    <t>Bionanomateriales: del asombro a avances en sus aplicaciones</t>
  </si>
  <si>
    <t>15 Jul 2025, 10:14</t>
  </si>
  <si>
    <t>Carbon Dots como Nanomateriales y Agentes Recubridores: Posibles Aplicaciones</t>
  </si>
  <si>
    <t>15 Jul 2025, 10:00</t>
  </si>
  <si>
    <t>Plant and Animal Genome 31 Conference</t>
  </si>
  <si>
    <t>When the winter passes, the trees bloom: molecular mechanism that control the passage of time in sweet cherry.</t>
  </si>
  <si>
    <t>13 Jan 2024</t>
  </si>
  <si>
    <t>28 Oct 2024, 16:53</t>
  </si>
  <si>
    <t>ACT210012</t>
  </si>
  <si>
    <t>SOFARCHI 2024</t>
  </si>
  <si>
    <t>HCN ion channels as a potential pharmacological target to reduce the addictive effects of ethanol</t>
  </si>
  <si>
    <t>Mario Francis Rivera Meza (Principal Researcher)</t>
  </si>
  <si>
    <t>New strategies to decrease the release of dopamine induced by alcohol intake</t>
  </si>
  <si>
    <t>25 Jun 2025, 18:34</t>
  </si>
  <si>
    <t>X International Meeting of the Latin American Society for Biomedical Research on Alcoholism (LASBRA)</t>
  </si>
  <si>
    <t>A new drug that decreases both alcohol consumption and ethanol-induced neuroinflammation</t>
  </si>
  <si>
    <t>Eduardo Karahanian Vartevanian (Director); Paola Morales Retamales (Adjunct Researcher); Eduardo Matías Isla Correa (PhD Thesis); Cristina Elizabeth Ibañez Mora (Master Thesis)</t>
  </si>
  <si>
    <t>New drugs that decreases both alcohol consumption and ethanol-induced neuroinflammation</t>
  </si>
  <si>
    <t>25 Jun 2025, 18:06</t>
  </si>
  <si>
    <t>Secretome derived from mesenchymal stem cells as a new biodrug for the treatment of drug addictions: Toward the identification of therapeutic molecules</t>
  </si>
  <si>
    <t>Fernando Eduardo Ezquer Romero (Principal Researcher); Yedy Israel Jacard (Principal Researcher); David Mauricio Ramirez Sanchez (Principal Researcher); Paola Morales Retamales (Adjunct Researcher); JAVIERA CAROLINA GALLARDO ROJAS (Postdoctoral Fellow)</t>
  </si>
  <si>
    <t>Administration of mesenchymal stem cells-derived secretome for the treatment of alcohol use disorder</t>
  </si>
  <si>
    <t>25 Jun 2025, 18:08</t>
  </si>
  <si>
    <t>Blockade of HCN ion channels as a potential mechanism to reduce the rewarding effects of ethanol</t>
  </si>
  <si>
    <t>Mario Francis Rivera Meza (Principal Researcher); Ignacio Andree Gutiérrez Vega (Undergraduate Thesis)</t>
  </si>
  <si>
    <t>25 Jun 2025, 18:13</t>
  </si>
  <si>
    <t>FENOFIBRATE DECREASES ETHANOL-INDUCED NEUROINFLAMMATION AND OXIDATIVE STRESS AND REDUCES ALCOHOL RELAPSE IN RATS BY A PPAR-DEPENDENT MECHANISM.</t>
  </si>
  <si>
    <t>Eduardo Karahanian Vartevanian (Director); Paola Morales Retamales (Adjunct Researcher); Cristina Elizabeth Ibañez Mora (Master Thesis)</t>
  </si>
  <si>
    <t>25 Jun 2025, 18:20</t>
  </si>
  <si>
    <t>FENOFIBRATE ADMINISTRATION DURING ABSTINENCE REDUCES GLUTAMATERGIC TONE AND INCREASE DOPAMINERGIC TONE IN THE NUCLEUS ACCUMBENS OF RATS, MEDIATED BY CENTRAL PPAR? ACTIVATION</t>
  </si>
  <si>
    <t>Eduardo Karahanian Vartevanian (Director); Mario Francis Rivera Meza (Principal Researcher); Eduardo Matías Isla Correa (PhD Thesis); Ignacio Andree Gutiérrez Vega (Undergraduate Thesis)</t>
  </si>
  <si>
    <t>25 Jun 2025, 18:21</t>
  </si>
  <si>
    <t>ESTABLISHMENT OF IA2BC VOLUNTARY ETHANOL CONSUMPTION PARADIGM IN SPRAGUE DAWLEY RATS</t>
  </si>
  <si>
    <t>Mario Francis Rivera Meza (Principal Researcher); Paola Morales Retamales (Adjunct Researcher); Isidora Schneider Díaz (Master Thesis)</t>
  </si>
  <si>
    <t>25 Jun 2025, 18:23</t>
  </si>
  <si>
    <t>SELECTIVE EXPRESSION OF A HIGH-VELOCITY ADH ENZYME IN RAT HEPATOMA CELLS DRIVEN BY A MINIMAL ALBUMIN PROMOTER.</t>
  </si>
  <si>
    <t>Mario Francis Rivera Meza (Principal Researcher); Constanza Cáceres (Master Thesis)</t>
  </si>
  <si>
    <t>Permanent modification of the permissive dopamine reward system and the cued-activated glutamate genes to inhibit alcohol intake</t>
  </si>
  <si>
    <t>25 Jun 2025, 18:24</t>
  </si>
  <si>
    <t>EXPRESSION AND GENE KNOCKDOWN BY SMALL HAIRPIN RNA OF SALSOLINOL SYNTHASE IN VITRO</t>
  </si>
  <si>
    <t>Mario Francis Rivera Meza (Principal Researcher); Félix Valentín Lavín Herrera (Undergraduate Thesis)</t>
  </si>
  <si>
    <t>25 Jun 2025, 18:26</t>
  </si>
  <si>
    <t>HCN ION CHANNEL BLOCKING AS A STRATEGY TO AVOID THE REWARDING EFFECT OF ETHANOL ON RATS</t>
  </si>
  <si>
    <t>Mario Francis Rivera Meza (Principal Researcher); Eduardo Matías Isla Correa (PhD Thesis); Ignacio Andree Gutiérrez Vega (Undergraduate Thesis)</t>
  </si>
  <si>
    <t>25 Jun 2025, 18:27</t>
  </si>
  <si>
    <t>IDENTIFYING GLT-1-INDUCING MOLECULES IN MSC-SECRETOME FOR ALCOHOL USE DISORDER TREATMENT</t>
  </si>
  <si>
    <t>25 Jun 2025, 18:29</t>
  </si>
  <si>
    <t>GUT-MICROBIOTA-DERIVED EXTRACELLULAR VESICLES FROM ANIMALS GENETICALLY SELECTED TO PREFER ALCOHOL INDUCE HIGH ALCOHOL INTAKE IN ABSTINENT RATS.</t>
  </si>
  <si>
    <t>Fernando Eduardo Ezquer Romero (Principal Researcher); Yedy Israel Jacard (Principal Researcher); Paola Morales Retamales (Adjunct Researcher); JAVIERA CAROLINA GALLARDO ROJAS (Postdoctoral Fellow); Macarena Francisca Díaz Ubilla (PhD Thesis)</t>
  </si>
  <si>
    <t>25 Jun 2025, 18:31</t>
  </si>
  <si>
    <t>IMPACT Cell and Gene Therapy Meeting</t>
  </si>
  <si>
    <t>Fernando Eduardo Ezquer Romero (Principal Researcher)</t>
  </si>
  <si>
    <t>25 Jun 2025, 18:02</t>
  </si>
  <si>
    <t>ACT210021</t>
  </si>
  <si>
    <t>Maria Angelica Casanova Katny (Principal Researcher)</t>
  </si>
  <si>
    <t>WP3: Ecosphere-Cryosphere Interaction (ECI)</t>
  </si>
  <si>
    <t>Irina Rogozhina (Principal Researcher)</t>
  </si>
  <si>
    <t>WP2: Cryosphere - hydrosphere interactions (CHI)</t>
  </si>
  <si>
    <t>Jornadas de Investigacion UCT</t>
  </si>
  <si>
    <t>Cambios en la cobertura vegetal a lo largo del país, producto del impacto del cambio climático</t>
  </si>
  <si>
    <t>18 Dec 2024</t>
  </si>
  <si>
    <t>19 Dec 2024</t>
  </si>
  <si>
    <t>15 Jul 2025, 21:30</t>
  </si>
  <si>
    <t>XXX Reunión Anual 2024 Sociedad de Ecología de Chile</t>
  </si>
  <si>
    <t>Impacto del cambio climático sobre la composición de la vegetación en las veranadas de la comuna de Lonquimay, Región de La Araucanía, Chile</t>
  </si>
  <si>
    <t>Francisco Javier Cereceda Balic (Director); Maria Angelica Casanova Katny (Principal Researcher); Juan Sebastián Díaz Caniullán (Undergraduate Thesis)</t>
  </si>
  <si>
    <t>National colaborator: Ximena Fadic, National colaborator: David Fonseca-Luengo, Marco Gonzalez-Arratia</t>
  </si>
  <si>
    <t>28 Oct 2024, 16:44</t>
  </si>
  <si>
    <t>Impacto del cambio climático  en la dinámica temporal de la vegetación de alta montaña y en las veranadas de la comuna de Lonquimay</t>
  </si>
  <si>
    <t>Francisco Javier Cereceda Balic (Director); Maria Angelica Casanova Katny (Principal Researcher); Constanza Estefanía Reyes García (Undergraduate Thesis)</t>
  </si>
  <si>
    <t>National colaborator: Ximena Fadic, National colaborator: Davir Fonseca-Luengo, National colaborator: Miguel Aguayo-Arias</t>
  </si>
  <si>
    <t>28 Oct 2024, 16:47</t>
  </si>
  <si>
    <t>Cambios en la cobertura vegetacional de un ecosistema de montaña en la subsubcuenca del río Yeso en el área postglacial del Glaciar el Yeso y Bello por influencia del cambio climático</t>
  </si>
  <si>
    <t>Francisco Javier Cereceda Balic (Director); Maria Angelica Casanova Katny (Principal Researcher); Gonzalo Oscar Barcaza Sepúlveda (Adjunct Researcher); ANDRES VERA (Undergraduate Thesis)</t>
  </si>
  <si>
    <t>National colaborator: Ximena Fadic, National colaborator; David Aguayo</t>
  </si>
  <si>
    <t>28 Oct 2024, 16:49</t>
  </si>
  <si>
    <t xml:space="preserve">Importancia del cambio climático en el largo de la cobertura nival y su relación con la producción de piñones de Araucaria araucana (Molina) K. Koch en la comuna de Lonquimay </t>
  </si>
  <si>
    <t>Francisco Javier Cereceda Balic (Director); Maria Angelica Casanova Katny (Principal Researcher); Valentina Ignacia Diaz Aravena (Undergraduate Thesis)</t>
  </si>
  <si>
    <t>National colaborator: Ximena Fadic, National colaborator: David Fonseca-Luengo, National colaborator: Miguel Aguayo-Arias</t>
  </si>
  <si>
    <t>28 Oct 2024, 16:51</t>
  </si>
  <si>
    <t>Scientific Committee on Antarctic Research (SCAR 2024)</t>
  </si>
  <si>
    <t>Aerosol characterization at the Unión Glacier, Antartica: Particulate matter concentration and size distribution</t>
  </si>
  <si>
    <t>Francisco Javier Cereceda Balic (Director); Gonzalo Oscar Barcaza Sepúlveda (Adjunct Researcher); Maria Florencia Ruggeri (Postdoctoral Fellow)</t>
  </si>
  <si>
    <t>National colaborator: Ximena Fadic, National colaborator: Nicolás Zelaya</t>
  </si>
  <si>
    <t>WP1: Atmosphere-Cryosphere interaction (ACI)</t>
  </si>
  <si>
    <t>28 Oct 2024, 13:29</t>
  </si>
  <si>
    <t xml:space="preserve">Scientific Committee on Antarctic Research (SCAR 2024) </t>
  </si>
  <si>
    <t>Black Carbon deposition, snow Aldedo, and radiative forcing in the antarctic: Insights from two consecutive field campaigns in different locations</t>
  </si>
  <si>
    <t>National colaborator: Ximena Fadic, National colaborator: Franco Sandoval</t>
  </si>
  <si>
    <t>28 Oct 2024, 16:01</t>
  </si>
  <si>
    <t>Comparison of major ion species in snow from Union Glacier and the Antarctic Peninsula coast confirms low atmospheric transport inland</t>
  </si>
  <si>
    <t>National colaborator: Ximena Fadic, National colaborator: Gonzalo Puebla, National colaborator: Tamata Gallardo, National colaborator: Franco Sandoval</t>
  </si>
  <si>
    <t>28 Oct 2024, 16:04</t>
  </si>
  <si>
    <t>Satellite-derived and ground albedo variations at Union Glacier, West Antarctic Ice Sheet</t>
  </si>
  <si>
    <t>Francisco Javier Cereceda Balic (Director); Gonzalo Oscar Barcaza Sepúlveda (Adjunct Researcher); Hans Moosmüller (Other Center/Project Researcher); Felipe McCracken (Master Thesis)</t>
  </si>
  <si>
    <t>28 Oct 2024, 16:09</t>
  </si>
  <si>
    <t>A&amp;WMA’s 117th Annual Conference &amp; Exhibition</t>
  </si>
  <si>
    <t>Optimization of meteorological modeling for accurate prediction of secondary pollutants in complex terrain: a case study in central Chile</t>
  </si>
  <si>
    <t>Francisco Javier Cereceda Balic (Director); Luis Alonso Díaz Robles (Principal Researcher); Fidel Vallejo (Postdoctoral Fellow); Maria Florencia Ruggeri (Postdoctoral Fellow); Valeria Campos (PhD Thesis)</t>
  </si>
  <si>
    <t>National colaborator: Ximena Fadic</t>
  </si>
  <si>
    <t>WP4: Environmental Modeling (EM); WP5: Environmental information systems (EIS)</t>
  </si>
  <si>
    <t>10 Jul 2025, 17:01</t>
  </si>
  <si>
    <t>SOCHICRI 2024</t>
  </si>
  <si>
    <t>Scaling down the global process understanding to shed light on the vulnerability of the Antarctic and Andean cryosphere and its impacts on society</t>
  </si>
  <si>
    <t>18 Jul 2025, 13:41</t>
  </si>
  <si>
    <t>Impactos de la megasequía en el principal glaciar de la IV región: Glaciar Tapado (30°S)</t>
  </si>
  <si>
    <t>Irina Rogozhina (Principal Researcher); Felipe Moreno (Undergraduate Thesis)</t>
  </si>
  <si>
    <t>18 Jul 2025, 13:44</t>
  </si>
  <si>
    <t>VI Sociedad Chilena de la Criosfera 2024</t>
  </si>
  <si>
    <t>Efecto histórico del carbono negro y los cambios morfológicos de la nieve en el albedo superficial</t>
  </si>
  <si>
    <t>Francisco Javier Cereceda Balic (Director); Marcelo Marambio Portilla (Other Center/Project Researcher)</t>
  </si>
  <si>
    <t>28 Oct 2024, 18:41</t>
  </si>
  <si>
    <t>Black Carbon and Dust in the snow of Chilean Central Andes: From albedo reductions to radiative forcing</t>
  </si>
  <si>
    <t>28 Oct 2024, 13:17</t>
  </si>
  <si>
    <t>Local anthropogenic factors contributing to constrasting glacier response in two mountain glaciers, located in Central Andes, Chile</t>
  </si>
  <si>
    <t>Francisco Javier Cereceda Balic (Director); Gonzalo Oscar Barcaza Sepúlveda (Adjunct Researcher); Maria Florencia Ruggeri (Postdoctoral Fellow); Felipe McCracken (Master Thesis)</t>
  </si>
  <si>
    <t>WP1: Atmosphere-Cryosphere interaction (ACI); WP2: Cryosphere - hydrosphere interactions (CHI)</t>
  </si>
  <si>
    <t>28 Oct 2024, 13:20</t>
  </si>
  <si>
    <t>Radiative Forcing Assessment of Black Carbon in Snow from the Antarctic Peninsula</t>
  </si>
  <si>
    <t>Francisco Javier Cereceda Balic (Director); Gonzalo Oscar Barcaza Sepúlveda (Adjunct Researcher); Hans Moosmüller (Other Center/Project Researcher); Maria Florencia Ruggeri (Postdoctoral Fellow)</t>
  </si>
  <si>
    <t>National colaborators: Ximena Fadic, Fonseca David; Aguayo Miguel; Díaz Caamaño Luis</t>
  </si>
  <si>
    <t>28 Oct 2024, 13:22</t>
  </si>
  <si>
    <t>High levels and behavior of tropospheric ozone in the Andes Mountains, Central Chile</t>
  </si>
  <si>
    <t>Francisco Javier Cereceda Balic (Director); Luis Alonso Díaz Robles (Principal Researcher); Gonzalo Oscar Barcaza Sepúlveda (Adjunct Researcher); Fidel Vallejo (Postdoctoral Fellow); Maria Florencia Ruggeri (Postdoctoral Fellow); Valeria Campos (PhD Thesis)</t>
  </si>
  <si>
    <t>WP1: Atmosphere-Cryosphere interaction (ACI); WP4: Environmental Modeling (EM)</t>
  </si>
  <si>
    <t>28 Oct 2024, 13:24</t>
  </si>
  <si>
    <t>Comparative analysis of tropospheric ozone concentrations at Union Glacier, Antarctica: long-term observations and recent measurements</t>
  </si>
  <si>
    <t>Francisco Javier Cereceda Balic (Director); Luis Alonso Díaz Robles (Principal Researcher); Gonzalo Oscar Barcaza Sepúlveda (Adjunct Researcher); Hans Moosmüller (Other Center/Project Researcher); Fidel Vallejo (Postdoctoral Fellow); Valeria Campos (PhD Thesis)</t>
  </si>
  <si>
    <t>28 Oct 2024, 13:26</t>
  </si>
  <si>
    <t>ACT210025</t>
  </si>
  <si>
    <t>XLVI Annual Meeting Chilean Society for Biochemistry and Molecular Biology.</t>
  </si>
  <si>
    <t xml:space="preserve">Functional expression of Pectin methylesterase (PME) from Chilean papaya in the heterologous system Pichia pastoris. </t>
  </si>
  <si>
    <t>Maria Alejandra Moya Leon (Director); Michael Handford (Principal Researcher); Raúl Simón Herrera Faúndez (Principal Researcher); Susana Saez Rivera (Principal Researcher); Dayan Sanhueza Donoso (Postdoctoral Fellow); Paloma Fuenzalida Bostelmann (Undergraduate Thesis)</t>
  </si>
  <si>
    <t>Identification, characterization of cell wall degrading enzymes involved in cell wall metabolism of native fruits</t>
  </si>
  <si>
    <t>12 Nov 2024, 15:18</t>
  </si>
  <si>
    <t>Fragaria chiloensis fruit as a model for studying ripening events</t>
  </si>
  <si>
    <t>Maria Alejandra Moya Leon (Director); Raúl Simón Herrera Faúndez (Principal Researcher)</t>
  </si>
  <si>
    <t>Zamorano-Curaqueo, M., Valenzuela, F.</t>
  </si>
  <si>
    <t>12 Nov 2024, 15:20</t>
  </si>
  <si>
    <t xml:space="preserve">FchDOF1 and FchNAC2 participate in a coordinated way in ripening regulation of Fragaria chiloensis fruit. </t>
  </si>
  <si>
    <t>Zamorano-Curaqueo, M., Pizarro-Vasquez, N.</t>
  </si>
  <si>
    <t>12 Nov 2024, 15:22</t>
  </si>
  <si>
    <t xml:space="preserve">High-value polysaccharides characterized in Chilean papaya mucilage waste. </t>
  </si>
  <si>
    <t>Maria Alejandra Moya Leon (Director); Raúl Simón Herrera Faúndez (Principal Researcher); Susana Saez Rivera (Principal Researcher); Dayan Sanhueza Donoso (Postdoctoral Fellow)</t>
  </si>
  <si>
    <t>Identification and quantification of compounds derived from the metabolism of cell wall in plant tissues with benefits for human health</t>
  </si>
  <si>
    <t>12 Nov 2024, 15:24</t>
  </si>
  <si>
    <t xml:space="preserve">Overexpression of FchNAC1 induces color and the phenylpropanoid/anthocyanin pathway. </t>
  </si>
  <si>
    <t>Zamorano-Curaqueo, M.</t>
  </si>
  <si>
    <t>12 Nov 2024, 15:25</t>
  </si>
  <si>
    <t>8th International Conference on Plant Cell Wall Biology.</t>
  </si>
  <si>
    <t>Searching for super enzymes using endemic Chilean fruit.</t>
  </si>
  <si>
    <t>Maria Alejandra Moya Leon (Director); Michael Handford (Principal Researcher); Raúl Simón Herrera Faúndez (Principal Researcher); Susana Saez Rivera (Principal Researcher); Dayan Sanhueza Donoso (Postdoctoral Fellow); Tamara Mendez (Postdoctoral Fellow); Paloma Fuenzalida Bostelmann (Undergraduate Thesis)</t>
  </si>
  <si>
    <t>12 Nov 2024, 14:57</t>
  </si>
  <si>
    <t xml:space="preserve">A modern view to cell wall changes taken place during softening of Fragaria chiloensis fruit. </t>
  </si>
  <si>
    <t>Characterization of cell wall structure of native Chilean fruits</t>
  </si>
  <si>
    <t>12 Nov 2024, 15:00</t>
  </si>
  <si>
    <t>The role of rhamnogalacturonan-I and arabinogalactan protein in relation to blueberry firmness.</t>
  </si>
  <si>
    <t>Maria Alejandra Moya Leon (Director); Susana Saez Rivera (Principal Researcher); Dayan Sanhueza Donoso (Postdoctoral Fellow)</t>
  </si>
  <si>
    <t>Balic-Norambuena, I</t>
  </si>
  <si>
    <t>12 Nov 2024, 15:02</t>
  </si>
  <si>
    <t xml:space="preserve">From waste to nutritional treasure: Investigating carbohydrate diversity in food industry by-products and papaya mucilage. </t>
  </si>
  <si>
    <t>Maria Alejandra Moya Leon (Director); Michael Handford (Principal Researcher); Raúl Simón Herrera Faúndez (Principal Researcher); Susana Saez Rivera (Principal Researcher); Dayan Sanhueza Donoso (Postdoctoral Fellow)</t>
  </si>
  <si>
    <t>12 Nov 2024, 15:04</t>
  </si>
  <si>
    <t>ACT210027</t>
  </si>
  <si>
    <t>Program 2</t>
  </si>
  <si>
    <t>Program 3</t>
  </si>
  <si>
    <t>Luis Alberto Cisternas Arapio (Director); Yesica Botero (PhD Thesis); Yordana Flores (Master Thesis)</t>
  </si>
  <si>
    <t>Program 5</t>
  </si>
  <si>
    <t>Optimización de la producción de exopolisacáridos por Nitzchia sp. cepa 53.3 para el tratamiento de aguas residuales en minería</t>
  </si>
  <si>
    <t>Luis Alberto Cisternas Arapio (Director); Ricardo Iván Jeldres Valenzuela (Principal Researcher); Mariella Odette Rivas Alvarez (Principal Researcher); Katiuska Huapaya  (PhD Thesis); Yesica Botero (PhD Thesis); Jeferson Grisales (Undergraduate Thesis)</t>
  </si>
  <si>
    <t>01 Jul 2025, 11:51</t>
  </si>
  <si>
    <t>Predicción de genes involucrados en el metabolismo de exopolisacáridos de la diatomea Nitzschia sp. cepa 53.3 aislada desde Paposo, región de Antofagasta</t>
  </si>
  <si>
    <t>Mariella Odette Rivas Alvarez (Principal Researcher); Katiuska Huapaya  (PhD Thesis); Jeferson Grisales (Undergraduate Thesis)</t>
  </si>
  <si>
    <t>Paris Lavín, Manuel Zapata</t>
  </si>
  <si>
    <t>01 Jul 2025, 11:54</t>
  </si>
  <si>
    <t>Desarrollo de floculantes basados en las microalgas Oscillatoria sp. y Chlorella sorokiniana para sedimentar arcillas desde aguas residuales</t>
  </si>
  <si>
    <t>Luis Alberto Cisternas Arapio (Director); Mariella Odette Rivas Alvarez (Principal Researcher); Katiuska Huapaya  (PhD Thesis); Álvaro Ledezma (Undergraduate Thesis)</t>
  </si>
  <si>
    <t>Paloma Lara, Alexandra Salamanca</t>
  </si>
  <si>
    <t>01 Jul 2025, 11:57</t>
  </si>
  <si>
    <t>Diversidad de cianobacterias y microalgas para mejorar la calidad del agua recirculada en la industria minera</t>
  </si>
  <si>
    <t>Mariella Odette Rivas Alvarez (Principal Researcher); Katiuska Huapaya  (PhD Thesis); Álvaro Ledezma (Undergraduate Thesis); Jeferson Grisales (Undergraduate Thesis)</t>
  </si>
  <si>
    <t>Paloma Lara, David Jeison, Manuel Zapata</t>
  </si>
  <si>
    <t>01 Jul 2025, 11:59</t>
  </si>
  <si>
    <t>Mejoramiento de la calidad del agua mediante el uso de exopolisacáridos sintetizados por microalgas</t>
  </si>
  <si>
    <t>Mariella Odette Rivas Alvarez (Principal Researcher); Katiuska Huapaya  (PhD Thesis); Macarena Rojas (Undergraduate Thesis)</t>
  </si>
  <si>
    <t>Paloma Lara</t>
  </si>
  <si>
    <t>01 Jul 2025, 12:01</t>
  </si>
  <si>
    <t>IMPC 2024</t>
  </si>
  <si>
    <t>Assessment of depression methods of activated pyrite</t>
  </si>
  <si>
    <t>Luis Alberto Cisternas Arapio (Director); Yesica Botero (PhD Thesis); Ruth Salazar (Master Thesis)</t>
  </si>
  <si>
    <t>01 Jul 2025, 11:44</t>
  </si>
  <si>
    <t>Analysis and improvement of flotation circuits for polymetallic ores</t>
  </si>
  <si>
    <t>01 Jul 2025, 11:46</t>
  </si>
  <si>
    <t>Water Congress 2024</t>
  </si>
  <si>
    <t>Uso de floculantes de origen biológico para la eliminación de arcillas en aguas mineras recirculadas</t>
  </si>
  <si>
    <t>01 Jul 2025, 12:05</t>
  </si>
  <si>
    <t>Tailings 2024</t>
  </si>
  <si>
    <t>Effect of degree of turbidity and particle size on inclined element settler modelling</t>
  </si>
  <si>
    <t>Christian Felipe Ihle Bascuñán (Principal Researcher); Cristian Reyes (PhD Thesis)</t>
  </si>
  <si>
    <t>Cristóbal Arratia</t>
  </si>
  <si>
    <t>01 Jul 2025, 11:48</t>
  </si>
  <si>
    <t>ESCAPE 34 PSE 2024</t>
  </si>
  <si>
    <t>01 Jul 2025, 11:40</t>
  </si>
  <si>
    <t>ACT210030</t>
  </si>
  <si>
    <t>International Mineral Processing Congress</t>
  </si>
  <si>
    <t>A MODEL OF FROTH FLOTATION WITH DRAINAGE: SIMULATIONS AND COMPARISON WITH EXPERIMENTS</t>
  </si>
  <si>
    <t>Fernando Elías Betancourt Cerda (Director); Leopoldo Esteban Gutierrez Briones (Director); LINA MARCELA URIBE VÉLEZ (Principal Researcher); Felipe Andrés Arcos Gómez (PhD Thesis); Ginna Alejandra Jiménez Tobar  (PhD Thesis)</t>
  </si>
  <si>
    <t>RP1: Experimental validation and prediction tools; RP2: Mathematical Modelling; RP3: Nanoparticles as reagents in complex ores</t>
  </si>
  <si>
    <t>11 Jun 2025, 13:22</t>
  </si>
  <si>
    <t>ACT210038</t>
  </si>
  <si>
    <t>XVIII International Colloquium on Plant Ecophysiology</t>
  </si>
  <si>
    <t>Alpine vegetation; Climate warming; non-native plant invasion; plant functional traits</t>
  </si>
  <si>
    <t>LOHENGRIN ALEXIS CAVIERES GONZÁLEZ (Director); Patricia Lisette Sáez Delgado (Principal Researcher); Rodrigo Viveros (PhD Thesis)</t>
  </si>
  <si>
    <t>Alpine vegetation; Climate warming; plant functional traits</t>
  </si>
  <si>
    <t>XXX Reunión Anual de la Sociedad de Ecología</t>
  </si>
  <si>
    <t>Facilitación especie-específica de plantas en cojín y sus consecuencias funcionales en una comunidad de plantas altoandinas de los Andes de Chile central</t>
  </si>
  <si>
    <t>LOHENGRIN ALEXIS CAVIERES GONZÁLEZ (Director); Bemjamín Morong (Undergraduate Thesis)</t>
  </si>
  <si>
    <t>Alpine vegetation; non-native plant invasion; plant functional traits</t>
  </si>
  <si>
    <t>26 May 2025, 12:12</t>
  </si>
  <si>
    <t>Las comunidades vegetales mediterráneas divergen tras siete años de mega sequía inducida</t>
  </si>
  <si>
    <t>Elise Corine Van den Brink (Postdoctoral Fellow)</t>
  </si>
  <si>
    <t>Climate warming; non-native plant invasion; plant functional traits</t>
  </si>
  <si>
    <t>26 May 2025, 12:28</t>
  </si>
  <si>
    <t>Factores antrópicos y ambientales que influyen en la diversidad y singularidad (taxonómica, evolutiva y funcional) de la flora perenne en el hotspot de biodiversidad del norte de Chile (19-34°S)</t>
  </si>
  <si>
    <t>Paola Poch (Postdoctoral Fellow)</t>
  </si>
  <si>
    <t>26 May 2025, 12:30</t>
  </si>
  <si>
    <t>Efecto de la temperatura sobre la fotosíntesis de plantas de los Andes de Chile central.</t>
  </si>
  <si>
    <t>26 May 2025, 12:31</t>
  </si>
  <si>
    <t>Plantas alto-andinas en Chile: diversidad y vulnerabilidad a agentes de cambio global</t>
  </si>
  <si>
    <t>LOHENGRIN ALEXIS CAVIERES GONZÁLEZ (Director)</t>
  </si>
  <si>
    <t>26 May 2025, 12:37</t>
  </si>
  <si>
    <t>Respuestas fotosintéticas a la sequía en plantas de bofedal en Los Andes de Chile central: Nativas vs. Exóticas</t>
  </si>
  <si>
    <t>LOHENGRIN ALEXIS CAVIERES GONZÁLEZ (Director); María Ignacia Herrera (Undergraduate Thesis)</t>
  </si>
  <si>
    <t>26 May 2025, 12:38</t>
  </si>
  <si>
    <t>SCAR Open Science Conference 2024 “Antarctic Science: Crossroads for a New Hope”</t>
  </si>
  <si>
    <t xml:space="preserve">Uniqueness of the Photosynthetic and Hydraulic Ecophysiological Traits of Antarctic Vascular Plants </t>
  </si>
  <si>
    <t>LOHENGRIN ALEXIS CAVIERES GONZÁLEZ (Director); Leon Aloys Bravo Ramirez (Principal Researcher); Patricia Lisette Sáez Delgado (Principal Researcher); Jeroni Galmes (Other Center/Project Researcher); Valentina Vallejos (PhD Thesis); Pedro Flores (Master Thesis)</t>
  </si>
  <si>
    <t>Climate warming; plant functional traits; vascular antartic plants</t>
  </si>
  <si>
    <t>26 Jun 2025, 16:57</t>
  </si>
  <si>
    <t>Hydraulic and photosynthetic performance of Antarctic plants under successive freeze-thaw cycles</t>
  </si>
  <si>
    <t>Patricia Lisette Sáez Delgado (Principal Researcher); Constanza Ramírez (PhD Thesis); Valentina Vallejos (PhD Thesis)</t>
  </si>
  <si>
    <t>26 Jun 2025, 17:05</t>
  </si>
  <si>
    <t>Ecophysiological responses of Antarctic vascular plants to in situ and controlled laboratory warming conditions</t>
  </si>
  <si>
    <t>LOHENGRIN ALEXIS CAVIERES GONZÁLEZ (Director); Leon Aloys Bravo Ramirez (Principal Researcher); Patricia Lisette Sáez Delgado (Principal Researcher); Valentina Vallejos (PhD Thesis)</t>
  </si>
  <si>
    <t>26 Jun 2025, 17:09</t>
  </si>
  <si>
    <t>XX international botanical Congress</t>
  </si>
  <si>
    <t>The importance of facilitative interactions for the plant diversity of alpine plant community</t>
  </si>
  <si>
    <t>21 Jul 2024</t>
  </si>
  <si>
    <t>26 May 2025, 12:53</t>
  </si>
  <si>
    <t>World biodiversity forum 2024</t>
  </si>
  <si>
    <t>Change son plant species diversity after 15 yrs. In the andes of central Chile</t>
  </si>
  <si>
    <t>Alpine vegetation; Climate warming; non-native plant invasion</t>
  </si>
  <si>
    <t>26 May 2025, 15:35</t>
  </si>
  <si>
    <t>XVII International Colloquium on  Plant Ecophysiology</t>
  </si>
  <si>
    <t>Leaf hydraulic responds differentially between Antarctic vascular plant species to in situ environmental changes, but always in a coordinated way with photosynthesis</t>
  </si>
  <si>
    <t>LOHENGRIN ALEXIS CAVIERES GONZÁLEZ (Director); Leon Aloys Bravo Ramirez (Principal Researcher); Patricia Lisette Sáez Delgado (Principal Researcher); Jeroni Galmes (Other Center/Project Researcher); Constanza Ramírez (PhD Thesis); Valentina Vallejos (PhD Thesis)</t>
  </si>
  <si>
    <t>26 Jun 2025, 10:31</t>
  </si>
  <si>
    <t>Uniqueness of the Photosynthetic and Hydraulic Ecophysiological Traits of Antarctic Vascular Plants</t>
  </si>
  <si>
    <t>LOHENGRIN ALEXIS CAVIERES GONZÁLEZ (Director); Leon Aloys Bravo Ramirez (Principal Researcher); Patricia Lisette Sáez Delgado (Principal Researcher); Jeroni Galmes (Other Center/Project Researcher); Constanza Ramírez (PhD Thesis); Valentina Vallejos (PhD Thesis); Pedro Flores (Master Thesis)</t>
  </si>
  <si>
    <t>26 Jun 2025, 16:23</t>
  </si>
  <si>
    <t>Anatomical and biochemical evolutionary ancient traits of Araucaria araucana (Molina) K. Koch and their effects on carbon assimilation</t>
  </si>
  <si>
    <t>LOHENGRIN ALEXIS CAVIERES GONZÁLEZ (Director); Patricia Lisette Sáez Delgado (Principal Researcher); Jeroni Galmes (Other Center/Project Researcher); Constanza Ramírez (PhD Thesis); Valentina Vallejos (PhD Thesis)</t>
  </si>
  <si>
    <t>plant functional traits</t>
  </si>
  <si>
    <t>26 Jun 2025, 16:29</t>
  </si>
  <si>
    <t>How “cojines” do Azorella species survive in the Andes Altiplano?</t>
  </si>
  <si>
    <t>LOHENGRIN ALEXIS CAVIERES GONZÁLEZ (Director); Leon Aloys Bravo Ramirez (Principal Researcher); Patricia Lisette Sáez Delgado (Principal Researcher); Jeroni Galmes (Other Center/Project Researcher); Rodrigo Viveros (PhD Thesis)</t>
  </si>
  <si>
    <t>Alpine vegetation; plant functional traits</t>
  </si>
  <si>
    <t>26 Jun 2025, 16:33</t>
  </si>
  <si>
    <t>Cambia todo cambia: Ecophysiological changes of a high-Andean herb species along an elevational gradient in the central Chile Andes</t>
  </si>
  <si>
    <t>LOHENGRIN ALEXIS CAVIERES GONZÁLEZ (Director); Leon Aloys Bravo Ramirez (Principal Researcher)</t>
  </si>
  <si>
    <t>26 Jun 2025, 16:39</t>
  </si>
  <si>
    <t>Facilitación especie-específica de plantas en cojín y sus consecuencias funcionales en una comunidad de plantas altoandinas de los Andes de Chile central.</t>
  </si>
  <si>
    <t>ACT210044</t>
  </si>
  <si>
    <t>Antimicrobial resistance and pathogenic potential of Antarctic soil bacterial communities</t>
  </si>
  <si>
    <t>Milko Alberto Jorquera Tapia (Director); Jacquelinne Jovanka Acuña Sobarzo (Principal Researcher); Veronica Cambiazo (Principal Researcher); Francisco Pablo Chávez Espinosa (Principal Researcher); Andrés Esteban Marcoleta Caldera (Principal Researcher); Alexis Ignacio Gaete Silva (Postdoctoral Fellow); Ian Pérez Ramírez (PhD Thesis); José Ignacio Coche Miranda (PhD Thesis); Patricio Andrés Arros Muñoz (PhD Thesis)</t>
  </si>
  <si>
    <t>Natural resistome of Antarctic soils; Virulence factors encoded in Antarctic soil bacteria</t>
  </si>
  <si>
    <t>05 Feb 2025, 11:44</t>
  </si>
  <si>
    <t>XI Open Science Conference - SCAR 2024</t>
  </si>
  <si>
    <t>Structure of culturable bacterial communities from surrounding soils of the Ecology Glacier (King George Island) and the patterns of antibiotic resistance and virulence of isolated strains</t>
  </si>
  <si>
    <t>Milko Alberto Jorquera Tapia (Director); Jacquelinne Jovanka Acuña Sobarzo (Principal Researcher); Veronica Cambiazo (Principal Researcher); Francisco Pablo Chávez Espinosa (Principal Researcher); Andrés Esteban Marcoleta Caldera (Principal Researcher); Marco Antonio Campos Burgos (Postdoctoral Fellow)</t>
  </si>
  <si>
    <t>Microbial Ecology; Natural resistome of Antarctic soils; Plant Physiology</t>
  </si>
  <si>
    <t>05 Feb 2025, 11:13</t>
  </si>
  <si>
    <t>Microbial diversity, resistome, and virulome in high-latitude soils from Union Glacier, Antarctica</t>
  </si>
  <si>
    <t>Milko Alberto Jorquera Tapia (Director); Jacquelinne Jovanka Acuña Sobarzo (Principal Researcher); Veronica Cambiazo (Principal Researcher); Francisco Pablo Chávez Espinosa (Principal Researcher); Andrés Esteban Marcoleta Caldera (Principal Researcher); Alexis Ignacio Gaete Silva (Postdoctoral Fellow); Ian Pérez Ramírez (PhD Thesis); José Ignacio Coche Miranda (PhD Thesis); Patricio Andrés Arros Muñoz (PhD Thesis); Constanza Belen Venegas Anticoi (Undergraduate Thesis); Gabriela Andreina Carrasco Ruiz (Undergraduate Thesis); Hugo Alejandro González Ibarra (Undergraduate Thesis)</t>
  </si>
  <si>
    <t>Microbial Ecology; Natural resistome of Antarctic soils; Virulence factors encoded in Antarctic soil bacteria</t>
  </si>
  <si>
    <t>05 Feb 2025, 11:18</t>
  </si>
  <si>
    <t>Deciphering The Microbiota Of Cryptopygus Antarcticus And Its Relationship To The Bacterial Community Of The Surrounding Soil</t>
  </si>
  <si>
    <t>Milko Alberto Jorquera Tapia (Director); Jacquelinne Jovanka Acuña Sobarzo (Principal Researcher); Veronica Cambiazo (Principal Researcher); Francisco Pablo Chávez Espinosa (Principal Researcher); Andrés Esteban Marcoleta Caldera (Principal Researcher); Alexis Ignacio Gaete Silva (Postdoctoral Fellow)</t>
  </si>
  <si>
    <t>Microbial Ecology; Soil Microbiology</t>
  </si>
  <si>
    <t>05 Feb 2025, 11:22</t>
  </si>
  <si>
    <t>Exploring Pathogenic Traits Of Antarctic Soil Bacteria Through Culturomics And Virulence Agars Usingdictyosteliumdiscoideum</t>
  </si>
  <si>
    <t>Milko Alberto Jorquera Tapia (Director); Jacquelinne Jovanka Acuña Sobarzo (Principal Researcher); Veronica Cambiazo (Principal Researcher); Francisco Pablo Chávez Espinosa (Principal Researcher); Andrés Esteban Marcoleta Caldera (Principal Researcher); Ian Pérez Ramírez (PhD Thesis); Gabriela Andreina Carrasco Ruiz (Undergraduate Thesis)</t>
  </si>
  <si>
    <t>05 Feb 2025, 11:28</t>
  </si>
  <si>
    <t>Microbial Ecology</t>
  </si>
  <si>
    <t>ACT210046</t>
  </si>
  <si>
    <t>EMS Annual Meeting</t>
  </si>
  <si>
    <t>Estimation of cloudiness in different areas of Antarctica from broadband radiation measurements</t>
  </si>
  <si>
    <t>Raul R. Cordero (Director)</t>
  </si>
  <si>
    <t xml:space="preserve">1.	Frangipani, C., Ahn, S. H., Choi, T., Cox C., Di Carlo P., Gulisano, A. M., </t>
  </si>
  <si>
    <t>Climate change</t>
  </si>
  <si>
    <t>22 Apr 2025, 16:52</t>
  </si>
  <si>
    <t xml:space="preserve">11th SCAR Open Science Conference </t>
  </si>
  <si>
    <t>Characterization of the thermodynamic phase of clouds over King George Island with a GA- MiniMPL Lidar.</t>
  </si>
  <si>
    <t>Fernanda Cabello</t>
  </si>
  <si>
    <t>21 Apr 2025, 11:29</t>
  </si>
  <si>
    <t>11th SCAR Open Science Conference</t>
  </si>
  <si>
    <t>Study of atmospheric radiation and its relation to climate change</t>
  </si>
  <si>
    <t>Katherine Bastidas</t>
  </si>
  <si>
    <t>21 Apr 2025, 11:30</t>
  </si>
  <si>
    <t>El glaciar cubierto Pirámide: un estudio integrado</t>
  </si>
  <si>
    <t>Thomas Loriaux (Postdoctoral Fellow)</t>
  </si>
  <si>
    <t>Jorge Berkhoff, David Farias-Barahona</t>
  </si>
  <si>
    <t>21 Apr 2025, 11:35</t>
  </si>
  <si>
    <t>Evaluación de herramientas de clasificación basada en objetos aplicado a lagunas supraglaciares y paredes de hielo</t>
  </si>
  <si>
    <t>Gino Casassa (Other Center/Project Researcher); Thomas Loriaux (Postdoctoral Fellow)</t>
  </si>
  <si>
    <t>Diego Gamonal, Iñigo Irarrazaval</t>
  </si>
  <si>
    <t>21 Apr 2025, 11:37</t>
  </si>
  <si>
    <t>EGU 2024</t>
  </si>
  <si>
    <t>The vertical structure of atmospheric rivers in Antarctica in the present-day and future</t>
  </si>
  <si>
    <t>Kolbe, Marlen ; Bintanja, Richard ; van der Linden, Eveline C.</t>
  </si>
  <si>
    <t>21 Apr 2025, 11:13</t>
  </si>
  <si>
    <t>EGU2024</t>
  </si>
  <si>
    <t>Monitoring the physical processes driving the mass loss of Tapado Glacier, Desert Andes of Chile</t>
  </si>
  <si>
    <t>Shelley MacDonell (Principal Researcher); Gino Casassa (Other Center/Project Researcher)</t>
  </si>
  <si>
    <t>Ayala, Álvaro ; Robson, Benjamin ; Navarro, Gonzalo ; Schaffer, Nicole ; Segovia, Alexis ; Petlicki, Michal ; Kinnard, Christophe ; Schauwecker, Simone ; Vivero, Sebastián. ; Lima, Augusto</t>
  </si>
  <si>
    <t>21 Apr 2025, 11:16</t>
  </si>
  <si>
    <t>Impact of Internal Structure on Water Routing in a Semiarid Andean Glacier</t>
  </si>
  <si>
    <t>Shelley MacDonell (Principal Researcher)</t>
  </si>
  <si>
    <t>Navarro, Gonzalo ; MacDonell, Shelley ; Valois, Rémi ; de Pasquale, Giulia ; Robson, Benjamin</t>
  </si>
  <si>
    <t>21 Apr 2025, 11:18</t>
  </si>
  <si>
    <t>AMS 104th Annual Meeting</t>
  </si>
  <si>
    <t>Evaluating the Performance of the Antarctic Mesoscale Prediction System (AMPS) in Forecasting Extreme Weather Events in the Antarctic Peninsula</t>
  </si>
  <si>
    <t>Deniz Bozkurt, Jorge Carrasco</t>
  </si>
  <si>
    <t>28 Jan 2024</t>
  </si>
  <si>
    <t>01 Feb 2024</t>
  </si>
  <si>
    <t>21 Apr 2025, 11:25</t>
  </si>
  <si>
    <t>ACT210050</t>
  </si>
  <si>
    <t>XV LATIN-AMERICAN CONGRESS ON ELECTRICITY GENERATION AND TRANSMISSION - CLAGTEE 2024</t>
  </si>
  <si>
    <t>Platform for the Optimization of Distributed Energy and Simulation of the Green Hydrogen Value Chain, Chile A Case Study</t>
  </si>
  <si>
    <t>Yunesky Masip Macia (Director)</t>
  </si>
  <si>
    <t>Geographic big data applications and circular economy; Hydrogen value chain applications; Political and regulatory framework; Renewable energy systems modelling</t>
  </si>
  <si>
    <t>04 Dec 2024, 11:04</t>
  </si>
  <si>
    <t>SEMINARIO DE FORMACIÓN Y CAPACITACIÓN EN SUSTENTABILIDAD MINERA CON ENFOQUE EN RECURSOS HÍDRICOS Y ENERGÍA</t>
  </si>
  <si>
    <t>Integración de Energías Renovables en la Minería Sustentable: Oportunidades y Desafíos para Nuevos Vectores Energéticos</t>
  </si>
  <si>
    <t>Hydrogen value chain applications; Renewable energy systems modelling</t>
  </si>
  <si>
    <t>20 Dec 2024, 13:10</t>
  </si>
  <si>
    <t>CIIA 2024 · International Congress on Agroindustrial Engineering Conference</t>
  </si>
  <si>
    <t>The possibility of using green hydrogen solutions in a concrete production case study: an analysis of energy and cost perspectives</t>
  </si>
  <si>
    <t>Roberto Sebastian Carmona Campos, Jacqueline Pedrera Yanes</t>
  </si>
  <si>
    <t>Geographic big data applications and circular economy; Hydrogen value chain applications; Renewable energy systems modelling</t>
  </si>
  <si>
    <t>04 Dec 2024, 11:00</t>
  </si>
  <si>
    <t>XVI Congreso Iberoamericano de Ingeniería Mecánica</t>
  </si>
  <si>
    <t>Evaluación de la viabilidad del uso de Hidrógeno Verde en la producción de hormigón - Un estudio de caso en el sur de Chile.</t>
  </si>
  <si>
    <t>Roberto Sebastian Carmona Campos</t>
  </si>
  <si>
    <t>03 Dec 2024, 15:26</t>
  </si>
  <si>
    <t>Optimizando tecnologías de energía distribuida y simulando la cadena de valor del hidrógeno verde en chile: una plataforma en línea</t>
  </si>
  <si>
    <t>03 Dec 2024, 15:29</t>
  </si>
  <si>
    <t>Congreso Nacional de Estudiantes de Ingeniería Mecánica CONEIM 2024</t>
  </si>
  <si>
    <t xml:space="preserve">Análisis de un sistema captador de CO2 para una planta de combustibles sintéticos en una empresa papelera </t>
  </si>
  <si>
    <t>Patricio Alejandro Vidal Fernandez  (Undergraduate Thesis)</t>
  </si>
  <si>
    <t>Environmental impact and climate change mitigation; Hydrogen value chain applications; Renewable energy systems modelling</t>
  </si>
  <si>
    <t>20 Dec 2024, 12:56</t>
  </si>
  <si>
    <t>5° Congreso de Energías Sustentables (CES),</t>
  </si>
  <si>
    <t>Evaluación mutidimeincial de la cadena de valor del hidrógeno verde en Chile</t>
  </si>
  <si>
    <t>Daniel Osvaldo Serafini (Principal Researcher)</t>
  </si>
  <si>
    <t>Hydrogen value chain applications; Political and regulatory framework</t>
  </si>
  <si>
    <t>03 Jan 2025, 13:29</t>
  </si>
  <si>
    <t>•	Seminario S4S Café: Almacenamiento de energía</t>
  </si>
  <si>
    <t>Este evento ofreció una serie de presentaciones y debates sobre los desafíos y avances en el almacenamiento de energía renovable, los temas abarcados incluyeron el almacenamiento subterráneo de hidrógeno a gran escala, presentado por Suzanne Hangx, y el u</t>
  </si>
  <si>
    <t xml:space="preserve">ECOS 2024 </t>
  </si>
  <si>
    <t>7th International Conference on Efficiency, Cost, Optimization, Simulation and Environmental Impact of Energy Systems. Lugar: Rhodes, Greece.</t>
  </si>
  <si>
    <t>14 Aug 2024, 10:01</t>
  </si>
  <si>
    <t>Hidrógeno verde desde la PUCV</t>
  </si>
  <si>
    <t>Propuestas de hidrógeno verde desde la PUCV en la industria local</t>
  </si>
  <si>
    <t>20 Dec 2024, 13:30</t>
  </si>
  <si>
    <t>4th Latin American Conference on Sustainable Development of Energy, Water and Environment Systems – LA SDEWES</t>
  </si>
  <si>
    <t>Multi-Criteria Location Identification for Green Hydrogen Generation in Fiscal Lands of Chile".</t>
  </si>
  <si>
    <t>Yunesky Masip Macia (Director); René André Garrido Lazo (Principal Researcher); Marcelo Andres Mena Carrasco (Principal Researcher); Angel Alexander Rodríguez Soto (Principal Researcher); Daniel Osvaldo Serafini (Principal Researcher); Alejandro Fernandez Gil (Postdoctoral Fellow); Marco Alfonso San Martín Hormazábal  (Postdoctoral Fellow)</t>
  </si>
  <si>
    <t>14 Jan 2024</t>
  </si>
  <si>
    <t>01 Mar 2024, 13:20</t>
  </si>
  <si>
    <t>ACT210052</t>
  </si>
  <si>
    <t>Reunión Anual Conjunta 2024</t>
  </si>
  <si>
    <t>Amistades Peligrosas: La bacteria fitoestimulante Paraburkholderia phytofirmans PsJN disminuye la eficiencia de uso de agua de Arabidopsis thaliana</t>
  </si>
  <si>
    <t>Thomas Warwick Ledger Hermosilla (Principal Researcher); Catalina Miranda Caballero (Master Thesis); Nicole Renlund Facuse (Master Thesis)</t>
  </si>
  <si>
    <t>Physiological response to abiotic stress</t>
  </si>
  <si>
    <t>12 May 2025, 19:29</t>
  </si>
  <si>
    <t>Estudio del papel del c-di-GMP en la producción de celulosa por parte de Komagataeibacter xylinus ATCC23768 y su posible influencia en la transición de la bacteria hacia un estilo de vida planctónico</t>
  </si>
  <si>
    <t>Thomas Warwick Ledger Hermosilla (Principal Researcher)</t>
  </si>
  <si>
    <t>12 May 2025, 19:31</t>
  </si>
  <si>
    <t>Caracterización de la ruta de producción del compuesto volátil dimetil disulfuro (DMDS) por parte de Paraburkholderia phytofirmans PsJN y su efecto sobre Arabidopsis thaliana</t>
  </si>
  <si>
    <t>12 May 2025, 19:32</t>
  </si>
  <si>
    <t>Efectos de la transposición de is630 como mecanismo de mutación espontánea de la bacteria komagataeibacter xylinus atcc 23768 y su impacto en la producción de celulosa</t>
  </si>
  <si>
    <t>12 May 2025, 19:33</t>
  </si>
  <si>
    <t>ICON 2024 - 50th Annual Conference of the IEEE Industrial Electronics Society</t>
  </si>
  <si>
    <t>Deep Adaptive Linear Algebra-Based Control for a Three-Phase Voltage Source Inverter</t>
  </si>
  <si>
    <t>ALVARO JAVIER PRADO ROMO (Adjunct Researcher)</t>
  </si>
  <si>
    <t>Monitoring stressed forests by remote sensing</t>
  </si>
  <si>
    <t>12 May 2025, 19:06</t>
  </si>
  <si>
    <t>IECON 2024 – 50th Annual Conference of the IEEE Industrial Electronics Society</t>
  </si>
  <si>
    <t>On the assessment of reinforcement learning techniques for path planning of skid-steer mobile robots subject to terrain constraints</t>
  </si>
  <si>
    <t>11 Dec 2024, 12:54</t>
  </si>
  <si>
    <t>XXII Congreso Chileno de Mecánica Computacional</t>
  </si>
  <si>
    <t>Modelo térmico del calentamiento radiactivo en medio poroso vegetal cilíndrico</t>
  </si>
  <si>
    <t>Rodrigo Andrés Demarco Bull (Director); Pedro Reszka Cabello (Principal Researcher); Javier Gallardo Gonzalez (Master Thesis)</t>
  </si>
  <si>
    <t>Flammability assessment of stressed foliar fuels</t>
  </si>
  <si>
    <t>12 May 2025, 19:09</t>
  </si>
  <si>
    <t>12th IEEE Andescon, ANDESCON 2024</t>
  </si>
  <si>
    <t>Deep reinforcement learning via nonlinear model predictive control for thermal process with variable longtime delay</t>
  </si>
  <si>
    <t>12 May 2025, 19:14</t>
  </si>
  <si>
    <t>A double deep Q-learning network-based path planning approach for autonomous mobile robots in mining environments</t>
  </si>
  <si>
    <t>12 May 2025, 19:16</t>
  </si>
  <si>
    <t>40th International Symposium on Combustion – Emphasizing Energy Transition.</t>
  </si>
  <si>
    <t>Effect of moisture content on the spotting ignition of live wildland fuels</t>
  </si>
  <si>
    <t>Rodrigo Andrés Demarco Bull (Director); Pedro Reszka Cabello (Principal Researcher); Andres Hernan Fuentes Castillo (Adjunct Researcher); Francisco Valenzuela Acevedo (Postdoctoral Fellow); Gonzalo Felipe Severino López (PhD Thesis); Javier Gallardo Gonzalez (Master Thesis); Mathias Reveco Rojas (Master Thesis); Carlos Alvarez Añasco  (Undergraduate Thesis)</t>
  </si>
  <si>
    <t>11 Dec 2024, 12:43</t>
  </si>
  <si>
    <t>Water Content Classification on Leaves Based on Multi-Spectral Imagery and Machine Learning Techniques for Wildfire Prevention</t>
  </si>
  <si>
    <t>Rodrigo Andrés Demarco Bull (Director); Fernando Auat Cheein (Principal Researcher); Andres Hernan Fuentes Castillo (Adjunct Researcher); Juan Sebastián Estrada Cruz (PhD Thesis)</t>
  </si>
  <si>
    <t>Zañartu, Matias</t>
  </si>
  <si>
    <t>27 Mar 2024</t>
  </si>
  <si>
    <t>11 Dec 2024, 12:25</t>
  </si>
  <si>
    <t>ACT210053</t>
  </si>
  <si>
    <t>Summer School on Computacional Intelligence (EVIC 2024)</t>
  </si>
  <si>
    <t>A simulator for the validation of tractography-based cortical surface parcellations</t>
  </si>
  <si>
    <t>Elida Poo, Joaquin Molina, Cecilia Hernández</t>
  </si>
  <si>
    <t>WP1 Modelling</t>
  </si>
  <si>
    <t>30 May 2025, 00:03</t>
  </si>
  <si>
    <t>Metastability of simulated brain oscillations at different resolutions of a hierarchical multiscale brain parcellation</t>
  </si>
  <si>
    <t>WAEL EL-DEREDY (Director); Pamela Beatriz Guevara Alvez (Principal Researcher); Mónica Otero Ferreiro (Adjunct Researcher)</t>
  </si>
  <si>
    <t>Yarelis Prieto, Joaquín Molina, Jean-Francois Mangin, Cecilia Hernández</t>
  </si>
  <si>
    <t>30 May 2025, 00:05</t>
  </si>
  <si>
    <t>II Congreso Internacional de Investigación Interdisciplinaria, Ingeniería y Empleabilidad</t>
  </si>
  <si>
    <t>EEGraSP: Biblioteca para el procesamiento del electroencefalograma usando procesamiento de señales sobre grafos</t>
  </si>
  <si>
    <t>Alejandro Jose Weinstein Oppenheimer (Principal Researcher)</t>
  </si>
  <si>
    <t>Julio Rodiño, Lucas Cortés, Camilo Jara</t>
  </si>
  <si>
    <t>SciPy 2024</t>
  </si>
  <si>
    <t>PyGSP2 A Python Package for Graph Signal Processing</t>
  </si>
  <si>
    <t>14 Jul 2024</t>
  </si>
  <si>
    <t>29 May 2025, 23:59</t>
  </si>
  <si>
    <t>Claudia Macarena Rojas Alvarado (Adjunct Researcher)</t>
  </si>
  <si>
    <t>RAFAEL ALEJANDRO RUBILAR PONS (Principal Researcher)</t>
  </si>
  <si>
    <t>ACT210068</t>
  </si>
  <si>
    <t>Curso Internacional Tendencia emergentes en Nanotecnologia y Nanomedicina</t>
  </si>
  <si>
    <t>Nanoprticulas de oro: Enfoques terapeuticos para Alzheimer y enfermedades crónicas</t>
  </si>
  <si>
    <t>Marcelo Javier Kogan (Adjunct Researcher)</t>
  </si>
  <si>
    <t>Ana Riveros</t>
  </si>
  <si>
    <t>Development of nanomaterials for drug delivery, diagnosis and therapy of chronic diseases</t>
  </si>
  <si>
    <t>27 Dec 2024, 12:51</t>
  </si>
  <si>
    <t xml:space="preserve">Workshop Fronteras en Nanobiotecnología IV, Centro Atómico Constituyentes de la CNEA </t>
  </si>
  <si>
    <t>From the nanomaterials fabrication to the development of strategies for therapy and diagnosis of chronic diseases.</t>
  </si>
  <si>
    <t>27 Dec 2024, 11:08</t>
  </si>
  <si>
    <t>Simposio Latinoamericano de Tecnología de Cultivos Celulares (X SLATCC)</t>
  </si>
  <si>
    <t>Evaluation Of Different Cellular Matrices As Alternatives To Matrigel For The Cultivation Of Colorectal Cancer Organoids</t>
  </si>
  <si>
    <t>Jorge Roberto Toledo Alonso (Principal Researcher); CARLA VILLAVICENCIO (PhD Thesis)</t>
  </si>
  <si>
    <t>Felipe Sandoval</t>
  </si>
  <si>
    <t>Development of immunotherapy applied to diseases</t>
  </si>
  <si>
    <t>20 Dec 2024, 19:02</t>
  </si>
  <si>
    <t>Unraveling the mechanisms of antibody-dependent cellular cytotoxicity (ADCC) mediated by a fully human IgG1 antibody targeting the MICA protein</t>
  </si>
  <si>
    <t>Claudia Victoria Altamirano GOMEZ (Director); MARIA CARMEN MOLINA SAMPAYO (Principal Researcher); Marcela Alejandra Hermoso Ramello (Adjunct Researcher); Fabiola González (Postdoctoral Fellow); KAREN TOLEDO  (Postdoctoral Fellow)</t>
  </si>
  <si>
    <t xml:space="preserve">Cancer immunology, recombinant therapeutic HumAbs </t>
  </si>
  <si>
    <t>23 Dec 2024, 21:47</t>
  </si>
  <si>
    <t>Analysis of macrophage-mediated phagocytosis of tumor cells for functional evaluation of a novel fully human anti-MICA antibody</t>
  </si>
  <si>
    <t>MARIA CARMEN MOLINA SAMPAYO (Principal Researcher); Fabiola González (Postdoctoral Fellow); KAREN TOLEDO  (Postdoctoral Fellow); Maria José Garrido (Undergraduate Thesis); Mauricio Orlando González Olivares (Undergraduate Thesis)</t>
  </si>
  <si>
    <t>Lucas Gutierrez, Camila Jimenez, Javiera Landaeta</t>
  </si>
  <si>
    <t>26 Dec 2024, 08:58</t>
  </si>
  <si>
    <t>Binding capacity of a fully human anti-MICA antibody to the MICA protein in gastric cell lines</t>
  </si>
  <si>
    <t>Claudia Victoria Altamirano GOMEZ (Director); MARIA CARMEN MOLINA SAMPAYO (Principal Researcher); Fabiola González (Postdoctoral Fellow); KAREN TOLEDO  (Postdoctoral Fellow); IVO CAMPOS (PhD Thesis); Nicolás Fehring (Master Thesis); Douglas Matthies (Undergraduate Thesis); Maria José Garrido (Undergraduate Thesis)</t>
  </si>
  <si>
    <t>Yuneisy Guerra</t>
  </si>
  <si>
    <t>26 Dec 2024, 09:02</t>
  </si>
  <si>
    <t>Optimization of Expression, Refolding and Storage Conditions of Single-Chain Variable Fragments in Escherichia coli</t>
  </si>
  <si>
    <t>MARIA CARMEN MOLINA SAMPAYO (Principal Researcher); KAREN TOLEDO  (Postdoctoral Fellow); Gonzalo Vásquez (PhD Thesis); Nicolás Fehring (Master Thesis); Douglas Matthies (Undergraduate Thesis); Mauricio Orlando González Olivares (Undergraduate Thesis)</t>
  </si>
  <si>
    <t>Nicolas Cristi, Camila Jimenez, Javiera Landaeta</t>
  </si>
  <si>
    <t xml:space="preserve">Development and research of  biotechnological products and processes </t>
  </si>
  <si>
    <t>26 Dec 2024, 09:08</t>
  </si>
  <si>
    <t>Thermo stability analysis of monoclonal antibodies</t>
  </si>
  <si>
    <t>Claudia Victoria Altamirano GOMEZ (Director); MARIA CARMEN MOLINA SAMPAYO (Principal Researcher); Marcela Alejandra Hermoso Ramello (Adjunct Researcher); Fabiola González (Postdoctoral Fellow); KAREN TOLEDO  (Postdoctoral Fellow); Nicolás Fehring (Master Thesis); Juan Paulo Pinto (Undergraduate Thesis); Maria José Garrido (Undergraduate Thesis); Mauricio Orlando González Olivares (Undergraduate Thesis)</t>
  </si>
  <si>
    <t>26 Dec 2024, 09:21</t>
  </si>
  <si>
    <t>Development and characterization of a fully human monoclonal antibody targeting MICA for cancer immunotherapy.</t>
  </si>
  <si>
    <t>MARIA CARMEN MOLINA SAMPAYO (Principal Researcher); Fabiola González (Postdoctoral Fellow); KAREN TOLEDO  (Postdoctoral Fellow); José Alejandro Rodriguez  (PhD Thesis); Nicolás Fehring (Master Thesis); Douglas Matthies (Undergraduate Thesis); Maria José Garrido (Undergraduate Thesis)</t>
  </si>
  <si>
    <t>26 Dec 2024, 09:28</t>
  </si>
  <si>
    <t>Development of a Fully Human Antibody from an scFv Targeting the sST2 Protein: A Therapeutic Approach Against Ulcerative Colitis</t>
  </si>
  <si>
    <t>Claudia Victoria Altamirano GOMEZ (Director); MARIA CARMEN MOLINA SAMPAYO (Principal Researcher); Gerald Amílcar Zapata Torres (Principal Researcher); Marcela Alejandra Hermoso Ramello (Adjunct Researcher); KAREN TOLEDO  (Postdoctoral Fellow); Gonzalo Vásquez (PhD Thesis); PEDRO NOVOA (PhD Thesis); Douglas Matthies (Undergraduate Thesis)</t>
  </si>
  <si>
    <t>Karen Dubois, Marjorie de la Fuente,  Glauben Landskron, Rodrigo Quera</t>
  </si>
  <si>
    <t>26 Dec 2024, 09:33</t>
  </si>
  <si>
    <t xml:space="preserve"> Development of a Gold Nanoparticle-Based Nanosystem for Detection of Soluble ST2 in Ulcerative Colitis</t>
  </si>
  <si>
    <t>MARIA CARMEN MOLINA SAMPAYO (Principal Researcher); Marcela Alejandra Hermoso Ramello (Adjunct Researcher); Marcelo Javier Kogan (Adjunct Researcher); IVO CAMPOS (PhD Thesis)</t>
  </si>
  <si>
    <t>26 Dec 2024, 18:51</t>
  </si>
  <si>
    <t>Rational Design and Experimental Validation of Enhanced Affinity Antibodies Targeting MICA and sST2</t>
  </si>
  <si>
    <t>MARIA CARMEN MOLINA SAMPAYO (Principal Researcher); Gerald Amílcar Zapata Torres (Principal Researcher); Marcela Alejandra Hermoso Ramello (Adjunct Researcher); Fabiola González (Postdoctoral Fellow); KAREN TOLEDO  (Postdoctoral Fellow); Nicolás Fehring (Master Thesis); Douglas Matthies (Undergraduate Thesis); Maria José Garrido (Undergraduate Thesis); Mauricio Orlando González Olivares (Undergraduate Thesis)</t>
  </si>
  <si>
    <t>27 Dec 2024, 12:55</t>
  </si>
  <si>
    <t>DEVELOPMENT OF A STABLE CELL LINE PRODUCER OF A FULLY HUMAN ANTIBODY USING THE EXPICHO-S SYSTEM</t>
  </si>
  <si>
    <t>Claudia Victoria Altamirano GOMEZ (Director); MARIA CARMEN MOLINA SAMPAYO (Principal Researcher); KAREN TOLEDO  (Postdoctoral Fellow); José Alejandro Rodriguez  (PhD Thesis); Maria José Garrido (Undergraduate Thesis)</t>
  </si>
  <si>
    <t>Sebastián Vergara</t>
  </si>
  <si>
    <t>06 Jan 2025, 11:14</t>
  </si>
  <si>
    <t>Impact of glycosylation precursors supplementation on quality attributes of an innovative anti-sST2 IgG produced in CHO cells</t>
  </si>
  <si>
    <t>Claudia Victoria Altamirano GOMEZ (Director); Julio Berrios Araya (Director); Marcela Alejandra Hermoso Ramello (Adjunct Researcher); JAVIER BRAVO (PhD Thesis)</t>
  </si>
  <si>
    <t>06 Jan 2025, 11:21</t>
  </si>
  <si>
    <t>CELLULAR BIOTECHNOLOGY STRATEGIES TO ENHANCE BOVINE FOLLICLE STIMULATING HORMONE PRODUCTION IN CHINESE HAMSTER OVARY CELLS</t>
  </si>
  <si>
    <t>Claudia Victoria Altamirano GOMEZ (Director); Jorge Roberto Toledo Alonso (Principal Researcher); Mauricio Claudio Vergara Castro (Postdoctoral Fellow); YESENIA LATORRE (Postdoctoral Fellow); Constanza Nuñez (PhD Thesis)</t>
  </si>
  <si>
    <t>Daniela Araya, Constanza Collarte, Camila Aros, Rita Cerro</t>
  </si>
  <si>
    <t>06 Jan 2025, 11:29</t>
  </si>
  <si>
    <t>IMPACT OF GALACTOSE/LACTATE SUPPLEMENTATION T CELLS DIFFERENTIATION, PROLIFERATION AND THERAPEUTIC POTENTIAL</t>
  </si>
  <si>
    <t>Claudia Victoria Altamirano GOMEZ (Director); Mauricio Claudio Vergara Castro (Postdoctoral Fellow)</t>
  </si>
  <si>
    <t>Victor Cerpa, Paloma Fuentes, Charlotte Hill, Maroun Kloury</t>
  </si>
  <si>
    <t>06 Jan 2025, 11:33</t>
  </si>
  <si>
    <t>STABLE C-MYC EXPRESSION CONTROLS MAMMALIAN TARGET OF RAPAMYCINPATHWAY IN CHINESE HAMSTER OVARY CELLS PRODUCER OF RECOMBINANT PROTEIN</t>
  </si>
  <si>
    <t>Claudia Victoria Altamirano GOMEZ (Director); Constanza Nuñez (PhD Thesis)</t>
  </si>
  <si>
    <t>Sebastian Vergara, Constanza Collarte, Ana María Vega</t>
  </si>
  <si>
    <t>06 Jan 2025, 11:36</t>
  </si>
  <si>
    <t>GALACTOSE/LACTATE CONSUMPTION IMPROVE SPECIFIC rEPO PRODUCTIVITY IN PERFUSION CULTURE OF C-MYC OVEREXPRESSOR CHO CELLS</t>
  </si>
  <si>
    <t>Claudia Victoria Altamirano GOMEZ (Director); Adriana Valdez Cruz (Other Center/Project Researcher); Mauricio Claudio Vergara Castro (Postdoctoral Fellow); YESENIA LATORRE (Postdoctoral Fellow); Constanza Nuñez (PhD Thesis); Oscar Gatica (PhD Thesis)</t>
  </si>
  <si>
    <t>Sebastián Vergara, Mauro Torres, Constanza Collarte</t>
  </si>
  <si>
    <t>06 Jan 2025, 11:43</t>
  </si>
  <si>
    <t>ENHANCING MONOCLONAL ANTIBODY YIELD IN CHO CELLS FOR GASTRIC CANCER: ASSESSING RATIOS OF GLOBAL REGULATORS</t>
  </si>
  <si>
    <t>Claudia Victoria Altamirano GOMEZ (Director); MARIA CARMEN MOLINA SAMPAYO (Principal Researcher); Carla Gutierrez (Postdoctoral Fellow); KAREN TOLEDO  (Postdoctoral Fellow); YESENIA LATORRE (Postdoctoral Fellow); José Alejandro Rodriguez  (PhD Thesis)</t>
  </si>
  <si>
    <t>Isis Araya</t>
  </si>
  <si>
    <t>06 Jan 2025, 11:45</t>
  </si>
  <si>
    <t>28th MEETING of EUROPEAN SOCIETY FOR ANIMAL CELL TECHNOLOGY</t>
  </si>
  <si>
    <t>Improving Monoclonal Antibody Production in CHO Cells for Gastric Cancer: Assessing Promoters and Vector Designs</t>
  </si>
  <si>
    <t>Claudia Victoria Altamirano GOMEZ (Director); MARIA CARMEN MOLINA SAMPAYO (Principal Researcher); Carla Gutierrez (Postdoctoral Fellow); YESENIA LATORRE (Postdoctoral Fellow)</t>
  </si>
  <si>
    <t>06 Jan 2025, 11:48</t>
  </si>
  <si>
    <t>XIII NanoAndes International  School</t>
  </si>
  <si>
    <t>Nanotechnology and Inmunotherapy</t>
  </si>
  <si>
    <t>27 Dec 2024, 12:47</t>
  </si>
  <si>
    <t>XLV Congreso Anual de Farmacología</t>
  </si>
  <si>
    <t>Antitumor mechanisms induced by a novel fully human antibody targeting the MICA protein</t>
  </si>
  <si>
    <t>Claudia Victoria Altamirano GOMEZ (Director); MARIA CARMEN MOLINA SAMPAYO (Principal Researcher); KAREN TOLEDO  (Postdoctoral Fellow); Maria José Garrido (Undergraduate Thesis)</t>
  </si>
  <si>
    <t>23 Dec 2024, 21:36</t>
  </si>
  <si>
    <t>Development of Anti-MICA Functionalized Gold Nanospheres for Enhancing Phagocytosis of MICA-Expressing Cells: Towards Gastric Cancer Applications</t>
  </si>
  <si>
    <t>MARIA CARMEN MOLINA SAMPAYO (Principal Researcher); Marcela Alejandra Hermoso Ramello (Adjunct Researcher); Marcelo Javier Kogan (Adjunct Researcher); Fabiola González (Postdoctoral Fellow); IVO CAMPOS (PhD Thesis); Nicolás Fehring (Master Thesis); Maria José Garrido (Undergraduate Thesis); Mauricio Orlando González Olivares (Undergraduate Thesis)</t>
  </si>
  <si>
    <t>26 Dec 2024, 18:56</t>
  </si>
  <si>
    <t>DQIAyQF &amp; Inquimae</t>
  </si>
  <si>
    <t>27 Dec 2024, 10:58</t>
  </si>
  <si>
    <t>14th Latin American and Caribbean Congress of Immunology</t>
  </si>
  <si>
    <t>MHC class I polypeptide-related sequence A (MICA) variants:Mechanisms of cellular release and their effects on the regulation of the NKG2D receptor on NK cells</t>
  </si>
  <si>
    <t>MARIA CARMEN MOLINA SAMPAYO (Principal Researcher); KAREN TOLEDO  (Postdoctoral Fellow); Douglas Matthies (Undergraduate Thesis)</t>
  </si>
  <si>
    <t>23 Dec 2024, 12:27</t>
  </si>
  <si>
    <t>Association of NKG2D alleles with NK cell marker expression and Colorectal Cancer-related immune activity in Chilean Population</t>
  </si>
  <si>
    <t>MARIA CARMEN MOLINA SAMPAYO (Principal Researcher); Fabiola González (Postdoctoral Fellow); KAREN TOLEDO  (Postdoctoral Fellow); Maria José Garrido (Undergraduate Thesis)</t>
  </si>
  <si>
    <t>23 Dec 2024, 15:28</t>
  </si>
  <si>
    <t>Evaluation of effector mechanisms of a novel fully human antibody targeting the MICA protein in gastric cancer cell lines</t>
  </si>
  <si>
    <t>23 Dec 2024, 15:40</t>
  </si>
  <si>
    <t>Characterizing the binding affinity and specificity of a fully human anti-MICA monoclonal antibody</t>
  </si>
  <si>
    <t>Claudia Victoria Altamirano GOMEZ (Director); MARIA CARMEN MOLINA SAMPAYO (Principal Researcher); Fabiola González (Postdoctoral Fellow); KAREN TOLEDO  (Postdoctoral Fellow); Nicolás Fehring (Master Thesis); Carla Díaz (Undergraduate Thesis); Douglas Matthies (Undergraduate Thesis); Maria José Garrido (Undergraduate Thesis)</t>
  </si>
  <si>
    <t>Yuneisy Guerra, Carolina Ribeiro</t>
  </si>
  <si>
    <t>23 Dec 2024, 15:47</t>
  </si>
  <si>
    <t>Molecular characterization of single-chain variable fragment antibodies with therapeutic potential targeting alpha-2 domain of MICA</t>
  </si>
  <si>
    <t>23 Dec 2024, 15:56</t>
  </si>
  <si>
    <t>Generation and Validation of an anti-sST2 single chain fragment variable: Development of a Therapeutic Antibody for Ulcerative Colitis</t>
  </si>
  <si>
    <t>Claudia Victoria Altamirano GOMEZ (Director); MARIA CARMEN MOLINA SAMPAYO (Principal Researcher); Gerald Amílcar Zapata Torres (Principal Researcher); Marcela Alejandra Hermoso Ramello (Adjunct Researcher); Barbara Donoso (PhD Thesis); Gonzalo Vásquez (PhD Thesis); PEDRO NOVOA (PhD Thesis); Douglas Matthies (Undergraduate Thesis)</t>
  </si>
  <si>
    <t>Karen Dubois, Marjorie de la fuente, Glauben Landskron, Rodrigo Quera</t>
  </si>
  <si>
    <t>23 Dec 2024, 16:01</t>
  </si>
  <si>
    <t>Affinity maturation of Anti-MICA and Anti-sST2 Antibodies Through In Silico and experimental Methods</t>
  </si>
  <si>
    <t>MARIA CARMEN MOLINA SAMPAYO (Principal Researcher); Gerald Amílcar Zapata Torres (Principal Researcher); Marcela Alejandra Hermoso Ramello (Adjunct Researcher); Fabiola González (Postdoctoral Fellow); KAREN TOLEDO  (Postdoctoral Fellow); Nicolás Fehring (Master Thesis); Douglas Matthies (Undergraduate Thesis); Maria José Garrido (Undergraduate Thesis)</t>
  </si>
  <si>
    <t>Theoretical and computational methods to understand, predict and quantify biological processes involved in the binding of ligands</t>
  </si>
  <si>
    <t>23 Dec 2024, 17:52</t>
  </si>
  <si>
    <t xml:space="preserve">Cooperative Adsorption of Antibodies on Gold Nanoparticles: A Novel  Approach for Nanotechnology-Enabled Biosensors </t>
  </si>
  <si>
    <t>26 Dec 2024, 19:00</t>
  </si>
  <si>
    <t>XXXVII Reunião Anual da Sociedade Brasileira de Tecnologia de Embriões – SBTE,</t>
  </si>
  <si>
    <t>Semi-solid formulation of micro-encapsulated recombinant bovine tau interferon with anti-luteolytic activity demonstrated in cows.</t>
  </si>
  <si>
    <t>Jorge Roberto Toledo Alonso (Principal Researcher)</t>
  </si>
  <si>
    <t>Felipe Sandoval, Emilio Lamazares Arcia,,  Aleikar Vazquez, Florence I. Hugues</t>
  </si>
  <si>
    <t>21 Aug 2024</t>
  </si>
  <si>
    <t>20 Dec 2024, 18:02</t>
  </si>
  <si>
    <t xml:space="preserve">V JORNADA DE CONFERENCIAS INTERNACIONALES, TRASPASANDO FRONTERAS EN INVESTIGACIÓN E INNOVACIÓN EN ENFERMEDADES CRÓNICAS. </t>
  </si>
  <si>
    <t>Por confirmar</t>
  </si>
  <si>
    <t>27 Dec 2024, 11:04</t>
  </si>
  <si>
    <t>International Congress of Mucosal Immunology (ICMI)</t>
  </si>
  <si>
    <t>Anti-sST2 Antibody as a new therapeutic approach for tissue repair and immunoregulation in UC</t>
  </si>
  <si>
    <t>MARIA CARMEN MOLINA SAMPAYO (Principal Researcher); Marcela Alejandra Hermoso Ramello (Adjunct Researcher); Barbara Donoso (PhD Thesis); Gonzalo Vásquez (PhD Thesis); IVO CAMPOS (PhD Thesis); PEDRO NOVOA (PhD Thesis)</t>
  </si>
  <si>
    <t>Karen Dubois, Marjorie de la Fuente, R. Quera</t>
  </si>
  <si>
    <t>06 Jul 2024</t>
  </si>
  <si>
    <t>26 Dec 2024, 18:01</t>
  </si>
  <si>
    <t>Improvement the production of an innovator human monoclonal antibody again MICA receptor</t>
  </si>
  <si>
    <t>Claudia Victoria Altamirano GOMEZ (Director); MARIA CARMEN MOLINA SAMPAYO (Principal Researcher); KAREN TOLEDO  (Postdoctoral Fellow); Mauricio Claudio Vergara Castro (Postdoctoral Fellow); José Alejandro Rodriguez  (PhD Thesis)</t>
  </si>
  <si>
    <t>06 Jan 2025, 11:19</t>
  </si>
  <si>
    <t>Can IgG glycosylation be controlled through process parameters? A systematic analysis</t>
  </si>
  <si>
    <t>Claudia Victoria Altamirano GOMEZ (Director); MARIA CARMEN MOLINA SAMPAYO (Principal Researcher); Marcela Alejandra Hermoso Ramello (Adjunct Researcher); JAVIER BRAVO (PhD Thesis); José Alejandro Rodriguez  (PhD Thesis)</t>
  </si>
  <si>
    <t>06 Jan 2025, 11:24</t>
  </si>
  <si>
    <t>1er Congreso de Estudiantes de Postgrado en Ciencias y Salud</t>
  </si>
  <si>
    <t>Generación y caracterización de un nuevo anticuerpo completamente humano contra la proteina MICA, un blanco terapéutico para el cáncer gástrico</t>
  </si>
  <si>
    <t>MARIA CARMEN MOLINA SAMPAYO (Principal Researcher); Fabiola González (Postdoctoral Fellow); KAREN TOLEDO  (Postdoctoral Fellow); IVO CAMPOS (PhD Thesis); José Alejandro Rodriguez  (PhD Thesis); Nicolás Fehring (Master Thesis); Carla Díaz (Undergraduate Thesis); Douglas Matthies (Undergraduate Thesis); Francisca Cortés Prieto (Undergraduate Thesis); Maria José Garrido (Undergraduate Thesis); Mauricio Orlando González Olivares (Undergraduate Thesis)</t>
  </si>
  <si>
    <t>Yuneisy Guerra, Fabian Tempio, Carolina Ribeiro, Flavio Salazar</t>
  </si>
  <si>
    <t>26 Dec 2024, 16:27</t>
  </si>
  <si>
    <t>Desarrollo de un anticuerpo completamente humano a partir de un scFv dirigido a la proteína sST2, un objetivo terapéutico contra la colitis ulcerosa.</t>
  </si>
  <si>
    <t>Claudia Victoria Altamirano GOMEZ (Director); MARIA CARMEN MOLINA SAMPAYO (Principal Researcher); Marcela Alejandra Hermoso Ramello (Adjunct Researcher); Barbara Donoso (PhD Thesis); Gonzalo Vásquez (PhD Thesis); PEDRO NOVOA (PhD Thesis)</t>
  </si>
  <si>
    <t>Karen Dubois, Marjorie de a Fuente,  Glauben Landskron, R. Quera</t>
  </si>
  <si>
    <t>26 Dec 2024, 16:32</t>
  </si>
  <si>
    <t>Primera Jornada Internacional de Biotecnología Chile</t>
  </si>
  <si>
    <t>Evaluación de difierentesmatrices para el cultivo 3D de organoidesde pacientes con cáncer colorrectal.</t>
  </si>
  <si>
    <t>María José Leiva, Pablo Saldivia, MaríaEsther Palma, Ángela Hidalgo, Claudio Benavides, Felipe Sandoval</t>
  </si>
  <si>
    <t>20 Dec 2024, 15:13</t>
  </si>
  <si>
    <t>Biodegradable polymer for the release of antimicrobiobial nanostructures in complex wounds.</t>
  </si>
  <si>
    <t>Camila Quezada,  Catherine Meza, AracellyQuiroz</t>
  </si>
  <si>
    <t>20 Dec 2024, 16:01</t>
  </si>
  <si>
    <t>Estudio de la actividad antiviral in vitro del IFN-tau recombinante bovino encapsulado y acoplado amatriz semisólida como sistema de liberación.</t>
  </si>
  <si>
    <t>Felipe Sandoval, Aleikar Vásquez, Oscar Otero</t>
  </si>
  <si>
    <t>20 Dec 2024, 16:07</t>
  </si>
  <si>
    <t>Desarrollo de hidrogel para biofabricaciónde modelos de metástasis ósea.</t>
  </si>
  <si>
    <t>Francisco Verdugo,  Carlos Medina, JacekWychowaniec</t>
  </si>
  <si>
    <t>20 Dec 2024, 16:11</t>
  </si>
  <si>
    <t>Establecimiento de un modelo de estudio de glicosilación mediada por inflamación.</t>
  </si>
  <si>
    <t>Felipe Sandoval, MaríaJosé Leiva-Carrasco,  Raquel Montesino, Catherine Meza</t>
  </si>
  <si>
    <t>Biological tests in in vitro and ex vivo models</t>
  </si>
  <si>
    <t>20 Dec 2024, 16:34</t>
  </si>
  <si>
    <t>Acción sinérgica entre ox LDL y TNF alfa, aumento de ROSy proliferación celular en cáncer colorrectal.</t>
  </si>
  <si>
    <t>Felipe Sandoval, MaríaPalma,, Elizabeth Santana</t>
  </si>
  <si>
    <t>20 Dec 2024, 16:37</t>
  </si>
  <si>
    <t>Desarrollo de nanoanticuerposde tipo camelidocon alta afinidad por el factor de necrosis tumoral alfa.</t>
  </si>
  <si>
    <t>Natalie Parra, Matheus Soares, MaríaAngélica Contreras, Frank Camacho, Nicolás Gutiérrez</t>
  </si>
  <si>
    <t>20 Dec 2024, 16:42</t>
  </si>
  <si>
    <t>Desarrollo de un ensayo de flujo lateral para la detección de la proteína estructural Ernsdel BVDV utilizando un par de anticuerpos monoclonales de ratón y policlonales aviares.</t>
  </si>
  <si>
    <t>Nicolas Gutierrez, Natalie Parra, Ángela Hidalgo</t>
  </si>
  <si>
    <t>20 Dec 2024, 16:46</t>
  </si>
  <si>
    <t>Diseño de un sistema de nanopartículas poliméricas, sintetizadas mediante el método de electrospray, que encapsule ácidos nucleicos para una aplicación vacunal.</t>
  </si>
  <si>
    <t>Carlos Villacís</t>
  </si>
  <si>
    <t>20 Dec 2024, 18:47</t>
  </si>
  <si>
    <t>Development of a fully human anti-sst2 antibody for the treatment of ulcerative colitis</t>
  </si>
  <si>
    <t>Karen Dubois, Marjorie de la fuente, Glauben Landskron,  Rodrigo Quera</t>
  </si>
  <si>
    <t>26 Dec 2024, 16:01</t>
  </si>
  <si>
    <t>In vitro validation of an affinity maturation model for the fully human anti-MICA antibody</t>
  </si>
  <si>
    <t>Claudia Victoria Altamirano GOMEZ (Director); MARIA CARMEN MOLINA SAMPAYO (Principal Researcher); Fabiola González (Postdoctoral Fellow); KAREN TOLEDO  (Postdoctoral Fellow); Nicolás Fehring (Master Thesis); Douglas Matthies (Undergraduate Thesis); Juan Paulo Pinto (Undergraduate Thesis); Maria José Garrido (Undergraduate Thesis); Mauricio Orlando González Olivares (Undergraduate Thesis)</t>
  </si>
  <si>
    <t>26 Dec 2024, 16:20</t>
  </si>
  <si>
    <t>ACT210073</t>
  </si>
  <si>
    <t>Congreso de Ciencias del Mar 2024</t>
  </si>
  <si>
    <t>6 works (See attached file)</t>
  </si>
  <si>
    <t>Mauricio Andronico Urbina Foneron (Director); Sebastian Eugenio Godoy Medel (Adjunct Researcher); MARIO IGNACIO SANHUEZA GARCIAS (Postdoctoral Fellow); Vincenzo Alexo Caro Fuentes (Master Thesis)</t>
  </si>
  <si>
    <t>Applied optics; Biological Ocean; Fish physiology; Machine learning; Spectroscopy</t>
  </si>
  <si>
    <t>28 Apr 2025, 12:01</t>
  </si>
  <si>
    <t>ACT210079</t>
  </si>
  <si>
    <t>Mario I Fernandez Arancibia (Principal Researcher)</t>
  </si>
  <si>
    <t>Identification of differential mutation spectra in arsenic-related urothelial cancer by exome sequencing of tumors from exposed and non-exposed patients.</t>
  </si>
  <si>
    <t>II CURSO CONTROVERSIAS EN URO-ONCOLOGIA</t>
  </si>
  <si>
    <t>Mauricio Antonio Fernández Gonzalez (Postdoctoral Fellow)</t>
  </si>
  <si>
    <t>18 Jun 2025, 14:07</t>
  </si>
  <si>
    <t>Primer Congreso de Enfermedades Raras, Poco Frecuente y Huérfanas de Chile (CERPOHCHI2024),</t>
  </si>
  <si>
    <t>Expositor y moderador, módulo titulado Red de Datos Genómicos y Biobancos</t>
  </si>
  <si>
    <t>Juan Alberto Lecaros Urzúa (Adjunct Researcher)</t>
  </si>
  <si>
    <t xml:space="preserve">Ethical and regulatory frameworks for genomic and clinical data and samples sharing. </t>
  </si>
  <si>
    <t>18 Jun 2025, 16:36</t>
  </si>
  <si>
    <t>Congreso de Ética y Bioética "Reflexionar y deliberar, una necesidad frente a los cambios</t>
  </si>
  <si>
    <t>Participación Mesa Redonda sobre “Investigación científica y manejo de datos: panorama nacional e internacional”</t>
  </si>
  <si>
    <t>18 Jun 2025, 16:39</t>
  </si>
  <si>
    <t>XLV CONGRESO DE UROLOGÍA</t>
  </si>
  <si>
    <t>CARCINOGENICIDAD GENÉTICA DEL CÁNCER DE VEJIGA RELACIONADO CON EL ARSÉNICO: DE LA REVISIÓN SISTEMÁTICA A LA MODELIZACIÓN MATEMÁTICA</t>
  </si>
  <si>
    <t>18 Jun 2025, 14:01</t>
  </si>
  <si>
    <t xml:space="preserve">World Bladder Cancer Patient Forum </t>
  </si>
  <si>
    <t>Bladder cancer impact in Latin America</t>
  </si>
  <si>
    <t>18 Jun 2025, 14:22</t>
  </si>
  <si>
    <t>BioCARLA 2024 Latin America High Performance Computing Conference</t>
  </si>
  <si>
    <t>RNA-edited sites on the multiomic integration to predict drug response in breast cancer</t>
  </si>
  <si>
    <t>Ricardo Amado Armisen Yañez (Director); Yanara Bernal (PhD Thesis)</t>
  </si>
  <si>
    <t>Assessment of therapy response and resistance biomarkers in advanced and triple negative breast cancer patients.; Discovery and in vitro validation of novel actionable mutations through the genomic study of Chilean cancer patients.</t>
  </si>
  <si>
    <t>23 Jun 2025, 15:03</t>
  </si>
  <si>
    <t>CLOMUCH 2024</t>
  </si>
  <si>
    <t>Medicina de precisión en cáncer de vejiga</t>
  </si>
  <si>
    <t>18 Jun 2025, 15:05</t>
  </si>
  <si>
    <t>World conference of lung cancer 2024</t>
  </si>
  <si>
    <t>Latin-American Non-Small Cell Lung Cancer Patient’s Tumors harbor Many Novels Potentially Actionable/Driver Mutations</t>
  </si>
  <si>
    <t>Ricardo Amado Armisen Yañez (Director); Katherine Marcelain Cubillos (Principal Researcher)</t>
  </si>
  <si>
    <t>E. Gonzalez1 ,  Ibañez2, A. Blanco1, G. Owen, M. Garrido,  A. Corvalan,  C. Ibañez</t>
  </si>
  <si>
    <t>Discovery and in vitro validation of novel actionable mutations through the genomic study of Chilean cancer patients.</t>
  </si>
  <si>
    <t>18 Jun 2025, 13:34</t>
  </si>
  <si>
    <t>61º CONGRESO ARGENTINO DE UROLOGÍA 2024</t>
  </si>
  <si>
    <t>Prevención de riesgos y complicaciones del tratamiento con BCG</t>
  </si>
  <si>
    <t>18 Jun 2025, 15:10</t>
  </si>
  <si>
    <t>Preservación de vejiga en cáncer de vejiga músculo invasor</t>
  </si>
  <si>
    <t>18 Jun 2025, 15:08</t>
  </si>
  <si>
    <t>International Bladder Cancer Group (IBCG) 2024</t>
  </si>
  <si>
    <t>Quality of life and endpoints of TURBT</t>
  </si>
  <si>
    <t>18 Jun 2025, 15:30</t>
  </si>
  <si>
    <t>II Simposio Interdisciplinario de Investigación Postdoctoral 2024</t>
  </si>
  <si>
    <t>Detoxification enhances aggressive growth in tumors caused by pollutant exposure: A Lotka-Volterra approach.</t>
  </si>
  <si>
    <t>Ricardo Amado Armisen Yañez (Director); Mario I Fernandez Arancibia (Principal Researcher); Mauricio Antonio Fernández Gonzalez (Postdoctoral Fellow)</t>
  </si>
  <si>
    <t>27 Jun 2025, 12:03</t>
  </si>
  <si>
    <t>Cáncer Vesical: Dónde estamos y hacia dónde vamos</t>
  </si>
  <si>
    <t>18 Jun 2025, 15:02</t>
  </si>
  <si>
    <t>PRIMER CONGRESO DE ESTUDIANTES DE POSTGRADO EN CIENCIAS Y SALUD</t>
  </si>
  <si>
    <t>Ediciones A&gt;I(G) en el ARN asociados a la sensibilidad a cisplatino en adenocarcinoma de pulmón: Novedosa fuente de biomarcadores para medicina de precisión en oncología</t>
  </si>
  <si>
    <t>Yanara Bernal (PhD Thesis)</t>
  </si>
  <si>
    <t>Assessment of therapy response and resistance biomarkers in advanced and triple negative breast cancer patients.; Characterization and discovery of biomarkers of immune actionability in metastatic cancer.; Discovery and in vitro validation of novel actionable mutations through the genomic study of Chilean cancer patients.</t>
  </si>
  <si>
    <t>18 Jun 2025, 16:52</t>
  </si>
  <si>
    <t xml:space="preserve">Bioética, Biobancos y Asuntos Regulatorios </t>
  </si>
  <si>
    <t>18 Jun 2025, 17:30</t>
  </si>
  <si>
    <t>Primer Workshop de la Red de Biobancos Tumorales del Centro para la Prevención y el Control del Cáncer (CECAN).</t>
  </si>
  <si>
    <t>Aspectos éticos y Gobernanza</t>
  </si>
  <si>
    <t>25 Feb 2024</t>
  </si>
  <si>
    <t>30 Jun 2025, 10:45</t>
  </si>
  <si>
    <t>Programa de Curso Intensivo de Biobanco</t>
  </si>
  <si>
    <t>30 Jun 2025, 10:54</t>
  </si>
  <si>
    <t>The American Association for Cancer Research Annual Meeting</t>
  </si>
  <si>
    <t>Ricardo Amado Armisen Yañez (Director); Katherine Marcelain Cubillos (Principal Researcher); Solange Veronica Rivas Vera  (Postdoctoral Fellow); Camilo Tapia Valladares  (Master Thesis); Felipe Osorio (Master Thesis)</t>
  </si>
  <si>
    <t>Evelin González (PARTE DEL CENTRO), Jessica Toro,  Alejandro Blanco (PARTE DEL CENTRO), José Erices, Carolina Ibañez, Gonzalo Sepúlveda-Hermosilla, Matias Freire, Valentina Gárate,  Javier Cáceres-Molina, Iván Gallegos, Olga Barajas, Mónica Ahumada,  Eva Bustamante,  Alejandro Corvalan,  Jaime González, Gareth Owen, Marcelo Garrido</t>
  </si>
  <si>
    <t>18 Jun 2025, 13:08</t>
  </si>
  <si>
    <t>Germline-somatic interactions in non-small cell lung cancer (NSCLC) patients from Latin America</t>
  </si>
  <si>
    <t>Ricardo Amado Armisen Yañez (Director); Katherine Marcelain Cubillos (Principal Researcher); Javiera Nicole Garrido Manríquez (Postdoctoral Fellow); Solange Veronica Rivas Vera  (Postdoctoral Fellow)</t>
  </si>
  <si>
    <t>Evelin González (PARTE DEL CENTRO), Alejandro Blanco (PARTE DEL CENTRO),  Gonzalo Sepúlveda-Hermosilla, Matías Freire,  Gareth I. Owen,  Carolina Iban?ez, Alejandro Corvalán, Marcelo Garrido, Rodrigo Assar, Rodrigo Lizana,  Javier Cáceres-Molina, Diego Ampuero,  Liliana Ramos, Paola Pérez,  Osvaldo Aren, Cristina Fernández, María Loreto Spencer, Jacqueline Flores, Giuliano Bernal, Mónica Ahumada Olea, Carolina Sánchez, Germán Rasse, Maria Galli de Amorim, Emmanuel Dias-Neto, Helano C. Freitas</t>
  </si>
  <si>
    <t>Characterization and discovery of biomarkers of immune actionability in metastatic cancer.; Discovery and in vitro validation of novel actionable mutations through the genomic study of Chilean cancer patients.</t>
  </si>
  <si>
    <t>18 Jun 2025, 13:23</t>
  </si>
  <si>
    <t xml:space="preserve"> Evelin González (PARTE DEL CENTRO), Gonzalo Sepúlveda-Hermosilla, Matias Freire, Alejandro Blanco (PARTE DEL CENTRO), Gareth I. Owen,  Carolina Iban?ez; , Alejandro Corvalan,  Marcelo Garrido, Rodrigo Assar, Javier Cáceres-Molina, Rodrigo Lizana, María Loreto Spencer,  Jacqueline Flores,  Giuliano Bernal, Mónica Ahumada, Germán Rasse, Diana Noronha Nunes, Emmanuel Dias-Neto, Helano C. Freitas, Carolina Sánchez, Maria Galli de Amorim, Gabriela Branco, Diego Ampuero, Liliana Ramos, Paola Pérez, Osvaldo Aren, Sara Chernilo, Cristina Fernández</t>
  </si>
  <si>
    <t>18 Jun 2025, 13:29</t>
  </si>
  <si>
    <t>ACT210083</t>
  </si>
  <si>
    <t>XXXIX Reunión Anual de la Sociedad Chilena de Ciencias Fisiológicas</t>
  </si>
  <si>
    <t>Prediction of Cardiorespiratory Performance and Baroreflex Sensitivity in Young Men and Women During Acute Hypobaric Hypoxia Exposure</t>
  </si>
  <si>
    <t>Valeria Páez (PhD Thesis)</t>
  </si>
  <si>
    <t>Physiology and data-driven models of BP and glucose dynamics</t>
  </si>
  <si>
    <t>06 Jan 2025, 14:53</t>
  </si>
  <si>
    <t>ACT210085</t>
  </si>
  <si>
    <t>Biobanks</t>
  </si>
  <si>
    <t>Ricardo Alejandro Verdugo Salgado (Director)</t>
  </si>
  <si>
    <t>Genetics</t>
  </si>
  <si>
    <t>Alicia Angelina Colombo Flores (Principal Researcher)</t>
  </si>
  <si>
    <t>Gene networks</t>
  </si>
  <si>
    <t>CHEMOKINES CXCL9 AND CXCL10 PROMOTE B CELL DIFFERENTIATION INTO PLASMA CELLS AND IGG SECRETION IN COVID-19</t>
  </si>
  <si>
    <t>Alicia Angelina Colombo Flores (Principal Researcher); Estefania Andrea Nova Lamperti (Adjunct Researcher); Romina Quiroga (Master Thesis)</t>
  </si>
  <si>
    <t>13 Jun 2025, 01:48</t>
  </si>
  <si>
    <t>CLINICAL AND PULMONARY FUNCTION ANALYSIS IN LONG COVID REVEALED THAT LONG-TERM PULMONARY DYSFUNCTION IS ASSOCIATED WITH VASCULAR INFLAMMATION PATHWAYS AND METABOLIC SYNDROME</t>
  </si>
  <si>
    <t>Alicia Angelina Colombo Flores (Principal Researcher); Estefania Andrea Nova Lamperti (Adjunct Researcher); Sergio Andres Sanhueza Novoa  (Undergraduate Thesis)</t>
  </si>
  <si>
    <t>13 Jun 2025, 01:51</t>
  </si>
  <si>
    <t>II Jornada de Investigación del Hospital Dr. Franco Ravera Zunino</t>
  </si>
  <si>
    <t>Establecimiento Multicéntrico del Biorepositorio de la Red de Genómica COVID-19 de Chile: Un Recurso para Estudios Multi-Ómicos de COVID-19 y LONG-COVID en América Latina</t>
  </si>
  <si>
    <t>04 Sep 2024, 16:17</t>
  </si>
  <si>
    <t>Congreso ALAG 2024 - Asociación Latinoamericana de Genética</t>
  </si>
  <si>
    <t>Biobanco de la Universidad de Chile: cambiando el paradigma del almacenamiento y uso de material biológico en Latinoamérica</t>
  </si>
  <si>
    <t>Ricardo Alejandro Verdugo Salgado (Director); Alicia Angelina Colombo Flores (Principal Researcher)</t>
  </si>
  <si>
    <t>20 Dec 2024, 17:06</t>
  </si>
  <si>
    <t>Latin american patients of COVID-19 show genetic variation for Long COVID</t>
  </si>
  <si>
    <t>10 Sep 2024, 17:00</t>
  </si>
  <si>
    <t>Análisis de la Microbiota Nasofaríngea en Pacientes con Anosmia Persistente por COVID Prolongado</t>
  </si>
  <si>
    <t>Jenssy Opazo Cortés (Master Thesis)</t>
  </si>
  <si>
    <t>Tools development</t>
  </si>
  <si>
    <t>Alianza Latinoamericana para el Estudio de las Ciencias Ómicas (LatinOMICS)</t>
  </si>
  <si>
    <t>Gene networks; Genetics</t>
  </si>
  <si>
    <t>12 Jun 2025, 23:25</t>
  </si>
  <si>
    <t>19th International Conference on Innate Immunity</t>
  </si>
  <si>
    <t>COVID-19-derived insulin resistance confuses neutrophils, promoting higher NETosis and miR-21-5p upregulation</t>
  </si>
  <si>
    <t>Estefania Andrea Nova Lamperti (Adjunct Researcher); Romina Quiroga (Master Thesis); Sergio Andres Sanhueza Novoa  (Undergraduate Thesis)</t>
  </si>
  <si>
    <t>13 Jun 2025, 01:42</t>
  </si>
  <si>
    <t>ACT210087</t>
  </si>
  <si>
    <t>Ricardo Oyarzúa Vargas (Director)</t>
  </si>
  <si>
    <t>Numerical Analysis</t>
  </si>
  <si>
    <t>CTAC 2024, Computational Techniques and Applications Conference</t>
  </si>
  <si>
    <t>Finite element approximation for the unsteady Brinkman – Forchheimer equations</t>
  </si>
  <si>
    <t>Verónica Julia Anaya Domínguez (Principal Researcher)</t>
  </si>
  <si>
    <t>24 Jun 2025, 12:24</t>
  </si>
  <si>
    <t>Stream virtual element methods for the Navier-Stokes equations with pressure recovery</t>
  </si>
  <si>
    <t>David Andrés Mora Herrera (Principal Researcher)</t>
  </si>
  <si>
    <t>24 Jun 2025, 12:25</t>
  </si>
  <si>
    <t>Analysis of a FEM with exactly divergence-free magnetic field for the stationary MHD problem</t>
  </si>
  <si>
    <t>24 Jun 2025, 12:26</t>
  </si>
  <si>
    <t>A residual-based a posteriori error estimator for a non-isothermal Navier-Stokes/Darcy coupled system</t>
  </si>
  <si>
    <t>Miguel Serón (PhD Thesis)</t>
  </si>
  <si>
    <t>24 Jun 2025, 12:27</t>
  </si>
  <si>
    <t>A conforming mixed finite element method for a coupled Navier–Stokes and transport system modelling reverse osmosis</t>
  </si>
  <si>
    <t>Isaac Bermúdez (PhD Thesis)</t>
  </si>
  <si>
    <t>24 Jun 2025, 12:29</t>
  </si>
  <si>
    <t>SIAM (Society for Industrial and Applied Mathematics) Texas-Louisiana Section 7th Annual Meeting</t>
  </si>
  <si>
    <t>Analysis of a Conforming Finite Element Method for a Reverse Osmosis Model</t>
  </si>
  <si>
    <t>Eider Aldana Palomino (PhD Thesis)</t>
  </si>
  <si>
    <t>24 Jun 2025, 10:02</t>
  </si>
  <si>
    <t>XXXII Congreso de Matemática Capricornio, COMCA 2024</t>
  </si>
  <si>
    <t>Block-diagonal preconditioners for the Biot-Brinkman equations in vorticity form.</t>
  </si>
  <si>
    <t>Ruben Caraballo (PhD Thesis)</t>
  </si>
  <si>
    <t>24 Jun 2025, 12:10</t>
  </si>
  <si>
    <t>Discretización por Elementos Finitos de las Ecuaciones de Oseen con condiciones de contorno más generales.</t>
  </si>
  <si>
    <t>Yuliza Capuñay (Master Thesis)</t>
  </si>
  <si>
    <t>24 Jun 2025, 12:12</t>
  </si>
  <si>
    <t>A residua-based a posteriori error estimator for a nonisothermal Navier–Stokes/Darcy coupled system</t>
  </si>
  <si>
    <t>24 Jun 2025, 12:19</t>
  </si>
  <si>
    <t>Mixed Finite Element Method for the Brinkman- Forchheimer equations</t>
  </si>
  <si>
    <t>24 Jun 2025, 11:15</t>
  </si>
  <si>
    <t>Mathematical and numerical analysis of an axisymmetric thermoelectrical problem</t>
  </si>
  <si>
    <t>Pablo Antonio Venegas Tapia (Adjunct Researcher)</t>
  </si>
  <si>
    <t>24 Jun 2025, 11:17</t>
  </si>
  <si>
    <t>A stream virtual element discretization for the Navier-Stokes equations</t>
  </si>
  <si>
    <t>24 Jun 2025, 11:18</t>
  </si>
  <si>
    <t>WCCM 2024 / PANACM 2024, 16th World Congress on Computational Mechanics and 4th Pan American Congress on Computational Mechanics</t>
  </si>
  <si>
    <t>A mass conservative finite element method for a nonisothermal Navier-Stokes/Darcy coupled system</t>
  </si>
  <si>
    <t>24 Jun 2025, 11:06</t>
  </si>
  <si>
    <t>Analysis of a mixed FEM with exactly divergence-free magnetic field for the stationary Magnetohydrodynamic problem</t>
  </si>
  <si>
    <t>Jessika Pamela Camaño Valenzuela (Principal Researcher)</t>
  </si>
  <si>
    <t>24 Jun 2025, 11:07</t>
  </si>
  <si>
    <t>ECCOMAS CONGRESS 2024 9th European Congress on Computational Methods in Applied Sciences and Engineering</t>
  </si>
  <si>
    <t>Mathematical and numerical analysis of an axisymmetric thermoelectrical problem’</t>
  </si>
  <si>
    <t>24 Jun 2025, 11:00</t>
  </si>
  <si>
    <t>24 Jun 2025, 11:02</t>
  </si>
  <si>
    <t>A conforming finite element method for a nonisothermal fluid-membrane interaction</t>
  </si>
  <si>
    <t>24 Jun 2025, 11:03</t>
  </si>
  <si>
    <t>Gabriel Gatica (Adjunct Researcher)</t>
  </si>
  <si>
    <t>Stream virtual element methods for the Brinkman system with pressure recovery</t>
  </si>
  <si>
    <t>ACT210096</t>
  </si>
  <si>
    <t>Claudia Andrea Duran-Aniotz (Principal Researcher)</t>
  </si>
  <si>
    <t>(RL-1): Riemannian nonlinear mixed effects models; (RL-2): Cure rate models with machine learning algorithms; (RL-3): Flexible spatial survival models; (RL-4): Deep learning for multimodal data modeling; (RL-5): Natural Language Processing; (RL-6): Applications</t>
  </si>
  <si>
    <t>Gonzalo Andrés Ruz Heredia (Principal Researcher)</t>
  </si>
  <si>
    <t>LXXIX Congreso de la Sociedad de Neurología, Psiquiatría y Neurocirugía de Chile</t>
  </si>
  <si>
    <t>07 Dec 2024</t>
  </si>
  <si>
    <t>Asistir al Congreso SONEPSYN 2024 en la ciudad de Concepción para establecer posibles colaboraciones y conocer los avances en las distintas áreas de investigación asociadas al proyecto.</t>
  </si>
  <si>
    <t>12 Mar 2025, 11:49</t>
  </si>
  <si>
    <t>XLVII Jornadas Nacionales de Estadística 2024</t>
  </si>
  <si>
    <t>GeoModels: an R package for gaussian and non-gaussian geostatistical (large) data analysis &amp; Longitudinal Data Discrimination using mixtures of nonlinear mixed effects modelswith heterogeneity in the random effects under SAEM algorithm</t>
  </si>
  <si>
    <t>Moreno - Bevilacqua - (Principal Researcher); Maritza Marquez Nieto (Postdoctoral Fellow)</t>
  </si>
  <si>
    <t>25 Oct 2024, 10:43</t>
  </si>
  <si>
    <t>International Seminar on Neurodegenerative disease and vision: Could eyes predict cognitive disease?</t>
  </si>
  <si>
    <t>Dementia biomarkers in LA: harmonization for protocols and the different initiatives to improve dementia diagnosis</t>
  </si>
  <si>
    <t>14 May 2025, 13:39</t>
  </si>
  <si>
    <t>21st IEEE Conference on Computational Intelligence in Bioinformatics and Computational Biology</t>
  </si>
  <si>
    <t>SMOTE for gene regulatory network sampling</t>
  </si>
  <si>
    <t>20 May 2025, 12:03</t>
  </si>
  <si>
    <t>Alzheimer's Association International Conference 2024</t>
  </si>
  <si>
    <t>Differential expression of miRNAs from circulating exosomes in Alzheimer disease and frontotemporal dementia</t>
  </si>
  <si>
    <t>Claudia Andrea Duran-Aniotz (Principal Researcher); Carolina Blanca Paz Gonzalez Silva (Postdoctoral Fellow); Paulina Andrea Orellana Silva (PhD Thesis)</t>
  </si>
  <si>
    <t>24 Jul 2024, 09:19</t>
  </si>
  <si>
    <t>LAC-CD in-person &amp; Virtual Annual meeting at AAIC2024</t>
  </si>
  <si>
    <t>Claudia Andrea Duran-Aniotz (Principal Researcher); Agustin Agustin Ibanez (Principal Researcher)</t>
  </si>
  <si>
    <t>14 May 2025, 13:30</t>
  </si>
  <si>
    <t>ACT210097</t>
  </si>
  <si>
    <t>V annual CiMUS Workshop</t>
  </si>
  <si>
    <t>Camptothecin treatment in TNBC cells increases their capacity to activate platelets in vitro through direct interaction and via extracellular microvesicles</t>
  </si>
  <si>
    <t>Diego Méndez Gutiérrez (PhD Thesis)</t>
  </si>
  <si>
    <t>Mito Cáncer ; Mito Platelet</t>
  </si>
  <si>
    <t>24 Jul 2025, 15:25</t>
  </si>
  <si>
    <t>Segundo Congreso de Estudiantes Investigadores en Salud de la Región del Maule</t>
  </si>
  <si>
    <t>Estudio de fenotipos de función plaquetaria en mujeres mayores frágiles</t>
  </si>
  <si>
    <t>María Magdalena Sepúlveda Espinoza (PhD Thesis)</t>
  </si>
  <si>
    <t>Mito Platelet</t>
  </si>
  <si>
    <t>24 Jul 2025, 21:19</t>
  </si>
  <si>
    <t>WMS Annual Meeting on Targeting Mitochondria</t>
  </si>
  <si>
    <t>Linking Myrcene to Tricyclic Hydroquinone Derivates Improves the Antiplatelet Potential by Regulating</t>
  </si>
  <si>
    <t>Francisca Tellería López (PhD Thesis)</t>
  </si>
  <si>
    <t>31 Oct 2024</t>
  </si>
  <si>
    <t>24 Jul 2025, 15:23</t>
  </si>
  <si>
    <t>Advanced course in Platelet Research</t>
  </si>
  <si>
    <t>24 Jul 2025, 15:20</t>
  </si>
  <si>
    <t>SfRBM-SFRRI</t>
  </si>
  <si>
    <t>“Effect of Alkyl Chain Length on the Antiplatelet Activity of Gentisic Acid Esters Conjugated with Triphenylphosphonium</t>
  </si>
  <si>
    <t>Ramiro Araya Maturana (Director); Eduardo Javier Fuentes Quinteros (Principal Researcher); Diego Méndez Gutiérrez (PhD Thesis); Héctor Montecino Garrido (PhD Thesis); Francisca Tellería López (Master Thesis); María Magdalena Sepúlveda Espinoza (Master Thesis)</t>
  </si>
  <si>
    <t>Mito MedChem; Mito Platelet</t>
  </si>
  <si>
    <t>26 Mar 2024, 12:13</t>
  </si>
  <si>
    <t>“Evaluation of the Antiplatelet Activity of Tricyclic Acyl Hydroquinone Derivatives</t>
  </si>
  <si>
    <t>Ramiro Araya Maturana (Director); Eduardo Javier Fuentes Quinteros (Principal Researcher); Lisandra Morales Malvarez (PhD Thesis); Matías Monroy Cárdenas (PhD Thesis)</t>
  </si>
  <si>
    <t>26 Mar 2024, 12:15</t>
  </si>
  <si>
    <t>ACT210100</t>
  </si>
  <si>
    <t>“Holographic Weyl semimetal”, Talk at Politecnico di Torino, by Olivera Miskovic</t>
  </si>
  <si>
    <t>“Holographic Weyl semimetal”</t>
  </si>
  <si>
    <t>Olivera Miskovic (Principal Researcher)</t>
  </si>
  <si>
    <t xml:space="preserve">High Energy Physics </t>
  </si>
  <si>
    <t>21 Jan 2025, 17:37</t>
  </si>
  <si>
    <t>Talk: Higher-dimensional Willmore Energy and Holographic Entanglement Entropy by Rodrigo Olea</t>
  </si>
  <si>
    <t>Rodrigo Gonzalo Olea Aceituno (Principal Researcher)</t>
  </si>
  <si>
    <t>24 Jan 2025, 20:32</t>
  </si>
  <si>
    <t>Talk: Conformal Renormalization of anti-de Sitter gravity, by Rodrigo Olea</t>
  </si>
  <si>
    <t>24 Jan 2025, 20:21</t>
  </si>
  <si>
    <t>XXIV Chilean Symposium on Physics, SOCHIFI 2024</t>
  </si>
  <si>
    <t>Holographic Weyl Semimetals with Dislocations</t>
  </si>
  <si>
    <t>Olivera Miskovic (Principal Researcher); Vladimir Juricic (Adjunct Researcher); Francisca Gabriela Ramírez Carrasco  (PhD Thesis)</t>
  </si>
  <si>
    <t xml:space="preserve">Condensed Matter (RS-VJ); High Energy Physics </t>
  </si>
  <si>
    <t>21 Jan 2025, 17:25</t>
  </si>
  <si>
    <t>ASYMPTOTIC SYMMETRIES IN FOUR-DIMENSIONAL FLAT SPACES IN THE FIRST-ORDER FORMULATION</t>
  </si>
  <si>
    <t>Alejandro Aaron Varas Zamora (PhD Thesis)</t>
  </si>
  <si>
    <t>21 Jan 2025, 17:28</t>
  </si>
  <si>
    <t>Asymptotic symmetries and electromagnetic duality: a Hamiltonian approach</t>
  </si>
  <si>
    <t>Hernan Alfredo Gonzalez Leiva (Principal Researcher); Olivera Miskovic (Principal Researcher); Oriana Rebeca Labrin Zapata  (Undergraduate Thesis)</t>
  </si>
  <si>
    <t>21 Jan 2025, 17:34</t>
  </si>
  <si>
    <t>24 Jan 2025, 20:28</t>
  </si>
  <si>
    <t>24 Jan 2025, 20:27</t>
  </si>
  <si>
    <t xml:space="preserve">Coloquio de @fis_uc </t>
  </si>
  <si>
    <t>Holographic Weil semimetal</t>
  </si>
  <si>
    <t>21 Jan 2025, 17:16</t>
  </si>
  <si>
    <t>24 Jan 2025, 20:30</t>
  </si>
  <si>
    <t>24 Jan 2025, 20:26</t>
  </si>
  <si>
    <t>GravUC Seminars Instituto de Física de la Universidad Católica.</t>
  </si>
  <si>
    <t>Celestial Strings by Gabriel Marín</t>
  </si>
  <si>
    <t>Francisco Javier Rojas Fernandez (Principal Researcher); Gabriel Marin Macedo (Master Thesis)</t>
  </si>
  <si>
    <t>04 Sep 2024, 18:35</t>
  </si>
  <si>
    <t>Cosmo Seminar. Universidad de Chile</t>
  </si>
  <si>
    <t>Celestial Strings</t>
  </si>
  <si>
    <t>04 Sep 2024, 18:32</t>
  </si>
  <si>
    <t>Seminar "SEARCH FOR NEW PHYSICS IN ACCELERATORS AND THE COSMOS".</t>
  </si>
  <si>
    <t>04 Sep 2024, 18:26</t>
  </si>
  <si>
    <t>Chilean-Serbian student Workshop on theoretical physics</t>
  </si>
  <si>
    <t>Olivera Miskovic (Principal Researcher); Rodrigo Gonzalo Olea Aceituno (Principal Researcher); Vladimir Juricic (Adjunct Researcher); Alejandro Aaron Varas Zamora (Master Thesis)</t>
  </si>
  <si>
    <t>21 Jan 2025, 17:10</t>
  </si>
  <si>
    <t>“Workshop on Holography, Noncommutative Gravity and Quantum Information Theory”</t>
  </si>
  <si>
    <t>“Asymptotic symmetries in the flat space and the electric-magnetic duality”</t>
  </si>
  <si>
    <t>04 Sep 2024, 18:21</t>
  </si>
  <si>
    <t>Conformal Renormalization of anti-de Sitter gravity</t>
  </si>
  <si>
    <t>04 Sep 2024, 18:24</t>
  </si>
  <si>
    <t xml:space="preserve"> OKC/Nordita High-Energy Physics Theory Local seminar</t>
  </si>
  <si>
    <t>Celestial closed strings at one-loop</t>
  </si>
  <si>
    <t>Anthonny Freddy Canazas Garay  (PhD Thesis)</t>
  </si>
  <si>
    <t>21 Jul 2024, 16:41</t>
  </si>
  <si>
    <t>Condensed Matter and Quantum Materials (CMQM) 2024 conference</t>
  </si>
  <si>
    <t>Fragile dislocation modes</t>
  </si>
  <si>
    <t>Rodrigo Andrés Soto Garrido (Principal Researcher)</t>
  </si>
  <si>
    <t>Condensed Matter (RS-VJ)</t>
  </si>
  <si>
    <t>03 Jun 2024, 00:06</t>
  </si>
  <si>
    <t>Spring School on Superstring Theory and Related Topics</t>
  </si>
  <si>
    <t>Interpolating Wilson loops in ABJM and boundary conditions on AdS2</t>
  </si>
  <si>
    <t>03 Jun 2024, 00:12</t>
  </si>
  <si>
    <t>Holography in &amp; Beyond the AdS Paradigm</t>
  </si>
  <si>
    <t>LOOP CORRECTIONS IN ADS/CFT AND WILSON LOOPS</t>
  </si>
  <si>
    <t>Alberto Tomás Faraggi Ugalde (Director)</t>
  </si>
  <si>
    <t>06 Apr 2024</t>
  </si>
  <si>
    <t>25 Apr 2024, 18:18</t>
  </si>
  <si>
    <t>ASYMPTOTIC SYMMETRIES ON FLAT SPACES</t>
  </si>
  <si>
    <t>25 Apr 2024, 18:20</t>
  </si>
  <si>
    <t>Seminar: Renormalized Volume/Area from Conformal Gravity by R. Olea</t>
  </si>
  <si>
    <t xml:space="preserve">Renormalized Volume/Area from Conformal Gravity </t>
  </si>
  <si>
    <t>25 Apr 2024, 18:25</t>
  </si>
  <si>
    <t>ACT240004</t>
  </si>
  <si>
    <t>Nelson A. Lagos Suarez (Director)</t>
  </si>
  <si>
    <t>Ecological restoration of mussel banks (L3)</t>
  </si>
  <si>
    <t>Maria Jose Martinez Harms (Principal Researcher)</t>
  </si>
  <si>
    <t>Begona Peceno Capilla (Principal Researcher)</t>
  </si>
  <si>
    <t xml:space="preserve"> Shell based biomaterial and LCA (L2)</t>
  </si>
  <si>
    <t>IX CONGRESO NACIONAL DE ACUICULTURA</t>
  </si>
  <si>
    <t>Residuos de conchas de la mitilicultura: ¿un inconveniente o una solución?</t>
  </si>
  <si>
    <t>Nelson A. Lagos Suarez (Director); Marco Antonio Lardies Carrasco (Principal Researcher); Maria Jose Martinez Harms (Principal Researcher); Begona Peceno Capilla (Principal Researcher); Rodrigo Antonio Estevez Weinstein (Adjunct Researcher); Claudio Moises Garcia Herrera (Adjunct Researcher)</t>
  </si>
  <si>
    <t xml:space="preserve"> Governance and community-engaged for restoration (L4);  Shell based biomaterial and LCA (L2);  Shell production/dissolution (L1); Ecological restoration of mussel banks (L3)</t>
  </si>
  <si>
    <t>23 Jun 2025, 21:41</t>
  </si>
  <si>
    <t>7th International Symposium on Stock Enhancement and Sea Ranching</t>
  </si>
  <si>
    <t>Optimizing mechanical and thermal properties of carbonate-bioenhanced concrete modules for restoring intertidal habitats in coastal urban areas</t>
  </si>
  <si>
    <t>Nelson A. Lagos Suarez (Director); Marco Antonio Lardies Carrasco (Principal Researcher); Claudio Moises Garcia Herrera (Adjunct Researcher)</t>
  </si>
  <si>
    <t>23 Jun 2025, 21:38</t>
  </si>
  <si>
    <t xml:space="preserve"> IX Seminario de Investigación Aplicada a la Mitilicultura</t>
  </si>
  <si>
    <t>Restauración ecológica de bancos de mitílidos, la experiencia de Nueva Zelanda, brechas y perspectivas de investigación</t>
  </si>
  <si>
    <t>Andrew Jeffs, Emilee Benjamin</t>
  </si>
  <si>
    <t>23 Jun 2025, 21:26</t>
  </si>
  <si>
    <t>Oportunidades y desafíos del reciclaje de los residuos de la mitilicultura</t>
  </si>
  <si>
    <t>23 Jun 2025, 21:29</t>
  </si>
  <si>
    <t>Soluciones basadas en la Naturaleza (SbN) como estrategia para fortalecer la gestión de la mitilicultura</t>
  </si>
  <si>
    <t xml:space="preserve"> Shell based biomaterial and LCA (L2);  Shell production/dissolution (L1); Ecological restoration of mussel banks (L3)</t>
  </si>
  <si>
    <t>23 Jun 2025, 21:30</t>
  </si>
  <si>
    <t>ACT240015</t>
  </si>
  <si>
    <t>CIBIM2024</t>
  </si>
  <si>
    <t>Evaluación del riesgo colapso estructural por incendio mediante curvas de  fragilidad para losas de madera contralaminada (CLT)</t>
  </si>
  <si>
    <t>Jonathan Yanez Chicaiza (Master Thesis)</t>
  </si>
  <si>
    <t xml:space="preserve">Fire </t>
  </si>
  <si>
    <t>08 Aug 2025, 22:28</t>
  </si>
  <si>
    <t>Estudio numérico de la respuesta termo-mecánica de muros de CLT de  pino radiata expuestos a condiciones de incendio</t>
  </si>
  <si>
    <t>Juan Carlos Pina (Principal Researcher)</t>
  </si>
  <si>
    <t>08 Aug 2025, 22:31</t>
  </si>
  <si>
    <t>07 Mar 2024</t>
  </si>
  <si>
    <t>11 Aug 2025, 17:46</t>
  </si>
  <si>
    <t>ACT240020</t>
  </si>
  <si>
    <t>Rodrigo Rafael del Rio Quero (Director)</t>
  </si>
  <si>
    <t>08 Aug 2025, 14:13</t>
  </si>
  <si>
    <t>electrochemical applications</t>
  </si>
  <si>
    <t>IX Simposio Chileno de electroquimica</t>
  </si>
  <si>
    <t>Comparación de rutas hidrotermales en la síntesis de óxido de manganeso y litio en presencia de nanocelulosa para su utilización como material catódico en baterías de ion litio</t>
  </si>
  <si>
    <t>Rodrigo Rafael del Rio Quero (Director); Galo Ramírez Jofré (Principal Researcher); Mauricio Alejandro Isaacs Casanova (Adjunct Researcher)</t>
  </si>
  <si>
    <t>08 Aug 2025, 14:24</t>
  </si>
  <si>
    <t>IX Simposio Chileno de Electroquimica</t>
  </si>
  <si>
    <t>Síntesis de óxidos de bismuto con aplicación en foto electrocatálisis</t>
  </si>
  <si>
    <t>08 Aug 2025, 14:26</t>
  </si>
  <si>
    <t>iX Simposio Chileno de Electroquimica</t>
  </si>
  <si>
    <t>Electroquimica y Sustentabilidad</t>
  </si>
  <si>
    <t>08 Aug 2025, 14:27</t>
  </si>
  <si>
    <t>ACT240022</t>
  </si>
  <si>
    <t>Environmental biotechnology</t>
  </si>
  <si>
    <t>David Alejandro Jeison Núñez (Director); Evelyn Valeria Gómez Benalcazar (PhD Thesis); Jineth Andrea Arango Oviedo (PhD Thesis)</t>
  </si>
  <si>
    <t>Rolando Arturo Chamy Maggi (Principal Researcher)</t>
  </si>
  <si>
    <t>Alvaro Esteban Torres Aravena (Adjunct Researcher)</t>
  </si>
  <si>
    <t>XXXIX Congreso Interamericano de Ingeniería Sanitaria y Ambiental</t>
  </si>
  <si>
    <t>Membrane-assisted microalgal-bacterial consortia as a tool for sustainable sanitation</t>
  </si>
  <si>
    <t>Olivier Bernard (international colaborator)</t>
  </si>
  <si>
    <t>07 Apr 2025, 13:06</t>
  </si>
  <si>
    <t>Efecto de la disponibilidad de nitrógeno sobre la remoción de calcita basada en MICP fotosintético en Chlorella vulgaris</t>
  </si>
  <si>
    <t>04 Aug 2025, 15:56</t>
  </si>
  <si>
    <t>Estudio MICP fotosintético para remoción de Cobre desde aguas contaminadas mediante microalga Chlorella Vulgaris</t>
  </si>
  <si>
    <t>04 Aug 2025, 15:58</t>
  </si>
  <si>
    <t>Uso de bacteriófagos en PTAS: Desarrollo de observador EFK y control óptimo mediante modelos matemáticos</t>
  </si>
  <si>
    <t>Rolando Arturo Chamy Maggi (Principal Researcher); María Alejandra Vesga Barón (PhD Thesis)</t>
  </si>
  <si>
    <t>Alain Vande Wouver (International Colaborator)</t>
  </si>
  <si>
    <t>04 Aug 2025, 16:05</t>
  </si>
  <si>
    <t>12º Simpósio Internacional de Qualidade Ambiental</t>
  </si>
  <si>
    <t>DESAFIOS DA ENGENHARIA AMBIENTAL FRENTE ÀS MUDANÇAS CLIMATICAS</t>
  </si>
  <si>
    <t>05 Aug 2025, 16:55</t>
  </si>
  <si>
    <t>1st International Conference on Novel Photorefineries for Resource Recovery</t>
  </si>
  <si>
    <t>Testing Photosynthetic MICP for calcium removal through Chlorella vulgaris</t>
  </si>
  <si>
    <t>David Alejandro Jeison Núñez (Director); Alvaro Esteban Torres Aravena (Adjunct Researcher)</t>
  </si>
  <si>
    <t>04 Aug 2025, 21:08</t>
  </si>
  <si>
    <t>ACT240044</t>
  </si>
  <si>
    <t>RL1: Hazard</t>
  </si>
  <si>
    <t>RL1: Hazard; RL2: Seismic vulnerability</t>
  </si>
  <si>
    <t>RL2: Seismic vulnerability</t>
  </si>
  <si>
    <t>PanamGeo 2024</t>
  </si>
  <si>
    <t>Empirical site amplification in the Chilean subduction zone.</t>
  </si>
  <si>
    <t>Gonzalo Andres Montalva Alvarado (Director); Nicolás Bastiás Tejos (PhD Thesis)</t>
  </si>
  <si>
    <t>Saldaña, Héctor</t>
  </si>
  <si>
    <t>08 Aug 2025, 12:06</t>
  </si>
  <si>
    <t>Obtaining critical state parameters through particle shape characteristics of sands</t>
  </si>
  <si>
    <t>Gonzalo Andres Montalva Alvarado (Director)</t>
  </si>
  <si>
    <t>Kuncar, C., Escribano, D.</t>
  </si>
  <si>
    <t>08 Aug 2025, 15:22</t>
  </si>
  <si>
    <t>First insights for a simplified state parameter-based model for cyclic</t>
  </si>
  <si>
    <t>San Martín, Vicente</t>
  </si>
  <si>
    <t>08 Aug 2025, 15:28</t>
  </si>
  <si>
    <t>Giasis 2024</t>
  </si>
  <si>
    <t>Influencia de la elección de la fuente sísmica en la estimación de la amenaza sísmica</t>
  </si>
  <si>
    <t>Gonzalo Andres Montalva Alvarado (Director); Catalina Alejandra Cabello Parada (PhD Thesis); Nicolás Bastiás Tejos (PhD Thesis)</t>
  </si>
  <si>
    <t>08 Aug 2025, 11:51</t>
  </si>
  <si>
    <t>Correlación Espacial de las Intensidades Sísmicas para la ciudad de Concepción utilizando datos del Observatorio Sísmico ORSCA.</t>
  </si>
  <si>
    <t>08 Aug 2025, 12:02</t>
  </si>
  <si>
    <t>Impact of megathrust heterogeneity on ground motion modelling: Comparing Rasp and Rhf [Presentación oral]. 3er Congreso de Amenaza Sísmica, Santiago, Chile.</t>
  </si>
  <si>
    <t>Gonzalo Andres Montalva Alvarado (Director); José Tomás Drapela Soto (PhD Thesis)</t>
  </si>
  <si>
    <t>Thompson, E.</t>
  </si>
  <si>
    <t>08 Aug 2025, 15:17</t>
  </si>
  <si>
    <t>ACT240058</t>
  </si>
  <si>
    <t>Felipe Andrés Oyarzún Ampuero (Principal Researcher)</t>
  </si>
  <si>
    <t>Estudio de mecanismos de entrega de moléculas activas en nano, micro y macrosistemas para terapias crónicas</t>
  </si>
  <si>
    <t>JORGE EMILIO JALIL MILAD (Principal Researcher)</t>
  </si>
  <si>
    <t>Enfermedades cardiovasculares: Hipertensión, Insuficiencia Cardiaca y remodelamiento cardiaco</t>
  </si>
  <si>
    <t>LX Chilean Congress of Cardiovascular Cardiology and Surgery</t>
  </si>
  <si>
    <t>Effect of a high saturated fat diet on cardiometabolic syndrome parameters in hypertensive rats</t>
  </si>
  <si>
    <t>Karina Cordero</t>
  </si>
  <si>
    <t>06 Feb 2025, 16:06</t>
  </si>
  <si>
    <t>Higher levels of anti-inflammatory cardiac resident macrophages and circulating IL-10 in females compared to males are associated with improved outcomes in the progression of experimental heart failure with preserved ejection fraction</t>
  </si>
  <si>
    <t>Maria Paz Ocaranza Jeraldino (Director)</t>
  </si>
  <si>
    <t>06 Feb 2025, 16:09</t>
  </si>
  <si>
    <t>American Heart Association - Scientific Sessions 2024</t>
  </si>
  <si>
    <t>Differential cardiac  protective resident macrophages in female mice with heart failure preserved ejection fraction</t>
  </si>
  <si>
    <t>06 Feb 2025, 14:41</t>
  </si>
  <si>
    <t>XLV Annual Meeting of Chilean Pharmacology Society</t>
  </si>
  <si>
    <t>Nanocarrier design for intact barrier permeation followed by targeting</t>
  </si>
  <si>
    <t>06 Feb 2025, 14:43</t>
  </si>
  <si>
    <t xml:space="preserve">Pharm Sci 360 </t>
  </si>
  <si>
    <t>Synthesis and Characterization of Nanostructured Lipid Carriers (NLC) with Bile Salts: Sodium Deoxycholate (SDC), Sodium Deoxyglycholate (SDGC) and Sodium Deoxytaurocholate (SDTC)</t>
  </si>
  <si>
    <t>07 Aug 2025, 11:43</t>
  </si>
  <si>
    <t xml:space="preserve">6th Food Structure and Functionality Symposium </t>
  </si>
  <si>
    <t>Curcumin-loaded nanoemulsions and nanocapsules reduce Helicobacter pylori growth, bacterial biofilm formation, gastric cell adhesion and internalization: Promisorial nanovehicles to create nutraceutical food products</t>
  </si>
  <si>
    <t>07 Aug 2025, 11:35</t>
  </si>
  <si>
    <t>30° Meeting of International Society of Hypertension</t>
  </si>
  <si>
    <t>The progression of hypertension with obesity and diabetes favors cardiac pro-inflammatory macrophages and diastolic dysfunction</t>
  </si>
  <si>
    <t>19 Sep 2024</t>
  </si>
  <si>
    <t>22 Sep 2024</t>
  </si>
  <si>
    <t>22 Apr 2025, 13:01</t>
  </si>
  <si>
    <t>Guido Alejandro Garay Brignardello (Principal Researcher)</t>
  </si>
  <si>
    <t>Ricardo Javier Demarco Lopez (Adjunct Researcher)</t>
  </si>
  <si>
    <t>Viviana Gabriela Guzman Veloso (Adjunct Researcher)</t>
  </si>
  <si>
    <t>Ricardo Alberto Finger Camus (Adjunct Researcher)</t>
  </si>
  <si>
    <t>Franz Erik Bauer (Adjunct Researcher)</t>
  </si>
  <si>
    <t>Ezequiel Treister (Principal Researcher)</t>
  </si>
  <si>
    <t>Stefano Bovino (Adjunct Researcher)</t>
  </si>
  <si>
    <t>Valentino Gaston Gonzalez Corvalan (Adjunct Researcher)</t>
  </si>
  <si>
    <t>.</t>
  </si>
  <si>
    <t>Alvaro Fernando Lladser Caldera (Principal Researcher)</t>
  </si>
  <si>
    <t>Raquel Clara Quatrini Nyqvist (Principal Researcher)</t>
  </si>
  <si>
    <t>Cold Spring Harbor Laboratory. Epigenetics &amp; Chromatin</t>
  </si>
  <si>
    <t>Juan Luis Celis Diez (Adjunct Researcher)</t>
  </si>
  <si>
    <t>Magnetic Nanostructures</t>
  </si>
  <si>
    <t>Rodrigo Enrique Arias Federici (Adjunct Researcher)</t>
  </si>
  <si>
    <t>PATRICIO FERNANDO VARGAS CANTIN (Principal Researcher)</t>
  </si>
  <si>
    <t>Packaging Technology</t>
  </si>
  <si>
    <t>Francisco Javier Muñoz Saez (Adjunct Researcher)</t>
  </si>
  <si>
    <t>Computational Simulations</t>
  </si>
  <si>
    <t>Chemistry of Nanostructures</t>
  </si>
  <si>
    <t>Samuel Eliazar Baltazar Rojas (Adjunct Researcher)</t>
  </si>
  <si>
    <t>Francisco Javier Rodríguez Mercado (Adjunct Researcher)</t>
  </si>
  <si>
    <t>Eliezer Velasquez (Postdoctoral Fellow)</t>
  </si>
  <si>
    <t>sebastian tapia araya (Adjunct Researcher)</t>
  </si>
  <si>
    <t>Hayk Hakobyan (Principal Researcher)</t>
  </si>
  <si>
    <t>Sonia Kabana (Adjunct Researcher)</t>
  </si>
  <si>
    <t>Marat . Siddikov . (Adjunct Researcher)</t>
  </si>
  <si>
    <t>Claudio Dib Venturelli (Principal Researcher)</t>
  </si>
  <si>
    <t>Carolina Ivon Parra Gonzalez (Adjunct Researcher)</t>
  </si>
  <si>
    <t>Claudio Esteban Torres López (Adjunct Researcher)</t>
  </si>
  <si>
    <t>Héctor Manuel Allende Olivares (Principal Researcher)</t>
  </si>
  <si>
    <t>Andres Musalem Said (Adjunct Researcher)</t>
  </si>
  <si>
    <t>Operations Management and Analytics</t>
  </si>
  <si>
    <t>Markets, Organization and Regulation</t>
  </si>
  <si>
    <t>Fernando Ivan Ordonez Pizarro (Main Researcher Not part of Central Team)</t>
  </si>
  <si>
    <t>Marcelo Olivares Acuña (Principal Researcher)</t>
  </si>
  <si>
    <t>Rodrigo Andrés Moreno Vieyra (Principal Researcher)</t>
  </si>
  <si>
    <t>Energy Systems Engineering</t>
  </si>
  <si>
    <t>Transportation Engineering</t>
  </si>
  <si>
    <t>Felipe Balmaceda Mahns (Adjunct Researcher)</t>
  </si>
  <si>
    <t>Vladimir Marianov Kluge (Main Researcher Not part of Central Team)</t>
  </si>
  <si>
    <t>Data Science</t>
  </si>
  <si>
    <t>Ricardo Montoya (Adjunct Researcher)</t>
  </si>
  <si>
    <t>Daniel Schwartz Perlroth (Adjunct Researcher)</t>
  </si>
  <si>
    <t>Marcela Adriana Munizaga Muñoz (Main Researcher Not part of Central Team)</t>
  </si>
  <si>
    <t>Juan Pablo Torres Torretti (Adjunct Researcher)</t>
  </si>
  <si>
    <t>Lorena Del Carmen Pradenas Rojas (Adjunct Researcher)</t>
  </si>
  <si>
    <t>Operations Management and Analytics; Transportation Engineering</t>
  </si>
  <si>
    <t>1. Geological Resources Exploration, Characterization and Modeling</t>
  </si>
  <si>
    <t>Yarko Ivan Niño Campos (Principal Researcher)</t>
  </si>
  <si>
    <t>9. Environmental Sustainability</t>
  </si>
  <si>
    <t>2. Mine Planning and Desing</t>
  </si>
  <si>
    <t>Xavier Emery (Principal Researcher)</t>
  </si>
  <si>
    <t>Santiago Rafael Montserrat Michelini (Adjunct Researcher)</t>
  </si>
  <si>
    <t>Pierre Nancel-Penard (Adjunct Researcher)</t>
  </si>
  <si>
    <t>Andreina Evelin García González (Principal Researcher)</t>
  </si>
  <si>
    <t>3. Geo-Mining-Metallurgical Processes</t>
  </si>
  <si>
    <t>Raul Luis Castro Ruiz (Principal Researcher)</t>
  </si>
  <si>
    <t>5. Block Caving Technologies and Fundamentals</t>
  </si>
  <si>
    <t>8. Tailings</t>
  </si>
  <si>
    <t>Luis Felipe Orellana Espinoza (Adjunct Researcher)</t>
  </si>
  <si>
    <t>Claudio Andres Perez Flores (Principal Researcher)</t>
  </si>
  <si>
    <t>1. Geological Resources Exploration, Characterization and Modeling; 2. Mine Planning and Desing</t>
  </si>
  <si>
    <t>AFB220001</t>
  </si>
  <si>
    <t>32nd International Materials Research Congress (IMRS 2024)</t>
  </si>
  <si>
    <t>Tuning magnetic properties of CoxNi100-x nanodots: Micromagnetic insights for tailoring enhanced electrochemical performance in energy storage devices</t>
  </si>
  <si>
    <t>Juan Eduardo Escrig Murúa (Director)</t>
  </si>
  <si>
    <t>Salguero Salas, Marcelo A., Arciniegas Jaimes, Diana M., Fuertes, Valeria C., Saavedra, Eduardo, Pereira, Alejandro, Linarez Perez, Omar E., Bajales, Noelia</t>
  </si>
  <si>
    <t>16 Aug 2024, 18:36</t>
  </si>
  <si>
    <t>Tailoring ferromagnetic resonance properties of cobalt nanowires: Effects of shape and magnetocrystalline anisotropies</t>
  </si>
  <si>
    <t>Broens, Martin I., Saavedra, Eduardo, Pusiol, Enzo Fabrizio, Bajales, Noelia</t>
  </si>
  <si>
    <t>16 Aug 2024, 18:38</t>
  </si>
  <si>
    <t>Geometry-induced bloch point domain wall in permalloy conical frustum nanowires for advances spintronics applications</t>
  </si>
  <si>
    <t>Juan Eduardo Escrig Murúa (Director); David Nicolas Laroze Navarrete (Adjunct Researcher)</t>
  </si>
  <si>
    <t>Saavedra, Eduardo, Bajales, Noelia</t>
  </si>
  <si>
    <t>16 Aug 2024, 18:39</t>
  </si>
  <si>
    <t>QuSantiago III: Escuela de Invierno sobre Tecnologias Cuanticas</t>
  </si>
  <si>
    <t>Control cuantico y reduccion de ruido de un modo cuantizado y un sistema de dos niveles</t>
  </si>
  <si>
    <t>Juan Carlos Retamal Abarzúa (Adjunct Researcher)</t>
  </si>
  <si>
    <t>14 Aug 2024</t>
  </si>
  <si>
    <t>08 Aug 2024, 14:02</t>
  </si>
  <si>
    <t>Control cuantico para algoritmos ultrarrapidos</t>
  </si>
  <si>
    <t>Francisco Dámaso Albarrán Arriagada (Adjunct Researcher)</t>
  </si>
  <si>
    <t>Ingenieria de Floquet en sistemas cuanticos</t>
  </si>
  <si>
    <t>Guillermo Esteban Romero Huenchuñir (Adjunct Researcher)</t>
  </si>
  <si>
    <t>08 Aug 2024, 14:03</t>
  </si>
  <si>
    <t>Conversatorio "mujeres en fisica cuantica"</t>
  </si>
  <si>
    <t>Dora Altbir Drullinsky (Principal Researcher); Maritza Ahumada Cortes (Postdoctoral Fellow)</t>
  </si>
  <si>
    <t>Hermann, C., Alvarez, Aracelli</t>
  </si>
  <si>
    <t>08 Aug 2024, 14:05</t>
  </si>
  <si>
    <t>Quantum Frontiers in Molecular Science</t>
  </si>
  <si>
    <t>Carbon-based single photon emitters in hBN and van der Waals heterostructures</t>
  </si>
  <si>
    <t>23 Aug 2024, 11:06</t>
  </si>
  <si>
    <t>I Jornada de Ciencia de Materiales y Nanotecnologia</t>
  </si>
  <si>
    <t>Diseño computacional de oxido de grafeno para el medioambiente: propiedades y aplicaciones</t>
  </si>
  <si>
    <t>12 Aug 2024, 09:28</t>
  </si>
  <si>
    <t>Desarrollo de catodos nanoestructurados de oxidos de metalicos para baterias de ion litio</t>
  </si>
  <si>
    <t>Daniela Alejandra Alburquenque Muñoz (Adjunct Researcher)</t>
  </si>
  <si>
    <t>12 Aug 2024, 09:29</t>
  </si>
  <si>
    <t>pendieng</t>
  </si>
  <si>
    <t>12 Aug 2024, 09:37</t>
  </si>
  <si>
    <t>25th International Colloquium on Magnetic Films and Surfaces (ICMFS 2024)</t>
  </si>
  <si>
    <t>Scattering of magnetostatic surface modes of ferromagnetic films by geometric defects</t>
  </si>
  <si>
    <t>07 Jul 2024</t>
  </si>
  <si>
    <t>17 Aug 2024, 17:22</t>
  </si>
  <si>
    <t>50th World Polymer Congress (IUPAC MACRO 2024)</t>
  </si>
  <si>
    <t>Barrier and antioxidant bilayers based on flexible recycled polypropylene for potential use in food packaging</t>
  </si>
  <si>
    <t>23 Aug 2024, 13:08</t>
  </si>
  <si>
    <t>V Congreso Internacional de Ingenieria Quimica. VIV Congreso Nacional de Estudiantes de Ingenieria Quimica  (CIIQ-CONEIQ 2024)</t>
  </si>
  <si>
    <t>Envases Activos de Alimentos y su Importancia en la Industria de Alimentos</t>
  </si>
  <si>
    <t>30 Jul 2024, 16:29</t>
  </si>
  <si>
    <t>24th World Packaging Conference (IAPRI 2024)</t>
  </si>
  <si>
    <t>Reprocessing pot-consumer high impack polystyrene: incorporation of thermoplastic elastomers</t>
  </si>
  <si>
    <t>MARIA JOSE ALICIA GALOTTO LOPEZ (Adjunct Researcher)</t>
  </si>
  <si>
    <t>23 Aug 2024, 13:10</t>
  </si>
  <si>
    <t>Supercritical impregnation of eugenol cocrystals in PLA films for food packaging</t>
  </si>
  <si>
    <t>23 Aug 2024, 13:12</t>
  </si>
  <si>
    <t>Seminario bilateral "Aplicaciones Emergentes de Nanomateriales en la Remocion de Contaminantes en el Agua"</t>
  </si>
  <si>
    <t>Diseño de Oxido de Grafeno y sus aplicaciones en Tecnologia Verde</t>
  </si>
  <si>
    <t>17 Aug 2024, 17:31</t>
  </si>
  <si>
    <t>Simulaciones atomisticas: Una ventana a los efectos de la nanoescala</t>
  </si>
  <si>
    <t>Javier Rojas Nuñez (Postdoctoral Fellow)</t>
  </si>
  <si>
    <t>17 Aug 2024, 17:32</t>
  </si>
  <si>
    <t>Boron Nitride Workshop 2024</t>
  </si>
  <si>
    <t>23 Aug 2024, 11:05</t>
  </si>
  <si>
    <t>Intermag 2024</t>
  </si>
  <si>
    <t>Conical-helix magnetic textures stabilized in planar and curved films with different kinds of Dzyaloshinskii-Moriya interaction</t>
  </si>
  <si>
    <t>Rodolfo Andrés Gallardo Encina (Adjunct Researcher); Pedro Miguel Landeros Silva (Adjunct Researcher); David Cortes Ortuño (Postdoctoral Fellow)</t>
  </si>
  <si>
    <t>Cepeda-Arancibia, Matias, Mimica-Figari, Benjamin, Brevis, Felipe</t>
  </si>
  <si>
    <t>11 May 2024</t>
  </si>
  <si>
    <t>17 Aug 2024, 16:23</t>
  </si>
  <si>
    <t>Workshop "Desafios Tecnologicos para Chile. ¿Hacia donde vamos?"</t>
  </si>
  <si>
    <t>Nanomateriales</t>
  </si>
  <si>
    <t>23 Aug 2024, 11:03</t>
  </si>
  <si>
    <t>XII Escuela de Nanoestructuras</t>
  </si>
  <si>
    <t>Magnetic thermal engines using entangled qubits</t>
  </si>
  <si>
    <t>08 Aug 2024, 13:56</t>
  </si>
  <si>
    <t>Quantum Simulations of condensed matter systems</t>
  </si>
  <si>
    <t>08 Aug 2024, 13:57</t>
  </si>
  <si>
    <t>Combinacion de Tecnicas Experimentales para la Sintesis de Oxidos Metalicos Nanoestructurados Basados en Litio y Manganeso, usados como Catodos en Baterias de Ion-Litio</t>
  </si>
  <si>
    <t>08 Aug 2024, 14:01</t>
  </si>
  <si>
    <t>XXXIV Jornadas Chilenas de Quimica</t>
  </si>
  <si>
    <t>Diego Alonso Venegas Yazigi (Principal Researcher); Verónica del Rosario Paredes García (Adjunct Researcher)</t>
  </si>
  <si>
    <t>Searching for magnetic chirality in formate-based coordination polymers</t>
  </si>
  <si>
    <t>Rubio, F., Campo, J., Manjon-Sanz, A.</t>
  </si>
  <si>
    <t>24 May 2024, 15:26</t>
  </si>
  <si>
    <t>XXXIV Jornadas chilenas de Quimica</t>
  </si>
  <si>
    <t>Polioxometalatos de valencia mixta. Relacion entre estructura y propiedades</t>
  </si>
  <si>
    <t>Diego Alonso Venegas Yazigi (Principal Researcher); Walter Alberto Cañón Mancisidor (Adjunct Researcher); Marlen Gutierrez Cutiño (Adjunct Researcher); PATRICIO HERMOSILLA IBAÑEZ (Adjunct Researcher); Verónica del Rosario Paredes García (Adjunct Researcher); Andres Barrientos Herrera (Undergraduate Thesis)</t>
  </si>
  <si>
    <t>24 May 2024, 15:29</t>
  </si>
  <si>
    <t xml:space="preserve">Propiedades magneticas del polimero de coordinacion 2D [Mn2(C2O4)2(bpy)(DMF)2] </t>
  </si>
  <si>
    <t>Villafuerte, K., Cruz, C., Rubio, F.</t>
  </si>
  <si>
    <t>24 May 2024, 15:31</t>
  </si>
  <si>
    <t>Efecto de la incorporacion de acido cafeico sobre las propiedades de espumas polimericas utilizando fluidos supercriticos</t>
  </si>
  <si>
    <t>Francisco Javier Rodríguez Mercado (Adjunct Researcher); Alejandra Torres Mediano (Adjunct Researcher); Patricia Rivera Fuentealva (PhD Thesis); Alvaro Alarcon Godoy (Undergraduate Thesis)</t>
  </si>
  <si>
    <t>24 May 2024, 15:34</t>
  </si>
  <si>
    <t>Efecto de una 2da extrusion sobre las propiedades termicas y mecanicas de un material activo con capacidad antimicrobiana a base de oxido de grafeno, PLA/PHB y nanoparticulas de oxido de cobre</t>
  </si>
  <si>
    <t>ABEL XXX GUARDA MORAGA (Principal Researcher); Julio Elias Bruna Bugueño (Adjunct Researcher); MARIA JOSE ALICIA GALOTTO LOPEZ (Adjunct Researcher); Francisco Javier Rodríguez Mercado (Adjunct Researcher)</t>
  </si>
  <si>
    <t>24 May 2024, 15:36</t>
  </si>
  <si>
    <t>SKCM2 Winter School, The International Institute for Sustainability with Knotted Chiral Meta Matter (SKCM2)</t>
  </si>
  <si>
    <t>Exploring magnetic hopfion nucleation, stability, and dynamics</t>
  </si>
  <si>
    <t>Dora Altbir Drullinsky (Principal Researcher)</t>
  </si>
  <si>
    <t>23 May 2024, 11:32</t>
  </si>
  <si>
    <t>Leonardo J. Basso Sotz (Director)</t>
  </si>
  <si>
    <t>CHARLES MARK THRAVES CORTÉS-MONROY (Adjunct Researcher)</t>
  </si>
  <si>
    <t>Data Science; Operations Management and Analytics</t>
  </si>
  <si>
    <t>Angela Matilde Flores Quiroz (Adjunct Researcher)</t>
  </si>
  <si>
    <t>Camila Balbontin Tanhnuz (Adjunct Researcher)</t>
  </si>
  <si>
    <t>Juan de Dios Ortúzar Salas (Main Researcher Not part of Central Team)</t>
  </si>
  <si>
    <t>Jaime Carrasco (National Colaborator)</t>
  </si>
  <si>
    <t>Raul Pezoa (national colaborator)</t>
  </si>
  <si>
    <t>The Effect of Pregnancy and Childbirth on Consumption Behavior</t>
  </si>
  <si>
    <t>Omar David Perez Riveros (Adjunct Researcher)</t>
  </si>
  <si>
    <t>Nicolas Andres Figueroa Gonzalez (Principal Researcher)</t>
  </si>
  <si>
    <t>Paula Alejandra Guerra Pinto (Principal Researcher)</t>
  </si>
  <si>
    <t>Antonio Enrique Cárcamo Hernández (Adjunct Researcher)</t>
  </si>
  <si>
    <t>Raquel Andrea Pezoa Rivera (Adjunct Researcher)</t>
  </si>
  <si>
    <t>Patricio Catalan Mondaca (Adjunct Researcher)</t>
  </si>
  <si>
    <t xml:space="preserve">Charla </t>
  </si>
  <si>
    <t>Benjamin Guiot (Adjunct Researcher)</t>
  </si>
  <si>
    <t>Edson Carquin (Adjunct Researcher)</t>
  </si>
  <si>
    <t>AFB230001</t>
  </si>
  <si>
    <t>Expectativas de futuro de la minería en Chile</t>
  </si>
  <si>
    <t>Desafíos tecnológicos de la minería chilena y sus implicancias en la innovación y formación de personas</t>
  </si>
  <si>
    <t>Javier Ruiz del Solar San Martín (Director); Humberto Antonio Estay Cuenca (Principal Researcher)</t>
  </si>
  <si>
    <t>3. Geo-Mining-Metallurgical Processes; 7. Future Automated Mine Operation</t>
  </si>
  <si>
    <t>27 Jun 2025, 13:01</t>
  </si>
  <si>
    <t>Encuentro de Investigación Energía, Agua y Sustentabilidad</t>
  </si>
  <si>
    <t>Desafíos Hídricos: ¡Un llamado a la Acción!</t>
  </si>
  <si>
    <t>17 Nov 2024, 20:21</t>
  </si>
  <si>
    <t>2do Encuentro de la Sociedad Chilena de Geomorfología</t>
  </si>
  <si>
    <t>Miguel Ángel Lagos Zúñiga (Adjunct Researcher); Pablo Andrés Mendoza Zúñiga (Adjunct Researcher); Santiago Rafael Montserrat Michelini (Adjunct Researcher); Albert Cabré Cano (Postdoctoral Fellow); Marcia Alejandra Paredes Aravena (Master Thesis)</t>
  </si>
  <si>
    <t>Tamara Contreras, Catalina Jerez, Hector Jimenez, Felipe Matus y Bruno Villela también participaron.</t>
  </si>
  <si>
    <t>15 Nov 2024, 14:26</t>
  </si>
  <si>
    <t>Primer Simposio de Fallas Activas y sus Riesgos Geológicos en Chile</t>
  </si>
  <si>
    <t>Minería Profunda: Reactivación de fallas y sismicidad inducida por reactivación antropogénica</t>
  </si>
  <si>
    <t>16 Nov 2024, 19:27</t>
  </si>
  <si>
    <t>Massmin 2024</t>
  </si>
  <si>
    <t>Potential of Copper Tailings as Fine Aggregates in Cement Mortar</t>
  </si>
  <si>
    <t>René Esteban Gómez Puigpinos (Adjunct Researcher)</t>
  </si>
  <si>
    <t>16 Nov 2024, 19:38</t>
  </si>
  <si>
    <t>MassMin 2024</t>
  </si>
  <si>
    <t>A wet muck risk model´s impact fot the Diablo Regimiento sector at El Teniente mine</t>
  </si>
  <si>
    <t>16 Nov 2024, 19:31</t>
  </si>
  <si>
    <t>Multi-level modelling in block/panel caving mining: A case study at El Teniente mine</t>
  </si>
  <si>
    <t>16 Nov 2024, 19:32</t>
  </si>
  <si>
    <t>Euromembrane 2024</t>
  </si>
  <si>
    <t>Humberto Antonio Estay Cuenca (Principal Researcher)</t>
  </si>
  <si>
    <t>16 Nov 2024, 19:08</t>
  </si>
  <si>
    <t>Water Congress</t>
  </si>
  <si>
    <t>Water recovery from acid mining drainages (AMD) using novel hydrophobic membranes for membrane distillation process (MD)</t>
  </si>
  <si>
    <t>Humberto Antonio Estay Cuenca (Principal Researcher); Andreina Evelin García González (Principal Researcher); Maria Belen Barraza Sandoval (Adjunct Researcher); Rodrigo Sebastián Quezada Mustarós (Adjunct Researcher)</t>
  </si>
  <si>
    <t>27 Jun 2025, 12:51</t>
  </si>
  <si>
    <t>Evaluación de los modelos CMIP6 bajo diferentes métodos de escalamiento estadístico para proyecciones climáticas en el norte de Chile</t>
  </si>
  <si>
    <t>16 Nov 2024, 19:48</t>
  </si>
  <si>
    <t>Estrategias disruptivas de abastecimiento de agua para la minería del futuro</t>
  </si>
  <si>
    <t>Andreina Evelin García González (Principal Researcher); Rodrigo Sebastián Quezada Mustarós (Adjunct Researcher)</t>
  </si>
  <si>
    <t>27 Jun 2025, 12:47</t>
  </si>
  <si>
    <t>12th International Congress on Water Management in Mining and Industrial Processes</t>
  </si>
  <si>
    <t>Humberto Antonio Estay Cuenca (Principal Researcher); Andreina Evelin García González (Principal Researcher); Rodrigo Sebastián Quezada Mustarós (Adjunct Researcher); Yurieth Marcela Quintero Giraldo (Adjunct Researcher)</t>
  </si>
  <si>
    <t>16 Nov 2024, 19:19</t>
  </si>
  <si>
    <t>12th International Geostatistics Congress</t>
  </si>
  <si>
    <t>Enhanced rock type classification by combining machine learning and geostatistical simulation</t>
  </si>
  <si>
    <t>Xavier Emery (Principal Researcher); Nadia Macarena Mery Guerrero (Adjunct Researcher)</t>
  </si>
  <si>
    <t>17 Nov 2024, 20:29</t>
  </si>
  <si>
    <t>Transitive geostatistics as an alternative to the direct and indirect approaches for modeling deposits with a narrow geometry: Application to a vein-type deposit</t>
  </si>
  <si>
    <t>17 Nov 2024, 20:33</t>
  </si>
  <si>
    <t>A review of the current framework and tools for managing geological uncertainty</t>
  </si>
  <si>
    <t>17 Nov 2024, 20:40</t>
  </si>
  <si>
    <t>Fully nonseparable space-time models for multivariate data</t>
  </si>
  <si>
    <t>17 Nov 2024, 20:42</t>
  </si>
  <si>
    <t>Nuevas Tecnologías para una Minería Responsable: Avances y Desafíos Conjuntos UDA – U Chile</t>
  </si>
  <si>
    <t>Estrategias de abastecimiento de agua para la minería del futuro</t>
  </si>
  <si>
    <t>Rodrigo Sebastián Quezada Mustarós (Adjunct Researcher)</t>
  </si>
  <si>
    <t>16 Nov 2024, 19:42</t>
  </si>
  <si>
    <t>"New Technologies for Responsible Mining: Advances and Challenges UDA–UChile Joint Efforts""New Technologies for Responsible Mining: Advances and Challenges UDA–UChile Joint Efforts"</t>
  </si>
  <si>
    <t>Reprocessing and sustainable recovery of valuable elements from mining tailings through green hydrometallurgy</t>
  </si>
  <si>
    <t>Andreina Evelin García González (Principal Researcher); Pía Carolina Andrea Hernández Avendaño (Adjunct Researcher)</t>
  </si>
  <si>
    <t>8. Tailings; 9. Environmental Sustainability</t>
  </si>
  <si>
    <t>18 Nov 2024, 17:55</t>
  </si>
  <si>
    <t>Quantification of microtextural variability and its relationship with strength and energy parameters</t>
  </si>
  <si>
    <t>Pia Constanza Lois Morales (Adjunct Researcher)</t>
  </si>
  <si>
    <t>16 Nov 2024, 19:30</t>
  </si>
  <si>
    <t>Mineria Digital 2024</t>
  </si>
  <si>
    <t>Un modelo de agendamiento directo de bloques considerando una distancia operacional mínima</t>
  </si>
  <si>
    <t>16 Nov 2024, 19:28</t>
  </si>
  <si>
    <t>RELiTE 2024</t>
  </si>
  <si>
    <t>16 Nov 2024, 19:23</t>
  </si>
  <si>
    <t>Congreso Nacional de Minería 2024</t>
  </si>
  <si>
    <t>Aplicación de Sublevel Caving en Mina Catalina Huanca</t>
  </si>
  <si>
    <t>16 Nov 2024, 19:36</t>
  </si>
  <si>
    <t>6th Euro-Mediterranean Conference For Environmental Integration</t>
  </si>
  <si>
    <t>Treatment of RO-Brines by membrane distillation using RF-plasma grafting modified membranes</t>
  </si>
  <si>
    <t>15 May 2024</t>
  </si>
  <si>
    <t>Hugo Giraldo también participó</t>
  </si>
  <si>
    <t>16 Nov 2024, 19:13</t>
  </si>
  <si>
    <t>The Atacama Desert rock coast: an underrated witnesses of long-term wave erosion</t>
  </si>
  <si>
    <t>German Alfredo Aguilar Martorell (Adjunct Researcher); Camila Alejandra Arróspide Vásquez (PhD Thesis)</t>
  </si>
  <si>
    <t>16 Nov 2024, 17:03</t>
  </si>
  <si>
    <t>Seminario sobre los nuevos desafíos en materiales avanzados para la sustentabilidad</t>
  </si>
  <si>
    <t>Membranas poliméricas para el tratamiento y recuperación de agua: Un enfoque en materiales y procesos</t>
  </si>
  <si>
    <t>09 Apr 2024</t>
  </si>
  <si>
    <t>16 Nov 2024, 19:41</t>
  </si>
  <si>
    <t>Seminar on new challenges in advanced materials for sustainability</t>
  </si>
  <si>
    <t>Nanofiltration and nanotechnology for water recovery from tailings</t>
  </si>
  <si>
    <t>18 Nov 2024, 17:51</t>
  </si>
  <si>
    <t>Primer Workshop de materiales avanzados para sostenibilidad ambiental en Atacama</t>
  </si>
  <si>
    <t>Membrane separation processes for effluent treatment and seawater desalination</t>
  </si>
  <si>
    <t>Andreina Evelin García González (Principal Researcher); Yurieth Marcela Quintero Giraldo (Adjunct Researcher)</t>
  </si>
  <si>
    <t>15 Nov 2024, 14:27</t>
  </si>
  <si>
    <t>First workshop on advanced materials for environmental sustainability in Atacama</t>
  </si>
  <si>
    <t>Green solvents for sustainable mining processes</t>
  </si>
  <si>
    <t>18 Nov 2024, 17:54</t>
  </si>
  <si>
    <t>AFB230002</t>
  </si>
  <si>
    <t>2024 European Conference of the Society for Benefit-Cost Analysis</t>
  </si>
  <si>
    <t>The value(s) of in-vehicle time considering work or leisure activities while travelling</t>
  </si>
  <si>
    <t>Sergio Jara Diaz (Main Researcher Not part of Central Team)</t>
  </si>
  <si>
    <t>Anna Bartczak (International)</t>
  </si>
  <si>
    <t>22 Oct 2024, 09:36</t>
  </si>
  <si>
    <t>Annual Conference OR66</t>
  </si>
  <si>
    <t>A Fast Ecological Inference Algorithm for the R×C case</t>
  </si>
  <si>
    <t>Pablo Ubilla Pavez (National)</t>
  </si>
  <si>
    <t>21 Oct 2024, 12:25</t>
  </si>
  <si>
    <t>Encuentro Anual de la Sociedad de Economía de Chile (SECHI 2024).</t>
  </si>
  <si>
    <t>Temas relevantes para la disciplina económica y difundir los últimos avances en investigación de diversas áreas de la economía</t>
  </si>
  <si>
    <t>22 Oct 2024, 09:46</t>
  </si>
  <si>
    <t>Congreso de Investigación en Infraestructura y Transporte</t>
  </si>
  <si>
    <t>Identifying instant utility using psychophysiological indicators in a transport experiment with ecological validity</t>
  </si>
  <si>
    <t>Cristian Angelo Guevara Cue (Principal Researcher)</t>
  </si>
  <si>
    <t>Bastián Ignacio Henríquez Jara (National)</t>
  </si>
  <si>
    <t>22 Oct 2024, 09:41</t>
  </si>
  <si>
    <t>Construcción de indicadores del nivel de servicio del sistema de transporte público a partir de datos</t>
  </si>
  <si>
    <t>Leandro Miguel Gayozo Salgado (National)</t>
  </si>
  <si>
    <t>22 Oct 2024, 09:42</t>
  </si>
  <si>
    <t>Efficiency on bus priority infraestructure</t>
  </si>
  <si>
    <t>22 Oct 2024, 09:58</t>
  </si>
  <si>
    <t>¿Cuándo es realmente muy lejos? Identificando umbrales para la distancia como barrera al uso de la bicicleta</t>
  </si>
  <si>
    <t>22 Oct 2024, 10:02</t>
  </si>
  <si>
    <t>Patrones de localización de cargadores de vehículos eléctricos en el área metropolitana de santiago como función de atributos socioespaciales y accesibilidad a oportunidades</t>
  </si>
  <si>
    <t>Héctor Alejandro Novoa Castillo (National)</t>
  </si>
  <si>
    <t>22 Oct 2024, 10:06</t>
  </si>
  <si>
    <t>Commuting and non- commuting travel activity: a cross- cultural comparison between Australia and Latin America</t>
  </si>
  <si>
    <t>22 Oct 2024, 10:11</t>
  </si>
  <si>
    <t>Modern Scouting and Data-Driven Recruitment</t>
  </si>
  <si>
    <t>Players Selection Strategy and Multi-Season Squad Planning in a Professional Football Club</t>
  </si>
  <si>
    <t>Pablo Andrés Galaz Cares (National)</t>
  </si>
  <si>
    <t>22 Oct 2024, 09:56</t>
  </si>
  <si>
    <t>13era Escuela de Invierno en Sistemas de Ingeniería organizada por la Facultad de Ciencias Físicas y Matemáticas de la Universidad de Chile</t>
  </si>
  <si>
    <t>Cursos dictados por los profesores Angelo Guevara, Fernando Ordoñez, Juan Velásquez y Leonardo Basso entre otros, quienes dieron charlas sobre distintos tópicos sobre el Doctorado en Sistemas de Ingeniería.</t>
  </si>
  <si>
    <t>Leonardo J. Basso Sotz (Director); Cristian Angelo Guevara Cue (Principal Researcher); Fernando Ivan Ordonez Pizarro (Main Researcher Not part of Central Team); Juan Domingo Velásquez Silva (Main Researcher Not part of Central Team)</t>
  </si>
  <si>
    <t>Benjamín Malhue (National), Felipe Bahamondes (National), Francisco Bastidas, Tomás Saldías</t>
  </si>
  <si>
    <t>25 Jul 2024</t>
  </si>
  <si>
    <t>22 Oct 2024, 09:30</t>
  </si>
  <si>
    <t>2024 IEEE PES General Meeting</t>
  </si>
  <si>
    <t>Unit Commitment Problem with Energy Storage Under Correlated Renewables Uncertainty</t>
  </si>
  <si>
    <t>Alexandre Street (International)</t>
  </si>
  <si>
    <t>22 Oct 2024, 09:32</t>
  </si>
  <si>
    <t>IATBR 2024 -17th lnternational Conference on Travel Behavior Research.</t>
  </si>
  <si>
    <t>Attaining Consistency while Building the Consideration-Set from Historical-Cohort Choices: A Sampling of Alternatives Approach</t>
  </si>
  <si>
    <t>21 Oct 2024, 09:45</t>
  </si>
  <si>
    <t>17th lnternational Conference on Travel Behavior Research (IATBR 2024)</t>
  </si>
  <si>
    <t>The Experience Based Choice Model Monte Carlo estimation and microeconomic exploration</t>
  </si>
  <si>
    <t>21 Oct 2024, 12:35</t>
  </si>
  <si>
    <t>2024 INFORMS Revenue Management and Pricing Section Conference</t>
  </si>
  <si>
    <t>Behavioral Nudges to Reduce Patient No-Shows and Increase Capacity Utilization in Medical Appointment</t>
  </si>
  <si>
    <t>Francisco Castro (International)</t>
  </si>
  <si>
    <t>21 Oct 2024, 12:48</t>
  </si>
  <si>
    <t>9th lntemational Workshop and Symposium on the Use of Passive Data from Public Transport Systems, Transit Data 2024</t>
  </si>
  <si>
    <t>The Effects of a Real-Time Public Transport Information App on Travel Behaviour, Traffic Levels and the Environment</t>
  </si>
  <si>
    <t>21 Oct 2024, 11:52</t>
  </si>
  <si>
    <t>The 9th International Workshop and Symposium on Research and Applications on the Use of Passive Data from Public Transport (Transit Data 2024)</t>
  </si>
  <si>
    <t>The Effects of a Real- Time Public Transport Information App on Travel Behaviour, Traffic Levels and the Environment</t>
  </si>
  <si>
    <t>21 Oct 2024, 12:32</t>
  </si>
  <si>
    <t>33rd European Conference on Operational Research EURO 2024</t>
  </si>
  <si>
    <t>Facility location under agglomeration and two-stage customers’ spatial choice</t>
  </si>
  <si>
    <t>21 Oct 2024, 10:16</t>
  </si>
  <si>
    <t>Hybrid decomposition method for power system planning under uncertainty</t>
  </si>
  <si>
    <t>21 Oct 2024, 10:35</t>
  </si>
  <si>
    <t>Assessing the Capability of Electric Vehicles to Enhance Flexibility of the Chilean Power System</t>
  </si>
  <si>
    <t>Gabriel Alejandro Canales Zamudio (National Colaborator)</t>
  </si>
  <si>
    <t>21 Oct 2024, 10:36</t>
  </si>
  <si>
    <t>Scheduling Bolivia’s First Division football season by integer programming</t>
  </si>
  <si>
    <t>Guillermo Alfredo Durán Maggiolo (Adjunct Researcher)</t>
  </si>
  <si>
    <t>21 Oct 2024, 11:01</t>
  </si>
  <si>
    <t>Unraveling Information Traps: Consumer Learning in Assortment Planning with Online Reviews</t>
  </si>
  <si>
    <t>Denis Roland Saure Valenzuela (Main Researcher Not part of Central Team)</t>
  </si>
  <si>
    <t>Audrius Kabasinskas (International)</t>
  </si>
  <si>
    <t>21 Oct 2024, 11:28</t>
  </si>
  <si>
    <t>Gonzalo Andrés Zamorano Valenzuela (National)</t>
  </si>
  <si>
    <t>21 Oct 2024, 11:29</t>
  </si>
  <si>
    <t>Optimizing Disaster Relief Logistics in Chile: A Location-Inventory-Routing Framework</t>
  </si>
  <si>
    <t>Tina Wakolbinger (International)</t>
  </si>
  <si>
    <t>21 Oct 2024, 12:46</t>
  </si>
  <si>
    <t>ITEA Annual Conference and School 2024</t>
  </si>
  <si>
    <t>Maximization of equilibrium utility vs minimization of resources in the urban equilibrium</t>
  </si>
  <si>
    <t>21 Oct 2024, 11:50</t>
  </si>
  <si>
    <t>Reallocation of time after an exogenous reduction in mandatory travel: Transport, work, and leisure in Chilean two-worker two-gender households</t>
  </si>
  <si>
    <t>21 Oct 2024, 11:58</t>
  </si>
  <si>
    <t>Second-best welfare-improving taxes in the urban equilibrium</t>
  </si>
  <si>
    <t>Jan Breuckner (Intenational)</t>
  </si>
  <si>
    <t>21 Oct 2024, 12:37</t>
  </si>
  <si>
    <t>10th Atlantic Workshop on Energy and Environmental Economics</t>
  </si>
  <si>
    <t>Designing Low Emission Zones: The Role of Transition Technologies</t>
  </si>
  <si>
    <t>Juan-Pablo Montero (Principal Researcher)</t>
  </si>
  <si>
    <t>Imelda Fabra (International)</t>
  </si>
  <si>
    <t>21 Oct 2024, 12:41</t>
  </si>
  <si>
    <t>12th Symposium of the European Association for Research in Transportation (hEART 2024)</t>
  </si>
  <si>
    <t>21 Oct 2024, 12:31</t>
  </si>
  <si>
    <t>2024 World Symposium on Transport and Land Use Research (WSTLUR 2024)</t>
  </si>
  <si>
    <t>Unexpected influence of highways in urban shape, sprawl travel times</t>
  </si>
  <si>
    <t>Francisco Javier Martinez Concha (Adjunct Researcher)</t>
  </si>
  <si>
    <t>21 Oct 2024, 11:43</t>
  </si>
  <si>
    <t>2024 INFORMS-ALIO-ASOCIO International Conference</t>
  </si>
  <si>
    <t>Countrywide Optimization of Supply Chain Operations in the Food Industry</t>
  </si>
  <si>
    <t>Cristián Eduardo Cortés Carrillo (Adjunct Researcher)</t>
  </si>
  <si>
    <t>21 Oct 2024, 11:26</t>
  </si>
  <si>
    <t>Participó en varias sesiones como Co-Chair.</t>
  </si>
  <si>
    <t>21 Oct 2024, 11:35</t>
  </si>
  <si>
    <t>Optimization models for the analysis of Extended Producer Responsibility policies in the packaging sector: A comparison of national regulations”</t>
  </si>
  <si>
    <t>Jonathan Lozano Oviedom (International)</t>
  </si>
  <si>
    <t>21 Oct 2024, 11:37</t>
  </si>
  <si>
    <t>70th Anniversary Conference of the Yrjö Jahnsson Foundation on Climate change</t>
  </si>
  <si>
    <t>invitado por su co-autor Matti Liski quien organiza la conferencia</t>
  </si>
  <si>
    <t>Matti Liski (International)</t>
  </si>
  <si>
    <t>21 Oct 2024, 12:40</t>
  </si>
  <si>
    <t>Behavioral Decision Research in Management (BDRM 2024)</t>
  </si>
  <si>
    <t>Tailored Behavioral Nudges in Healthcare: Strategies for Optimizing Patient Attendance and Clinic Capacity</t>
  </si>
  <si>
    <t>08 Jun 2024</t>
  </si>
  <si>
    <t>21 Oct 2024, 10:55</t>
  </si>
  <si>
    <t>2024 Marketing Dynamics Conference</t>
  </si>
  <si>
    <t>21 Oct 2024, 11:14</t>
  </si>
  <si>
    <t>Robotics, IoT And Point Of Sales Data To Measure The Impact Of Shelf Position On Sales</t>
  </si>
  <si>
    <t>Demetrios Vakratsas (International Colaborator)</t>
  </si>
  <si>
    <t>15 Oct 2024, 15:19</t>
  </si>
  <si>
    <t>42nd Annual Meeting of the European Society for Paediatric Infectious Diseases (ESPID2024)</t>
  </si>
  <si>
    <t>Cost-effectiveness retrospective analysis of nirsevimab strategies for prevention of respiratory syncytial virus (rsv) disease among infants in chile: a national study</t>
  </si>
  <si>
    <t>20 May 2024</t>
  </si>
  <si>
    <t>ODYSSEUS 2024</t>
  </si>
  <si>
    <t>Integrated network equilibrium model for private cars and urban logistic systems</t>
  </si>
  <si>
    <t>21 Oct 2024, 09:52</t>
  </si>
  <si>
    <t>Multi- objective optimization model for a sustainable closed-loop supply chain of the returnable packaging sector considering Extended Producer Responsibility</t>
  </si>
  <si>
    <t>21 Oct 2024, 11:38</t>
  </si>
  <si>
    <t>Taller organizado por la Facultad de Ingeniería de la Universidad de la República.</t>
  </si>
  <si>
    <t>Expositor oral en el taller sobre avances en la aplicación de la optimización y el uso de datos en la planificación y la operación del transporte público</t>
  </si>
  <si>
    <t>Antonio Mauttone (International Colaborator)</t>
  </si>
  <si>
    <t>21 Oct 2024, 10:38</t>
  </si>
  <si>
    <t>20th Symposium on Systems Analysis in Forest (SSAFR 2024)</t>
  </si>
  <si>
    <t>An Analytics Based System to Support Decisions in Fuel Management in prevention of Forest Fires</t>
  </si>
  <si>
    <t>Andrés Weintraub (Main Researcher Not part of Central Team)</t>
  </si>
  <si>
    <t>Jordi Garcia-Gonzalo (International Colaborator)</t>
  </si>
  <si>
    <t>15 Oct 2024, 15:22</t>
  </si>
  <si>
    <t>Overcoming Fuel Mapping Limitations with a New Methodology" and "Fire2a's QGIS toolbox-plugin"</t>
  </si>
  <si>
    <t>Felipe Andrés De La Barra Poblete (National Colaborator)</t>
  </si>
  <si>
    <t>15 Oct 2024, 15:23</t>
  </si>
  <si>
    <t>A methodological framework for the spatial multi-criteria prioritisation management problem</t>
  </si>
  <si>
    <t>Felipe Andrés Ulloa Fierro (National Colaborator)</t>
  </si>
  <si>
    <t>15 Oct 2024, 15:30</t>
  </si>
  <si>
    <t>Proposal and Validation of a Set of Landscape Wildfire Susceptibility Indicators</t>
  </si>
  <si>
    <t>Horacio Bernardo Gilabert Peralta (National Colaborator)</t>
  </si>
  <si>
    <t>15 Oct 2024, 15:33</t>
  </si>
  <si>
    <t>Wildfire seasons are getting longer in Chile: Evidence from a non-parametric approac</t>
  </si>
  <si>
    <t>15 Oct 2024, 15:34</t>
  </si>
  <si>
    <t>Optimizing stand placement for firebreak inclusion through a novel multi-criteria solution approach and its subsequent effectiveness</t>
  </si>
  <si>
    <t>15 Oct 2024, 15:35</t>
  </si>
  <si>
    <t>Advancing Forest Fire Prevention: Deep Reinforcement Learning for Effective Firebreak Placement</t>
  </si>
  <si>
    <t>Lucas Murray Hidalgo (National Colaborator)</t>
  </si>
  <si>
    <t>15 Oct 2024, 15:37</t>
  </si>
  <si>
    <t>Matías Alonso Vilches Alvarez (National Colaborator)</t>
  </si>
  <si>
    <t>21 Oct 2024, 10:32</t>
  </si>
  <si>
    <t>22nd International Conference in Industrial Organization.</t>
  </si>
  <si>
    <t>Innovation, Regulation, and Corporate Responsibility</t>
  </si>
  <si>
    <t>Carla Guadalupi (International), Jorge Lemus (International)</t>
  </si>
  <si>
    <t>International Choice Modelling Conference (ICMC 2024)</t>
  </si>
  <si>
    <t>21 Oct 2024, 09:42</t>
  </si>
  <si>
    <t>How have commuting choices and work from home changed since 2020 in metropolitan versus rural settings? A case study in Australia</t>
  </si>
  <si>
    <t>21 Oct 2024, 09:47</t>
  </si>
  <si>
    <t>Willingness To Change Compulsory Trips To Bicycle: Role Of Habit, Perceptions And The Built Environment</t>
  </si>
  <si>
    <t>21 Oct 2024, 09:57</t>
  </si>
  <si>
    <t>Incorporating the inertia effect into a route choice model using fare transaction data from a large- scale public transport network</t>
  </si>
  <si>
    <t>21 Oct 2024, 10:00</t>
  </si>
  <si>
    <t>Comité organizador del Congreso</t>
  </si>
  <si>
    <t>21 Oct 2024, 10:09</t>
  </si>
  <si>
    <t>The Microeconomics of Travel Choice</t>
  </si>
  <si>
    <t>21 Oct 2024, 10:11</t>
  </si>
  <si>
    <t>Keynote Speaker en temas sobre estudios de transporte, marketing, toma de decisiones, valoración ambiental y economía de la salud</t>
  </si>
  <si>
    <t>Antonio Rangel (International)</t>
  </si>
  <si>
    <t>21 Oct 2024, 11:19</t>
  </si>
  <si>
    <t>Associative Learning Symposium XXVIII</t>
  </si>
  <si>
    <t>Habits hinder exploration of new and better alternatives</t>
  </si>
  <si>
    <t>21 Oct 2024, 11:11</t>
  </si>
  <si>
    <t>Workshop in Management and Economics of Procurement</t>
  </si>
  <si>
    <t xml:space="preserve"> Transformaciones del sistema pen Contracting Partnership en Italia y Europa.</t>
  </si>
  <si>
    <t>Francesco De Carolis (International Colaborator)</t>
  </si>
  <si>
    <t>24 Mar 2024</t>
  </si>
  <si>
    <t>21 Oct 2024, 10:03</t>
  </si>
  <si>
    <t>2024 POMS-MIT SCALE Latin America &amp; the Caribbean Conference.</t>
  </si>
  <si>
    <t>A multi- objective optimization model to support the planning of a sustainable closed-loop supply chain of returnable packaging</t>
  </si>
  <si>
    <t>19 Mar 2024</t>
  </si>
  <si>
    <t>21 Oct 2024, 11:39</t>
  </si>
  <si>
    <t xml:space="preserve">STE2024 – International Conference on Smart Technologies &amp; Education </t>
  </si>
  <si>
    <t>Predictive Control Strategies based on Evolving Prediction Intervals for Energy-Water Microgrids</t>
  </si>
  <si>
    <t>Doris Andrea Saez Hueichapan (Main Researcher Not part of Central Team)</t>
  </si>
  <si>
    <t>Leonardo Espinosa-Leal (International Colaborator)</t>
  </si>
  <si>
    <t>15 Oct 2024, 15:11</t>
  </si>
  <si>
    <t>Connections to Sustain Science in Latin America Workshop.</t>
  </si>
  <si>
    <t>Co-Chair</t>
  </si>
  <si>
    <t>Daniel Placht (International Colaborator)</t>
  </si>
  <si>
    <t>21 Oct 2024, 09:50</t>
  </si>
  <si>
    <t>3rd International Workshop on Bilevel Optimization – IWOBIP'24</t>
  </si>
  <si>
    <t>Discusión sobre temas relativos a la Programación Bilevel, rama de la optimización que se ocupa de programas cuyas restricciones incorporan un problema de optimización auxiliar.</t>
  </si>
  <si>
    <t>Branco Henir Painemán Muñoz (National Colaborator), Nicolás Acevedo Villena (National Colaborator)</t>
  </si>
  <si>
    <t>15 Oct 2024, 14:49</t>
  </si>
  <si>
    <t>Design of PVRP heuristic for parcel deliveries in a metropolitan area</t>
  </si>
  <si>
    <t>Juan Pablo Cantillana Abarca (National Colaborator)</t>
  </si>
  <si>
    <t>15 Oct 2024, 14:51</t>
  </si>
  <si>
    <t>Regression Analysis with Missing Categorical Variables via Bilevel Optimization</t>
  </si>
  <si>
    <t>Gonzalo Ignacio Muñoz Martínez (Adjunct Researcher)</t>
  </si>
  <si>
    <t>15 Oct 2024, 14:52</t>
  </si>
  <si>
    <t>AFB230003</t>
  </si>
  <si>
    <t xml:space="preserve">Theoretical Particle Physics	</t>
  </si>
  <si>
    <t xml:space="preserve">Experimental Particle Physics	</t>
  </si>
  <si>
    <t>Boris Kopeliovich (Adjunct Researcher)</t>
  </si>
  <si>
    <t xml:space="preserve">Experimental Particle Physics	; Theoretical Particle Physics	</t>
  </si>
  <si>
    <t>Ten years after a Polynomial Affine Model of Gravity</t>
  </si>
  <si>
    <t>Oscar Alberto Castillo Felisola (Adjunct Researcher)</t>
  </si>
  <si>
    <t>Carolina Arbelaez Rodriguez (Adjunct Researcher)</t>
  </si>
  <si>
    <t>Antonio Javier Radic Brito (PhD Thesis)</t>
  </si>
  <si>
    <t>Micromundos, ciencia y arte en tus manos</t>
  </si>
  <si>
    <t>XIII International Conference on New Frontiers in Physics</t>
  </si>
  <si>
    <t>Rate of the small-strip thin gap chambers (sTGC's) in the New Small Wheel's of ATLAS</t>
  </si>
  <si>
    <t>04 Aug 2025, 08:17</t>
  </si>
  <si>
    <t>IV Encuentro Nacional de Profesionales de la Comunicación y Divulgación en Ciencia</t>
  </si>
  <si>
    <t>25 Jul 2025, 11:13</t>
  </si>
  <si>
    <t>27th Iberoamerican Congress on Pattern Recognition</t>
  </si>
  <si>
    <t>Beta distribution approach for outlier exposure in multi-class text classification</t>
  </si>
  <si>
    <t>National Colaborator: C. Maldonado, C.Valle.</t>
  </si>
  <si>
    <t xml:space="preserve">Computer Science	</t>
  </si>
  <si>
    <t>04 Aug 2025, 14:25</t>
  </si>
  <si>
    <t>XXIV Symposium of the Chilean Physical Society</t>
  </si>
  <si>
    <t>06 Aug 2025, 16:59</t>
  </si>
  <si>
    <t>The Southern Wide-field Gamma-ray Observatory: a new GR observatory in South America</t>
  </si>
  <si>
    <t xml:space="preserve">National Colaborator: Valeria del Campo; Gonzalo Avaria &amp; Ian Balitsky, </t>
  </si>
  <si>
    <t>24 Jul 2025, 14:52</t>
  </si>
  <si>
    <t>Nucleon structure from photoproduction of heavy mesons</t>
  </si>
  <si>
    <t>Highlights from the ATLAS experiment at LHC</t>
  </si>
  <si>
    <t>05 Aug 2025, 09:38</t>
  </si>
  <si>
    <t>XIX Chilean Astronomical Society Annual Meeting</t>
  </si>
  <si>
    <t>Prediction of stellar parameters in B stars using machine learning</t>
  </si>
  <si>
    <t>A. Miranda, M. Curé, C. Arcos, R. Levenhagen</t>
  </si>
  <si>
    <t>05 Aug 2025, 10:40</t>
  </si>
  <si>
    <t>13th Sustainable Nanotechnology Organization SNO Conference</t>
  </si>
  <si>
    <t>Nanostructured membrane based on Didymosphenia geminata for efficient adsorption of divalent metals</t>
  </si>
  <si>
    <t>National Colaborator: Elias Reinoso Guerra, Juliet Andrea Aristizabal, Barbara Arce</t>
  </si>
  <si>
    <t>25 Jul 2025, 10:28</t>
  </si>
  <si>
    <t>Seminario Internacional de Ingeniería y Operacion Portuaria (SIOP)</t>
  </si>
  <si>
    <t>Tsunamis en puertos: Mas allá de la inundación</t>
  </si>
  <si>
    <t>2024 43rd International Conference of the Chilean Computer Science Society</t>
  </si>
  <si>
    <t>Uncertainty estimation in classification of massive stars using conformal predictions</t>
  </si>
  <si>
    <t>Raquel Andrea Pezoa Rivera (Adjunct Researcher); Claudio Esteban Torres López (Adjunct Researcher)</t>
  </si>
  <si>
    <t xml:space="preserve"> National Colaborator: Luis Salinas,  National Colaborator: Felipe Ortiz,  National Colaborator: Michel Cure,  National Colaborator: Ignacio Araya</t>
  </si>
  <si>
    <t>05 Aug 2025, 10:45</t>
  </si>
  <si>
    <t>Jornadas Chilenas de Computación 2024</t>
  </si>
  <si>
    <t>A High-Performance Implementation of a Simplified Coupled Wildfire-Atmosphere Mathematical Model</t>
  </si>
  <si>
    <t>Claudio Esteban Torres López (Adjunct Researcher); Daniel Eduardo San Martin Reyes (PhD Thesis)</t>
  </si>
  <si>
    <t>06 Nov 2024, 08:21</t>
  </si>
  <si>
    <t>43rd International Conference of the Chilean Computer Science Society</t>
  </si>
  <si>
    <t>Uncertainty estimation in classification of massive stars spectra using conformal predictions</t>
  </si>
  <si>
    <t>Raquel Andrea Pezoa Rivera (Adjunct Researcher); Luis Armando Salinas Carrasco (Adjunct Researcher); Claudio Esteban Torres López (Adjunct Researcher)</t>
  </si>
  <si>
    <t>04 Nov 2024, 08:50</t>
  </si>
  <si>
    <t>Latin American Symposium on Solid State Physics 2024</t>
  </si>
  <si>
    <t>Solid Solutions of Transition Metal Dichalcogenides for Thermoelectric Applications</t>
  </si>
  <si>
    <t>05 Nov 2024, 08:30</t>
  </si>
  <si>
    <t>XXV Latin American Symposium on Solid State Physics</t>
  </si>
  <si>
    <t>25 Jul 2025, 11:21</t>
  </si>
  <si>
    <t>The 43rd International Symposium on Physics in Collision</t>
  </si>
  <si>
    <t>Heavy-flavor and quarkonia measurements from RHIC</t>
  </si>
  <si>
    <t>06 Nov 2024, 08:00</t>
  </si>
  <si>
    <t>Método de estimación de valores faltantes basado en aprendizaje estadístico aplicado a pacientes con Alzheimer</t>
  </si>
  <si>
    <t>National Colaborator: S. Campos, National Colaborator:  J. Zamora.</t>
  </si>
  <si>
    <t>04 Aug 2025, 14:35</t>
  </si>
  <si>
    <t>XI Jornadas de I+D+i &amp; 3nd International Workshop on STEM</t>
  </si>
  <si>
    <t>Evaluation of the effect of graphene coating on the biological behaviour of high entropy alloys with functional gradient porosity</t>
  </si>
  <si>
    <t>05 Nov 2024, 08:28</t>
  </si>
  <si>
    <t>XI jornadas de I+D+i &amp; 3rd International Workshop on STEM</t>
  </si>
  <si>
    <t>25 Jul 2025, 11:17</t>
  </si>
  <si>
    <t>REF 2024 11th edition</t>
  </si>
  <si>
    <t>Resummation Evolution Factorization 2024</t>
  </si>
  <si>
    <t>05 Nov 2024, 07:44</t>
  </si>
  <si>
    <t>Tech Horizon Valparaíso</t>
  </si>
  <si>
    <t>Workshop: Innovar en regiones y Charla invitada con perspectiva de género - doble desafío</t>
  </si>
  <si>
    <t>25 Jul 2025, 10:04</t>
  </si>
  <si>
    <t>Festival de la Ciencia</t>
  </si>
  <si>
    <t>Charla «Inteligencia Artificial: un breve vistazo a su implementación e impacto en la ciencia y la sociedad</t>
  </si>
  <si>
    <t>Luis Armando Salinas Carrasco (Adjunct Researcher)</t>
  </si>
  <si>
    <t>30 Oct 2024, 10:19</t>
  </si>
  <si>
    <t>2024 Latin America High Performance Computing Conference</t>
  </si>
  <si>
    <t>Histopathology Image Augmentation through StyleGAN2-ADA</t>
  </si>
  <si>
    <t>National Colaboration: Branndon Muñoz, National Colaboration: Helen Gutiérrez</t>
  </si>
  <si>
    <t>05 Aug 2025, 10:34</t>
  </si>
  <si>
    <t>CARLA 2024</t>
  </si>
  <si>
    <t>06 Nov 2024, 08:17</t>
  </si>
  <si>
    <t>International Conference on New Frontiers in Physics (ICNFP) 2024</t>
  </si>
  <si>
    <t>Photoproduction of heavy quarkonia pairs</t>
  </si>
  <si>
    <t>05 Nov 2024, 07:48</t>
  </si>
  <si>
    <t>Sistema de alertas de desastres naturales e innovación en materiales de construcción</t>
  </si>
  <si>
    <t>Sistema de Alerta de Tsunami</t>
  </si>
  <si>
    <t>27 Oct 2024</t>
  </si>
  <si>
    <t>30 Oct 2024, 10:21</t>
  </si>
  <si>
    <t>25 Jul 2025, 12:11</t>
  </si>
  <si>
    <t>The 11th SWGO General Meeting</t>
  </si>
  <si>
    <t>The SWGO Site in Chile</t>
  </si>
  <si>
    <t>05 Nov 2024, 07:54</t>
  </si>
  <si>
    <t>Current plans for prototyping in Chile</t>
  </si>
  <si>
    <t>05 Nov 2024, 07:55</t>
  </si>
  <si>
    <t xml:space="preserve">38th International Conference on Coastal Engineering </t>
  </si>
  <si>
    <t>08 Aug 2025, 14:04</t>
  </si>
  <si>
    <t>Diffraction and Low-x 2024</t>
  </si>
  <si>
    <t>Heavy flavor measurements at RHIC</t>
  </si>
  <si>
    <t>06 Nov 2024, 07:56</t>
  </si>
  <si>
    <t>Fragmentation of heavy quarks</t>
  </si>
  <si>
    <t>28 Jul 2025, 20:41</t>
  </si>
  <si>
    <t>Hacia una gestión sostenible del agua: Desafíos de la escasez hídrica y oportunidades en la economía circular</t>
  </si>
  <si>
    <t>05 Nov 2024, 08:08</t>
  </si>
  <si>
    <t>12° Congreso Internacional en Gestión del Agua en Minería y Procesos Industriales</t>
  </si>
  <si>
    <t>Desalinización sostenible de agua salobre mediante producción de neblina por difusores para abordar la crisis hídrica en zonas costeras</t>
  </si>
  <si>
    <t>Paula Alejandra Guerra Pinto (Principal Researcher); Christian Pablo Romero Vieyra (Principal Researcher)</t>
  </si>
  <si>
    <t>National Colaborator: Jampier Snatillán</t>
  </si>
  <si>
    <t>01 Aug 2025, 10:23</t>
  </si>
  <si>
    <t>Desarrollo de membranas a partir de polímeros en desuso y solventes verdes para tratamiento de agua</t>
  </si>
  <si>
    <t>Internatinoal Colaborator: Diego Barañao</t>
  </si>
  <si>
    <t>01 Aug 2025, 10:25</t>
  </si>
  <si>
    <t>Trusted AI</t>
  </si>
  <si>
    <t xml:space="preserve"> Taller de IA Confiable</t>
  </si>
  <si>
    <t>30 Oct 2024, 10:31</t>
  </si>
  <si>
    <t>QCD in dense media</t>
  </si>
  <si>
    <t>06 Nov 2024, 07:54</t>
  </si>
  <si>
    <t>HCW2024 tak</t>
  </si>
  <si>
    <t>Jet Software &amp; Validation: JetToolHelpers, Derivations and More</t>
  </si>
  <si>
    <t>28 Jul 2025, 16:19</t>
  </si>
  <si>
    <t>ITP-TEWS 2024 training</t>
  </si>
  <si>
    <t>TWC Operations: Decision Support System (DSS) - Chile example: Tsunami Warning Integrated Forecast System (Chile SIPAT)</t>
  </si>
  <si>
    <t>Primera Jornada de Ciencia Asociativa</t>
  </si>
  <si>
    <t>Casos Exitosos de Ciencia Asociativa</t>
  </si>
  <si>
    <t>William King Brooks (Director)</t>
  </si>
  <si>
    <t>13 Aug 2024, 08:59</t>
  </si>
  <si>
    <t>28ee TravesIA</t>
  </si>
  <si>
    <t>Escasez hídrica, calidad del agua y el uso responsable de los recursos hídricos</t>
  </si>
  <si>
    <t xml:space="preserve">Computer Science	; Experimental Particle Physics	</t>
  </si>
  <si>
    <t>01 Aug 2025, 10:17</t>
  </si>
  <si>
    <t>28ee Travesia;</t>
  </si>
  <si>
    <t>Horizonte Sostenible</t>
  </si>
  <si>
    <t>05 Nov 2024, 08:06</t>
  </si>
  <si>
    <t>International Conference on High Energy Physics (ICHEP 2024)</t>
  </si>
  <si>
    <t>Fermion mass hierarchy in an extended left-right symmetric model</t>
  </si>
  <si>
    <t>05 Nov 2024, 07:42</t>
  </si>
  <si>
    <t>42nd International Conference on High Energy Physics</t>
  </si>
  <si>
    <t>Vector meson production in UPC</t>
  </si>
  <si>
    <t>Jan Nemchik</t>
  </si>
  <si>
    <t>28 Jul 2025, 20:47</t>
  </si>
  <si>
    <t xml:space="preserve">Talk </t>
  </si>
  <si>
    <t>The EMC Effect in Spin Structure Functions</t>
  </si>
  <si>
    <t>08 Aug 2025, 10:51</t>
  </si>
  <si>
    <t>2024 IEEE International Conference on Microwaves, Communications, Antennas, Biomedical Engineering and Electronic Systems (COMCAS)</t>
  </si>
  <si>
    <t>Average Backscatter Clutter Power for RF Sensing Applications in Indoor Environments</t>
  </si>
  <si>
    <t>Rodolfo Juan Feick Laudien (Principal Researcher); Mauricio Rodríguez Guzmán (Adjunct Researcher)</t>
  </si>
  <si>
    <t xml:space="preserve">Electronics	</t>
  </si>
  <si>
    <t>04 Nov 2024, 08:25</t>
  </si>
  <si>
    <t>52nd Jefferson Lab Program Advisory Conference</t>
  </si>
  <si>
    <t>PAC 52</t>
  </si>
  <si>
    <t>13 Aug 2024, 08:51</t>
  </si>
  <si>
    <t>18th World Conference on Earthquake Engineering (WCEE2024)</t>
  </si>
  <si>
    <t>LOCAL RESONANCE AND ITS RELATION TO UNCERTAINTY IN HAZARD CHARACTERIZATION</t>
  </si>
  <si>
    <t>08 Aug 2025, 13:57</t>
  </si>
  <si>
    <t>Physics of Extreme Massive Stars</t>
  </si>
  <si>
    <t>Deep learning models for analyzing massive star data: towards accurate and unbiased results</t>
  </si>
  <si>
    <t>25 Jul 2025, 15:24</t>
  </si>
  <si>
    <t>International Conference Physics of Extreme Massive Stars</t>
  </si>
  <si>
    <t>29 Jul 2024, 17:04</t>
  </si>
  <si>
    <t>Cosmology from Home 2024</t>
  </si>
  <si>
    <t>Cosmological Expectations From a Polynomial Affine Model of Gravity: a gravitational tale with no (fundamental) metric.</t>
  </si>
  <si>
    <t>06 Aug 2025, 16:49</t>
  </si>
  <si>
    <t>04 Nov 2024, 15:17</t>
  </si>
  <si>
    <t>FAccT 2024: Doctoral ACM FAccT 2024 Doctoral Colloquium</t>
  </si>
  <si>
    <t>Exhibiendo el sesgo de género en Profesiones en NLP: identificando sus orígenes en los vectores de palabras GloVe</t>
  </si>
  <si>
    <t>Claudio Esteban Torres López (Adjunct Researcher); Andrea Solange Freire Moran  (PhD Thesis)</t>
  </si>
  <si>
    <t>06 Nov 2024, 08:23</t>
  </si>
  <si>
    <t>Gravtalks</t>
  </si>
  <si>
    <t xml:space="preserve"> A polynomial affine model of gravity: a gravitational tale with no (fundamental) metric.</t>
  </si>
  <si>
    <t>04 Nov 2024, 15:20</t>
  </si>
  <si>
    <t>Invited talk at the Colloquium of the Instituto de Tecnología para la Innovación (Itisib)</t>
  </si>
  <si>
    <t>The Southern Wide-field Gamma-ray Observatory SWGO</t>
  </si>
  <si>
    <t>05 Nov 2024, 07:58</t>
  </si>
  <si>
    <t>Invited talk at Colloquium of the Physics Department</t>
  </si>
  <si>
    <t>SWGO: el nuevo Observatorio de Rayos Gamma en Sudamérica</t>
  </si>
  <si>
    <t>05 Nov 2024, 07:57</t>
  </si>
  <si>
    <t xml:space="preserve">IUCSS 2024 </t>
  </si>
  <si>
    <t>A polynomial affine model of gravity: a gravitational tale with no (fundamental) metric.</t>
  </si>
  <si>
    <t>04 Nov 2024, 15:22</t>
  </si>
  <si>
    <t>Magneto-optical detection of spin-orbit torque vector with first-order Kerr effects.</t>
  </si>
  <si>
    <t>Claudio Alejandro González Fuentes (Adjunct Researcher)</t>
  </si>
  <si>
    <t>06 Aug 2025, 15:12</t>
  </si>
  <si>
    <t>A Mixed 2D Discrete Fourier Transform and Finite Difference Method for solving a 3D Poisson Equation</t>
  </si>
  <si>
    <t>06 Nov 2024, 08:19</t>
  </si>
  <si>
    <t xml:space="preserve">2024 APS </t>
  </si>
  <si>
    <t>Transverse momentum broadening of DIS multiple-pion events with CLAS at Jefferson lab</t>
  </si>
  <si>
    <t xml:space="preserve">Matias Barria </t>
  </si>
  <si>
    <t>08 Aug 2025, 10:20</t>
  </si>
  <si>
    <t>Measurement of azimuthal asymmetries of positive pions in DIS off nuclei with the CLAS detector at Jefferson Lab</t>
  </si>
  <si>
    <t xml:space="preserve">Claudio San Martin </t>
  </si>
  <si>
    <t>08 Aug 2025, 10:22</t>
  </si>
  <si>
    <t>American Physical Society</t>
  </si>
  <si>
    <t>Two-Pion Bose-Einstein correlation measurements with CLAS detector</t>
  </si>
  <si>
    <t>04 Apr 2024</t>
  </si>
  <si>
    <t>28 Jul 2025, 14:33</t>
  </si>
  <si>
    <t>2024 American Physical Society</t>
  </si>
  <si>
    <t>Novel Experimental Results in Nucleon-Nucleon Short Range Correlations</t>
  </si>
  <si>
    <t>05 Aug 2025, 11:07</t>
  </si>
  <si>
    <t>Study of proton structure using heavy meson pair photoproduction</t>
  </si>
  <si>
    <t>05 Nov 2024, 07:47</t>
  </si>
  <si>
    <t>New Results for Quark Propagation in Cold Matter, and Potential Connections to Diquarks in Hadrons</t>
  </si>
  <si>
    <t>05 Aug 2025, 11:03</t>
  </si>
  <si>
    <t>Measurement of Multi-dimensional Multiplicity Ratios for the Proton Production from Carbon, Iron, and Lead with Respect to Deuterium, and Implications for Diquark Investigations,”</t>
  </si>
  <si>
    <t>04 Nov 2024, 15:43</t>
  </si>
  <si>
    <t>05 Nov 2024, 08:05</t>
  </si>
  <si>
    <t>Día internacional de la mujer y niña en la ciencia</t>
  </si>
  <si>
    <t>Inauguración exhibición Grandes Mujeres en la CTCI</t>
  </si>
  <si>
    <t>21 Feb 2024</t>
  </si>
  <si>
    <t>25 Jul 2025, 10:13</t>
  </si>
  <si>
    <t>Conferencia ATLAS week</t>
  </si>
  <si>
    <t>Goals of the HI run 3</t>
  </si>
  <si>
    <t>17 Feb 2024</t>
  </si>
  <si>
    <t>28 Jul 2025, 16:18</t>
  </si>
  <si>
    <t>Spintronics' day 2024</t>
  </si>
  <si>
    <t>Espintrónica experimental en Chile</t>
  </si>
  <si>
    <t>06 Aug 2025, 15:04</t>
  </si>
  <si>
    <t>Hirschfest</t>
  </si>
  <si>
    <t>Martin’s 60th birthday</t>
  </si>
  <si>
    <t>29 Jul 2025, 13:38</t>
  </si>
  <si>
    <t>1st Pacific Summer School</t>
  </si>
  <si>
    <t>A model for cosmological perturbations in affine gravity, Can we forget about a fundamental metric?</t>
  </si>
  <si>
    <t>04 Nov 2024, 15:27</t>
  </si>
  <si>
    <t>7th Chilean Workshop on Numerical Analysis of Partial Differential Equations (WONAPDE 2024)</t>
  </si>
  <si>
    <t>Boundary integral equations in coupled physical system</t>
  </si>
  <si>
    <t>Christopher David Cooper Villagran (Adjunct Researcher)</t>
  </si>
  <si>
    <t>04 Nov 2024, 08:22</t>
  </si>
  <si>
    <t>4th LA Conference on Sustainable Development of Energy, Water and Environment Systems</t>
  </si>
  <si>
    <t>Evaluation of Graywater Treatment Alternatives for Different Irrigation 3 Uses: A Case Study on Laundry Graywater Treatment in Central Chile</t>
  </si>
  <si>
    <t>05 Nov 2024, 08:02</t>
  </si>
  <si>
    <t>AFB240002</t>
  </si>
  <si>
    <t>Samir Kouro Renaer (Principal Researcher); Hugues Renaudineau (Adjunct Researcher)</t>
  </si>
  <si>
    <t>Renewable Energy and Power Conversion</t>
  </si>
  <si>
    <t>Biomedical Systems</t>
  </si>
  <si>
    <t>Paul Hinckley Delano Reyes (Adjunct Researcher)</t>
  </si>
  <si>
    <t>Sandra Lorena Céspedes Umaña (Adjunct Researcher)</t>
  </si>
  <si>
    <t>Data Analytics and Artificial Intelligence</t>
  </si>
  <si>
    <t>Samir Kouro Renaer (Principal Researcher); Hugues Renaudineau (Adjunct Researcher); José Ramón Rodríguez Pérez (Adjunct Researcher)</t>
  </si>
  <si>
    <t>Constanza Andrea Ahumada Sanhueza (Adjunct Researcher)</t>
  </si>
  <si>
    <t>Control and Automation</t>
  </si>
  <si>
    <t>Alejandro José ROJAS NORMAN (Adjunct Researcher)</t>
  </si>
  <si>
    <t>01 Dec 2025, 15:17</t>
  </si>
  <si>
    <t>Marcos Eduardo Orchard Concha (Principal Researcher)</t>
  </si>
  <si>
    <t>Robotics</t>
  </si>
  <si>
    <t>Jose Francisco Delpiano Costabal (Adjunct Researcher)</t>
  </si>
  <si>
    <t>Margarita Andrea Norambuena Valdivia (Principal Researcher)</t>
  </si>
  <si>
    <t>Electrical Systems</t>
  </si>
  <si>
    <t>Biomedical Systems; Control and Automation; Renewable Energy and Power Conversion</t>
  </si>
  <si>
    <t>Alejandro Jose Weinstein Oppenheimer (Adjunct Researcher)</t>
  </si>
  <si>
    <t>Esteban Manuel Gil Sagas (Adjunct Researcher)</t>
  </si>
  <si>
    <t>Samir Kouro Renaer (Principal Researcher); Margarita Andrea Norambuena Valdivia (Principal Researcher); José Ramón Rodríguez Pérez (Adjunct Researcher)</t>
  </si>
  <si>
    <t>Electrical Systems; Renewable Energy and Power Conversion</t>
  </si>
  <si>
    <t>Samir Kouro Renaer (Principal Researcher)</t>
  </si>
  <si>
    <t>Alejandro Alberto Angulo Cárdenas (Adjunct Researcher)</t>
  </si>
  <si>
    <t>Juan Carlos Agüero Vásquez (Adjunct Researcher)</t>
  </si>
  <si>
    <t>Matias Zañartu Salas (Principal Researcher)</t>
  </si>
  <si>
    <t>Alondra Araya</t>
  </si>
  <si>
    <t>Marcelo Alfonso Soto Hernández (Principal Researcher)</t>
  </si>
  <si>
    <t>Sebastian Espinosa (Postdoctoral Fellow)</t>
  </si>
  <si>
    <t>Samir Kouro Renaer (Principal Researcher); José Ramón Rodríguez Pérez (Adjunct Researcher)</t>
  </si>
  <si>
    <t>Control and Automation; Renewable Energy and Power Conversion</t>
  </si>
  <si>
    <t>Jorge Ignacio Marin Niño de Zepeda (Adjunct Researcher)</t>
  </si>
  <si>
    <t>Samir Kouro Renaer (Principal Researcher); CRISTIAN FRANCISCO GARCIA PEÑAILILLO (Adjunct Researcher); José Ramón Rodríguez Pérez (Adjunct Researcher)</t>
  </si>
  <si>
    <t>Ronny Obed Vallejos Arriagada (Adjunct Researcher)</t>
  </si>
  <si>
    <t>2024 IEEE International Conference on Power Electronics Drives and Energy Systems (PEDES 2024</t>
  </si>
  <si>
    <t>21 Dec 2024</t>
  </si>
  <si>
    <t>24 Jun 2025, 16:35</t>
  </si>
  <si>
    <t>2024 IEEE International Conference on Power Electronics Drives and Energy Systems (PEDES 2024)</t>
  </si>
  <si>
    <t>Predictive Phase-Shift Control of Interleaved Quadratic Buck Converter as the Power Supply of the Electrolyzer in Green Hydrogen Technology</t>
  </si>
  <si>
    <t>01 Dec 2025, 14:47</t>
  </si>
  <si>
    <t>Reconfigurable Type I and Type II buck-boost partial power converter for EV fast chargers</t>
  </si>
  <si>
    <t>01 Dec 2025, 14:49</t>
  </si>
  <si>
    <t>2024 PEDES – IEEE International Conference on Power Electronics Drives and Energy Systems</t>
  </si>
  <si>
    <t>Samir Kouro Renaer (Principal Researcher); Hugues Renaudineau (Adjunct Researcher); Sebastián Andre Rivera Iunnissi (Adjunct Researcher); José Ramón Rodríguez Pérez (Adjunct Researcher)</t>
  </si>
  <si>
    <t>23 Dec 2024</t>
  </si>
  <si>
    <t>24 Jun 2025, 11:47</t>
  </si>
  <si>
    <t>3rd Latin American Summer School on Robotics (LACORO)</t>
  </si>
  <si>
    <t>Advancing Robotics Systems Modeling, Simulation and Control: From Block Diagram Modeling with DiaBloS to RL-based Control of Dual Arm-Mobile Manipulators for Agriculture</t>
  </si>
  <si>
    <t>Miguel Attilio Torres Torriti (Adjunct Researcher)</t>
  </si>
  <si>
    <t>24 Jun 2025, 11:01</t>
  </si>
  <si>
    <t>AstroInformatics 2024</t>
  </si>
  <si>
    <t>Optimal Astrometry and Photometry of Point Sources: From Theory to Practical Implementations</t>
  </si>
  <si>
    <t>23 Jun 2025, 18:01</t>
  </si>
  <si>
    <t>1st IEEE Latin American Confere nce on Ante nnas and Propagation (LACAP 2024)</t>
  </si>
  <si>
    <t>Enhancing Path Loss Modeling in LOS/NLOS Library Scenario with Universal Kriging</t>
  </si>
  <si>
    <t>Melissa Eugenia Diago Mosquera (Adjunct Researcher)</t>
  </si>
  <si>
    <t>01 Dec 2024</t>
  </si>
  <si>
    <t>23 Jun 2025, 17:25</t>
  </si>
  <si>
    <t>2024 IEEE 42nd Central America and Panama Convention (CONCAPAN XLII)</t>
  </si>
  <si>
    <t>Hierarchical energy management system with demand side management for green hydrogen-based microgrids</t>
  </si>
  <si>
    <t>Alex Navas</t>
  </si>
  <si>
    <t>23 Jun 2025, 17:27</t>
  </si>
  <si>
    <t>III Congreso Geoestadística y Estadística Espacio-Temporal: Teoría y Aplicaciones</t>
  </si>
  <si>
    <t>Modelamiento y caracterización del canal inalámbrico empleando Kriging</t>
  </si>
  <si>
    <t>23 Jun 2025, 17:17</t>
  </si>
  <si>
    <t>An Enhanced Framework for Sequence-Based Model Predictive Control applied to Grid-Tied Converters with LCL Filters</t>
  </si>
  <si>
    <t>24 Jun 2025, 16:59</t>
  </si>
  <si>
    <t>1? Congreso de Estudi- antes de Postgrado de la Facultad de Ingeniería y Ciencias Geológicas</t>
  </si>
  <si>
    <t>Advancing Robotics Systems Modeling, Simulation and Control: From Block Diagram Modeling with DiaBloS to RL-based Control of Dual Arm-Mobile Manipulators</t>
  </si>
  <si>
    <t>24 Jun 2025, 11:13</t>
  </si>
  <si>
    <t>Tract Anat Club of the International Society of Tractography</t>
  </si>
  <si>
    <t>Short association fiber tractography</t>
  </si>
  <si>
    <t>25 Jun 2025, 10:02</t>
  </si>
  <si>
    <t>LXXX Congreso Chileno de Otorrinolaringología y Cirugía de Cabeza y Cuello</t>
  </si>
  <si>
    <t>Control motor prefonatorio de la postura vocal a través de retroalimentación somatosensoria</t>
  </si>
  <si>
    <t>24 Jun 2025, 10:06</t>
  </si>
  <si>
    <t>Explicación de indicadores métricos basados en videoendoscopia de alta velocidad para identificar disfonía por tension muscular y nódulos vocales</t>
  </si>
  <si>
    <t>Matias Zañartu Salas (Principal Researcher); Juan Pablo Cortés Sotomayor (Adjunct Researcher); Emiro Ibarra (Postdoctoral Fellow)</t>
  </si>
  <si>
    <t>24 Jun 2025, 10:07</t>
  </si>
  <si>
    <t>Método para detectar carga cognitiva elevada a través de un modelo de control motor laringeo</t>
  </si>
  <si>
    <t>24 Jun 2025, 10:08</t>
  </si>
  <si>
    <t>187th Meeting of the Acoustical Society of America</t>
  </si>
  <si>
    <t>Neurocomputational analysis of impaired auditory-motor function for laryngeal motor control</t>
  </si>
  <si>
    <t>23 Jun 2025, 18:03</t>
  </si>
  <si>
    <t>20th International Symposium on Medical Information Processing and Analysis (SIPAIM 2024)</t>
  </si>
  <si>
    <t>Is DL-based Reconstruction for Fiber Orientation Distribution (FOD) Comparable to MSMT-Based FOD for Fiber Bundle Analysis?</t>
  </si>
  <si>
    <t>25 Jun 2025, 10:01</t>
  </si>
  <si>
    <t>2024 IEEE 10th World Forum on Internet of Things (WF-IoT 2024)</t>
  </si>
  <si>
    <t>Work in Progress: Congestion Control in mmWave Fluctuating Scenarios in 5G-A/6G</t>
  </si>
  <si>
    <t>24 Jun 2025, 12:11</t>
  </si>
  <si>
    <t>DtS-IoT Resource Allocation Analysis Framework: Assessing DQ and RESS-IoT</t>
  </si>
  <si>
    <t>Sandra Lorena Céspedes Umaña (Adjunct Researcher); Raydel Ortigueira (Postdoctoral Fellow)</t>
  </si>
  <si>
    <t>24 Jun 2025, 12:13</t>
  </si>
  <si>
    <t>2024 IEEE 10th World Forum on Internet of Things</t>
  </si>
  <si>
    <t>SCHC Over DtS-IoT: Performance of SCHC Confirmation Modes in Satellite IoT</t>
  </si>
  <si>
    <t>24 Jun 2025, 12:14</t>
  </si>
  <si>
    <t>Unlocking DtS-IoT Medium Access Through the Massively Scalable Distributed Queuing Protocol</t>
  </si>
  <si>
    <t>24 Jun 2025, 12:15</t>
  </si>
  <si>
    <t>Annual Conference of the Prognostics and Health Management Society 2024 - PHM 2024</t>
  </si>
  <si>
    <t>Unsupervised Fault Detection in a Controlled Conical Tank</t>
  </si>
  <si>
    <t>Marcos Eduardo Orchard Concha (Principal Researcher); Jorge Felipe Silva Sanchez (Principal Researcher)</t>
  </si>
  <si>
    <t>Data Analytics and Artificial Intelligence; Robotics</t>
  </si>
  <si>
    <t>23 Jun 2025, 17:12</t>
  </si>
  <si>
    <t>Feature-weighted Random Forest with Boruta for Fault Diagnosis of Satellite Attitude Control Systems</t>
  </si>
  <si>
    <t>23 Jun 2025, 17:13</t>
  </si>
  <si>
    <t>A Gamma Process Based Degradation Model with Fractional Gaussian Noise</t>
  </si>
  <si>
    <t>23 Jun 2025, 17:14</t>
  </si>
  <si>
    <t>Expected First Occurrence Time of Uncertain Future Events in One-Dimensional Linear Systems</t>
  </si>
  <si>
    <t>23 Jun 2025, 17:15</t>
  </si>
  <si>
    <t>Modeling and Simulation of Thermal Effects on Electrical Behavior in Lithium-Ion Cells</t>
  </si>
  <si>
    <t>23 Jun 2025, 17:16</t>
  </si>
  <si>
    <t>XVII Congreso Anual de Ingeniería Biomédica</t>
  </si>
  <si>
    <t>YOLOv8 y UNet para la Segmentación de la Glotis en Videos de Endoscopía Vocal de Alta Velocidad</t>
  </si>
  <si>
    <t>Matias Zañartu Salas (Principal Researcher); Emiro Ibarra (Postdoctoral Fellow)</t>
  </si>
  <si>
    <t>23 Jun 2025, 18:10</t>
  </si>
  <si>
    <t>2024 IEEE Latin-American Conference on Communications</t>
  </si>
  <si>
    <t>From Earth's Orbit to the Cosmos: A Vision for a Multi-Planetary Space IoT System</t>
  </si>
  <si>
    <t>24 Jun 2025, 12:07</t>
  </si>
  <si>
    <t>2024 IEEE Latin American Conference on Communications (LATINCOM)</t>
  </si>
  <si>
    <t>Technical Session 2: Vehicular and In-Vehicle Networks</t>
  </si>
  <si>
    <t>01 Dec 2025, 14:19</t>
  </si>
  <si>
    <t>2024 Asia Communications and Photonics Conference (ACP) and International Conference on Information Photonics and Optical Communications (IPOC)</t>
  </si>
  <si>
    <t>Monitoring Submarine Optical Fibre Cables with Distributed Acoustic Sensors</t>
  </si>
  <si>
    <t>23 Jun 2025, 17:41</t>
  </si>
  <si>
    <t>Latin American Artemis Project Workshop</t>
  </si>
  <si>
    <t>R&amp;D at UC Chile’s Robotics and Automation Laboratory – RAL UC</t>
  </si>
  <si>
    <t>24 Jun 2025, 11:23</t>
  </si>
  <si>
    <t>2024 Annual Conference of the IEEE Industrial Electronics Society (IECON 2024)</t>
  </si>
  <si>
    <t>“Impact of charging profiles on cumulative semiconductor damage used in EV chargers</t>
  </si>
  <si>
    <t>24 Jun 2025, 16:27</t>
  </si>
  <si>
    <t>24 Jun 2025, 16:29</t>
  </si>
  <si>
    <t>2024 Annual Conference of the IEEE Industrial Electronics Society (IECON 2024</t>
  </si>
  <si>
    <t>24 Jun 2025, 16:31</t>
  </si>
  <si>
    <t>IECON 2024 - 50th Annual Conference of the IEEE Industrial Electronics Society</t>
  </si>
  <si>
    <t>Simulation of Maximum Power Point Tracking Applied to a Wave Energy Converter</t>
  </si>
  <si>
    <t>Marcelo Alejandro Pérez Leiva (Principal Researcher)</t>
  </si>
  <si>
    <t>25 Jun 2025, 10:10</t>
  </si>
  <si>
    <t>High voltage pulse generator based on multilevel modular converter for water treatment</t>
  </si>
  <si>
    <t>25 Jun 2025, 10:11</t>
  </si>
  <si>
    <t>Distributed Secondary Control with Economic Dispatch of Energy-Water Microgrids</t>
  </si>
  <si>
    <t>23 Jun 2025, 17:28</t>
  </si>
  <si>
    <t>Prado, A</t>
  </si>
  <si>
    <t>IECON 2024 - 50th Annual Conf. IEEE Ind. Electron. Society</t>
  </si>
  <si>
    <t>Interleaved Dual Buck Converter for Low-Carbon Hydrogen Production: Electrolyzer Current Control and Input Capacitors Voltage Balancing</t>
  </si>
  <si>
    <t>24 Jun 2025, 11:10</t>
  </si>
  <si>
    <t>24 Jun 2025, 11:11</t>
  </si>
  <si>
    <t>24 Jun 2025, 11:12</t>
  </si>
  <si>
    <t>01 Dec 2025, 14:40</t>
  </si>
  <si>
    <t>01 Dec 2025, 14:42</t>
  </si>
  <si>
    <t>01 Dec 2025, 14:44</t>
  </si>
  <si>
    <t>IETF 121th Technical Meeting</t>
  </si>
  <si>
    <t>ESP Header Compression Profile</t>
  </si>
  <si>
    <t>02 Nov 2024</t>
  </si>
  <si>
    <t>24 Jun 2025, 15:40</t>
  </si>
  <si>
    <t>Enhancing the Microchip Supply Chain for Space with Open-Source and Emerging Technologies</t>
  </si>
  <si>
    <t>24 Jun 2025, 11:43</t>
  </si>
  <si>
    <t>7th Conference on Cloud and Internet of Things (CIoT)</t>
  </si>
  <si>
    <t>A Deep Dive into Congestion Control and Buffer Management for Fluctuation-Prone 5G-A/6G Links</t>
  </si>
  <si>
    <t>24 Jun 2025, 15:38</t>
  </si>
  <si>
    <t>23 Jun 2025, 17:38</t>
  </si>
  <si>
    <t>XX Reunión Anual de la Sociedad Chilena de Neurociencia</t>
  </si>
  <si>
    <t>Otoacoustic emissions as a biomarker of neurodegeneration</t>
  </si>
  <si>
    <t>25 Jun 2025, 09:56</t>
  </si>
  <si>
    <t>IEEE International Conference on Automation (ICA) and XXVI Congreso de la Asociación Chilena de Control Automático (ACCA), ICA-ACCA</t>
  </si>
  <si>
    <t>Intelligent Control for Type I Partial Power Converters in EV Charging Systems: Twin-Delayed Deep Deterministic Policy Gradient Approach</t>
  </si>
  <si>
    <t>20 Oct 2024</t>
  </si>
  <si>
    <t>24 Jun 2025, 16:00</t>
  </si>
  <si>
    <t>EEE Energy Conversion Conference and Expo (ECCE 2024</t>
  </si>
  <si>
    <t>Lifespan Dependence of Power Converters in Wind Energy Systems”</t>
  </si>
  <si>
    <t>24 Jun 2025, 16:25</t>
  </si>
  <si>
    <t>2024 IEEE International Conference on Automation/XXVI Congress of the Chilean Association of Automatic Control (ICA-ACCA)</t>
  </si>
  <si>
    <t>Sliding Mode Based Model Predictive Controller for Single-Phase Multilevel T-type Inverters with LCL Filter</t>
  </si>
  <si>
    <t>24 Jun 2025, 16:54</t>
  </si>
  <si>
    <t>2024 IEEE International Conference on Automation/XXVI Congress of the Chilean Association of Automatic Control,</t>
  </si>
  <si>
    <t>Channel Modeling Using Rayleigh and Rice Sum Approximation</t>
  </si>
  <si>
    <t>Rafael Orellana</t>
  </si>
  <si>
    <t>25 Jun 2025, 10:00</t>
  </si>
  <si>
    <t>IEEE ICA-ACCA 2024</t>
  </si>
  <si>
    <t>Preliminary Analysis of Denial-of-Service Attack for a Power Constrained Networked Control System</t>
  </si>
  <si>
    <t>23 Jun 2025, 17:53</t>
  </si>
  <si>
    <t>24 Jun 2025, 11:09</t>
  </si>
  <si>
    <t>IEEE International Conference on Automation (ICA) and XXVI Congreso de la Asociación Chilena de Control Automático (ACCA)</t>
  </si>
  <si>
    <t>01 Dec 2025, 14:37</t>
  </si>
  <si>
    <t>IEEE Energy Conversion Conference and Expo (ECCE 2024)</t>
  </si>
  <si>
    <t>01 Dec 2025, 14:38</t>
  </si>
  <si>
    <t>2024 IEEE International Conference on Automation/XXVI Congress of the Chilean Association of Automatic Control</t>
  </si>
  <si>
    <t>Model Predictive Control with Circular Constraints for Distributed Energy Resources</t>
  </si>
  <si>
    <t>Juan Carlos Agüero Vásquez (Adjunct Researcher); Angel Cedeño (Postdoctoral Fellow)</t>
  </si>
  <si>
    <t>STATVERSE: A METAVERSE FOR DATA SCIENCE</t>
  </si>
  <si>
    <t>23 Jun 2025, 17:54</t>
  </si>
  <si>
    <t>II Congreso Sociedad Chilena de Fonoaudiología</t>
  </si>
  <si>
    <t>Innovación para el apoyo clínico en el diagnóstico y terapia de patologías vocales desde la ingeniería</t>
  </si>
  <si>
    <t>Juan Pablo Cortés Sotomayor (Adjunct Researcher)</t>
  </si>
  <si>
    <t>24 Jun 2025, 12:04</t>
  </si>
  <si>
    <t>Research Week Symposium organized by the Research Office of the School of Engineering</t>
  </si>
  <si>
    <t>24 Jun 2025, 11:25</t>
  </si>
  <si>
    <t>ECCV</t>
  </si>
  <si>
    <t>23 Jun 2025, 18:06</t>
  </si>
  <si>
    <t>ANDESCON 2024</t>
  </si>
  <si>
    <t>Li-Ion Battery SOC Estimation via Gaussian Sum Filtering and Piecewise Linear Approximation</t>
  </si>
  <si>
    <t>Angel Cedeño (Postdoctoral Fellow)</t>
  </si>
  <si>
    <t>25 Jun 2025, 09:53</t>
  </si>
  <si>
    <t>A Novel Identification Method for Continuous-Time Stochastic Systems Utilizing Tsai's Approximation and Sampled Data</t>
  </si>
  <si>
    <t>25 Jun 2025, 09:54</t>
  </si>
  <si>
    <t>On the Equivalence Between Mixed-Integer Linear and Linear Programming Problems in MPC for Photovoltaic Plants with Energy Storage</t>
  </si>
  <si>
    <t>25 Jun 2025, 09:55</t>
  </si>
  <si>
    <t>23 Jun 2025, 17:09</t>
  </si>
  <si>
    <t>Patricio Rodrigo Orio Alvarez (Adjunct Researcher)</t>
  </si>
  <si>
    <t>23 Jun 2025, 17:40</t>
  </si>
  <si>
    <t>13th International Workshop on Robot Motion and Control (RoMoCo)</t>
  </si>
  <si>
    <t>Hybrid OSC-RL Control for Task Optimization of Dual-Arm Robots</t>
  </si>
  <si>
    <t>24 Jun 2025, 10:55</t>
  </si>
  <si>
    <t>DiaBloS: Diagrams of Blocks for Sys- tems Modeling and Simulation in Python</t>
  </si>
  <si>
    <t>24 Jun 2025, 10:58</t>
  </si>
  <si>
    <t>2024 8th International Conference on Power Energy Systems and Applications (ICoPESA)</t>
  </si>
  <si>
    <t>Exploring the Operating Region of a Grid-Forming Current-Source Inverter</t>
  </si>
  <si>
    <t>25 Jun 2025, 10:08</t>
  </si>
  <si>
    <t>2023 IEEE 17th International Conference on Compatibility, Power Electronics and Power Engineering (CPE-POWERENG)</t>
  </si>
  <si>
    <t>Flux Compensation in a Hybrid Transformer with the Series Converter Connected on the Primary-Side</t>
  </si>
  <si>
    <t>25 Jun 2025, 10:12</t>
  </si>
  <si>
    <t>Interleaved dual buck converters with low current ripple for green hydrogen production</t>
  </si>
  <si>
    <t>01 Dec 2025, 14:35</t>
  </si>
  <si>
    <t>Pucón Learning and AI Summit PLENA</t>
  </si>
  <si>
    <t>Dynamical richness and statistical synergy are maximized in networks with small-world topology</t>
  </si>
  <si>
    <t>23 Jun 2025, 17:59</t>
  </si>
  <si>
    <t>ATE220007</t>
  </si>
  <si>
    <t xml:space="preserve">SOMICH2024: Reunion Anual de la Sociedad de microbiologia de Chile </t>
  </si>
  <si>
    <t xml:space="preserve">Caracterización de bacterias clasificadas como patógenos prioritarios portadores de carbapenemasas aisladas en aguas residuales urbanas utilizando un colegio como establecimiento centinela </t>
  </si>
  <si>
    <t>Claudia Paz Saavedra Sánchez (Director); Nicolas Pacheco Camus  (Postdoctoral Fellow); Vicente Rojas  (Undergraduate Thesis)</t>
  </si>
  <si>
    <t>08 Dec 2024</t>
  </si>
  <si>
    <t>bioinformatics and genomics of microorganisms; Molecular mechanisms of bacterial adaptation to extreme environments.; virology</t>
  </si>
  <si>
    <t>13 Oct 2024, 18:30</t>
  </si>
  <si>
    <t>SOMICH2024: Reunion Anual Sociedad de Microbiologia de Chile</t>
  </si>
  <si>
    <t>Iden%ficación in silico de me%ltransferasa de arsénico en cepa SH31 de Exiguobacterium</t>
  </si>
  <si>
    <t>Claudia Paz Saavedra Sánchez (Director); FRANCISCO REMONSELLEZ FUENTES (Principal Researcher); Juan Pablo Castro Severyn  (Postdoctoral Fellow); Nicolas Pacheco Camus  (Postdoctoral Fellow)</t>
  </si>
  <si>
    <t xml:space="preserve">bioinformatics and genomics of microorganisms; Molecular mechanisms of bacterial adaptation to extreme environments.; Regulation of gene expression in bacteria. </t>
  </si>
  <si>
    <t>13 Oct 2024, 18:42</t>
  </si>
  <si>
    <t>SOMICH 2024: Reunion Anual de la Sociedad de Microbiologia de Chile</t>
  </si>
  <si>
    <t>Identificación  in silico de metiltransferasa de arsénico en cepa SH31 de Exiguobacterium</t>
  </si>
  <si>
    <t>bioinformatics and genomics of microorganisms; Molecular mechanisms of bacterial adaptation to extreme environments.</t>
  </si>
  <si>
    <t>13 Oct 2024, 18:49</t>
  </si>
  <si>
    <t xml:space="preserve">SOMICH2024: Reunion Anual de la Sociedad de Microbiologia de Chile </t>
  </si>
  <si>
    <t>Caracterización de bacterias clasificadas como patógenos prioritarios portadores de carbapenemasas aisladas en aguas residuales urbanas establecimiento centinela</t>
  </si>
  <si>
    <t xml:space="preserve">Jorge Olivares </t>
  </si>
  <si>
    <t xml:space="preserve">Molecular mechanisms of bacterial adaptation to extreme environments.; study and characterization of microbiome; Waste water </t>
  </si>
  <si>
    <t>15 Oct 2024, 08:31</t>
  </si>
  <si>
    <t>SOMICH2024: reunion Anual de la Sociedad de Microbiologia de Chile</t>
  </si>
  <si>
    <t>Análisis comparativo estacional de la m nasofaríngea infantil en ambientes escolares y su relación con los virus respiratorios circulantes</t>
  </si>
  <si>
    <t>Claudia Paz Saavedra Sánchez (Director); Aldo Andrés Gaggero Brillouet (Principal Researcher); FRANCISCO REMONSELLEZ FUENTES (Principal Researcher); Jorge Hernan Valdes Anabalon (Principal Researcher); Juan Pablo Castro Severyn  (Postdoctoral Fellow)</t>
  </si>
  <si>
    <t xml:space="preserve">study and characterization of microbiome; virology; Waste water </t>
  </si>
  <si>
    <t>15 Oct 2024, 08:36</t>
  </si>
  <si>
    <t>IUMS2024:International Microbiological Societies Congres</t>
  </si>
  <si>
    <t>Abstract 1292 RESPIRATORY VIRUS DETECTION IN WASTEWATER TREATMENTS PLANTS IN SANTIAGO, CHILE.</t>
  </si>
  <si>
    <t>Claudia Paz Saavedra Sánchez (Director); Aldo Andrés Gaggero Brillouet (Principal Researcher); Nicolas Pacheco Camus  (Postdoctoral Fellow); Manuel Andres Ampuero (Master Thesis)</t>
  </si>
  <si>
    <t xml:space="preserve">virology; Waste water </t>
  </si>
  <si>
    <t>13 Oct 2024, 17:47</t>
  </si>
  <si>
    <t>Abstract 710 GENOMIC ADAPTATION OF SALMONELLA IN THE POULTRY FARM: AN ARTIFICIAL INTELLIGENCE APPROACH TO ANTIMICROBIAL RESISTANCE AND STRESS RESISTANCE</t>
  </si>
  <si>
    <t>Claudia Paz Saavedra Sánchez (Director); Juan Pablo Castro Severyn  (Postdoctoral Fellow); Nicolas Pacheco Camus  (Postdoctoral Fellow); Vicente Rojas  (Undergraduate Thesis)</t>
  </si>
  <si>
    <t>Jorge Olivares-Pacheco</t>
  </si>
  <si>
    <t>15 Oct 2024, 08:46</t>
  </si>
  <si>
    <t>IUMS2024: International Union Microbiological Societies</t>
  </si>
  <si>
    <t>Abstract Number: #933  SALINITY TOLERANCE AND PLANT GROWTH P</t>
  </si>
  <si>
    <t>Claudia Paz Saavedra Sánchez (Director); FRANCISCO REMONSELLEZ FUENTES (Principal Researcher); Juan Pablo Castro Severyn  (Postdoctoral Fellow)</t>
  </si>
  <si>
    <t>13 Oct 2024, 18:21</t>
  </si>
  <si>
    <t>Abstract 1249 SEASONAL COMPARATIVE ANALYSIS OF NASOPHARYNGEAL MICROBIOTA IN SCHOOL ENVIRONMENTS AND ITS RELATIONSHIP WITH CIRCULATING RESPIRATORY VIRUSES.</t>
  </si>
  <si>
    <t>Claudia Paz Saavedra Sánchez (Director); Aldo Andrés Gaggero Brillouet (Principal Researcher); Nicolas Pacheco Camus  (Postdoctoral Fellow)</t>
  </si>
  <si>
    <t>15 Oct 2024, 08:40</t>
  </si>
  <si>
    <t>XLVIII Annual Meeting Chilean Society for Biochemistry and Molecular Biology</t>
  </si>
  <si>
    <t>Detection and incidence of respiratory viruses in the school environment and their impact on the nasopharyngeal microbiota of children -Anillo School-Microbe.</t>
  </si>
  <si>
    <t>Claudia Paz Saavedra Sánchez (Director); Aldo Andrés Gaggero Brillouet (Principal Researcher); FRANCISCO REMONSELLEZ FUENTES (Principal Researcher); Gloria Loretto Arriagada Inostroza (Adjunct Researcher); Fernando Andres Valiente Echeverria (Adjunct Researcher); Nicolas Pacheco Camus  (Postdoctoral Fellow)</t>
  </si>
  <si>
    <t>bioinformatics and genomics of microorganisms; study and characterization of microbiome</t>
  </si>
  <si>
    <t>13 Oct 2024, 10:30</t>
  </si>
  <si>
    <t xml:space="preserve">XLVII Annual Meeting Chilean Society of Biochemistry and Molecular Biology </t>
  </si>
  <si>
    <t xml:space="preserve">Situación de VIH en Chile </t>
  </si>
  <si>
    <t>Fernando Andres Valiente Echeverria (Adjunct Researcher)</t>
  </si>
  <si>
    <t>virology</t>
  </si>
  <si>
    <t>13 Oct 2024, 10:36</t>
  </si>
  <si>
    <t>CONGRESO NACIONAL DE MICROBIOLOGÍA XV CONGRESO NACIONAL DE MICROBIOLOGÍA V ENCUENTRO DE JÓVENES INVESTIGADORES EN V ENCUENTRO DE JÓVENES INVESTIGADORES EN MICROBIOLOGÍA</t>
  </si>
  <si>
    <t>Detección y vigilancia de virus respiratorios estacionales en espacios escolares y su impacto en la microbiota Nasofaríngea: una mirada de OneHealth</t>
  </si>
  <si>
    <t>Claudia Paz Saavedra Sánchez (Director)</t>
  </si>
  <si>
    <t xml:space="preserve">bioinformatics and genomics of microorganisms; virology; Waste water </t>
  </si>
  <si>
    <t>13 Oct 2024, 18:00</t>
  </si>
  <si>
    <t>ATE220008</t>
  </si>
  <si>
    <t>pablo alberto lacoste gargantini (Director)</t>
  </si>
  <si>
    <t>Patrimonio Mestizo Latinoamericano</t>
  </si>
  <si>
    <t>Paulina Alejandra Faba Zuleta (Principal Researcher)</t>
  </si>
  <si>
    <t>María Silvina Sosa Vota (Postdoctoral Fellow)</t>
  </si>
  <si>
    <t>Nicolás Valenzuela</t>
  </si>
  <si>
    <t>Sociedad y Cultura en la guerra fria</t>
  </si>
  <si>
    <t>Gonzalo Rojas Aguilera (PhD Thesis)</t>
  </si>
  <si>
    <t>Fernando Mujica</t>
  </si>
  <si>
    <t>LUIS HECTOR ALEGRIA LICUIME (Adjunct Researcher)</t>
  </si>
  <si>
    <t>Marisela Jeanette Pilquiman Vera (Principal Researcher)</t>
  </si>
  <si>
    <t>Juan Carlos Skewes Vodanovic (Principal Researcher)</t>
  </si>
  <si>
    <t>Amalia Andrea Castro San Carlos (Adjunct Researcher); María Silvina Sosa Vota (Postdoctoral Fellow)</t>
  </si>
  <si>
    <t>Carolina Cofré</t>
  </si>
  <si>
    <t>pablo alberto lacoste gargantini (Director); María Silvina Sosa Vota (Postdoctoral Fellow)</t>
  </si>
  <si>
    <t>Reimagining anthropological knowledge perspectives, practices, and power. World Anthropological Union Congress 2024</t>
  </si>
  <si>
    <t>A return to the return of the ram: The lessons of the traditional Chilean circus on its route to UNESCO</t>
  </si>
  <si>
    <t>Isidora Mora , Debbie Guerra</t>
  </si>
  <si>
    <t>Patrimonio Mestizo Latinoamericano; Sociedad y Cultura en la guerra fria</t>
  </si>
  <si>
    <t>18 Nov 2024, 22:26</t>
  </si>
  <si>
    <t>IV Encuentro Internacional De Etnografías Colaborativas Y Comprometidas (Eidecc) “Desafíos Posthumanistas Para Una Ciencia Comunitaria Abierta</t>
  </si>
  <si>
    <t>Entre tropiezos y devaneos: aprendizajes de cuatro décadas de tanteos para una ciudadanía antropológica</t>
  </si>
  <si>
    <t>Debbie Guerra</t>
  </si>
  <si>
    <t>18 Nov 2024, 22:22</t>
  </si>
  <si>
    <t>45º Congreso Mundial de la Vid y el Vino</t>
  </si>
  <si>
    <t>Patrimonio Mestizo Vitivinícola en América del Sur: de la Puesta en Valor al Éxito Comercial</t>
  </si>
  <si>
    <t>18 Nov 2024, 22:43</t>
  </si>
  <si>
    <t>Jornadas de Historia de la Guerra: conflictos armados y relaciones internacionales. Instituto de Estudios Avanzados, Universidad de Santiago de Chile</t>
  </si>
  <si>
    <t>¿Potencias equivalentes o desiguales? EEUU, la URSS y China en la caricatura política chilena de la Guerra Fría, 1961-1972</t>
  </si>
  <si>
    <t>18 Nov 2024, 22:10</t>
  </si>
  <si>
    <t>Historia Internacional: nuevos y viejos debates”, X Jornadas de Estudios Internacionales, Instituto de Estudios Avanzados, Universidad de Santiago de Chile</t>
  </si>
  <si>
    <t>Las uvas envenenadas y la sombra del intervencionismo norteamericano sobre la transición</t>
  </si>
  <si>
    <t>Alessandro Santoni (Principal Researcher); Gonzalo Rojas Aguilera (PhD Thesis)</t>
  </si>
  <si>
    <t>18 Nov 2024, 22:01</t>
  </si>
  <si>
    <t>Simposio Patrimonio Mestizo. X Jornadas de Estudios Internacionales, USACH</t>
  </si>
  <si>
    <t>El pajarete nació en el Huasco</t>
  </si>
  <si>
    <t>18 Nov 2024, 21:36</t>
  </si>
  <si>
    <t>La loza policromada de Peñaflor. Un arte de la memoria contemporáneo</t>
  </si>
  <si>
    <t>Constanza Acuña</t>
  </si>
  <si>
    <t>18 Nov 2024, 21:50</t>
  </si>
  <si>
    <t>Representaciones del mimbre y de la vida campesina. El Instituto del Inquilino y el fomento de las industrias caseras en la década de 1940</t>
  </si>
  <si>
    <t>18 Nov 2024, 21:51</t>
  </si>
  <si>
    <t>La construcción del espacio turístico en revistas infantiles:  recorriendo destinos turísticos en Chile a través de El Cabrito</t>
  </si>
  <si>
    <t>Marisela Jeanette Pilquiman Vera (Principal Researcher); Juan Carlos Skewes Vodanovic (Principal Researcher)</t>
  </si>
  <si>
    <t>18 Nov 2024, 21:52</t>
  </si>
  <si>
    <t>Verdejo, Perejil e Inocencio. Tres representaciones del sujeto popular en el Chile de la Guerra Fría. (1956-1970)</t>
  </si>
  <si>
    <t>18 Nov 2024, 21:54</t>
  </si>
  <si>
    <t>Un Patrimonio mestizo. Panamericanismo, Hispanofilia e indigenismo en las Conferencias Panamericanas 1890 a 1936</t>
  </si>
  <si>
    <t>LUIS HECTOR ALEGRIA LICUIME (Adjunct Researcher); Ana Gabriela Núñez Julio (Master Thesis)</t>
  </si>
  <si>
    <t>18 Nov 2024, 21:55</t>
  </si>
  <si>
    <t>Etnogénesis y patrimonio culinario mestizo. El caso de las comunidades Diaguitas</t>
  </si>
  <si>
    <t>Maximiliano Soto</t>
  </si>
  <si>
    <t>18 Nov 2024, 21:56</t>
  </si>
  <si>
    <t>Patrimonio Mestizo Vitivinícola en América del Sur:  de la Puesta en Valor al Éxito Comercial</t>
  </si>
  <si>
    <t>18 Nov 2024, 21:57</t>
  </si>
  <si>
    <t>Vitimigrantes y productos típicos: vinos en Mendoza Este (Argentina) y pisco en Norte Chico (Chile)</t>
  </si>
  <si>
    <t>18 Nov 2024, 21:58</t>
  </si>
  <si>
    <t>Medicina indígena ancestral a la europea: la quina en la formulación de bebidas alcohólicas a través del diseño de etiquetas, 1874-1930</t>
  </si>
  <si>
    <t>18 Nov 2024, 21:59</t>
  </si>
  <si>
    <t>Jamón de Chiloé y Gastrodiplomacia (1719-1877)</t>
  </si>
  <si>
    <t>Amalia Andrea Castro San Carlos (Adjunct Researcher)</t>
  </si>
  <si>
    <t>Fernando Mujica, Michelle Lacoste</t>
  </si>
  <si>
    <t>18 Nov 2024, 22:28</t>
  </si>
  <si>
    <t>Las colecciones artísticas privadas de Santiago, 1650-1750: Una aproximación decolonial a través de los inventarios</t>
  </si>
  <si>
    <t>Catherine Biurdick</t>
  </si>
  <si>
    <t>18 Nov 2024, 22:31</t>
  </si>
  <si>
    <t>IV Encuentro de Investigadores del SERPAT en el Archivo Nacional</t>
  </si>
  <si>
    <t>Mesa Investigación, Patrimonios y Ciencia: ¿Existe la investigación patrimonial?</t>
  </si>
  <si>
    <t>18 Nov 2024, 22:36</t>
  </si>
  <si>
    <t>IX Congreso Regional de Educación Técnico-Profesional. Instituto de Educación Superior ISFDyT, Rivadavia</t>
  </si>
  <si>
    <t>Plan de desarrollo turístico de Mendoza Este</t>
  </si>
  <si>
    <t>18 Nov 2024, 09:14</t>
  </si>
  <si>
    <t>II Seminario Interdisciplinario de Fronteras – Universidad Finis Terrae – Escuela de Historia – Eje Temático I. Atravesando las fronteras: migración, comercio y circulación</t>
  </si>
  <si>
    <t>Vitimigrantes en Mendoza Este: cambio de paradigma de la vitivinicultura argentina</t>
  </si>
  <si>
    <t>18 Nov 2024, 09:12</t>
  </si>
  <si>
    <t>II Seminario de fronteras: Historia y globalidad , Universidad Finis Terrae</t>
  </si>
  <si>
    <t>Dibujando la Guerra Fría en Topaze: una mirada desde Chile en la década de 1960</t>
  </si>
  <si>
    <t>18 Nov 2024, 22:08</t>
  </si>
  <si>
    <t>Congreso Internacional de Patrimonio Cultural y Sostenibilidad (CIPCS)</t>
  </si>
  <si>
    <t>Alianza industria, patrimonio, arte, bioarquitectura e inclusión</t>
  </si>
  <si>
    <t>18 Nov 2024, 09:10</t>
  </si>
  <si>
    <t>I Congreso Internacional online Euro-latinoamericano de Historia del Turismo</t>
  </si>
  <si>
    <t>Imaginarios turísticos en revistas infantiles: Recorriendo destinos turísticos en Chile a través de “El Cabrito”</t>
  </si>
  <si>
    <t>18 Nov 2024, 22:17</t>
  </si>
  <si>
    <t>Asistencia Grupo de Investigación en Historia del Turismo (TURHIS).</t>
  </si>
  <si>
    <t>18 Nov 2024, 22:41</t>
  </si>
  <si>
    <t>36th Congress of the Comité International d’Histoire de l’Art</t>
  </si>
  <si>
    <t>Tridentine Spiritual and Material Culture. Images and Objects in the Circulation for the American Conquest I/2</t>
  </si>
  <si>
    <t>18 Nov 2024, 22:38</t>
  </si>
  <si>
    <t>VII Congreso ALA: Las antropologías hechas en América Latina y el Caribe en contextos urgentes: violencias, privilegios y desigualdades</t>
  </si>
  <si>
    <t xml:space="preserve">SP.48: Tensionar "lo común" </t>
  </si>
  <si>
    <t>18 Nov 2024, 22:13</t>
  </si>
  <si>
    <t>MESA REDONDA; MR 36. Resistências e (Des)encontros ontológicos em mundos arruinados</t>
  </si>
  <si>
    <t>18 Nov 2024, 22:20</t>
  </si>
  <si>
    <t>Patrimonio industrial: Sujetos y territorios desde la región de Valparaíso</t>
  </si>
  <si>
    <t>18 Nov 2024, 22:05</t>
  </si>
  <si>
    <t>ATE220009</t>
  </si>
  <si>
    <t>Sexto Congreso Interdisciplinario En Educación</t>
  </si>
  <si>
    <t>Invitada Panel central 2:“Ge?nero y Justicia Educativa. Avances de una de?cada y las amenazas conservadoras en el sistema educativo”</t>
  </si>
  <si>
    <t>Claudia Matus, Camila Rojas, Mary Guinn Delaney</t>
  </si>
  <si>
    <t>Gender</t>
  </si>
  <si>
    <t>29 Oct 2024, 10:10</t>
  </si>
  <si>
    <t>Entre mundos. El legado de Gloria Anzaldúa (10942-2004). Jornadas internacionales de pensamiento feminista y (DE)Poscolonial</t>
  </si>
  <si>
    <t>Integrante mesa coloquio</t>
  </si>
  <si>
    <t>Francisca Barrientos (Postdoctoral Fellow)</t>
  </si>
  <si>
    <t>24 Oct 2024, 18:15</t>
  </si>
  <si>
    <t>Conflicto, política y protesta: a cinco años del 18 de octubre</t>
  </si>
  <si>
    <t>Charla Inaugural: A cinco años de la revuelta: ¿cómo sigue la desverguenza y en que se convirtió la rabia?</t>
  </si>
  <si>
    <t>Tamara Antonieta Vidaurrázaga Aránguiz (Principal Researcher)</t>
  </si>
  <si>
    <t>24 Oct 2024, 18:54</t>
  </si>
  <si>
    <t>Seminário Internacional Fazendo Gênero</t>
  </si>
  <si>
    <t>Afectos y emociones en las movilizaciones feministas. Tradiciones, genealogías y presentes de resistencias</t>
  </si>
  <si>
    <t>Alejandra Oberti</t>
  </si>
  <si>
    <t>04 Aug 2024</t>
  </si>
  <si>
    <t>14 Oct 2023, 11:04</t>
  </si>
  <si>
    <t>Simposio temático: Impacto y abordaje de la irrupción feminista en las universidades latinoamericanas: nudos y reflexiones críticas</t>
  </si>
  <si>
    <t>Maria Antonieta Vera Gajardo (Principal Researcher); Sandra Vera Gajardo (Principal Researcher)</t>
  </si>
  <si>
    <t>Nicolás Cuello</t>
  </si>
  <si>
    <t>14 Oct 2023, 11:06</t>
  </si>
  <si>
    <t>Nuevas preguntas en los estudios de género en STEM: cuerpo y experiencia epistémica</t>
  </si>
  <si>
    <t>Andrea Cecilia Vera Gajardo (Director)</t>
  </si>
  <si>
    <t>24 Oct 2024, 17:43</t>
  </si>
  <si>
    <t>Afectos y emociones en las movilizaciones feministas. Tradiciones, genealogías y presentes de resistencia</t>
  </si>
  <si>
    <t>24 Oct 2024, 19:03</t>
  </si>
  <si>
    <t>“Que se vayan, que desaparezcan, no queremos verles más”: reflexiones feministas en torno a la historicidad del daño y el deseo de expulsión, castigo y muerte social</t>
  </si>
  <si>
    <t>Maria Antonieta Vera Gajardo (Principal Researcher)</t>
  </si>
  <si>
    <t>24 Oct 2024, 17:52</t>
  </si>
  <si>
    <t>¿Es nuestro trabajo, un trabajo feminista? Percepciones de funcionarias a cargo del proceso de institucionalización de género en las Universidades Chilenas</t>
  </si>
  <si>
    <t>Sandra Vera Gajardo (Principal Researcher); Tamara Antonieta Vidaurrázaga Aránguiz (Principal Researcher)</t>
  </si>
  <si>
    <t>24 Oct 2024, 17:53</t>
  </si>
  <si>
    <t>Conversatorio Desafíos en ciencias sociales y humanidades: precarización, violencia y libertad académica. Comisión de Derechos Humanos. Asociación Argentina para la Investigación en Historia de las Mujeres y Estudios de Género</t>
  </si>
  <si>
    <t>Desafíos en ciencias sociales y humanidades: precarización, violencia y libertad académica. Comisión de Derechos Humanos. Asociación Argentina para la Investigación en Historia de las Mujeres y Estudios de Género</t>
  </si>
  <si>
    <t>24 Oct 2024, 18:13</t>
  </si>
  <si>
    <t>Seminario Profesiones Género e Historia en Chile y Argentina</t>
  </si>
  <si>
    <t>Maestras y la profesión docente en Chile: entre la demanda y la autonomía</t>
  </si>
  <si>
    <t>Claudia Veronica Montero Miranda (Principal Researcher)</t>
  </si>
  <si>
    <t>29 Oct 2024, 10:34</t>
  </si>
  <si>
    <t>1° Congreso Nacional de Ciencia, Tecnologi?a, Conocimiento e Innovacio?n con Perspectiva de Ge?nero</t>
  </si>
  <si>
    <t>Integrante del Comité Científico</t>
  </si>
  <si>
    <t>24 Oct 2024, 17:49</t>
  </si>
  <si>
    <t>XXIV Jornadas de historia de Chile</t>
  </si>
  <si>
    <t>Archivos Feministas/Podcast: Los desafíos de pensar, dialogar y difundir las trayectorias personales y colectivas de los feminismos en Chile</t>
  </si>
  <si>
    <t>24 Oct 2024, 18:12</t>
  </si>
  <si>
    <t>Te prometo pequeña compañerita. Herencias y paternidades revolucionarias en el MIR chileno,</t>
  </si>
  <si>
    <t>24 Oct 2024, 19:06</t>
  </si>
  <si>
    <t>XXIV Jornadas de Historia de Chile</t>
  </si>
  <si>
    <t>El Movimiento Pro Emancipacio?n de las Mujeres de Chile (MEMCH) y la exposicio?n “La mujer en el progreso nacional” (1939): estrategias de educacio?n y miradas cri?ticas al devenir histo?rico de la mujer en Chile</t>
  </si>
  <si>
    <t>29 Oct 2024, 10:35</t>
  </si>
  <si>
    <t>Primer Encuentro de la Mujer y Niña en la Ciencia</t>
  </si>
  <si>
    <t>¿De qué hablamos cuando hablamos de ciencia y género?</t>
  </si>
  <si>
    <t>24 Oct 2024, 17:48</t>
  </si>
  <si>
    <t>X JADECSA - Jornada de Desarrollo de la Colección y de los Servicios de Acceso: “Silencios, censura y olvidos: mujeres y disidencias en bibliotecas, archivos y museos”</t>
  </si>
  <si>
    <t>Biblioteca Fragmentada: leer, imaginar, construir comunidad. Desafíos y preguntas en torno a una red virtual de lecturas feministas, queer y sexo-género-disidentes</t>
  </si>
  <si>
    <t>24 Oct 2024, 18:06</t>
  </si>
  <si>
    <t>VI Jornadas Internacionales de Estudios de América Latina y el Caribe "Las democracias y lo común bajo asedio"</t>
  </si>
  <si>
    <t>Masividad feminista: afectos y efectos contrapuestos para pensar los desafíos de los feminismos en el Chile actual</t>
  </si>
  <si>
    <t xml:space="preserve">Memorias feministas sublevadas: Archivos, masividad y preguntas urgentes. </t>
  </si>
  <si>
    <t>Memorias feministas sublevadas: Archivos, masividad y preguntas urgentes. Una conversación con Panchiba F. Barrientos</t>
  </si>
  <si>
    <t>24 Oct 2024, 17:55</t>
  </si>
  <si>
    <t>Ciclo de Encuentros sobre Masculinidades en Chile</t>
  </si>
  <si>
    <t>Mesa Violencia masculina y reeducación con hombres que han ejercido violencia</t>
  </si>
  <si>
    <t>Mariana Gaba</t>
  </si>
  <si>
    <t>29 Oct 2024, 10:09</t>
  </si>
  <si>
    <t>ATE220014</t>
  </si>
  <si>
    <t>2do Encuentro de Química y Simulación Molecular 2024</t>
  </si>
  <si>
    <t>Mejora de la resiliencia de plantas de frutilla: innovaciones en la aplicación de ácido abscísico para la agricultura sostenible en condiciones de cambio climático.</t>
  </si>
  <si>
    <t>Luis Alberto Morales Quintana (Director)</t>
  </si>
  <si>
    <t>Molecular and physiological performance of the plants under drought and high temperature stress; Plant hormones encapsulation</t>
  </si>
  <si>
    <t>07 Nov 2024, 12:41</t>
  </si>
  <si>
    <t>V Encuentro de Investigación de Ingeniería en Construcción</t>
  </si>
  <si>
    <t>ENCUENTRO ENTRE BIOTECNOLOGÍA E INGENIERÍA PARA UNA SOLUCIÓN AL CAMBIO CLIMÁTICO</t>
  </si>
  <si>
    <t>07 Nov 2024, 12:39</t>
  </si>
  <si>
    <t>XLVII Annual Meeting of SBBMCh 2024</t>
  </si>
  <si>
    <t>N-glycosylations from development through postharvest in commercial strawberry (Fragaria x ananassa)</t>
  </si>
  <si>
    <t>Luis Alberto Morales Quintana (Director); Angela Mendez-Yañez (Postdoctoral Fellow); Darwin Saez (PhD Thesis)</t>
  </si>
  <si>
    <t>Daniel Bustos, Gabriela Urra, Claudio Letelier-Naritelli, Yessica Burgos-Rojas</t>
  </si>
  <si>
    <t>Molecular and physiological performance of the plants under drought and high temperature stress</t>
  </si>
  <si>
    <t>Francisca Rodriguez-Arriaza es asistente de investigación del proyecto.</t>
  </si>
  <si>
    <t>07 Nov 2024, 12:07</t>
  </si>
  <si>
    <t>Modulation of volatile production in strawberries fruits by endophytic fungi</t>
  </si>
  <si>
    <t>Luis Alberto Morales Quintana (Director); Mariona Herminia Gil Cortiella (Principal Researcher); Patricio Eugenio Ramos Campos (Principal Researcher)</t>
  </si>
  <si>
    <t>Stephan Pollmann, Francisca Rodriguez-Arriaza</t>
  </si>
  <si>
    <t>07 Nov 2024, 12:09</t>
  </si>
  <si>
    <t>Genetic identification of hydroperoxide lyase (HPL) and its relationship in the aroma pathway of Fragaria x ananassa fruits</t>
  </si>
  <si>
    <t>Luis Alberto Morales Quintana (Director); Patricio Eugenio Ramos Campos (Principal Researcher); Francisca Hormazábal Abarza (Undergraduate Thesis)</t>
  </si>
  <si>
    <t>Felipe Moraga-Maldonado</t>
  </si>
  <si>
    <t>Francisca Rodríguez-Arriaza es asistente de Investigación del proyecto y participa del trabajo.</t>
  </si>
  <si>
    <t>07 Nov 2024, 12:13</t>
  </si>
  <si>
    <t>Abscisic acid application for sustainable agriculture under climatic change conditions focus on strawberry fruit production</t>
  </si>
  <si>
    <t>Luis Alberto Morales Quintana (Director); Patricio Eugenio Ramos Campos (Principal Researcher); Carolina Andrea Parra Palma (Postdoctoral Fellow)</t>
  </si>
  <si>
    <t>Daniel Bustos, Ricardo I. Castro</t>
  </si>
  <si>
    <t>Sebastián Flores es asistente de investigación del proyecto y participa en el trabajo.</t>
  </si>
  <si>
    <t>07 Nov 2024, 12:17</t>
  </si>
  <si>
    <t>Unveiling and boosting the strawberry aroma: Abscisic acid role in regulating key enzymes and volatile ester production</t>
  </si>
  <si>
    <t>Luis Alberto Morales Quintana (Director); Mariona Herminia Gil Cortiella (Principal Researcher); Patricio Eugenio Ramos Campos (Principal Researcher); Emilia Escalona Miño (Postdoctoral Fellow); Darwin Saez (PhD Thesis); Francisca Hormazábal Abarza (Undergraduate Thesis)</t>
  </si>
  <si>
    <t>Francisca Rodriguez-Arriaza es asistente de investigación del proyecto y participo del trabajo.</t>
  </si>
  <si>
    <t>07 Nov 2024, 12:22</t>
  </si>
  <si>
    <t>Cell Wall remodeling in Blueberry Fruits during ripening and in response to Methyl-Jasmonate (MeJA) treatments</t>
  </si>
  <si>
    <t>Luis Alberto Morales Quintana (Director); Carlos Vasquez Rojas (PhD Thesis)</t>
  </si>
  <si>
    <t>Ricardo I. Castro, Marcelo Muñoz-Vera</t>
  </si>
  <si>
    <t>07 Nov 2024, 12:25</t>
  </si>
  <si>
    <t>VIII Encuentro Científico Biología Vegetal</t>
  </si>
  <si>
    <t>¿Son las N-glicosilaciones un blanco modulador de la firmeza de frutilla comercial?</t>
  </si>
  <si>
    <t>Luis Alberto Morales Quintana (Director); Patricio Eugenio Ramos Campos (Principal Researcher); Angela Mendez-Yañez (Postdoctoral Fellow); Darwin Saez (PhD Thesis); Cristian Nicolás Cornejo Barrera (Undergraduate Thesis)</t>
  </si>
  <si>
    <t>Francisca Rodríguez-Arriaza, María Alejandra Yáñez, Daniel Bustos, Gabriela Urra, Marcelo Muñoz-Vera, Felipe Moraga-Maldonado, Matias Moreno-Bertolone, Claudio Letelier-Naritelli, Yessica Burgos-Rojas</t>
  </si>
  <si>
    <t>07 Nov 2024, 11:06</t>
  </si>
  <si>
    <t>Mejora de la resiliencia de plantas de frutilla mediante la aplicación de ácido abscísico para la agricultura sostenible en condiciones de cambio climático</t>
  </si>
  <si>
    <t>Ricardo I. Castro, Sebastian Flores, Daniel Bustos</t>
  </si>
  <si>
    <t>07 Nov 2024, 11:10</t>
  </si>
  <si>
    <t>Aplicaciones de metil Jasmonato (MeJA) en plantas de arándanos sometidas a déficit hídrico y su efecto en las propiedades fisiológicas del fruto</t>
  </si>
  <si>
    <t>Luis Alberto Morales Quintana (Director); Patricio Eugenio Ramos Campos (Principal Researcher); Carolina Andrea Parra Palma (Postdoctoral Fellow); Carlos Vasquez Rojas (PhD Thesis)</t>
  </si>
  <si>
    <t>Sebastián Flores, Cristian Balbontín, Victoria Urrutia</t>
  </si>
  <si>
    <t>07 Nov 2024, 11:13</t>
  </si>
  <si>
    <t>Hongos endófitos antárticos mejoran la calidad de poscosecha de frutos de arándano frente a sequía</t>
  </si>
  <si>
    <t>Luis Alberto Morales Quintana (Director); Patricio Eugenio Ramos Campos (Principal Researcher)</t>
  </si>
  <si>
    <t>María Alejandra Ypañez</t>
  </si>
  <si>
    <t>07 Nov 2024, 11:16</t>
  </si>
  <si>
    <t>Efecto de las hormonas vegetales ABA y Auxina en la expresión de genes codificantes de piruvato descarboxilasa (FaPDC) en plantas de frutilla (Fragaria x ananassa)</t>
  </si>
  <si>
    <t>Luis Alberto Morales Quintana (Director); Patricio Eugenio Ramos Campos (Principal Researcher); Darwin Saez (PhD Thesis); Francisca Hormazábal Abarza (Undergraduate Thesis)</t>
  </si>
  <si>
    <t>Francisca Rodríguez-Arriaza</t>
  </si>
  <si>
    <t>Francisca Rodríguez-Arriaza es asistente de investigación.</t>
  </si>
  <si>
    <t>07 Nov 2024, 11:24</t>
  </si>
  <si>
    <t>Expresión de la hidroperóxido liasa en la fresa: impacto en las etapas de maduración y los tratamientos hormonales</t>
  </si>
  <si>
    <t>Francisca Rodríguez-Arriaza es asistente de Investigación.</t>
  </si>
  <si>
    <t>07 Nov 2024, 11:26</t>
  </si>
  <si>
    <t>Caracterización in silico de la familia ?-D-N-acetilhexosaminidasa (GH20) en frutilla comercial</t>
  </si>
  <si>
    <t>Luis Alberto Morales Quintana (Director); Angela Mendez-Yañez (Postdoctoral Fellow)</t>
  </si>
  <si>
    <t>Matías Moreno-Bertolone</t>
  </si>
  <si>
    <t>07 Nov 2024, 11:28</t>
  </si>
  <si>
    <t>Estudio comparativo del contenido fenólico en frutos de distintos cultivares de arándano y su relación con la capacidad antioxidante</t>
  </si>
  <si>
    <t>Luis Alberto Morales Quintana (Director); Patricio Eugenio Ramos Campos (Principal Researcher); Carolina Andrea Parra Palma (Postdoctoral Fellow); Carlos Vasquez Rojas (PhD Thesis); Natalia Isidora Neira Palma (Undergraduate Thesis)</t>
  </si>
  <si>
    <t>Sebastián Flores es asistente de Investigación</t>
  </si>
  <si>
    <t>07 Nov 2024, 11:33</t>
  </si>
  <si>
    <t>Análisis de Isoformas de Alcohol Deshidrogenasa en la Fresa: Variación en la Expresión Durante la Maduración y en Respuesta a Tratamientos Hormonales</t>
  </si>
  <si>
    <t>Francisca Rodriguez-Arriaza</t>
  </si>
  <si>
    <t>07 Nov 2024, 11:35</t>
  </si>
  <si>
    <t>Francisca Rodriguez-Arriaza es asistente de investigación</t>
  </si>
  <si>
    <t>07 Nov 2024, 11:40</t>
  </si>
  <si>
    <t>Comparación del efecto de la simbiosis de hongos endófitos extremófilos en plantas de tomate sometidas a condiciones de estrés salino</t>
  </si>
  <si>
    <t>Patricio Eugenio Ramos Campos (Principal Researcher)</t>
  </si>
  <si>
    <t>Antonia Valenzuela-Herrera, Mario Moya-Moraga</t>
  </si>
  <si>
    <t>07 Nov 2024, 11:42</t>
  </si>
  <si>
    <t>Aplicaciones de Ácido abscísico en plantas de arándanos sometidas a déficit hídrico y su efecto en las propiedades fisiológicas y nutricionales del fruto</t>
  </si>
  <si>
    <t>Luis Alberto Morales Quintana (Director); Patricio Eugenio Ramos Campos (Principal Researcher); Carolina Andrea Parra Palma (Postdoctoral Fellow); Carlos Vasquez Rojas (PhD Thesis); Matías Humberto Vergara Vergara (Undergraduate Thesis)</t>
  </si>
  <si>
    <t>Victoria Urrutia, Cristian Balbontín, Sebastián Flores</t>
  </si>
  <si>
    <t>Sebastían Flores es asistente de Investigación</t>
  </si>
  <si>
    <t>07 Nov 2024, 11:45</t>
  </si>
  <si>
    <t>III CBPC – Congresso Brasileiro de Processamento Mínimo e Pós-Colheita de Frutas, Flores e Hortaliças</t>
  </si>
  <si>
    <t>¿Puede la inhibición de la N-glicosilación prolongar la vida útil de la frutilla comercial (Fragaria x ananassa)?</t>
  </si>
  <si>
    <t>Castro, Ricardo I., Muñoz-Vera, Marcelo</t>
  </si>
  <si>
    <t>02 Nov 2024, 00:04</t>
  </si>
  <si>
    <t>Antioxidantes, color y firmeza: efecto de los tratamientos con dióxido de cloro en la postcosecha de la frutilla comercial (Fragaria x ananassa)</t>
  </si>
  <si>
    <t>Luis Alberto Morales Quintana (Director); Patricio Eugenio Ramos Campos (Principal Researcher); Angela Mendez-Yañez (Postdoctoral Fellow)</t>
  </si>
  <si>
    <t>Yáñez-Ortega, María Alejandra, Moraga-Maldonado, Felipe, Rojas-Burgos, Yessica</t>
  </si>
  <si>
    <t>02 Nov 2024, 00:08</t>
  </si>
  <si>
    <t>noculación de hongos endófitos antárticos incrementan los esteres volátiles en frutos de frutilla</t>
  </si>
  <si>
    <t>Pollmann, Stephan, Rodriguez-Arriaza, Francisca</t>
  </si>
  <si>
    <t>02 Nov 2024, 00:11</t>
  </si>
  <si>
    <t>Rol en la calidad postcosecha de frutos de frutilla de la familia alcohol deshidrogenasa</t>
  </si>
  <si>
    <t>Rodriguez-Arriaza, Francisca</t>
  </si>
  <si>
    <t>02 Nov 2024, 00:13</t>
  </si>
  <si>
    <t>Aplicación de ABA nano encapsulado mejora la calidad y postcosecha</t>
  </si>
  <si>
    <t>Flores-Valenzuela, Sebastían</t>
  </si>
  <si>
    <t>02 Nov 2024, 00:16</t>
  </si>
  <si>
    <t>Hongos endófitos antárticos mejoran la calidad de postcosecha de frutos de arándano frente a sequía</t>
  </si>
  <si>
    <t>02 Nov 2024, 00:17</t>
  </si>
  <si>
    <t>Jornadas Anuales de Postcosecha</t>
  </si>
  <si>
    <t>EFECTO DE LA APLICACIÓN DE ABA EN LA BIOSÍNTESIS DE COMPUESTOS ORGÁNICOS VOLÁTILES EN FRUTOS DE FRUTILLA</t>
  </si>
  <si>
    <t>Luis Alberto Morales Quintana (Director); Mariona Herminia Gil Cortiella (Principal Researcher); Patricio Eugenio Ramos Campos (Principal Researcher); Angela Mendez-Yañez (Postdoctoral Fellow); Carolina Andrea Parra Palma (Postdoctoral Fellow); Darwin Saez (PhD Thesis); Francisca Hormazábal Abarza (Undergraduate Thesis)</t>
  </si>
  <si>
    <t>01 Nov 2024, 23:39</t>
  </si>
  <si>
    <t>MEJORA DE LA RESILIENCIA DE LOS CULTIVOS: INNOVACIONES EN LA APLICACIÓN DE ÁCIDO ABSCÍSICO PARA LA AGRICULTURA SOSTENIBLE EN CONDICIONES DE CAMBIO CLIMÁTICO</t>
  </si>
  <si>
    <t>Flores, Sebastían, Castro, Ricardo I., Bustos, Daniel</t>
  </si>
  <si>
    <t>01 Nov 2024, 23:42</t>
  </si>
  <si>
    <t>Carbon for the Future 2024</t>
  </si>
  <si>
    <t>Which are the photocatalytic active sites in carbocatalysts? examples in various photocatalytic reactions</t>
  </si>
  <si>
    <t>Juan Matos Lale (Principal Researcher); PO  SHAN POON (Adjunct Researcher)</t>
  </si>
  <si>
    <t>Implement advanced “remediation treatments” for polluted water; Promote a greater water retention in agricultural soils by using functionalized “biochars”</t>
  </si>
  <si>
    <t>07 Nov 2024, 12:28</t>
  </si>
  <si>
    <t>Photodegradation of toluene on UV-irradiated TiO2: Influence of molecular density of adsorption on Nanoporous Carbons</t>
  </si>
  <si>
    <t>07 Nov 2024, 12:33</t>
  </si>
  <si>
    <t>XVII Meeting of Plant Molecular Biology</t>
  </si>
  <si>
    <t>Impact of Hormone Treatments on Phenolic Content and antioxidant capacity in blueberries during Postharvest conditions</t>
  </si>
  <si>
    <t>Flores, Sebastían</t>
  </si>
  <si>
    <t>01 Nov 2024, 23:23</t>
  </si>
  <si>
    <t>Understanding changes in aroma metabolism during development and ripening of strawberry fruit, through exogenous hormonal treatments</t>
  </si>
  <si>
    <t>01 Nov 2024, 23:26</t>
  </si>
  <si>
    <t>Antarctic endophytic fungi enhance physiological and biochemical performance of strawberry plants (Fragaria x ananassa) under drought and high temperatures</t>
  </si>
  <si>
    <t>Flores, Sebastían, Yáñez, María Alejandra, Gundel, Pedro, Pollmann, Stephan, Cabrera-Ariza, A, Santelices, Romulo</t>
  </si>
  <si>
    <t>01 Nov 2024, 23:30</t>
  </si>
  <si>
    <t xml:space="preserve">10th Carbocat International Symposium on Carbon for Catalysis </t>
  </si>
  <si>
    <t>07 Nov 2024, 12:36</t>
  </si>
  <si>
    <t>Jornadas de Ciencias Hortícolas 2024</t>
  </si>
  <si>
    <t>Fine-Tuning Anthocyanin and Phenol Extraction: Unveiling Optimal Conditions through Ultrasound-Assisted Extraction and Response Surface Methodology</t>
  </si>
  <si>
    <t>01 Nov 2024, 22:53</t>
  </si>
  <si>
    <t>Impact of Hormone Treatments on Phenolic Content, Color Development, and Pigment-Related Gene Expression in Strawberries during Pre and Postharvest Phases</t>
  </si>
  <si>
    <t>Luis Alberto Morales Quintana (Director); Patricio Eugenio Ramos Campos (Principal Researcher); Carolina Andrea Parra Palma (Postdoctoral Fellow); Darwin Saez (PhD Thesis)</t>
  </si>
  <si>
    <t>01 Nov 2024, 22:57</t>
  </si>
  <si>
    <t>Exploring Expression Patterns and Identifying the Alcohol Acyltransferase Gene Family (FaAAT) in Fragaria x ananassa</t>
  </si>
  <si>
    <t>Bustos, Daniel</t>
  </si>
  <si>
    <t>01 Nov 2024, 23:01</t>
  </si>
  <si>
    <t>Enhancing crop resilience: Innovations in abscisic acid application for sustainable agriculture under climatic change conditions</t>
  </si>
  <si>
    <t>Bustos, Daniel, Castro, Ricardo I.</t>
  </si>
  <si>
    <t>01 Nov 2024, 23:03</t>
  </si>
  <si>
    <t>Antarctic endophytic fungi enhance physiological and biochemical performance of strawberry plants (Fragaria x ananassa) under drought and high temperatures.</t>
  </si>
  <si>
    <t>Yáñez, María Alejandra, Flores, Sebastían, Moya, Mario, Gundell, Pedro, Pollmann, Stephan</t>
  </si>
  <si>
    <t>01 Nov 2024, 23:06</t>
  </si>
  <si>
    <t>Jornadas de Ciencias Horticolas 2024</t>
  </si>
  <si>
    <t>Enhancing Blueberry Drought Resilience: ABA and MeJA Hormonal Formulations Unveil Water-Saving Strategies</t>
  </si>
  <si>
    <t>Balbontín, Cristian, Yáñez, María Alejandra, Reyes, Marisol</t>
  </si>
  <si>
    <t>01 Nov 2024, 23:09</t>
  </si>
  <si>
    <t>ATE220018</t>
  </si>
  <si>
    <t>EDUTEC 2024: Tecnología Educativa para una Sociedad Multimodal</t>
  </si>
  <si>
    <t>Validación de una adaptación de DIGCOMPEdu a estudiantes de educación infantil</t>
  </si>
  <si>
    <t>Roberto Canales Reyes (Adjunct Researcher)</t>
  </si>
  <si>
    <t>2. Application of dialogical methodologies</t>
  </si>
  <si>
    <t>21 Oct 2024, 12:30</t>
  </si>
  <si>
    <t xml:space="preserve">Desigualdades de genero en territorios rurales: trabajos  y violencias </t>
  </si>
  <si>
    <t>Su ponencConstrucción social e institucional de economías del territorio en espacios marino-costeros en Chile</t>
  </si>
  <si>
    <t>Gonzalo Rodolfo Saavedra Gallo (Adjunct Researcher)</t>
  </si>
  <si>
    <t xml:space="preserve">1. Characterization of social and territorial inequalities </t>
  </si>
  <si>
    <t>21 Oct 2024, 12:11</t>
  </si>
  <si>
    <t>International Conference on Regional Science</t>
  </si>
  <si>
    <t>Participación laboral femenina en Chile ¿cómo ha cambiado después de la pandemia?</t>
  </si>
  <si>
    <t>Luz María Ferrada Bórquez (Principal Researcher)</t>
  </si>
  <si>
    <t>22 Oct 2024, 12:29</t>
  </si>
  <si>
    <t>Encuentro de intercambio de estrategias metodológicas de coproducción y codiseño desde los territorios</t>
  </si>
  <si>
    <t>Comunidades de Diálogo y Aprendizaje Territorial en Escenarios de Crisis del Sur de Chile”. El encuentro fue organizado por el proyecto Anillo “Comunes Costeros</t>
  </si>
  <si>
    <t>Alejandra Bernardita Lazo Corvalan (Principal Researcher)</t>
  </si>
  <si>
    <t>1. Characterization of social and territorial inequalities ; 2. Application of dialogical methodologies; 3. Optimization of dialogic methodologies</t>
  </si>
  <si>
    <t>21 Oct 2024, 13:02</t>
  </si>
  <si>
    <t xml:space="preserve">Jornadas de debate interdisciplinario en salud y población </t>
  </si>
  <si>
    <t xml:space="preserve">El litoral en silla de ruedas: una etnografía de estrategias creativas de familias con discapacidad ante desigualdades territoriales </t>
  </si>
  <si>
    <t>DIEGO SOLSONA CISTERNAS  (Postdoctoral Fellow)</t>
  </si>
  <si>
    <t>05 Sep 2024, 11:23</t>
  </si>
  <si>
    <t xml:space="preserve">Experimentaciones Cartográficas </t>
  </si>
  <si>
    <t>Cartografías multimodales en un archipiélago en transformación</t>
  </si>
  <si>
    <t>06 Sep 2024, 09:51</t>
  </si>
  <si>
    <t>Cartografía de inmersión como ética inmanente para el Archipiélago imaginario</t>
  </si>
  <si>
    <t>Francisco Adelberto Ther Ríos (Principal Researcher)</t>
  </si>
  <si>
    <t>06 Sep 2024, 09:53</t>
  </si>
  <si>
    <t>Coloquio "Chiloé, debates insulares"</t>
  </si>
  <si>
    <t>Revisitando las territorialidades archipelágicas desde el giro de la movilidad y los enfoques no representacionales</t>
  </si>
  <si>
    <t>06 Sep 2024, 09:22</t>
  </si>
  <si>
    <t>Comprendiendo el Archipiélago. Propuestas de recomposición basadas en un nuevo modelo de epistemología territorial</t>
  </si>
  <si>
    <t>06 Sep 2024, 09:25</t>
  </si>
  <si>
    <t>Escuela Doctoral de Verano</t>
  </si>
  <si>
    <t xml:space="preserve">Revisitando las metodologías móviles en las investigaciones no-metropolitanas </t>
  </si>
  <si>
    <t>06 Sep 2024, 09:45</t>
  </si>
  <si>
    <t>ATE220020</t>
  </si>
  <si>
    <t>I Workshop Internacional One Health &amp; One Welfare Valencia “</t>
  </si>
  <si>
    <t>Colaboración, Solidaridad e Integración: Abordajes desde One Health para la acción frente al cambio climático y prevención de pandemias.</t>
  </si>
  <si>
    <t>Daniela Patricia Figueroa Pérez (Principal Researcher)</t>
  </si>
  <si>
    <t>Development of technological products for the efficient identification and control of dengue virus vectors and other emerging arboviruses in Chile through the One Health approach and the incorporation of citizen science</t>
  </si>
  <si>
    <t>03 Nov 2024, 18:51</t>
  </si>
  <si>
    <t xml:space="preserve">XXXIX Congreso Chileno de Infectología </t>
  </si>
  <si>
    <t>MOLÉCULAS BIORECEPTORAS PARA LA DETECCIÓN DEL VIRUS DENGUE: EVALUACIÓN DE POSIBLES LIGANDOS EN LA DETECCIÓN DE PROTEÍNA NS1</t>
  </si>
  <si>
    <t>Ximena Del Carmen Collao Ferrada (Director); Cindy Peña Moreno (PhD Thesis)</t>
  </si>
  <si>
    <t>29 Oct 2024, 14:37</t>
  </si>
  <si>
    <t>I Workshop Internacional One Health &amp; One Welfare Valencia</t>
  </si>
  <si>
    <t>Trabajo transdisciplinario One Health en Prevención del Dengue y otros arbovirus emergentes, una mirada desde el medio ambiente</t>
  </si>
  <si>
    <t>Sergio Andrés Scott Alarcón (Adjunct Researcher)</t>
  </si>
  <si>
    <t>17 Nov 2024</t>
  </si>
  <si>
    <t>03 Nov 2024, 18:48</t>
  </si>
  <si>
    <t>XLVII Jornadas Nacionales de Estadística</t>
  </si>
  <si>
    <t>SPATIO-TEMPORAL MODELING FOR MAPPING THE RELATIVE RISK OF DENGUE FEVER IN SPECIFIC POPULATION-SPECIFIC CLIMATIC AND SOCIAL CONDITIONS</t>
  </si>
  <si>
    <t>Ximena Del Carmen Collao Ferrada (Director); Rodrigo José Salas Fuentes (Principal Researcher); Diana Marcela Martinez Ruiz (PhD Thesis); Javiera Contador (Undergraduate Thesis)</t>
  </si>
  <si>
    <t>Study natural environments at risk of presenting the circulation of mosquito vectors and arboviruses in Arica-Parinacota and Rapa Nui, contributing with genomic characterization</t>
  </si>
  <si>
    <t>29 Oct 2024, 08:27</t>
  </si>
  <si>
    <t>SPATIAL AGENT-BASED MODEL FOR AEDES AEGYPTI MOSQUITOES IN THE URBAN AREA IN RAPA NUI (CHILE)</t>
  </si>
  <si>
    <t>Diana Marcela Martinez Ruiz (PhD Thesis)</t>
  </si>
  <si>
    <t>29 Oct 2024, 08:30</t>
  </si>
  <si>
    <t>8th World One Health Congress 2024</t>
  </si>
  <si>
    <t>Ximena Del Carmen Collao Ferrada (Director)</t>
  </si>
  <si>
    <t>28 Oct 2024, 15:14</t>
  </si>
  <si>
    <t>Charla: El virus Dengue y sus características</t>
  </si>
  <si>
    <t>El virus dengue y sus características</t>
  </si>
  <si>
    <t>03 Nov 2024, 17:29</t>
  </si>
  <si>
    <t>Pedro Kouri Tropical Medicine Institute 18th International Course of Dengue and other emergent arboviruses</t>
  </si>
  <si>
    <t>Asistant course of arboviruses</t>
  </si>
  <si>
    <t>Cindy Peña Moreno (PhD Thesis)</t>
  </si>
  <si>
    <t>29 Oct 2024, 14:24</t>
  </si>
  <si>
    <t>Pedro Kouri Tropical Medicine Institute 18th International Course  of Dengue and other  emergent arboviruses</t>
  </si>
  <si>
    <t>Jaime Salinas (Master Thesis)</t>
  </si>
  <si>
    <t>29 Oct 2024, 08:39</t>
  </si>
  <si>
    <t>18th Conference of the International Federation of Classification Societies (IFCS)</t>
  </si>
  <si>
    <t>“Spatial Agent-Based Model for Aedes Aegypti mosquitoes in the urban area in Arica (Chile)”</t>
  </si>
  <si>
    <t>29 Oct 2024, 08:33</t>
  </si>
  <si>
    <t>5to. Simposio “Desde las Ciencias Fundamentales a la Arena Clínica en Medicina”,</t>
  </si>
  <si>
    <t>STUDY OF GENETIC VARIANTS ASSOCIATED WITH RESISTANCE TO PYRETHROIDS IN AEDES AEGYPTI IN RAPA NUI</t>
  </si>
  <si>
    <t>Javier Toganrelli (Master Thesis)</t>
  </si>
  <si>
    <t>30 Apr 2024</t>
  </si>
  <si>
    <t>29 Oct 2024, 15:02</t>
  </si>
  <si>
    <t>In silico evaluation of RNA 2AUI aptamer as a potential ligand in the detection of the NS1 protein of the dengue virus</t>
  </si>
  <si>
    <t>29 Oct 2024, 14:12</t>
  </si>
  <si>
    <t>Spatial Agent-Based Model for Aedes Aegypti mosquitoes in the urban area in Arica (Chile)</t>
  </si>
  <si>
    <t>29 Oct 2024, 14:16</t>
  </si>
  <si>
    <t>ATE220021</t>
  </si>
  <si>
    <t>XXXI Congreso Latinoamericano de Hidráulica</t>
  </si>
  <si>
    <t>Evidencia del mecanismo Status-quo en la Sociohidrología de inundaciones. XXXI Congreso Latinoamericano de Hidráulica</t>
  </si>
  <si>
    <t>Oscar Eduardo Link Lazo (Director); Juan Antonio Carrasco Montagna (Adjunct Researcher); Maricarmen Andrea Josefina Guerra Paris (Adjunct Researcher)</t>
  </si>
  <si>
    <t>Sociohidrologia</t>
  </si>
  <si>
    <t>04 Nov 2024, 19:43</t>
  </si>
  <si>
    <t>Relleno automático de series diarias de caudal en regiones con escases de datos</t>
  </si>
  <si>
    <t>Oscar Eduardo Link Lazo (Director)</t>
  </si>
  <si>
    <t>Pedro Arriagada</t>
  </si>
  <si>
    <t>05 Nov 2024, 10:04</t>
  </si>
  <si>
    <t>Evaluación del error en el cálculo de la superficie de inundación usando información de campo</t>
  </si>
  <si>
    <t>Oscar Eduardo Link Lazo (Director); Maricarmen Andrea Josefina Guerra Paris (Adjunct Researcher)</t>
  </si>
  <si>
    <t>Vicente Saenger, a member of the project, presented the work</t>
  </si>
  <si>
    <t>28 Oct 2024, 09:19</t>
  </si>
  <si>
    <t>XXXI CONGRESO LATINOAMERICANO DE HIDRÁULICA</t>
  </si>
  <si>
    <t>ANÁLISIS ESTACIONARIO VERSUS NO ESTACIONARIO DE CAUDALES MÁXIMOS EN CHILE CENTRAL</t>
  </si>
  <si>
    <t>OCTAVIO ENRIQUE ROJAS VILCHES (Principal Researcher); Alejandra Patricia Stehr Gesche (Principal Researcher)</t>
  </si>
  <si>
    <t>Connecting Geographies From The Global South</t>
  </si>
  <si>
    <t xml:space="preserve">Desarrollo de un modelo basado en agentes para la gestión del riesgo de inundación en una cuenca del centro-sur de Chile </t>
  </si>
  <si>
    <t>Jorge Hurtado Pidal (Postdoctoral Fellow)</t>
  </si>
  <si>
    <t>24 Oct 2024, 18:43</t>
  </si>
  <si>
    <t>ATE220025</t>
  </si>
  <si>
    <t>Mia Rubi Carreño Bolivar (Principal Researcher)</t>
  </si>
  <si>
    <t>Género</t>
  </si>
  <si>
    <t>Ainhoa Montserrat Vasquez Mejías (Postdoctoral Fellow)</t>
  </si>
  <si>
    <t>Formación Inicial Docente; Género</t>
  </si>
  <si>
    <t>Damaso Andrés Rabanal Gatica (Principal Researcher)</t>
  </si>
  <si>
    <t>Leontina Elizabeth Martínez Palma (Director)</t>
  </si>
  <si>
    <t>Margarita María Calderón López (Principal Researcher)</t>
  </si>
  <si>
    <t>Género; Interculturalidad</t>
  </si>
  <si>
    <t>Leontina Elizabeth Martínez Palma (Director); Margarita María Calderón López (Principal Researcher)</t>
  </si>
  <si>
    <t>Formación Inicial Docente; Género; Interculturalidad</t>
  </si>
  <si>
    <t>Formación Inicial Docente; Interculturalidad</t>
  </si>
  <si>
    <t xml:space="preserve">XVII Coloquio de la Red Latinoamericana de Estudios Críticos del Discurso y Pobreza (REDLAD): Discurso, Interseccionalidad y Reflexividad </t>
  </si>
  <si>
    <t>Voces de profesoras: Conocimiento pedagógico con perspectiva de género interseccional</t>
  </si>
  <si>
    <t>08 Nov 2024, 22:04</t>
  </si>
  <si>
    <t>Proyección de documental Malqueridas de Tana Gilbert</t>
  </si>
  <si>
    <t>08 Nov 2024, 21:59</t>
  </si>
  <si>
    <t>V Festival Internacional Santiago Negro</t>
  </si>
  <si>
    <t>25 años de anomia. El sistema judicial chileno en dos novelas narco-policiales.</t>
  </si>
  <si>
    <t>08 Nov 2024, 21:57</t>
  </si>
  <si>
    <t>Seminario de lectura crítica en el Programa de Estudios de la Memoria – Centro de Estudios Avanzados en Ciencias Sociales</t>
  </si>
  <si>
    <t>Presentación: “La política cultural de las emociones. Vínculos feminista</t>
  </si>
  <si>
    <t>08 Nov 2024, 21:54</t>
  </si>
  <si>
    <t xml:space="preserve">Atheneo Interdisciplinario “Cuerpos, comunidad y libertad en el contexto de las actuales agendas de memoria y DDHH” </t>
  </si>
  <si>
    <t>Por la palabra, la existencia y los Derechos Humanos: tramas interculturales y de género en Chile actual</t>
  </si>
  <si>
    <t>08 Nov 2024, 21:52</t>
  </si>
  <si>
    <t>Testimonio y Ficción en América Latina en el siglo XXI</t>
  </si>
  <si>
    <t>Islas Nuevas: narrativa joven de mujeres frente a los enclaves dictatoriales del presente chileno</t>
  </si>
  <si>
    <t>08 Nov 2024, 21:35</t>
  </si>
  <si>
    <t>British Educational Research Association (BERA) Conference 2024</t>
  </si>
  <si>
    <t xml:space="preserve">Curricular adaptations in schools in vulnerable areas of Spain and Chile in the post-confinement stage – </t>
  </si>
  <si>
    <t>Gerardo Octavio Muñoz Troncoso (Principal Researcher)</t>
  </si>
  <si>
    <t>Anna Tarrés, Universidad Autónoma de Barcelona, Javier Campos, Universidad Austral de Chile, Miquel Ángel Essomba, Universidad Autónoma de Barcelona</t>
  </si>
  <si>
    <t>Interculturalidad</t>
  </si>
  <si>
    <t>08 Nov 2024, 21:21</t>
  </si>
  <si>
    <t xml:space="preserve">3ra Jornada de Perspectiva Transversal de Género en Educación </t>
  </si>
  <si>
    <t>Género, docencia e investigación en la FID: urgencias, necesidades y desafíos</t>
  </si>
  <si>
    <t>08 Nov 2024, 22:02</t>
  </si>
  <si>
    <t>Jornadas de Literatura y Marginalidad. Fronteras entre la realidad y la ficción</t>
  </si>
  <si>
    <t>Me en-canta: ley de atracción en la música urbana</t>
  </si>
  <si>
    <t>08 Nov 2024, 21:11</t>
  </si>
  <si>
    <t>Principios de la Pedagogía Indígena para la formación de profesores en perspectiva intercultural en la Araucanía”</t>
  </si>
  <si>
    <t>Territorio y Geografía en Perspectiva Intercultural: Aproximación desde las cartografías comunitarias.</t>
  </si>
  <si>
    <t>08 Nov 2024, 21:16</t>
  </si>
  <si>
    <t>V Seminario de fomento lector con perspectiva de género de la Biblioteca Pública de Los Ríos</t>
  </si>
  <si>
    <t>Experiencias de mediación de lectura en las infancias</t>
  </si>
  <si>
    <t>08 Nov 2024, 21:08</t>
  </si>
  <si>
    <t>XV Congreso Internacional JALLA</t>
  </si>
  <si>
    <t>Narcoliteratura chilena: de la denuncia crítica a la criminalización de la pobreza</t>
  </si>
  <si>
    <t>08 Nov 2024, 21:06</t>
  </si>
  <si>
    <t>ornadas de Estudios de las Infancias</t>
  </si>
  <si>
    <t>Ludicidad y desarrollo biopsicosocial de las y los infantes en situación de vulnerabilidad social</t>
  </si>
  <si>
    <t>08 Nov 2024, 20:50</t>
  </si>
  <si>
    <t>Jornadas de Estudios de las Infancias,</t>
  </si>
  <si>
    <t>Representaciones identitarias infantiles y mediación literaria. Análisis de significados valorativos desde una perspectiva de género</t>
  </si>
  <si>
    <t>08 Nov 2024, 20:58</t>
  </si>
  <si>
    <t>Mesa Temática "Necesidades, tensiones y desafíos de las nuevas infancias"</t>
  </si>
  <si>
    <t>08 Nov 2024, 21:03</t>
  </si>
  <si>
    <t>III Seminario de seguridad pública</t>
  </si>
  <si>
    <t>El rol de los medios de comunicación en las percepciones de seguridad de la ciudadanía</t>
  </si>
  <si>
    <t>08 Nov 2024, 20:47</t>
  </si>
  <si>
    <t>Congreso LASA 2024 Reacción y resistencia: Imaginar futuros posibles en las Américas</t>
  </si>
  <si>
    <t>Despatriarcar como sobrevivencia comunitaria: Ladydi (2014) de Jennifer Clement</t>
  </si>
  <si>
    <t>08 Nov 2024, 20:34</t>
  </si>
  <si>
    <t>No sin nosotras, señorita: la escuela pública en las artes escénicas y visuales de Chile reciente</t>
  </si>
  <si>
    <t>08 Nov 2024, 20:37</t>
  </si>
  <si>
    <t>Generosidad travesti: contribuciones decoloniales y despatriarcales desed la escritura de Claudia Rodríguez</t>
  </si>
  <si>
    <t>08 Nov 2024, 20:38</t>
  </si>
  <si>
    <t>Mesa Despatriarcar y descolonizar: contra-pedagogías de la crueldad en las artes visuales, escénicas y literarias para la escuela del futuro que ya está siendo</t>
  </si>
  <si>
    <t>Mia Rubi Carreño Bolivar (Principal Researcher); Damaso Andrés Rabanal Gatica (Principal Researcher); Ainhoa Montserrat Vasquez Mejías (Postdoctoral Fellow)</t>
  </si>
  <si>
    <t>María José Barros, Universidad Adolfo Ibáñez</t>
  </si>
  <si>
    <t>08 Nov 2024, 20:43</t>
  </si>
  <si>
    <t>Coloquios de Investigación. Seminarios de Línea 1</t>
  </si>
  <si>
    <t>Despatriarcar y descolonizar desde el sur de Chile: Género e Investigación en la Formación Inicial Docente</t>
  </si>
  <si>
    <t>Leontina Elizabeth Martínez Palma (Director); Damaso Andrés Rabanal Gatica (Principal Researcher); Ainhoa Montserrat Vasquez Mejías (Postdoctoral Fellow)</t>
  </si>
  <si>
    <t>08 Nov 2024, 20:28</t>
  </si>
  <si>
    <t xml:space="preserve">I Congreso Nacional de Ciencia, Tecnología, Conocimiento e Innovación con Perspectivo de Género </t>
  </si>
  <si>
    <t>Género e investigación en la práctica docente: Percepciones de mujeres profesoras sobre su liderazgo educativo</t>
  </si>
  <si>
    <t>08 Nov 2024, 20:21</t>
  </si>
  <si>
    <t xml:space="preserve">Ciclo de Herramientas para una sociología comprometida </t>
  </si>
  <si>
    <t>Narcocultura</t>
  </si>
  <si>
    <t>08 Nov 2024, 20:11</t>
  </si>
  <si>
    <t>Clase Inaugural Magister en Desarrollo Social y Desarrollo de la Universidad de Concepción</t>
  </si>
  <si>
    <t>Narcocultura, una mirada a la masculinidad precarizada y las nuevas manifestaciones culturales del crimen organizado</t>
  </si>
  <si>
    <t>08 Nov 2024, 20:03</t>
  </si>
  <si>
    <t>Charla Inaugural Programa Doctorado en Educación Universidad Alberto Hurtado/Universidad Diego Portales</t>
  </si>
  <si>
    <t>Educación Intercultural en contexto indígena: fundamentos teóricos, metodológicos y empíricos"</t>
  </si>
  <si>
    <t>08 Nov 2024, 15:48</t>
  </si>
  <si>
    <t>Programa de Máster Oficial en Intervenciones Sociales y Educativas</t>
  </si>
  <si>
    <t>Educación Intercultural en América Latina</t>
  </si>
  <si>
    <t>27 Mar 2024, 09:53</t>
  </si>
  <si>
    <t>Conversatorio ¿Cómo aplicamos la perspectiva de género en investigación? Experiencias cruzadas UACh y UNAM</t>
  </si>
  <si>
    <t>08 Nov 2024, 15:46</t>
  </si>
  <si>
    <t>ATE220033</t>
  </si>
  <si>
    <t xml:space="preserve"> Trophic ecology</t>
  </si>
  <si>
    <t>Oceanography</t>
  </si>
  <si>
    <t>Congreso Oceanografía Física, Meteorología y Clima del Pacífico Sur</t>
  </si>
  <si>
    <t>Completando el vacío de información durante el invierno austral: utilización de focas de Weddell implementadas con sensores CTDs en la Península Antártica Norte</t>
  </si>
  <si>
    <t>Maria Andrea Piñones (Principal Researcher)</t>
  </si>
  <si>
    <t>05 Nov 2024, 07:06</t>
  </si>
  <si>
    <t>Mezcla turbulenta en fiordos de la Patagonia</t>
  </si>
  <si>
    <t>Marcela Carolina Rojas Celis (Master Thesis)</t>
  </si>
  <si>
    <t>05 Nov 2024, 07:07</t>
  </si>
  <si>
    <t>VI Congreso Latinoamericano de Mastozoología</t>
  </si>
  <si>
    <t>Diferencias interindividuales en los patrones de movimiento y uso de hábitat de la foca elefante  en Tierra del Fuego sur de Chile</t>
  </si>
  <si>
    <t>Ignacio Lautaro Vergara Toledo (Master Thesis)</t>
  </si>
  <si>
    <t>30 Oct 2024, 06:46</t>
  </si>
  <si>
    <t xml:space="preserve">XVIII Congreso de Ciencias del Mar </t>
  </si>
  <si>
    <t>Educación ambiental marina en el sur de Chile: vínculo escolar con el océano desde la perspectiva docente.</t>
  </si>
  <si>
    <t>Carla Andrea Christie Remy-Maillet (Adjunct Researcher)</t>
  </si>
  <si>
    <t>Community ecology</t>
  </si>
  <si>
    <t>07 Jun 2024, 16:25</t>
  </si>
  <si>
    <t>Marine heatwaves dynamics and impact on coastal and estuarine ecosystems</t>
  </si>
  <si>
    <t>Coastal MHWs in West Antartic Peninsula</t>
  </si>
  <si>
    <t>17 Apr 2024, 14:56</t>
  </si>
  <si>
    <t>ATE220034</t>
  </si>
  <si>
    <t>IV Jornadas de Inmunología del Sur</t>
  </si>
  <si>
    <t>Expresión de glicoproteínas recombinantes solubles de Andes orthohantavirus en células HEK293T mediante transfección con fosfato de calcio</t>
  </si>
  <si>
    <t>Maria Ines Barria Carcamo (Director); Jose Luis Garrido Ramirez (Adjunct Researcher); Felipe Bravo (PhD Thesis); JORGE TOMÁS GONZÁLEZ GÓMEZ  (Undergraduate Thesis)</t>
  </si>
  <si>
    <t>20 Nov 2024, 12:27</t>
  </si>
  <si>
    <t>IV Jornadas de Inmunologia del Sur</t>
  </si>
  <si>
    <t>Estudio de funciones antagónicas de anticuerpos con reactividad cruzada contra variantes de SARS-CoV-2.</t>
  </si>
  <si>
    <t>Maria Ines Barria Carcamo (Director)</t>
  </si>
  <si>
    <t xml:space="preserve">Francisco Fuentes-Villalobos, Diego Abarzua </t>
  </si>
  <si>
    <t>20 Nov 2024, 12:37</t>
  </si>
  <si>
    <t>Estudio de la potenciación de la infección dependiente de anticuerpos con reactividad cruzada contra SARS CoV-2.</t>
  </si>
  <si>
    <t>Maria Ines Barria Carcamo (Director); JUAN LUIS M. PUENTES MAZA  (Undergraduate Thesis)</t>
  </si>
  <si>
    <t>Francisco Fuentes-Villalobos</t>
  </si>
  <si>
    <t>20 Nov 2024, 12:41</t>
  </si>
  <si>
    <t>Desarrollo de líneas celulares para la cuantificación de la activación de FcgRs.</t>
  </si>
  <si>
    <t>Maria Ines Barria Carcamo (Director); Jose Luis Garrido Ramirez (Adjunct Researcher); Felipe Bravo (PhD Thesis)</t>
  </si>
  <si>
    <t>Raymond Alvarez</t>
  </si>
  <si>
    <t>20 Nov 2024, 12:43</t>
  </si>
  <si>
    <t>Differential Cytokine Response Against Choclo Orthohantavirus in Acutely ill HCPS Patients in Panama.</t>
  </si>
  <si>
    <t>Maria Ines Barria Carcamo (Director); Jose Luis Garrido Ramirez (Adjunct Researcher)</t>
  </si>
  <si>
    <t>Tybbysay Salinas, Blas Armien</t>
  </si>
  <si>
    <t>20 Nov 2024, 12:46</t>
  </si>
  <si>
    <t>Análisis de la citotoxicidad de células NK inducida por anticuerpos de reactividad cruzada ante variantes de SARS-CoV-2</t>
  </si>
  <si>
    <t>Francisco Fuentes-Villalobos, William San Martin</t>
  </si>
  <si>
    <t>20 Nov 2024, 12:48</t>
  </si>
  <si>
    <t>Progresión de la respuesta Treg en pacientes leves y severos de COVID-19</t>
  </si>
  <si>
    <t>Camila Kossack (Postdoctoral Fellow)</t>
  </si>
  <si>
    <t>20 Nov 2024, 18:08</t>
  </si>
  <si>
    <t xml:space="preserve">IV Jornadas de Inmunología </t>
  </si>
  <si>
    <t>Rol de CXCL9 y CXCL10 en la respuesta humoral en long COVID</t>
  </si>
  <si>
    <t>Estefania Andrea Nova Lamperti (Principal Researcher)</t>
  </si>
  <si>
    <t>20 Nov 2024, 19:49</t>
  </si>
  <si>
    <t>Descifrando el papel de las células Natural Killer para combatir la COVID-19. Nuevos hallazgos frente a la infección viral</t>
  </si>
  <si>
    <t>Matías Medina</t>
  </si>
  <si>
    <t>20 Nov 2024, 19:51</t>
  </si>
  <si>
    <t>Characterizing the circulating T follicular helper cells phenotype in hantavirus pulmonary syndrome survivors</t>
  </si>
  <si>
    <t>Jose Luis Garrido Ramirez (Adjunct Researcher)</t>
  </si>
  <si>
    <t>20 Nov 2024, 19:52</t>
  </si>
  <si>
    <t>Seminario ASOCHIN Octubre 2024</t>
  </si>
  <si>
    <t>TIPOS DE VACUNAS Y RESPUESTA INMUNE DIFERENCIAL</t>
  </si>
  <si>
    <t>20 Nov 2024, 12:22</t>
  </si>
  <si>
    <t>IV Jornadas de Investigación HPM 2024</t>
  </si>
  <si>
    <t xml:space="preserve">El uso de la Citometría espectral: de la ciencia básica a lo clínico </t>
  </si>
  <si>
    <t>20 Nov 2024, 12:17</t>
  </si>
  <si>
    <t>Training</t>
  </si>
  <si>
    <t>Ian Burbulis (Principal Researcher); Camila Kossack (Postdoctoral Fellow)</t>
  </si>
  <si>
    <t>20 Nov 2024, 15:22</t>
  </si>
  <si>
    <t>Others: Forum</t>
  </si>
  <si>
    <t>ACCESS Forum 2024</t>
  </si>
  <si>
    <t>EnvironmentalExposures, Diseases and Epigenetic Regulation: From Scientific Evidence to Prevention</t>
  </si>
  <si>
    <t>20 Nov 2024, 17:27</t>
  </si>
  <si>
    <t xml:space="preserve">19th International Conference on Innate Immunity. </t>
  </si>
  <si>
    <t>COVID-19-derived insulin resistance confuses neutrophils, promoting higher NETosis and miR-21-5p upregulation.</t>
  </si>
  <si>
    <t>20 Nov 2024, 17:23</t>
  </si>
  <si>
    <t xml:space="preserve">Aplicaciones del sistema Cytek Northern Light </t>
  </si>
  <si>
    <t>Sergio Sanhueza Novoa</t>
  </si>
  <si>
    <t>20 Nov 2024, 11:37</t>
  </si>
  <si>
    <t>Seminario ASOCHIN Abril 2024</t>
  </si>
  <si>
    <t>LAS DOS CARAS DE LA MONEDA EN LA RESPUESTA A ANTICUERPOS</t>
  </si>
  <si>
    <t>20 Nov 2024, 12:20</t>
  </si>
  <si>
    <t>Investigacion: Una tarea maravillosa</t>
  </si>
  <si>
    <t>20 Nov 2024, 13:59</t>
  </si>
  <si>
    <t>Cytek Aurora CS assessment training course</t>
  </si>
  <si>
    <t>29 Jan 2024</t>
  </si>
  <si>
    <t>02 Feb 2024</t>
  </si>
  <si>
    <t>20 Nov 2024, 15:20</t>
  </si>
  <si>
    <t>ATE220035</t>
  </si>
  <si>
    <t>KATERINE HENRIQUEZ CAMPOS (PhD Thesis)</t>
  </si>
  <si>
    <t>Political theory, feminism and new epistemes; Violence and thanatopolitics in women's bodies</t>
  </si>
  <si>
    <t>Political theory, feminism and new epistemes; Social movements, citizenship and women's cultural productions</t>
  </si>
  <si>
    <t>Political theory, feminism and new epistemes</t>
  </si>
  <si>
    <t xml:space="preserve"> VII National Colloquium on Research in Social Representations: Multidisciplinarity in social representations.</t>
  </si>
  <si>
    <t>Social representations of the sex/gender system and feminism. Theoretical and methodological considerations for research on gender and biopolitics from the perspective of methodological plurality and a feminist episteme.</t>
  </si>
  <si>
    <t>Leticia Beatriz Arancibia Martínez (Director)</t>
  </si>
  <si>
    <t>XXIV ALAS International Congress. Sociology in times of crisis and uncertainty</t>
  </si>
  <si>
    <t>Gender And Biopolitics, A Theoretical Articulation For Criticism And The Construction Of New Practices, Theories And Epistemes</t>
  </si>
  <si>
    <t>Leticia Beatriz Arancibia Martínez (Director); PAULINA BRONFMAN COLLOVATI (Postdoctoral Fellow)</t>
  </si>
  <si>
    <t>08 Nov 2024, 00:06</t>
  </si>
  <si>
    <t>Sixth Interdisciplinary Congress on Education Research CIIE 2024</t>
  </si>
  <si>
    <t>Gender Inequalities and Job Insecurity in Higher Education: Careers of Female Postdoctoral Researchers in Chile.</t>
  </si>
  <si>
    <t>Leticia Beatriz Arancibia Martínez (Director); MARIA SOLEDAD ASCENCIO CORTES (Postdoctoral Fellow); PAULINA BRONFMAN COLLOVATI (Postdoctoral Fellow)</t>
  </si>
  <si>
    <t>30 Oct 2024, 16:01</t>
  </si>
  <si>
    <t>Gender and biopolitics in school. Social imaginary meanings on gender social relations in school coexistence.</t>
  </si>
  <si>
    <t>Leticia Beatriz Arancibia Martínez (Director); CATALINA IGNACIA PAYACÁN ESCOBAR (Undergraduate Thesis)</t>
  </si>
  <si>
    <t>Paulina Bravo, Javiera García</t>
  </si>
  <si>
    <t>Education, work and forms of governance of life</t>
  </si>
  <si>
    <t>30 Oct 2024, 16:14</t>
  </si>
  <si>
    <t>Colloquium “Foucault, thinker of the present: untimely readings for the changing times”</t>
  </si>
  <si>
    <t>Biopolitics as a category for understanding the Institutionalization of Capitalism in the political body. From the orders of the world to the orders of life</t>
  </si>
  <si>
    <t>29 Oct 2024, 18:18</t>
  </si>
  <si>
    <t>1st day of Governance. Data analysis and governance for territorial and regional development</t>
  </si>
  <si>
    <t xml:space="preserve"> Analysis Governance Of Data For The Development Territorial And Regional</t>
  </si>
  <si>
    <t>carlos eduardo valdebenito valdebenito (Principal Researcher)</t>
  </si>
  <si>
    <t>Geographic, socioeconomic and demographic forms of violence and political-social exclusión experienced by women in the post-dictatorship public institutions</t>
  </si>
  <si>
    <t>29 Oct 2024, 17:27</t>
  </si>
  <si>
    <t>1st National Congress on Science, Technology, Knowledge and Innovation from a Gender Perspective.</t>
  </si>
  <si>
    <t>“WHEN SURVIVING WAS RESISTING.” Social Work and Repression. An Approach to the Experience of the Social Workers of the Vicariate of Solidarity</t>
  </si>
  <si>
    <t>Political theory, feminism and new epistemes; Social movements, citizenship and women's cultural productions; Violence and thanatopolitics in women's bodies</t>
  </si>
  <si>
    <t>30 Oct 2024, 12:23</t>
  </si>
  <si>
    <t>ATE220038</t>
  </si>
  <si>
    <t xml:space="preserve">Congreso Chileno de Microbiologia </t>
  </si>
  <si>
    <t>Metabolic and functional dynamics of biocrusts in climate change scenario: A comparative study between extreme envi- ronments using multi-omics approach</t>
  </si>
  <si>
    <t>Paola Andrea Durán Cuevas (Director); Patricio Javier Barra Espinoza (Principal Researcher); Matias Garcia Mendoza (PhD Thesis); Manuel Saldívar Diaz  (Undergraduate Thesis)</t>
  </si>
  <si>
    <t xml:space="preserve">Michel Abanto, Pablo Bruna </t>
  </si>
  <si>
    <t>Microbial Ecology; Plant-Microorganisms Interactions; Soil Microbial Diversity</t>
  </si>
  <si>
    <t>25 Jul 2025, 08:26</t>
  </si>
  <si>
    <t>Antarctic microbiota: A new frontier for enhancing drought resistance in tomato crops</t>
  </si>
  <si>
    <t>Paola Andrea Durán Cuevas (Director); Patricio Javier Barra Espinoza (Principal Researcher); Rodrigo Nicolas Rodriguez Quiroz (Postdoctoral Fellow)</t>
  </si>
  <si>
    <t>Maria de La Luz Mora</t>
  </si>
  <si>
    <t>Microbial Ecology; Plant-Microorganisms Interactions; Resistance to Abiotic Stress</t>
  </si>
  <si>
    <t>25 Jul 2025, 08:38</t>
  </si>
  <si>
    <t>10th International Worshop: Advances in Science and Technology Of Bioresources</t>
  </si>
  <si>
    <t>Soil microbiome engineering for enhanced phosphorus acquisition in wheat</t>
  </si>
  <si>
    <t>Paola Andrea Durán Cuevas (Director); Patricio Javier Barra Espinoza (Principal Researcher); Mabel Fabiola Delgado Torres (Principal Researcher); Cecilia de Lourdes Paredes Negrón (Postdoctoral Fellow); Jose Miguel Vejar Hernández (Undergraduate Thesis)</t>
  </si>
  <si>
    <t>Evelyn Briones, Giovanni Larama, María de la Luz Mora</t>
  </si>
  <si>
    <t>Plant-Microorganisms Interactions</t>
  </si>
  <si>
    <t>25 Nov 2025, 10:46</t>
  </si>
  <si>
    <t>Impact of elevated CO2 on the pathogenicity of Gaeumannomyces Graminis var. Tritici and the antagonistic capacity of biocontrol bacteria</t>
  </si>
  <si>
    <t>Paola Andrea Durán Cuevas (Director); Patricio Javier Barra Espinoza (Principal Researcher); Isabel Mendez Panes (PhD Thesis)</t>
  </si>
  <si>
    <t xml:space="preserve">Giovanni Larama </t>
  </si>
  <si>
    <t>Phytopathology and Biocontrol</t>
  </si>
  <si>
    <t>25 Nov 2025, 11:35</t>
  </si>
  <si>
    <t>Identification of native species from Southern South America that potentially use a carboxylate-releasing strategy to mobilize phosphorus from soil: Using foliar manganese concentration as a proxy</t>
  </si>
  <si>
    <t>Patricio Javier Barra Espinoza (Principal Researcher); Mabel Fabiola Delgado Torres (Principal Researcher); Dariel Lopez Hernandez (Postdoctoral Fellow); Fabian Alejandro Pereira Alarcon  (Undergraduate Thesis)</t>
  </si>
  <si>
    <t>María de la Luz Mora, Marjorie Reyes Diaz</t>
  </si>
  <si>
    <t>Biofertilization</t>
  </si>
  <si>
    <t>25 Nov 2025, 11:38</t>
  </si>
  <si>
    <t>The rhizosphere microbiome associated with Embotrhium coccineum improves tomato plantas tolerance to low temperature stress</t>
  </si>
  <si>
    <t>Paola Andrea Durán Cuevas (Director); Patricio Javier Barra Espinoza (Principal Researcher); Mabel Fabiola Delgado Torres (Principal Researcher); Jose Miguel Vejar Hernández (Undergraduate Thesis)</t>
  </si>
  <si>
    <t>Benjamin Jorquera, Evelyn Briones, María de la Luz Mora</t>
  </si>
  <si>
    <t>Resistance to Abiotic Stress; Soil Microbial Ecology</t>
  </si>
  <si>
    <t>25 Nov 2025, 11:42</t>
  </si>
  <si>
    <t>VIII Congreso Nacional de Flora Nativa</t>
  </si>
  <si>
    <t>Microbioma Rizosferico de Embothrium Coccineum en Ambientes Extremos del Sur de Sudamerica: Potencial para la Agricultura Sostenible</t>
  </si>
  <si>
    <t>Paola Andrea Durán Cuevas (Director); Patricio Javier Barra Espinoza (Principal Researcher); Mabel Fabiola Delgado Torres (Principal Researcher); Jose Miguel Vejar Hernández (Undergraduate Thesis); Manuel Saldívar Diaz  (Undergraduate Thesis)</t>
  </si>
  <si>
    <t>Maria de La Luz Mora, Evelyn Briones</t>
  </si>
  <si>
    <t>Microbial Ecology; Plant-Microorganisms Interactions</t>
  </si>
  <si>
    <t>25 Jul 2025, 09:35</t>
  </si>
  <si>
    <t>XII Congreso Nacional de Estudiantes de Ingenieria en Biotecnologia CONEIB</t>
  </si>
  <si>
    <t>Desarrollo de Biofiltros Eficientes: Uso de Bacterias Oxidadoras de Manganeso en el Tratamiento de Aguas Subterráneas</t>
  </si>
  <si>
    <t>Paola Andrea Durán Cuevas (Director); Christian Antileo Hernandez (Other Center/Project Researcher); Rodrigo Nicolas Rodriguez Quiroz (Postdoctoral Fellow); Yazmin Fabiola Gonzalez Fernandez  (Master Thesis)</t>
  </si>
  <si>
    <t>Silvia Struve</t>
  </si>
  <si>
    <t>Contaminant Toxicity; Microbial Ecology</t>
  </si>
  <si>
    <t>07 Nov 2024, 10:39</t>
  </si>
  <si>
    <t>I Congreso Internacional de las y los Embajadores Cientificos Infantiles y Juveniles de la SOCIBI</t>
  </si>
  <si>
    <t>Explorando la Antartica: un tesoro para nuestro planeta</t>
  </si>
  <si>
    <t>Julieta Orlando (Principal Researcher)</t>
  </si>
  <si>
    <t>Microbial Ecology; Soil Microbial Ecology</t>
  </si>
  <si>
    <t>07 Nov 2024, 14:34</t>
  </si>
  <si>
    <t>Ciclos de Seminarios Inquisal</t>
  </si>
  <si>
    <t xml:space="preserve">Nanoparticulasmetalicas: sus usos y sus impactos ambientales sobre las comunidades microbianas del suelo combinados con el estrés abiótico originado por el cambio climático global </t>
  </si>
  <si>
    <t>Gonzalo Rodrigo Tortella Fuentes (Adjunct Researcher)</t>
  </si>
  <si>
    <t>Contaminant Toxicity; Microbial Ecology; Resistance to Abiotic Stress</t>
  </si>
  <si>
    <t>09 Oct 2024, 14:30</t>
  </si>
  <si>
    <t>European Congress on Biotechnology</t>
  </si>
  <si>
    <t>Copper nanoparticles, pesticides and drought as multiple abiotic stresses for soil microbial communities</t>
  </si>
  <si>
    <t>Rubilar, O., Fincheira, P., Leiva, S., Parada, J., Seabra, A.</t>
  </si>
  <si>
    <t>Contaminant Toxicity; Resistance to Abiotic Stress; Soil Microbial Diversity</t>
  </si>
  <si>
    <t>09 Oct 2024, 14:27</t>
  </si>
  <si>
    <t>II Workshop Latinoamericano en Nano y Biotecnologia</t>
  </si>
  <si>
    <t>From Farm to Fork: The One-Health Approach to Improving Agronomic Practices and Human Health</t>
  </si>
  <si>
    <t>Patricio Javier Barra Espinoza (Principal Researcher)</t>
  </si>
  <si>
    <t>Sharon VIscardi, Camila Delgado-Vergara, Luis Marileo, Ricardo Tighe, Leovigildo Medina, Paola Diaz, Gloria Mora.Guerrero, Claudio Inostroza Blancheteau, Juana Collinao-Jineo</t>
  </si>
  <si>
    <t>08 Nov 2024, 11:45</t>
  </si>
  <si>
    <t>Efecto de la combinación de estresores abióticos sobre las comunidades microbianas de un suelo agrícola</t>
  </si>
  <si>
    <t>Paola Andrea Durán Cuevas (Director); Gonzalo Rodrigo Tortella Fuentes (Adjunct Researcher)</t>
  </si>
  <si>
    <t>Fernandez, I. , Leiva, S. , Parada, J., Rubilar, O., Fincheira, P., Seabra, A., Nakazato, G., Fernandez-Baldo, M.</t>
  </si>
  <si>
    <t xml:space="preserve">Resistance to Abiotic Stress; Soil Microbial Diversity; Soil Microbial Ecology; Soil Microbiology </t>
  </si>
  <si>
    <t>08 Oct 2024, 16:33</t>
  </si>
  <si>
    <t>Extracto de cáscara de Allium Cepa para la biosíntesis de nanoparticulas de magnetita y su efectividad en la degradación de Carbendazina en suelos</t>
  </si>
  <si>
    <t>Leiva, S., Fernandez, I., Parada, J., Rubilar, O., Fincheira, P., Seabra, A., Nakato, G., Fernandez-Baldo, M.</t>
  </si>
  <si>
    <t>Contaminant Toxicity; Resistance to Abiotic Stress; Soil Microbial Ecology</t>
  </si>
  <si>
    <t>08 Oct 2024, 16:45</t>
  </si>
  <si>
    <t>II Workshop Latinoamericano de Nano y Biotecnologia</t>
  </si>
  <si>
    <t>Microorganismos de ambientes extremos: Explorando su potencial biotecnológico</t>
  </si>
  <si>
    <t>Microbial Ecology; Soil Microbial Diversity; Soil Microbial Ecology</t>
  </si>
  <si>
    <t>08 Oct 2024, 16:50</t>
  </si>
  <si>
    <t>Selección multigeneracional y trasplantes de suelo antárticos como una alternativa prometedora para aumentar la tolerancia de plantas de tomate al deficit de agua</t>
  </si>
  <si>
    <t>Rodrigo Nicolas Rodriguez Quiroz (Postdoctoral Fellow)</t>
  </si>
  <si>
    <t xml:space="preserve">Microbial Ecology; Soil Microbial Diversity; Soil Microbial Ecology; Soil Microbiology </t>
  </si>
  <si>
    <t>09 Oct 2024, 13:49</t>
  </si>
  <si>
    <t>Biocrusts: Explorando la contribución microbiana al ciclo de carbono en ambientes extremos</t>
  </si>
  <si>
    <t>Matias Garcia Mendoza (PhD Thesis)</t>
  </si>
  <si>
    <t>09 Oct 2024, 13:52</t>
  </si>
  <si>
    <t>Natural selection of biocrust microorganisms to increase carbon sequestration in a soil-plant system under elevated CO2 conditions</t>
  </si>
  <si>
    <t>Manuel Saldívar Diaz  (Undergraduate Thesis)</t>
  </si>
  <si>
    <t xml:space="preserve">Soil Microbial Diversity; Soil Microbial Ecology; Soil Microbiology </t>
  </si>
  <si>
    <t>09 Oct 2024, 13:54</t>
  </si>
  <si>
    <t>4th Global Microbiome Network-GloMiNe Chile 2024</t>
  </si>
  <si>
    <t>icrobiomes at the end of the world: from a community to an intra-population perspective</t>
  </si>
  <si>
    <t>08 Oct 2024, 16:49</t>
  </si>
  <si>
    <t>ATE220041</t>
  </si>
  <si>
    <t>Opera Contemporánea</t>
  </si>
  <si>
    <t>La Rara, una ópera para el raro contexto de arte y formación</t>
  </si>
  <si>
    <t>René Iván Silva Ponce (Adjunct Researcher)</t>
  </si>
  <si>
    <t>Composition and creation of Chilean art music (RC)</t>
  </si>
  <si>
    <t>10 Nov 2024, 21:44</t>
  </si>
  <si>
    <t>XII Congreso Chileno de Musicología</t>
  </si>
  <si>
    <t>Crescendo Regional: Perspectivas sobre la Música Docta en la Cuarta Región</t>
  </si>
  <si>
    <t>Rodrigo Fernando Cadiz Cadiz (Director)</t>
  </si>
  <si>
    <t>Actors and Institutions (DF)</t>
  </si>
  <si>
    <t>10 Nov 2024, 21:22</t>
  </si>
  <si>
    <t>Melodías inconclusas: Las conmemoraciones de Jorge Peña Hen a 50 años de su muerte</t>
  </si>
  <si>
    <t>Daniela Alejandra Fugellie Videla (Principal Researcher)</t>
  </si>
  <si>
    <t>Actors and Institutions (DF); Composition and creation of Chilean art music (RC)</t>
  </si>
  <si>
    <t>10 Nov 2024, 21:20</t>
  </si>
  <si>
    <t>El uso de perspectivas analítico-teóricas en la investigación musical histórica</t>
  </si>
  <si>
    <t>Valeska Cabrera, Enrique Sandoval, Alejandro Vera, Gonzalo Martínez</t>
  </si>
  <si>
    <t>10 Nov 2024, 21:21</t>
  </si>
  <si>
    <t>Himnos populares y movimientos sociales: re-significaciones políticas, escuchas y prácticas</t>
  </si>
  <si>
    <t>Eileen Andrea Karmy Bolton (Principal Researcher)</t>
  </si>
  <si>
    <t>Heritage perspectives of learned music in Chile (JMI)</t>
  </si>
  <si>
    <t>10 Nov 2024, 22:05</t>
  </si>
  <si>
    <t>¿Qué es lo político en la canción política? Canciones obreras, comprometidas y de protesta.</t>
  </si>
  <si>
    <t>Identities, territories and decentralization (EK)</t>
  </si>
  <si>
    <t>10 Nov 2024, 22:06</t>
  </si>
  <si>
    <t>II Congreso Latinoamericano de Práctica Artística como Investigación</t>
  </si>
  <si>
    <t>Investigacio?n arti?stica y reconstruccio?n de mu?sicas histo?ricas: desafi?os y aprendizajes a partir de la obra El Otro Mahler</t>
  </si>
  <si>
    <t>Jose Manuel Izquierdo Konig (Principal Researcher); René Iván Silva Ponce (Adjunct Researcher)</t>
  </si>
  <si>
    <t>10 Nov 2024, 21:43</t>
  </si>
  <si>
    <t>13th Biennal International Conference on Music Since 1900</t>
  </si>
  <si>
    <t>Serialism as a Cultural Practice</t>
  </si>
  <si>
    <t>10 Nov 2024, 11:18</t>
  </si>
  <si>
    <t>Encuentro Científico, Simposio Internacional de Musicología</t>
  </si>
  <si>
    <t>La canción de Ayacucho de José Bernardo Alzedo</t>
  </si>
  <si>
    <t>Jose Manuel Izquierdo Konig (Principal Researcher)</t>
  </si>
  <si>
    <t>10 Nov 2024, 21:54</t>
  </si>
  <si>
    <t>VI Congress ARLAC/IMS</t>
  </si>
  <si>
    <t>Spanish republican exile in Chile</t>
  </si>
  <si>
    <t>10 Aug 2024</t>
  </si>
  <si>
    <t>10 Nov 2024, 11:32</t>
  </si>
  <si>
    <t>El serialismo en América Latina como práctica cultural</t>
  </si>
  <si>
    <t>10 Nov 2024, 21:04</t>
  </si>
  <si>
    <t>Grabaciones históricas de música docta chilena: enfoques tentativos para su estudio</t>
  </si>
  <si>
    <t>Daniela Alejandra Fugellie Videla (Principal Researcher); Jose Manuel Izquierdo Konig (Principal Researcher)</t>
  </si>
  <si>
    <t>10 Nov 2024, 21:05</t>
  </si>
  <si>
    <t>VI Congreso de la Asociación Regional para América Latina y el Caribe de la Sociedad Internacional de Musicología, ARLAC/IMS</t>
  </si>
  <si>
    <t>Filomena Salas, crítica musical chilena de la primera mitad del siglo XX: disidente, opinante</t>
  </si>
  <si>
    <t>Nayive Elizabeth Ananías Gómez (Postdoctoral Fellow)</t>
  </si>
  <si>
    <t>10 Nov 2024, 21:52</t>
  </si>
  <si>
    <t>Expectativas y descontentos: la recepción disonante de la ópera en el siglo XIX latinoamericano</t>
  </si>
  <si>
    <t>10 Nov 2024, 21:56</t>
  </si>
  <si>
    <t>“50 años del himno que se canta, se grita y se marcha: El pueblo unido jamás será vencido”. Mesa Música y conmemoración a los 50 años del golpe de Estado chileno.</t>
  </si>
  <si>
    <t>10 Nov 2024, 22:00</t>
  </si>
  <si>
    <t>36th World Conference for the International Society for Music Education</t>
  </si>
  <si>
    <t>Sociomusical identities through composition and staging: Co-constructed narratives centred on resistance</t>
  </si>
  <si>
    <t>Rolando Angel-Alvarado</t>
  </si>
  <si>
    <t>10 Nov 2024, 21:42</t>
  </si>
  <si>
    <t>Concert season of the Escuela de Artes Musicales, University of Costa Rica</t>
  </si>
  <si>
    <t>De la dodecafonía al minimismo. Exploraciones no tonales en la música latinoamericana</t>
  </si>
  <si>
    <t>10 Nov 2024, 21:07</t>
  </si>
  <si>
    <t xml:space="preserve">(Virtual) presence?! Musical performances in hybrid spaces, Freie Universität </t>
  </si>
  <si>
    <t>Hybrid spaces and Chilean virtual voices: Reinterpreting history through Electroacoustic Composition</t>
  </si>
  <si>
    <t>Rodrigo Fernando Cadiz Cadiz (Director); Daniela Alejandra Fugellie Videla (Principal Researcher)</t>
  </si>
  <si>
    <t>10 Nov 2024, 21:09</t>
  </si>
  <si>
    <t>II Simposio Internacional de la Comisión de Análisis Musical de la Sociedad Española de Musicología</t>
  </si>
  <si>
    <t>La adopcio?n de la dodecafoni?a en Chile: el caso de Gustavo Becerra- Schmidt, la transformacio?n de la te?cnica serial y su ensen?anza en la composicio?n</t>
  </si>
  <si>
    <t>10 Nov 2024, 21:10</t>
  </si>
  <si>
    <t>Festival MISE-EN</t>
  </si>
  <si>
    <t>Chilean virtual voices: Reinterpreting history through Electroacoustic Composition</t>
  </si>
  <si>
    <t>10 Nov 2024, 21:28</t>
  </si>
  <si>
    <t>IV Ciclo de Charlas de Musicología, Universidad de La Serena</t>
  </si>
  <si>
    <t>El Taller 44 de Gustavo Becerra-Schmidt (1925-2010): Explorando el poder comunicador de la música de vanguardia</t>
  </si>
  <si>
    <t>10 Nov 2024, 21:13</t>
  </si>
  <si>
    <t>Eight International Conference on Analytical Approaches to World Musics (AAWM) 2024</t>
  </si>
  <si>
    <t>The politics of workers' songs during the rise of the Chilean labour movement</t>
  </si>
  <si>
    <t>10 Nov 2024, 22:02</t>
  </si>
  <si>
    <t>Foro Chile Suecia</t>
  </si>
  <si>
    <t>Music and Sonification</t>
  </si>
  <si>
    <t>10 Nov 2024, 21:25</t>
  </si>
  <si>
    <t>III Encuentro Nacional de Músicas Tradicionales y Folclóricas</t>
  </si>
  <si>
    <t>La playlist del organillo chileno: patrimonio sonoro en movimiento</t>
  </si>
  <si>
    <t>10 Nov 2024, 21:40</t>
  </si>
  <si>
    <t>Violencias acústicas y mundos sonoros en conflicto</t>
  </si>
  <si>
    <t>Historia Cultural del Grito de Ana Lidea Domínguez</t>
  </si>
  <si>
    <t>Federico Ernesto Eisner Sagüés (Postdoctoral Fellow)</t>
  </si>
  <si>
    <t>10 Nov 2024, 22:04</t>
  </si>
  <si>
    <t>XXIV Jornadas de Historia de Chile, Universidad de Concepción, Concepción, Chile</t>
  </si>
  <si>
    <t>Canciones, cancioneros y veladas del movimiento obrero chileno (1890-1930)</t>
  </si>
  <si>
    <t>10 Nov 2024, 22:01</t>
  </si>
  <si>
    <t>Making the case for Classical: Research, Insight and Advocacy</t>
  </si>
  <si>
    <t>Chilean Art Music: Cultural Practices as Heritage</t>
  </si>
  <si>
    <t>Pablo Sebastián Soto Hurtado (Postdoctoral Fellow)</t>
  </si>
  <si>
    <t>10 Nov 2024, 21:46</t>
  </si>
  <si>
    <t>Zum 200. Jubila?um von Beethovens Akademien im Mai 1824, Beethoven-Haus Bonn</t>
  </si>
  <si>
    <t>Die aufführungspraktische Zirkulation der Neunte und die intellektuelle Auseinandersetzung mit der Missa solemnis. Zwei Facetten der Beethoven Rezeption in Lateinamerika</t>
  </si>
  <si>
    <t>10 Nov 2024, 21:15</t>
  </si>
  <si>
    <t>Guest-speech Freie Universität Berlin</t>
  </si>
  <si>
    <t>Alberto Ginastera, seine lateinamerikanischen Schüler und die europäische Musik der Nachkriegszeit.  Eine Verflechtungsgeschichte des Serialismus der 1960er Jahre in Buenos Aires</t>
  </si>
  <si>
    <t>10 Nov 2024, 21:17</t>
  </si>
  <si>
    <t>Simposio de Musicología XIV Festival Internacional de Música Renacentista y Barroca Americana Misiones de Chiquitos y de Moxos</t>
  </si>
  <si>
    <t>Óperas u otra cosa? Desafíos del teatro lírico en la transición de las colonias a la república.</t>
  </si>
  <si>
    <t>10 Nov 2024, 21:58</t>
  </si>
  <si>
    <t>Festival SIMUC Expo Lima. Universidad Nacional de Música</t>
  </si>
  <si>
    <t>Filomena Salas: invisibilizada crítica musical chilena de la primera mitad del siglo XX</t>
  </si>
  <si>
    <t>10 Nov 2024, 21:47</t>
  </si>
  <si>
    <t>Harvard GMF Conference: Reconsidering Music Criticism in the 21st Century</t>
  </si>
  <si>
    <t>Filomena Salas, Chilean music critic of the first half of the 20th century: dissident, opinionated, and with familial ties that hid her writing</t>
  </si>
  <si>
    <t>10 Nov 2024, 21:51</t>
  </si>
  <si>
    <t>Music, Politics, Academy. 60th birthday of Prof. Dr. Dörte Schmidt</t>
  </si>
  <si>
    <t>Aufhören – Ablehnen – Verschwinden. Wenn Komponisten die Avantgarde verlassen</t>
  </si>
  <si>
    <t>10 Nov 2024, 21:16</t>
  </si>
  <si>
    <t>Complexity, Aesthetics, and Data Sonification</t>
  </si>
  <si>
    <t>10 Nov 2024, 21:32</t>
  </si>
  <si>
    <t>Les Mercredis de STMS and the Ircam - CNRS - Sorbonne Université - Ministère de la Culture STMS  Laboratory's Musical Representations team</t>
  </si>
  <si>
    <t>Creativity in generative musical neural networks</t>
  </si>
  <si>
    <t>10 Nov 2024, 21:33</t>
  </si>
  <si>
    <t>General Assembly Orpheus Instituut</t>
  </si>
  <si>
    <t xml:space="preserve">Chilean Art Music: Cultural Practices as Heritage </t>
  </si>
  <si>
    <t>Composition and creation of Chilean art music (RC); Heritage perspectives of learned music in Chile (JMI)</t>
  </si>
  <si>
    <t>10 Nov 2024, 21:35</t>
  </si>
  <si>
    <t>ATE220043</t>
  </si>
  <si>
    <t xml:space="preserve">Biología molecular; Bioquímica y fisiología </t>
  </si>
  <si>
    <t>II Encuentro Científico Escuela de Bioquímica</t>
  </si>
  <si>
    <t>Characterization of differentially expressed invertases in Eucalyptus spp under water stress</t>
  </si>
  <si>
    <t>Martín Alonso Parada Zapata  (Undergraduate Thesis)</t>
  </si>
  <si>
    <t>Biología molecular</t>
  </si>
  <si>
    <t>20 Nov 2025, 12:01</t>
  </si>
  <si>
    <t>Standarization of RNA extraction in Eucalyptus spp. for the study of  expansins expressed in response to drought</t>
  </si>
  <si>
    <t>Claudio Alfonso Rojas Prado (Undergraduate Thesis)</t>
  </si>
  <si>
    <t>20 Nov 2025, 12:16</t>
  </si>
  <si>
    <t>Physiological analysis and identification reference genes for  normalization of gene expression in response to drought in Eucalyptus spp</t>
  </si>
  <si>
    <t>Constanza Belen Frois Meza (Undergraduate Thesis)</t>
  </si>
  <si>
    <t>20 Nov 2025, 14:42</t>
  </si>
  <si>
    <t>Characterization of Aquaporins in Eucalyptus spp under water stress</t>
  </si>
  <si>
    <t>Gustavo Andres Morales Baeza (Undergraduate Thesis)</t>
  </si>
  <si>
    <t>20 Nov 2025, 14:44</t>
  </si>
  <si>
    <t>III Reunión Anual de la Sociedad Chilena de Bioinformática</t>
  </si>
  <si>
    <t>Effect of water deficit on gene expression and metabolomic changes related to quercetin biosynthesis in Eucalyptus spp</t>
  </si>
  <si>
    <t>David Mauricio Ramirez Sanchez (Principal Researcher); Marta Fernández Reyes (Other Center/Project Researcher)</t>
  </si>
  <si>
    <t>José Nicolás Medina</t>
  </si>
  <si>
    <t>20 Nov 2025, 15:01</t>
  </si>
  <si>
    <t>XLVII Annual Meeting  Chilean Society of Biochemistry and Molecular Biology</t>
  </si>
  <si>
    <t>The Characterization of PrMADS10 and PrMADS11 Transcription factor from Pinus  radiata</t>
  </si>
  <si>
    <t>Felipe Antonio Valenzuela Riffo (Postdoctoral Fellow)</t>
  </si>
  <si>
    <t>07 Nov 2024, 11:08</t>
  </si>
  <si>
    <t>A novel script for semi automatic sequence alignments finds a set of  endomembrane trafficking genes likely involved in drought tolerance in eucalyptus.</t>
  </si>
  <si>
    <t>Gabriel Neira</t>
  </si>
  <si>
    <t>07 Nov 2024, 11:14</t>
  </si>
  <si>
    <t>Effect of water deficit on the expression of quercetin biosynthesis related genes  in Eucalyptus spp</t>
  </si>
  <si>
    <t>07 Nov 2024, 11:18</t>
  </si>
  <si>
    <t xml:space="preserve"> Study of the physiological and molecular response to drought on two different  genotypes of the genus Eucalyptus</t>
  </si>
  <si>
    <t>Ana Carolina Puentes Romero (Postdoctoral Fellow)</t>
  </si>
  <si>
    <t>07 Nov 2024, 11:20</t>
  </si>
  <si>
    <t>Single-cell decoding of cellular lineages and the regulators giving rise to plant  exceptionalism</t>
  </si>
  <si>
    <t>Matias Kirst</t>
  </si>
  <si>
    <t>07 Nov 2024, 11:22</t>
  </si>
  <si>
    <t>VIII Encuentro Científico Biología Vegetal: De moléculas a ecosistemas</t>
  </si>
  <si>
    <t>Single-cell decoding of cellular lineages and the evolution of plant exceptional traits</t>
  </si>
  <si>
    <t>06 Nov 2024, 16:23</t>
  </si>
  <si>
    <t>Physiological analysis and identification reference genes for  normalization of gene expression in response to drought in Eucalyptus spp.</t>
  </si>
  <si>
    <t>07 Nov 2024, 10:16</t>
  </si>
  <si>
    <t>Caracterización de invertasas expresadas diferencialmente en Eucalyptus spp.  bajo estrés hídrico</t>
  </si>
  <si>
    <t>07 Nov 2024, 10:48</t>
  </si>
  <si>
    <t>Caracterización de acuaporinas en Eucalyptus spp bajo estrés hídrico</t>
  </si>
  <si>
    <t>07 Nov 2024, 10:50</t>
  </si>
  <si>
    <t>8th International Conference on Plant Cell Wall Biology</t>
  </si>
  <si>
    <t>Novel transcription factors involved in the remodeling of secondary cell  wall</t>
  </si>
  <si>
    <t>Raúl Simón Herrera Faundez (Director); Maria Alejandra Moya Leon (Principal Researcher)</t>
  </si>
  <si>
    <t>06 Nov 2024, 11:40</t>
  </si>
  <si>
    <t>ATE220044</t>
  </si>
  <si>
    <t>COP16</t>
  </si>
  <si>
    <t>Dorsales Nazca y Salas &amp; Gómez: new frontiers for new questions</t>
  </si>
  <si>
    <t>Maria de los Angeles Gallardo Salamanca (Adjunct Researcher)</t>
  </si>
  <si>
    <t>MArcelo Orlivares, Veronica Molina, Camila Fernandez, Maria Valladares</t>
  </si>
  <si>
    <t>Line 1: Biodiversity and Connectivity; Line 3: Policy Advising</t>
  </si>
  <si>
    <t>15 Nov 2024, 13:50</t>
  </si>
  <si>
    <t>ATE220045</t>
  </si>
  <si>
    <t>9th International Conference on Biotechniques for Air Pollution Control and Biorefinery</t>
  </si>
  <si>
    <t>Rhodococcus opacus DSM 43205 as a bacterial chassis for triacylglycerols accumulation from CO? and hydrogen derivatives</t>
  </si>
  <si>
    <t>ALBERTO OCTAVIO VERGARA FERNANDEZ (Director); Felipe Ignacio Scott Contador (Principal Researcher); Blanca Araya Arancibia (Postdoctoral Fellow)</t>
  </si>
  <si>
    <t>Biochemical integrated and intensified operations</t>
  </si>
  <si>
    <t>14 Nov 2024, 13:58</t>
  </si>
  <si>
    <t>A NEW METHODOLOGY TO DETERMINE KLA IN AIRLIFT REACTORS BASED ON A NON-INTRUSIVE IMAGE ANALYSIS TECHNIQUE</t>
  </si>
  <si>
    <t>ALBERTO OCTAVIO VERGARA FERNANDEZ (Director); Felipe Ignacio Scott Contador (Principal Researcher); Javier Saleh Cumsille (PhD Thesis); Pedro Pablo Cruz Vásquez (PhD Thesis)</t>
  </si>
  <si>
    <t>Cesar Huiliñir</t>
  </si>
  <si>
    <t>14 Nov 2024, 14:01</t>
  </si>
  <si>
    <t>Production of the chiral molecule (R)-3- hydroxybutiric acid in engineered Cupriavidus necator</t>
  </si>
  <si>
    <t>ALBERTO OCTAVIO VERGARA FERNANDEZ (Director); Felipe Ignacio Scott Contador (Principal Researcher)</t>
  </si>
  <si>
    <t>14 Nov 2024, 14:12</t>
  </si>
  <si>
    <t>ALBERTO OCTAVIO VERGARA FERNANDEZ (Director); Felipe Ignacio Scott Contador (Principal Researcher); Luz Yañez Meneses (Postdoctoral Fellow)</t>
  </si>
  <si>
    <t>14 Nov 2024, 14:15</t>
  </si>
  <si>
    <t>46th Symposium on Biomaterials, Fuels, and Chemicals (SBFC)</t>
  </si>
  <si>
    <t>A bacterial chassis for triacylglycerols accumulation from CO2 and hydrogen: genomic and functional characterization of Rhodococcus opacus DSM 43205</t>
  </si>
  <si>
    <t>ALBERTO OCTAVIO VERGARA FERNANDEZ (Director); Felipe Ignacio Scott Contador (Principal Researcher); Blanca Araya Arancibia (Postdoctoral Fellow); Carmen Paz Torres Praderio (Master Thesis)</t>
  </si>
  <si>
    <t>28 Apr 2024</t>
  </si>
  <si>
    <t>14 Nov 2024, 14:22</t>
  </si>
  <si>
    <t>Engineering Cupriavidus necator , a hydrogen oxidizing and CO fixing bacteria, to producefour carbon hydroxy-acids</t>
  </si>
  <si>
    <t>14 Nov 2024, 14:26</t>
  </si>
  <si>
    <t>Channeling C1 compounds to value-added products: (R)-3-hydroxybutyric acid in Methylocystis parvus OBBP and isopropanol in Methylorubrum extorquens AM1</t>
  </si>
  <si>
    <t>ALBERTO OCTAVIO VERGARA FERNANDEZ (Director); Felipe Ignacio Scott Contador (Principal Researcher); Luz Yañez Meneses (Postdoctoral Fellow); Ignacia Andrea Molina Diaz (Master Thesis)</t>
  </si>
  <si>
    <t>Raúl Muñoz</t>
  </si>
  <si>
    <t>14 Nov 2024, 14:29</t>
  </si>
  <si>
    <t>World Sustainable Energy Days 2024</t>
  </si>
  <si>
    <t>Microbial Chain elongation as a bio-catalytic tool to produce value chemical and fuel precursors</t>
  </si>
  <si>
    <t>German Eduardo Aroca Arcaya (Principal Researcher); Raul Jorge Conejeros Risco (Principal Researcher); Ernesto Alejandro González Romo (Adjunct Researcher); Jimmy Martinez Ruano (Postdoctoral Fellow); Andrés Suazo Sánchez (PhD Thesis); Fabian Otarola (PhD Thesis); Pamela Cortés Mayne (Master Thesis)</t>
  </si>
  <si>
    <t>08 Mar 2024</t>
  </si>
  <si>
    <t>Biochemical integrated and intensified operations; Bioelectrocemical synthesis</t>
  </si>
  <si>
    <t>16 Jan 2024, 18:08</t>
  </si>
  <si>
    <t>ATE220047</t>
  </si>
  <si>
    <t>La crisis social del agua</t>
  </si>
  <si>
    <t>Maite Hernando Arrese (Postdoctoral Fellow)</t>
  </si>
  <si>
    <t>Reunión</t>
  </si>
  <si>
    <t>Reunión con SEREMI de salud</t>
  </si>
  <si>
    <t>Verónica Edith Gómez Urrutia (Principal Researcher)</t>
  </si>
  <si>
    <t>07 Nov 2024, 13:39</t>
  </si>
  <si>
    <t xml:space="preserve">Encuentro de Etnografías Colaborativas y Comprometidas					</t>
  </si>
  <si>
    <t>Maria Ignacia Ibarra Eliessetch (Postdoctoral Fellow)</t>
  </si>
  <si>
    <t>06 Nov 2024, 10:34</t>
  </si>
  <si>
    <t xml:space="preserve">Plataforma para el diálogo Crisis socio-ecológicas en América Latina.	</t>
  </si>
  <si>
    <t xml:space="preserve">Plataforma para el diálogo Crisis socio-ecológicas en América Latina.								</t>
  </si>
  <si>
    <t>06 Nov 2024, 10:31</t>
  </si>
  <si>
    <t>Seminario Participativo Adaptación Climática en la Cuenca del río Aconcagua</t>
  </si>
  <si>
    <t>eminario Participativo Adaptación Climática en la Cuenca del río Aconcagua</t>
  </si>
  <si>
    <t>Tomas Undurraga Riesco (Principal Researcher); Maria Ignacia Ibarra Eliessetch (Postdoctoral Fellow)</t>
  </si>
  <si>
    <t>06 Nov 2024, 12:03</t>
  </si>
  <si>
    <t>Congreso Internacional de Antropología Feminista</t>
  </si>
  <si>
    <t>Informantes, amigas o colaboradoras en investigaciones hidrofeministas: vínculos afectivos y relaciones de poder entre mujeres diversas</t>
  </si>
  <si>
    <t>03 Nov 2024, 01:05</t>
  </si>
  <si>
    <t xml:space="preserve">XII Congreso Chileno de Sociología 2024 Cambio Social y Diversidad: los Desafíos de una Nueva Convivencia					</t>
  </si>
  <si>
    <t>Panel: "La crisis del agua"</t>
  </si>
  <si>
    <t>Paola Alejandra Bolados García (Director); Octavio Alejandro Avendaño Pavez (Principal Researcher); Tatiana Andrea Celume Byrne (Principal Researcher); Tomas Undurraga Riesco (Principal Researcher)</t>
  </si>
  <si>
    <t>06 Nov 2024, 10:37</t>
  </si>
  <si>
    <t xml:space="preserve">Encuentro Biocultural por la defensa del Valle de Juncal 					</t>
  </si>
  <si>
    <t>Paola Alejandra Bolados García (Director); Sebastián José Guillermo Toro Campos (Master Thesis)</t>
  </si>
  <si>
    <t>Políticas públicas y gobernanza ambiental</t>
  </si>
  <si>
    <t>06 Nov 2024, 10:41</t>
  </si>
  <si>
    <t>Encuentro Ríos  en Movimiento</t>
  </si>
  <si>
    <t>La micropolítica de la gobernanza del  agua en el río Toltén, Chile</t>
  </si>
  <si>
    <t>03 Nov 2024, 01:03</t>
  </si>
  <si>
    <t>Métodos mixtos y colaborativos para los estudiantes sobre la crisis del agua</t>
  </si>
  <si>
    <t>Paola Alejandra Bolados García (Director); Carlos Roberto Esse Herrera (Adjunct Researcher)</t>
  </si>
  <si>
    <t>07 Nov 2024, 13:35</t>
  </si>
  <si>
    <t xml:space="preserve"> Métodos mixtos y colaborativos para los estudios sobre la crisis del agua</t>
  </si>
  <si>
    <t>06 Nov 2024, 12:08</t>
  </si>
  <si>
    <t>ATE220051</t>
  </si>
  <si>
    <t>IV Encuentro Internacional de Etnografías Colaborativas y Comprometidas (EIDECC)</t>
  </si>
  <si>
    <t xml:space="preserve">“Etnografía encarnada y colaborativa: Aportes desde las mujeres del valle del Aconcagua” </t>
  </si>
  <si>
    <t>Francisca Rodó  (Postdoctoral Fellow)</t>
  </si>
  <si>
    <t>Work</t>
  </si>
  <si>
    <t>05 Nov 2024, 17:10</t>
  </si>
  <si>
    <t>“Políticas para mujeres en ingenierías: avances y desafíos”</t>
  </si>
  <si>
    <t>Mateus Coelho (Postdoctoral Fellow)</t>
  </si>
  <si>
    <t>Higher education</t>
  </si>
  <si>
    <t>05 Nov 2024, 17:12</t>
  </si>
  <si>
    <t>Segundo Congreso Regional de Género, Inclusión y Diversidades, organizado por Trabajo Social de la Universidad Santo Tomás en Viña del Mar</t>
  </si>
  <si>
    <t xml:space="preserve">“Interdependencia colectiva y sostenibilidad de la vida en mujeres rurales del Valle del Aconcagua” </t>
  </si>
  <si>
    <t>05 Nov 2024, 17:08</t>
  </si>
  <si>
    <t xml:space="preserve">“Procesos de escucha feminista en Latino América” </t>
  </si>
  <si>
    <t>05 Nov 2024, 17:09</t>
  </si>
  <si>
    <t xml:space="preserve"> Gender and Society Congress, National University of Cordoba</t>
  </si>
  <si>
    <t>“Haka Tika Inga and anti-gender violence coalitions on Rapa Nui island”</t>
  </si>
  <si>
    <t>Hillary Carroll Hiner (Principal Researcher)</t>
  </si>
  <si>
    <t>Violence</t>
  </si>
  <si>
    <t>29 Oct 2024, 14:34</t>
  </si>
  <si>
    <t xml:space="preserve"> Seminario Fazendo Género 13</t>
  </si>
  <si>
    <t>resistencias corporales de mujeres rurales en el Valle del Aconcagua</t>
  </si>
  <si>
    <t>05 Nov 2024, 17:15</t>
  </si>
  <si>
    <t>XVIII Conferencia bianual de la European Association of Social Anthropologists (EASA)</t>
  </si>
  <si>
    <t>(Des)conexiones generacionales y espaciales. Des-industrialización, economía de servicios y formación de clase en el Chile contemporáneo".</t>
  </si>
  <si>
    <t>Valentina Alejandra Álvarez López (Postdoctoral Fellow)</t>
  </si>
  <si>
    <t>29 Oct 2024, 14:25</t>
  </si>
  <si>
    <t xml:space="preserve"> “Desigualdad de género y trayectorias laborales atípicas: Un estudio de caso desde el sector costero e insular de la Región de Valparaíso, Chile”</t>
  </si>
  <si>
    <t>Alessandra Olivi (Principal Researcher)</t>
  </si>
  <si>
    <t>29 Oct 2024, 14:17</t>
  </si>
  <si>
    <t>History of Chile Conference 2024</t>
  </si>
  <si>
    <t>“Listening to oral histories of violence with women and LGBTQ+ people in Rapa Nui: challenges and opportunities for feminist methodologies”</t>
  </si>
  <si>
    <t>29 Oct 2024, 14:45</t>
  </si>
  <si>
    <t>XII Congreso Chileno de Sociología 2024</t>
  </si>
  <si>
    <t xml:space="preserve">“Cuidado infantil, trabajo doméstico y políticas de familia” </t>
  </si>
  <si>
    <t>Antonia Asenjo  (PhD Thesis)</t>
  </si>
  <si>
    <t>29 Oct 2024, 15:46</t>
  </si>
  <si>
    <t xml:space="preserve">“Cuidado infantil, trabajo doméstico y políticas de familia. Demandas de la niñez trabajadora por su protección en el trabajo. Análisis pragmático de un caso de controversia” </t>
  </si>
  <si>
    <t>29 Oct 2024, 15:48</t>
  </si>
  <si>
    <t>“Violencia de género en la Isla de Rapa Nui”</t>
  </si>
  <si>
    <t>Alejandra Ramm (Director); Hillary Carroll Hiner (Principal Researcher)</t>
  </si>
  <si>
    <t xml:space="preserve">“Inserciones laborales atípicas y distribución del trabajo al interior de las familias” </t>
  </si>
  <si>
    <t>Alessandra Olivi (Principal Researcher); Julieta Carolina Palma Palma (Adjunct Researcher); Valentina Alejandra Álvarez López (Postdoctoral Fellow)</t>
  </si>
  <si>
    <t>“Trayectorias laborales atípicas, un estudio de caso desde el sector costero e insular de la Región de Valparaíso”</t>
  </si>
  <si>
    <t>08 Oct 2024, 12:19</t>
  </si>
  <si>
    <t>“Festival Sitio 23: Género y Descentralización"</t>
  </si>
  <si>
    <t>María del Rosario Undurraga Riesco (Principal Researcher); Alejandra María Pérez Núñez (Adjunct Researcher)</t>
  </si>
  <si>
    <t>08 Oct 2024, 12:31</t>
  </si>
  <si>
    <t>“Organización del trabajo y vida doméstica en la cultura Rapa Nui actual”</t>
  </si>
  <si>
    <t>08 Oct 2024, 12:33</t>
  </si>
  <si>
    <t>“Desviaciones a la norma de género en el mercado laboral y organización doméstica”</t>
  </si>
  <si>
    <t>Julieta Carolina Palma Palma (Adjunct Researcher)</t>
  </si>
  <si>
    <t>08 Oct 2024, 12:35</t>
  </si>
  <si>
    <t>¿Y la promesa de la igualdad? Género, trabajo y relaciones familiares en Chile y Uruguay»</t>
  </si>
  <si>
    <t>Alessandra Olivi (Principal Researcher); Julieta Carolina Palma Palma (Adjunct Researcher)</t>
  </si>
  <si>
    <t>Valentina Perrotta , Sol Scavino</t>
  </si>
  <si>
    <t>09 Apr 2024, 14:46</t>
  </si>
  <si>
    <t>ATE220054</t>
  </si>
  <si>
    <t>VII Congreso Asociación Latinoamericana de Antropología</t>
  </si>
  <si>
    <t>Disputa por la representación y el patrimonio: muerte y tiempo en los Andes.</t>
  </si>
  <si>
    <t>Xochitl Guadalupe Inostroza Ponce (Principal Researcher)</t>
  </si>
  <si>
    <t>15 Dec 2024</t>
  </si>
  <si>
    <t>Sur Andino</t>
  </si>
  <si>
    <t>12 Dec 2024, 17:55</t>
  </si>
  <si>
    <t>XI Congreso Internacional: Filosofía Latinoamericana Hoy</t>
  </si>
  <si>
    <t>Alejandro Javier Viveros Espinosa (Adjunct Researcher)</t>
  </si>
  <si>
    <t>Mesoamérica</t>
  </si>
  <si>
    <t>12 Dec 2024, 18:29</t>
  </si>
  <si>
    <t xml:space="preserve">Congreso XX Jornada Científica REALITER </t>
  </si>
  <si>
    <t>Panel de Comunicaciones</t>
  </si>
  <si>
    <t>Ana Isabel de Belén Villena Araya (Adjunct Researcher)</t>
  </si>
  <si>
    <t>Wallmapu</t>
  </si>
  <si>
    <t>25 Nov 2024, 20:09</t>
  </si>
  <si>
    <t>IX Congreso Internacional de Lenguas y Literaturas Indoamericanas y XX Jornadas de Lengua y Literatura Mapuche</t>
  </si>
  <si>
    <t>Escritura codigofágica y “buen gobierno” de Nezahualcóyotl en la Historia de la nación chichimeca (1650)</t>
  </si>
  <si>
    <t>25 Nov 2024, 19:52</t>
  </si>
  <si>
    <t>XIX Jornadas Interescuelas/Departamentos de Historia</t>
  </si>
  <si>
    <t>El modelo chacha warmi en parroquias andinas. Sur andino, 1750-1820</t>
  </si>
  <si>
    <t>12 Dec 2024, 17:26</t>
  </si>
  <si>
    <t>XX Congreso de AHILA</t>
  </si>
  <si>
    <t>Un mapa indígena en Nuremberg: La publicación del Mapa de México-Tenochtitlan de 1524</t>
  </si>
  <si>
    <t>Daniel Esteban Astorga Poblete (Director)</t>
  </si>
  <si>
    <t>25 Nov 2024, 19:36</t>
  </si>
  <si>
    <t>Seminario Interdisciplinar PISAC 2024</t>
  </si>
  <si>
    <t>Chacha-Warmi en parroquias andinas (Sur andino, 1750-1820)</t>
  </si>
  <si>
    <t>25 Nov 2024, 20:17</t>
  </si>
  <si>
    <t>ATE220057</t>
  </si>
  <si>
    <t>AstroBiology in Chile 2024</t>
  </si>
  <si>
    <t>Biological Experiments in Space: The case of the PlantSat CubeSat</t>
  </si>
  <si>
    <t>Marcos Andres Diaz Quezada (Director)</t>
  </si>
  <si>
    <t>18 Dec 2024, 19:24</t>
  </si>
  <si>
    <t>45th COSPAR Scientific Assembly</t>
  </si>
  <si>
    <t>Stability and transport in the turbulent plasma sheet</t>
  </si>
  <si>
    <t>Marina Stepanova (Principal Researcher)</t>
  </si>
  <si>
    <t>18 Dec 2024, 16:43</t>
  </si>
  <si>
    <t>Deep learning assisted Axicon Wavefront Sensor for wavefront estimation without optical modulation requirements</t>
  </si>
  <si>
    <t>Esteban Mauricio Vera Rojas (Principal Researcher)</t>
  </si>
  <si>
    <t>18 Dec 2024, 15:34</t>
  </si>
  <si>
    <t>Design and characterization of a fast Tip-tilt carbon fiber steering mirror</t>
  </si>
  <si>
    <t>18 Dec 2024, 15:42</t>
  </si>
  <si>
    <t>ATE220060</t>
  </si>
  <si>
    <t>Francisco Javier Correa Araneda (Director)</t>
  </si>
  <si>
    <t>XXVIII Reunión Científica Grupo Argentino de Bioestadística</t>
  </si>
  <si>
    <t>Tomás Romo</t>
  </si>
  <si>
    <t>Environmental variables</t>
  </si>
  <si>
    <t>08 Nov 2024, 01:22</t>
  </si>
  <si>
    <t>XVII Congreso de la Sociedad Chilena de Limnología</t>
  </si>
  <si>
    <t>POTENCIAL DE LAS REDES NEURONALES DE C2RCC PARA LA ESTIMACIÓN DE PROFUNDIDAD DE DISCO SECCHI EN LAGOS OLIGO A EUTRÓFICOS</t>
  </si>
  <si>
    <t>08 Nov 2024, 01:30</t>
  </si>
  <si>
    <t>PATRONES DE DISTRIBUCIÓN Y ABUNDANCIA DE MACROINVERTEBRADOS BENTÓNICOS EN UN GRADIENTE CLIMÁTICO</t>
  </si>
  <si>
    <t>Francisco Javier Correa Araneda (Director); Carlos Roberto Esse Herrera (Principal Researcher)</t>
  </si>
  <si>
    <t>Guido Roa, Carolina Sanchez, Juan Martin</t>
  </si>
  <si>
    <t>Fluvial ecosystems; Freshwater communities</t>
  </si>
  <si>
    <t>08 Nov 2024, 01:34</t>
  </si>
  <si>
    <t>37th Congress of the InternationalSociety of Limnology (SIL)</t>
  </si>
  <si>
    <t>Synergistic and antagonist effects ofEucalyptus globulus leaf leachates andwildfire ashes on freshwater and itsecotoxicological effects on Daphniamagna</t>
  </si>
  <si>
    <t>Francisco Javier Correa Araneda (Director); Juan Ricardo Figueroa Jara (Principal Researcher)</t>
  </si>
  <si>
    <t>Sergio Beltran, Daniela Rivera</t>
  </si>
  <si>
    <t>Fluvial ecosystems; Freshwater communities; Multiple stressors</t>
  </si>
  <si>
    <t>08 Nov 2024, 01:15</t>
  </si>
  <si>
    <t>ATE220061</t>
  </si>
  <si>
    <t>Rafael Ignacio Araos Bralic (Principal Researcher)</t>
  </si>
  <si>
    <t>Maria Cecilia Poli Harlowe (Adjunct Researcher)</t>
  </si>
  <si>
    <t>Lissette Ulloa Zepeda (PhD Thesis)</t>
  </si>
  <si>
    <t>16 Jun 2025, 16:06</t>
  </si>
  <si>
    <t>Pablo A Vial Claro (Principal Researcher)</t>
  </si>
  <si>
    <t>Marcela Viviana Ferres Garrido (Principal Researcher)</t>
  </si>
  <si>
    <t>Julio Santelices  (PhD Thesis)</t>
  </si>
  <si>
    <t xml:space="preserve">XLVI Congreso Chileno de Microbiología </t>
  </si>
  <si>
    <t>Avances en Vigilancia Genómica del proyecto GENE2DIS</t>
  </si>
  <si>
    <t>Maria Cecilia Vial Cox (Director)</t>
  </si>
  <si>
    <t>05 Jun 2025, 14:37</t>
  </si>
  <si>
    <t>Variabilidad genética y presión evolutiva en el gen NSs de Orthohantavirus andesense: un estudio de su implicación en la adaptación y evolución viral</t>
  </si>
  <si>
    <t>Denisse Alegria Hernandez (PhD Thesis)</t>
  </si>
  <si>
    <t>05 Jun 2025, 14:46</t>
  </si>
  <si>
    <t>Dinámica de transmisión de variante(s) Omicron  del SARS-CoV2 en América del Sur</t>
  </si>
  <si>
    <t>Ignacio Ramos Tapia (Postdoctoral Fellow)</t>
  </si>
  <si>
    <t>05 Jun 2025, 14:50</t>
  </si>
  <si>
    <t>Antibody Responses and Disease progression in Andes Virus-Infected Patients: A study of the humoral Immun Dynamics in HCPS</t>
  </si>
  <si>
    <t>Lina Jimena Cortes Salinas (Postdoctoral Fellow)</t>
  </si>
  <si>
    <t>05 Jun 2025, 14:52</t>
  </si>
  <si>
    <t>Caracterización Genómica de Aislados de infecciones invasivas de streptoccus pyogenes en Chile</t>
  </si>
  <si>
    <t>Nicolás Canales</t>
  </si>
  <si>
    <t>05 Jun 2025, 14:55</t>
  </si>
  <si>
    <t>CuriCURB 2024</t>
  </si>
  <si>
    <t>Caracterización molecular del brote de Streptococcus pyogenes en Chile</t>
  </si>
  <si>
    <t>30 Nov 2024</t>
  </si>
  <si>
    <t>05 Jun 2025, 14:34</t>
  </si>
  <si>
    <t>TERCER SEMINARIO ENFERMEDADES EMERGENTES Y REEMERGENTES DESDE LA MIRADA DE UNA SALUD</t>
  </si>
  <si>
    <t>Estrategias en Diagnóstico precoz de Hantavirus</t>
  </si>
  <si>
    <t>05 Jun 2025, 14:31</t>
  </si>
  <si>
    <t>Simposio Innovating Biomedicine Through Molecular Design and Structural Bioinformatics</t>
  </si>
  <si>
    <t>Identifying immune cell subpopulations in hantavirus cardiopulmonary syndrome through bulk RNA-seq deconvolution</t>
  </si>
  <si>
    <t>05 Jun 2025, 14:25</t>
  </si>
  <si>
    <t>Evaluación in silico del impacto de la variabilidad genética en la estabilidad de la estructura 3D de la proteína NSs del Hantavirus Andes</t>
  </si>
  <si>
    <t>05 Jun 2025, 14:27</t>
  </si>
  <si>
    <t xml:space="preserve">XXXIX Congreso Chileno de Infectología 2024 </t>
  </si>
  <si>
    <t>El aumento en la frecuencia de Enterobacterales portadoras de metallo beta-lactamasa NDM-7 en Chile es mediado por plásmidos IncX3</t>
  </si>
  <si>
    <t>05 Jun 2025, 16:26</t>
  </si>
  <si>
    <t>Virus Genomics, Evolution and Bioinformatics</t>
  </si>
  <si>
    <t xml:space="preserve">Insights into evoutionary dynamics of Orthoantevirus Andesense in Chile </t>
  </si>
  <si>
    <t>05 Jun 2025, 15:21</t>
  </si>
  <si>
    <t>XVIII IPOPI Global Patients´ Meeting</t>
  </si>
  <si>
    <t>ESID meeting highlights</t>
  </si>
  <si>
    <t>04 Nov 2024, 10:33</t>
  </si>
  <si>
    <t>IDWeek 2024</t>
  </si>
  <si>
    <t>Assessing the Dynamics of Fecal Colonization with Antibiotic- Resistant Bacteria in a Chilean Cohort: A Longitudinal Study</t>
  </si>
  <si>
    <t>18 Oct 2024, 21:10</t>
  </si>
  <si>
    <t>The Microbiome of Community-Dwelling Adults and Risk Factors for Colonization with Antimicrobial-Resistant Bacteria in Chile</t>
  </si>
  <si>
    <t>Rafael Ignacio Araos Bralic (Principal Researcher); Juan Antonio Ugalde Casanova (Principal Researcher)</t>
  </si>
  <si>
    <t>18 Oct 2024, 21:12</t>
  </si>
  <si>
    <t>Genomic epidemiology in emerging diseases GENE2DIS</t>
  </si>
  <si>
    <t>Juan Antonio Ugalde Casanova (Principal Researcher)</t>
  </si>
  <si>
    <t>22 Oct 2024, 14:57</t>
  </si>
  <si>
    <t>XII Jornada de Investigación División de Pediatría 2024</t>
  </si>
  <si>
    <t>Excreción viral y viremia de Andes virus durante la etapa aguda de la infección: estudio prospectivo</t>
  </si>
  <si>
    <t>Marcela Viviana Ferres Garrido (Principal Researcher); Pablo A Vial Claro (Principal Researcher); Aldo Barrera (Postdoctoral Fellow); Constanza Martinez Valdebenito (PhD Thesis)</t>
  </si>
  <si>
    <t>18 Oct 2024, 21:01</t>
  </si>
  <si>
    <t>I Congreso Hábitat y Salud UANDES</t>
  </si>
  <si>
    <t>Explorando el microbioma del ambiente construido y su relación con la actividad humana</t>
  </si>
  <si>
    <t>18 Oct 2024, 20:53</t>
  </si>
  <si>
    <t>Webinar «Develando barreras y facilitadores para la vacunación post pandemia de COVID-19 en Chile: Oportunidades para reducir brechas y desigualdades en la cobertura desde una perspectiva de determinantes sociales de la salud</t>
  </si>
  <si>
    <t>Develando barreras y facilitadores para la vacunación post pandemia de COVID-19 en Chile: Oportunidades para reducir brechas y desigualdades en la cobertura desde una perspectiva de determinantes sociales de la salud</t>
  </si>
  <si>
    <t>18 Oct 2024, 20:55</t>
  </si>
  <si>
    <t>XLIII Meeting ASV</t>
  </si>
  <si>
    <t xml:space="preserve">SARS-CoV-2 infectivity and antigenic evasion: spotlight on isolated Omicron sub-lineages </t>
  </si>
  <si>
    <t>Maria Cecilia Vial Cox (Director); Marcela Viviana Ferres Garrido (Principal Researcher); Aldo Barrera (Postdoctoral Fellow); Juan Patricio Hormazabal Castillo (Postdoctoral Fellow)</t>
  </si>
  <si>
    <t>18 Oct 2024, 20:42</t>
  </si>
  <si>
    <t>Elucidating the function of key genes involved in clinical course of hantavirus cardiopulmonary Syndrome</t>
  </si>
  <si>
    <t>Maria Cecilia Vial Cox (Director); Marcela Viviana Ferres Garrido (Principal Researcher); Aldo Barrera (Postdoctoral Fellow); Juan Patricio Hormazabal Castillo (Postdoctoral Fellow); Lina Jimena Cortes Salinas (Postdoctoral Fellow); Constanza Martinez Valdebenito (PhD Thesis)</t>
  </si>
  <si>
    <t>18 Oct 2024, 20:46</t>
  </si>
  <si>
    <t>Jornada Internacional de Inmunodeficiencias Jeffrey Modell Fundation 2024</t>
  </si>
  <si>
    <t>Autoinflamatorios y Disrregulación Inmune</t>
  </si>
  <si>
    <t>22 Oct 2024, 11:52</t>
  </si>
  <si>
    <t>I Congreso de Estudiantes de Postgrado en Ciencias y Salud</t>
  </si>
  <si>
    <t>Variabilidad genética y presión evolutiva en el gen NSs del hantavirus Andes: un estudio de su implicación en la adaptación y evolución viral</t>
  </si>
  <si>
    <t>Maria Cecilia Vial Cox (Director); Juan Antonio Ugalde Casanova (Principal Researcher); Lissette Ulloa Zepeda (PhD Thesis)</t>
  </si>
  <si>
    <t>18 Oct 2024, 20:24</t>
  </si>
  <si>
    <t>Explorando la diversidad genómica de Moraxella catarrhalis a través del pangenoma</t>
  </si>
  <si>
    <t>Juan Antonio Ugalde Casanova (Principal Researcher); Ignacio Ramos Tapia (Postdoctoral Fellow)</t>
  </si>
  <si>
    <t>18 Oct 2024, 20:30</t>
  </si>
  <si>
    <t>Desarrollo de pipeline automatizado para el análisis de resistencia antimicrobiana en metagenomas intestinales</t>
  </si>
  <si>
    <t>18 Oct 2024, 20:34</t>
  </si>
  <si>
    <t>III Jornada Internacional de Enfermedades Raras o Poco Frecuentes</t>
  </si>
  <si>
    <t>Errores Innatos de la Inmunidad</t>
  </si>
  <si>
    <t>23 Oct 2024, 18:15</t>
  </si>
  <si>
    <t>Cells within cell: Orientia tsutsugamushi and the obligate intracelullar bacterial lifestyle</t>
  </si>
  <si>
    <t>Marcela Viviana Ferres Garrido (Principal Researcher); KATIA GABRIELA ABARCA VILLASECA (Adjunct Researcher); Lina Jimena Cortes Salinas (Postdoctoral Fellow)</t>
  </si>
  <si>
    <t>18 Oct 2024, 20:17</t>
  </si>
  <si>
    <t>Seminario Académico  ICIM - UDD</t>
  </si>
  <si>
    <t>Spiking Hantaviruses with human mAbs</t>
  </si>
  <si>
    <t>Maria Cecilia Vial Cox (Director); Marcela Viviana Ferres Garrido (Principal Researcher); Pablo A Vial Claro (Principal Researcher); Juan Patricio Hormazabal Castillo (Postdoctoral Fellow); Lina Jimena Cortes Salinas (Postdoctoral Fellow); Lissette Ulloa Zepeda (PhD Thesis)</t>
  </si>
  <si>
    <t>18 Oct 2024, 20:14</t>
  </si>
  <si>
    <t>II Simposio Interdisciplinario de Investigación Postdoctoral</t>
  </si>
  <si>
    <t>Dinámica de transmisión de variante(s) Omicron del SARS-CoV-2 en América del Sur</t>
  </si>
  <si>
    <t>18 Oct 2024, 20:51</t>
  </si>
  <si>
    <t>ATE220062</t>
  </si>
  <si>
    <t xml:space="preserve">Primer congreso Chileno de Zoologia </t>
  </si>
  <si>
    <t>Nuevos registros de Ixodes Chilensis Kohls,1956 (ixodidia:Ixodidae) en Chile</t>
  </si>
  <si>
    <t>Gerardo Alfredo Acosta Jamett (Director); Claudio Verdugo (Principal Researcher)</t>
  </si>
  <si>
    <t xml:space="preserve">Sebastian Muñoz, Camilo Salazar </t>
  </si>
  <si>
    <t>Assessment of the impact of anthropic factors (production systems, changes in land use, invasive species, climate change, etc.) on public and animal health.</t>
  </si>
  <si>
    <t>06 Nov 2024, 16:09</t>
  </si>
  <si>
    <t xml:space="preserve">XIX Latin American Congress of Genetics </t>
  </si>
  <si>
    <t>Impacto de la fragmentación del bosque nativo en la microbiota de murciélagos del sur de Chile</t>
  </si>
  <si>
    <t>Andrea Ximena Silva Baez (Principal Researcher)</t>
  </si>
  <si>
    <t>06 Nov 2024, 15:49</t>
  </si>
  <si>
    <t xml:space="preserve">13Th Conference of international leptospirosis society held </t>
  </si>
  <si>
    <t>Seroprevalence of leptospirosis in wild rodents across an anthropized and fragmented landscape in southern Chile</t>
  </si>
  <si>
    <t>Gerardo Alfredo Acosta Jamett (Director); Claudio Verdugo (Principal Researcher); TOMÁS ANDRÉS OLIVARES VERAGUAS (Undergraduate Thesis)</t>
  </si>
  <si>
    <t>Assessment of the impact of anthropic factors (production systems, changes in land use, invasive species, climate change, etc.) on public and animal health.; Explore genetic, physiological, immunological and environmental aspects that influence the dynamics and evolution of infectious diseases.</t>
  </si>
  <si>
    <t>06 Nov 2024, 15:18</t>
  </si>
  <si>
    <t>ATE220063</t>
  </si>
  <si>
    <t>Violencia de género e interseccionalidades: Reflexiones académicas desde La Araucanía</t>
  </si>
  <si>
    <t>Mujeres organizadas en La Araucanía en el siglo XX: practicas y discurso en la prensa regional</t>
  </si>
  <si>
    <t>Lucy Mirtha Ketterer Romero (Director); Sandra del Pilar López Dietz (Director)</t>
  </si>
  <si>
    <t xml:space="preserve">Línea 1: Prensa, discurso y poder </t>
  </si>
  <si>
    <t>13 Nov 2024, 13:03</t>
  </si>
  <si>
    <t>IX Congreso Internacional de Lenguas y Literaturas Indoamericanas XX Jornadas de Lengua y Literatura Mapuche «Voces y discursos originarios en contexto de transformación y crisis»</t>
  </si>
  <si>
    <t>Acción y discurso de las mujeres en La Araucanía en la primera mitad del s. XX: articulaciones, encuentros y diversidades</t>
  </si>
  <si>
    <t>Sandra del Pilar López Dietz (Director); Stefanie Katleen Pacheco Pailahual (Principal Researcher)</t>
  </si>
  <si>
    <t>04 Nov 2024, 17:47</t>
  </si>
  <si>
    <t>XVIII Feria de Investigaciones FIUFRO 2024</t>
  </si>
  <si>
    <t>Mujeres de nuestro territorio Siglo XX</t>
  </si>
  <si>
    <t>Sandra del Pilar López Dietz (Director)</t>
  </si>
  <si>
    <t>04 Nov 2024, 11:59</t>
  </si>
  <si>
    <t>II congreso “Desafíos inter y  transdisciplinarios hacia una investigación de frontera”</t>
  </si>
  <si>
    <t xml:space="preserve">“Colaboración inter y transdisciplinarios para fortalecer la investigación de carácter intercultural en contexto mapuche, en la Universidad de La Frontera / Pu kimeltuchefe fillke rakiduam trawükülelu newentual taiñ rüngadungun ka inaramtundungu Wallmapu </t>
  </si>
  <si>
    <t>Stefanie Katleen Pacheco Pailahual (Principal Researcher)</t>
  </si>
  <si>
    <t>30 Oct 2024, 14:51</t>
  </si>
  <si>
    <t>"Notas acerca de la instalación de la carrera de Servicio Social en la Araucanía - Proyecto Anillo ATE 22063"</t>
  </si>
  <si>
    <t>07 Nov 2024, 14:38</t>
  </si>
  <si>
    <t>“Mujeres organizadas en La Araucanía: prácticas sociales, discursivas y trayectorias políticas en los  siglos XX-XXI” Proyecto Anillo ATE220063”</t>
  </si>
  <si>
    <t>Lucy Mirtha Ketterer Romero (Director); Sandra del Pilar López Dietz (Director); Stefanie Katleen Pacheco Pailahual (Principal Researcher)</t>
  </si>
  <si>
    <t>07 Nov 2024, 14:41</t>
  </si>
  <si>
    <t>Territories and Commons in the Global North and South: An Intersectional Look at Forests, Land, Water and Bodies</t>
  </si>
  <si>
    <t>C</t>
  </si>
  <si>
    <t>08 Nov 2024, 13:17</t>
  </si>
  <si>
    <t>ATE230006</t>
  </si>
  <si>
    <t>Francisco Ignacio Suarez Poch (Director); Catalina Antonia Arce de la Puente (Master Thesis)</t>
  </si>
  <si>
    <t>Vadose Zone hydrology and biophysics (FS)</t>
  </si>
  <si>
    <t>Remote Sensing (CDR); Vadose Zone hydrology and biophysics (FS)</t>
  </si>
  <si>
    <t>Hydrogeology (SL); Meteorology (RM); Remote Sensing (CDR); Vadose Zone hydrology and biophysics (FS); Water/Energy interactions (ADLF)</t>
  </si>
  <si>
    <t>Francisco Ignacio Suarez Poch (Director)</t>
  </si>
  <si>
    <t>AGU24 Annual Meeting</t>
  </si>
  <si>
    <t xml:space="preserve"> The past and future of Altiplano wetlands: investigating the water and energycycles in closed basins under changing conditions using in-situ observations, remote sensing, biophysical indicators, and numerical modeling. </t>
  </si>
  <si>
    <t>Francisco Ignacio Suarez Poch (Director); Alberto de la Fuente Stranger (Principal Researcher); Camilo del Río López (Principal Researcher); Sarah Leray (Principal Researcher); Ricardo Muñoz Magnino (Principal Researcher); FRANCISCA AGUIRRE CORREA (PhD Thesis); Jorge Alejandro Renaud González (PhD Thesis); Catalina Antonia Arce de la Puente (Master Thesis); JAVIERA IGNACIA BOADA CAMPOS (Master Thesis); Joaquín Ignacio Aravena Pedraza (Master Thesis)</t>
  </si>
  <si>
    <t>Lobos-Roco, F., , Hartogensis, O.</t>
  </si>
  <si>
    <t>09 Jan 2025, 02:08</t>
  </si>
  <si>
    <t>A Machine Learning Model for characterizing Spatiotemporal Variability of Groundwater Recharge in the Chilean Altiplano.</t>
  </si>
  <si>
    <t>Francisco Ignacio Suarez Poch (Director); FRANCISCA AGUIRRE CORREA (PhD Thesis); JAVIERA IGNACIA BOADA CAMPOS (Master Thesis)</t>
  </si>
  <si>
    <t>09 Jan 2025, 02:11</t>
  </si>
  <si>
    <t>Rossby Waves as key drivers of High-Frequency Precipitation Variability over South America.</t>
  </si>
  <si>
    <t>Francisco Ignacio Suarez Poch (Director); FRANCISCA AGUIRRE CORREA (PhD Thesis)</t>
  </si>
  <si>
    <t>09 Jan 2025, 02:12</t>
  </si>
  <si>
    <t>Evaluating historical dynamics and climate impacts on groundwater/lake interactions: insights from multi-scale modelling in the Salar del Huasco basin. </t>
  </si>
  <si>
    <t>Francisco Ignacio Suarez Poch (Director); FRANCISCA AGUIRRE CORREA (PhD Thesis); JAVIERA IGNACIA BOADA CAMPOS (Master Thesis); Joaquín Ignacio Aravena Pedraza (Master Thesis)</t>
  </si>
  <si>
    <t>09 Jan 2025, 02:14</t>
  </si>
  <si>
    <t>Physics-Integrated Machine Learning analysis of Actual Evaporation drivers in Chilean Altiplano wetlands.</t>
  </si>
  <si>
    <t>Francisco Ignacio Suarez Poch (Director); JAVIERA IGNACIA BOADA CAMPOS (Master Thesis)</t>
  </si>
  <si>
    <t>09 Jan 2025, 02:15</t>
  </si>
  <si>
    <t>Estimating evaporation by land surface energy balances on the Chilean Altiplano.</t>
  </si>
  <si>
    <t>Shanafield, M</t>
  </si>
  <si>
    <t>09 Jan 2025, 02:17</t>
  </si>
  <si>
    <t>The impact of soil texture on bare soil evaporation - an experimental and numerical study to improve water balance in endorheic basins.</t>
  </si>
  <si>
    <t>Francisco Ignacio Suarez Poch (Director); Jorge Alejandro Renaud González (PhD Thesis)</t>
  </si>
  <si>
    <t>09 Jan 2025, 02:19</t>
  </si>
  <si>
    <t>Assessing hydrodynamic properties in harsh environments: comparing field and laboratory measurements on water movement modeling.</t>
  </si>
  <si>
    <t>09 Jan 2025, 02:20</t>
  </si>
  <si>
    <t>Modeling long-term climate variability of stratocumulus cloud and its harvesting potential in the coastal Atacama region.</t>
  </si>
  <si>
    <t>Lobos-Roco, F., Keim-Vera, K.</t>
  </si>
  <si>
    <t>09 Jan 2025, 02:21</t>
  </si>
  <si>
    <t>StraToFog field experiment: observational study of the marine stratocumulus to land fog transition in the coastal Atacama.</t>
  </si>
  <si>
    <t>Lobos-Roco, F., , Oscar Karel Hartogensis, Espinoza, V., , Keim-Vera, K, Muñoz, F</t>
  </si>
  <si>
    <t>09 Jan 2025, 02:26</t>
  </si>
  <si>
    <t>7th Congress on Physical Oceanography, Meteorology and Climate of the South Pacific</t>
  </si>
  <si>
    <t>Analysis of micrometeorological measurements in the Salar del Huasco: preliminary results</t>
  </si>
  <si>
    <t>Francisco Ignacio Suarez Poch (Director); Ricardo Muñoz Magnino (Principal Researcher); JAVIERA IGNACIA BOADA CAMPOS (Master Thesis)</t>
  </si>
  <si>
    <t>Meteorology (RM); Vadose Zone hydrology and biophysics (FS)</t>
  </si>
  <si>
    <t>09 Jan 2025, 01:57</t>
  </si>
  <si>
    <t>StraToFog: Transition from marine stratocumulus to terrestrial fog.</t>
  </si>
  <si>
    <t>Francisco Ignacio Suarez Poch (Director); Camilo del Río López (Principal Researcher)</t>
  </si>
  <si>
    <t>Lobos-Roco, F., ,  Hartogensis, O</t>
  </si>
  <si>
    <t>09 Jan 2025, 02:00</t>
  </si>
  <si>
    <t>High-frequency Intraseasonal Variability of Precipitation in South America and its link with Southern Hemisphere Teleconnection Patterns</t>
  </si>
  <si>
    <t>Massimo Bollasina</t>
  </si>
  <si>
    <t>22 Jul 2024, 00:17</t>
  </si>
  <si>
    <t>Evaporation driven by Atmospheric Boundary Layer Processes over a Shallow Salt-Water Lagoon in the Altiplano</t>
  </si>
  <si>
    <t>Oscar Hartogensis, Reinder Ronda, Jordi Vilà-Guerau de Arellano</t>
  </si>
  <si>
    <t>22 Jul 2024, 00:22</t>
  </si>
  <si>
    <t>ATE230007</t>
  </si>
  <si>
    <t>Aparna Banerjee (Principal Researcher); Cynthia Meza Muñoz (PhD Thesis)</t>
  </si>
  <si>
    <t>Aparna Banerjee (Principal Researcher)</t>
  </si>
  <si>
    <t>Jorge Patricio Arce Johnson (Director); Vera Isabel Martinez Barradas (Postdoctoral Fellow)</t>
  </si>
  <si>
    <t>Molecular Biology</t>
  </si>
  <si>
    <t>Jorge Patricio Arce Johnson (Director); Vera Isabel Martinez Barradas (Postdoctoral Fellow); Francisco Antonio Barco Rubio (PhD Thesis)</t>
  </si>
  <si>
    <t>Jorge Patricio Arce Johnson (Director); Aparna Banerjee (Principal Researcher); Claudio Andrés Inostroza Blancheteau (Principal Researcher); CARLOS GUSTAVO PEÑA FARFAL (Principal Researcher); MARJORIE MARIANELA REYES DIAZ (Principal Researcher); Mabel Fabiola Delgado Torres (Adjunct Researcher); Kattia Rebeca Núñez Montero (Adjunct Researcher); Valentina Francisca Vallejos Aravena (Postdoctoral Fellow); Vera Isabel Martinez Barradas (Postdoctoral Fellow)</t>
  </si>
  <si>
    <t>II Simposio Ciencias y Huellas De La Agricultura</t>
  </si>
  <si>
    <t>Poliploidización de plantas de poroto para mejorar su adaptabilidad a condiciones de estrés por sequía.</t>
  </si>
  <si>
    <t>29 Oct 2025, 12:32</t>
  </si>
  <si>
    <t>Caracterización de genes implicados en los movimientso estomáticos en Phaseolus vulgaris bajo estrés hídrico</t>
  </si>
  <si>
    <t xml:space="preserve">René Morales </t>
  </si>
  <si>
    <t>03 Nov 2025, 13:57</t>
  </si>
  <si>
    <t>65th Annual International Conference of the Association of Microbiologists of India (AMI)</t>
  </si>
  <si>
    <t>“Thermophilic microorganisms from the geothermal environments of Chile and Antarctica with a potential role in food and agriculture in a climate change context”</t>
  </si>
  <si>
    <t>04 Nov 2024, 11:11</t>
  </si>
  <si>
    <t>Caminando a la agricultura sostenible</t>
  </si>
  <si>
    <t>Impulsando la Resilencia de las Leguminosas Bacterias para una Agricultura Sostenible</t>
  </si>
  <si>
    <t>05 Nov 2024, 14:39</t>
  </si>
  <si>
    <t>Desarrollo de un bioestimulante bacteriano microencapsulado</t>
  </si>
  <si>
    <t>Cynthia Meza Muñoz (PhD Thesis)</t>
  </si>
  <si>
    <t>05 Nov 2024, 15:28</t>
  </si>
  <si>
    <t>"Sustentabilidad alimentaria utilizando biotecnología moderna!</t>
  </si>
  <si>
    <t>Jorge Patricio Arce Johnson (Director)</t>
  </si>
  <si>
    <t>05 Nov 2024, 17:32</t>
  </si>
  <si>
    <t>III Workshop Doctorado en Ciencias Agropecuarias</t>
  </si>
  <si>
    <t>HACIA UNA AGRICULTURA SUSTENTABLE MEDIANTE NUEVAS TÉCNICAS BIOTECNOLÓGICAS</t>
  </si>
  <si>
    <t>03 Nov 2024, 23:28</t>
  </si>
  <si>
    <t>XIX Brazilian Congress of Plant Physiology</t>
  </si>
  <si>
    <t xml:space="preserve">METHYL JASMONATE REDUCES WATER DEFICIT AND ALUMINUM TOXICITY STRESS IN VACCINIUM CORYMBOSUM THROUGH ABA SIGNALING </t>
  </si>
  <si>
    <t>MARJORIE MARIANELA REYES DIAZ (Principal Researcher)</t>
  </si>
  <si>
    <t>05 Nov 2024, 11:31</t>
  </si>
  <si>
    <t>FOOD SUSTAINABILITY IN DROUGHT STRESS CONDITIONS: PHASEOLUS A PLANT MODEL.</t>
  </si>
  <si>
    <t>01 Nov 2024, 16:17</t>
  </si>
  <si>
    <t>Effects of foliar boron application on growth, physiological performance, and antioxidant activity in highbush blueberry (Vaccinium corymbosum) cv. Cargo under Al toxicity</t>
  </si>
  <si>
    <t>Claudio Andrés Inostroza Blancheteau (Principal Researcher); Rodrigo Mora Sanhueza (PhD Thesis)</t>
  </si>
  <si>
    <t>02 Nov 2024, 19:02</t>
  </si>
  <si>
    <t>Avances en la investigación para la generación de variedades de leguminosas resilientes al cambio climático: una mirada desde La Araucanía.nario Leguminosas INIA</t>
  </si>
  <si>
    <t>Sostenibilidad alimentaria en condiciones de estrés por sequía: Phaseolus como planta modelo</t>
  </si>
  <si>
    <t>Claudio Andrés Inostroza Blancheteau (Principal Researcher)</t>
  </si>
  <si>
    <t>05 Nov 2024, 10:19</t>
  </si>
  <si>
    <t>VIII Encuentro Científico Biología Vegetal "De Moléculas a Ecosistemas"</t>
  </si>
  <si>
    <t>Indole Acetic Acid (IAA) producing plant growth promoting bacteria (PGPB) from rhizosphere of Chilean common beans (PhaseolusvulgarisL.) landraces in acclimatized response to temperature stress</t>
  </si>
  <si>
    <t>04 Nov 2024, 13:09</t>
  </si>
  <si>
    <t xml:space="preserve">VIII Encuentro Científico Biología Vegetal "De Moléculas a Ecosistemas"	</t>
  </si>
  <si>
    <t>Exploring Seed Germination via Bacterial Interactions: Evaluating Bean Polymer Integrity with Thermogravimetric Analysis</t>
  </si>
  <si>
    <t>Aparna Banerjee (Principal Researcher); Francisca Beatriz Valenzuela Salgado (PhD Thesis)</t>
  </si>
  <si>
    <t>06 Nov 2024, 12:54</t>
  </si>
  <si>
    <t>Effect of the use of microbial consortium on the bioactivity of metabolites produced in the grains of local varieties of beans (Phaseolus vulgaris L.)</t>
  </si>
  <si>
    <t>06 Nov 2024, 13:00</t>
  </si>
  <si>
    <t>Ciclo de Seminarios UA</t>
  </si>
  <si>
    <t>ENFOQUES INNOVADORES EN BIOTECNOLOGÍA MICROBIANA:POLISACÁRIDOS PARA INDUSTRIA DE ALIMENTOS</t>
  </si>
  <si>
    <t>05 Nov 2024, 10:13</t>
  </si>
  <si>
    <t>I Encuentro de estudiantes de Biotecnología</t>
  </si>
  <si>
    <t>Identificación y Caracterización Inicial del Gen MYB60 de Soya (Glycine max).</t>
  </si>
  <si>
    <t>Francisco Antonio Barco Rubio (PhD Thesis)</t>
  </si>
  <si>
    <t>04 Nov 2024, 00:08</t>
  </si>
  <si>
    <t>V Congreso de Estudiantes y Graduados de Postgrado UFRO</t>
  </si>
  <si>
    <t>Mecanismos Bioquímicos y Fisiológicos de Respuesta al Déficit Hídrico en Cultivares chilenos de Phaseolus vulgaris L: Evaluación del Impacto del Tratamiento del Consorcio Microbiano</t>
  </si>
  <si>
    <t>MARJORIE MARIANELA REYES DIAZ (Principal Researcher); Amanda de las Mercedes Duvergel Terry (PhD Thesis)</t>
  </si>
  <si>
    <t>01 Nov 2024, 14:01</t>
  </si>
  <si>
    <t>IX Jornadas de Ciencia y Tecnología/III Reunión Argentina-Chile de Ciencias Agrarias.</t>
  </si>
  <si>
    <t>Efecto de la aplicación de B foliar sobre el intercambio gaseoso y estrés oxidativo en cultivares de Vaccinium corymbosum L. en condiciones de estrés por Al</t>
  </si>
  <si>
    <t>Rodrigo Mora Sanhueza (PhD Thesis)</t>
  </si>
  <si>
    <t>06 Nov 2024, 11:55</t>
  </si>
  <si>
    <t>IX Jornadas de Ciencia y Tecnología/ III Reunión Argentina-Chile de Ciencias Agrarias.</t>
  </si>
  <si>
    <t>06 Nov 2024, 11:56</t>
  </si>
  <si>
    <t>II Workshop Latinoamericano en  Nano y Biotecnología</t>
  </si>
  <si>
    <t>La aplicación de metil jasmonato (MeJA) mejora la relación Al y P en plantas de arándano (Vaccinium corymbosum L.) bajo toxicidad por Al y déficit hídrico</t>
  </si>
  <si>
    <t>01 Nov 2024, 14:12</t>
  </si>
  <si>
    <t>Caracterización del gen MYB60 de poroto común: un candidato potencial para mejorar la resistenci a la sequía</t>
  </si>
  <si>
    <t>01 Nov 2024, 16:04</t>
  </si>
  <si>
    <t>I Jornada Internacional de Biotecnología Chile</t>
  </si>
  <si>
    <t>Aplicación de bacterias promotoras de crecimiennto vegetal (PGPB) en frijol común nativo chileno (Phaseolus vulgaris L.) para un crecimiento mejorado en respuesta al estreés termico</t>
  </si>
  <si>
    <t>03 Nov 2024, 16:49</t>
  </si>
  <si>
    <t>Exploración de la germinación de semillas mediante interacciones bacterianas: evaluación de la integridad del polímero de frijol con análisis termogravimétrico</t>
  </si>
  <si>
    <t>03 Nov 2024, 17:01</t>
  </si>
  <si>
    <t>Interacción planta-bacteria mejora la actividad antioxidante en poroto común del ecotipo chileno.</t>
  </si>
  <si>
    <t>04 Nov 2024, 00:03</t>
  </si>
  <si>
    <t>ATE230025</t>
  </si>
  <si>
    <t>2. To investigate the synergistic effects of temperature and chronic exposure to insecticides on functional traits in pest insects</t>
  </si>
  <si>
    <t>Carezza Veronica Botto Mahan (Principal Researcher)</t>
  </si>
  <si>
    <t>Carla Ponce Revello (Master Thesis)</t>
  </si>
  <si>
    <t>Luis Castañeda (Director)</t>
  </si>
  <si>
    <t>José Eduardo Fuentes Contreras (Principal Researcher)</t>
  </si>
  <si>
    <t>Belén Díaz Toledo (Master Thesis)</t>
  </si>
  <si>
    <t>Alfredo Christian Figueroa Caro (Principal Researcher)</t>
  </si>
  <si>
    <t>Margarita Adriana Correa Gutierrez (Adjunct Researcher)</t>
  </si>
  <si>
    <t>3. To evaluate the adaptation of management strategies applied to insect pest species in a climate change framework</t>
  </si>
  <si>
    <t>Hugo Alejandro Benítez de la Fuente (Principal Researcher)</t>
  </si>
  <si>
    <t>First Chilean Congress of Zoology</t>
  </si>
  <si>
    <t>Morphometric approach for the study of Triatoma infestans, a Chagas disease vector.</t>
  </si>
  <si>
    <t>2. To investigate the synergistic effects of temperature and chronic exposure to insecticides on functional traits in pest insects; 3. To evaluate the adaptation of management strategies applied to insect pest species in a climate change framework</t>
  </si>
  <si>
    <t>21 Nov 2024, 10:07</t>
  </si>
  <si>
    <t>Challenges in the control of Triatoma infestans: Evidence of persistence in residential areas of Chile</t>
  </si>
  <si>
    <t>Antonella Bacigalupo, Lorena Llanos, Carolina Reyes</t>
  </si>
  <si>
    <t>21 Nov 2024, 10:09</t>
  </si>
  <si>
    <t>Hatching, molting, and survival of first-generation laboratory Triatoma infestans: A threat under bromeliads.</t>
  </si>
  <si>
    <t>Catalina Aguilar Vera (Undergraduate Thesis)</t>
  </si>
  <si>
    <t>21 Nov 2024, 10:10</t>
  </si>
  <si>
    <t>Triatomines in Chile and climate change: Advances and challenges.</t>
  </si>
  <si>
    <t>Antonella Bacigalupo,  Rubén Garrido, Sebastián Cavieres, Raúl Araya Donoso,  Aldo Solari</t>
  </si>
  <si>
    <t>21 Nov 2024, 10:11</t>
  </si>
  <si>
    <t>Primer Congreso Chileno de Zoología</t>
  </si>
  <si>
    <t>Invasive aphid pests in a changing climate: Phenotypic and population responses to elevated temperatures and water deficit in central Chile</t>
  </si>
  <si>
    <t>Luis Castañeda (Director); Alfredo Christian Figueroa Caro (Principal Researcher); José Eduardo Fuentes Contreras (Principal Researcher); Margarita Adriana Correa Gutierrez (Adjunct Researcher); Sebastian Martel (Postdoctoral Fellow)</t>
  </si>
  <si>
    <t>Sepulveda, D</t>
  </si>
  <si>
    <t>1. To investigate how genome-driven processes and insect-associated microbes facilitate the redistribution and adaptation of insect pest insects; 2. To investigate the synergistic effects of temperature and chronic exposure to insecticides on functional traits in pest insects; 3. To evaluate the adaptation of management strategies applied to insect pest species in a climate change framework</t>
  </si>
  <si>
    <t>22 Oct 2024, 15:12</t>
  </si>
  <si>
    <t>Sustainable Mealybugs management: Over 10 years of study, but yet, a story that just beggins</t>
  </si>
  <si>
    <t>Arturo Cocco, V, Romero,M, Ramírez, C, Gutiérrez, JP, Vogt-Geisse, K, Pacheco, C</t>
  </si>
  <si>
    <t>22 Oct 2024, 15:34</t>
  </si>
  <si>
    <t>Perspectivas genéticas, fisiológicas y ecológicas de una invasión biológica: el caso de Drosophila suzukii en Chile</t>
  </si>
  <si>
    <t>Luis Castañeda (Director); Alfredo Christian Figueroa Caro (Principal Researcher); Paula Andrea Irles Ivanac (Adjunct Researcher)</t>
  </si>
  <si>
    <t xml:space="preserve">Pinilla, Francisco , Soto, Juan ,  Devotto, Luis, Vera, Tamara , Krall,Paola , Mensch,  Julian </t>
  </si>
  <si>
    <t>22 Oct 2024, 15:55</t>
  </si>
  <si>
    <t>Annual Meeting of the Entomological Society of America</t>
  </si>
  <si>
    <t>Monitoring of Lobesia botrana Using Attractive Semiochemicals and LED-UV in Vineyards of Central Chile and Catalonia, North-Eastern Spain</t>
  </si>
  <si>
    <t>Islam, Y, Peñalver-Cruz A, Bosch S, Basoalto, E, Knight, AL., Preti, M, Rodríguez, MA.</t>
  </si>
  <si>
    <t>22 Oct 2024, 15:31</t>
  </si>
  <si>
    <t>International Congress of Entomology</t>
  </si>
  <si>
    <t>Vanessa carye: Butterfly in Flight, Secret of the Horizon – A Haiku of Migration and Mystery</t>
  </si>
  <si>
    <t>Hugo Alejandro Benítez de la Fuente (Principal Researcher); Amado Leiva-Villalobos (Postdoctoral Fellow)</t>
  </si>
  <si>
    <t>22 Oct 2024, 15:15</t>
  </si>
  <si>
    <t>Monitoring of Lobesia botrana (Lepidoptera: Tortricidae) with semiochemicals and Ultra Violet Light Emitting Diodes (UV-LED) under mating disruption</t>
  </si>
  <si>
    <t>Islam, Y, Preti, M,  Knight, AL, Basoalto, E</t>
  </si>
  <si>
    <t>22 Oct 2024, 15:17</t>
  </si>
  <si>
    <t>VII Encuentro Científico en Biología Vegetal</t>
  </si>
  <si>
    <t>Climate Change may increase pest aggressiveness: Biological features of invasive aphid pests in Chile under elevated temperatures and water deficit</t>
  </si>
  <si>
    <t>22 Oct 2024, 15:10</t>
  </si>
  <si>
    <t>Detecting vertebrate species in natural systems by using blood sucking insects as dna source</t>
  </si>
  <si>
    <t>Raúl Araya-Donoso , Ricardo Campos-Soto, Juana Paola Correa</t>
  </si>
  <si>
    <t>22 Oct 2024, 14:55</t>
  </si>
  <si>
    <t>Unravelling the invasive patterns of the exotic Antarctic fly Trichocera maculipennis: A genetic and morphometric approach</t>
  </si>
  <si>
    <t>Hernandez, J, Contador, T, Maturana, C, Kim, S, Convey, P</t>
  </si>
  <si>
    <t>22 Oct 2024, 14:59</t>
  </si>
  <si>
    <t>"Unravelling the wing shape variation of the destructive greater wax moth (Galleria mellonella) in Croatia"</t>
  </si>
  <si>
    <t>Viric, H, Radan, V, Prdjun, S, Lemic, D</t>
  </si>
  <si>
    <t>22 Oct 2024, 15:03</t>
  </si>
  <si>
    <t>"Use of geometric morphometrics as a monitoring technique in insect pests: An example on Croatian olive fly populations"</t>
  </si>
  <si>
    <t>Zivkovic, I, Vrcek, B, Pajac, M, Lemic, D</t>
  </si>
  <si>
    <t>22 Oct 2024, 15:05</t>
  </si>
  <si>
    <t>6th version Course on Laboratory Animal Management: Murine Model for Technicians, Graduate Students, Researchers and Related Professionals.</t>
  </si>
  <si>
    <t>22 Oct 2024, 14:48</t>
  </si>
  <si>
    <t>22 Oct 2024, 14:49</t>
  </si>
  <si>
    <t>Annual Meeting of the International Society of Chemical Ecology</t>
  </si>
  <si>
    <t>Monitoring of Lobesia botrana Using Attractive Semiochemicals and LED-UV in Vineyards of Central Chile and Catalonia, Spain</t>
  </si>
  <si>
    <t>Islam, Y, Michele, lan L, Knight, A, Rodríguez, M, Basoalto, E, Bosch Serra, D, Peñalver-Cruz, A</t>
  </si>
  <si>
    <t>22 Oct 2024, 15:22</t>
  </si>
  <si>
    <t>14th DrosEU Workshop</t>
  </si>
  <si>
    <t>The genetic basis of the thermal tolerance landscape in Drosophila melanogaster</t>
  </si>
  <si>
    <t>Pinilla, F, Olguín, P , Soto, J</t>
  </si>
  <si>
    <t>22 Oct 2024, 15:42</t>
  </si>
  <si>
    <t>CBGP Seminars</t>
  </si>
  <si>
    <t>Physiological adaptation to environmental stress in insects</t>
  </si>
  <si>
    <t>29 Mar 2024</t>
  </si>
  <si>
    <t>22 Oct 2024, 15:47</t>
  </si>
  <si>
    <t>Latin American Developmental Biology Conference</t>
  </si>
  <si>
    <t>Morphological and behavioral studies on the antenna of the ring-legged earwig Euborellia annulipes</t>
  </si>
  <si>
    <t>Paula Andrea Irles Ivanac (Adjunct Researcher)</t>
  </si>
  <si>
    <t>Taiba-Pizarro,  N,  Sarrazin, AF, Martinez, JP,  Sulbaran-Bracho , Y, Pardo, RV, Machuca, A</t>
  </si>
  <si>
    <t>04 Nov 2024, 16:26</t>
  </si>
  <si>
    <t>Microbiota's Dual Role: Post-Embryonic Growth and Egg Care in Euborellia annulipes (Dermaptera, Insecta).</t>
  </si>
  <si>
    <t>Sulbaran , Y, Hormazabal, A, Machuca , A</t>
  </si>
  <si>
    <t>04 Nov 2024, 16:27</t>
  </si>
  <si>
    <t>Pest control under drought: A new challenge to plant science on the horizon</t>
  </si>
  <si>
    <t>“Thirsty pest and thriving plants”.</t>
  </si>
  <si>
    <t>Alfredo Christian Figueroa Caro (Principal Researcher); Daniela Sepúlveda Sanhueza (Other Center/Project Researcher)</t>
  </si>
  <si>
    <t>13 Nov 2024, 19:38</t>
  </si>
  <si>
    <t>ATE230028</t>
  </si>
  <si>
    <t>MARIANA VIRGINIA LAZZARO SALAZAR (Principal Researcher)</t>
  </si>
  <si>
    <t>Karina Carrasco Jeldres</t>
  </si>
  <si>
    <t>Individual and collective identity configurations</t>
  </si>
  <si>
    <t>Sofía Rosa Rivero (Postdoctoral Fellow)</t>
  </si>
  <si>
    <t>1st National Congress of Graduate Students in Literature, Expanded Networks, Pontifical Catholic University of Chile.</t>
  </si>
  <si>
    <t>Ecopoetics of Maule’s Biodiversity: First Ecocritical Approaches to FUCOA Rural Poetry (2002–2012)</t>
  </si>
  <si>
    <t>10 Nov 2025, 23:30</t>
  </si>
  <si>
    <t>10th INTERNATIONAL CONGRESS OF THE NETWORK OF LOCALISED AGRIFOOD SYSTEMS – SYAL VALDIVIA, CHILE, 2024 “Localised agri-food and marine food systems: Climate change; dynamics of interculturality and innovation</t>
  </si>
  <si>
    <t>"Towards the recognition of the peasant tradition of chili pepper  smoking in zarandas from Palmilla as intangible cultural heritage: a path to valuing a local product."</t>
  </si>
  <si>
    <t>Ximena Elizabeth Quiñones Díaz (Principal Researcher)</t>
  </si>
  <si>
    <t>03 Dec 2024, 17:03</t>
  </si>
  <si>
    <t>International Conference on the Teaching of English in Professional and Academic Contexts (ENCOPIA)</t>
  </si>
  <si>
    <t xml:space="preserve">Unraveling the public voice: Gender and climate change in digital discourse </t>
  </si>
  <si>
    <t>Biodiversity shifts and losses</t>
  </si>
  <si>
    <t>10 Nov 2025, 22:11</t>
  </si>
  <si>
    <t>IV interdisciplinary congress on research in Education</t>
  </si>
  <si>
    <t>School education to preserve ecocultural heritage in the context of climate change</t>
  </si>
  <si>
    <t>Individual and collective identity configurations; Resilience and coping strategies</t>
  </si>
  <si>
    <t>14 Nov 2024, 17:59</t>
  </si>
  <si>
    <t>International Congress on the Socialization of Heritage in Rural Areas, Galicia, Spain</t>
  </si>
  <si>
    <t>Smoked Chili from Palmilla, Linares, Chile - Documentary Video</t>
  </si>
  <si>
    <t>Cristian Yañez Ilabaca</t>
  </si>
  <si>
    <t>03 Dec 2024, 16:22</t>
  </si>
  <si>
    <t>Seminar on Conscious Agriculture</t>
  </si>
  <si>
    <t>Agriculture as cultural heritage: elements for debate</t>
  </si>
  <si>
    <t>03 Dec 2024, 16:36</t>
  </si>
  <si>
    <t>ATE230035</t>
  </si>
  <si>
    <t>Doris Andrea Saez Hueichapan (Principal Researcher); Oscar Andrés Cartagena Villalobos (Postdoctoral Fellow)</t>
  </si>
  <si>
    <t>Operaciones Portuarias</t>
  </si>
  <si>
    <t>Concapan 2024</t>
  </si>
  <si>
    <t>Gonzalo Francisco Aguila Aviles (Principal Researcher); Constanza Andrea Ahumada Sanhueza (Principal Researcher); Doris Andrea Saez Hueichapan (Principal Researcher)</t>
  </si>
  <si>
    <t>Kavin Chamorro-Cáceres, Alex Navas-Fonseca, Juan S. Gomez, Luis Marin</t>
  </si>
  <si>
    <t>Generación de Hidrógeno; Operaciones Portuarias</t>
  </si>
  <si>
    <t>04 Nov 2024, 13:19</t>
  </si>
  <si>
    <t>Constanza Andrea Ahumada Sanhueza (Principal Researcher); Doris Andrea Saez Hueichapan (Principal Researcher)</t>
  </si>
  <si>
    <t>Matías Alegría, Alex Navas-Fonseca, Yeiner Arias-Esquivel, Luis Jimenez</t>
  </si>
  <si>
    <t>04 Nov 2024, 13:14</t>
  </si>
  <si>
    <t>Robust Predictive Control based on Evolving Intervals for Greenhouse Energy Management</t>
  </si>
  <si>
    <t>Javier Ocaranza, Alex Navas-Fonseca</t>
  </si>
  <si>
    <t>04 Nov 2024, 13:15</t>
  </si>
  <si>
    <t>Multi-Objective Distributed Predictive Secondary Control Design for Frequency Restoration and Active Power Sharing of Microgrids</t>
  </si>
  <si>
    <t>Jesus Roberto Cardenas Dobson (Director); Doris Andrea Saez Hueichapan (Principal Researcher); Oscar Andrés Cartagena Villalobos (Postdoctoral Fellow); Benjamin Moreno (PhD Thesis)</t>
  </si>
  <si>
    <t>04 Nov 2024, 13:16</t>
  </si>
  <si>
    <t>2024 IEEE International Conference on Fuzzy Systems (FUZZ-IEEE)</t>
  </si>
  <si>
    <t>Two-Stages Interval Fuzzy Model for Forecasting Wind Power in Microgrids</t>
  </si>
  <si>
    <t>Igor Skrjanc</t>
  </si>
  <si>
    <t>19 Aug 2024, 12:36</t>
  </si>
  <si>
    <t>Fuzzy Interval-Based Fault Detection for Water Consumption Profiles From Isolated Communities</t>
  </si>
  <si>
    <t>19 Aug 2024, 12:44</t>
  </si>
  <si>
    <t>ATE230046</t>
  </si>
  <si>
    <t>Workpackage 2: Assessment of water user association collective water management in Chile</t>
  </si>
  <si>
    <t>II Seminario virtual de Derecho de Aguas_x000B_Los Consejos de Recursos Hídricos de Cuenca en el Perú: Balance y Prospección</t>
  </si>
  <si>
    <t>Gobernanza y gestión hídrica de cuencas en Chile: notas y propuestas en torno a un tema pendiente</t>
  </si>
  <si>
    <t>Guillermo Victor Donoso Harris (Director); Daniela Pilar Rivera Bravo (Principal Researcher)</t>
  </si>
  <si>
    <t>Workpackage 1: Essential and preliminary definitions for effective design and implementation of collaborative water governance at the basin level in Chile</t>
  </si>
  <si>
    <t>21 Nov 2024, 15:56</t>
  </si>
  <si>
    <t>Seminario: Territorios desiguales medio ambiente, bienestar y desarrollo en las ciudades de Chile</t>
  </si>
  <si>
    <t>Cómo las asociaciones de usuarios de agua han dado forma a la gestión del agua en Chile</t>
  </si>
  <si>
    <t>Guillermo Victor Donoso Harris (Director); Elisa Blanco (Postdoctoral Fellow)</t>
  </si>
  <si>
    <t>21 Nov 2024, 15:45</t>
  </si>
  <si>
    <t>PECS-3: Pathways to Sustainability</t>
  </si>
  <si>
    <t xml:space="preserve">200 - Plural values in semiarid zones: The case of the Huasco river basin in Atacama, Chile </t>
  </si>
  <si>
    <t>Anahi Ocampo Melgar (Principal Researcher)</t>
  </si>
  <si>
    <t>19 Nov 2024, 17:45</t>
  </si>
  <si>
    <t>ATE230053</t>
  </si>
  <si>
    <t>Victor Hugo Salinas Silva (Adjunct Researcher)</t>
  </si>
  <si>
    <t>Educación Rural</t>
  </si>
  <si>
    <t>María Isabel Reyes Espejo (Director)</t>
  </si>
  <si>
    <t>Migración e interculturalidad</t>
  </si>
  <si>
    <t>Carmen Gloria Núñez Muñoz (Director)</t>
  </si>
  <si>
    <t>Comunidad y Territorio</t>
  </si>
  <si>
    <t>Juan de Dios Oyarzún (Principal Researcher)</t>
  </si>
  <si>
    <t>Sara Genoveva Joiko Mujica (Adjunct Researcher)</t>
  </si>
  <si>
    <t>5o Congreso Internacional de Educación para el Desarrollo Sustentable (CIEDS) 2024</t>
  </si>
  <si>
    <t>Hacia escuelas y comunidades sostenibles en territorios rurales en crisis socioambiental - Presentación del proyecto y resultados preliminares</t>
  </si>
  <si>
    <t>María Isabel Reyes Espejo (Director); Juan de Dios Oyarzún (Principal Researcher)</t>
  </si>
  <si>
    <t>30 Oct 2024, 05:28</t>
  </si>
  <si>
    <t xml:space="preserve">Seminario permanente del programa de doctorado en Didáctica de las Ciencias PUCV </t>
  </si>
  <si>
    <t>Educación Rural y Cambio Climático</t>
  </si>
  <si>
    <t>04 Nov 2024, 15:58</t>
  </si>
  <si>
    <t>Congreso Internacional ALAS</t>
  </si>
  <si>
    <t>Hacia escuelas y comunidades rurales sostenibles en contexto de crisis socioambiental</t>
  </si>
  <si>
    <t>29 Oct 2024, 17:13</t>
  </si>
  <si>
    <t>6o Congreso Interdisciplinario de Investigación en Educación (CIIE) 2024</t>
  </si>
  <si>
    <t>30 Oct 2024, 05:25</t>
  </si>
  <si>
    <t>12 th International Congress of Educational Sciences and Development (ICESD)</t>
  </si>
  <si>
    <t>ETNICIDAD Y CURRICULUM: REPRESENTACIONES DE PROFESORES DESCENDIENTES DE PUEBLOS ORIGINARIOS EN CONTEXTO DE FRONTERA</t>
  </si>
  <si>
    <t>Raul Antonio Bustos Gonzalez (Principal Researcher)</t>
  </si>
  <si>
    <t>30 Oct 2024, 05:21</t>
  </si>
  <si>
    <t>XLIV Congreso Nacional XLIV Congreso Nacional y XXIX Internacional de Geografía</t>
  </si>
  <si>
    <t>NUEVAS GEOGRAFÍAS DE LA EDUCACIÓN RURAL: IMPLICANCIAS DEL CRECIMIENTO DE LA MATRÍCULA RURAL Y LA MIGRACIÓN DE ESTUDIANTES URBANOS A ESCUELAS RURALES</t>
  </si>
  <si>
    <t>Carmen Gloria Núñez Muñoz (Director); María Isabel Reyes Espejo (Director); Rukmini Dasi Becerra Lubies (Principal Researcher); Raul Antonio Bustos Gonzalez (Principal Researcher); Juan de Dios Oyarzún (Principal Researcher); Sara Genoveva Joiko Mujica (Adjunct Researcher); Victor Hugo Salinas Silva (Adjunct Researcher)</t>
  </si>
  <si>
    <t>30 Oct 2024, 10:54</t>
  </si>
  <si>
    <t>2do. Encuentro Internacional de Cantos Mapuche (Chile y Argentina) y VII Coloquio en torno a la Enseñanza y Aprendizaje de la Lengua Mapuche en aula</t>
  </si>
  <si>
    <t>INJUSTICIA EDUCACIONAL Y POBLACIÓN TN-OÍCENA: EL CASO DEL EXTREMO NORTE DE CHILE</t>
  </si>
  <si>
    <t>30 Oct 2024, 05:16</t>
  </si>
  <si>
    <t>BERA  Conference 2024 and WERA Focal Meeting</t>
  </si>
  <si>
    <t>Educational experiences at the borders: trajectories marginalised from the educational  imaginary</t>
  </si>
  <si>
    <t>30 Oct 2024, 05:33</t>
  </si>
  <si>
    <t>BERA Conference 2024 and WERA Focal Meeting</t>
  </si>
  <si>
    <t>30 Oct 2024, 05:34</t>
  </si>
  <si>
    <t>Other sociologies of education: critical perspectives from the Global South and North</t>
  </si>
  <si>
    <t>30 Oct 2024, 05:36</t>
  </si>
  <si>
    <t>Royal Geographical Society Annual International Conference</t>
  </si>
  <si>
    <t>Urban outmigration and student mobility towards rural schools: are we in an early stage of rural revival?</t>
  </si>
  <si>
    <t>30 Oct 2024, 10:56</t>
  </si>
  <si>
    <t>SIPCO Conference</t>
  </si>
  <si>
    <t>Progetto Cile Hacia escuelas y comunidades sostenibles en territorios rurales en crisis socioambiental</t>
  </si>
  <si>
    <t>29 Oct 2024, 14:10</t>
  </si>
  <si>
    <t>Escuela de Verano SIPCO quinta edizione dell’ International Summer School in Community Research</t>
  </si>
  <si>
    <t>“Relatos de vida y metodologìa del caminar”: Prospettive biografiche e narrative come campo di azione nella ricerca di comunità: considerazioni sulla pratica del camminare”</t>
  </si>
  <si>
    <t>29 Oct 2024, 14:22</t>
  </si>
  <si>
    <t>Congreso LASA2024</t>
  </si>
  <si>
    <t>El Programa Mujeres Rurales: 32 años levantando experiencias en comunidad en el Panel Dirigencia, cuidado y ruralidad: Género y políticas públicas en el Chile neoliberal</t>
  </si>
  <si>
    <t>29 Oct 2024, 14:31</t>
  </si>
  <si>
    <t>ATE230065</t>
  </si>
  <si>
    <t>“Recovery and Reciprocity”</t>
  </si>
  <si>
    <t>Luana Ferroni (Postdoctoral Fellow)</t>
  </si>
  <si>
    <t>“Debt and Investment”</t>
  </si>
  <si>
    <t>Miguel Perez Ahumada (Director)</t>
  </si>
  <si>
    <t>The Non-Human Point of View: Multiple Perspectives for a World in Crisis</t>
  </si>
  <si>
    <t>16 Jan 2025, 12:47</t>
  </si>
  <si>
    <t xml:space="preserve">Program of Social Studies on Crisis and Uncertainty at the Institute of Economic and Social Development. </t>
  </si>
  <si>
    <t>16 Jan 2025, 12:46</t>
  </si>
  <si>
    <t xml:space="preserve">Vivienda justa y prosperidad compartida </t>
  </si>
  <si>
    <t>17 Oct 2024, 14:46</t>
  </si>
  <si>
    <t>17 Oct 2024, 14:48</t>
  </si>
  <si>
    <t>Ways of Knowing and Making a Place: Inquiries to Approach Science and Environmental Studies</t>
  </si>
  <si>
    <t>16 Jan 2025, 12:45</t>
  </si>
  <si>
    <t>ATE230072</t>
  </si>
  <si>
    <t>to promote transformative community socio-ecological practices that propose innovative forms of climate resilience for the care of places and multispecies relational frameworks in the context of climate change</t>
  </si>
  <si>
    <t>to propose methodologies for the design of alternative territorial frameworks to address climate change,  promoting community resilience, using collaborative community territorial-environmental systems, and  emerging geographic information technologies.</t>
  </si>
  <si>
    <t>Pablo Arturo Mansilla Quiñones (Director)</t>
  </si>
  <si>
    <t>to analyze expressions of coloniality in the geopolitical dimension of climate change, identifying socio ecological conflicts between state, private and civil society actors; to propose methodologies for the design of alternative territorial frameworks to address climate change,  promoting community resilience, using collaborative community territorial-environmental systems, and  emerging geographic information technologies.</t>
  </si>
  <si>
    <t>PEDRO PABLO ACHONDO MOYA  (Postdoctoral Fellow)</t>
  </si>
  <si>
    <t>Andres Moreira-Munoz (Principal Researcher)</t>
  </si>
  <si>
    <t>Presentación proyecto Pluriversos Climáticos</t>
  </si>
  <si>
    <t>to analyze expressions of coloniality in the geopolitical dimension of climate change, identifying socio ecological conflicts between state, private and civil society actors; to design co-creative experiences that promote spatial imagination and materialization of climate pluriverses for a just socio-ecological transition using geo-humanities and creative geographies tools</t>
  </si>
  <si>
    <t>to analyze expressions of coloniality in the geopolitical dimension of climate change, identifying socio ecological conflicts between state, private and civil society actors</t>
  </si>
  <si>
    <t>Conferencia para  estudiantes y docentes del Programa de Pós-Graduação Interdisciplinar em Ciências Humanas de la Universidade Federal de Santa Catarina</t>
  </si>
  <si>
    <t>"Ecología Política Latinoamericana: Conflitos, r-existencias territoriais e neoliberalismo no Chile"</t>
  </si>
  <si>
    <t>Alexander Panez Pinto (Principal Researcher)</t>
  </si>
  <si>
    <t>29 Apr 2025, 15:23</t>
  </si>
  <si>
    <t>INES GÉNERO PUCV</t>
  </si>
  <si>
    <t>Nuestra Cuenca, su futuro: El conocimiento infantil frente al cambio climático</t>
  </si>
  <si>
    <t xml:space="preserve">Katalina Salvador </t>
  </si>
  <si>
    <t>29 Apr 2025, 14:29</t>
  </si>
  <si>
    <t xml:space="preserve">Modelo de Plan de Evacuación ante Incendio Forestal para Colliguay </t>
  </si>
  <si>
    <t>Camila Bravo</t>
  </si>
  <si>
    <t>29 Apr 2025, 14:32</t>
  </si>
  <si>
    <t>V Congreso Latinoamericano de Ecología Política</t>
  </si>
  <si>
    <t>“Haciendo comunidades agrobiodiversas frente a la crisis socio-ecológica: Experiencias de huertas comunitarias en el Gran Concepción, Chile”.</t>
  </si>
  <si>
    <t xml:space="preserve">KAMILA RAGGIO </t>
  </si>
  <si>
    <t>30 Oct 2024, 17:15</t>
  </si>
  <si>
    <t>Colonialismo climático en Chile: Neoliberalismo, progresismo "verde" y nuevas tendencias en la conflictividad territorial"</t>
  </si>
  <si>
    <t>30 Oct 2024, 20:18</t>
  </si>
  <si>
    <t>XVIIl. SIMPURB - Simposio Nacional de Geografia Urbana</t>
  </si>
  <si>
    <t>Mesa-Redonda 7: “Outras Cartografias da Cidade: desafios conceituais, metodológicos e políticos”. Presentación: Cartografía Social Descolonial e Imaginación Geográfica Radical</t>
  </si>
  <si>
    <t>14 Mar 2025, 16:29</t>
  </si>
  <si>
    <t>III Congreso Iberoamericano de Biogeografía y Cambio Climático</t>
  </si>
  <si>
    <t>Mesa Redona 8: Restauración e regeneración natural de paisajes y ecosistemas:  iniciativas y ejemplos iberoamericanos.</t>
  </si>
  <si>
    <t>29 Apr 2025, 14:19</t>
  </si>
  <si>
    <t>74º Congreso de Botánica Brasileño</t>
  </si>
  <si>
    <t>“Relaciones biogeográficas de las Asteraceae de América del Sur"</t>
  </si>
  <si>
    <t>29 Apr 2025, 14:12</t>
  </si>
  <si>
    <t>IV Encuentro Internacional de Etnografías Colaborativas y Comprometidas. Mesa 1. Co-teorización, crítica ontológica y epistemologías poscoloniales</t>
  </si>
  <si>
    <t>Densidad Vegetal: Una aproximación teórico-territorial al bosque de alerce</t>
  </si>
  <si>
    <t>30 Oct 2024, 12:31</t>
  </si>
  <si>
    <t>Plataforma de diálogo "Transformaciones socio-ecológicas en América Latina: crisis, luchas y desafíos para el siglo XXI", organizado por Centro de Estudios Latinoamericanos Avanzados CALAS y Centro de Estudios Culturales Latinoamericanos CECLA-UCH</t>
  </si>
  <si>
    <t>Viejos y nuevos despojos de las aguas en América Latina bajo el Capitaloceno</t>
  </si>
  <si>
    <t>30 Oct 2024, 20:22</t>
  </si>
  <si>
    <t>I Simposio "Problemáticas contemporáneas en los estudios sociales de las religiones: Perspectivas y desafíos en los interrelacionamientos naturaleza-sociedad a través de las experiencias religiosas y espirituales</t>
  </si>
  <si>
    <t>Del templum-templo al bosque en los alerzales del sur de Chile: renovando la mirada cristiana sobre los vínculos con la naturaleza</t>
  </si>
  <si>
    <t>30 Oct 2024, 12:22</t>
  </si>
  <si>
    <t>XLIV Congreso Nacional y XXIX Internacional de Geografía “Desde Ñuble: Los desafíos de la Geografía en los nuevos territorios de planificación”</t>
  </si>
  <si>
    <t>Mesa de trabajo llamada “Crisis ambiental y conflictos climáticos en Chile: controversias entre la transición justa y los conflictos energéticos”</t>
  </si>
  <si>
    <t>Pablo Arturo Mansilla Quiñones (Director); Andres Moreira-Munoz (Principal Researcher); Alexander Panez Pinto (Principal Researcher); Sergio Elías Uribe Sierra (Adjunct Researcher)</t>
  </si>
  <si>
    <t>Adriana Suárez, Manuela Penas</t>
  </si>
  <si>
    <t>14 Oct 2024, 10:36</t>
  </si>
  <si>
    <t>“Pluriversos climáticos. Reflexiones, Experiencias y Alternativas Territoriales Desde el Sur Global”</t>
  </si>
  <si>
    <t>Pablo Arturo Mansilla Quiñones (Director); Bárbara Paz Jerez Henríquez (Principal Researcher); ALDANA CALDERÓN ARCHINA (Postdoctoral Fellow)</t>
  </si>
  <si>
    <t>Beatríz Cid Aguayo, Ana María Alonso, Javiera Espinoza Jara</t>
  </si>
  <si>
    <t>to analyze expressions of coloniality in the geopolitical dimension of climate change, identifying socio ecological conflicts between state, private and civil society actors; to promote transformative community socio-ecological practices that propose innovative forms of climate resilience for the care of places and multispecies relational frameworks in the context of climate change; to propose methodologies for the design of alternative territorial frameworks to address climate change,  promoting community resilience, using collaborative community territorial-environmental systems, and  emerging geographic information technologies.</t>
  </si>
  <si>
    <t>14 Oct 2024, 11:24</t>
  </si>
  <si>
    <t>Segundo Coloquio Internacional: Teoría Social, Teoría Crítica y Administración. “</t>
  </si>
  <si>
    <t>14 Oct 2024, 10:21</t>
  </si>
  <si>
    <t>Congreso de Trabajo Social, Territorio y Medio Ambiente</t>
  </si>
  <si>
    <t>Bárbara Paz Jerez Henríquez (Principal Researcher); Alexander Panez Pinto (Principal Researcher)</t>
  </si>
  <si>
    <t>30 Oct 2024, 17:30</t>
  </si>
  <si>
    <t>XX International Botanical Congress</t>
  </si>
  <si>
    <t>mesa de trabajo llamada “Las flores de las zonas de tipo mediterráneo, una luz de alerta sobre el futuro de la conservación global”</t>
  </si>
  <si>
    <t>Felipe Domínguez Lozano</t>
  </si>
  <si>
    <t>16 Sep 2024, 12:40</t>
  </si>
  <si>
    <t>access forum 2024 - academic collaboration chile - sweden</t>
  </si>
  <si>
    <t>MESA "Politics of the low emissions energy transitions (politrans), "Ecologia politica del litio y tierras raras en Chile: desigualdades, conflictos y alternativas desde el Sur global".</t>
  </si>
  <si>
    <t>BARBARA JEREZ, KATIA VALENZUELA</t>
  </si>
  <si>
    <t>17 Jun 2024, 15:59</t>
  </si>
  <si>
    <t>Conocimientos para la emancipación: Aperturas metodológicas desde y para América Latina</t>
  </si>
  <si>
    <t>Cartografía Social, Geohumanidades y Geografías Creativas</t>
  </si>
  <si>
    <t>PABLO MANSILLA QUIÑONES</t>
  </si>
  <si>
    <t>17 Jun 2024, 15:42</t>
  </si>
  <si>
    <t>Congreso Chileno de Sociología 2024: Cambio Social y Diversidad. Los desafíos de una nueva convivencia.</t>
  </si>
  <si>
    <t>POR INFORMAR</t>
  </si>
  <si>
    <t>17 Jun 2024, 14:58</t>
  </si>
  <si>
    <t>International Conference on Global Land Grabbing</t>
  </si>
  <si>
    <t>“Land grabbing, extractivism and rural shrinking in Chile”</t>
  </si>
  <si>
    <t>Pablo Arturo Mansilla Quiñones (Director); Sergio Elías Uribe Sierra (Adjunct Researcher)</t>
  </si>
  <si>
    <t>16 Sep 2024, 12:53</t>
  </si>
  <si>
    <t>ATE240004</t>
  </si>
  <si>
    <t>Encuentro de Investigadores Universidad Mayor</t>
  </si>
  <si>
    <t>Observatory of Saline Systems in the Atacama Desert and the Andes (OSSAD-A)</t>
  </si>
  <si>
    <t>Fernando Daniel Alfaro Ayllon (Director); DINKA MANDAKOVIC SEYLER (Principal Researcher); Fabiola Makarena Pineda Parra (Principal Researcher)</t>
  </si>
  <si>
    <t>16 Jul 2025, 21:57</t>
  </si>
  <si>
    <t>ATE240005</t>
  </si>
  <si>
    <t>Rene Rojas Segundo (Director)</t>
  </si>
  <si>
    <t>Design and fabrication of solid supports for DLE; Polymeric materials for resins and membranes; Preparation of macrocycles and other extractants; Selective recovery of Li and K by SX and S/L; Selective recovery of Li via electrochemistry</t>
  </si>
  <si>
    <t>III Research Conference on Functionalized Materials</t>
  </si>
  <si>
    <t>Technologies Based on Functionalized Crown Ether-Type Materials for the Sustainable Production of Lithium Salts and Derivatives from Brines in Chile</t>
  </si>
  <si>
    <t>18 Jul 2025, 13:11</t>
  </si>
  <si>
    <t>11th International Conference on Lithium, Industrial Minerals and Energy</t>
  </si>
  <si>
    <t>Selective Recovery of Lithium Chloride from “Waste Solids” Generated in Li?CO? Production from Brines Using Crown Ether-Based Technologies</t>
  </si>
  <si>
    <t>Design and fabrication of solid supports for DLE; Preparation of macrocycles and other extractants; Selective recovery of Li and K by SX and S/L</t>
  </si>
  <si>
    <t>18 Jul 2025, 12:53</t>
  </si>
  <si>
    <t>ATE240011</t>
  </si>
  <si>
    <t xml:space="preserve">IWLiME 2024: 11th International Conference on Lithium, Industrial Minerals and Energy </t>
  </si>
  <si>
    <t>Life Cycle Assessment in the Direct Recycling of Lithium-Ion Battery Cathodes: _x000B_Opportunities in Circular Economy</t>
  </si>
  <si>
    <t>Jaime Alexis Chacana Olivares (Director)</t>
  </si>
  <si>
    <t>Direct Recycling</t>
  </si>
  <si>
    <t>09 Jul 2025, 12:36</t>
  </si>
  <si>
    <t>ATE240012</t>
  </si>
  <si>
    <t>To evaluate the capacity of microorganisms from the two salt flats to bio-recover lithium and other critical elements from electrical and electronic equipment waste.; To improve the lithium and other critical elements field detection and monitoring through the use of biomarkers and the design of biosensors.</t>
  </si>
  <si>
    <t>FRANCISCO REMONSELLEZ FUENTES (Director)</t>
  </si>
  <si>
    <t>Andrea Jara Sandoval, Karem Gallardo</t>
  </si>
  <si>
    <t>To improve the lithium and other critical elements field detection and monitoring through the use of biomarkers and the design of biosensors.</t>
  </si>
  <si>
    <t>To determine the influence of valuable chemical elements (lithium) and physicochemical parameters over the taxonomic composition of the microbial communities in two salt flats models.; To evaluate the capacity of microorganisms from the two salt flats to bio-recover lithium and other critical elements from electrical and electronic equipment waste.; To identify potential functional traits and unknown adaptation mechanisms of those communities in response to lithium and other critical elements concentration in the two salt flats models.; To improve the lithium and other critical elements field detection and monitoring through the use of biomarkers and the design of biosensors.</t>
  </si>
  <si>
    <t>Evaluación de procesos de biolixiviación para la recuperación de litio y cobalto desde baterías de celular en desuso uti- lizando Acidithiobacillus ferrivorans ACH aislado desde el Altiplano Chileno</t>
  </si>
  <si>
    <t>Andrea Jara Sandoval, María Fernanda Álvarez, Nicolas Daud, Karem Gallardo</t>
  </si>
  <si>
    <t>In the link you can find SOMICH:_x000D_
The abstract is on page 117 of the “SOMICH 2024 Book of Abstracts”._x000D_
The program is in “Oral Communications Congress 2024” on page 2._x000D_
I have also attached the SOMICH 2024 certificate.</t>
  </si>
  <si>
    <t>15 Jul 2025, 08:54</t>
  </si>
  <si>
    <t>Biominería Urbana: Recuperación de metales de valor mediante el reciclaje de Baterías de Ion-Litio (LIBs)</t>
  </si>
  <si>
    <t>FRANCISCO REMONSELLEZ FUENTES (Director); Juan Pablo Castro Severyn (Principal Researcher); Amanda Nicole Suarez Araya (PhD Thesis)</t>
  </si>
  <si>
    <t>The abstract is on page 66 of the “SOMICH 2024 Book of Abstracts”.</t>
  </si>
  <si>
    <t>15 Jul 2025, 09:09</t>
  </si>
  <si>
    <t>Lanthanide Biosorption by Exiguobacterium-Produced EPS: Utilizing Microbial Extracellular Polysaccharides for high-value element recovery in WEEE</t>
  </si>
  <si>
    <t>FRANCISCO REMONSELLEZ FUENTES (Director); GENESIS LORETO SERRANO DURAN (Other Center/Project Researcher)</t>
  </si>
  <si>
    <t>Karem Gallardo, Rodrigo Castillo, Sebastian Michea, Valeria Guzman, Raúl Vidal</t>
  </si>
  <si>
    <t>The abstract is on page 41 of the SOMICH 2024 Book of Abstracts</t>
  </si>
  <si>
    <t>15 Jul 2025, 09:15</t>
  </si>
  <si>
    <t>Identificación in silico de metiltransferasa de arsénico en cepa SH31 de Exiguobacterium</t>
  </si>
  <si>
    <t>FRANCISCO REMONSELLEZ FUENTES (Director); Juan Pablo Castro Severyn (Principal Researcher); Claudia Paz Saavedra Sánchez (Adjunct Researcher); Gabriel Ignacio Krüger Carrasco (Postdoctoral Fellow); Catalina Andrea Kusch Pinochet (Undergraduate Thesis)</t>
  </si>
  <si>
    <t>Nicolás Pacheco</t>
  </si>
  <si>
    <t>To identify potential functional traits and unknown adaptation mechanisms of those communities in response to lithium and other critical elements concentration in the two salt flats models.</t>
  </si>
  <si>
    <t>The abstract is on page 287 of the “SOMICH 2024 Book of Abstracts”.</t>
  </si>
  <si>
    <t>15 Jul 2025, 09:59</t>
  </si>
  <si>
    <t>11th International Conference on Lithium</t>
  </si>
  <si>
    <t>Urban Biomining: Recovery of critical elements through  recycling of lithium-ion batteries (LIBs)</t>
  </si>
  <si>
    <t>FRANCISCO REMONSELLEZ FUENTES (Director); Amanda Nicole Suarez Araya (PhD Thesis)</t>
  </si>
  <si>
    <t>Andrea Jara Sandoval</t>
  </si>
  <si>
    <t>15 Jul 2025, 11:10</t>
  </si>
  <si>
    <t>1st Graduate Student Congress of the Faculty of Engineering and Geological Sciences at UCN</t>
  </si>
  <si>
    <t>RECICLAJE DE BATERÍAS ION-LITIO (BILS) PARA LA RECUPERACIÓN DE METALES DE VALOR UTILIZANDO UN CULTIVO MIXTO OXIDANTE DE HIERRO Y AZUFRE</t>
  </si>
  <si>
    <t>https://drive.google.com/file/d/18r9paY08_p52HIs5EmldNii1sI_BjSi9/view?usp=sharing</t>
  </si>
  <si>
    <t>15 Jul 2025, 11:18</t>
  </si>
  <si>
    <t>SEMINARS CELEBRATED AT CIB MARGARITA SALAS (CSIC)</t>
  </si>
  <si>
    <t>Exiguobacterium sp. SH31: Un modelo de adaptacion y resistencia al poliestres del Altiplano Chileno</t>
  </si>
  <si>
    <t>Claudia Paz Saavedra Sánchez (Adjunct Researcher)</t>
  </si>
  <si>
    <t>15 Jul 2025, 08:39</t>
  </si>
  <si>
    <t>Veronica Andrea Molina Trincado (Principal Researcher)</t>
  </si>
  <si>
    <t>CIE160007</t>
  </si>
  <si>
    <t>Institutional Inclusion</t>
  </si>
  <si>
    <t>Ricardo René Rosas Díaz (Principal Researcher)</t>
  </si>
  <si>
    <t>Disability Inclusion</t>
  </si>
  <si>
    <t>Camila Martínez Rebolledo (Adjunct Researcher)</t>
  </si>
  <si>
    <t>Macarena Javiera Hernández Vejar (Adjunct Researcher); Pamela Soto (Adjunct Researcher)</t>
  </si>
  <si>
    <t>Developmental Inclusion; Institutional Inclusion</t>
  </si>
  <si>
    <t>Felipe Andrés Godoy Ossa (Adjunct Researcher)</t>
  </si>
  <si>
    <t>Developmental Inclusion; Pedagogical Inclusion</t>
  </si>
  <si>
    <t>Rocío Briceño - research assistant</t>
  </si>
  <si>
    <t>Claudia Lorena Matus Cánovas (Director)</t>
  </si>
  <si>
    <t>Developmental Inclusion; Disability Inclusion; Institutional Inclusion; Pedagogical Inclusion; Psychosocial Inclusion</t>
  </si>
  <si>
    <t>Pedagogical Inclusion</t>
  </si>
  <si>
    <t>Developmental Inclusion</t>
  </si>
  <si>
    <t>Psychosocial Inclusion</t>
  </si>
  <si>
    <t>Alejandra Andrea Caqueo Urízar (Principal Researcher)</t>
  </si>
  <si>
    <t>Macarena Javiera Hernández Vejar (Adjunct Researcher)</t>
  </si>
  <si>
    <t>Encuentro Internacional de Educación Especial y Psicopedagogía</t>
  </si>
  <si>
    <t>Evaluación y entrenamiento de Funciones Ejecutivas en a Sala de Clases</t>
  </si>
  <si>
    <t>12 Jun 2025, 14:55</t>
  </si>
  <si>
    <t>XVIII Congreso de la Sociedad Latinoamericana de Neuropsicología</t>
  </si>
  <si>
    <t>Yellow Red: Batería para la evaluación de funciones ejecutivas</t>
  </si>
  <si>
    <t>12 Jun 2025, 15:04</t>
  </si>
  <si>
    <t>RECE 2024</t>
  </si>
  <si>
    <t>Listening to early childhood assistants: insights on their role, status and education</t>
  </si>
  <si>
    <t>María Jesús Viviani, Ximena Poblete</t>
  </si>
  <si>
    <t>12 Jun 2025, 14:41</t>
  </si>
  <si>
    <t>CIIE Congreso Interdisciplinario de Investigación en Educación 2024</t>
  </si>
  <si>
    <t>Las/os Técnicas/os de Educación Parvularia en Chile: rol, estatus y formación</t>
  </si>
  <si>
    <t>13 Jun 2025, 11:13</t>
  </si>
  <si>
    <t>Sexto Congreso Interdisciplinario de Investigación en Educación 2024</t>
  </si>
  <si>
    <t>Edu-filantropía en Chile: Un mapeo de los principales actores y sus dinámicas de influencia</t>
  </si>
  <si>
    <t>13 Jun 2025, 12:19</t>
  </si>
  <si>
    <t>Elección de liceo y (re)producción de la desigualdad en el mercado escolar chileno</t>
  </si>
  <si>
    <t>13 Jun 2025, 13:07</t>
  </si>
  <si>
    <t>Más allá del binario: explorando el concepto de género en la investigación educativa</t>
  </si>
  <si>
    <t>Claudia Lorena Matus Cánovas (Director); Carla Liliana Muñoz Reyes (PhD Thesis); Nícola Iris Sobarzo Gajardo (Master Thesis)</t>
  </si>
  <si>
    <t>08 Sep 2025, 09:59</t>
  </si>
  <si>
    <t>Justicia Educacional en la investigación y sus posibilidades para transformar las injusticias en educación</t>
  </si>
  <si>
    <t>Claudia Lorena Matus Cánovas (Director); Alejandro Javier Carrasco Rozas (Principal Researcher); Juan Ernesto Treviño Villarreal (Principal Researcher); Valentina Constanza Riberi Manzur (PhD Thesis)</t>
  </si>
  <si>
    <t>08 Sep 2025, 10:01</t>
  </si>
  <si>
    <t>Género y Justicia Educativa. Avances de una década y las amenazas conservadoras en el sistema educativo</t>
  </si>
  <si>
    <t>M. Teresa Rojas (UAH), Leyla Troncoso (Uchile), Sebastián Madrid (Fundación Crea Equidad) , Camila Rojas (Frente Amplio) , Mary Guinn Delaney (UNICEF)</t>
  </si>
  <si>
    <t>08 Sep 2025, 10:05</t>
  </si>
  <si>
    <t>La promesa de cambio en la educación: La vinculación entre la política y la investigación</t>
  </si>
  <si>
    <t>Mauricio Pino-Yancovic (CIAE-IE), Sebastián Araneda (Director del Centro de Estudios MINEDUC), Martín Cáceres (Director del Centro de Innovación MINEDUC),  Juan Pablo Valenzuela (Director CIAE), Magdalena Claro (Directora CEPPE), Carmen Montecinos (Directora CLider)</t>
  </si>
  <si>
    <t>08 Sep 2025, 10:08</t>
  </si>
  <si>
    <t>Mejora continua para construir capacidades en los Servicios Locales de Educación Pública</t>
  </si>
  <si>
    <t>Juan Ernesto Treviño Villarreal (Principal Researcher)</t>
  </si>
  <si>
    <t>08 Sep 2025, 10:10</t>
  </si>
  <si>
    <t>"Esta escuela no es para ti": Prácticas de exclusión asociadas a la repitencia escolar</t>
  </si>
  <si>
    <t>Alejandra Meyer, Research assisstant</t>
  </si>
  <si>
    <t>08 Sep 2025, 10:17</t>
  </si>
  <si>
    <t>Lo que nos dijeron es que él era un TEA ideal: Cuando la inclusión excluye</t>
  </si>
  <si>
    <t>08 Sep 2025, 10:18</t>
  </si>
  <si>
    <t>Las Mujeres al Cuidado de Niños y Niñas con Necesidades Educativas Especiales</t>
  </si>
  <si>
    <t>08 Sep 2025, 10:24</t>
  </si>
  <si>
    <t>Trayectorias de desarrollo cognitivo y socioemocional de estudiantes sordos y ciegos en escuelas chilenas</t>
  </si>
  <si>
    <t>María Victoria Espinoza Velasco  (PhD Thesis)</t>
  </si>
  <si>
    <t>08 Sep 2025, 10:28</t>
  </si>
  <si>
    <t>Análisis comparativo en niños(as) que asisten a escuelas de lenguaje  en el estudio longitudinal MPD</t>
  </si>
  <si>
    <t>Camila Ayala - Research assistant</t>
  </si>
  <si>
    <t>08 Sep 2025, 10:30</t>
  </si>
  <si>
    <t>Trayectorias y factores de elección escolar en primera infancia: una  mirada longitudinal</t>
  </si>
  <si>
    <t>08 Sep 2025, 10:47</t>
  </si>
  <si>
    <t>Salud Mental en Niños/as y Adolescentes Aymara: La Contribución de los Antecedentes Culturales</t>
  </si>
  <si>
    <t>08 Sep 2025, 11:05</t>
  </si>
  <si>
    <t>El Efecto de la Discriminación sobre la Autoeficacia y la Satisfacción  con la Vida de los Niños/as y Adolescentes Migrantes</t>
  </si>
  <si>
    <t>Diego Tomás Henríquez Henríquez (Adjunct Researcher)</t>
  </si>
  <si>
    <t>08 Sep 2025, 11:07</t>
  </si>
  <si>
    <t>FIDE  XXI Congreso Internacional de Educación -2024: Convivencia escolar, desafío y proyección de la Educación en Chile.</t>
  </si>
  <si>
    <t>Involucramiento Religioso como Factor Protector de la Salud Mental</t>
  </si>
  <si>
    <t>12 Jun 2025, 15:19</t>
  </si>
  <si>
    <t>¿Problemas públicos, soluciones privadas? El rol de actores no-estatales en la política educativa en perspectiva comparada</t>
  </si>
  <si>
    <t>13 Jun 2025, 11:55</t>
  </si>
  <si>
    <t>EARLI SIG 15</t>
  </si>
  <si>
    <t>Neurodivergent profiles of executive functions</t>
  </si>
  <si>
    <t>04 Sep 2024, 17:47</t>
  </si>
  <si>
    <t>´What we were told is that he was an ideal autistic child´: When inclusion excludes</t>
  </si>
  <si>
    <t>04 Sep 2024, 17:48</t>
  </si>
  <si>
    <t>Foro de Consenso: “Indicadores de impacto social de la investigación en Educación”</t>
  </si>
  <si>
    <t>Interrogantes y propuestas relacionadas con la capacidad transformativa de la investigación científica</t>
  </si>
  <si>
    <t>Verónica López Leiva</t>
  </si>
  <si>
    <t>BioSocioCultural Inclusion</t>
  </si>
  <si>
    <t>Esta primera actividad del Foro de Consenso: “Indicadores de impacto social de la investigación en Educación” reunió a diferentes invitados/as provenientes del área de la investigación en el ámbito de la educación para que conversarán y debatieran sobre diversas interrogantes y propuestas relacionadas con la capacidad transformativa de la investigación científica.</t>
  </si>
  <si>
    <t>16 Sep 2024, 12:19</t>
  </si>
  <si>
    <t>Seminario Internacional: “Medioambiente, Sostenibilidad, Energía e Innovación desde una perspectiva interdisciplinaria“</t>
  </si>
  <si>
    <t>Charla: "Biodiversidad y género"</t>
  </si>
  <si>
    <t>Este evento, organizado por Diego Beecher del Doctorado en Ciencias Biológicas mención Genética Molecular y Microbiología, Lynda Pavez, estudiante del Doctorado en Química, y las estudiantes Paulina Vergara, Mireya Sánchez y Heylin González del Doctorado en Ingeniería, busca fomentar la colaboración interdisciplinaria entre expertos nacionales e internacionales especializados en Medioambiente, Sustentabilidad y Energía, con el fin de avanzar en la generación de conocimiento científico y en estrategias para abordar problemáticas mediante ideas innovadoras.</t>
  </si>
  <si>
    <t>03 Sep 2024, 09:44</t>
  </si>
  <si>
    <t>XVIII World Congress of Comparative Education Societies Fostering Inclusive Ecologies of Knowledge: Education for Equitable and Sustainable Futures</t>
  </si>
  <si>
    <t xml:space="preserve">Presentations: Biodiversity and gender: What kind of data do we need to transform inequalities? and The double loop of datafication in education: Knowledge entangled in the reproduction of the vulnerable. </t>
  </si>
  <si>
    <t>"This congress took place at the Cornell University, Ithaca, New York, USA. _x000D_
Education and research are critical to shaping more just, equitable, and sustainable futures. The purposes, contents, and methods of education and research need to be redirected towards strengthening global sustainability for our common futures. More inclusive approaches to diverse ecologies of knowledge can help decolonize curricula, foster pedagogies of cooperation and solidarity, ecological, intercultural, and interdisciplinary curricula, and collaborative teaching.  Widening the knowledge commons can also strengthen more transdisciplinary, applied, community-based, participatory, and collaborative action research that strengthen individual and the collective capacities to shape more just and sustainable futures."</t>
  </si>
  <si>
    <t>03 Sep 2024, 08:43</t>
  </si>
  <si>
    <t>The Converging Challenges for Inclusive Education: Intercultural Competences and Digital Literacies in Global Contexts</t>
  </si>
  <si>
    <t>The role of self-efficacy in discrimination and life atisfaction among immigrant children and adolescents</t>
  </si>
  <si>
    <t>03 Sep 2024, 07:55</t>
  </si>
  <si>
    <t>13.	13th Conference of the International Test Commission</t>
  </si>
  <si>
    <t>Executive functions in blind and deaf children: a Tablet-based assessment</t>
  </si>
  <si>
    <t>02 Sep 2024, 17:11</t>
  </si>
  <si>
    <t>13th Conference of the International Test Comission</t>
  </si>
  <si>
    <t>Playful testing of Executive Functions with Yellow-Red: Tablet-based battery for children between 6 and 12 available in 8 different languages</t>
  </si>
  <si>
    <t>02 Sep 2024, 20:55</t>
  </si>
  <si>
    <t>SIG 1 CONFERENCE 2024</t>
  </si>
  <si>
    <t>Technology-mediated cross-cultural assessment of executive functions: international collaboration</t>
  </si>
  <si>
    <t>02 Sep 2024, 20:08</t>
  </si>
  <si>
    <t>Capacitación del Área Docencia y Aprendizaje e Investigación y Publicación Académica de la Biblioteca UC al centro</t>
  </si>
  <si>
    <t>“Creación de perfil para Investigador en ORCID"</t>
  </si>
  <si>
    <t>Alejandra Andrea Caqueo Urízar (Principal Researcher); Camila Martínez Rebolledo (Adjunct Researcher); Pamela Soto (Adjunct Researcher); Macarena Hernández Véjar (PhD Thesis); Valentina Constanza Riberi Manzur (PhD Thesis)</t>
  </si>
  <si>
    <t>Daniela González Hernández (Bibliotecóloga Especialista de Área Docencia y Aprendizaje e Investigación y Publicación Académica)</t>
  </si>
  <si>
    <t>BioSocioCultural Inclusion; Developmental Inclusion; Disability Inclusion; Institutional Inclusion; Pedagogical Inclusion; Psychosocial Inclusion</t>
  </si>
  <si>
    <t>16 Sep 2024, 12:33</t>
  </si>
  <si>
    <t>V Congresso Internacional sobre Liderança e Melhoria na Educação</t>
  </si>
  <si>
    <t>Mejora continua de las interacciones en aula en sistemas con control burocrático centralizado</t>
  </si>
  <si>
    <t>03 Sep 2024, 08:30</t>
  </si>
  <si>
    <t>Filantropía y actores filantrópicos en el sistema educativo chileno. Un mapeo de los principales actores y sus formas de acción</t>
  </si>
  <si>
    <t>Macarena Hernández Véjar (PhD Thesis)</t>
  </si>
  <si>
    <t>Cristóbal Villalobos, Tomás Olguín, Karla Castillo, Isidora Vásquez</t>
  </si>
  <si>
    <t>02 Sep 2024, 16:27</t>
  </si>
  <si>
    <t>Explorando la cartografía de elección de liceo de niños/ as de clases bajas en un SLEP de la Región Metropolitana</t>
  </si>
  <si>
    <t>Alejandro Javier Carrasco Rozas (Principal Researcher); Macarena Hernández Véjar (PhD Thesis)</t>
  </si>
  <si>
    <t>02 Sep 2024, 16:24</t>
  </si>
  <si>
    <t>CIES 2024 (Comparative and International Education Society Conference)</t>
  </si>
  <si>
    <t>Pro-Environmental Dispositions Among Secondary School Students</t>
  </si>
  <si>
    <t>Diego Carrasco, Daniel Miranda, Cristóbal Villalobos</t>
  </si>
  <si>
    <t>03 Sep 2024, 08:32</t>
  </si>
  <si>
    <t>VI Aniversario IESED-Chile</t>
  </si>
  <si>
    <t>“Publicar en revistas científicas. Desafíos ante los requerimientos iniciales y la colaboración”</t>
  </si>
  <si>
    <t>Marco Villalta, académico de la Escuela de Psicología de la Universidad de Santiago y Álex Cornejo, coordinador de representantes institucionales IESED-Chile.</t>
  </si>
  <si>
    <t>"Con la presencia de rectores de universidades estatales, autoridades de gobierno y decenas de investigadores/as en educación, el Instituto Interuniversitario de Investigación Educativa (IESED-Chile) celebró su sexto aniversario el 11 y 12 de enero en la sede Santiago de la Universidad de Los Lagos. _x000D_
La jornada de la tarde del primera día, dirigida por el coordinador del área de Justicia Social y Formación Docente Dr. Ilich Silva, estuvo centrada en compartir experiencias y fortalecer la cooperación entre académicos/as de distintas áreas para la publicación de artículos académicos. Dentro de este marco nuestra directora, Claudia Matus, participó del panel: “Publicar en revistas científicas. Desafíos ante los requerimientos iniciales y la colaboración” junto a Marco Villalta, académico de la Escuela de Psicología de la Universidad de Santiago, y moderado por Álex Cornejo, coordinador de representantes institucionales IESED-Chile."</t>
  </si>
  <si>
    <t>03 Sep 2024, 08:06</t>
  </si>
  <si>
    <t>XI Encuentro CTS-2024 "Oscilaciones: Fricciones y Transiciones entre Paradigmas del Desarrollo"</t>
  </si>
  <si>
    <t>Tertulia: "Giro Ontológico y el Impacto en las Formas de Preguntarnos" y Ponencia en RESONANCIA: Sensibilidades mediales y sus transmisiones: "La zona intermareal y la norma de género. Enredos de arte, ciencia y etnografía en sitios costeros"</t>
  </si>
  <si>
    <t>Claudia Lorena Matus Cánovas (Director); Valentina Constanza Riberi Manzur (PhD Thesis)</t>
  </si>
  <si>
    <t>Tertulia: Patricia Peña (UCH) y Andrea Vera Gajardo (UV). Ponencia: Andrés Haye Molina.</t>
  </si>
  <si>
    <t>"Claudia Matus y Valentina Riberi fueron parte del XI encuentro de Estudios de Ciencia y Tecnología (CTS-Chile), que se realizó en la ciudad de La Serena, teniendo como anfitriones a la Universidad Central de Chile (UCEN-La Serena). _x000D_
_x000D_
Ideas, objetos y fenómenos varían dependiendo de la posición de quien observa, y esa posición rara vez es completamente estática. Tomando las ondulaciones de las geografías físicas y sociales como escenografía de la reflexión colectiva. Oscilar refiere, entonces, a las configuraciones, trayectorias, desplazamientos y ritmos de los saberes en acción. Este fenómeno nos invita a observar y sentir la heterogeneidad epistémica, valórica y territorial de nuestra comunidad, quienes mediante múltiples lentes miran, proyectan, focalizan e interfieren las formas de aprender, entender y transformar los mundos que cohabitamos. "</t>
  </si>
  <si>
    <t>02 Sep 2024, 21:04</t>
  </si>
  <si>
    <t>Lorena Ortega (Adjunct Researcher)</t>
  </si>
  <si>
    <t>CIE160009</t>
  </si>
  <si>
    <t>María Leonor Conejeros Solar (Principal Researcher)</t>
  </si>
  <si>
    <t>School and classroom practices for inclusion</t>
  </si>
  <si>
    <t>Management policies and practices for inclusion</t>
  </si>
  <si>
    <t>Élites, educación y reproducción social</t>
  </si>
  <si>
    <t>Paula Ascorra Costa (Principal Researcher)</t>
  </si>
  <si>
    <t>School climate</t>
  </si>
  <si>
    <t>Fabiola Andrea Otárola Cornejo (Adjunct Researcher)</t>
  </si>
  <si>
    <t>Curriculum for inclusion</t>
  </si>
  <si>
    <t>Francisco Antonio Leal Soto (Principal Researcher)</t>
  </si>
  <si>
    <t>Motivation, classroom, and psychological well-being at school</t>
  </si>
  <si>
    <t>Luis Humberto Osandón Millavil (Principal Researcher)</t>
  </si>
  <si>
    <t>Vicente Mario Sisto Campos (Principal Researcher)</t>
  </si>
  <si>
    <t>Vicente Mario Sisto Campos (Principal Researcher); Losada, Margarita (PhD Thesis)</t>
  </si>
  <si>
    <t>María Paz Gómez</t>
  </si>
  <si>
    <t>Sandra Catalán Henríquez</t>
  </si>
  <si>
    <t>Carla Fardella Cisternas (Principal Researcher)</t>
  </si>
  <si>
    <t>Families and schools</t>
  </si>
  <si>
    <t>Gerardo Sebastian Godoy Echiburu (Adjunct Researcher)</t>
  </si>
  <si>
    <t>Verónica Alejandra López Leiva (Director)</t>
  </si>
  <si>
    <t>Pablo Alberto González Soto (Principal Researcher)</t>
  </si>
  <si>
    <t>Public value and education</t>
  </si>
  <si>
    <t>Macarena Morales (Adjunct Researcher)</t>
  </si>
  <si>
    <t>V Congreso Nacional sobre el Fenómeno Religioso en el Mundo Contemporáneo</t>
  </si>
  <si>
    <t>Coserse a sí mismo y otras metáforas: confecciones materiales y simbólicas del hábito religioso en una comunidad budista soto zen latinoamericana</t>
  </si>
  <si>
    <t>Gerardo Godoy</t>
  </si>
  <si>
    <t>03 Mar 2025, 10:28</t>
  </si>
  <si>
    <t>Entre ideales ilustrados y movimientos feministas: Tensiones epocales de un proyecto educativo público para una élite académica de mujeres</t>
  </si>
  <si>
    <t>Ossandón, G., Soto, P.</t>
  </si>
  <si>
    <t>14 Sep 2025, 19:16</t>
  </si>
  <si>
    <t>La socialización de la superioridad moral en Colegios de Elite chilenos: ¡Nosotros sí sabemos cómo se hacen las cosas!</t>
  </si>
  <si>
    <t>Ilabaca, Tomas</t>
  </si>
  <si>
    <t>27 Aug 2025, 11:30</t>
  </si>
  <si>
    <t>Francisco de Vitoria University</t>
  </si>
  <si>
    <t>Motivation, engagement and well-being: Challenges of data production for research between Psychology and Education</t>
  </si>
  <si>
    <t>30 Apr 2025, 10:58</t>
  </si>
  <si>
    <t>Granada University</t>
  </si>
  <si>
    <t>Intersectionalities: micro-exclusions in Technical-Professional Higher Education.</t>
  </si>
  <si>
    <t>30 Apr 2025, 10:56</t>
  </si>
  <si>
    <t>Autónoma University of Madrid</t>
  </si>
  <si>
    <t>From motivation research to well-being management in educational contexts. Derivation and transfer of a research program.</t>
  </si>
  <si>
    <t>30 Apr 2025, 10:57</t>
  </si>
  <si>
    <t xml:space="preserve">Seminario: Crisis en los SLEP </t>
  </si>
  <si>
    <t>Espacios de participación: diagnóstico y propuestas</t>
  </si>
  <si>
    <t>Árdiles, Yariela,  Jauregui, Javiera</t>
  </si>
  <si>
    <t>08 Sep 2025, 15:21</t>
  </si>
  <si>
    <t>X International Congress on Psychological, Educational and Health Contexts</t>
  </si>
  <si>
    <t>Mental health and psychosocial well-being: conditions and projections for the installation of a management system based on monitoring in higher technical-professional education</t>
  </si>
  <si>
    <t>30 Apr 2025, 10:54</t>
  </si>
  <si>
    <t>Seminario Formación Inicial Docente Desafíos y Necesidades</t>
  </si>
  <si>
    <t>Conferencia Desafíos Curriculares en Formación Docente</t>
  </si>
  <si>
    <t>11 Aug 2025, 12:32</t>
  </si>
  <si>
    <t>Gerardo Sebastian Godoy Echiburu (Adjunct Researcher); Fabiola Andrea Otárola Cornejo (Adjunct Researcher)</t>
  </si>
  <si>
    <t>XVII Coloquio de la Red Latinoamericana de Estudios Críticos del Discurso y pobreza (REDLAD)</t>
  </si>
  <si>
    <t>Representación y valoración discursiva de la familia-sorda como colegas troyanos</t>
  </si>
  <si>
    <t>18 Nov 2024, 13:15</t>
  </si>
  <si>
    <t>1ER CONGRESO COMUNAL DE PEDAGOGÍA Y EDUCACIÓN</t>
  </si>
  <si>
    <t>"La paradoja de la Nueva Educación Pública: Participación Vaciada a fuerza de Managerialismo Precarizado"</t>
  </si>
  <si>
    <t>Cáceres, Victor, Ortiz, Sebastián</t>
  </si>
  <si>
    <t>08 Sep 2025, 15:20</t>
  </si>
  <si>
    <t>Perspectivas de Educación y Pedagogía: Tensiones y desafíos en el sistema educativo actual"</t>
  </si>
  <si>
    <t>Participación y Nueva Educación Pública: La agonía como diseño político y desafíos de recrear lo común</t>
  </si>
  <si>
    <t>25 Mar 2025, 12:21</t>
  </si>
  <si>
    <t>Salud mental por otros modos: hacia una perspectiva social</t>
  </si>
  <si>
    <t>18 Nov 2024, 13:16</t>
  </si>
  <si>
    <t>Diálogo y Diversidad: Construyendo un mundo intercultural y sustentable a través de la educación (CIEDS + RiEdi)</t>
  </si>
  <si>
    <t>Más allá del sujeto investigador: cambiar para conocer-conocer para cambiar</t>
  </si>
  <si>
    <t>Esteban Villalobos</t>
  </si>
  <si>
    <t>06 Nov 2024, 09:54</t>
  </si>
  <si>
    <t>CALAS Cono Sur y Brasil</t>
  </si>
  <si>
    <t>La disputa por lo público en Chile contemporáneo</t>
  </si>
  <si>
    <t>25 Mar 2025, 12:32</t>
  </si>
  <si>
    <t>Presentación Libro: Hacia una escuela para lo común</t>
  </si>
  <si>
    <t>Corcini, Maura, Collet, Jordi</t>
  </si>
  <si>
    <t>25 Mar 2025, 12:37</t>
  </si>
  <si>
    <t>XVIII Encuentro de la Red Latinoamericana de Convivencia Escolar</t>
  </si>
  <si>
    <t>Factores escolares y comunitarios implicados en la percepción de la seguridad y bienestar de las comunidades educativas</t>
  </si>
  <si>
    <t>27 Aug 2025, 11:47</t>
  </si>
  <si>
    <t>I Iberoamerican Congress of the Association of Motivation and Emotion</t>
  </si>
  <si>
    <t>30 Apr 2025, 10:53</t>
  </si>
  <si>
    <t>XXII Jornadas Educacionales de Psicología Educacional</t>
  </si>
  <si>
    <t>Juventudes, Futuros y Proyectos Educativos</t>
  </si>
  <si>
    <t>06 Nov 2024, 09:50</t>
  </si>
  <si>
    <t>Retos y desafíos en la Gestión Directiva para el fortalecimiento de la Convivencia Educativa</t>
  </si>
  <si>
    <t>27 Aug 2025, 11:48</t>
  </si>
  <si>
    <t>XXII Jornadas Internacionales de Psicologi?a Educacional</t>
  </si>
  <si>
    <t>Bienestar Subjetivo en las trayectorias de escolares inmigrantes en dos escuelas chilenas</t>
  </si>
  <si>
    <t>María Leonor Conejeros Solar (Principal Researcher); Díaz, Cesar (Postdoctoral Fellow)</t>
  </si>
  <si>
    <t>30 Apr 2025, 12:52</t>
  </si>
  <si>
    <t>Tejiendo una identidad STEM: trayectorias de mujeres talentosas que cursan carreras universitarias en ciencia, tecnologi?a, ingenieri?a y matema?tica</t>
  </si>
  <si>
    <t>30 Apr 2025, 12:54</t>
  </si>
  <si>
    <t>XXII Jornadas Internacionales de Psicología Educacional</t>
  </si>
  <si>
    <t>"Formación de psicólogas/os educacionales en el escenario educativo chileno: una sistematización de experiencias"</t>
  </si>
  <si>
    <t>Diego Arturo Palacios Díaz (Adjunct Researcher)</t>
  </si>
  <si>
    <t>19 May 2025, 13:06</t>
  </si>
  <si>
    <t>Contener y Regular. Nacimiento del Desregulado Emocional en la educación chilena contemporánea</t>
  </si>
  <si>
    <t>19 May 2025, 13:07</t>
  </si>
  <si>
    <t>"A 7 años de implementación de la Nueva Educación Pública en Chile: Desafíos para un horizonte educativo democrático y orientado a lo común"</t>
  </si>
  <si>
    <t>Palacios, Diego.</t>
  </si>
  <si>
    <t>25 Mar 2025, 12:25</t>
  </si>
  <si>
    <t>La Convivencia Escolar en América Latina: Políticas y prácticas en México, Brasil y Chile</t>
  </si>
  <si>
    <t>Verónica Alejandra López Leiva (Director); Macarena Morales (Adjunct Researcher)</t>
  </si>
  <si>
    <t>Moro, Adriano, Rivera, Érika</t>
  </si>
  <si>
    <t>27 Aug 2025, 11:51</t>
  </si>
  <si>
    <t>Colaboración interdisciplinaria desde y con la psicología educacional: aportes para la inclusión y garantía de derechos</t>
  </si>
  <si>
    <t>Paula Ascorra Costa (Principal Researcher); Macarena Morales (Adjunct Researcher)</t>
  </si>
  <si>
    <t>Villalobos, B., Carrasco, C., Figueroa, M., Avendaño, C.,  Nuñez, L.,  Aba-Sahada, W., Moreno, P., García, M., Herrera, Y., Toro, E., Illanes, A., Montecinos, A., Moreno-Araya, P.,  Figueroa, C.</t>
  </si>
  <si>
    <t>14 Sep 2025, 19:14</t>
  </si>
  <si>
    <t>Asesoramiento educativo con perspectiva intercultural en escuelas de Rapa Nui</t>
  </si>
  <si>
    <t>27 Aug 2025, 11:52</t>
  </si>
  <si>
    <t>"Filantropía empresarial en escuelas públicas de Chile "</t>
  </si>
  <si>
    <t>27 Aug 2025, 11:53</t>
  </si>
  <si>
    <t>XII International Symposium on Educational Psychology 2024</t>
  </si>
  <si>
    <t>The Role of Teacher Welfare in Learning Assessment</t>
  </si>
  <si>
    <t>Juan Dávila (Part of the center), Juan Huertas</t>
  </si>
  <si>
    <t>05 Mar 2025, 10:55</t>
  </si>
  <si>
    <t>Teacher Welfare: A Theoretical-Empirical Delimitation</t>
  </si>
  <si>
    <t>Huertas, Juan Antonio</t>
  </si>
  <si>
    <t>18 Nov 2024, 10:45</t>
  </si>
  <si>
    <t>XXII International Conference on Educational Psychology</t>
  </si>
  <si>
    <t>Teacher wellbeing: a theoretical-empirical delimitation</t>
  </si>
  <si>
    <t>30 Apr 2025, 10:48</t>
  </si>
  <si>
    <t>III Seminario de Formación de Profesores USACH</t>
  </si>
  <si>
    <t xml:space="preserve">Desafíos de la actualización curricular: qué formación docente para educar en diversidad cultural y para la transformación social </t>
  </si>
  <si>
    <t>11 Aug 2025, 12:28</t>
  </si>
  <si>
    <t>III Research Conference, Faculty of Social Sciences of the Universidad de Tarapacá</t>
  </si>
  <si>
    <t>Mental health and psychological and psychosocial well-being in educational contexts: developing supports for their management.</t>
  </si>
  <si>
    <t>Güilgüiruca, Marjory</t>
  </si>
  <si>
    <t>30 Apr 2025, 10:46</t>
  </si>
  <si>
    <t>Seminario Internacional de Investigación en Convivencia en Instituciones Educativas</t>
  </si>
  <si>
    <t>Políticas y prácticas de convivencia escolar en Chile: Reflexiones para América Latina</t>
  </si>
  <si>
    <t>Verónica Alejandra López Leiva (Director); Paula Ascorra Costa (Principal Researcher); Macarena Morales (Adjunct Researcher)</t>
  </si>
  <si>
    <t>27 Aug 2025, 11:39</t>
  </si>
  <si>
    <t>Congreso Internacional Buenas Practicas en Formación Docente</t>
  </si>
  <si>
    <t>“Visiones de las Prácticas Formativas en los desafíos actuales” "</t>
  </si>
  <si>
    <t>11 Aug 2025, 12:30</t>
  </si>
  <si>
    <t>Inclusión educativa en normativas de América Latina: la diversidad y los territorios que la enuncian</t>
  </si>
  <si>
    <t>Carla Fardella Cisternas (Principal Researcher); Gerardo Sebastian Godoy Echiburu (Adjunct Researcher)</t>
  </si>
  <si>
    <t>06 Nov 2024, 09:46</t>
  </si>
  <si>
    <t>VI Interdisciplinary Congress on Research in Education (CIIE) 2024</t>
  </si>
  <si>
    <t>What variables shape teacher well-being? justification of a psychological model located in Chilean schools?</t>
  </si>
  <si>
    <t>Juan Dávila (Part of the center)</t>
  </si>
  <si>
    <t>Motivation and commitment to classroom/schools</t>
  </si>
  <si>
    <t>05 Mar 2025, 10:53</t>
  </si>
  <si>
    <t>Sexto Congreso Interdisciplinario de Investigación en Educación</t>
  </si>
  <si>
    <t>"Atención Temprana para Niños y Niñas Sordos(as): Un Análisis Retrospectivo de Profesionales"</t>
  </si>
  <si>
    <t>14 Sep 2025, 20:11</t>
  </si>
  <si>
    <t>Precocidad Intelectual: Identificación y manifestaciones</t>
  </si>
  <si>
    <t>14 Sep 2025, 20:16</t>
  </si>
  <si>
    <t>¿Qué es la inclusión? ¿Cuáles son las prácticas inclusivas de las y los docentes?</t>
  </si>
  <si>
    <t>14 Sep 2025, 20:20</t>
  </si>
  <si>
    <t>Psychological Well-Being Information and Monitoring System: a successful case in higher technical-professional education.</t>
  </si>
  <si>
    <t>18 Nov 2024, 10:35</t>
  </si>
  <si>
    <t>Sixth Interdisciplinary Congress on Research in Education 2024.</t>
  </si>
  <si>
    <t>Psychological well-being information and monitoring system: a successful case in higher technical-professional education.</t>
  </si>
  <si>
    <t>Del Solar, María Soledad, Herrera, Patricia, Toro, Antonia.</t>
  </si>
  <si>
    <t>30 Apr 2025, 10:38</t>
  </si>
  <si>
    <t>Clapes UC Seminar</t>
  </si>
  <si>
    <t>Higher education funding from CAE to FES: How far have we come?</t>
  </si>
  <si>
    <t>COLEGIO DOCTORAL. DESAFÍOS Y PROPUESTAS EN CIENCIAS SOCIALES</t>
  </si>
  <si>
    <t>" Las posibilidades de la transdisciplinas en las disciplinas de ciencias sociales"</t>
  </si>
  <si>
    <t>Urquiza, Anahí,  Cabello, Valeria, Urquieta, Antonia</t>
  </si>
  <si>
    <t>08 Sep 2025, 15:19</t>
  </si>
  <si>
    <t>Congressos de Pesquisas em Línguas de Sinais: 8ª edição: Tradução e Interpretação de Línguas de Sinais ; 4ª edição: Linguística e Línguas de Sinais</t>
  </si>
  <si>
    <t>PROGRAMAS INTERCULTURALES DE ATENCIÓN TEMPRANA EN PERSONAS SORDAS CHILENAS Y SUS FAMILIAS: INFLUENCIA EN LOS PROCESOS EDUCATIVOS</t>
  </si>
  <si>
    <t>Javiera Villavicencio, Paula Ortúzar Prado</t>
  </si>
  <si>
    <t>05 May 2025, 16:46</t>
  </si>
  <si>
    <t>XVIII CONGRESO CHILENO DE PSICOLOGÍA</t>
  </si>
  <si>
    <t>Políticas públicas, subjetividad y el modelamiento del Chile contemporáneo</t>
  </si>
  <si>
    <t>Núñez Parra, Lorena, Pavez, Javiera,  Palacios, Diego,  Báez, Teresa</t>
  </si>
  <si>
    <t>08 Sep 2025, 15:16</t>
  </si>
  <si>
    <t>XVIII Chilean Congress of Psychology</t>
  </si>
  <si>
    <t>Psychometric properties of the brief version of the Ryff scales in Bolivian university psychology students.</t>
  </si>
  <si>
    <t>28 Apr 2025, 12:49</t>
  </si>
  <si>
    <t>Congreso Autismo</t>
  </si>
  <si>
    <t>Desafíos para la educación inclusiva en Chile</t>
  </si>
  <si>
    <t>27 Aug 2025, 11:49</t>
  </si>
  <si>
    <t>Southern Knowledges Symposium 2024</t>
  </si>
  <si>
    <t>Coloquio Doctoral</t>
  </si>
  <si>
    <t>Juan Pablo Valenzuela</t>
  </si>
  <si>
    <t>08 Sep 2025, 15:14</t>
  </si>
  <si>
    <t>Diálogos Sur Sur Educación, sustentabilidad y cambio social</t>
  </si>
  <si>
    <t>Post-fire inclusive educational return: lessons learned in Chile</t>
  </si>
  <si>
    <t>26 Sep 2024, 20:19</t>
  </si>
  <si>
    <t>X Coloquio Magíster en Psicopedagogía y Educación Especial. Altas Capacidades Respuesta Educativa y Doble Excepcionalidad</t>
  </si>
  <si>
    <t>Doble Excepcionalidad: Desconocida e invisible</t>
  </si>
  <si>
    <t>24 Sep 2024, 12:28</t>
  </si>
  <si>
    <t>12° aniversario Superintendencia de Educación</t>
  </si>
  <si>
    <t>Panel de conversación</t>
  </si>
  <si>
    <t>26 Sep 2024, 20:30</t>
  </si>
  <si>
    <t xml:space="preserve">I Seminario Escuela y Educación de Rapa Nui </t>
  </si>
  <si>
    <t>Asesoramiento sobre convivencia escolar en escuelas de Rapa Nui</t>
  </si>
  <si>
    <t xml:space="preserve">Montenegro, C., Atan, K., , Roco, V., Abufom, B., Figueroa, S. </t>
  </si>
  <si>
    <t>26 Sep 2024, 20:27</t>
  </si>
  <si>
    <t xml:space="preserve">Mentoring and collaboration for a better pedagogical team" </t>
  </si>
  <si>
    <t>Challenges for teachers' welfare</t>
  </si>
  <si>
    <t>02 Sep 2024, 11:57</t>
  </si>
  <si>
    <t>19th ECHA Congress</t>
  </si>
  <si>
    <t>And then we grew up: gifted adults’ voices from 36 countries in 3 continents</t>
  </si>
  <si>
    <t>13 Aug 2024, 11:14</t>
  </si>
  <si>
    <t>How a STEM identity is built and reinforced for female college students? An analysis from women's lived experiences in Chilean universities.</t>
  </si>
  <si>
    <t>13 Aug 2024, 11:15</t>
  </si>
  <si>
    <t>Identification and characterization of intellectual precocity in the Chilean early childhood population</t>
  </si>
  <si>
    <t>Sandra Catalán</t>
  </si>
  <si>
    <t>13 Aug 2024, 11:17</t>
  </si>
  <si>
    <t>Mental Health Conference of the Network of Schools of Psychology of CUECH.</t>
  </si>
  <si>
    <t>“Transformation and results of student welfare student welfare management at a higher education institution higher education institution using SIS BP”.</t>
  </si>
  <si>
    <t>02 Sep 2024, 11:56</t>
  </si>
  <si>
    <t>II Congreso Nacional de Educación, Cultura y Sociedad</t>
  </si>
  <si>
    <t>El ambiente físico y su importancia sobre el bienestar subjetivo en estudiantes chilenos</t>
  </si>
  <si>
    <t>Cárdenas, K., Angulo, V.</t>
  </si>
  <si>
    <t>26 Sep 2024, 20:21</t>
  </si>
  <si>
    <t>Explorando la formación de ciudadanías sexo-genéricas en escuelas chilenas</t>
  </si>
  <si>
    <t>Cárdenas, K.</t>
  </si>
  <si>
    <t>26 Sep 2024, 20:22</t>
  </si>
  <si>
    <t>Presentación de libro: La ilusión de la excelencia: un análisis crítico de la educación particular pagada chilena</t>
  </si>
  <si>
    <t>Ilabaca, T., Allende, C</t>
  </si>
  <si>
    <t>26 Sep 2024, 20:24</t>
  </si>
  <si>
    <t>Poster: Asesoramiento educativo con perspectiva intercultural en escuelas de Rapa Nui</t>
  </si>
  <si>
    <t xml:space="preserve">Montenegro, C., , Atan, K., , Roco, V., , Abufom, B., Figueroa, S. </t>
  </si>
  <si>
    <t>26 Sep 2024, 20:25</t>
  </si>
  <si>
    <t>MIPP Workshop</t>
  </si>
  <si>
    <t>Impact of the Bicentennial Schools of Excellence Program on Academic and Socioemotional Well-being Outcomes of Students in Chile</t>
  </si>
  <si>
    <t>Pamela Jervis Ortiz (Adjunct Researcher)</t>
  </si>
  <si>
    <t>09 Sep 2024, 12:43</t>
  </si>
  <si>
    <t>EASST-4S 2024</t>
  </si>
  <si>
    <t>The use of friendship studies on care &amp; STS research</t>
  </si>
  <si>
    <t>19 Aug 2024, 10:51</t>
  </si>
  <si>
    <t>International Congress presentation</t>
  </si>
  <si>
    <t>Inclusive education and teaching: From ideals to practice.</t>
  </si>
  <si>
    <t>Zenteno, S.</t>
  </si>
  <si>
    <t>30 Jul 2024, 13:47</t>
  </si>
  <si>
    <t>Reunión Científica grupo Esbrina-Subjetividades, visualidades y entornos educativos contemporáneos</t>
  </si>
  <si>
    <t>Taller de metodologías cualitativas Cartografías para la investigación educativa. Esperiencias de investigación del centro CIE160009</t>
  </si>
  <si>
    <t>13 Aug 2024, 12:33</t>
  </si>
  <si>
    <t>Coloquios para la fe y la academia. Universidad Católica del Maule</t>
  </si>
  <si>
    <t>Calidad de vida, ¿cómo andamos por casa?</t>
  </si>
  <si>
    <t>15 Jul 2024, 15:56</t>
  </si>
  <si>
    <t>"47th Annual Scientific Meeting of the International Society of Political Psychology (ISPP)"</t>
  </si>
  <si>
    <t>"Authoritarianism and exclusion as a legitimate and necessary relationship. The case of the Safe Classroom Law in Chile"</t>
  </si>
  <si>
    <t>02 Sep 2024, 11:11</t>
  </si>
  <si>
    <t>Ciclo de Conferencias de Inducción a la Doble Excepcionalidad. Centro Universitario de Ciencias de la Salud. Universidad de Guadalajara</t>
  </si>
  <si>
    <t>Los desafíos de la identificación en niños y niñas con 2e.</t>
  </si>
  <si>
    <t>16 Sep 2024, 10:22</t>
  </si>
  <si>
    <t>II Seminario Nacional de la Red de Estudios del Trabajo Docente</t>
  </si>
  <si>
    <t>"Nueva Educación Pública: la paradoja de construir ‘lo común’ a través de políticas de estandarización y de gobernanza financializada de lo público."</t>
  </si>
  <si>
    <t>02 Sep 2024, 11:07</t>
  </si>
  <si>
    <t>IX Regional Congress of the Interamerican Society of Psychology</t>
  </si>
  <si>
    <t>Psychological well-being in an educational context. Contributions to a notion of student well-being.</t>
  </si>
  <si>
    <t>Güilgüiruca, M., Dávila, J., Martinez, P.</t>
  </si>
  <si>
    <t>30 Jul 2024, 13:45</t>
  </si>
  <si>
    <t>Modelando dimensiones emocionales del trabajo docente: análisis del Marco para la Buena Enseñanza-2021.</t>
  </si>
  <si>
    <t>Vicente Mario Sisto Campos (Principal Researcher); Diego Arturo Palacios Díaz (Adjunct Researcher)</t>
  </si>
  <si>
    <t>Losada, Margarita</t>
  </si>
  <si>
    <t>02 Sep 2024, 11:10</t>
  </si>
  <si>
    <t>"II Seminario Nacional Red Estrado “Diálogo de Saberes: Propuestas y Acciones desde el Trabajo Docente en el Chile Actual” "</t>
  </si>
  <si>
    <t>Exposición sobre trabajo docente y políticas curriculares</t>
  </si>
  <si>
    <t>24 Sep 2024, 11:42</t>
  </si>
  <si>
    <t>VIII Inter-University Conference on Psychology of the Norte Grande 2024</t>
  </si>
  <si>
    <t>Psychological Wellness: Incorporating Student Perspectives</t>
  </si>
  <si>
    <t>Dávila, J.</t>
  </si>
  <si>
    <t>Sebastián Zenteno y Karen Julio</t>
  </si>
  <si>
    <t>30 Jul 2024, 13:43</t>
  </si>
  <si>
    <t>Encuentro del Centro Regional de Investigaciones Multidisciplinarias: CRIM</t>
  </si>
  <si>
    <t>Participación ciudadana y convivencia en instituciones educativas</t>
  </si>
  <si>
    <t>Rivero, E.,  Ochoa, A., Mayor, D.</t>
  </si>
  <si>
    <t>15 Jul 2024, 15:51</t>
  </si>
  <si>
    <t>"Sujetad@s a políticas e instrumentos, desplegad@s en prácticas: El estudio de la construcción de sí en espacios trazados por Políticas Públicas."</t>
  </si>
  <si>
    <t>26 Aug 2024, 13:32</t>
  </si>
  <si>
    <t>"Profesoras/es y emociones en políticas e instrumentos de gestión del Chile contemporáneo:  análisis del nuevo Marco para la Buena Enseñanza. "</t>
  </si>
  <si>
    <t>15 May 2024, 11:42</t>
  </si>
  <si>
    <t>Condiciones de la participación en el Chile postdictatorial: Hacia la construcción de sujeto participativo desde el marco normativo</t>
  </si>
  <si>
    <t>Javiera Pavez</t>
  </si>
  <si>
    <t>15 May 2024, 12:06</t>
  </si>
  <si>
    <t xml:space="preserve">II Congreso Inclusión y Mejora Educativa: Convivencia y Metodologías Inclusivas </t>
  </si>
  <si>
    <t>"Atención educativa a las funciones ejecutivas en estudiantes con doble excepcionalidad."</t>
  </si>
  <si>
    <t>María Leonor Conejeros Solar (Principal Researcher); Sandoval, Katia (Postdoctoral Fellow)</t>
  </si>
  <si>
    <t>06 May 2024, 13:30</t>
  </si>
  <si>
    <t>"¿Qué entendemos por prácticas educativas inclusivas? una revisión de los últimos tres años en investigaciones chilenas."</t>
  </si>
  <si>
    <t>06 May 2024, 13:35</t>
  </si>
  <si>
    <t>¿Qué es inclusión?: diversidad de significados que influyen en la práctica docente y en el aprendizaje de los y las estudiantes.</t>
  </si>
  <si>
    <t>06 May 2024, 13:37</t>
  </si>
  <si>
    <t>II Congreso Internacional Inclusión y Mejora educativa.</t>
  </si>
  <si>
    <t>Experiencia de mediación entre pares: una estrategia de promoción de la convivencia escolar</t>
  </si>
  <si>
    <t>02 Jul 2024, 13:24</t>
  </si>
  <si>
    <t>Formación inicial interdisciplinaria entre psicología y pedagogía: un desafío para la inclusión</t>
  </si>
  <si>
    <t>02 Jul 2024, 13:25</t>
  </si>
  <si>
    <t>II Congreso Internacional Inclusión y Mejora educativa 2024</t>
  </si>
  <si>
    <t xml:space="preserve">“¿Qué es inclusión?: diversidad de significados que influyen en la práctica docente y en el aprendizaje de los y las estudiantes”                        </t>
  </si>
  <si>
    <t>30 Jul 2024, 16:55</t>
  </si>
  <si>
    <t>Inauguración del Año Académico 2024 del Departamento de Estudios Pedagógicos, Universidad de Chile.</t>
  </si>
  <si>
    <t xml:space="preserve">Educación Inclusiva-Evaluación Inclusiva. Reflexiones para la formación docente. </t>
  </si>
  <si>
    <t>16 Sep 2024, 10:23</t>
  </si>
  <si>
    <t>Education Seminar "Diagnostics and perspectives of development in education in Northern Chile".</t>
  </si>
  <si>
    <t>School management teams for student welfare</t>
  </si>
  <si>
    <t>30 Jul 2024, 13:41</t>
  </si>
  <si>
    <t xml:space="preserve">VI Jornadas Internacionales sobre Panora?mica de Intervencio?n en Altas Capacidades Intelectuales. </t>
  </si>
  <si>
    <t>Doble Excepcionalidad: Abordando la Encrucijada entre el Desconocimiento y la Invisibilidad</t>
  </si>
  <si>
    <t>16 Sep 2024, 10:25</t>
  </si>
  <si>
    <t>Seminario de Didáctica de la Matemática, del Programa de Doctorado en Didáctica de la Matemática de la Pontificia Universidad Católica de Valparaíso.</t>
  </si>
  <si>
    <t>Doble Excepcionalidad. Desafíos y aportes a su visibilizacio?n y atención educativa.</t>
  </si>
  <si>
    <t>16 Sep 2024, 10:26</t>
  </si>
  <si>
    <t>American Educational Research Association AERA 2024</t>
  </si>
  <si>
    <t>"Poster: School-Community Democratic Relations: Analysis of a Deliberative Process in the School District of Valparaíso,  Chile"</t>
  </si>
  <si>
    <t>Alvarez-Figueroa, F</t>
  </si>
  <si>
    <t>26 Sep 2024, 20:18</t>
  </si>
  <si>
    <t>Enhanced early and pre-primary stimulation: a randomised evaluation</t>
  </si>
  <si>
    <t>Alarcón, Constanza</t>
  </si>
  <si>
    <t>09 Sep 2024, 12:44</t>
  </si>
  <si>
    <t>Coloquio KoLAF: Narrativas y Contranarrativas desde el Sur</t>
  </si>
  <si>
    <t>Narrativas y Contranarrativas desde el mundo educativo, Chile</t>
  </si>
  <si>
    <t>Natascha Roth Eichin (Adjunct Researcher)</t>
  </si>
  <si>
    <t>15 Apr 2024, 15:48</t>
  </si>
  <si>
    <t>XXXII Conversatorios Sociedad Mexicana de Psicología Social de México</t>
  </si>
  <si>
    <t>Hacia una Psicología Educacional Crítica: Discusiones Claves desde la Investigación en Inclusión Educativa y Convivencia Escolar</t>
  </si>
  <si>
    <t>Alarcón, B.</t>
  </si>
  <si>
    <t>02 Jul 2024, 13:16</t>
  </si>
  <si>
    <t>Mentorías para el liderazgo femenino en investigación</t>
  </si>
  <si>
    <t>02 Jul 2024, 13:07</t>
  </si>
  <si>
    <t>JIPSE</t>
  </si>
  <si>
    <t>"Mediar Para Convivir: Mediación Entre Pares En Un Liceo De Valparaíso"</t>
  </si>
  <si>
    <t>Caroca, P., Loyola, T.</t>
  </si>
  <si>
    <t>15 Jul 2024, 15:41</t>
  </si>
  <si>
    <t>Mesa Justicia Educacional: ronda de expertos</t>
  </si>
  <si>
    <t>Inclusión-excluyente</t>
  </si>
  <si>
    <t>26 Sep 2024, 20:16</t>
  </si>
  <si>
    <t>1° Congreso de Educación y Pedagogía de la Universidad de Chile. Reimaginando la Escuela, futuros posibles</t>
  </si>
  <si>
    <t>"Subjetividades tuteladas y ciudadanía pendiente en escuelas chilenas: Un estudio de casos múltiples "</t>
  </si>
  <si>
    <t>26 Sep 2024, 20:08</t>
  </si>
  <si>
    <t>Experiencias de formación interdisciplinaria entre Psicología y Pedagogía: Implementación de un proyecto piloto</t>
  </si>
  <si>
    <t>Karen Cárdenas, National colaborator, Avendaño, C., Núñez, L.</t>
  </si>
  <si>
    <t>26 Sep 2024, 20:12</t>
  </si>
  <si>
    <t>(School) Ethnography</t>
  </si>
  <si>
    <t>15 Apr 2024, 15:47</t>
  </si>
  <si>
    <t>International Congress for School Efectiveness and Improvement ICSEI</t>
  </si>
  <si>
    <t>Pandemia y estallido social en Chile: Sentidos y roles de la escuela</t>
  </si>
  <si>
    <t>Paula Ascorra Costa (Principal Researcher); Allende, Claudio (PhD Thesis)</t>
  </si>
  <si>
    <t>15 Jul 2024, 15:55</t>
  </si>
  <si>
    <t>Seminario da cierre del curso deformación online “ATENCION TEMPRANA PARA LA INCLUSIÓN EDUCATIVA Y SOCIAL”, impartido por HINENI para SENADIS</t>
  </si>
  <si>
    <t>Educación inclusiva</t>
  </si>
  <si>
    <t>04 Jan 2024</t>
  </si>
  <si>
    <t>26 Sep 2024, 20:29</t>
  </si>
  <si>
    <t>26 Sep 2024, 20:28</t>
  </si>
  <si>
    <t>Instituto de Políticas Públicas de la Universidad de Guadalajara</t>
  </si>
  <si>
    <t>Pandemia y Estallido Social en Chile: Sentidos y roles de la escuela</t>
  </si>
  <si>
    <t>"La disputa entre individualización y el nosotras/os: las políticas de emprendimiento y su despliegue."</t>
  </si>
  <si>
    <t>26 Aug 2024, 13:31</t>
  </si>
  <si>
    <t>FB0001</t>
  </si>
  <si>
    <t>Molecular Genetics, Extremophiles, and Ecophysiology (MG)</t>
  </si>
  <si>
    <t>28th Esact Meeting European Society for Animal Cell Technology</t>
  </si>
  <si>
    <t>Metabolomics and Metabolic Engineering (ME)</t>
  </si>
  <si>
    <t>Structural identifiability and parameter estimation of dynamic metabolic models used for cell culture media optimization</t>
  </si>
  <si>
    <t>Ziomara Patricia Gerdtzen Hakim (Adjunct Researcher)</t>
  </si>
  <si>
    <t>30 Aug 2024, 09:08</t>
  </si>
  <si>
    <t>Advancing Biomanufacturing Excellence: Harnessing Model Predictive Control for Optimal Process Efficiency and High- Quality Product Outputs</t>
  </si>
  <si>
    <t>Francisca Pizarro (Master Thesis)</t>
  </si>
  <si>
    <t>30 Aug 2024, 09:11</t>
  </si>
  <si>
    <t>5th Seaweed for Health</t>
  </si>
  <si>
    <t>Improvement of extraction of proteins, agar, and agarose from red algae</t>
  </si>
  <si>
    <t>Maria Elena Lienqueo Contreras (Principal Researcher)</t>
  </si>
  <si>
    <t>29 Aug 2024, 16:48</t>
  </si>
  <si>
    <t>LATIN 2024</t>
  </si>
  <si>
    <t>Iterated Straight-Line Programs</t>
  </si>
  <si>
    <t>Gonzalo - Navarro Badino (Principal Researcher); Cristian Bruno Urbina Gallegos (PhD Thesis)</t>
  </si>
  <si>
    <t>Bioinformatics (BI)</t>
  </si>
  <si>
    <t>29 Aug 2024, 18:01</t>
  </si>
  <si>
    <t>Space-efficient conversions from SLPs</t>
  </si>
  <si>
    <t>Gonzalo - Navarro Badino (Principal Researcher); Travis Gagie (Adjunct Researcher)</t>
  </si>
  <si>
    <t>Adrian Goga, Artur Jez</t>
  </si>
  <si>
    <t>29 Aug 2024, 18:05</t>
  </si>
  <si>
    <t>Wheeler maps</t>
  </si>
  <si>
    <t>Adrián Goga, Alessia Petescia, Simon Heumos, Jouni Sirén,  Andrej Baláž</t>
  </si>
  <si>
    <t>29 Aug 2024, 18:08</t>
  </si>
  <si>
    <t>Carlos Eugenio Conca Rosende (Adjunct Researcher)</t>
  </si>
  <si>
    <t>FB0002</t>
  </si>
  <si>
    <t>Cuarto Seminario Internacional de Praderas (2024): El potencial inexplorado de nuestras pasturas</t>
  </si>
  <si>
    <t>¿And the money? Economic results of regenerative livestock production in Chile</t>
  </si>
  <si>
    <t>Rafael Esteban Larraín Prieto (Adjunct Researcher)</t>
  </si>
  <si>
    <t>L6 Ecological intensification for sustainable agriculture</t>
  </si>
  <si>
    <t>18 Oct 2024, 13:16</t>
  </si>
  <si>
    <t>14° Seminario de Biodiversidad Región Araucanía</t>
  </si>
  <si>
    <t>"Riberas protectoras del agua: Diversidad, Usos  y Estado de Conservación de Bosques Ribereños en la Cuenca del Río Toltén"</t>
  </si>
  <si>
    <t>Isabel Margarita Rojas Viada (Adjunct Researcher)</t>
  </si>
  <si>
    <t>L1 Enviromental impacts of metals and land reclamation</t>
  </si>
  <si>
    <t>18 Oct 2024, 19:22</t>
  </si>
  <si>
    <t>Arabidopsis OGOX1 Enhances Susceptibility Against Myzus persicae Through Oligogalacturonides Oxidation Released During Plant-Aphid Interaction.</t>
  </si>
  <si>
    <t>Maria Francisca Blanco Herrera (Adjunct Researcher); Diego Zavala (Master Thesis); Carla Zúñiga (Undergraduate Thesis)</t>
  </si>
  <si>
    <t>Fernando Bustos</t>
  </si>
  <si>
    <t>L2 Bioengineering approaches to environment protection and sustainable technologies</t>
  </si>
  <si>
    <t>08 Oct 2024, 15:43</t>
  </si>
  <si>
    <t>Secreted Salivary Phospholipase D of Myzus persicae Interferes in Defense Pathways And Promote Plant Susceptibility Against Pathogen Attack</t>
  </si>
  <si>
    <t>Maria Francisca Blanco Herrera (Adjunct Researcher)</t>
  </si>
  <si>
    <t>Micaela Peppino,</t>
  </si>
  <si>
    <t>08 Oct 2024, 15:55</t>
  </si>
  <si>
    <t>III Congreso Chileno de Paleontología</t>
  </si>
  <si>
    <t>Diversidad y paleobiogeografía de los condrictios del Cretácico superior al Eoceno de Chile</t>
  </si>
  <si>
    <t>Cañete Cañete, Nicolás; Villafaña, Jaime; Farías, Laura; Rivadeneira, Marcelo</t>
  </si>
  <si>
    <t>L4 Population dynamics, global change and socio-ecological sustainability</t>
  </si>
  <si>
    <t>07 Oct 2024, 14:04</t>
  </si>
  <si>
    <t>Biodiversity Research Centre Seminar Series</t>
  </si>
  <si>
    <t xml:space="preserve">Chagas disease vectors </t>
  </si>
  <si>
    <t>Enrico Rezende Landaeta (Principal Researcher)</t>
  </si>
  <si>
    <t>L3 Global change physiology</t>
  </si>
  <si>
    <t>14 Oct 2024, 15:33</t>
  </si>
  <si>
    <t>2024 IEEE Conference on Computational Intelligence in Bioinformatics and Computational Biology (CIBCB)</t>
  </si>
  <si>
    <t>Gonzalo Andrés Ruz Heredia (Adjunct Researcher)</t>
  </si>
  <si>
    <t>Nitesh V. Chawla</t>
  </si>
  <si>
    <t>08 Oct 2024, 12:43</t>
  </si>
  <si>
    <t>XXVII International Congress of Entomology (ICE2024 Kyoto)</t>
  </si>
  <si>
    <t xml:space="preserve">Temperature e!ects on performance of Triatomine as </t>
  </si>
  <si>
    <t>Grisel Beatriz Cavieres Parada (Adjunct Researcher)</t>
  </si>
  <si>
    <t>Sabrina Clavijo-Baquet, Barbara Alvarez-Duhart, Diego León, Yester Basmadjián, Pedro Cattan</t>
  </si>
  <si>
    <t>14 Oct 2024, 15:21</t>
  </si>
  <si>
    <t>Puerto de Ideas Biobío</t>
  </si>
  <si>
    <t>Creando puentes para un océano sostenible: Conectando ciencias sociales y naturales en la conservación de los mares</t>
  </si>
  <si>
    <t>Stefan S Gelcich Crossley (Principal Researcher)</t>
  </si>
  <si>
    <t>L5 Sustainable natural resource management and policy research</t>
  </si>
  <si>
    <t>30 Sep 2024, 16:42</t>
  </si>
  <si>
    <t>Jornadas Ganaderas Asogama AG 2024</t>
  </si>
  <si>
    <t>Regenerative Livestock husbandry and grasslands health</t>
  </si>
  <si>
    <t>18 Oct 2024, 13:13</t>
  </si>
  <si>
    <t>IUFRO Division 7 Joint Meeting</t>
  </si>
  <si>
    <t>Economic correlates of the introduction of exotic insects in Chile during the last century</t>
  </si>
  <si>
    <t>Sergio A Estay Cabrerqa (Adjunct Researcher)</t>
  </si>
  <si>
    <t>11 Oct 2024, 10:33</t>
  </si>
  <si>
    <t>PECS-III: Pathways to Sustainability: Social-ecological resilience and transformation across multiple scales</t>
  </si>
  <si>
    <t>Reflections on place-based social-ecological scholarship</t>
  </si>
  <si>
    <t>30 Sep 2024, 16:31</t>
  </si>
  <si>
    <t>Contributed talk</t>
  </si>
  <si>
    <t>Considering local knowledge in adaptive capacity of local communities at the land-sea interface</t>
  </si>
  <si>
    <t>Matías Barceló</t>
  </si>
  <si>
    <t>30 Sep 2024, 16:34</t>
  </si>
  <si>
    <t>Co-producing governance transformations for voluntary marine conservation action</t>
  </si>
  <si>
    <t>30 Sep 2024, 16:06</t>
  </si>
  <si>
    <t>Unveiling the spatio-temporal dynamamism of coastal marine social-ecological systems</t>
  </si>
  <si>
    <t>Stefan S Gelcich Crossley (Principal Researcher); María José Martinez (Postdoctoral Fellow)</t>
  </si>
  <si>
    <t>30 Sep 2024, 16:09</t>
  </si>
  <si>
    <t>32nd International Conference of Agricultural Economists</t>
  </si>
  <si>
    <t>Policy implications of Tariff Preferences in Rural Water Management: Insights from Chile</t>
  </si>
  <si>
    <t>Felipe Antonio Vásquez Lavín (Principal Researcher); Francisco José Fernández Jorquera (Adjunct Researcher); Roberto Daniel Ponce Oliva (Adjunct Researcher)</t>
  </si>
  <si>
    <t>Diego Rivera; Francisco Hernández; Carlos Bopp; Nelyda Campos Requena</t>
  </si>
  <si>
    <t>L7 Ecosystem services and human behavior</t>
  </si>
  <si>
    <t>16 Oct 2024, 12:40</t>
  </si>
  <si>
    <t>V Coloquio Chileno de Socioecología y Etnoecología</t>
  </si>
  <si>
    <t>Esculpir la memoria: vinculando arte-ecología en las relaciones entre seres humanos y árboles de los bosques templados</t>
  </si>
  <si>
    <t>L. Prato &amp; A. Quevedo</t>
  </si>
  <si>
    <t>18 Oct 2024, 14:55</t>
  </si>
  <si>
    <t>IV Coloquio Chileno de Socioecología y Etnoecología</t>
  </si>
  <si>
    <t>Territorios con memoria: redes bioculturales y simpoiesis para fortalecer la soberanía alimentaria en el sur de los Andes. IV Coloquio Chileno de Socioecología y Etnoecología</t>
  </si>
  <si>
    <t>José Tomás Ibarra Eliessetch (Adjunct Researcher); María Guadalupe Barrera (PhD Thesis)</t>
  </si>
  <si>
    <t xml:space="preserve"> F. Santana, J. Cortés, J. Caviedes, Á. Alvarado, C. Oyarzo, S. Kaulen-Luks, F. Olivares &amp; C. Marchant.</t>
  </si>
  <si>
    <t>18 Oct 2024, 14:59</t>
  </si>
  <si>
    <t>Gordon Research Conference - Unifying Ecology Across Scales</t>
  </si>
  <si>
    <t>Warm acclimation reduces the sensitivity of ectotherms to global warming at ecologically relevant scales</t>
  </si>
  <si>
    <t>Ignacio Peralta</t>
  </si>
  <si>
    <t>14 Oct 2024, 15:27</t>
  </si>
  <si>
    <t>Thermal tolerance limits in a warming world</t>
  </si>
  <si>
    <t>14 Oct 2024, 15:52</t>
  </si>
  <si>
    <t>2024 BALAS Annual Conference</t>
  </si>
  <si>
    <t>Firms Adaptation to the Physical Impacts of CC.</t>
  </si>
  <si>
    <t>16 Oct 2024, 12:51</t>
  </si>
  <si>
    <t>Sunbelt Conference of the International Network for Social Network Analysis</t>
  </si>
  <si>
    <t>Farming together: exploring the resilience of small-scale agricultural systems through seed exchange networks in the southern Andes</t>
  </si>
  <si>
    <t xml:space="preserve"> J. Cortés</t>
  </si>
  <si>
    <t>18 Oct 2024, 14:53</t>
  </si>
  <si>
    <t>International Symposium Biodiversity and Society Inter-Disciplinary Research Facility on Human-Environment Interactions. June 3th-4th, Montpellier (France)</t>
  </si>
  <si>
    <t>Arthropods of Bahia Exploradores (Aysén: Chile) Methodological Innovations for Research in Remote Regions</t>
  </si>
  <si>
    <t>Amouroux P., Muñoz A., Zambrano F., Estrada P., González C., Rivera A., Cerpa P., Urra F., Pérez-Schultheiss J., Elgueta M.</t>
  </si>
  <si>
    <t>18 Oct 2024, 19:26</t>
  </si>
  <si>
    <t>Capital Natural, Biodiversidad y su Aporte al Desarrollo Sostenible del País</t>
  </si>
  <si>
    <t>Capital Natural y su inclusión en la toma de decisiones</t>
  </si>
  <si>
    <t>Francisco José Fernández Jorquera (Adjunct Researcher)</t>
  </si>
  <si>
    <t>16 Oct 2024, 12:20</t>
  </si>
  <si>
    <t>Eisenia fetida avoidance for total soil copper in agricultural soils polluted by copper-based pesticides</t>
  </si>
  <si>
    <t>Rosanna none Ginocchio Cea (Principal Researcher); Fiamma Solari (Other Center/Project Researcher); Tomás Schoffer (Postdoctoral Fellow)</t>
  </si>
  <si>
    <t>L PETIT DIT GRÉZÉRIAT, C PELOSI, A NEAMAN</t>
  </si>
  <si>
    <t>21 Aug 2024, 10:25</t>
  </si>
  <si>
    <t>18th International Congress of Ethnobiology</t>
  </si>
  <si>
    <t>Indigenous and local knowledge of social-ecological changes is positively associated with livelihood resilience in a Globally Important Agricultural Heritage System</t>
  </si>
  <si>
    <t>José Tomás Ibarra Eliessetch (Adjunct Researcher); Julian Caviedes (PhD Thesis)</t>
  </si>
  <si>
    <t xml:space="preserve"> J.T., Calvet-Mir, S. Álvarez-Fernández &amp; A. Junqueira.</t>
  </si>
  <si>
    <t>18 Oct 2024, 15:07</t>
  </si>
  <si>
    <t xml:space="preserve"> Integrating biocultural functional traits as heritage indicators in community-led wetland conservation</t>
  </si>
  <si>
    <t>José Tomás Ibarra Eliessetch (Adjunct Researcher); Paola Araneda (PhD Thesis)</t>
  </si>
  <si>
    <t>Jose Cristobal Pizarro</t>
  </si>
  <si>
    <t>13 Aug 2024, 15:45</t>
  </si>
  <si>
    <t>Transdisciplinary as a participatory approach to face the socialenvironmental crises of family farming</t>
  </si>
  <si>
    <t>José Tomás Ibarra Eliessetch (Adjunct Researcher); Lorena Vieli del Rio (Adjunct Researcher); Constanza Monterrubio-Solís (Postdoctoral Fellow); Francisca Santana (Master Thesis); Josefina Cortés (Master Thesis)</t>
  </si>
  <si>
    <t xml:space="preserve"> Paolo Perasso, Gonzalo Valdivieso</t>
  </si>
  <si>
    <t>13 Aug 2024, 17:19</t>
  </si>
  <si>
    <t>Food System Microbiomes Conference</t>
  </si>
  <si>
    <t>Effects of sustainable agricultural practices on soil microbial diversity, composition, and functions</t>
  </si>
  <si>
    <t>Eduardo Carlos Arellano Ogaz (Principal Researcher); Brynelly  Bastidas  (PhD Thesis)</t>
  </si>
  <si>
    <t xml:space="preserve">  Humberto Aponte, Pedro Mondaca, Juan L. Celis-Diez, Pablo Díaz-Siefer, Natalia OlmosMoya, Fernanda Montero-Silva, Sofía Molina, Francisco E. Fontúrbel, Dinka Mandakovic, Blas Lavandero, Marcela Carvajal, Aurora Gaxiola</t>
  </si>
  <si>
    <t>13 Aug 2024, 11:40</t>
  </si>
  <si>
    <t>Curso Avanzado en Biología Molecular y Biotecnología Vegetal</t>
  </si>
  <si>
    <t>Unraveling the Impact of Plant Mineral Nutrition on Plant-Pathogen interactions</t>
  </si>
  <si>
    <t>Andrea Soledad Vega Contreras (Adjunct Researcher)</t>
  </si>
  <si>
    <t>08 Oct 2024, 12:36</t>
  </si>
  <si>
    <t>II Conferencia Internacional Cabo de Hornos</t>
  </si>
  <si>
    <t>Un paisaje de nostalgia y belleza silvestre: sobre los procesos conservación biocultural de productos agroalimentarios en el sur de Chile</t>
  </si>
  <si>
    <t>Ángela Alvarado</t>
  </si>
  <si>
    <t>18 Oct 2024, 15:11</t>
  </si>
  <si>
    <t>Segunda Conferencia Internacional CHIC</t>
  </si>
  <si>
    <t>Redes socio-ecológicas en la agricultura: enfrentando la homogenización bioculturalen el sur de Los Andes</t>
  </si>
  <si>
    <t>13 Aug 2024, 13:02</t>
  </si>
  <si>
    <t>Congreso nacional: Encuentro de Jóvenes Investigadores en la Ciencia del Suelo</t>
  </si>
  <si>
    <t xml:space="preserve">Metodologías participativas para propones estrategias de restauración enfocadas en suelo del Humedal Río Maipo </t>
  </si>
  <si>
    <t>Eduardo Carlos Arellano Ogaz (Principal Researcher); Valentina Jimenez (Other Center/Project Researcher)</t>
  </si>
  <si>
    <t>Morales, N, Rojas-Arevalo, N.</t>
  </si>
  <si>
    <t>21 Aug 2024, 09:06</t>
  </si>
  <si>
    <t>Encuentro de Jovenes Investigadores de las Ciencias del Suelo</t>
  </si>
  <si>
    <t>EVALUACIÓN DE PROPIEDADES BIÓTICAS Y ABIÓTICAS DEL SUELO Y SU RELACIÓN CON LA VEGETACIÓN EN BOSQUES ESCLERÓFILOS DE LA ZONA MEDITERRÁNEA DE CHILE BAJO DISTINTAS CONDICIONES DE SEQUÍA</t>
  </si>
  <si>
    <t>Zamora Oróstegui, Miranda A, Venegas A.</t>
  </si>
  <si>
    <t>18 Oct 2024, 15:13</t>
  </si>
  <si>
    <t>RELACIÓN ENTRE RESPUESTAS POST-INCENDIOS DE LA VEGETACIÓN Y PROPIEDADES BIOGEOQUÍMICAS DE SUELOS EN BOSQUES DE TIPO  SCLERÓFILO DE LA ZONA MEDITERRÁNEA DE CHILE CENTRAL</t>
  </si>
  <si>
    <t>Gaete A, Arcenegui Baldó V, Miranda A, Arellano E, García Orenes F</t>
  </si>
  <si>
    <t>18 Oct 2024, 15:18</t>
  </si>
  <si>
    <t>Determining factors of soil organic carbon in the sclerophyll ecosystem of central Chile</t>
  </si>
  <si>
    <t>Eduardo Carlos Arellano Ogaz (Principal Researcher); Marcelo David Miranda Salas (Adjunct Researcher); Daniela Mallitasig (PhD Thesis)</t>
  </si>
  <si>
    <t>13 Aug 2024, 17:39</t>
  </si>
  <si>
    <t>Jornada sobre Ganadería Regenerativa Ministerio de Bienes Nacionales</t>
  </si>
  <si>
    <t>Regenerative Livestock husbandry</t>
  </si>
  <si>
    <t xml:space="preserve"> Venegas A, Rojas C</t>
  </si>
  <si>
    <t>18 Oct 2024, 15:22</t>
  </si>
  <si>
    <t>5th Global Food Security Conference</t>
  </si>
  <si>
    <t>Right or Good? A complexity approach for a Just food system</t>
  </si>
  <si>
    <t>José Tomás Ibarra Eliessetch (Adjunct Researcher); Caterina Rondoni (PhD Thesis)</t>
  </si>
  <si>
    <t>Gonzalo Valdivieso</t>
  </si>
  <si>
    <t>13 Aug 2024, 13:13</t>
  </si>
  <si>
    <t>SÃO PAULO SCHOOL OF ADVANCED SCIENCE ON TRANSDISCIPLINARITY FOR TRANSFORMATIVE CHANGE</t>
  </si>
  <si>
    <t>Francisco Javier Contreras Drey  (PhD Thesis)</t>
  </si>
  <si>
    <t>30 Sep 2024, 17:09</t>
  </si>
  <si>
    <t>World Fisheries Congress</t>
  </si>
  <si>
    <t xml:space="preserve">Procedural justice in the management of small-scale fisheries </t>
  </si>
  <si>
    <t>Stefan S Gelcich Crossley (Principal Researcher); Rodrigo Estevez (Postdoctoral Fellow)</t>
  </si>
  <si>
    <t>12 Aug 2024, 15:45</t>
  </si>
  <si>
    <t>Towards Designing Scalable TURF-Reserve Systems in Artisanal Fisheries</t>
  </si>
  <si>
    <t>Josh Donlan</t>
  </si>
  <si>
    <t>12 Aug 2024, 15:54</t>
  </si>
  <si>
    <t xml:space="preserve">Factors Affecting Detectability of Illegal Fishing Activities Across Supply Chains </t>
  </si>
  <si>
    <t>12 Aug 2024, 16:03</t>
  </si>
  <si>
    <t>08 Aug 2024, 14:43</t>
  </si>
  <si>
    <t>Pablo Ignacio Becerra Osses (Adjunct Researcher)</t>
  </si>
  <si>
    <t>08 Aug 2024, 10:05</t>
  </si>
  <si>
    <t>V Congreso Colombiano y VI Congreso Iberoamericano y del Caribe de Restauración Ecológica</t>
  </si>
  <si>
    <t>Eduardo Carlos Arellano Ogaz (Principal Researcher); Victoria Madrid (PhD Thesis)</t>
  </si>
  <si>
    <t>26 Aug 2024, 11:15</t>
  </si>
  <si>
    <t>FB0003</t>
  </si>
  <si>
    <t>Tercera versión de las Jornadas Educacionales en Liceo Peralillo</t>
  </si>
  <si>
    <t>Fundamentos y estrategias de la enseñanza y aprendizaje de la lectura y escritura inicial</t>
  </si>
  <si>
    <t>carmen . sotomayor echenique (Principal Researcher); Josefina Hernández Correa (Postdoctoral Fellow)</t>
  </si>
  <si>
    <t>Teaching and Learning for Maximum impact</t>
  </si>
  <si>
    <t>28 Mar 2025, 08:58</t>
  </si>
  <si>
    <t>Seminario Género y decisiones vocacionales: Retos y buenas prácticas para la educación media</t>
  </si>
  <si>
    <t>Segregación de Género en las Elecciones Académicas en la Educación Media Científico-Humanista: Barreras y Oportunidades de Intervención.</t>
  </si>
  <si>
    <t>School Improvement and Educational Policies</t>
  </si>
  <si>
    <t>28 Mar 2025, 23:02</t>
  </si>
  <si>
    <t>Reunión de coordinadores nacionales de ERCE de América Latina y El Caribe</t>
  </si>
  <si>
    <t>Análisis curricular ERCE 2025</t>
  </si>
  <si>
    <t>carmen . sotomayor echenique (Principal Researcher)</t>
  </si>
  <si>
    <t>28 Mar 2025, 08:56</t>
  </si>
  <si>
    <t>XVII Congreso Nacional de Investigación Educativa</t>
  </si>
  <si>
    <t>Entrenamiento lector en estudiantes universitarios de pedagogía. Nuevos desafíos en la comprensión lectora online</t>
  </si>
  <si>
    <t>Mabel Alejandra Urrutia Martinez (Adjunct Researcher)</t>
  </si>
  <si>
    <t>Cognition, Learning, and Information technology</t>
  </si>
  <si>
    <t>04 Apr 2025, 19:05</t>
  </si>
  <si>
    <t xml:space="preserve"> III Congreso Internacional de Investigación e Innovación Educativa</t>
  </si>
  <si>
    <t>¿Cómo la IA está transformando el empleo y la educación, y cuáles son las principales oportunidades?</t>
  </si>
  <si>
    <t>Roberto NA Araya Schulz (Main Researcher Not part of Central Team)</t>
  </si>
  <si>
    <t>05 Apr 2025, 20:43</t>
  </si>
  <si>
    <t>International Seminar</t>
  </si>
  <si>
    <t>Privatización escolar en Chile: El territorio como locus de control</t>
  </si>
  <si>
    <t>Francisca Johanna Corbalán Pössel (Postdoctoral Fellow)</t>
  </si>
  <si>
    <t>28 Mar 2025, 10:50</t>
  </si>
  <si>
    <t>Panel de Investigación:“Reflexiones en torno a la violencia contra las mujeres en la educación superior”, organizado por la Dirección dd Equidad de Género y Diversidades y la Vicerrectoría de Investigación y Postgrado de la UOH, a través del Proyecto InES</t>
  </si>
  <si>
    <t>¿Cómo se Reproducen las Violencias en la Universidad? Inequidades de Género en las Trayectorias Académicas en Chile</t>
  </si>
  <si>
    <t>28 Mar 2025, 22:55</t>
  </si>
  <si>
    <t xml:space="preserve">15° Seminario Internacional de Investigación sobre la Calidad de la Educación, organizado por el Instituto Colombiano para la Evaluación de la Educación (Icfes) y el Ministerio de Educación Nacional de Colombia. </t>
  </si>
  <si>
    <t>"Inequidades de género en laeducación en América Latina y el Caribe: hacia una transformación inclusiva"</t>
  </si>
  <si>
    <t>28 Mar 2025, 21:58</t>
  </si>
  <si>
    <t>"Panelista, Conversatorio: Transformaciones pedagógicas y curriculares para la educación integral inclusiva."</t>
  </si>
  <si>
    <t>28 Mar 2025, 22:03</t>
  </si>
  <si>
    <t>Desafíos y horizontes para la Nueva Educación Pública: gobierno, territorio y equidad educacional</t>
  </si>
  <si>
    <t>"Territorio y democracia en la Nueva Educación Pública "</t>
  </si>
  <si>
    <t>28 Mar 2025, 10:47</t>
  </si>
  <si>
    <t>El Efecto Jenny Assael: Impactos y resonancias del trabajo de una investigadora transformadora</t>
  </si>
  <si>
    <t>28 Mar 2025, 10:44</t>
  </si>
  <si>
    <t>Sexto Congreso en Investigación en Educación (CIIE 2024)</t>
  </si>
  <si>
    <t>Más allá de la representación: Inequidades de género en las trayectorias de investigadoras/es educacionales chilenas/os.</t>
  </si>
  <si>
    <t>28 Mar 2025, 23:06</t>
  </si>
  <si>
    <t>Comprendiendo las razones para permanecer y abandonar la Dirección Escolar</t>
  </si>
  <si>
    <t>Xavier Andrés Vanni Cucurella (Adjunct Researcher)</t>
  </si>
  <si>
    <t>Gonzalo Martinez</t>
  </si>
  <si>
    <t>28 Mar 2025, 11:33</t>
  </si>
  <si>
    <t>Efectos de una fundación privada en el mejoramiento escolar en escuelas públicas de territorios vulnerables</t>
  </si>
  <si>
    <t>Juan Pablo Valenzuela Barros (Director); Claudio Ignacio Allende González (Adjunct Researcher)</t>
  </si>
  <si>
    <t xml:space="preserve"> Karla Escare, Fernanda Correa, Valentina Cortínez, Catalina Amenábar</t>
  </si>
  <si>
    <t>28 Mar 2025, 21:02</t>
  </si>
  <si>
    <t>Navegando en las trayectorias profesionales de los directores y directoras de establecimientos de educación media en Chile</t>
  </si>
  <si>
    <t>Juan Pablo Valenzuela Barros (Director); Carmen Julia Coloma Tirapegui (Main Researcher Not part of Central Team); Claudio Ignacio Allende González (Adjunct Researcher); Xavier Andrés Vanni Cucurella (Adjunct Researcher)</t>
  </si>
  <si>
    <t>28 Mar 2025, 21:06</t>
  </si>
  <si>
    <t>Prácticas de liderazgo en los jardines infantiles: Un debate entre capacidades, importancia y urgencia</t>
  </si>
  <si>
    <t>María José Opazo (Postdoctoral Fellow)</t>
  </si>
  <si>
    <t>Early Chilhood Education; Teaching and Learning for Maximum impact</t>
  </si>
  <si>
    <t>04 Apr 2025, 21:27</t>
  </si>
  <si>
    <t>‘En educación todo cambia’: Cómo directoras lideran el ingreso de la educación inicial al Sistema de Aseguramiento de la Calidad en Chile</t>
  </si>
  <si>
    <t>Early Chilhood Education</t>
  </si>
  <si>
    <t>04 Apr 2025, 21:29</t>
  </si>
  <si>
    <t>Participación de directoras de jardines infantiles chilenos en asociaciones profesionales: Oportunidades, tensiones y desafíos para el fortalecimiento de su liderazgo e identidad profesional</t>
  </si>
  <si>
    <t>04 Apr 2025, 21:32</t>
  </si>
  <si>
    <t>Los líderes de educación inicial fortalecen la relación con las familias: Tres casos ejemplares de Chile</t>
  </si>
  <si>
    <t>Juan Pablo Valenzuela Barros (Director); Marcela Renée Pardo Quiñones (Main Researcher Not part of Central Team); María José Opazo (Postdoctoral Fellow)</t>
  </si>
  <si>
    <t>Early Chilhood Education; School Improvement and Educational Policies</t>
  </si>
  <si>
    <t>04 Apr 2025, 21:35</t>
  </si>
  <si>
    <t>Experiencias en espacios exteriores, aire libre y naturaleza en jardines infantiles chilenos</t>
  </si>
  <si>
    <t>Pablo Iván Rupin Gutiérrez (Adjunct Researcher)</t>
  </si>
  <si>
    <t>04 Apr 2025, 21:53</t>
  </si>
  <si>
    <t>"Una propuesta de desarrollo profesional docente para la escuela del siglo XXI "</t>
  </si>
  <si>
    <t>04 Apr 2025, 22:43</t>
  </si>
  <si>
    <t>"Trayectorias de Directore/as de escuelas básicas en Chile"</t>
  </si>
  <si>
    <t>Juan Pablo Valenzuela Barros (Director); Carmen Lucia de los Angeles Montecinos Sanhueza (Principal Researcher); Claudio Ignacio Allende González (Adjunct Researcher)</t>
  </si>
  <si>
    <t>07 Apr 2025, 18:37</t>
  </si>
  <si>
    <t>Análisis comparado sobre estándares de líderes escolares y trayectorias profesionales en cinco casos internacionales</t>
  </si>
  <si>
    <t>Juan Pablo Valenzuela Barros (Director); Carmen Lucia de los Angeles Montecinos Sanhueza (Principal Researcher); Xavier Andrés Vanni Cucurella (Adjunct Researcher)</t>
  </si>
  <si>
    <t>Yolanda Gana</t>
  </si>
  <si>
    <t>07 Apr 2025, 18:39</t>
  </si>
  <si>
    <t>Sexto Congreso Interdisciplinario De Investigación En Educación (CIIE)</t>
  </si>
  <si>
    <t>"Autoiniciación de la información: efectos en la memoria de corto plazo y de trabajo."</t>
  </si>
  <si>
    <t>Pablo Ricardo Gabriel Dartnell Roy (Main Researcher Not part of Central Team); Rocío Loyola (Postdoctoral Fellow)</t>
  </si>
  <si>
    <t>07 Apr 2025, 19:37</t>
  </si>
  <si>
    <t>6° Congreso Interdisciplinario de Investigación en Educación</t>
  </si>
  <si>
    <t>Debates sobre políticas de admisión escolar: marcos y narrativas del Estado y los apoderados</t>
  </si>
  <si>
    <t>Cristian Esteban Cabalin Quijada (Adjunct Researcher)</t>
  </si>
  <si>
    <t>27 Mar 2025, 18:26</t>
  </si>
  <si>
    <t>Justicia en la selección escolar: Información y actitudes de las familias sobre el SAE</t>
  </si>
  <si>
    <t>28 Mar 2025, 09:12</t>
  </si>
  <si>
    <t>"Mecanismos de Autoiniciación: su influencia sobre la memoria de trabajo durante la comprensión de oraciones."</t>
  </si>
  <si>
    <t>Pablo Ricardo Gabriel Dartnell Roy (Main Researcher Not part of Central Team)</t>
  </si>
  <si>
    <t>07 Apr 2025, 19:35</t>
  </si>
  <si>
    <t>"Third International Symposium on Mathematics Curriculum and Teaching Materials for Secondary Schools "</t>
  </si>
  <si>
    <t>"Collaborative Problem Solving to learn Mathematics: Experiences in Chile "</t>
  </si>
  <si>
    <t>12 Oct 2024</t>
  </si>
  <si>
    <t>04 Apr 2025, 22:37</t>
  </si>
  <si>
    <t>SEMINARIO FORMACIÓN DOCENTE PARA EL FUTURO: COMPARTIENDO SABERES Y EXPERIENCIAS</t>
  </si>
  <si>
    <t>Inteligencia Artificial y desafíos educativos</t>
  </si>
  <si>
    <t>05 Apr 2025, 20:39</t>
  </si>
  <si>
    <t>VIII Seminario Comunicación y Ciencia</t>
  </si>
  <si>
    <t>Desinformación y políticas educacionales: El caso del SAE</t>
  </si>
  <si>
    <t>27 Mar 2025, 18:25</t>
  </si>
  <si>
    <t>ResearchED Chile</t>
  </si>
  <si>
    <t>Importancia de la enseñanza de la escritura escolar</t>
  </si>
  <si>
    <t>28 Mar 2025, 08:54</t>
  </si>
  <si>
    <t>AMLaP 2024 (The University of Edinburgh)</t>
  </si>
  <si>
    <t xml:space="preserve">Architectures and Mechanisms of Language Processing </t>
  </si>
  <si>
    <t>Anita Tobar Henríquez (Postdoctoral Fellow)</t>
  </si>
  <si>
    <t>27 Mar 2025, 17:21</t>
  </si>
  <si>
    <t>International Congress for School Effectiveness and Improvement (ICSEI 2024)</t>
  </si>
  <si>
    <t>To What Extent Does School Inspection Foster Capacity Building? The Chilean Case</t>
  </si>
  <si>
    <t>07 Apr 2025, 18:01</t>
  </si>
  <si>
    <t>Career Paths of Chilean School Principals: Exploring Factors and Perceptions Affecting Entry, Longevity, and Departure</t>
  </si>
  <si>
    <t>07 Apr 2025, 18:04</t>
  </si>
  <si>
    <t>07 Apr 2025, 18:07</t>
  </si>
  <si>
    <t>Congreso de Matemática Capricornio 2024</t>
  </si>
  <si>
    <t>“La Evaluación de Programas de Desarrollo Profesional para Docentes de Matemáticas y su Impacto en la Competencia Profesional Docente</t>
  </si>
  <si>
    <t>Farzaneh Saadati (Adjunct Researcher)</t>
  </si>
  <si>
    <t>07 Apr 2025, 18:49</t>
  </si>
  <si>
    <t>10th International Conference on Meaning and Knowledge Representation</t>
  </si>
  <si>
    <t>A Methodology for Enhanced Explanations of Incoherence Detection</t>
  </si>
  <si>
    <t>05 Apr 2025, 20:49</t>
  </si>
  <si>
    <t>Network Gender &amp; STEM Conference 2024</t>
  </si>
  <si>
    <t xml:space="preserve">Gender segregation in secondary school course choices in Chile: Socio-economic gradients and the protective role of school gender culture. Research Paper. </t>
  </si>
  <si>
    <t>Lorena Ortega (Adjunct Researcher); Alejandra Cristina Mizala Salces (Other Center/Project Researcher)</t>
  </si>
  <si>
    <t>28 Mar 2025, 23:10</t>
  </si>
  <si>
    <t>Psychology of Mathematics Education Conference (PME 47). Rethinking Mathematics Education Togethe</t>
  </si>
  <si>
    <t>Enhancing Students’ Ideas of Algorithm with Coloring Book in Mathematics Classroom</t>
  </si>
  <si>
    <t>05 Apr 2025, 20:28</t>
  </si>
  <si>
    <t>PME47</t>
  </si>
  <si>
    <t>Graph literacy and magnitude processing abilities: a study of ages 3 to 6.</t>
  </si>
  <si>
    <t>07 Apr 2025, 18:47</t>
  </si>
  <si>
    <t>47th Conference of the International Group for the Psychology of Mathematics Education</t>
  </si>
  <si>
    <t>Gender and socioeconomic biases in adults’ judgments of children’s mathematical arguments</t>
  </si>
  <si>
    <t>David Maximiliano Gomez Rojas (Adjunct Researcher)</t>
  </si>
  <si>
    <t>07 Apr 2025, 19:11</t>
  </si>
  <si>
    <t>A study of Chilean Early Childhood Education study plans with a focus on mathematics education and gender and SES inequities</t>
  </si>
  <si>
    <t>07 Apr 2025, 19:13</t>
  </si>
  <si>
    <t>Thirteenth Congress of the European Society for Research in Mathematics Education (CERME13)</t>
  </si>
  <si>
    <t>Empowering Mathematics Teachers: A case of three professional development programs in Chile</t>
  </si>
  <si>
    <t>Teacher Development and Professionalism</t>
  </si>
  <si>
    <t>07 Apr 2025, 18:40</t>
  </si>
  <si>
    <t>ICME15</t>
  </si>
  <si>
    <t>Interplay between evolutionary changes in PD program, educational contexts, and stakeholder needs in Chile</t>
  </si>
  <si>
    <t>07 Apr 2025, 18:48</t>
  </si>
  <si>
    <t>15 International Congress in Mathematics Education (ICME 15)</t>
  </si>
  <si>
    <t>Who wants to teach mathematics? A picture of Chilean prospective primary and secondary math teachers</t>
  </si>
  <si>
    <t>07 Apr 2025, 18:54</t>
  </si>
  <si>
    <t>The relation between math knowledge, anxiety, and confidence in prospective primary school teachers</t>
  </si>
  <si>
    <t>Cognition, Learning, and Information technology; Teaching and Learning for Maximum impact</t>
  </si>
  <si>
    <t>07 Apr 2025, 19:10</t>
  </si>
  <si>
    <t>15th International Congress on Mathematics Education (ICME 15)</t>
  </si>
  <si>
    <t>Random elements in the teaching and learning of probability: From random walks to cultural objects</t>
  </si>
  <si>
    <t>JORGE ANTONIO SOTO ANDRADE (Main Researcher Not part of Central Team)</t>
  </si>
  <si>
    <t>07 Apr 2025, 19:39</t>
  </si>
  <si>
    <t>Visualisation, Embodiment and Metaphorisation “at the Edge” in Mathematics Education</t>
  </si>
  <si>
    <t>07 Apr 2025, 19:40</t>
  </si>
  <si>
    <t>History and Pedagogy of Mathematics (HPM) 2024</t>
  </si>
  <si>
    <t>An intertwining of history, epistemology, mathematics and didactics</t>
  </si>
  <si>
    <t>07 Apr 2025, 19:38</t>
  </si>
  <si>
    <t>07 Apr 2025, 17:57</t>
  </si>
  <si>
    <t>26TH INTERNATIONAL CONFERENCE ON HUMAN-COMPUTER INTERACTION</t>
  </si>
  <si>
    <t>Mobile Sensor Interfaces for Learning Science</t>
  </si>
  <si>
    <t>Jaime Hernan Sánchez Ilabaca (Principal Researcher)</t>
  </si>
  <si>
    <t>28 Mar 2025, 11:58</t>
  </si>
  <si>
    <t>Implementation and Usability Evaluation of an Online Video Game for Learning Musical Harmony</t>
  </si>
  <si>
    <t>28 Mar 2025, 11:59</t>
  </si>
  <si>
    <t>Louvain-Santiago Circulación de saberes  y personas siglos XX-XXI Culturas católicas, teologías, justicia social y abuso de poder</t>
  </si>
  <si>
    <t>Equidad en el sistema educativo chileno</t>
  </si>
  <si>
    <t>28 Mar 2025, 08:53</t>
  </si>
  <si>
    <t>7th annual conference of the Mathematics Cognition and Learning Society (MCLS 2024)</t>
  </si>
  <si>
    <t>Contrasting ANS performance and sensitivity to numerical and non-numerical information for stimuli presented in a separate or intermixed manner</t>
  </si>
  <si>
    <t>Valentina Sofía Giaconi Smoje (Adjunct Researcher); David Maximiliano Gomez Rojas (Adjunct Researcher)</t>
  </si>
  <si>
    <t>07 Apr 2025, 18:51</t>
  </si>
  <si>
    <t>SUNBELT 2024</t>
  </si>
  <si>
    <t>Looking Beyond Representation: Gender Inequities in Research Attrition, Output, Leadership and Collaboration in Chilean Educational Researchers’ Career Trajectories</t>
  </si>
  <si>
    <t>Montero, M.</t>
  </si>
  <si>
    <t>28 Mar 2025, 23:05</t>
  </si>
  <si>
    <t xml:space="preserve">XLI Congreso Internacional de la Asociación de Estudios Latinoamericanos (Latin American Studies Association, LASA) </t>
  </si>
  <si>
    <t>Políticas educacionales en la hibridez televisiva</t>
  </si>
  <si>
    <t>27 Mar 2025, 18:20</t>
  </si>
  <si>
    <t>IMPRS Conference 2024 (Max Planck Institute for Psycholinguistics)</t>
  </si>
  <si>
    <t>International Max Planck Research School (IMPRS) conference</t>
  </si>
  <si>
    <t>27 Mar 2025, 17:19</t>
  </si>
  <si>
    <t>5to Congreso Internacional sobre Liderazgo y Mejora en Educación</t>
  </si>
  <si>
    <t>04 Apr 2025, 19:53</t>
  </si>
  <si>
    <t>04 Apr 2025, 19:55</t>
  </si>
  <si>
    <t>04 Apr 2025, 19:57</t>
  </si>
  <si>
    <t>Marcela Renée Pardo Quiñones (Main Researcher Not part of Central Team); María José Opazo (Postdoctoral Fellow)</t>
  </si>
  <si>
    <t>04 Apr 2025, 21:34</t>
  </si>
  <si>
    <t>7th World Conference on Research in Teaching and Education</t>
  </si>
  <si>
    <t>"The Vertical Arrangement of Response Options in Multiple-Choice Test Items Is Not Always Better"</t>
  </si>
  <si>
    <t>Pablo Ricardo Gabriel Dartnell Roy (Main Researcher Not part of Central Team); Severin Lions (Postdoctoral Fellow)</t>
  </si>
  <si>
    <t>07 Apr 2025, 18:23</t>
  </si>
  <si>
    <t>The 2nd International Conference on Chemistry and Chemistry Education</t>
  </si>
  <si>
    <t>Design and measurement of the impact of teaching and learning strategies in integrated Science Technology Engineering Math (STEM)”</t>
  </si>
  <si>
    <t>05 Apr 2025, 20:24</t>
  </si>
  <si>
    <t>THE 3rd INTERNATIONAL CONFERENCE ON ISLAM AND EDUCATION (ICONIE)</t>
  </si>
  <si>
    <t>Education for Global Harmony</t>
  </si>
  <si>
    <t>05 Apr 2025, 20:07</t>
  </si>
  <si>
    <t>Vision Sciences Society Annual meeting (VSS 2024)</t>
  </si>
  <si>
    <t>Self-initiating stimulus in Short Term Memory: differential effects of temporal prediction and motor control.</t>
  </si>
  <si>
    <t>Seminario "compartiendo buenas experiencias de asistencia y revinculación de los slep en el contexto del plan de reactivación educativa"</t>
  </si>
  <si>
    <t>Inauguración del seminario</t>
  </si>
  <si>
    <t>Juan Pablo Valenzuela Barros (Director); Mauricio Pino Yancovic (Adjunct Researcher)</t>
  </si>
  <si>
    <t>28 Mar 2025, 21:32</t>
  </si>
  <si>
    <t>Conferencia Internacional "IA, pensamiento computacional y matemático en educación básica"</t>
  </si>
  <si>
    <t>Juan Pablo Valenzuela Barros (Director); Roberto NA Araya Schulz (Main Researcher Not part of Central Team)</t>
  </si>
  <si>
    <t>05 Apr 2025, 17:15</t>
  </si>
  <si>
    <t>31° Conferencia del Día Mundial de la Libertad de Prensa UNESCO</t>
  </si>
  <si>
    <t>Entorno digital y desinformación en un Chile polarizado. Una aproximación cualitativa</t>
  </si>
  <si>
    <t>27 Mar 2025, 18:15</t>
  </si>
  <si>
    <t xml:space="preserve">7th SEAMEO Centre Policy Research Network (CPRN) Summit 2024. </t>
  </si>
  <si>
    <t>Brunei</t>
  </si>
  <si>
    <t>Classroom Observations and Discussions: Evaluating Unplugged Computational Thinking Materials Through Student Use and Teacher Reflections.</t>
  </si>
  <si>
    <t>05 Apr 2025, 19:58</t>
  </si>
  <si>
    <t>Unplugged Computational Thinking at Primary Education</t>
  </si>
  <si>
    <t>05 Apr 2025, 19:40</t>
  </si>
  <si>
    <t>Annual meeting of the National Council of Measurement in Education 2024 (NCME 2024)</t>
  </si>
  <si>
    <t>Response Strategies in Multiple-choice Tests: An Option-position-based Strategies Inventory</t>
  </si>
  <si>
    <t>07 Apr 2025, 18:21</t>
  </si>
  <si>
    <t>AERA 2024</t>
  </si>
  <si>
    <t>Reunión RIECH AERA 2024</t>
  </si>
  <si>
    <t>School Improvement and Educational Policies; Teaching and Learning for Maximum impact</t>
  </si>
  <si>
    <t>28 Mar 2025, 09:32</t>
  </si>
  <si>
    <t>Flying a plane while you are building it: Examining the collaborative processes of an RPP in its initial stage.</t>
  </si>
  <si>
    <t>Carmen Lucia de los Angeles Montecinos Sanhueza (Principal Researcher)</t>
  </si>
  <si>
    <t xml:space="preserve">Barbara Zoro, Rebecca Ipinza,  Marcela Peña, Fernanda Goñi, Millicent Contreras, Germán Cona </t>
  </si>
  <si>
    <t>27 Mar 2025, 17:27</t>
  </si>
  <si>
    <t>Motivational Factors and Individual Characteristics Associated With Preservice Teachers' Satisfaction and Intention to Persist</t>
  </si>
  <si>
    <t>Carmen Lucia de los Angeles Montecinos Sanhueza (Principal Researcher); MARIA  BEATRIZ FERNANDEZ COFRE (Adjunct Researcher)</t>
  </si>
  <si>
    <t>School Improvement and Educational Policies; Teacher Development and Professionalism</t>
  </si>
  <si>
    <t>27 Mar 2025, 18:06</t>
  </si>
  <si>
    <t>An examination of principal-perceived teachers’ self-efficacy and its relationship to principal-perceived teachers’ disposition to innovate</t>
  </si>
  <si>
    <t>28 Mar 2025, 08:46</t>
  </si>
  <si>
    <t>Practitioners' Insights on the Effectiveness of Policies Designed to Attract and Retain the Principal Workforce in Chile</t>
  </si>
  <si>
    <t>28 Mar 2025, 08:49</t>
  </si>
  <si>
    <t>Chilean School Principals: Affective Commitment, Stress, Motivation to Leave, relation with Job Demands &amp; Resources</t>
  </si>
  <si>
    <t>Juan Pablo Valenzuela Barros (Director); Carmen Lucia de los Angeles Montecinos Sanhueza (Principal Researcher); Claudio Ignacio Allende González (Adjunct Researcher); Xavier Andrés Vanni Cucurella (Adjunct Researcher)</t>
  </si>
  <si>
    <t>28 Mar 2025, 09:07</t>
  </si>
  <si>
    <t>Navigating the Career Paths of Secondary School Principals in Chile: A Comprehensive Analysis of Role Changes and Influential Factors</t>
  </si>
  <si>
    <t>28 Mar 2025, 09:27</t>
  </si>
  <si>
    <t>Inequalities in learning loss during the covid 19 pandemic in Chile: The significance of schools effectiveness</t>
  </si>
  <si>
    <t>Juan Pablo Valenzuela Barros (Director)</t>
  </si>
  <si>
    <t>28 Mar 2025, 09:30</t>
  </si>
  <si>
    <t>Simposio Internacional de Estadística, Probabilidad e Inferencia en el Aula</t>
  </si>
  <si>
    <t>Alcances y desafíos de la educación estadística en la era IA</t>
  </si>
  <si>
    <t>05 Apr 2025, 19:21</t>
  </si>
  <si>
    <t>Ponencia fondecyt</t>
  </si>
  <si>
    <t>28 Mar 2025, 21:45</t>
  </si>
  <si>
    <t>International Workshop</t>
  </si>
  <si>
    <t>Educación Intercultural Bilingüe en Chile</t>
  </si>
  <si>
    <t>School Improvement and Educational Policies; Teacher Development and Professionalism; Teaching and Learning for Maximum impact</t>
  </si>
  <si>
    <t>28 Mar 2025, 08:52</t>
  </si>
  <si>
    <t>Workshop Math Education</t>
  </si>
  <si>
    <t>Coloring Books and Gamification Strategies to Teach Math and Computational Thinking in Elementary Schools</t>
  </si>
  <si>
    <t>05 Apr 2025, 19:14</t>
  </si>
  <si>
    <t>Workshop Science Education</t>
  </si>
  <si>
    <t>Coloring Books and Gamification Strategies to Teach STEM and Computational Thinking in Elementary Schools</t>
  </si>
  <si>
    <t>05 Apr 2025, 19:17</t>
  </si>
  <si>
    <t>Challenges and Ways Forward in the Era of Generative AI with Reflection on 25 Years of 21st Century Education.</t>
  </si>
  <si>
    <t>Accessible AI Learning for All</t>
  </si>
  <si>
    <t>05 Apr 2025, 19:11</t>
  </si>
  <si>
    <t>Seminario de formación del Equipo Específico de Discapacidad Auditiva de la Comunidad de Madrid</t>
  </si>
  <si>
    <t>Clase: “Plan de Estimulación del Desarrollo Narrativo (Plan Edén)</t>
  </si>
  <si>
    <t>Carmen Julia Coloma Tirapegui (Main Researcher Not part of Central Team)</t>
  </si>
  <si>
    <t>28 Mar 2025, 08:36</t>
  </si>
  <si>
    <t>Aportes y desafíos de la inteligencia artificial en la docencia y aprendizaje</t>
  </si>
  <si>
    <t>Artificial Inteligence: oportunities and challenges for the school system</t>
  </si>
  <si>
    <t>Juan Pablo Valenzuela Barros (Director); Maria Luisa Arancibia Muñoz (Postdoctoral Fellow)</t>
  </si>
  <si>
    <t>28 Mar 2025, 21:41</t>
  </si>
  <si>
    <t>1° Congreso de Educación y Pedagogía de la Universidad de Chile</t>
  </si>
  <si>
    <t>Resolución de un problema socioambiental en estudiantes de 7mo a 2do medio: Desarrollo de pensamiento sistémico, conocimiento y concepciones.</t>
  </si>
  <si>
    <t>Patricio Luis Felmer Aichele (Main Researcher Not part of Central Team); Alessandra Díaz Sacco (Postdoctoral Fellow)</t>
  </si>
  <si>
    <t>28 Mar 2025, 10:40</t>
  </si>
  <si>
    <t>Seminario Pedagogía y Educación</t>
  </si>
  <si>
    <t>“Desigualdades en las pérdidas de aprendizaje durante la pandemia de covid-19: La importancia de la efectividad escolar”.</t>
  </si>
  <si>
    <t xml:space="preserve"> F. Meneses</t>
  </si>
  <si>
    <t>28 Mar 2025, 18:42</t>
  </si>
  <si>
    <t>Juicio profesional de educadoras de párvulos en contextos de escolarización. Exploración del nivel transición en escuelas chilenas</t>
  </si>
  <si>
    <t>04 Apr 2025, 19:49</t>
  </si>
  <si>
    <t>Mentorías en Chile: De la política diseñada a la puesta en acto.</t>
  </si>
  <si>
    <t>Alessandra Díaz Sacco (Postdoctoral Fellow)</t>
  </si>
  <si>
    <t>27 Mar 2025, 17:14</t>
  </si>
  <si>
    <t>Explorando las prácticas embodiment, contenido y pedagogía en la adaptación de un programa de desarrollo profesional en un contexto de altos desafíos</t>
  </si>
  <si>
    <t>Patricio Alejandro Cabello Cádiz (Adjunct Researcher); Alessandra Díaz Sacco (Postdoctoral Fellow)</t>
  </si>
  <si>
    <t>27 Mar 2025, 17:17</t>
  </si>
  <si>
    <t>1º Congreso de Educación y Pedagogía de la Universidad de Chile</t>
  </si>
  <si>
    <t>Aportes de la perspectiva de los comunes a la búsqueda de un proyecto posneoliberal en educación</t>
  </si>
  <si>
    <t>CRISTIAN IVAN BELLEI CARVACHO (Principal Researcher)</t>
  </si>
  <si>
    <t>28 Mar 2025, 09:08</t>
  </si>
  <si>
    <t>Seminario Educación en la Naturaleza</t>
  </si>
  <si>
    <t>Juegos, patios y sistema educativo. Experiencias en jardines infantiles chilenos</t>
  </si>
  <si>
    <t>04 Apr 2025, 21:52</t>
  </si>
  <si>
    <t>XIII Jornada de Dirección y Liderazgo Escolar</t>
  </si>
  <si>
    <t>Condiciones para ejercer el rol de broker en el escalamiento de un modelo de acompañamiento a redes</t>
  </si>
  <si>
    <t>Nicole Estefanía Bustos Aravena (Adjunct Researcher)</t>
  </si>
  <si>
    <t>04 Apr 2025, 21:43</t>
  </si>
  <si>
    <t xml:space="preserve">Congreso ICSEI </t>
  </si>
  <si>
    <t>Chilean Preservice Teachers’ Motivations for Joining the Teaching Profession</t>
  </si>
  <si>
    <t>MARIA  BEATRIZ FERNANDEZ COFRE (Adjunct Researcher)</t>
  </si>
  <si>
    <t>04 Apr 2025, 19:40</t>
  </si>
  <si>
    <t>Juan Pablo Valenzuela Barros (Director); Xavier Andrés Vanni Cucurella (Adjunct Researcher)</t>
  </si>
  <si>
    <t>Millycent Contreras</t>
  </si>
  <si>
    <t>07 Apr 2025, 18:35</t>
  </si>
  <si>
    <t>07 Apr 2025, 18:36</t>
  </si>
  <si>
    <t>The Contributions of Subject Departments Heads to Secondary School Improvement in Chile,</t>
  </si>
  <si>
    <t>28 Mar 2025, 08:41</t>
  </si>
  <si>
    <t>Children’s Rights in Elite Schools: A Necessary Regulation</t>
  </si>
  <si>
    <t>Claudio Ignacio Allende González (Adjunct Researcher)</t>
  </si>
  <si>
    <t>28 Mar 2025, 09:01</t>
  </si>
  <si>
    <t>Fundación Futuro. Desafíos Futuros de la Educación: Submesa de Formación y Carrera Docente</t>
  </si>
  <si>
    <t>Carrera directiva: urgencia para contar con directivos más efectivos en la mejora escolar de Chile</t>
  </si>
  <si>
    <t>28 Mar 2025, 17:26</t>
  </si>
  <si>
    <t>Federico Daniel Navarro (Adjunct Researcher)</t>
  </si>
  <si>
    <t>Writing Research Across Borders WRAB 2023: From early literacy learning to writing in professional life</t>
  </si>
  <si>
    <t>Ponencia: “The T-unit on Trial: Prosecutorial Evidence from a Sample Study”</t>
  </si>
  <si>
    <t>18 Feb 2023</t>
  </si>
  <si>
    <t>19 Jun 2023, 15:45</t>
  </si>
  <si>
    <t>FB0008</t>
  </si>
  <si>
    <t>Sebastian Espinosa (PhD Thesis)</t>
  </si>
  <si>
    <t>Samir Felipe Kouro Renaer (Principal Researcher); JOSE RAMON RODRIGUEZ PEREZ (Adjunct Researcher)</t>
  </si>
  <si>
    <t>Jorge Marín (Postdoctoral Fellow)</t>
  </si>
  <si>
    <t>CHRISTIAN ALEXIS ROJAS MONRROY (Adjunct Researcher); Jorge Marín (Postdoctoral Fellow)</t>
  </si>
  <si>
    <t>Samir Felipe Kouro Renaer (Principal Researcher); CRISTIAN FRANCISCO GARCIA PEÑAILILLO (Adjunct Researcher); JOSE RAMON RODRIGUEZ PEREZ (Adjunct Researcher)</t>
  </si>
  <si>
    <t>Samir Felipe Kouro Renaer (Principal Researcher); Sebastián Andre Rivera Iunnissi (Adjunct Researcher); JOSE RAMON RODRIGUEZ PEREZ (Adjunct Researcher); Hugues Renaudineau (Postdoctoral Fellow)</t>
  </si>
  <si>
    <t>07 May 2025, 11:41</t>
  </si>
  <si>
    <t>07 May 2025, 14:11</t>
  </si>
  <si>
    <t>07 May 2025, 09:54</t>
  </si>
  <si>
    <t>30 Apr 2025, 15:17</t>
  </si>
  <si>
    <t>30 Apr 2025, 10:49</t>
  </si>
  <si>
    <t>30 Apr 2025, 11:37</t>
  </si>
  <si>
    <t>CONCAPAN2024</t>
  </si>
  <si>
    <t>Kevin Chamorro, Alex Navas, Juan Sebastián Gomez, Oscar Cartagena, Luis Marín, Doris Sáez, Gonzalo Aguila</t>
  </si>
  <si>
    <t>08 Oct 2024, 00:48</t>
  </si>
  <si>
    <t>30 Apr 2025, 10:23</t>
  </si>
  <si>
    <t>07 May 2025, 14:27</t>
  </si>
  <si>
    <t>International Future Energy Electronics Conference (IFEEC 2023)</t>
  </si>
  <si>
    <t>Model Predictive Controller for Simplified Split Source Boost Inverters</t>
  </si>
  <si>
    <t>Samir Felipe Kouro Renaer (Principal Researcher); CRISTIAN FRANCISCO GARCIA PEÑAILILLO (Adjunct Researcher); Margarita Norambuena Valdivia (Adjunct Researcher); JOSE RAMON RODRIGUEZ PEREZ (Adjunct Researcher)</t>
  </si>
  <si>
    <t>25 Apr 2024, 12:04</t>
  </si>
  <si>
    <t>07 May 2025, 10:47</t>
  </si>
  <si>
    <t>07 May 2025, 14:44</t>
  </si>
  <si>
    <t>28th International Conference on Optical Fibre Sensors (OFS-2023)</t>
  </si>
  <si>
    <t>Novel low-temperature fiber sensing technique using Brillouin scattering in gas</t>
  </si>
  <si>
    <t>Marcelo Alfonso Soto Hernández (Adjunct Researcher)</t>
  </si>
  <si>
    <t>24 Apr 2024, 12:34</t>
  </si>
  <si>
    <t>Quinteros, N</t>
  </si>
  <si>
    <t>30 Apr 2025, 16:08</t>
  </si>
  <si>
    <t>30 Apr 2025, 16:12</t>
  </si>
  <si>
    <t>Rocío Ortega</t>
  </si>
  <si>
    <t>30 Apr 2025, 16:13</t>
  </si>
  <si>
    <t>30 Apr 2025, 15:35</t>
  </si>
  <si>
    <t>07 May 2025, 14:42</t>
  </si>
  <si>
    <t>07 May 2025, 12:08</t>
  </si>
  <si>
    <t>07 May 2025, 12:02</t>
  </si>
  <si>
    <t>07 May 2025, 12:03</t>
  </si>
  <si>
    <t>07 May 2025, 12:10</t>
  </si>
  <si>
    <t>29 Apr 2025, 16:32</t>
  </si>
  <si>
    <t>30 Apr 2025, 10:16</t>
  </si>
  <si>
    <t>30 Apr 2025, 10:18</t>
  </si>
  <si>
    <t>30 Apr 2025, 10:19</t>
  </si>
  <si>
    <t>30 Apr 2025, 10:20</t>
  </si>
  <si>
    <t>30 Apr 2025, 16:03</t>
  </si>
  <si>
    <t>07 May 2025, 11:56</t>
  </si>
  <si>
    <t>30 Apr 2025, 12:11</t>
  </si>
  <si>
    <t>07 May 2025, 10:50</t>
  </si>
  <si>
    <t>30 Apr 2025, 11:39</t>
  </si>
  <si>
    <t>50th Annual Conference of the IEEE Industrial Electronics Society (IECON’2024)</t>
  </si>
  <si>
    <t>07 May 2025, 09:52</t>
  </si>
  <si>
    <t>Samir Felipe Kouro Renaer (Principal Researcher); Hugues Renaudineau (Postdoctoral Fellow)</t>
  </si>
  <si>
    <t>07 May 2025, 10:36</t>
  </si>
  <si>
    <t>07 May 2025, 10:38</t>
  </si>
  <si>
    <t>07 May 2025, 10:41</t>
  </si>
  <si>
    <t>07 May 2025, 14:05</t>
  </si>
  <si>
    <t>07 May 2025, 14:06</t>
  </si>
  <si>
    <t>Samir Felipe Kouro Renaer (Principal Researcher); Margarita Norambuena (Principal Researcher); JOSE RAMON RODRIGUEZ PEREZ (Adjunct Researcher)</t>
  </si>
  <si>
    <t>07 May 2025, 14:09</t>
  </si>
  <si>
    <t>Marcelo Alejandro Pérez Leiva (Principal Researcher); JOSE RAMON RODRIGUEZ PEREZ (Adjunct Researcher)</t>
  </si>
  <si>
    <t>07 May 2025, 14:55</t>
  </si>
  <si>
    <t>07 May 2025, 14:56</t>
  </si>
  <si>
    <t>Matías Alegría, Alex Navas, Yeiner Arias, Luis Jiménez, Doris Sáez</t>
  </si>
  <si>
    <t>08 Oct 2024, 00:51</t>
  </si>
  <si>
    <t>07 May 2025, 13:55</t>
  </si>
  <si>
    <t>07 May 2025, 11:19</t>
  </si>
  <si>
    <t>07 May 2025, 12:16</t>
  </si>
  <si>
    <t>30 Apr 2025, 11:45</t>
  </si>
  <si>
    <t>49th Annual Conference of the IEEE Industrial Electronics Society (IECON 2023)</t>
  </si>
  <si>
    <t>Doubly Grounded Boost-Type Five-Level Neutral Point Clamped PV Inverter with Model Predictive Controller</t>
  </si>
  <si>
    <t>Samir Felipe Kouro Renaer (Principal Researcher); Margarita Norambuena Valdivia (Adjunct Researcher); JOSE RAMON RODRIGUEZ PEREZ (Adjunct Researcher)</t>
  </si>
  <si>
    <t>25 Apr 2024, 12:02</t>
  </si>
  <si>
    <t>Analysis of DMS-Controlled Three-Phase Single-Stage SEPIC Differential-Mode Grid-Connected Inverter</t>
  </si>
  <si>
    <t>25 Apr 2024, 13:32</t>
  </si>
  <si>
    <t>Feed-forward Technique to Emulate Natural Sampling Method for Cascaded H-bridge Converters</t>
  </si>
  <si>
    <t>25 Apr 2024, 13:33</t>
  </si>
  <si>
    <t>07 May 2025, 14:38</t>
  </si>
  <si>
    <t>30 Apr 2025, 14:33</t>
  </si>
  <si>
    <t>07 May 2025, 09:56</t>
  </si>
  <si>
    <t>Juan Carlos Aguero Vasquez (Adjunct Researcher); Angel Cedeño (Postdoctoral Fellow)</t>
  </si>
  <si>
    <t>Daniel Muñoz</t>
  </si>
  <si>
    <t>07 May 2025, 11:53</t>
  </si>
  <si>
    <t>“Intelligent Control for Type I Partial Power Converters in EV Charging Systems: Twin-Delayed Deep Deterministic Policy Gradient Approach</t>
  </si>
  <si>
    <t>07 May 2025, 13:58</t>
  </si>
  <si>
    <t>07 May 2025, 14:00</t>
  </si>
  <si>
    <t>Margarita Norambuena (Principal Researcher)</t>
  </si>
  <si>
    <t>07 May 2025, 14:26</t>
  </si>
  <si>
    <t>Juan Carlos Aguero Vasquez (Adjunct Researcher)</t>
  </si>
  <si>
    <t>07 May 2025, 14:41</t>
  </si>
  <si>
    <t>30 Apr 2025, 14:38</t>
  </si>
  <si>
    <t>07 May 2025, 11:43</t>
  </si>
  <si>
    <t>07 May 2025, 10:53</t>
  </si>
  <si>
    <t>Evento IEEE Universidad Santiago de Cali</t>
  </si>
  <si>
    <t>Avanzando hacia el Internet de las Cosas Espaciales</t>
  </si>
  <si>
    <t>25 Apr 2024, 11:34</t>
  </si>
  <si>
    <t>European Conference on Optical Communication (ECOC)</t>
  </si>
  <si>
    <t>Earthquake Monitoring Using Fibre-Optic Distributed Acoustic Sensing</t>
  </si>
  <si>
    <t>24 Apr 2024, 12:32</t>
  </si>
  <si>
    <t>30 Apr 2025, 16:01</t>
  </si>
  <si>
    <t>First Workshop on Connected Micromobility for Safe and Sustainable Communities</t>
  </si>
  <si>
    <t>Yanez, Alexis</t>
  </si>
  <si>
    <t>08 Oct 2024, 00:43</t>
  </si>
  <si>
    <t>07 May 2025, 14:32</t>
  </si>
  <si>
    <t>07 May 2025, 14:34</t>
  </si>
  <si>
    <t>07 May 2025, 14:35</t>
  </si>
  <si>
    <t>2024 11th International Conference on Power and Energy Systems Engineering (CPESE 2024)</t>
  </si>
  <si>
    <t>Advancing Electric Vehicle Load Estimation for Power Distribution Systems</t>
  </si>
  <si>
    <t>08 Oct 2024, 00:07</t>
  </si>
  <si>
    <t>PEVOC 2024</t>
  </si>
  <si>
    <t>Inferring Physiological Parameters in Phonotraumatic Vocal Hyperfunction: Insights from Ambulatory Voice Data</t>
  </si>
  <si>
    <t>Matias - Zañartu Salas (Director)</t>
  </si>
  <si>
    <t>08 Oct 2024, 01:37</t>
  </si>
  <si>
    <t>Euromicro Conference on Digital System Design (DSD): Architectures, Methods &amp; Tools</t>
  </si>
  <si>
    <t>A hardware accelerator for quantile estimation of network packet attributes</t>
  </si>
  <si>
    <t>Miguel Ernesto Figueroa Toro (Adjunct Researcher)</t>
  </si>
  <si>
    <t>Gallardo-Pavesi, C.; Fernández, Y.; Soto, J. E.; Hernández, C;</t>
  </si>
  <si>
    <t>08 Oct 2024, 01:49</t>
  </si>
  <si>
    <t>IEEE Workshop on Optimizing Interplanetary Communication Through Network Autonomy</t>
  </si>
  <si>
    <t>Max-Flow Laser Inter-Satellite Link Scheduling for Martian Exploration</t>
  </si>
  <si>
    <t>Gerard, Jason</t>
  </si>
  <si>
    <t>08 Oct 2024, 00:41</t>
  </si>
  <si>
    <t>Seminario del Doctorado en Sistemas de Ingeniería</t>
  </si>
  <si>
    <t>Inteligencia Artificial y Transformación Digital: ¿Cuando mi Sistema de Ingeniería necesita IA?</t>
  </si>
  <si>
    <t>Mauricio Alejandro Araya López (Adjunct Researcher)</t>
  </si>
  <si>
    <t>08 Oct 2024, 01:17</t>
  </si>
  <si>
    <t>SINAPE 2024</t>
  </si>
  <si>
    <t>A Novel Coefficient for Assessing Agreement Between Two Continuous Variables</t>
  </si>
  <si>
    <t>08 Oct 2024, 01:12</t>
  </si>
  <si>
    <t>Carreno, A; Malinowski, M</t>
  </si>
  <si>
    <t>29 Apr 2025, 11:50</t>
  </si>
  <si>
    <t>29 Apr 2025, 15:21</t>
  </si>
  <si>
    <t>METMA XI</t>
  </si>
  <si>
    <t>A Concordante Coefficient for Areal Data</t>
  </si>
  <si>
    <t>08 Oct 2024, 01:11</t>
  </si>
  <si>
    <t>13th International Conference on Voice Physiology and Biomechanics</t>
  </si>
  <si>
    <t>Optimizing Frequency Response in Ambulatory Voice Monitoring: Aligning Laboratory Accelerometer Data for Enhanced Voice Disorder Assessment</t>
  </si>
  <si>
    <t>Matias - Zañartu Salas (Director); Juan Pablo Cortés Sotomayor (Adjunct Researcher)</t>
  </si>
  <si>
    <t xml:space="preserve">Víctor M. Espinoza; , Rocio Ortega; Christian Castro; </t>
  </si>
  <si>
    <t>08 Oct 2024, 00:55</t>
  </si>
  <si>
    <t>13th International Conference on Voice Physiology and Biomechanics (ICVPB 2024)</t>
  </si>
  <si>
    <t>Forward mapping estimation for laryngeal motor control using machine learning techniques</t>
  </si>
  <si>
    <t>Jesús Parra</t>
  </si>
  <si>
    <t>08 Oct 2024, 01:22</t>
  </si>
  <si>
    <t>Modelling the influence of localized edema on vocal fold kinetics and kinematics</t>
  </si>
  <si>
    <t>08 Oct 2024, 01:24</t>
  </si>
  <si>
    <t>Experimental measurement of the internal tissue velocity in a self-oscillating synthetic vocal fold model</t>
  </si>
  <si>
    <t>08 Oct 2024, 01:25</t>
  </si>
  <si>
    <t>Investigating the correlation between diverse vocal tasks and intermuscular coherence: a pilot study using high-density electromyography</t>
  </si>
  <si>
    <t>08 Oct 2024, 01:27</t>
  </si>
  <si>
    <t>Acoustic and neurophysiological aspects of lombard effect</t>
  </si>
  <si>
    <t>08 Oct 2024, 01:29</t>
  </si>
  <si>
    <t>Improved subglottal pressure estimation from neck-surface vibrations using transfer learning of deep neural networks trained from voice production model</t>
  </si>
  <si>
    <t>08 Oct 2024, 01:31</t>
  </si>
  <si>
    <t>Integrating biomechanical models, ambulatory monitoring, and statistical analysis for understanding non-phonotraumatic vocal hyperfunction</t>
  </si>
  <si>
    <t>Carlos Calvache, Jesús Parra</t>
  </si>
  <si>
    <t>08 Oct 2024, 01:32</t>
  </si>
  <si>
    <t>Adding vibrato-based ambulatory singing measures in the clinical assessment of patients with vocal hyperfunction</t>
  </si>
  <si>
    <t>08 Oct 2024, 01:34</t>
  </si>
  <si>
    <t>Voice loudness, self-assessment, and auditory-sensory feedback in voice production in Parkinson's disease</t>
  </si>
  <si>
    <t>08 Oct 2024, 01:35</t>
  </si>
  <si>
    <t>2024 IEEE Power &amp; Energy Society General Meeting (IEEE-PES-GM 2024)</t>
  </si>
  <si>
    <t>Optimizing Capacity Expansion Planning: An Efficient Two-Stage Stochastic Programming Solution using Lagrangian Relaxation</t>
  </si>
  <si>
    <t>08 Oct 2024, 00:10</t>
  </si>
  <si>
    <t>25th International Symposium on Mathematical Programming</t>
  </si>
  <si>
    <t>A Data-Driven Robust Approach to Characterize Operational Flexibility Zones of Active Distribution Networks</t>
  </si>
  <si>
    <t>08 Oct 2024, 01:10</t>
  </si>
  <si>
    <t>120th Meeting Internet Engineering Task Force</t>
  </si>
  <si>
    <t>IPSEC</t>
  </si>
  <si>
    <t>Hatami, Maryam;</t>
  </si>
  <si>
    <t>08 Oct 2024, 00:39</t>
  </si>
  <si>
    <t>33rd Annual Computational Neuroscience Meeting</t>
  </si>
  <si>
    <t>The emergence of high-order interdependencies in learning neural networks</t>
  </si>
  <si>
    <t>Pamela Illescas, Diego Becerra</t>
  </si>
  <si>
    <t>08 Oct 2024, 00:30</t>
  </si>
  <si>
    <t>20th IFAC Symposium on System Identification</t>
  </si>
  <si>
    <t>SYSTEM IDENTIFICATION: learning models for decision and control</t>
  </si>
  <si>
    <t>23 Apr 2024, 21:42</t>
  </si>
  <si>
    <t>The 1st IEEE ICME Workshop on Surpassing Latency Limits in Adaptive Live Video Streaming (LIVES’24)</t>
  </si>
  <si>
    <t>Optimizing Quality and Energy Efficiency in WebRTC with ML-Powered Adaptive FEC</t>
  </si>
  <si>
    <t>Jason, Gerard</t>
  </si>
  <si>
    <t>08 Oct 2024, 00:36</t>
  </si>
  <si>
    <t>2024 Space-Terrestrial Internetworking Workshop</t>
  </si>
  <si>
    <t>On the Role of Delay Tolerant Networks and Contact Graph Routing in Direct-to-Satellite IoT</t>
  </si>
  <si>
    <t>Maldonado, Diego</t>
  </si>
  <si>
    <t>08 Oct 2024, 00:37</t>
  </si>
  <si>
    <t>American Control Conference 2024</t>
  </si>
  <si>
    <t>Nonminimum Phase Zeros Effect on the Signal-to-Noise Ratio Channel Input Constraint in Continuous Time</t>
  </si>
  <si>
    <t>08 Oct 2024, 02:06</t>
  </si>
  <si>
    <t>Seminario Departamento de Matemática, Universidad de Atacama</t>
  </si>
  <si>
    <t>On the Effective Sample Size for Spatial Models</t>
  </si>
  <si>
    <t>08 Oct 2024, 01:14</t>
  </si>
  <si>
    <t>30 Apr 2025, 11:48</t>
  </si>
  <si>
    <t>Challenge on “Future 6G NTN Systems” - Sixth International Conference on Communications, Signal Processing, and their Applications (ICCSPA’24)</t>
  </si>
  <si>
    <t>Sailing the Cosmic Seas: Improving Dependability in IoT-Based Deep Space Exploration</t>
  </si>
  <si>
    <t>08 Oct 2024, 00:40</t>
  </si>
  <si>
    <t>European Conference of the PHM Society 2024</t>
  </si>
  <si>
    <t>A Flexible Methodology for Uncertainty-Quantified Monitoring of Abrasive Wear in Heavy Machinery Using Neural Networks and Phenomenology-Based Feature Engineering</t>
  </si>
  <si>
    <t>Thomas Bate, Nicolas Tagle</t>
  </si>
  <si>
    <t>08 Oct 2024, 00:04</t>
  </si>
  <si>
    <t>07 May 2025, 09:49</t>
  </si>
  <si>
    <t>07 May 2025, 09:50</t>
  </si>
  <si>
    <t>2024 Int. Conf. on Synthesis, Modeling, Analysis and Simulation Methods, and Applications to Circuit Design (SMACD)</t>
  </si>
  <si>
    <t>FPGA Implementation of an Elementary ReRAM Memory Control Unit</t>
  </si>
  <si>
    <t>Ioannis Vourkas (Adjunct Researcher)</t>
  </si>
  <si>
    <t>08 Oct 2024, 01:54</t>
  </si>
  <si>
    <t>PyDay Valparaíso</t>
  </si>
  <si>
    <t>Procesando señales definidas sobre grafos usando Python</t>
  </si>
  <si>
    <t>Camilo Jara, Lucas Cortés</t>
  </si>
  <si>
    <t>08 Oct 2024, 01:07</t>
  </si>
  <si>
    <t>Pyday Valparaíso 2024</t>
  </si>
  <si>
    <t>Diseño de chips analógicos asistida con Python</t>
  </si>
  <si>
    <t>Mario Romero</t>
  </si>
  <si>
    <t>08 Oct 2024, 01:47</t>
  </si>
  <si>
    <t>MIXDES 2024</t>
  </si>
  <si>
    <t>Leveraging Lookup Tables for Efficient LDO Design Exploration using Open-Source CAD Tools and IHP-Open130-G2 PDK</t>
  </si>
  <si>
    <t>Daniel Arévalos</t>
  </si>
  <si>
    <t>08 Oct 2024, 01:41</t>
  </si>
  <si>
    <t>2024 Int. Conf. on Modern Circuits and Syst. Technol. (MOCAST)</t>
  </si>
  <si>
    <t>An Advanced Memory WRITE Algorithm to Mitigate the Effects of ReRAM Cell Variability</t>
  </si>
  <si>
    <t>08 Oct 2024, 01:53</t>
  </si>
  <si>
    <t>Institutskolloquium IHP</t>
  </si>
  <si>
    <t>Energy management open-source analog building blocks from concept to silicon-proven IP</t>
  </si>
  <si>
    <t>08 Oct 2024, 01:43</t>
  </si>
  <si>
    <t>Margarita Norambuena (Principal Researcher); Marcelo Alejandro Pérez Leiva (Principal Researcher)</t>
  </si>
  <si>
    <t>07 May 2025, 14:53</t>
  </si>
  <si>
    <t>The Organization for Human Brain Mapping (OHBM) 2024 Annual Meeting</t>
  </si>
  <si>
    <t>Deep Learning Approach for Automated White Matter Fiber BundleSegmentation</t>
  </si>
  <si>
    <t>08 Oct 2024, 02:16</t>
  </si>
  <si>
    <t>OHBM 2024</t>
  </si>
  <si>
    <t>Dynamics brain-state allocation using echo state network</t>
  </si>
  <si>
    <t>WAEL EL-DEREDY (Adjunct Researcher); Felipe Torres (Postdoctoral Fellow)</t>
  </si>
  <si>
    <t>Yolanda Vives-Gilabert, Andre Gómez-Lombardi,</t>
  </si>
  <si>
    <t>08 Oct 2024, 00:16</t>
  </si>
  <si>
    <t>Large scale network modelling of the effect of sensory and electric brain stimulation</t>
  </si>
  <si>
    <t>WAEL EL-DEREDY (Adjunct Researcher); Alejandro Jose Weinstein Oppenheimer (Adjunct Researcher); Felipe Torres (Postdoctoral Fellow)</t>
  </si>
  <si>
    <t xml:space="preserve">Mónica Otero, Caroline Lea-Carnall, Joana Cabral, </t>
  </si>
  <si>
    <t>08 Oct 2024, 00:21</t>
  </si>
  <si>
    <t>HSMM with Gaussian Processes emissions: A method for interpretable modeling of neuroimaging data</t>
  </si>
  <si>
    <t xml:space="preserve">Yunier Pieur-Coloma, David Araya, </t>
  </si>
  <si>
    <t>08 Oct 2024, 00:22</t>
  </si>
  <si>
    <t>Multiscale subdivision of an anatomical cortical parcellation based ongeodesic distance</t>
  </si>
  <si>
    <t>Pamela Beatriz Guevara Alvez (Principal Researcher); WAEL EL-DEREDY (Adjunct Researcher)</t>
  </si>
  <si>
    <t>Yarelis Prieto, Joaquín Molina, Mónica Otero, Cecilia Hernández, Cyril Poupon, Jean-François Mangin,</t>
  </si>
  <si>
    <t>08 Oct 2024, 02:18</t>
  </si>
  <si>
    <t>The impact of COVID-19 on the integrity of deep and superficialwhite matter bundles</t>
  </si>
  <si>
    <t>Pamela Beatriz Guevara Alvez (Principal Researcher); WAEL EL-DEREDY (Adjunct Researcher); Claudio Román (Postdoctoral Fellow)</t>
  </si>
  <si>
    <t>P Carvajal, P Soto, L Kausel, P Billeke</t>
  </si>
  <si>
    <t>08 Oct 2024, 02:19</t>
  </si>
  <si>
    <t>Inference of structural alterations in AD from resting-state EEG and whole-brain network model</t>
  </si>
  <si>
    <t>09 Oct 2024, 08:19</t>
  </si>
  <si>
    <t>2024 Organization for Human Brain MappingAnnual Meeting</t>
  </si>
  <si>
    <t>Inference of sturctural alteration in AD from resting-state EEG and whole-brain network model</t>
  </si>
  <si>
    <t>24 Apr 2024, 11:22</t>
  </si>
  <si>
    <t>30th Annual Meeting for the Organization for Human Brain Mapping</t>
  </si>
  <si>
    <t>The impact of COVID-19 on the integrity of deep and superficial white matter bundles</t>
  </si>
  <si>
    <t>Claudio Román (Postdoctoral Fellow)</t>
  </si>
  <si>
    <t>08 Oct 2024, 01:45</t>
  </si>
  <si>
    <t>Free Silicon Conference 2024</t>
  </si>
  <si>
    <t>Unlocking the power: energy management open-source analogbuilding blocks from concept to silicon-proven IP</t>
  </si>
  <si>
    <t>08 Oct 2024, 01:44</t>
  </si>
  <si>
    <t>Latin X at NAACL 2024</t>
  </si>
  <si>
    <t>Clinical NLP and other interests</t>
  </si>
  <si>
    <t>08 Oct 2024, 00:34</t>
  </si>
  <si>
    <t>07 May 2025, 14:57</t>
  </si>
  <si>
    <t>The science and stakes of Large Language Models</t>
  </si>
  <si>
    <t>Felipe Torres (Postdoctoral Fellow)</t>
  </si>
  <si>
    <t>08 Oct 2024, 00:19</t>
  </si>
  <si>
    <t>IEEE Power Electronics Society (PELS) - Technical Committee 1: Control and Modeling of Power Electronics.</t>
  </si>
  <si>
    <t>Advanced Topics of Model Predictive Control in Power Electronics</t>
  </si>
  <si>
    <t>CRISTIAN FRANCISCO GARCIA PEÑAILILLO (Adjunct Researcher); JOSE RAMON RODRIGUEZ PEREZ (Adjunct Researcher)</t>
  </si>
  <si>
    <t>08 Oct 2024, 00:44</t>
  </si>
  <si>
    <t>URSI Atlantic Radio Science Conference 2024</t>
  </si>
  <si>
    <t>Two-Frequency mmWave Measurement-Based Modeling for Stadium Coverage</t>
  </si>
  <si>
    <t>08 Oct 2024, 00:24</t>
  </si>
  <si>
    <t>UVIGO International Staff Week 2024</t>
  </si>
  <si>
    <t>Dos Problemas Desafiantes en el Modelamiento de Datos Espaciales</t>
  </si>
  <si>
    <t>08 Oct 2024, 01:08</t>
  </si>
  <si>
    <t>5° Simposio “Desde las Ciencias Fundamentales a la Arena Clínica en Medicina – 2024</t>
  </si>
  <si>
    <t>Correlation between fetal movement oscillation recorded by acelerometry and motor activity measured by obstretic abdominal ultrasound</t>
  </si>
  <si>
    <t>A. Ibacache, V. Contreras, M. Ávila, JF. Vivanco, F. Pardo, J. Pozo</t>
  </si>
  <si>
    <t>08 Oct 2024, 01:05</t>
  </si>
  <si>
    <t>Jornadas de Matemática de la Zona Sur</t>
  </si>
  <si>
    <t>Assessing the agreement between two continuous variables</t>
  </si>
  <si>
    <t>08 Oct 2024, 01:15</t>
  </si>
  <si>
    <t>15th Electrical and Computer Engineering Student Conference (ECESCON or ??????)</t>
  </si>
  <si>
    <t>The Rise of ReRAM Technology &amp; Instrumentation Solutions to Boost R&amp;D Efforts in Academia</t>
  </si>
  <si>
    <t>08 Oct 2024, 01:55</t>
  </si>
  <si>
    <t>Conexión I+D Aeroespacial FIDAE 2024</t>
  </si>
  <si>
    <t>Microelectronics for Space Applications</t>
  </si>
  <si>
    <t>08 Oct 2024, 02:01</t>
  </si>
  <si>
    <t>30 Apr 2025, 15:15</t>
  </si>
  <si>
    <t>2024 Panhellenic Conference on Electronics and Telecommunications (PACET)</t>
  </si>
  <si>
    <t>On the HW Design of a Memory Control Unit Oriented to the Resistive Memory Technology</t>
  </si>
  <si>
    <t>08 Oct 2024, 01:51</t>
  </si>
  <si>
    <t>CERN Committee visit</t>
  </si>
  <si>
    <t>Microelectronics Research team</t>
  </si>
  <si>
    <t>08 Oct 2024, 01:58</t>
  </si>
  <si>
    <t>TractAnat Retreat 2024</t>
  </si>
  <si>
    <t>Fiber Clustering and Filtering methods</t>
  </si>
  <si>
    <t>08 Oct 2024, 02:15</t>
  </si>
  <si>
    <t>2024 Argentine Conference on Electronics (CAE)</t>
  </si>
  <si>
    <t>SiC CMOS Gate Driver for High-Temperature Aerospace Applications</t>
  </si>
  <si>
    <t>CHRISTIAN ALEXIS ROJAS MONRROY (Adjunct Researcher); Alan Wilson (Postdoctoral Fellow); Felipe Torres (Postdoctoral Fellow); Jorge Marín (Postdoctoral Fellow)</t>
  </si>
  <si>
    <t>23 Apr 2024, 23:48</t>
  </si>
  <si>
    <t>Thin gate oxide CMOS DC-DC Buck converter with floating gate drivers</t>
  </si>
  <si>
    <t>23 Apr 2024, 23:50</t>
  </si>
  <si>
    <t>LASCAS2024</t>
  </si>
  <si>
    <t>Analog integrated circuit design using opensource software tools and PDKs</t>
  </si>
  <si>
    <t>25 Apr 2024, 12:12</t>
  </si>
  <si>
    <t>2024 IEEE Latin American Symposium on Circuits and Systems (LASCAS)</t>
  </si>
  <si>
    <t>Design and automated layout generation of a PMIC core in Skywater 130nm Open-Source Technology</t>
  </si>
  <si>
    <t>23 Apr 2024, 23:43</t>
  </si>
  <si>
    <t>CPEEE 2024 - 14th International Conference on Power, Energy, and Electrical Engineering</t>
  </si>
  <si>
    <t>Alejandro Alberto Angulo Cárdenas (Adjunct Researcher); Margarita Norambuena Valdivia (Adjunct Researcher)</t>
  </si>
  <si>
    <t>24 Apr 2024, 12:46</t>
  </si>
  <si>
    <t>Photonics West</t>
  </si>
  <si>
    <t>High-performance distributed Brillouin sensing: from fundamentals to latest developments</t>
  </si>
  <si>
    <t>27 Jan 2024</t>
  </si>
  <si>
    <t>24 Apr 2024, 12:37</t>
  </si>
  <si>
    <t>Charla UdeC</t>
  </si>
  <si>
    <t>5G(mmWave)/IoT: Modelamiento y caracterización del canal inalámbrico</t>
  </si>
  <si>
    <t>23 Apr 2024, 23:24</t>
  </si>
  <si>
    <t>24 Apr 2024, 12:07</t>
  </si>
  <si>
    <t>Pamela Beatriz Guevara Alvez (Adjunct Researcher)</t>
  </si>
  <si>
    <t>Maria-Jose Escobar Silva (Adjunct Researcher)</t>
  </si>
  <si>
    <t>FB210003</t>
  </si>
  <si>
    <t>Manuel Alejandro Aravena Aguirre (Adjunct Researcher)</t>
  </si>
  <si>
    <t>3. Galaxies</t>
  </si>
  <si>
    <t>Pietro Curone (Postdoctoral Fellow)</t>
  </si>
  <si>
    <t>5. Star and planet formation</t>
  </si>
  <si>
    <t>XIX Reunion Anual de la Sociedad Chilena de Astronomía</t>
  </si>
  <si>
    <t>Marie Rodríguez Sánchez (PhD Thesis)</t>
  </si>
  <si>
    <t>Tomas Cassanelli Espejo (Adjunct Researcher)</t>
  </si>
  <si>
    <t>8. Astronomical Instrumentation</t>
  </si>
  <si>
    <t>Laura María Pérez Muñoz (Principal Researcher)</t>
  </si>
  <si>
    <t>Antonela Monachesi Casali (Principal Researcher)</t>
  </si>
  <si>
    <t>1. Cosmology and Galaxy formation</t>
  </si>
  <si>
    <t>6. Exoplanets and astrobiology</t>
  </si>
  <si>
    <t>Constraining the Photometric Redshifts of Quasars using Variability in the Era of Large Surveys</t>
  </si>
  <si>
    <t>Sarath Satheesh (PhD Thesis)</t>
  </si>
  <si>
    <t>Galactic Ecosystems Under the Microscope</t>
  </si>
  <si>
    <t>Rodrigo Ignacio Herrera-Camus (Adjunct Researcher)</t>
  </si>
  <si>
    <t>Canadian-Chilean Array for Radio Transient Studies (CHARTS)</t>
  </si>
  <si>
    <t>Médéric Boquien (Adjunct Researcher)</t>
  </si>
  <si>
    <t>Evelyn Joanne Johnston (Adjunct Researcher)</t>
  </si>
  <si>
    <t xml:space="preserve"> 4. Local Universe</t>
  </si>
  <si>
    <t>Chiara Mazzucchelli (Adjunct Researcher)</t>
  </si>
  <si>
    <t>2. Supermassive Black Holes and Energetic phenomena</t>
  </si>
  <si>
    <t>Brian Tapia (Undergraduate Thesis)</t>
  </si>
  <si>
    <t>Jenny Gonzalez Jara (PhD Thesis)</t>
  </si>
  <si>
    <t>Characterization of H2 abundance in an interacting galaxy system</t>
  </si>
  <si>
    <t>Emanuel Sillero (Postdoctoral Fellow)</t>
  </si>
  <si>
    <t>25 Aug 2025, 10:23</t>
  </si>
  <si>
    <t>Nicolas Sandoval Garrido (Master Thesis)</t>
  </si>
  <si>
    <t>Daniela Victoria Barrientos Acevedo (Postdoctoral Fellow)</t>
  </si>
  <si>
    <t>Saroon Sasi (PhD Thesis)</t>
  </si>
  <si>
    <t>SDSS-V Collaboration Meeting</t>
  </si>
  <si>
    <t>Guillermo Blanc (Adjunct Researcher)</t>
  </si>
  <si>
    <t>Cristobal Javier Sifon Andalaft (Adjunct Researcher)</t>
  </si>
  <si>
    <t>Bruno Moreira de Souza Dias (Adjunct Researcher)</t>
  </si>
  <si>
    <t>Leonardo Vanzi (Adjunct Researcher)</t>
  </si>
  <si>
    <t>Ignacio Muñoz (Undergraduate Thesis)</t>
  </si>
  <si>
    <t xml:space="preserve"> 7. Theoretical Astrophysics</t>
  </si>
  <si>
    <t>Dante Minniti (Principal Researcher)</t>
  </si>
  <si>
    <t>22 Aug 2025, 11:19</t>
  </si>
  <si>
    <t>Maria Celeste Artale (Adjunct Researcher)</t>
  </si>
  <si>
    <t>Ileyk El-Mellah (Adjunct Researcher)</t>
  </si>
  <si>
    <t>Host Galaxies of binary compact object mergers</t>
  </si>
  <si>
    <t>Claudio Ricci (Adjunct Researcher)</t>
  </si>
  <si>
    <t>5. Star and planet formation; 6. Exoplanets and astrobiology</t>
  </si>
  <si>
    <t>Optical and near-IR planetary science in Chile</t>
  </si>
  <si>
    <t>Challenges in the Spectral Characterization of Ultra-Cool Dwarfs</t>
  </si>
  <si>
    <t>Bárbara Rojas Ayala (Adjunct Researcher)</t>
  </si>
  <si>
    <t>22 Aug 2025, 18:15</t>
  </si>
  <si>
    <t>The Extreme Worlds Laboratory: The Search and Characterisation of UltraHot Neptunes</t>
  </si>
  <si>
    <t>James Stewart Jenkins Fisher (Principal Researcher)</t>
  </si>
  <si>
    <t>22 Aug 2025, 18:56</t>
  </si>
  <si>
    <t>Science at Low Frequencies (SALF) X</t>
  </si>
  <si>
    <t>25 Aug 2025, 10:14</t>
  </si>
  <si>
    <t>Deciphering the Cosmic Code for Galaxy Formation</t>
  </si>
  <si>
    <t>Physical Properties of Gas and Stellar Populations in Galaxy Mergers Hosting Dual AGN from ALMA and VLT/MUSE Observations</t>
  </si>
  <si>
    <t>26 Aug 2025, 12:20</t>
  </si>
  <si>
    <t>Chemical Abundances as Fingerprints of Galaxy Formation</t>
  </si>
  <si>
    <t>Francisco Jara Ferreira (Master Thesis)</t>
  </si>
  <si>
    <t>21 Aug 2025, 18:06</t>
  </si>
  <si>
    <t>Study of the chemo-dynamical properties of galactic discs in numerical simulations</t>
  </si>
  <si>
    <t>Benjamin Silva Mella (Undergraduate Thesis)</t>
  </si>
  <si>
    <t>21 Aug 2025, 18:09</t>
  </si>
  <si>
    <t>Radial Metallicity Gradients of Star-Forming Gas and Young Stars in Disc Galaxies</t>
  </si>
  <si>
    <t>Isha Shailesh (PhD Thesis)</t>
  </si>
  <si>
    <t>21 Aug 2025, 18:14</t>
  </si>
  <si>
    <t>Metals in bulges: [Fe/H] abundance trends as a function of the galaxy assembly</t>
  </si>
  <si>
    <t>21 Aug 2025, 18:17</t>
  </si>
  <si>
    <t>Astroinformatics</t>
  </si>
  <si>
    <t>High-Performance GPUs simulations of massive black hole formation driven by runaway stellar collisions in galactic nuclei.</t>
  </si>
  <si>
    <t>Andres Felipe Escala Astorquiza (Principal Researcher)</t>
  </si>
  <si>
    <t>22 Aug 2025, 13:33</t>
  </si>
  <si>
    <t>Deciphering the Cosmic Code for Galaxy Formation (DCC2024)</t>
  </si>
  <si>
    <t>Linking morphological and kinematical distortions with recent galactic evolutionary histories</t>
  </si>
  <si>
    <t>Facundo Ariel Gómez Tavella (Adjunct Researcher)</t>
  </si>
  <si>
    <t>25 Aug 2025, 13:52</t>
  </si>
  <si>
    <t>High-redshift Proto-clusters in Cosmological Simulations</t>
  </si>
  <si>
    <t>Maria Celeste Artale (Adjunct Researcher); Ankit Kumar (Postdoctoral Fellow)</t>
  </si>
  <si>
    <t>25 Aug 2025, 16:05</t>
  </si>
  <si>
    <t>Stellar halos of galaxies: Fossil relics of mass assembly</t>
  </si>
  <si>
    <t>22 Aug 2025, 10:26</t>
  </si>
  <si>
    <t>Insight into the physical processes that shape the metallicity profiles in galaxies</t>
  </si>
  <si>
    <t>21 Aug 2025, 17:09</t>
  </si>
  <si>
    <t>Unveiling the formation channels of stellar haloes</t>
  </si>
  <si>
    <t>21 Aug 2025, 17:13</t>
  </si>
  <si>
    <t>21 Aug 2025, 17:16</t>
  </si>
  <si>
    <t xml:space="preserve">The connections between kinematic structure and stellar properties. A perspective through simulated galaxies. </t>
  </si>
  <si>
    <t>21 Aug 2025, 17:54</t>
  </si>
  <si>
    <t>Primordial Black Holes: Tiny Clues to the ? Dark Matter Puzzle?</t>
  </si>
  <si>
    <t>Catalina Casanueva (PhD Thesis)</t>
  </si>
  <si>
    <t>21 Aug 2025, 17:58</t>
  </si>
  <si>
    <t>Synergistic ALMA+JWST view of the early universe</t>
  </si>
  <si>
    <t>22 Aug 2025, 17:53</t>
  </si>
  <si>
    <t>Lorentz workshop: Synergistic ALMA+JWST view of the early universe</t>
  </si>
  <si>
    <t>Studying the Origin of the [CII] Halos In Distant Systems (ORCHIDS)</t>
  </si>
  <si>
    <t>24 Aug 2025, 22:05</t>
  </si>
  <si>
    <t>CHANCES collaboration meeting</t>
  </si>
  <si>
    <t>S-PLUS analysis of the Antlia cluster</t>
  </si>
  <si>
    <t>22 Aug 2025, 10:36</t>
  </si>
  <si>
    <t>CHANCES Collaboration Meeting</t>
  </si>
  <si>
    <t>CHANCES Cluster Sample</t>
  </si>
  <si>
    <t>22 Aug 2025, 16:53</t>
  </si>
  <si>
    <t>Frontiers of Classical Pulsators – Theory and Observations</t>
  </si>
  <si>
    <t>Multi-Band Study of the Morphology of RR Lyrae Light Curves</t>
  </si>
  <si>
    <t>Bárbara Camila Pozo Vallejos (Master Thesis)</t>
  </si>
  <si>
    <t>22 Aug 2025, 13:47</t>
  </si>
  <si>
    <t>The RRL/CEP Conference 2024: Frontiers of Classicals Pulsators</t>
  </si>
  <si>
    <t>RR Lyrae stars in the Galactic bulge region - Insights from 3D kinematics and structure</t>
  </si>
  <si>
    <t>Julio Olivares Carvajal (PhD Thesis)</t>
  </si>
  <si>
    <t>25 Aug 2025, 00:26</t>
  </si>
  <si>
    <t>IAU Symposium 395: Stellar Populations in the Milky Way and Beyond</t>
  </si>
  <si>
    <t>The Predicted and Measured Impact of the LMC's Passage through the Milky Way Halo</t>
  </si>
  <si>
    <t>Julio Cesar Chaname Dominguez (Adjunct Researcher)</t>
  </si>
  <si>
    <t>CGM-Chile 2024: RESOLVING THE CIRCUMGALACTIC MEDIUM AND ITS IMPACT ON GALAXY EVOLUTION</t>
  </si>
  <si>
    <t>How warm is the gas around high-redshift galaxies?</t>
  </si>
  <si>
    <t>KSENIIA TELIKOVA (Postdoctoral Fellow)</t>
  </si>
  <si>
    <t>24 Aug 2025, 22:11</t>
  </si>
  <si>
    <t>Lorentz Workshop: Synergistic ALMA+JWST view of the early Universe</t>
  </si>
  <si>
    <t>From the ISM to the CGM with ALMA and JWST</t>
  </si>
  <si>
    <t>Jorge Ignacio González López (Adjunct Researcher)</t>
  </si>
  <si>
    <t>25 Aug 2025, 15:41</t>
  </si>
  <si>
    <t>IAU Symposium 395: Stellar populations in the Milky Way and beyond</t>
  </si>
  <si>
    <t>The VISCACHA survey reveals the SMC in 8D</t>
  </si>
  <si>
    <t>24 Aug 2025, 22:39</t>
  </si>
  <si>
    <t>IAU Symposium 395: Stellar Populations in the MW and beyond</t>
  </si>
  <si>
    <t>On the MW Nuclear Stellar Disk</t>
  </si>
  <si>
    <t>Manuela Zoccali (Adjunct Researcher)</t>
  </si>
  <si>
    <t>25 Aug 2025, 00:09</t>
  </si>
  <si>
    <t>Symposium IAU 395</t>
  </si>
  <si>
    <t>Chemical abundances as DNA of galaxy formation</t>
  </si>
  <si>
    <t>Patricia Beatriz Tissera (Director)</t>
  </si>
  <si>
    <t>26 Aug 2025, 11:05</t>
  </si>
  <si>
    <t>Dreaming the next generation galactic plane survey with the Roman Space Telescope</t>
  </si>
  <si>
    <t>22 Aug 2025, 11:23</t>
  </si>
  <si>
    <t>Gravitational Wave Background Found in Pulsar Timing Arrays: Implications for Merging Supermassive Black Holes</t>
  </si>
  <si>
    <t>Insights into Supermassive Black Hole Mergers from the Gravitational Wave Background</t>
  </si>
  <si>
    <t>22 Aug 2025, 13:48</t>
  </si>
  <si>
    <t>Follow the Monarchs: A Journey to Explore the Cosmos at (Sub)milliarcsecond Scales with the ngVLA</t>
  </si>
  <si>
    <t>N2H+ kinematic analysis of the intermediate protocluster G353.41</t>
  </si>
  <si>
    <t>Rodrigo Alvarez Gutierrez (PhD Thesis)</t>
  </si>
  <si>
    <t>22 Aug 2025, 14:44</t>
  </si>
  <si>
    <t>Dense N2H+ (1-0) kinematics in the massive G351.77 protocluster</t>
  </si>
  <si>
    <t>22 Aug 2025, 14:46</t>
  </si>
  <si>
    <t>Filament and evolution in the G012.80 protocluster</t>
  </si>
  <si>
    <t>Javiera Carolina Salinas Cornejo (Master Thesis)</t>
  </si>
  <si>
    <t>22 Aug 2025, 14:49</t>
  </si>
  <si>
    <t>XIX SOCHIAS Anual Meeting</t>
  </si>
  <si>
    <t>A search for substructures near the Galactic plane and bulge using RR Lyrae stars as tracers</t>
  </si>
  <si>
    <t>Nicolás Eduardo Cristi Cambiasso (Master Thesis)</t>
  </si>
  <si>
    <t>22 Aug 2025, 13:55</t>
  </si>
  <si>
    <t>22 Aug 2025, 16:58</t>
  </si>
  <si>
    <t>Analysis of the continuum emission from the exoALMA Large Program</t>
  </si>
  <si>
    <t>22 Aug 2025, 20:08</t>
  </si>
  <si>
    <t>Sebastián Jorquera Contreras (PhD Thesis)</t>
  </si>
  <si>
    <t>Tracing the Gas Disk Evolution in Upper Scorpius with ALMA’s AGE-PRO Survey</t>
  </si>
  <si>
    <t>Carolina Belén Agurto Gangas (Postdoctoral Fellow)</t>
  </si>
  <si>
    <t>22 Aug 2025, 20:50</t>
  </si>
  <si>
    <t>Dust Evolution and Dust Properties for the AGE-PRO Protoplanetary Disks</t>
  </si>
  <si>
    <t>Camila Pulgarés Muñoz (Master Thesis)</t>
  </si>
  <si>
    <t>22 Aug 2025, 20:59</t>
  </si>
  <si>
    <t>Searching for young planets embedded in protoplanetary disks with VLT/SPHERE</t>
  </si>
  <si>
    <t>Catalina Vargas (Master Thesis)</t>
  </si>
  <si>
    <t>22 Aug 2025, 21:01</t>
  </si>
  <si>
    <t>4MOST-ChANGES</t>
  </si>
  <si>
    <t>24 Aug 2025, 22:07</t>
  </si>
  <si>
    <t>XIX SOCHIAS meeting</t>
  </si>
  <si>
    <t>Three new Galactic globular cluster candidates: FSR1700, Teutsch67, and CWNU4193</t>
  </si>
  <si>
    <t>The VISCACHA survey: the first 10 papers, the future, synergy with LVM/SDSS-V</t>
  </si>
  <si>
    <t>24 Aug 2025, 22:40</t>
  </si>
  <si>
    <t>Exoplanet Water Worlds: What are they and where can we find them?</t>
  </si>
  <si>
    <t>Gijs Dirk Mulders (Adjunct Researcher)</t>
  </si>
  <si>
    <t>25 Aug 2025, 01:11</t>
  </si>
  <si>
    <t>Strong Line Metallicity Calibrations for High-z Galaxies from Local Analogs</t>
  </si>
  <si>
    <t>25 Aug 2025, 10:24</t>
  </si>
  <si>
    <t>SOCHIAS Anual Meeting 2024</t>
  </si>
  <si>
    <t>Accreting compact objects</t>
  </si>
  <si>
    <t>25 Aug 2025, 10:39</t>
  </si>
  <si>
    <t>XIX SOCHIAS Annual Meeting</t>
  </si>
  <si>
    <t>Molecular gas budget of strongly magnified low-mass star-forming galaxies at z~2</t>
  </si>
  <si>
    <t>Victoria Catán (Master Thesis)</t>
  </si>
  <si>
    <t>25 Aug 2025, 15:47</t>
  </si>
  <si>
    <t>Analyzing protostellar evolution Using MESA to Understand Fossil Fields</t>
  </si>
  <si>
    <t>Luis Villarroel (Master Thesis)</t>
  </si>
  <si>
    <t>26 Aug 2025, 12:48</t>
  </si>
  <si>
    <t>The stellar metallicity of bulges and its dependence on the accretion history</t>
  </si>
  <si>
    <t>21 Aug 2025, 18:16</t>
  </si>
  <si>
    <t>Unveiling the Origins of Brown Dwarfs: Current Understanding, Open Questions, and Future Exploration</t>
  </si>
  <si>
    <t>AGE-PRO: The ALMA survey of Gas Evolution in PROtoplanetary disks</t>
  </si>
  <si>
    <t>22 Aug 2025, 19:32</t>
  </si>
  <si>
    <t>A giant planet shaping the disk around the very low-mass star CIDA 1</t>
  </si>
  <si>
    <t>22 Aug 2025, 19:41</t>
  </si>
  <si>
    <t>Small scale substructures in the Taurus star forming region at high resolution with ALMA</t>
  </si>
  <si>
    <t>22 Aug 2025, 20:35</t>
  </si>
  <si>
    <t>The origin of Brown dwarfs in Lupus</t>
  </si>
  <si>
    <t>Alejandro Santamaría-Miranda (Postdoctoral Fellow)</t>
  </si>
  <si>
    <t>22 Aug 2025, 20:53</t>
  </si>
  <si>
    <t>CMB-CAL 2024</t>
  </si>
  <si>
    <t>Absolute Polarization Angle Calibration With Hovercal &amp; Polocalc</t>
  </si>
  <si>
    <t>Rolando Dünner Planella (Adjunct Researcher)</t>
  </si>
  <si>
    <t>1. Cosmology and Galaxy formation; 8. Astronomical Instrumentation</t>
  </si>
  <si>
    <t>25 Aug 2025, 00:45</t>
  </si>
  <si>
    <t>Unveiling the Origins of Brown Dwarfs</t>
  </si>
  <si>
    <t>From M-Stars to Brown Dwarfs:  Exploring the Chemical Diversity of  Protoplanetary Disks</t>
  </si>
  <si>
    <t>22 Aug 2025, 16:09</t>
  </si>
  <si>
    <t>Overcoming Challenges in the Spectral Characterization of Ultra-Cool Dwarfs: Benchmarks for Cool Worlds</t>
  </si>
  <si>
    <t>22 Aug 2025, 18:14</t>
  </si>
  <si>
    <t>DIPC Astro-cosmo Seminar</t>
  </si>
  <si>
    <t>Roberto Jose Javier Assef Trebilcock (Principal Researcher)</t>
  </si>
  <si>
    <t>22 Aug 2025, 09:38</t>
  </si>
  <si>
    <t>Cosmic rays 3: the salt of the star formation recipe</t>
  </si>
  <si>
    <t>Simulations-validated analytical methods to estimate the cosmic ray ionization rate and ionization fraction in dense clouds</t>
  </si>
  <si>
    <t>25 Aug 2025, 18:31</t>
  </si>
  <si>
    <t>22 years of INTEGRAL: catching results and discoveries</t>
  </si>
  <si>
    <t>The circumnuclear environment of AGN from X-ray surveys</t>
  </si>
  <si>
    <t>25 Aug 2025, 14:25</t>
  </si>
  <si>
    <t>XXXIX ANNUAL MEETING Chilean Society of Physiological Sciences</t>
  </si>
  <si>
    <t>The Discovery of a Star Incubator</t>
  </si>
  <si>
    <t>Monica Solange Rubio Lopez (Adjunct Researcher)</t>
  </si>
  <si>
    <t>25 Aug 2025, 09:54</t>
  </si>
  <si>
    <t>Accademia dei Lincei Conference: Astronomy, Astrophysics, Astrochemistry, Astrobiology</t>
  </si>
  <si>
    <t>Astrochemistry: a journey through the molecular Universe</t>
  </si>
  <si>
    <t>25 Aug 2025, 18:38</t>
  </si>
  <si>
    <t>Resolved Stellar Populations: from photographic plates to large surveys</t>
  </si>
  <si>
    <t>Does the MW have a Nuclear Stellar Disk?</t>
  </si>
  <si>
    <t>25 Aug 2025, 00:04</t>
  </si>
  <si>
    <t>Kinematics and metallicities of the inner 2x2 deg of the bulge of the MW</t>
  </si>
  <si>
    <t>Carlos Quezada Zurita (PhD Thesis)</t>
  </si>
  <si>
    <t>25 Aug 2025, 00:21</t>
  </si>
  <si>
    <t>Resolved stellar populations, from photographic plates to large surveys</t>
  </si>
  <si>
    <t>The Halo Outskirts with Variable Stars (HOWVAST) Survey:  detecting Milky Way mass tracers beyond 100 kpc</t>
  </si>
  <si>
    <t>Ricardo Rodrigo Munoz Vidal (Principal Researcher)</t>
  </si>
  <si>
    <t>22 Aug 2025, 10:15</t>
  </si>
  <si>
    <t xml:space="preserve">Photometric Characterization of extended Globular Clusters in the outer Halo of the Milky Way </t>
  </si>
  <si>
    <t>Paula Diaz Santiago (Master Thesis)</t>
  </si>
  <si>
    <t>22 Aug 2025, 10:16</t>
  </si>
  <si>
    <t>ORIGINS Guest Talk</t>
  </si>
  <si>
    <t>Hot DOGS (Dust Obscured Galaxies) - The Most Powerful, Obscured Quasars in the Universe</t>
  </si>
  <si>
    <t>22 Aug 2025, 09:31</t>
  </si>
  <si>
    <t>Born in Fire: Eruptive Stars and Planet Formation</t>
  </si>
  <si>
    <t>The exoALMA connection between outer disk dust substructures and inner disk properties</t>
  </si>
  <si>
    <t>22 Aug 2025, 19:43</t>
  </si>
  <si>
    <t>Detection of accretion-ejection signatures on the close stellar companion in the HT Lup system</t>
  </si>
  <si>
    <t>22 Aug 2025, 20:26</t>
  </si>
  <si>
    <t>Dust properties of AGE-PRO protoplanetary disks</t>
  </si>
  <si>
    <t>22 Aug 2025, 20:57</t>
  </si>
  <si>
    <t>VII Escuela José Plínio Baptista de Cosmología</t>
  </si>
  <si>
    <t>JWST and galaxies at high redshift</t>
  </si>
  <si>
    <t>XLVII Reunião Anual da SAB</t>
  </si>
  <si>
    <t>Desvendando a Via Láctea e seus Satélites: O Impacto dos Dados Fotométricos e Espectroscópicos</t>
  </si>
  <si>
    <t>24 Aug 2025, 22:41</t>
  </si>
  <si>
    <t>Ringberg Workshop on ‘Computational Galaxy Formation’</t>
  </si>
  <si>
    <t>26 Aug 2025, 11:04</t>
  </si>
  <si>
    <t>First Results from the SRG/eROSITA All-Sky Survey: From Stars to Cosmology</t>
  </si>
  <si>
    <t>AGN X-ray / Multi-wavelength Surveys Review</t>
  </si>
  <si>
    <t>24 Aug 2025, 21:13</t>
  </si>
  <si>
    <t>ALMABO24: Views on the multi-phase interstellar medium in galaxies</t>
  </si>
  <si>
    <t>Resolving the kinematics of galaxies at the first billion years</t>
  </si>
  <si>
    <t>24 Aug 2025, 22:10</t>
  </si>
  <si>
    <t>Waves in the Milky Way Disk</t>
  </si>
  <si>
    <t>Vertical Perturbations in Nearby Disk Galaxies</t>
  </si>
  <si>
    <t>25 Aug 2025, 13:02</t>
  </si>
  <si>
    <t>Frontier Research in Astrophysics - IV</t>
  </si>
  <si>
    <t>25 Aug 2025, 18:41</t>
  </si>
  <si>
    <t>High-Energy Plasma Phenomena in Astrophysics</t>
  </si>
  <si>
    <t>PIC simulations of the stratified magnetorotational instability</t>
  </si>
  <si>
    <t>Mario Alejandro Riquelme Hernandez (Adjunct Researcher)</t>
  </si>
  <si>
    <t>25 Aug 2025, 10:22</t>
  </si>
  <si>
    <t>Magnetic reconnection in Kerr black hole corona</t>
  </si>
  <si>
    <t>25 Aug 2025, 10:37</t>
  </si>
  <si>
    <t>A Coherent View of Atomic &amp; Molecular Gas from IR to Radio Wavelengths</t>
  </si>
  <si>
    <t>Properties of the Molecular and Atomic Gas in AGN in Mergers from ALMA and VLT/MUSE Observations</t>
  </si>
  <si>
    <t>26 Aug 2025, 12:19</t>
  </si>
  <si>
    <t>CMM Pucón Symposium</t>
  </si>
  <si>
    <t>ALeRCE: an astronomical alert broker</t>
  </si>
  <si>
    <t>22 Aug 2025, 17:14</t>
  </si>
  <si>
    <t>8th CMM Pucón Symposium</t>
  </si>
  <si>
    <t>Data Streams in Astronomy</t>
  </si>
  <si>
    <t>25 Aug 2025, 09:56</t>
  </si>
  <si>
    <t>Lectures on IllustrisTNG cosmological simulation</t>
  </si>
  <si>
    <t>Sin título. Fue la única lecturer</t>
  </si>
  <si>
    <t>25 Aug 2025, 17:20</t>
  </si>
  <si>
    <t>V VISCACHA &amp; friends meeting</t>
  </si>
  <si>
    <t>Chemical evolution history of the SMC clusters</t>
  </si>
  <si>
    <t>24 Aug 2025, 22:42</t>
  </si>
  <si>
    <t>The VISCACHA survey status and future</t>
  </si>
  <si>
    <t xml:space="preserve">Astrobiology in Chile </t>
  </si>
  <si>
    <t>Free Floating Planets: expanding the realm of habitats in the Milky Way</t>
  </si>
  <si>
    <t>22 Aug 2025, 11:14</t>
  </si>
  <si>
    <t>ABC24 - AstroBiology Chile 2024</t>
  </si>
  <si>
    <t>Refining M Dwarf Characterization for Enhanced Exoplanet</t>
  </si>
  <si>
    <t>22 Aug 2025, 18:13</t>
  </si>
  <si>
    <t>JPL Science Visitor Colloquium</t>
  </si>
  <si>
    <t>Hot Dust Obscured Galaxies – The Most Powerful, Obscured Quasars in the Universe</t>
  </si>
  <si>
    <t>22 Aug 2025, 09:32</t>
  </si>
  <si>
    <t xml:space="preserve">SPLUS meeting </t>
  </si>
  <si>
    <t>Studying Galaxy Clusters out to 5 R200: CHANCES</t>
  </si>
  <si>
    <t>22 Aug 2025, 10:40</t>
  </si>
  <si>
    <t>CosmoSul 2024</t>
  </si>
  <si>
    <t>Late-time cosmology with the Atacama Cosmology Telescope</t>
  </si>
  <si>
    <t>22 Aug 2025, 16:54</t>
  </si>
  <si>
    <t>19th S-PLUS Collaboration Meeting</t>
  </si>
  <si>
    <t>S-PLUS Meeting Summary</t>
  </si>
  <si>
    <t>24 Aug 2025, 21:49</t>
  </si>
  <si>
    <t>II SIMPOSIO DE POSTGRADO FCFM 2024</t>
  </si>
  <si>
    <t>En la búsqueda de planetas en formación</t>
  </si>
  <si>
    <t>22 Aug 2025, 20:38</t>
  </si>
  <si>
    <t>The Evolution of Solids and Their Properties in Planet-forming Disks</t>
  </si>
  <si>
    <t>22 Aug 2025, 20:56</t>
  </si>
  <si>
    <t>XXXII IAU General Assembly</t>
  </si>
  <si>
    <t>Electron Temperature, Metallicity, and the Ionizing Source of Local Analogs of High-z Galaxies</t>
  </si>
  <si>
    <t>25 Aug 2025, 10:21</t>
  </si>
  <si>
    <t>XXXII IAU GA</t>
  </si>
  <si>
    <t>LSSDS &amp; SVO schools: teaching hands-on</t>
  </si>
  <si>
    <t>Amelia Maria Bayo Aran (Adjunct Researcher)</t>
  </si>
  <si>
    <t>28 Aug 2024, 12:16</t>
  </si>
  <si>
    <t>IAU 2024: IAUS 394: All Inclusive AGN</t>
  </si>
  <si>
    <t>The Host Galaxies of Luminous Quasars</t>
  </si>
  <si>
    <t>22 Aug 2025, 09:30</t>
  </si>
  <si>
    <t>International Astronomical Union</t>
  </si>
  <si>
    <t>27 Aug 2024, 01:12</t>
  </si>
  <si>
    <t>TESS Science Conference III</t>
  </si>
  <si>
    <t>The Occurrence of TESS Super-Earths in Systems with Cold Giant Planets</t>
  </si>
  <si>
    <t>25 Aug 2025, 01:09</t>
  </si>
  <si>
    <t>27 Aug 2024, 23:19</t>
  </si>
  <si>
    <t>86th Annual Meeting of the Meteoritical Society</t>
  </si>
  <si>
    <t>Preliminary results of micrometeorite search in different areas of Atacama Desert, northern Chile.</t>
  </si>
  <si>
    <t>Edith Millarca Valenzuela Picón (Adjunct Researcher)</t>
  </si>
  <si>
    <t>28 Aug 2024, 20:26</t>
  </si>
  <si>
    <t>Rubin Community Workshop 2024</t>
  </si>
  <si>
    <t>LSST AGN Science Collaboration Summary</t>
  </si>
  <si>
    <t>2. Supermassive Black Holes and Energetic phenomena; 3. Galaxies</t>
  </si>
  <si>
    <t>28 Aug 2024, 14:19</t>
  </si>
  <si>
    <t>Alert Brokers II: RSP Integrations for Developers</t>
  </si>
  <si>
    <t>28 Aug 2024, 20:04</t>
  </si>
  <si>
    <t>NEW HEIGHTS IN PLANET FORMATION</t>
  </si>
  <si>
    <t>ALMA Observations of Upper Scorpius Disks: A Glimpse into Gas Disk Evolution withAGE-PRO</t>
  </si>
  <si>
    <t>27 Aug 2024, 16:18</t>
  </si>
  <si>
    <t>Hints of planet formation signatures in a large-cavity disk in Upper Scorpius</t>
  </si>
  <si>
    <t>Aníbal Estuardo Sierra Morales (Postdoctoral Fellow)</t>
  </si>
  <si>
    <t>27 Aug 2024, 16:19</t>
  </si>
  <si>
    <t>Analysis of the continuum emission from the exoALMA sample</t>
  </si>
  <si>
    <t>27 Aug 2024, 16:24</t>
  </si>
  <si>
    <t>An asymmetric dust disk driving a multicomponent molecular outflow in the Class 0 protostar GSS30IR3</t>
  </si>
  <si>
    <t>ALIGN I: A pilot study on resolved transition disk systems</t>
  </si>
  <si>
    <t>28 Aug 2024, 12:24</t>
  </si>
  <si>
    <t>The origin and evolution of supermassive black holes</t>
  </si>
  <si>
    <t>The efficient formation of SMBHs via collisions</t>
  </si>
  <si>
    <t>Dominik Reinhold Georg Schleicher (Principal Researcher)</t>
  </si>
  <si>
    <t>19 Aug 2024, 17:46</t>
  </si>
  <si>
    <t>Galaxy Group meeting at MPA</t>
  </si>
  <si>
    <t>First resolved stellar halo kinematics of a MW-mass galaxy outside the Local Group, NGC4945, with MUSE</t>
  </si>
  <si>
    <t>28 Aug 2024, 12:17</t>
  </si>
  <si>
    <t>Machine Learning for Astrophysics</t>
  </si>
  <si>
    <t>The ALeRCE astronomical alert broker</t>
  </si>
  <si>
    <t>28 Aug 2024, 20:01</t>
  </si>
  <si>
    <t>European Astronomical Society Annual Meeting</t>
  </si>
  <si>
    <t>Galactic Harmony: A Symphony of Molecular Outflows and Jets in Early Planet Formation</t>
  </si>
  <si>
    <t>27 Aug 2024, 16:30</t>
  </si>
  <si>
    <t>An ALMA view of the host galaxies of radio-loud quasars at z &gt; 5</t>
  </si>
  <si>
    <t>28 Aug 2024, 12:42</t>
  </si>
  <si>
    <t>5th CCAT Collaboration Meeting (CCM5)</t>
  </si>
  <si>
    <t>CCAT-VVVX Synergy</t>
  </si>
  <si>
    <t>21 Aug 2024, 01:19</t>
  </si>
  <si>
    <t>First Structures in the Universe 2024</t>
  </si>
  <si>
    <t>AGN activity in high-redshift over-densities observed with Planck and Herschel</t>
  </si>
  <si>
    <t>27 Aug 2024, 15:13</t>
  </si>
  <si>
    <t>Cool Stars 22</t>
  </si>
  <si>
    <t>The Creation and Destruction of Lithium in Cool Stars</t>
  </si>
  <si>
    <t>28 Aug 2024, 15:26</t>
  </si>
  <si>
    <t>Forcing the core He-flash to synthesize lithium, and dredge it up</t>
  </si>
  <si>
    <t>Sebastián Vilaza (Master Thesis)</t>
  </si>
  <si>
    <t>28 Aug 2024, 15:27</t>
  </si>
  <si>
    <t xml:space="preserve">Cool Stars 22 </t>
  </si>
  <si>
    <t>Unveiling the Stellar Properties of M Dwarfs: Current Progress and Future Directions</t>
  </si>
  <si>
    <t>28 Aug 2024, 15:58</t>
  </si>
  <si>
    <t>European Astronomical Society Annual Meeting 2025</t>
  </si>
  <si>
    <t>Probing Transition Disks: ALMA Observations of Small-Scale Dust Structures</t>
  </si>
  <si>
    <t>22 Aug 2025, 20:46</t>
  </si>
  <si>
    <t>20th Anniversary of the SVO</t>
  </si>
  <si>
    <t>VOSA, FPS y demás herramientas SVO</t>
  </si>
  <si>
    <t>28 Aug 2024, 12:18</t>
  </si>
  <si>
    <t>Exoplanets 5</t>
  </si>
  <si>
    <t>A Venus-like Albedo for the UltraHot Neptune LTT9779b Points Towards Silicate &amp; Titanium CloudsA Venus-like Albedo for the UltraHot Neptune LTT9779b Points Towards Silicate &amp; Titanium Clouds</t>
  </si>
  <si>
    <t>28 Aug 2024, 12:36</t>
  </si>
  <si>
    <t>Space Telescopes and Instrumentation 2024: Optical, Infrared, and Millimeter Wave</t>
  </si>
  <si>
    <t>HoverCal + PoloCalC: precise on-flight metrology performance results over CLASS telescope</t>
  </si>
  <si>
    <t>28 Aug 2024, 22:13</t>
  </si>
  <si>
    <t>The SDSS-V Local Volume Mapper Instrument (LVM-I): Enclosure design, construction, and performance.</t>
  </si>
  <si>
    <t>23 Aug 2024, 22:13</t>
  </si>
  <si>
    <t>GRAVITY+: impact on star and planet formation</t>
  </si>
  <si>
    <t>Our view of Planet-Forming Disks in the era of ALMA</t>
  </si>
  <si>
    <t>27 Aug 2024, 16:34</t>
  </si>
  <si>
    <t>Cosmic Odysseys 2024</t>
  </si>
  <si>
    <t>Blue Hot Dust Obscured Galaxies</t>
  </si>
  <si>
    <t>27 Aug 2024, 01:07</t>
  </si>
  <si>
    <t>LSST@LATAM</t>
  </si>
  <si>
    <t>Overview of Chilean Rubin-LSST Activities</t>
  </si>
  <si>
    <t>28 Aug 2024, 14:22</t>
  </si>
  <si>
    <t>LSST-Chile Roles</t>
  </si>
  <si>
    <t>28 Aug 2024, 14:23</t>
  </si>
  <si>
    <t>28 Aug 2024, 19:59</t>
  </si>
  <si>
    <t>Journées de la SF2A</t>
  </si>
  <si>
    <t>Galaxy Evolution with the Habitable Worlds Observatory</t>
  </si>
  <si>
    <t>28 Aug 2024, 11:45</t>
  </si>
  <si>
    <t>Addressing the abundance discrepancy problem in the Lagoon nebula using the SDSS-V Local Volume Mapper</t>
  </si>
  <si>
    <t>Alfredo Mejía</t>
  </si>
  <si>
    <t>23 Aug 2024, 22:18</t>
  </si>
  <si>
    <t>LVM: Data access and products</t>
  </si>
  <si>
    <t>Amrita Singh (PhD Thesis)</t>
  </si>
  <si>
    <t>23 Aug 2024, 22:20</t>
  </si>
  <si>
    <t>SDSS-V collaboration Meeting</t>
  </si>
  <si>
    <t>The Local Volume Mapper: One Year In</t>
  </si>
  <si>
    <t>29 Aug 2024, 10:05</t>
  </si>
  <si>
    <t>The physical processes shaping the stellar and gaseous histories of galaxies</t>
  </si>
  <si>
    <t>Keerthana Jegatheesan (PhD Thesis)</t>
  </si>
  <si>
    <t>29 Aug 2024, 10:09</t>
  </si>
  <si>
    <t>cafe-club LAM</t>
  </si>
  <si>
    <t>28 Aug 2024, 14:24</t>
  </si>
  <si>
    <t>2024 55th Annual DDA Meeting</t>
  </si>
  <si>
    <t>High-eccentricity migration of hot Jupiters</t>
  </si>
  <si>
    <t>Cristóbal Petrovich Balbontín (Adjunct Researcher)</t>
  </si>
  <si>
    <t>28 Aug 2024, 12:03</t>
  </si>
  <si>
    <t>Massive Black Holes in the First Billion Years</t>
  </si>
  <si>
    <t>A Scenario for Direct MBH Formation Driven by Runaway Stellar Collisions in NSCs in the Early Universe</t>
  </si>
  <si>
    <t>27 Aug 2024, 00:08</t>
  </si>
  <si>
    <t>An ALMA view of the Host Galaxies of Radio-Loud Quasars at z&gt;5</t>
  </si>
  <si>
    <t>Gravitational Waves: a new ear on the chemistry of galaxies</t>
  </si>
  <si>
    <t>29 Aug 2024, 14:54</t>
  </si>
  <si>
    <t xml:space="preserve">TAO workshop </t>
  </si>
  <si>
    <t>Chemistry of protoplanetary disks</t>
  </si>
  <si>
    <t>28 Aug 2024, 21:31</t>
  </si>
  <si>
    <t>TAO Workshop</t>
  </si>
  <si>
    <t>ISM in galaxies with different metallicity and its relation to star formation.</t>
  </si>
  <si>
    <t>28 Aug 2024, 21:58</t>
  </si>
  <si>
    <t xml:space="preserve">Strong [OIII] emitters at z~3 </t>
  </si>
  <si>
    <t>28 Aug 2024, 22:12</t>
  </si>
  <si>
    <t>"High resolution spectrograph TARdYS: overview"</t>
  </si>
  <si>
    <t>29 Aug 2024, 00:02</t>
  </si>
  <si>
    <t>Raising the veil on star formation near and far - A conference in honour of Richard Hills – Kavli Institute for Cosmology, Cambridge</t>
  </si>
  <si>
    <t>The CCAT project: submillimeter astronomy at its highest</t>
  </si>
  <si>
    <t>29 Aug 2024, 10:21</t>
  </si>
  <si>
    <t>METAFORA-Metasurfaces for Radio Astronomy 2024</t>
  </si>
  <si>
    <t>New Front End Technologies</t>
  </si>
  <si>
    <t>28 Aug 2024, 14:56</t>
  </si>
  <si>
    <t>METAFORA-Metasurfaces for Radio Astronomy</t>
  </si>
  <si>
    <t>Characterization of LTCC material for cryogenic receiver modules at W-band (75-110 GHz)”</t>
  </si>
  <si>
    <t>Felipe Vargas Millalonco (PhD Thesis)</t>
  </si>
  <si>
    <t>29 Aug 2024, 12:51</t>
  </si>
  <si>
    <t>Electron Kinetic Physics: The Next Frontier in Space and Astrophysical Plasmas</t>
  </si>
  <si>
    <t>Stage-setting talk for Theme 3: Electron Heat Conduction</t>
  </si>
  <si>
    <t>29 Aug 2024, 00:08</t>
  </si>
  <si>
    <t>Second CTA Science Symposium</t>
  </si>
  <si>
    <t>A new method for the characterization of variability and its application to the radio light curves of the OVRO blazars</t>
  </si>
  <si>
    <t>Walter Kennerth Max-Moerbeck Astudillo (Adjunct Researcher)</t>
  </si>
  <si>
    <t>28 Aug 2024, 16:06</t>
  </si>
  <si>
    <t>Academia Nacional de Ciencias de Buenos Aires</t>
  </si>
  <si>
    <t>Una perspectiva astronomica sobre la vida en el Universo</t>
  </si>
  <si>
    <t>21 Aug 2024, 00:49</t>
  </si>
  <si>
    <t>PLATOSpec science conference II and progress meeting</t>
  </si>
  <si>
    <t>"The PLATOSpec project – instrument overview" / "PLATOSpec and other spectrographs"</t>
  </si>
  <si>
    <t>Leonardo Vanzi (Adjunct Researcher); Luca Antonucci Fernández (Master Thesis)</t>
  </si>
  <si>
    <t>29 Aug 2024, 00:00</t>
  </si>
  <si>
    <t>Friends of Friends Workshop 2024</t>
  </si>
  <si>
    <t>The giant low surface brightness galaxy Malin 1</t>
  </si>
  <si>
    <t>Gaspar Galaz Lladser (Adjunct Researcher)</t>
  </si>
  <si>
    <t>28 Aug 2024, 16:48</t>
  </si>
  <si>
    <t>Friends of Friends Meeting,</t>
  </si>
  <si>
    <t>The Innermost Region of the Milky Way: New VVVX Globular Clusters</t>
  </si>
  <si>
    <t>21 Aug 2024, 01:10</t>
  </si>
  <si>
    <t>International Symposium on Space Terahertz Technology (ISSTT) 2024</t>
  </si>
  <si>
    <t>New Front End Technologies:Digital Sideband Separation and Digital Balanced Mixing</t>
  </si>
  <si>
    <t>LEONARDO LEONARDO Bronfman AGUILO (Principal Researcher); Ricardo Alberto Finger Camus (Adjunct Researcher)</t>
  </si>
  <si>
    <t>07 Apr 2024</t>
  </si>
  <si>
    <t>28 Aug 2024, 14:48</t>
  </si>
  <si>
    <t>Astronomía Dinámica en LatinoAmérica</t>
  </si>
  <si>
    <t>A new high-precision method to compute stellar proper motions in the Galactic plane and bulge using VVV data</t>
  </si>
  <si>
    <t>Claudio Salvo Guajardo (Undergraduate Thesis)</t>
  </si>
  <si>
    <t>25 Aug 2025, 00:24</t>
  </si>
  <si>
    <t>Abundance gradients in the Local Universe Workshop at MIAPbP</t>
  </si>
  <si>
    <t>Abundance gradientes in star-forming regions in galaxies</t>
  </si>
  <si>
    <t>Patricia Beatriz Tissera (Principal Researcher)</t>
  </si>
  <si>
    <t>27 Aug 2024, 21:58</t>
  </si>
  <si>
    <t>ABUNDANCE GRADIENTS IN THE LOCAL UNIVERSE (ADONIS)</t>
  </si>
  <si>
    <t>The accretion history of galaxies: Insights from halo metallicity and halo metallicity gradients</t>
  </si>
  <si>
    <t>28 Aug 2024, 12:10</t>
  </si>
  <si>
    <t>Kavli-IAU Worshop: Probing the Universe from far-infrared to millimeter wavelengths: future facilities and their synergies,</t>
  </si>
  <si>
    <t>28 Aug 2024, 21:51</t>
  </si>
  <si>
    <t>Kavli-IAU Workshop on Global Coordination: Probing the Universe from far-infrared to millimeter wavelengths: future facilities and their synergies</t>
  </si>
  <si>
    <t>Ground Based Sub-millimeter Astronomy Discussion</t>
  </si>
  <si>
    <t>27 Aug 2024, 16:37</t>
  </si>
  <si>
    <t>The stellar haloes of dwarf galaxies</t>
  </si>
  <si>
    <t>Elisa Tau (PhD Thesis)</t>
  </si>
  <si>
    <t>28 Aug 2024, 12:12</t>
  </si>
  <si>
    <t>Extreme Solar Systems</t>
  </si>
  <si>
    <t>Aligned and Eccentric Close-in Gas Giants — An Emerging Population and their Possible Origins</t>
  </si>
  <si>
    <t>28 Aug 2024, 11:57</t>
  </si>
  <si>
    <t>Strong Gravitational Lensing Science with LSST</t>
  </si>
  <si>
    <t>Update LSST SCOC Activities</t>
  </si>
  <si>
    <t>Timo Alfonso Anguita Avaria (Adjunct Researcher)</t>
  </si>
  <si>
    <t>28 Aug 2024, 20:50</t>
  </si>
  <si>
    <t>Department of Physics Universidad de Los Andes</t>
  </si>
  <si>
    <t>Rediscovering the Milky Way</t>
  </si>
  <si>
    <t>21 Aug 2024, 00:54</t>
  </si>
  <si>
    <t>X Encontro de Física e Astronomia da UFSC</t>
  </si>
  <si>
    <t>The Search for Life in the Universe</t>
  </si>
  <si>
    <t>21 Aug 2024, 00:43</t>
  </si>
  <si>
    <t>XMC Workshop: Milky Clouds over Manhattan</t>
  </si>
  <si>
    <t>An experiment in near field cosmology: Characterization of the Magellanic Wake</t>
  </si>
  <si>
    <t>Manuel Cavieres Carrerea (Master Thesis)</t>
  </si>
  <si>
    <t>28 Aug 2024, 15:24</t>
  </si>
  <si>
    <t>&amp;th Chianti Topics - Use of Small Telescope in the Giant Era II</t>
  </si>
  <si>
    <t>"High Resolution Spectroscopy with Small Telescopes and Low Budget"</t>
  </si>
  <si>
    <t>29 Aug 2024, 00:04</t>
  </si>
  <si>
    <t>ESO La Silla Observing School</t>
  </si>
  <si>
    <t>Astronomy in Chile</t>
  </si>
  <si>
    <t>29 Aug 2024, 10:07</t>
  </si>
  <si>
    <t>Ringberg Workshop Density Matters</t>
  </si>
  <si>
    <t>Where are the Water Worlds? Identifying the Exo-water-worlds Using Models of Planet Formation and Atmospheric Evolution</t>
  </si>
  <si>
    <t>09 Feb 2024</t>
  </si>
  <si>
    <t>27 Aug 2024, 23:12</t>
  </si>
  <si>
    <t>Transients Down Under</t>
  </si>
  <si>
    <t>28 Aug 2024, 19:55</t>
  </si>
  <si>
    <t>What was that? – an ESO workshop on planning follow up for transients, variables, and solar system objects in the era of LSST</t>
  </si>
  <si>
    <t>28 Aug 2024, 19:57</t>
  </si>
  <si>
    <t>Three is not a crowd: Multiple companions as the cause or cure for binary star problems</t>
  </si>
  <si>
    <t>Mass transfer in cool evolved binaries</t>
  </si>
  <si>
    <t>28 Aug 2024, 14:30</t>
  </si>
  <si>
    <t>Enigmas de la Formación Planetaria</t>
  </si>
  <si>
    <t>27 Aug 2024, 16:33</t>
  </si>
  <si>
    <t>CHANCES Science Team Meeting 2024</t>
  </si>
  <si>
    <t xml:space="preserve">Introduction to the survey structure </t>
  </si>
  <si>
    <t>28 Aug 2024, 12:07</t>
  </si>
  <si>
    <t>CHANCES meeting</t>
  </si>
  <si>
    <t>The CHANCES cluster sample</t>
  </si>
  <si>
    <t>28 Aug 2024, 21:14</t>
  </si>
  <si>
    <t>28 Aug 2024, 16:08</t>
  </si>
  <si>
    <t>29 Aug 2024, 12:53</t>
  </si>
  <si>
    <t>Workshop Milky-Way: connecting the near to far field,</t>
  </si>
  <si>
    <t>Abundance gradients in early discs</t>
  </si>
  <si>
    <t>27 Aug 2024, 21:52</t>
  </si>
  <si>
    <t>SHAO Colloquia</t>
  </si>
  <si>
    <t>27 Aug 2024, 22:37</t>
  </si>
  <si>
    <t>FB210005</t>
  </si>
  <si>
    <t>Nicolás Alejandro Barnfi Wittwer (Other Center/Project Researcher)</t>
  </si>
  <si>
    <t>Nonlinear Analysis and Partial Differential Equations</t>
  </si>
  <si>
    <t>Probability and Ergodic Theory</t>
  </si>
  <si>
    <t>Attentant</t>
  </si>
  <si>
    <t>Maria Fernanda Espinal (Postdoctoral Fellow)</t>
  </si>
  <si>
    <t>Rene Alejandro Jofre Caceres (Adjunct Researcher)</t>
  </si>
  <si>
    <t>Optimization and Equilibrium</t>
  </si>
  <si>
    <t>Alejandro Eduardo Maass Sepúlveda (Principal Researcher)</t>
  </si>
  <si>
    <t>Marcos Kiwi Krauskopf (Adjunct Researcher)</t>
  </si>
  <si>
    <t>Juan José Maulén Muñoz (Postdoctoral Fellow)</t>
  </si>
  <si>
    <t>Héctor Ariel Ramírez Cabrera (Director)</t>
  </si>
  <si>
    <t>Climate &amp; Biodiversity</t>
  </si>
  <si>
    <t>Jose Rafael Correa Haeussler (Principal Researcher)</t>
  </si>
  <si>
    <t>Michal Kowalczyk (Adjunct Researcher)</t>
  </si>
  <si>
    <t>Jorge Guillermo Amaya Arriagada (Other Center/Project Researcher)</t>
  </si>
  <si>
    <t>María Eugenia Martínez Martini (Adjunct Researcher)</t>
  </si>
  <si>
    <t>Gloria Milena Henríquez Díaz (Other Center/Project Researcher)</t>
  </si>
  <si>
    <t>Digital Health</t>
  </si>
  <si>
    <t>Víctor Hugo Riquelme Flores (Postdoctoral Fellow)</t>
  </si>
  <si>
    <t>Jaime Ricardo San Martin Aristegui (Adjunct Researcher)</t>
  </si>
  <si>
    <t>Hanne Maria Van Den Bosch (Principal Researcher)</t>
  </si>
  <si>
    <t>Fabián Flores Bazán (Adjunct Researcher)</t>
  </si>
  <si>
    <t>Luis Manuel Briceño Arias (Adjunct Researcher)</t>
  </si>
  <si>
    <t>Raul Tintaya Marcavillaca (Postdoctoral Fellow)</t>
  </si>
  <si>
    <t>Steffen Härtel Gründler (Adjunct Researcher)</t>
  </si>
  <si>
    <t>Eduardo Vera Sobrino (Other Center/Project Researcher)</t>
  </si>
  <si>
    <t>Dinámica de billares poligonales y superficies planas.</t>
  </si>
  <si>
    <t>Rodolfo Joaquín Gutiérrez Romo (Other Center/Project Researcher)</t>
  </si>
  <si>
    <t>Mauricio Alejandro Sepúlveda Cortés (Adjunct Researcher)</t>
  </si>
  <si>
    <t>Gabrielle Saller Nornberg (Adjunct Researcher)</t>
  </si>
  <si>
    <t>Duvan Alberto Henao Manrique (Adjunct Researcher)</t>
  </si>
  <si>
    <t>Mathematical Education</t>
  </si>
  <si>
    <t>Helena Loreto Montenegro Maggio (Other Center/Project Researcher)</t>
  </si>
  <si>
    <t>Valentina Sofía Giaconi Smoje (Other Center/Project Researcher)</t>
  </si>
  <si>
    <t>Mathematical Mechanics and Inverse Problems</t>
  </si>
  <si>
    <t>Ana Laura Trujillo Negrete (Postdoctoral Fellow)</t>
  </si>
  <si>
    <t>Joaquin Fontbona Torres (Adjunct Researcher)</t>
  </si>
  <si>
    <t>Matías Nicolás Pavez Signe (Other Center/Project Researcher)</t>
  </si>
  <si>
    <t>Projection onto cones generated by epigraphs of perspective functions.</t>
  </si>
  <si>
    <t>Verónica Anaya Domínguez (Other Center/Project Researcher)</t>
  </si>
  <si>
    <t>Pending</t>
  </si>
  <si>
    <t>Emilio José Vilches Gutiérrez (Adjunct Researcher)</t>
  </si>
  <si>
    <t>Pedro Antonio Pérez Aros (Adjunct Researcher)</t>
  </si>
  <si>
    <t>Ivan Rapaport Zimermann (Principal Researcher)</t>
  </si>
  <si>
    <t>Ricardo Oyarzúa Vargas (Adjunct Researcher)</t>
  </si>
  <si>
    <t>Sergio Andrés Caucau Paillán (Other Center/Project Researcher)</t>
  </si>
  <si>
    <t>Pedro Tomás Montealegre Barba (Other Center/Project Researcher)</t>
  </si>
  <si>
    <t>Patricio Luis Felmer Aichele (Adjunct Researcher)</t>
  </si>
  <si>
    <t>David Torregrosa Belén (Postdoctoral Fellow)</t>
  </si>
  <si>
    <t>Sebastian Nelson Mendoza Farías (Adjunct Researcher)</t>
  </si>
  <si>
    <t>Eligio Colmenares García (Other Center/Project Researcher)</t>
  </si>
  <si>
    <t>Pablo Antonio Venegas Tapia (Other Center/Project Researcher)</t>
  </si>
  <si>
    <t>Jaime Humberto Ortega Palma (Principal Researcher)</t>
  </si>
  <si>
    <t>Vicente Ernesto Acuña Aguayo (Other Center/Project Researcher)</t>
  </si>
  <si>
    <t>Nicolás Alejandro Barnafi Wittwer (Postdoctoral Fellow)</t>
  </si>
  <si>
    <t>Organizing Committee</t>
  </si>
  <si>
    <t>Svenja M. Griesbach (Postdoctoral Fellow)</t>
  </si>
  <si>
    <t>Jorge Sebastián Aguayo Araneda (Postdoctoral Fellow)</t>
  </si>
  <si>
    <t>George Kontogeorgiou (Postdoctoral Fellow)</t>
  </si>
  <si>
    <t>Bounds on the approximation error for deep neural networks applied to dispersive models: Nonlinear waves.</t>
  </si>
  <si>
    <t>Rafael Correa Fontecilla (Other Center/Project Researcher)</t>
  </si>
  <si>
    <t>David Sebastián Salas Videla (Adjunct Researcher)</t>
  </si>
  <si>
    <t>Sebastián Mendoza</t>
  </si>
  <si>
    <t xml:space="preserve">XX Escuela de Verano en Matemáticas Discretas </t>
  </si>
  <si>
    <t>Hiep Han (Adjunct Researcher)</t>
  </si>
  <si>
    <t>18 Aug 2025, 09:25</t>
  </si>
  <si>
    <t>1st Workshop on Continuous and Dynamic Optimization (CDO)</t>
  </si>
  <si>
    <t>14 Aug 2025, 09:16</t>
  </si>
  <si>
    <t xml:space="preserve">Taller </t>
  </si>
  <si>
    <t>Edge modes at soft walls.</t>
  </si>
  <si>
    <t>14 Aug 2025, 11:13</t>
  </si>
  <si>
    <t>XCII Encuentro Anual de la Sociedad de Matema?tica de Chile</t>
  </si>
  <si>
    <t>Dynamical systems associated to quasiconvex functions.</t>
  </si>
  <si>
    <t>20 Nov 2024, 14:16</t>
  </si>
  <si>
    <t xml:space="preserve">The boosted double-proximal subgradient algorithm for structured nonconex optimization </t>
  </si>
  <si>
    <t>20 Nov 2024, 14:20</t>
  </si>
  <si>
    <t xml:space="preserve">Esquemas de reinicio para dinámicas con amortiguamiento Hessiano. </t>
  </si>
  <si>
    <t>06 Nov 2024, 16:47</t>
  </si>
  <si>
    <t>XCII Encuentro Anual de la Sociedad de Matemática de Chile</t>
  </si>
  <si>
    <t>Dimension reduction for a gradient damage model in slender rods.</t>
  </si>
  <si>
    <t>16 Jun 2025, 12:35</t>
  </si>
  <si>
    <t>Operadores de Birman-Schwinger para problemas en mecánica cuántica.</t>
  </si>
  <si>
    <t>14 Aug 2025, 11:09</t>
  </si>
  <si>
    <t>Séminaire groupe MACS</t>
  </si>
  <si>
    <t>Some inverse problems in medical imaging.</t>
  </si>
  <si>
    <t>11 Aug 2025, 09:36</t>
  </si>
  <si>
    <t>Optimization Workshop: theory, computation, and applications</t>
  </si>
  <si>
    <t>04 Jun 2025, 08:11</t>
  </si>
  <si>
    <t>Workshop en Optimización y Algoritmos. WOA 2024</t>
  </si>
  <si>
    <t>A Sweeping Process Approach to Convex Body Chasing.</t>
  </si>
  <si>
    <t>06 Aug 2025, 08:25</t>
  </si>
  <si>
    <t>Proximal Point Algorithms for Nonconvex Equilibrium Problems and Applications.</t>
  </si>
  <si>
    <t>06 Aug 2025, 08:27</t>
  </si>
  <si>
    <t>Strategic Open Pit Mine Planning: A stochastic programming approach.</t>
  </si>
  <si>
    <t>Marcos Goycoolea Guzmán (Adjunct Researcher)</t>
  </si>
  <si>
    <t>06 Aug 2025, 08:31</t>
  </si>
  <si>
    <t>Naively Sorting Evolving Data is Optimal and Robust.</t>
  </si>
  <si>
    <t>09 Jun 2025, 14:59</t>
  </si>
  <si>
    <t>Bicriterial Approximation for the IncrementalPrize-Collecting Steiner-Tree Problem.</t>
  </si>
  <si>
    <t>12 Jun 2025, 11:21</t>
  </si>
  <si>
    <t>XVII Jornadas Matemáticas UMSS</t>
  </si>
  <si>
    <t>Método de elmentos finitos para las ecuaciones de Navier-Stokes</t>
  </si>
  <si>
    <t>16 Jun 2025, 13:00</t>
  </si>
  <si>
    <t xml:space="preserve">Coloquio DIM </t>
  </si>
  <si>
    <t>¿Quién sabe suficiente matemática como para enseñar en educación básica?</t>
  </si>
  <si>
    <t>23 Jun 2025, 07:48</t>
  </si>
  <si>
    <t>Conformal and CR Geometry (24w5260)</t>
  </si>
  <si>
    <t>21 Oct 2024, 10:54</t>
  </si>
  <si>
    <t>Combinatorics, Games and Optimisation seminar</t>
  </si>
  <si>
    <t>Ramsey problems for trees and related questions.</t>
  </si>
  <si>
    <t>14 Aug 2025, 10:45</t>
  </si>
  <si>
    <t xml:space="preserve">Coloquio de Matemáticas del DMCC  </t>
  </si>
  <si>
    <t>Crecimiento aleatorio y la clase de universalidad KPZ.</t>
  </si>
  <si>
    <t>20 Nov 2024, 14:56</t>
  </si>
  <si>
    <t>CTAC 2024: Computational Techniques and Applications Conference</t>
  </si>
  <si>
    <t>Analysis of a FEM with exactly divergence-free magnetic field for the stationary MHD problem.</t>
  </si>
  <si>
    <t>06 Nov 2024, 17:08</t>
  </si>
  <si>
    <t>28 Jun 2024, 11:54</t>
  </si>
  <si>
    <t>CTAC2024: Computational Techniques  and Applications Conference</t>
  </si>
  <si>
    <t>Finite element approximation for the unsteady Brinkman – Forchheimer equations.</t>
  </si>
  <si>
    <t>16 Jun 2025, 12:57</t>
  </si>
  <si>
    <t>A posteriori error analysis of a Banach spaces-based mixed FEM for the Brinkman-Forchheimer problem.</t>
  </si>
  <si>
    <t>Luis Fernando Gatica Simpertigue (Other Center/Project Researcher)</t>
  </si>
  <si>
    <t>03 Jun 2025, 08:47</t>
  </si>
  <si>
    <t>PGMODAYS 2024: PGMODAYS 2024</t>
  </si>
  <si>
    <t>Random Cell Exploration and its applications to linear bilevel programming.</t>
  </si>
  <si>
    <t>06 Nov 2024, 16:34</t>
  </si>
  <si>
    <t>Primer Workshop CODICIS</t>
  </si>
  <si>
    <t>Bounds and extremal graphs for monitoring edge-geodetic sets in graphs.</t>
  </si>
  <si>
    <t>Taruni Sai Sridhar (Postdoctoral Fellow)</t>
  </si>
  <si>
    <t>06 Nov 2024, 17:12</t>
  </si>
  <si>
    <t>STIC AmSud project BIO-CIVIP workshop 2024</t>
  </si>
  <si>
    <t>28 May 2025, 15:59</t>
  </si>
  <si>
    <t>Warwick combinatorics Seminar</t>
  </si>
  <si>
    <t>Ramsey numbers of cycles in random graphs.</t>
  </si>
  <si>
    <t>14 Aug 2025, 10:39</t>
  </si>
  <si>
    <t xml:space="preserve">Desarrollo de tecnología de vanguardia para la astronomía global </t>
  </si>
  <si>
    <t>ALeRCE: El Broker Astrono?mico Chileno.</t>
  </si>
  <si>
    <t>24 Oct 2024, 12:46</t>
  </si>
  <si>
    <t>XXX Reunión Anual de la Sociedad de Ecología de Chile</t>
  </si>
  <si>
    <t>Comparacion de la eciencia de distintos metodos de muestreo para estimar densidades poblacionales.</t>
  </si>
  <si>
    <t>Laura Jiménez Jiménez (Other Center/Project Researcher)</t>
  </si>
  <si>
    <t>28 May 2025, 16:21</t>
  </si>
  <si>
    <t>6th Workshop on Nonlinear Dispersive Equations</t>
  </si>
  <si>
    <t>The soliton problem for water waves models with a varying medium.</t>
  </si>
  <si>
    <t>10 Jul 2025, 08:30</t>
  </si>
  <si>
    <t>Applied Analysis and Modeling: a conference in honor of Olivier Goubet</t>
  </si>
  <si>
    <t>Asymptotic Stability of the Fourth Order ?4 kink for general perturbations in the energy space.</t>
  </si>
  <si>
    <t>16 Jun 2025, 13:54</t>
  </si>
  <si>
    <t>LIMDA Seminar</t>
  </si>
  <si>
    <t>Counting spanning subgraphs in dense hypergraphs.</t>
  </si>
  <si>
    <t>14 Aug 2025, 10:41</t>
  </si>
  <si>
    <t>International Symposium on Distributed Computing 2024</t>
  </si>
  <si>
    <t>Distributed Model Checking on Graphs of Bounded Treedepth</t>
  </si>
  <si>
    <t>27 Aug 2025, 17:39</t>
  </si>
  <si>
    <t>Ciclo de Conferencias CMM-SK Gode- lius. “Inteligencia Artificial en Ciencias</t>
  </si>
  <si>
    <t>ALeRCE: el broker astrono?mico chileno</t>
  </si>
  <si>
    <t>24 Oct 2024, 12:11</t>
  </si>
  <si>
    <t>Sexto Congreso de Interdisciplinario de Investigación en Educación (CIIE)</t>
  </si>
  <si>
    <t>Perspectiva de profesores en formación sobre el rol de modelo de enseñanza de sus formadores</t>
  </si>
  <si>
    <t>09 Jun 2025, 10:53</t>
  </si>
  <si>
    <t>Una propuesta de desarrollo profesional docente (DPD) para la escuela del siglo XXI.</t>
  </si>
  <si>
    <t>09 Jun 2025, 10:57</t>
  </si>
  <si>
    <t>La práctica de evaluar en formadores de matemática: un estudio fenomenográfico.</t>
  </si>
  <si>
    <t>09 Jun 2025, 11:01</t>
  </si>
  <si>
    <t>Escuela de Matemática Aplicada, Primavera 2024 (EMA-P2024)</t>
  </si>
  <si>
    <t>Cursillo: Introducción al Método de Elementos Finitos</t>
  </si>
  <si>
    <t>23 Jun 2025, 09:11</t>
  </si>
  <si>
    <t xml:space="preserve">INFORMS 2024 </t>
  </si>
  <si>
    <t>30 Jul 2025, 09:09</t>
  </si>
  <si>
    <t>Mathematical Materials Science: Defects and Polycrystals</t>
  </si>
  <si>
    <t>Application of gradient damage models to the study of subsidence in underground mining.</t>
  </si>
  <si>
    <t>16 Jun 2025, 11:58</t>
  </si>
  <si>
    <t>Third International Symposium on Mathematics Curriculum and Teaching Materials for Secondary Schools</t>
  </si>
  <si>
    <t>Collaborative Problem Solving to learn Mathematics: Experiences in Chile</t>
  </si>
  <si>
    <t>06 Aug 2025, 17:14</t>
  </si>
  <si>
    <t>2° Simposio Ecuaciones Diferenciales Parciales y Teoría de Números</t>
  </si>
  <si>
    <t>Decay properties for scattering supercritial Schr¨odinger equation.</t>
  </si>
  <si>
    <t>10 Jul 2025, 08:24</t>
  </si>
  <si>
    <t xml:space="preserve">XXII Congreso Chileno de Mecánica Computacional </t>
  </si>
  <si>
    <t>Solución eficiente y escalable de elasticidad  no-lineal.</t>
  </si>
  <si>
    <t>12 Jun 2025, 14:30</t>
  </si>
  <si>
    <t>La Escuela de Primavera en Análisis Numérico de Ecuaciones Diferenciales Parciales (EPANUM 2024)</t>
  </si>
  <si>
    <t>Introducción a los Elementos Finitos.</t>
  </si>
  <si>
    <t>06 Nov 2024, 15:58</t>
  </si>
  <si>
    <t>Análisis Funcional aplicado al problema de Navier-Stokes estacionario.</t>
  </si>
  <si>
    <t>06 Nov 2024, 16:00</t>
  </si>
  <si>
    <t>Solvability of Mixed Variational Formulations in Hilbert and Banach Spaces.</t>
  </si>
  <si>
    <t>06 Nov 2024, 16:13</t>
  </si>
  <si>
    <t>Introducción a Leyes de Conservación: Teoría y aproximación numérica.</t>
  </si>
  <si>
    <t>06 Nov 2024, 16:15</t>
  </si>
  <si>
    <t xml:space="preserve">CARLA 2025 </t>
  </si>
  <si>
    <t xml:space="preserve">A computational platform of porcine cell metabolism for process optimization of cultivated meat production. </t>
  </si>
  <si>
    <t>14 Aug 2025, 12:36</t>
  </si>
  <si>
    <t>New Perspectives in Colouring and Structure (24w5272)</t>
  </si>
  <si>
    <t>05 Mar 2024, 10:01</t>
  </si>
  <si>
    <t>Workshop on Variational Analysis and Euclidean Algebras (VAEJA 2024)</t>
  </si>
  <si>
    <t xml:space="preserve">Facial approach for constructing stationary points for mathematical programs  with cone complementarity constraints. </t>
  </si>
  <si>
    <t>14 Oct 2024, 14:17</t>
  </si>
  <si>
    <t>Encuentro GIANuC2 2024: Métodos Numéricos para Sistemas Multifísicos - Teoría y Aplicaciones</t>
  </si>
  <si>
    <t>Un Método de Elementos Finitos Mixtos Basado en Antisimetría para Flujos Magnetohidrodinámicos en Medios Altamente Porosos</t>
  </si>
  <si>
    <t>23 Jun 2025, 09:15</t>
  </si>
  <si>
    <t>Control of State Constrained Dynamical Systems 2024</t>
  </si>
  <si>
    <t>Galerkin-like Method for Integro-Differential Inclusions with Applications to Sweeping Processes.</t>
  </si>
  <si>
    <t>14 Aug 2025, 09:09</t>
  </si>
  <si>
    <t>Primera Jornada de Investigación: Universidad de O'Higgins y Universidad de Chile</t>
  </si>
  <si>
    <t>Uniaxial gradient damage models.</t>
  </si>
  <si>
    <t>16 Jun 2025, 12:38</t>
  </si>
  <si>
    <t>Coloquio DIM, U. de Chile</t>
  </si>
  <si>
    <t>Crecimiento aleatorio unidimensional y el punto fijo KPZ.</t>
  </si>
  <si>
    <t>11 Sep 2024, 13:47</t>
  </si>
  <si>
    <t>Number Theory in the Americas 2</t>
  </si>
  <si>
    <t>28 May 2025, 16:17</t>
  </si>
  <si>
    <t>Cycles and Colourings 2024</t>
  </si>
  <si>
    <t>Oriented trees and paths in digraphs.</t>
  </si>
  <si>
    <t>03 Jun 2025, 08:53</t>
  </si>
  <si>
    <t>I Workshop PANDA Lille-Santiago</t>
  </si>
  <si>
    <t>The Soliton Problem in Water Wave Models with a Varying Medium.</t>
  </si>
  <si>
    <t>05 Sep 2024, 10:33</t>
  </si>
  <si>
    <t>05 Sep 2024, 10:36</t>
  </si>
  <si>
    <t>Pucón Symposium 2024</t>
  </si>
  <si>
    <t>Attendent - Program Committee</t>
  </si>
  <si>
    <t>04 Sep 2024, 11:35</t>
  </si>
  <si>
    <t>04 Sep 2024, 11:36</t>
  </si>
  <si>
    <t>04 Sep 2024, 11:37</t>
  </si>
  <si>
    <t>S9: Digital Health 2</t>
  </si>
  <si>
    <t>04 Sep 2024, 11:40</t>
  </si>
  <si>
    <t>Safe and aligned Generative AI: ensuring diffusion models produce the samples we want.</t>
  </si>
  <si>
    <t>04 Sep 2024, 11:42</t>
  </si>
  <si>
    <t>Constraint-based reconstruction and analysis: a case study with Cyanidioschyzon merolae.</t>
  </si>
  <si>
    <t>04 Sep 2024, 11:44</t>
  </si>
  <si>
    <t>ALeRCE: an astronomical alert broker.</t>
  </si>
  <si>
    <t>04 Sep 2024, 11:45</t>
  </si>
  <si>
    <t>Computer system based on artificial intelligence for predicting peak pediatric hospitalizations due to respiratory causes.</t>
  </si>
  <si>
    <t>04 Sep 2024, 11:47</t>
  </si>
  <si>
    <t>Challenges of the Electronic Health Record (EHR) in Chile.</t>
  </si>
  <si>
    <t>04 Sep 2024, 11:48</t>
  </si>
  <si>
    <t>Networks and Trust for Data Governance, AI, and the Unexpected.</t>
  </si>
  <si>
    <t>04 Sep 2024, 11:49</t>
  </si>
  <si>
    <t>S3: Modeling physical systems &amp; AI,</t>
  </si>
  <si>
    <t>04 Sep 2024, 11:51</t>
  </si>
  <si>
    <t>S2 Metabolic approaches for sustainability</t>
  </si>
  <si>
    <t>04 Sep 2024, 11:52</t>
  </si>
  <si>
    <t>S5: AI, Data &amp; eHealth</t>
  </si>
  <si>
    <t>04 Sep 2024, 11:53</t>
  </si>
  <si>
    <t xml:space="preserve">XIV International Symposium on Generalized Convexity and Monotonocityand </t>
  </si>
  <si>
    <t>Nonconvex quadratic optimization over two quadrics and the unit sphere.</t>
  </si>
  <si>
    <t>27 Jun 2024, 15:35</t>
  </si>
  <si>
    <t>VII Congreso Latinoamericano y del Caribe de Matemática (CLAM)</t>
  </si>
  <si>
    <t>Trends in Nonlinear Dispersive Equations and Related Topics.</t>
  </si>
  <si>
    <t>29 Apr 2024, 12:24</t>
  </si>
  <si>
    <t>Graph reconstruction in the congested clique.</t>
  </si>
  <si>
    <t>19 Jun 2024, 09:05</t>
  </si>
  <si>
    <t>Desing of digital learning situations for the teaching of mathematics in middle and secondary shool.</t>
  </si>
  <si>
    <t>19 Jun 2024, 09:15</t>
  </si>
  <si>
    <t>Bounds on the ground-state energy for Dirac Operatos.</t>
  </si>
  <si>
    <t>19 Jun 2024, 09:20</t>
  </si>
  <si>
    <t>Integrable fluctuations in one-dimensional random growth.</t>
  </si>
  <si>
    <t>19 Jun 2024, 09:23</t>
  </si>
  <si>
    <t>Liouville results for Lane-Emden nonlocal equations in cones.</t>
  </si>
  <si>
    <t>19 Jun 2024, 09:30</t>
  </si>
  <si>
    <t>21st IEEE Conference on Computational Intelligence in Bioinformatics and Computational Biology (CIBCB)</t>
  </si>
  <si>
    <t>A system biology approach to the study of the metabolism of microbial communities.</t>
  </si>
  <si>
    <t>Climate &amp; Biodiversity; Probability and Ergodic Theory</t>
  </si>
  <si>
    <t>28 May 2025, 16:24</t>
  </si>
  <si>
    <t>5to Congreso de estudiantes y Graduados de Postgrado UFRO</t>
  </si>
  <si>
    <t>Datos, modelación y supercómputo.</t>
  </si>
  <si>
    <t>02 Oct 2024, 10:34</t>
  </si>
  <si>
    <t>Recife Meeting on Mathematics Celebrating the 70th birthday of Vilmos Komornik</t>
  </si>
  <si>
    <t>Numerical stability of the Rao-Nakra sandwich beam with a dissipation of fractional derivative type.</t>
  </si>
  <si>
    <t>14 Aug 2025, 09:30</t>
  </si>
  <si>
    <t>Workshop in Nonlinear PDE</t>
  </si>
  <si>
    <t>16 Jun 2025, 13:59</t>
  </si>
  <si>
    <t>Ciclo de Charlas CMM Transferencia &amp; Innovación</t>
  </si>
  <si>
    <t>Inteligencia Artificial en el CMM</t>
  </si>
  <si>
    <t>Servet Martinez Aguilera (Adjunct Researcher)</t>
  </si>
  <si>
    <t>14 Aug 2025, 11:24</t>
  </si>
  <si>
    <t>IV Workshop on Continuous Optimiation in Riemanian Manifolds</t>
  </si>
  <si>
    <t>Second order Dynamical Systems associated to Quasiconvex Functions.</t>
  </si>
  <si>
    <t>19 Jun 2024, 10:14</t>
  </si>
  <si>
    <t>IFIP TC7 System Modeling and Optimization</t>
  </si>
  <si>
    <t>A variational and numerical approach to model inverse problems applied in subduction earthquakes.</t>
  </si>
  <si>
    <t>29 May 2024, 12:38</t>
  </si>
  <si>
    <t>Conference NU Trends in Ergodic Theory</t>
  </si>
  <si>
    <t>On recurrence for Zd actions.</t>
  </si>
  <si>
    <t>09 May 2024, 11:39</t>
  </si>
  <si>
    <t>Haritha Cheriyath (Postdoctoral Fellow)</t>
  </si>
  <si>
    <t>09 May 2024, 11:40</t>
  </si>
  <si>
    <t>09 May 2024, 11:41</t>
  </si>
  <si>
    <t>XXXII Congreso de Matemática Capricornio COMCA 2024</t>
  </si>
  <si>
    <t>En Torno a las Funciones Supremo en Análisis no Diferenciable y Optimization.</t>
  </si>
  <si>
    <t>08 Aug 2024, 12:11</t>
  </si>
  <si>
    <t>A vorticity-based mixed formulation for the unsteady Brinkman-Forchheimer equations.</t>
  </si>
  <si>
    <t>14 Aug 2024, 10:29</t>
  </si>
  <si>
    <t>A stream virtual element discretization for the Navier-Stokes equations.</t>
  </si>
  <si>
    <t>14 Aug 2024, 12:11</t>
  </si>
  <si>
    <t>A Posteriori Error Analysis for a Fully-Mixed FEM in Banach Spaces Applied to a Generalized Bioconvection Flow Problem.</t>
  </si>
  <si>
    <t>14 Aug 2024, 13:21</t>
  </si>
  <si>
    <t>V Workshop Iberomericano de Matemática</t>
  </si>
  <si>
    <t xml:space="preserve">Conferencia Inagural:  Monotonicity and Convexity </t>
  </si>
  <si>
    <t>08 Aug 2024, 11:45</t>
  </si>
  <si>
    <t xml:space="preserve">Summer School NU Trends in Ergodic Theory </t>
  </si>
  <si>
    <t>09 May 2024, 11:09</t>
  </si>
  <si>
    <t>Summer School NU Trends in Ergodic Theory</t>
  </si>
  <si>
    <t>On recurrence for Zd actions</t>
  </si>
  <si>
    <t>09 May 2024, 11:21</t>
  </si>
  <si>
    <t>Introduction to Multiple Ergodic Averages: Nilpotent Structures, Recurrence, and New Challenges.</t>
  </si>
  <si>
    <t>09 May 2024, 11:22</t>
  </si>
  <si>
    <t>3er Seminario Sectorial “Ciencia de Datos en Accio?n: De la academia a la industria”</t>
  </si>
  <si>
    <t>21 Aug 2024, 08:33</t>
  </si>
  <si>
    <t xml:space="preserve">3er Seminario Sectorial “Ciencia de Datos en Accio?n: De la academia a la industria </t>
  </si>
  <si>
    <t xml:space="preserve">Ejemplos de  modelación matemática. </t>
  </si>
  <si>
    <t>22 Jul 2024, 17:24</t>
  </si>
  <si>
    <t>Rubin Observatory Community Workshop</t>
  </si>
  <si>
    <t>Doing science with the ALeRCE broker.</t>
  </si>
  <si>
    <t>Alejandra María Muñoz Arancibia (Postdoctoral Fellow)</t>
  </si>
  <si>
    <t>14 Aug 2024, 13:38</t>
  </si>
  <si>
    <t>XXIV Coloquio Latinoamericano de Álgebra</t>
  </si>
  <si>
    <t>Translation covers of Platonic solids.</t>
  </si>
  <si>
    <t>19 Aug 2024, 09:53</t>
  </si>
  <si>
    <t>Monodromy groups of quadratic differentials.</t>
  </si>
  <si>
    <t>19 Aug 2024, 09:54</t>
  </si>
  <si>
    <t>WCCM-PANAM (16th World Congress on Computational Mechanics and 4th Pan American Congress on Computational Mechanics)</t>
  </si>
  <si>
    <t>Next-generation numerical methods for coupled multiphysics problems.</t>
  </si>
  <si>
    <t>13 Nov 2023, 11:49</t>
  </si>
  <si>
    <t>A mass conservative finite element method for a nonisothermal Navier-Stokes/Darcy coupled system.</t>
  </si>
  <si>
    <t>14 Aug 2024, 11:46</t>
  </si>
  <si>
    <t>Analysis of a mixed FEM with exactly divergence-free magnetic field for the stationary MHD problem.</t>
  </si>
  <si>
    <t>07 Aug 2024, 16:53</t>
  </si>
  <si>
    <t>25th International Symposium on Mathematical Programming (ISMP 2024)</t>
  </si>
  <si>
    <t>Extensions of Constant Rank Qualification Constraint Condition to Nonlinear Conic Programming.</t>
  </si>
  <si>
    <t>08 Apr 2024, 15:36</t>
  </si>
  <si>
    <t>Psychology of Mathematics Education Conference (PME 47)</t>
  </si>
  <si>
    <t>26 Mar 2024, 11:24</t>
  </si>
  <si>
    <t>Quantum Fields and Probability II</t>
  </si>
  <si>
    <t>An elementary approach to the quantum Length of SLE.</t>
  </si>
  <si>
    <t>14 Aug 2024, 13:08</t>
  </si>
  <si>
    <t xml:space="preserve">Workshoop Franco Latinoamericano de Optimización, Aleatoriedad y Matrices. </t>
  </si>
  <si>
    <t xml:space="preserve">Funciones de probabilidad:Propiedades de continuidad y diferenciabilidad bajo distribuciones elípticas. </t>
  </si>
  <si>
    <t>20 Aug 2024, 11:21</t>
  </si>
  <si>
    <t>15th International Congress on Mathematical Education?</t>
  </si>
  <si>
    <t>Problems of practice among university-based mathematics teacher educators.</t>
  </si>
  <si>
    <t>23 May 2024, 11:40</t>
  </si>
  <si>
    <t>Extremal Graphs and Hypergraphs</t>
  </si>
  <si>
    <t>01 Jul 2024, 12:48</t>
  </si>
  <si>
    <t>Summit280</t>
  </si>
  <si>
    <t>Small weakly separating path systems for complete graphs.</t>
  </si>
  <si>
    <t>09 May 2024, 12:04</t>
  </si>
  <si>
    <t>Development of mathematical knowledge for teaching measurement in an e-learning course.</t>
  </si>
  <si>
    <t>08 Apr 2024, 15:31</t>
  </si>
  <si>
    <t>COMBINING TEACHING AND SOCIAL MEDIA DESIGN PRINCIPLES TO PROMOTE STATISTICAL LEARNING IN YOUTUBE.</t>
  </si>
  <si>
    <t>07 Aug 2024, 15:47</t>
  </si>
  <si>
    <t>Discussion Group Advancing Mathematics Education through Networks, Outreach, and Inclusion: Case of CANPS .</t>
  </si>
  <si>
    <t>26 Mar 2024, 11:20</t>
  </si>
  <si>
    <t>IASE Roundtable Conference</t>
  </si>
  <si>
    <t>07 Aug 2024, 16:21</t>
  </si>
  <si>
    <t xml:space="preserve">30th Bristish Combinatorial Conference </t>
  </si>
  <si>
    <t>Oriented Trees and Paths in Digraphs</t>
  </si>
  <si>
    <t>09 May 2024, 12:01</t>
  </si>
  <si>
    <t>30th Bristish Combinatorial Conference</t>
  </si>
  <si>
    <t>Small weakly separating path systems for complete graphs</t>
  </si>
  <si>
    <t>09 May 2024, 12:02</t>
  </si>
  <si>
    <t>33rd European Conference on Operational Research (EURO 2024)</t>
  </si>
  <si>
    <t>Peak prediction of pediatric hospitalizations due to respiratory diseases</t>
  </si>
  <si>
    <t>01 Jul 2024, 13:59</t>
  </si>
  <si>
    <t>Variational techniques in conic optimization and mean field games.</t>
  </si>
  <si>
    <t>01 Jul 2024, 14:08</t>
  </si>
  <si>
    <t>A dual proximal-gradient approach for variational mean field games.</t>
  </si>
  <si>
    <t>01 Jul 2024, 14:09</t>
  </si>
  <si>
    <t xml:space="preserve"> 3- Extensions of Constant Rank Qualification Constraint Condition to Nonlinear Conic Programming.</t>
  </si>
  <si>
    <t>01 Jul 2024, 14:10</t>
  </si>
  <si>
    <t>A two-stage operating room scheduling method for reducing hospital surgical waiting times for elective surgery lists</t>
  </si>
  <si>
    <t>09 Sep 2024, 17:06</t>
  </si>
  <si>
    <t>International Congress of Mathematical Physics</t>
  </si>
  <si>
    <t>Integrable fluctuations in one-dimensional random growth</t>
  </si>
  <si>
    <t>07 Aug 2024, 09:57</t>
  </si>
  <si>
    <t>Mostly Maximum Principle</t>
  </si>
  <si>
    <t>Large conformal metrics with prescribed Gaussian and geodesic curvatures.</t>
  </si>
  <si>
    <t>Rayssa Caju (Other Center/Project Researcher)</t>
  </si>
  <si>
    <t>20 Aug 2024, 11:52</t>
  </si>
  <si>
    <t>20 Aug 2024, 11:56</t>
  </si>
  <si>
    <t>Synergy Summer School-2024 “Seascape”</t>
  </si>
  <si>
    <t>Complexity and emergence in marine ecosystems/seascape: theory, mechanisms and data</t>
  </si>
  <si>
    <t>28 May 2025, 16:05</t>
  </si>
  <si>
    <t>Cross-Community Collaborations in Combinatorics (24w5204)</t>
  </si>
  <si>
    <t>29 Apr 2024, 14:59</t>
  </si>
  <si>
    <t>16th World Congress on Computational Mechanics</t>
  </si>
  <si>
    <t>Robust and scalable solvers in nonlinear poroelasticity.</t>
  </si>
  <si>
    <t>12 Jun 2025, 14:46</t>
  </si>
  <si>
    <t>Nonlinear Waves and Relativity</t>
  </si>
  <si>
    <t>Kink dynamics for the Yang-Mills field in an extremal Reissner-Nordström black hole.</t>
  </si>
  <si>
    <t>22 Aug 2024, 08:29</t>
  </si>
  <si>
    <t xml:space="preserve">VIII Symposium on Nonlinear Analysis </t>
  </si>
  <si>
    <t>PDEs and applications</t>
  </si>
  <si>
    <t>26 Mar 2024, 11:52</t>
  </si>
  <si>
    <t>LSST@LATAM Workshop</t>
  </si>
  <si>
    <t>Science with the ALeRCE community broker.</t>
  </si>
  <si>
    <t>14 Aug 2024, 13:34</t>
  </si>
  <si>
    <t>Trends in the Mathematical Sciences</t>
  </si>
  <si>
    <t>A multiscale inverse problem approached via homogenization: A numerical method.</t>
  </si>
  <si>
    <t>10 Jun 2025, 08:46</t>
  </si>
  <si>
    <t>Trends in Mathematical Sciences Conference</t>
  </si>
  <si>
    <t xml:space="preserve">A Multiscale inverse problem approached via homogenization: A numerical method. </t>
  </si>
  <si>
    <t>26 Mar 2024, 11:32</t>
  </si>
  <si>
    <t>Geometric And Variational Analysis</t>
  </si>
  <si>
    <t>Harmonic dipoles in nonlinear elasticity.</t>
  </si>
  <si>
    <t>07 Aug 2024, 10:57</t>
  </si>
  <si>
    <t>ECCOMAS CONGRESS 2024: 9th European Congress on Computational Methods in Applied Sciences and Engineering</t>
  </si>
  <si>
    <t>14 Aug 2024, 10:37</t>
  </si>
  <si>
    <t>Mathematical and numerical analysis of an axisymmetric thermoelectrical problem.</t>
  </si>
  <si>
    <t>14 Aug 2024, 12:53</t>
  </si>
  <si>
    <t>A conforming finite element method for a nonisothermal fluid-membrane interaction.</t>
  </si>
  <si>
    <t>07 Aug 2024, 16:59</t>
  </si>
  <si>
    <t xml:space="preserve">Igafit Highlights of Algorithms </t>
  </si>
  <si>
    <t>A Constant Factor Prophet Inequality for Online Combinatorial Auctions.</t>
  </si>
  <si>
    <t>Andrés Ignacio Cristi Espinosa (Postdoctoral Fellow)</t>
  </si>
  <si>
    <t>29 Apr 2024, 12:14</t>
  </si>
  <si>
    <t>Coloquio del Departamento de Ingeniería Matemática de la Universidad de Concepción</t>
  </si>
  <si>
    <t>Análisis numérico de EDPs en el modelamiento de procesos de desalinización de agua de mar</t>
  </si>
  <si>
    <t>07 Aug 2024, 15:41</t>
  </si>
  <si>
    <t>International Conference on Optimization: Challenges and Applications (ICOCA)</t>
  </si>
  <si>
    <t>Semi-Newton method based on coderivative information.</t>
  </si>
  <si>
    <t>22 Aug 2024, 09:32</t>
  </si>
  <si>
    <t>An enhanced Baillon-Haddad Theorem for convex functions defined on convex sets.</t>
  </si>
  <si>
    <t>22 Aug 2024, 09:37</t>
  </si>
  <si>
    <t>Reverse auctions with transportation and convex costs.</t>
  </si>
  <si>
    <t>30 Apr 2024, 09:32</t>
  </si>
  <si>
    <t>Modern Methods in Nonlinear Elliptic and Parabolic PDE</t>
  </si>
  <si>
    <t>Fundamental solutions and Liouville results for nonlinear nonlocal operators in cones.</t>
  </si>
  <si>
    <t>14 Aug 2024, 14:08</t>
  </si>
  <si>
    <t>30th birthday of the Laboratoire Manceau de Mathématiques : Probability - Statistics- Risk</t>
  </si>
  <si>
    <t xml:space="preserve"> Pathwise uniqueness for a system of SDE with singular coefficients</t>
  </si>
  <si>
    <t>06 Sep 2024, 13:19</t>
  </si>
  <si>
    <t>Workshop IV: Vertex Models: Algebraic and Probabilistic Aspects of Universality</t>
  </si>
  <si>
    <t>Solving PNG</t>
  </si>
  <si>
    <t>27 Jun 2024, 14:41</t>
  </si>
  <si>
    <t>SIAM Conference on Mathematical Aspects of Materials Science</t>
  </si>
  <si>
    <t>Relaxation of the Neo-Hookean Energy in Three Dimensions.</t>
  </si>
  <si>
    <t>07 Aug 2024, 10:14</t>
  </si>
  <si>
    <t>Asymptotic stability of kinks in the odd energy space.</t>
  </si>
  <si>
    <t>22 Aug 2024, 08:43</t>
  </si>
  <si>
    <t>Experiencias comparadas entre Chile y México en el manejo de la Pandemia COVID-19: Lecciones aprendidas y desafíos futuros</t>
  </si>
  <si>
    <t>Género en modelamiento matemático y epidemias: Estado del Arte.</t>
  </si>
  <si>
    <t>01 Jul 2024, 13:41</t>
  </si>
  <si>
    <t>El rol de los datos en la experiencia chilena de manejo del COVID-19: dos ejemplos desde el modelamiento matemático.</t>
  </si>
  <si>
    <t>01 Jul 2024, 13:43</t>
  </si>
  <si>
    <t>IX Stockholm International Conference	of Research	in Vocational Education and Training</t>
  </si>
  <si>
    <t>Ecuador’s Technical Vocational Education and Training System: a piece of a map for understandings of digital ability development.</t>
  </si>
  <si>
    <t>Fernando Bolaños Zarate (Postdoctoral Fellow)</t>
  </si>
  <si>
    <t>14 Aug 2024, 13:16</t>
  </si>
  <si>
    <t>Dynamics on Zero-Dimensional Spaces New Connections</t>
  </si>
  <si>
    <t>To?picos en sistemas dina?micos ligados a las acciones de grupos en espacios de Cantor.</t>
  </si>
  <si>
    <t>26 Mar 2024, 11:09</t>
  </si>
  <si>
    <t>Statistical Physics and Random Surfaces</t>
  </si>
  <si>
    <t>14 Aug 2024, 13:05</t>
  </si>
  <si>
    <t>Friends-of-Friends Meeting 2024</t>
  </si>
  <si>
    <t>Exploring the changing sky with the ALeRCE community broker.</t>
  </si>
  <si>
    <t>14 Aug 2024, 13:31</t>
  </si>
  <si>
    <t>Chilean-Peruvian Conference on Optimization and Variational Analysis 2024</t>
  </si>
  <si>
    <t>A geometrical analysis in quadratic optimization over two quadrics and the unit sphere: zero duality gap and strong duality.</t>
  </si>
  <si>
    <t>25 Jun 2024, 16:03</t>
  </si>
  <si>
    <t>Escuela de Modelamiento Matemático</t>
  </si>
  <si>
    <t>Modelamiento estadístico para el estudio de la biodiversidad</t>
  </si>
  <si>
    <t>07 Aug 2024, 09:49</t>
  </si>
  <si>
    <t>Mathematical Models and Numerical Methods for Multiphysics Systems</t>
  </si>
  <si>
    <t>Velocity-vorticity-pressure mixed formulation for the Kelvin-Voigt-Brinkman-Forchheimer equations.</t>
  </si>
  <si>
    <t>07 Aug 2024, 11:10</t>
  </si>
  <si>
    <t>Conference "Mathematical models and numerical methods for  multiphysics systems"</t>
  </si>
  <si>
    <t>14 Mar 2024, 14:55</t>
  </si>
  <si>
    <t>From discrete to continuous modeling for the open pit mine problem.</t>
  </si>
  <si>
    <t>29 Apr 2024, 12:42</t>
  </si>
  <si>
    <t>Biomatemática</t>
  </si>
  <si>
    <t>08 Apr 2024, 16:34</t>
  </si>
  <si>
    <t>Del grafo de interaccio?n a la dina?mica de una red Booleana.</t>
  </si>
  <si>
    <t>29 Apr 2024, 14:41</t>
  </si>
  <si>
    <t>A conforming and mass conservative pseudostress-based mixed finite element method for Stokes.</t>
  </si>
  <si>
    <t>09 Aug 2024, 11:47</t>
  </si>
  <si>
    <t>A posteriori error analysis of a Banach spaces-based mixed FEM for the stationary convective Brinkman-Forchheimer problem.</t>
  </si>
  <si>
    <t>27 Jun 2024, 16:51</t>
  </si>
  <si>
    <t xml:space="preserve">XXXVI Jornada de Matemática de la Zona Sur </t>
  </si>
  <si>
    <t>Ramsey theory and monochromatic covers.</t>
  </si>
  <si>
    <t>05 Mar 2024, 10:16</t>
  </si>
  <si>
    <t>A Banach-spaces based approach for dual-mixed formulations: Applications to magneto-hydrodynamics and Desalination processes.</t>
  </si>
  <si>
    <t>01 Jul 2024, 10:09</t>
  </si>
  <si>
    <t>¿Para qué aprendemos eso?: Diseño de actividades contextuales para aprender matemática.</t>
  </si>
  <si>
    <t>01 Jul 2024, 10:29</t>
  </si>
  <si>
    <t>The Transfer Path Method to solve PDE’s using non body-fitted meshes.</t>
  </si>
  <si>
    <t>01 Jul 2024, 14:38</t>
  </si>
  <si>
    <t>Introducción a la Programación de Elementos Finitos con FreeFem++ y su Aplicación en Mecánica de Fluidos.</t>
  </si>
  <si>
    <t>07 Aug 2024, 11:06</t>
  </si>
  <si>
    <t>Estimación de error a priori para un problema de control óptimo de salto cosísmico; Estimación de error a priori para un problema de control óptimo de salto cosísmico.</t>
  </si>
  <si>
    <t>07 Aug 2024, 15:32</t>
  </si>
  <si>
    <t>SOFIA basis, controllability and inverse problems</t>
  </si>
  <si>
    <t>26 Mar 2024, 11:42</t>
  </si>
  <si>
    <t>Modelamiento y estimación de nichos ecológico.</t>
  </si>
  <si>
    <t>07 Aug 2024, 09:45</t>
  </si>
  <si>
    <t xml:space="preserve">Evaluador de proyectos I+D en el Foro IDDS 2024 </t>
  </si>
  <si>
    <t>21 Aug 2024, 14:42</t>
  </si>
  <si>
    <t>First Women in Theory Conference</t>
  </si>
  <si>
    <t>Adriana Piazza Chifflet (Adjunct Researcher)</t>
  </si>
  <si>
    <t>01 Jul 2024, 12:35</t>
  </si>
  <si>
    <t>International Conference on Mathematical Analysis and its Applications</t>
  </si>
  <si>
    <t>Jacobian determinants and degree theory in nonlinear elasticity and its applications.</t>
  </si>
  <si>
    <t>07 Aug 2024, 10:10</t>
  </si>
  <si>
    <t>Pensando La Reforma: A 20 años del AUGE, Salud más allá de la contingencia</t>
  </si>
  <si>
    <t>Salud Digital: Desafíos del registro clínico electrónico en Chile.</t>
  </si>
  <si>
    <t>Se describieron los desafíos y brechas actuales que presenta el registro clínico electrónico en el contexto de la Ley de Interoperabilidad en Salud</t>
  </si>
  <si>
    <t>28 Jun 2024, 12:24</t>
  </si>
  <si>
    <t>2024 NCME Annual Meeting</t>
  </si>
  <si>
    <t>Response Strategies in Multiple-choice Tests: An Option-position-based Strategies Inventory.</t>
  </si>
  <si>
    <t>Pablo Ricardo Dartnell Roy (Other Center/Project Researcher)</t>
  </si>
  <si>
    <t>14 Aug 2024, 10:00</t>
  </si>
  <si>
    <t xml:space="preserve">Reunión y taller de la Academia Copernicus de RedClara </t>
  </si>
  <si>
    <t>21 Aug 2024, 14:41</t>
  </si>
  <si>
    <t>Inaugural Talk of Seminar Math-Bio 2024</t>
  </si>
  <si>
    <t>¿Es posible modelar sistemas que están destinados a desaparecer?</t>
  </si>
  <si>
    <t>06 Sep 2024, 13:28</t>
  </si>
  <si>
    <t>Coloquio de Matemática UC</t>
  </si>
  <si>
    <t>01 Jul 2024, 13:10</t>
  </si>
  <si>
    <t>Nonlinear Analysis: Geometric, Variational and Dispersive aspects</t>
  </si>
  <si>
    <t>From PDE to school mathematics.</t>
  </si>
  <si>
    <t>04 Apr 2024, 17:26</t>
  </si>
  <si>
    <t>Graph Theory in the Andes</t>
  </si>
  <si>
    <t>Spanning trees in pseudorandom graphs.</t>
  </si>
  <si>
    <t>27 Jun 2024, 12:57</t>
  </si>
  <si>
    <t>14 Aug 2024, 09:44</t>
  </si>
  <si>
    <t>14 Aug 2024, 10:08</t>
  </si>
  <si>
    <t>94th Annual Meeting of the International Association of Applied Mathematics and Mechanics</t>
  </si>
  <si>
    <t>Divergence-conforming methods for transient double-diffusive flows</t>
  </si>
  <si>
    <t>05 Mar 2024, 10:33</t>
  </si>
  <si>
    <t>16 May 2024, 09:33</t>
  </si>
  <si>
    <t xml:space="preserve">Workshop Geometric Flows and Relativity </t>
  </si>
  <si>
    <t>Large conformal metrics with prescribed gaussian and geodesic curvature</t>
  </si>
  <si>
    <t>21 Aug 2024, 15:41</t>
  </si>
  <si>
    <t>Spring School on Soliton Dynamics</t>
  </si>
  <si>
    <t>New explorations of the virial technique in high energy physics problems.</t>
  </si>
  <si>
    <t>16 Jun 2025, 14:04</t>
  </si>
  <si>
    <t>workshop Universality &amp; Integrability in KPZ</t>
  </si>
  <si>
    <t>Organizers and Contact</t>
  </si>
  <si>
    <t>09 Mar 2024</t>
  </si>
  <si>
    <t>22 Aug 2024, 09:01</t>
  </si>
  <si>
    <t>Probability in South America</t>
  </si>
  <si>
    <t>TASEP with inhomogeneous speeds and memory lenghts.</t>
  </si>
  <si>
    <t>27 Jun 2024, 14:36</t>
  </si>
  <si>
    <t>Workshop on KPZ meets KPZ</t>
  </si>
  <si>
    <t>Markov property of the Gaussian free field</t>
  </si>
  <si>
    <t>14 Aug 2024, 13:01</t>
  </si>
  <si>
    <t>VIII LATIN AMERICAN WORKSHOP ON OPTIMIZATION AND CONTROL</t>
  </si>
  <si>
    <t>12 Aug 2024, 13:26</t>
  </si>
  <si>
    <t>Perspective functions with nonlinear scaling: theoretical properties and proximity operator.</t>
  </si>
  <si>
    <t>30 Nov 2023, 08:47</t>
  </si>
  <si>
    <t>Second Workshop on Surfaces in the Frontier</t>
  </si>
  <si>
    <t>Square-tiled surfaces coming from platonic solids</t>
  </si>
  <si>
    <t>01 Jul 2024, 13:06</t>
  </si>
  <si>
    <t>XXIV International Symposium of Mathematical Methods Applied to Sciences</t>
  </si>
  <si>
    <t xml:space="preserve">Analyzing Bioconvection: An Application of Banach-Based Mixed Finite Element Methods. </t>
  </si>
  <si>
    <t>20 Feb 2024</t>
  </si>
  <si>
    <t>03 Jan 2024, 11:45</t>
  </si>
  <si>
    <t>A dissimilar mesh discretization for hybridizable discontinuous Galerkin schemes applied to interface problems.</t>
  </si>
  <si>
    <t>01 Jul 2024, 14:32</t>
  </si>
  <si>
    <t>Discrete Mathematics &amp; Computer Science: Groups, Dynamics, Complexity, Word</t>
  </si>
  <si>
    <t>13 Nov 2023, 11:40</t>
  </si>
  <si>
    <t>Mathematics &amp; Statisctics Department Colloquium</t>
  </si>
  <si>
    <t>Singular minimizers in nonlinear elasticity.</t>
  </si>
  <si>
    <t>16 Jun 2025, 12:30</t>
  </si>
  <si>
    <t>As Scalable As Possilbe INRIA Team Seminar, INRIA-Rennes</t>
  </si>
  <si>
    <t>The Random Hyperbolic Graph Model.</t>
  </si>
  <si>
    <t>09 Jun 2025, 15:02</t>
  </si>
  <si>
    <t>Exploiting the polyhedral geometry of stochastic linear bilevel programming..</t>
  </si>
  <si>
    <t>11 Jan 2024, 16:12</t>
  </si>
  <si>
    <t xml:space="preserve">1ª Jornadas Ciencia de Datos y Saludo Publica </t>
  </si>
  <si>
    <t>Simulador Basado en Agentes del Centro de la Modelamiento Matemático,</t>
  </si>
  <si>
    <t>18 Jan 2024, 15:14</t>
  </si>
  <si>
    <t>1ª Jornadas Ciencia de Datos y Saludo Publica</t>
  </si>
  <si>
    <t>Andrew Glenn Hart (Other Center/Project Researcher)</t>
  </si>
  <si>
    <t>18 Jan 2024, 15:15</t>
  </si>
  <si>
    <t>3rd International Conference on Variational Analysis and Optimization In honor of Boris Mordukhovich</t>
  </si>
  <si>
    <t>Pollution Regulation for Electricity Generators in a Transmission Network.</t>
  </si>
  <si>
    <t>18 Jan 2024, 10:15</t>
  </si>
  <si>
    <t>The Polyhedral Geometry of Linear Bilevel Programming.</t>
  </si>
  <si>
    <t>18 Jan 2024, 10:17</t>
  </si>
  <si>
    <t>Approach Based on the Fenchel-Moreau-Rockafellar Theorem for Subdifferential Calculus.</t>
  </si>
  <si>
    <t>18 Jan 2024, 10:18</t>
  </si>
  <si>
    <t>WONAPDE 2024</t>
  </si>
  <si>
    <t>A priori error estimates for a coseismic slip optimal control problem.</t>
  </si>
  <si>
    <t>03 Jan 2024, 15:59</t>
  </si>
  <si>
    <t>A five-field mixed formulation for stationary magnetohydrodynamic flows in pororus media.</t>
  </si>
  <si>
    <t>18 Jan 2024, 10:38</t>
  </si>
  <si>
    <t>Efficient Solvers In Nonlinear Poroelasticity.</t>
  </si>
  <si>
    <t>18 Jan 2024, 10:46</t>
  </si>
  <si>
    <t>Nonlinear Twofold Saddle Point-Based Mixed Finite Element Methods For Granular Flows.</t>
  </si>
  <si>
    <t>18 Jan 2024, 10:50</t>
  </si>
  <si>
    <t>Well-Posedness And Numerical Analysis of An Elapsed Time Model With Strongly Coupled Neural Networks.</t>
  </si>
  <si>
    <t>18 Jan 2024, 10:54</t>
  </si>
  <si>
    <t>A mixed fem for the coupled brinkman–forchheimer/darcy problem</t>
  </si>
  <si>
    <t>18 Jan 2024, 10:58</t>
  </si>
  <si>
    <t>Coupled Finite Volume And Mixed Finite Element Methods For The Viscous Model Of Sedimentation.</t>
  </si>
  <si>
    <t>Julio César Careaga Solís (Postdoctoral Fellow)</t>
  </si>
  <si>
    <t>18 Jan 2024, 11:00</t>
  </si>
  <si>
    <t>Virtual element approximations for the poroelasticity/elasticity interface problem on polygonal meshes.</t>
  </si>
  <si>
    <t>Nitesch Verma (Postdoctoral Fellow)</t>
  </si>
  <si>
    <t>18 Jan 2024, 11:06</t>
  </si>
  <si>
    <t>Spectral Analysis for Quantum Hamiltonians</t>
  </si>
  <si>
    <t>24 Oct 2023, 14:18</t>
  </si>
  <si>
    <t>Workshop Metabolic Club I</t>
  </si>
  <si>
    <t>Unveiling abundance-dependent metabolic phenotypes of a community.</t>
  </si>
  <si>
    <t>18 Jan 2024, 11:13</t>
  </si>
  <si>
    <t>CF-dFBA and End-Point-Optimization: Novel methods to simulate microbial communities’ dynamics and predict cross-feeding metabolites.</t>
  </si>
  <si>
    <t>18 Jan 2024, 11:15</t>
  </si>
  <si>
    <t>V Workshop IMFD</t>
  </si>
  <si>
    <t>Hunting transient objects with the ALeRCE astronomical broker.</t>
  </si>
  <si>
    <t>28 Jun 2024, 11:42</t>
  </si>
  <si>
    <t>Congreso Internacional de Investigación en Docencia Universitaria</t>
  </si>
  <si>
    <t>¿Qué sabemos de los formadores de profesores en Chile? Una revisión de alcance de los últimos 15 años.</t>
  </si>
  <si>
    <t>01 Jul 2024, 10:39</t>
  </si>
  <si>
    <t>J-SAS Workshop</t>
  </si>
  <si>
    <t>A new nuclear transient.</t>
  </si>
  <si>
    <t>28 Jun 2024, 11:39</t>
  </si>
  <si>
    <t>Workshop "Agrupando Equipos de Geometri?a Algebraica" (AGREGA 3)</t>
  </si>
  <si>
    <t>Dinámica de Teichmüller.</t>
  </si>
  <si>
    <t>11 Jan 2024, 16:15</t>
  </si>
  <si>
    <t>23rd Annual SAET 2024 Conference Society for the Advancement of Economic Theory</t>
  </si>
  <si>
    <t>Efficiency with Political Power Dynamics and Costly Policy Change.</t>
  </si>
  <si>
    <t>18 Jan 2024, 11:53</t>
  </si>
  <si>
    <t>Numerical methods for optimal transport problems, mean field games, and multi-agent dynamics</t>
  </si>
  <si>
    <t>Numerical methods for optimal transport problems, mean field games, and multi-agent dynamics.</t>
  </si>
  <si>
    <t>18 Jan 2024, 12:02</t>
  </si>
  <si>
    <t>XIX Summer School in Discrete Mathematics</t>
  </si>
  <si>
    <t>Organizing Comittee</t>
  </si>
  <si>
    <t>04 Jan 2024, 11:02</t>
  </si>
  <si>
    <t>VI Summer School in Probability and Stochasic Process</t>
  </si>
  <si>
    <t>Some New and Classical results for Schrödinger operators in dimension 1.</t>
  </si>
  <si>
    <t>18 Jan 2024, 12:37</t>
  </si>
  <si>
    <t>VI Summer School in Probabilities and Stochastic Processes</t>
  </si>
  <si>
    <t>01 Aug 2024, 15:25</t>
  </si>
  <si>
    <t xml:space="preserve">11th Biennial Conference of the International Biogeography Society         </t>
  </si>
  <si>
    <t>Estimation of the fundamental niche of a species using presence data, physiological tolerances, and accessible areas, and the evalua- tion of niche and species distribution models.</t>
  </si>
  <si>
    <t>Laura Jiménez Jiménez (Postdoctoral Fellow)</t>
  </si>
  <si>
    <t>03 Jan 2024, 12:34</t>
  </si>
  <si>
    <t>ICOSAHOM 2023: International Conference on Spectral and High Order Methods.</t>
  </si>
  <si>
    <t>28 Jun 2024, 11:49</t>
  </si>
  <si>
    <t>Annual Meeting of the Ecological Society of America</t>
  </si>
  <si>
    <t>World Biodiversity Forum</t>
  </si>
  <si>
    <t>FB210006</t>
  </si>
  <si>
    <t>Jonathan Urrutia (Other Center/Project Researcher)</t>
  </si>
  <si>
    <t>Laboratory of Biological Invasions (LIB) (INP4)</t>
  </si>
  <si>
    <t>ECOSYSTEM INTEGRITY AND NCP (Nature contributions to people) RP2</t>
  </si>
  <si>
    <t>XXX Reunión Anual de la Sociedad de Ecología de Chile, XXXV Reunión Anual de la Sociedad de Botánica de Chile y LXVII Reunión Anual de la Sociedad de Biología de Chile</t>
  </si>
  <si>
    <t>Inferencia filogenética para la sistemática y taxonomía del género Haplopappus (Asteraceae)</t>
  </si>
  <si>
    <t>Pablo César Guerrero Martin (Principal Researcher)</t>
  </si>
  <si>
    <t>Rosas, M., Vives, K., Segovia, R.</t>
  </si>
  <si>
    <t>BIODIVERSITY STATUS AND TRENDS (RP1)</t>
  </si>
  <si>
    <t>02 Aug 2025, 18:27</t>
  </si>
  <si>
    <t>CONSERVATION AND HUMAN WELL-BEING (RP4)</t>
  </si>
  <si>
    <t>Cecilia Delcarmen Smith Ramirez (Principal Researcher)</t>
  </si>
  <si>
    <t>Juan Luis Celis Diez (Adjunct Researcher); Jorge Francisco Pérez Quezada (Adjunct Researcher)</t>
  </si>
  <si>
    <t>Luca Zattera, Bruce Osborne, David Trejo, David Aguilera</t>
  </si>
  <si>
    <t>Pablo César Guerrero Martin (Principal Researcher); Francisco Antonio Squeo Porcile (Principal Researcher); Ricardo Segovia (Other Center/Project Researcher)</t>
  </si>
  <si>
    <t>Alvaro Guillermo Gutierrez Ilabaca (Principal Researcher); Roberto Chávez Oyanadel (Adjunct Researcher); Francisca Paulina Díaz Aguirre (Postdoctoral Fellow)</t>
  </si>
  <si>
    <t>BIODIVERSITY DRIVERS (RP3)</t>
  </si>
  <si>
    <t>Roke Rojas (Technical Assistant) también participó como parte de IEB</t>
  </si>
  <si>
    <t>XXVI Congreso Anual de la Asociación de Economistas Agrarios de Chile</t>
  </si>
  <si>
    <t>Factores Psicosociales que Influyen en la Adopción de la Intensificación Ecológica</t>
  </si>
  <si>
    <t>Dymond, K, Huenchuleo, C, Rojas, V, Díaz-Siefer, P</t>
  </si>
  <si>
    <t>14 Dec 2024</t>
  </si>
  <si>
    <t>03 Aug 2025, 15:53</t>
  </si>
  <si>
    <t>Launch ceremony for the Project Anillo Tecnológico ANID ACT24004</t>
  </si>
  <si>
    <t>Socio-ecological restoration in coastal ecosystems.</t>
  </si>
  <si>
    <t>15 Jul 2025, 14:58</t>
  </si>
  <si>
    <t>Series of lectures for the 32nd anniversary of the Faculty of Sciences Universidad Católica de la Santísima Concepción</t>
  </si>
  <si>
    <t>Nature conservation and its contributions to human well-being in a changing world.</t>
  </si>
  <si>
    <t>15 Jul 2025, 15:00</t>
  </si>
  <si>
    <t>Microbial Frontiers: Ecology in Extreme Enviroments</t>
  </si>
  <si>
    <t>Microbial diversity in the rhizosphere of Deschampsia antarctica: A comparison between Antarctic and Patagonian ecosystems</t>
  </si>
  <si>
    <t>Soto, C., Almendras, K., Conejeros, M., Cadiz, A., Farías, J., Orlando, J.</t>
  </si>
  <si>
    <t>02 Aug 2025, 18:39</t>
  </si>
  <si>
    <t>Flora Nativa</t>
  </si>
  <si>
    <t>Restauración de los bosques nativos de Chile</t>
  </si>
  <si>
    <t>29 Jul 2025, 10:04</t>
  </si>
  <si>
    <t>XXX Reunión Anual Sociedad de Ecología de Chile - XXXV Reunión Anual Sociedad de Botánica de Chile - LXVII Reunión Anual Sociedad de Biología de Chile</t>
  </si>
  <si>
    <t>Sweet but not overly sweet: Sugar concentrations predict non-linearly bark yeasts’ abundance at the treeline of the southern Andes</t>
  </si>
  <si>
    <t>Frida Ingrid Piper Busico (Principal Researcher); Leichson Alex Fajardo Yanez (Adjunct Researcher)</t>
  </si>
  <si>
    <t>Christian Oporto, Claudia Reyes-Bahamonde, Paulo Moreno-Meynard, Roberto F. Nespolo, Luis Saona, Francisco A. Cubillos-Riffo</t>
  </si>
  <si>
    <t>29 Jul 2025, 12:41</t>
  </si>
  <si>
    <t>Influencia del hábito foliar en la limitación de crecimiento por disponibilidad de carbono en álamos</t>
  </si>
  <si>
    <t>Frida Ingrid Piper Busico (Principal Researcher); Darían Díaz Muñoz (Master Thesis)</t>
  </si>
  <si>
    <t>Fernando Guerra</t>
  </si>
  <si>
    <t>29 Jul 2025, 12:42</t>
  </si>
  <si>
    <t>Asignación de fotoasimilados en Quillaja saponaria después de un periodo de inanición de carbono</t>
  </si>
  <si>
    <t>Frida Ingrid Piper Busico (Principal Researcher); Eliana Graciela Bustos Guajardo (PhD Thesis); Darían Díaz Muñoz (Master Thesis)</t>
  </si>
  <si>
    <t>Claudia Reyes-Bahamonde</t>
  </si>
  <si>
    <t>29 Jul 2025, 12:44</t>
  </si>
  <si>
    <t>Filtros ambientales que estructuran la composición florística de los bofedales a lo largo del gradiente latitudinal del sur de Sudamérica</t>
  </si>
  <si>
    <t>Aurora Gaxiola (Principal Researcher); Felipe Figueroa Ponce (Master Thesis)</t>
  </si>
  <si>
    <t>Felipe Hinojosa</t>
  </si>
  <si>
    <t>07 Aug 2025, 09:46</t>
  </si>
  <si>
    <t>Efectos combinados del alza de la temperatura y sequía sobre el rendimiento fisiológico en la especie Vaccinium corymbosum</t>
  </si>
  <si>
    <t>Aurora Gaxiola (Principal Researcher)</t>
  </si>
  <si>
    <t>José Ignacio Rodríguez Prieto, Marcia Gonzalez</t>
  </si>
  <si>
    <t>07 Aug 2025, 09:47</t>
  </si>
  <si>
    <t>La edad del suelo como determinante de la descomposición de hojarasca y las comunidades microbianas descomponedoras</t>
  </si>
  <si>
    <t>07 Aug 2025, 09:48</t>
  </si>
  <si>
    <t>Distribución y diversidad de hongos micorrícicos asociados a las orquídeas Gavilea longibracteata y G. odoratissima</t>
  </si>
  <si>
    <t>María Isabel Mujica, Mauricio Cisternas</t>
  </si>
  <si>
    <t>07 Aug 2025, 09:49</t>
  </si>
  <si>
    <t>XXX Reunión Anual de la Sociedad de Ecología.</t>
  </si>
  <si>
    <t>LOHENGRIN ALEXIS CAVIERES GONZÁLEZ (Principal Researcher); Benjamin Morong (Master Thesis)</t>
  </si>
  <si>
    <t>30 Jul 2025, 23:46</t>
  </si>
  <si>
    <t>30 Jul 2025, 23:47</t>
  </si>
  <si>
    <t>LOHENGRIN ALEXIS CAVIERES GONZÁLEZ (Principal Researcher); Vinka Anik Thomas (Postdoctoral Fellow)</t>
  </si>
  <si>
    <t>Ferrer, M., Sanhueza, C.</t>
  </si>
  <si>
    <t>30 Jul 2025, 23:49</t>
  </si>
  <si>
    <t>LOHENGRIN ALEXIS CAVIERES GONZÁLEZ (Principal Researcher); Patricia Lisette Sáez Delgado (Adjunct Researcher); Rodrigo Viveros (PhD Thesis)</t>
  </si>
  <si>
    <t>30 Jul 2025, 23:50</t>
  </si>
  <si>
    <t>LOHENGRIN ALEXIS CAVIERES GONZÁLEZ (Principal Researcher); Pablo César Guerrero Martin (Principal Researcher); Paola Liliana Poch Jiménez (Postdoctoral Fellow)</t>
  </si>
  <si>
    <t>Luis Felipe Hinojosa</t>
  </si>
  <si>
    <t>30 Jul 2025, 23:51</t>
  </si>
  <si>
    <t xml:space="preserve">De la evidencia a la acción: aprendizajes del informe IPBES sobre especies exóticas invasoras </t>
  </si>
  <si>
    <t>Aníbal Pauchard Cortés (Director)</t>
  </si>
  <si>
    <t>BIODIVERSITY DRIVERS (RP3); CONSERVATION AND HUMAN WELL-BEING (RP4)</t>
  </si>
  <si>
    <t>01 Aug 2025, 11:56</t>
  </si>
  <si>
    <t>Cambio climático y microclima: factores clave en la expansión de plantas exóticas en los Andes sur.</t>
  </si>
  <si>
    <t>Aníbal Pauchard Cortés (Director); Rafael Andres García Araya (Adjunct Researcher); Eduardo Fuentes (Other Center/Project Researcher)</t>
  </si>
  <si>
    <t>BIODIVERSITY DRIVERS (RP3); CONSERVATION AND HUMAN WELL-BEING (RP4); Laboratory of Biological Invasions (LIB) (INP4)</t>
  </si>
  <si>
    <t>Tomás Arellano, Technician</t>
  </si>
  <si>
    <t>01 Aug 2025, 11:58</t>
  </si>
  <si>
    <t xml:space="preserve">Invasión de plantas exóticas en los senderos de la zona austral de Chile: rol de la visitación y los rasgos funcionales. </t>
  </si>
  <si>
    <t>01 Aug 2025, 12:00</t>
  </si>
  <si>
    <t>Evaluación de la efectividad del control manual sobre la invasión de Mesembryanthemum spp. en áreas protegidas del norte</t>
  </si>
  <si>
    <t>Aníbal Pauchard Cortés (Director); Rafael Andres García Araya (Adjunct Researcher); Jonathan Urrutia (Other Center/Project Researcher)</t>
  </si>
  <si>
    <t>01 Aug 2025, 12:01</t>
  </si>
  <si>
    <t xml:space="preserve">Evaluación inicial de los tratamientos de control para la invasión de Pinus contorta Douglas ex Loudon en la Patagonia chilena. </t>
  </si>
  <si>
    <t>Aníbal Pauchard Cortés (Director); Rafael Andres García Araya (Adjunct Researcher); Silvia Mercedes Correa Otero (Master Thesis)</t>
  </si>
  <si>
    <t>01 Aug 2025, 12:02</t>
  </si>
  <si>
    <t>Invasoras CL: Una herramienta participativa para el registro de especies exóticas en Chile.</t>
  </si>
  <si>
    <t>01 Aug 2025, 12:04</t>
  </si>
  <si>
    <t>¿Cómo cambian los rasgos foliares con la latitud en Chile? Explorando imágenes en HerbarioDigital.cl</t>
  </si>
  <si>
    <t>Squeo, F.A., Herrera, M., Bravo, V., Segovia, R., Saez, J.M., Arancio, G.A., Marticorena, A.</t>
  </si>
  <si>
    <t>BIODIVERSITY STATUS AND TRENDS (RP1); CONSERVATION AND HUMAN WELL-BEING (RP4)</t>
  </si>
  <si>
    <t>02 Aug 2025, 18:19</t>
  </si>
  <si>
    <t>Integrando datos para la investigación y conservación de la biodiversidad</t>
  </si>
  <si>
    <t>Segovia, R., Sáez-Hidalgo, J., Squeo, F.</t>
  </si>
  <si>
    <t>02 Aug 2025, 18:21</t>
  </si>
  <si>
    <t>Filogenómica de Deschampsia (Poaceae) en la criosfera global mediante secuenciación dirigida con Angiosperm353</t>
  </si>
  <si>
    <t>Chiapella, J., Contador, T., Díaz, A., Larridon, I., Marticorena, A., Meriño, B., Medina, P., Morel, J., Orlando, J., Palma, M.C.</t>
  </si>
  <si>
    <t>02 Aug 2025, 18:24</t>
  </si>
  <si>
    <t>Los linajes evolutivos independientes en un complejo de especies de cactus globosos revelan la diversidad oculta en un punto caliente de biodiversidad en el centro de Chile</t>
  </si>
  <si>
    <t>Meriño, B.M., Villalobos-Barrantes, H.M., Walter, H.E.</t>
  </si>
  <si>
    <t>02 Aug 2025, 18:25</t>
  </si>
  <si>
    <t>Factores antrópicos y ambientales que influyen en la diversidad y singularidad (taxonómica, evolutiva y funcional) de la flora perenne en el hotspot de biodiversidad del norte de Chile (19–34°S)</t>
  </si>
  <si>
    <t>Poch, P., Hinojosa, L.F., Cavieres, L.</t>
  </si>
  <si>
    <t>02 Aug 2025, 18:28</t>
  </si>
  <si>
    <t>Evolución adaptativa del nicho climático en la rápida diversificación de Haplopappus (Asteraceae) en Los Andes</t>
  </si>
  <si>
    <t>Rosas, M., Segovia, R., Aguirre-Mazzi, E.</t>
  </si>
  <si>
    <t>02 Aug 2025, 18:29</t>
  </si>
  <si>
    <t>Reunión Anual Conjunta Sociedades de Biología, de Botánica y de Ecología de Chile (Simposio Colecciones biológicas y bases de datos naturalistas: viejos datos para nuevas ideas)</t>
  </si>
  <si>
    <t>V. Bravo</t>
  </si>
  <si>
    <t>Information Platform for Biodiversity Data (BIODATA) (INP1)</t>
  </si>
  <si>
    <t>Juan M. Saez (Other Center Researcher); Alicia Marticorena (Other Center Researcher); Gina Arancio (Other Center Researcher); Matias Herrea (Master Thesis)</t>
  </si>
  <si>
    <t>11 Aug 2025, 16:05</t>
  </si>
  <si>
    <t>Microbioma rizosférico de Deschampsia antarctica: Análisis comparativo de poblaciones antárticas y patagónicas revela la influencia del sitio sobre la diversidad microbiana</t>
  </si>
  <si>
    <t>02 Aug 2025, 18:31</t>
  </si>
  <si>
    <t xml:space="preserve">Juan M. Saez </t>
  </si>
  <si>
    <t>11 Aug 2025, 16:07</t>
  </si>
  <si>
    <t>Determinantes ecológicos y evolutivos de la riqueza de cactáceas en los biomas del Nuevo Mundo</t>
  </si>
  <si>
    <t>Meriño, B.M., Hernández-Hernández, T.</t>
  </si>
  <si>
    <t>02 Aug 2025, 18:32</t>
  </si>
  <si>
    <t>Reunión Anual Conjunta Sociedades de Biología, de Botánica y de Ecología de Chile</t>
  </si>
  <si>
    <t>Densidad de colecta de especies en Chile: análisis desde HerbarioDigital.cl</t>
  </si>
  <si>
    <t>Francisco Antonio Squeo Porcile (Principal Researcher); Ricardo Segovia (Other Center/Project Researcher)</t>
  </si>
  <si>
    <t>11 Aug 2025, 16:08</t>
  </si>
  <si>
    <t>Variación en la reproducción natural de Eriosyce litoralis (Cactaceae)</t>
  </si>
  <si>
    <t>Cisternas, A.</t>
  </si>
  <si>
    <t>02 Aug 2025, 18:33</t>
  </si>
  <si>
    <t>HerbarioDigital.cl como herramienta para el estudio de rasgos funcionales asociados a variables ambientales</t>
  </si>
  <si>
    <t>Francisco Antonio Squeo Porcile (Principal Researcher); Ricardo Andrés Segovia Cortés (Adjunct Researcher); Javier Silva Espejo (PhD Thesis)</t>
  </si>
  <si>
    <t>11 Aug 2025, 16:11</t>
  </si>
  <si>
    <t>Comparación morfológica de flores cleistogámicas y casmogámicas en Deschampsia antarctica (Poaceae) en regiones antárticas y subantárticas</t>
  </si>
  <si>
    <t>02 Aug 2025, 18:34</t>
  </si>
  <si>
    <t>Gobernanza Adaptativa y Resiliencia en la Propuesta de Reserva de Biosfera para la Comuna de Paihuano: Rol de Actores Clave y Estrategias de Conservación</t>
  </si>
  <si>
    <t>Francisco Antonio Squeo Porcile (Principal Researcher); Lidia Meneses (PhD Thesis)</t>
  </si>
  <si>
    <t>11 Aug 2025, 16:12</t>
  </si>
  <si>
    <t>Tolerancia al estrés salino, hídrico y su interacción en Zameioscirpus atacamensis</t>
  </si>
  <si>
    <t>Francisco Antonio Squeo Porcile (Principal Researcher); Danny Carvajal López (Postdoctoral Fellow)</t>
  </si>
  <si>
    <t>Cristian Troncoso (Master Thesis)</t>
  </si>
  <si>
    <t>11 Aug 2025, 16:14</t>
  </si>
  <si>
    <t>¿En que forma la aridez y el estrés hídrico determinan cambios en los niveles de integración fenotípica?</t>
  </si>
  <si>
    <t>Francisco Antonio Squeo Porcile (Principal Researcher); Danny Carvajal López (Postdoctoral Fellow); Javier Silva Espejo (PhD Thesis)</t>
  </si>
  <si>
    <t>11 Aug 2025, 16:15</t>
  </si>
  <si>
    <t>Identificación de áreas de alto valor para la conservación basadas en las características del paisaje y las comunidades de aves como herramienta para planificar conservación en la Reserva de Biósfera Fray Jorge</t>
  </si>
  <si>
    <t>Francisco Antonio Squeo Porcile (Principal Researcher); Felipe Mendez Gutiérrez (PhD Thesis)</t>
  </si>
  <si>
    <t>Claudia Hernandez</t>
  </si>
  <si>
    <t>11 Aug 2025, 16:17</t>
  </si>
  <si>
    <t>XXX Reunión de la Sociedad de Ecología de Chile</t>
  </si>
  <si>
    <t>Inflamabilidad de especies leñosas nativas y exóticas invasoras del bosque templado lluvioso valdiviano</t>
  </si>
  <si>
    <t>Susana Paula Juliá (Principal Researcher)</t>
  </si>
  <si>
    <t>Javiera Rojas, Luisa Parra, Camilo Bustos</t>
  </si>
  <si>
    <t>02 Aug 2025, 20:08</t>
  </si>
  <si>
    <t>Más allá de los terpenos: el papel de los metabolitos secundarios volátiles en la inflamabilidad de las plantas</t>
  </si>
  <si>
    <t>Susana Paula Juliá (Principal Researcher); Korina Ocampo Zuleta (Postdoctoral Fellow)</t>
  </si>
  <si>
    <t>Guerrero, Fabián, Espinoza, Lorena, Carmona, Camilo, Blackhall, Melisa, Quintero, Carolina, Madrigal, Javier, Guijarro, Mercedes, Carrasco, Yulian, Bustamante, Marcela, Miranda, Alejandro, Yáñez, Karen, Bergmann, Jan, Taborga, Lautaro, Toledo, Mario</t>
  </si>
  <si>
    <t>02 Aug 2025, 20:11</t>
  </si>
  <si>
    <t xml:space="preserve">XXX Reunión Anual de la Sociedad de Ecología de Chile </t>
  </si>
  <si>
    <t>Evaluación de la efectividad del control manual sobre la invasión de Messembryanthemum spp. en áreas protegidas del norte de Chile.</t>
  </si>
  <si>
    <t>Aníbal Pauchard Cortés (Director); Rafael Andres García Araya (Adjunct Researcher); Jonathan Urrutia (Other Center/Project Researcher); Antonio David Lara Cuevas (Undergraduate Thesis)</t>
  </si>
  <si>
    <t>02 Aug 2025, 20:42</t>
  </si>
  <si>
    <t>Evaluacion inicial de los tratamientos de control para la invasión de Pinus contorta Douglas ex Loudon. en la Patagonia chilena</t>
  </si>
  <si>
    <t>02 Aug 2025, 20:43</t>
  </si>
  <si>
    <t>Invasión de plantas exóticas en los senderos de la zona austral de Chile: rol de la visitación y los rasgos funcionales</t>
  </si>
  <si>
    <t>Aníbal Pauchard Cortés (Director); Rafael Andres García Araya (Adjunct Researcher); Eduardo Fuentes  (PhD Thesis); Magdalena Rayen Gonzalez Rojas (Undergraduate Thesis)</t>
  </si>
  <si>
    <t>Alejandra Jimenez (Part of the Center)</t>
  </si>
  <si>
    <t>02 Aug 2025, 20:46</t>
  </si>
  <si>
    <t>Análisis de la investigación existente sobre servicios ecosistémicos en sistemas desérticos</t>
  </si>
  <si>
    <t>Rafael Andres García Araya (Adjunct Researcher)</t>
  </si>
  <si>
    <t>Daniela Gaymer Parada</t>
  </si>
  <si>
    <t>02 Aug 2025, 20:48</t>
  </si>
  <si>
    <t>Invasoras CL: Una herramienta participativa para el registro de especies exóticas en Chile</t>
  </si>
  <si>
    <t>Aníbal Pauchard Cortés (Director); Rafael Andres García Araya (Adjunct Researcher); Eduardo Fuentes  (PhD Thesis); Constanza Erna Vargas Villegas (Undergraduate Thesis)</t>
  </si>
  <si>
    <t>02 Aug 2025, 20:51</t>
  </si>
  <si>
    <t>02 Aug 2025, 21:45</t>
  </si>
  <si>
    <t xml:space="preserve">Estrategias de forrajeo de Cuscuta chilensis: Selección de huéspedes, preferencia y rendimiento en arbustos nativos del desierto costero. </t>
  </si>
  <si>
    <t>Andrea Loayza Freire (Adjunct Researcher)</t>
  </si>
  <si>
    <t>Rios, R., Gianoli, E., Montaño-Centellas, F.</t>
  </si>
  <si>
    <t>02 Aug 2025, 22:07</t>
  </si>
  <si>
    <t>Las características estructurales relacionadas con la edad de los olivares del Desierto de Atacama influyen en las comunidades de artrópodos epigeos</t>
  </si>
  <si>
    <t>Wallberg. B.</t>
  </si>
  <si>
    <t>02 Aug 2025, 22:08</t>
  </si>
  <si>
    <t>Variación de rasgos fenológicos y su relación con el éxito reproductivo en un arbusto dioico del Desierto de Atacama</t>
  </si>
  <si>
    <t>García-Guzmán, P., Carvajal, D. E.</t>
  </si>
  <si>
    <t>02 Aug 2025, 22:10</t>
  </si>
  <si>
    <t>Phenotypic integration of woody shrub communities is aligned with an aridity gradient in the Coastal Atacama Desert</t>
  </si>
  <si>
    <t>Danny E. Carvajal, Rios, R.</t>
  </si>
  <si>
    <t>02 Aug 2025, 22:11</t>
  </si>
  <si>
    <t>La importancia de la investigación a largo plazo en ecosistemas complejos: Dinámicas poblacionales de presas y respuestas funcionales de depredadores, el caso del zorro culpeo (Lycalopex culpaeus)</t>
  </si>
  <si>
    <t>Maria Alejandra Troncoso Joffre (Adjunct Researcher)</t>
  </si>
  <si>
    <t>Kelt DA</t>
  </si>
  <si>
    <t>03 Aug 2025, 00:42</t>
  </si>
  <si>
    <t>03 Aug 2025, 13:46</t>
  </si>
  <si>
    <t>03 Aug 2025, 13:48</t>
  </si>
  <si>
    <t>03 Aug 2025, 13:49</t>
  </si>
  <si>
    <t>Ecobiología del reclutamiento de Juniperus communis, una invasora incipiente en la Patagonia Andina (Argentina)</t>
  </si>
  <si>
    <t>03 Aug 2025, 13:51</t>
  </si>
  <si>
    <t>Aníbal Pauchard Cortés (Director); Rafael Andres García Araya (Adjunct Researcher); Constanza Erna Vargas Villegas (Undergraduate Thesis)</t>
  </si>
  <si>
    <t>03 Aug 2025, 13:52</t>
  </si>
  <si>
    <t>XXX Reunión Anual SOCECOL</t>
  </si>
  <si>
    <t>Efecto de áreas naturales en la provisión de servicios y perjuicios ecosistémicos por aves en huertos frutales de Chile central</t>
  </si>
  <si>
    <t>Castro-Soza, C, Díaz-Siefer, P, Soto-Gamboa, M, Fonturbel, FE, Leiva-Martínez, N, Sepúlveda, A</t>
  </si>
  <si>
    <t>03 Aug 2025, 15:55</t>
  </si>
  <si>
    <t>Comportamiento espaciotemporal de Lycalopex culpaeus en respuesta a la actividad de perros en paisajes agrícolas con un gradiente de área natural/seminatural adyacente</t>
  </si>
  <si>
    <t>Díaz-Siefer, P, Ponce, M, Pozo. RA, Cusack, J, Fontúrbel, FE, Riffo-Donoso, V</t>
  </si>
  <si>
    <t>03 Aug 2025, 16:31</t>
  </si>
  <si>
    <t>Efectos de tratamientos silviculturales y de cosecha de agua en la provisión del servicio ecosistémico de provisión de hábitat brindado por la diversidad vegetal y animal del espinal</t>
  </si>
  <si>
    <t>Victoria Fuentes, Horacio Bown, Nicolás García</t>
  </si>
  <si>
    <t>03 Aug 2025, 17:10</t>
  </si>
  <si>
    <t>Eficiencia de uso de agua a nivel de ecosistema en un bosque y una turbera antropogénica del norte de Chiloé</t>
  </si>
  <si>
    <t>03 Aug 2025, 17:11</t>
  </si>
  <si>
    <t>La Regla de Rapoport y su relación con los nichos climáticos en la flora de la Provincia Altoandina del Cono Sur</t>
  </si>
  <si>
    <t>Mary Therese Kalin Hurley (Adjunct Researcher); Luis Fernando Retamal Pacheco (Master Thesis)</t>
  </si>
  <si>
    <t>03 Aug 2025, 17:37</t>
  </si>
  <si>
    <t>"XXX Reunión Anual de la Sociedad de Ecología."</t>
  </si>
  <si>
    <t>03 Aug 2025, 18:16</t>
  </si>
  <si>
    <t>Determinantes de los patrones de regeneración natural de los bosques del maule</t>
  </si>
  <si>
    <t>Aurora Gaxiola (Principal Researcher); Alvaro Guillermo Gutierrez Ilabaca (Principal Researcher); Verónica  Maritza Marín Valencia (Master Thesis)</t>
  </si>
  <si>
    <t>28 Jul 2025, 11:59</t>
  </si>
  <si>
    <t>Solapamiento de nicho térmico entre plántulas y árboles maduros en bosques templados de Chile</t>
  </si>
  <si>
    <t>Alvaro Guillermo Gutierrez Ilabaca (Principal Researcher)</t>
  </si>
  <si>
    <t>Fernanda Montero</t>
  </si>
  <si>
    <t>28 Jul 2025, 12:02</t>
  </si>
  <si>
    <t>Alvaro Guillermo Gutierrez Ilabaca (Principal Researcher); Roberto Chávez Oyanadel (Adjunct Researcher)</t>
  </si>
  <si>
    <t>Claudio Álvarez , Duncan A. Christie, Juan Carlos Aravena</t>
  </si>
  <si>
    <t>28 Jul 2025, 12:05</t>
  </si>
  <si>
    <t>Monitoreando la megasequía en zonas semiáridas de Chile central: Evaluación ecosistémica con variables esenciales de biodiversidad</t>
  </si>
  <si>
    <t>Francisca Henríquez-Gangas, Gabriel Castro B, Gastón O. Carvallo</t>
  </si>
  <si>
    <t>28 Jul 2025, 12:10</t>
  </si>
  <si>
    <t>Mecanismos de mortalidad de Nothofagus dombeyi inducida por sequía extrema a lo largo de su distribución</t>
  </si>
  <si>
    <t xml:space="preserve">Luis Cáceres-Polgrossi, Ariel Muñoz,  María Laura Suarez, Alejandro Venegas-González, Jonathan Barichivich </t>
  </si>
  <si>
    <t>Vinci Urra (Technician) (Part of the Center) también participó de la presentación oral.</t>
  </si>
  <si>
    <t>28 Jul 2025, 12:21</t>
  </si>
  <si>
    <t>V Congreso Internacional de Educación para el Desarrollo Sustentable (CIEDS 2024) y el VI Congreso Internacional de Educación e Interculturalidad de la Red Interuniversitaria de Educación e Interculturalidad (RIEDI 2024)</t>
  </si>
  <si>
    <t>Festival de las aves de Monkul: experiencias para la Educación intercultural y la conservación biocultural de humedales costeros</t>
  </si>
  <si>
    <t>Jose Cristobal Pizarro Pinochet (Adjunct Researcher)</t>
  </si>
  <si>
    <t>Tatiana Marivil, Estela Nahuelpan</t>
  </si>
  <si>
    <t>Catalina Luengo Veloso (Assistant),  Claudia Soto-Ávila1; Richard Fernández (students)</t>
  </si>
  <si>
    <t>02 Aug 2025, 23:10</t>
  </si>
  <si>
    <t>Seminario-Taller Ecosistema Biocultural del Pewen "Sembrando Futuro"</t>
  </si>
  <si>
    <t>Invasión de pinos en bosques de Araucaria-Nothofagus sp. en Chile</t>
  </si>
  <si>
    <t>Aníbal Pauchard Cortés (Director); Rafael Andres García Araya (Adjunct Researcher); Eduardo Fuentes  (PhD Thesis)</t>
  </si>
  <si>
    <t>02 Aug 2025, 20:53</t>
  </si>
  <si>
    <t>01 Aug 2025, 12:07</t>
  </si>
  <si>
    <t>03 Aug 2025, 13:08</t>
  </si>
  <si>
    <t>IX Congreso Ciencias Forestales</t>
  </si>
  <si>
    <t>Incertidumbre en las estimaciones del sumidero de carbono de los ecosistemas forestales para calcular la carbono neutralidad</t>
  </si>
  <si>
    <t>Jorge Francisco Pérez Quezada (Adjunct Researcher)</t>
  </si>
  <si>
    <t>Jorge Herrera Benavides , Daniel Núñez Ibarra,  Mauricio Galleguillos Torres</t>
  </si>
  <si>
    <t>03 Aug 2025, 17:12</t>
  </si>
  <si>
    <t>Análisis del patrón de defoliación masiva por ormiscodes amphimone en bosques de Nothofagus pumilio ubicados la región de Aysén</t>
  </si>
  <si>
    <t>Alvaro Guillermo Gutierrez Ilabaca (Principal Researcher); Roberto Chávez Oyanadel (Adjunct Researcher); Anais Cárdenas (Undergraduate Thesis)</t>
  </si>
  <si>
    <t>Sergio A Estay</t>
  </si>
  <si>
    <t>28 Jul 2025, 12:25</t>
  </si>
  <si>
    <t>Indicadores ecológicos de la alteración del hábitat de Nothofagus macrocarpa</t>
  </si>
  <si>
    <t>Alejandro Venegas</t>
  </si>
  <si>
    <t>28 Jul 2025, 12:28</t>
  </si>
  <si>
    <t>Relación espacio-temporal entre anillos de crecimiento y productividad primaria en un gradiente de precipitación en los andes patagónicos</t>
  </si>
  <si>
    <t>Alvaro Guillermo Gutierrez Ilabaca (Principal Researcher); Jose Velasquez (Undergraduate Thesis)</t>
  </si>
  <si>
    <t>Ángela Hernández, Rocío Urrutia, Daniel P. Soto</t>
  </si>
  <si>
    <t>28 Jul 2025, 12:30</t>
  </si>
  <si>
    <t>Cambio climático y disrupción de ciclos ecológicos en los bosques subantárticos</t>
  </si>
  <si>
    <t>28 Jul 2025, 12:32</t>
  </si>
  <si>
    <t>Influencia de los factores bioclimáticos y la niebla costera en la configuración espacial del bosque nativo costero de la zona semi árida</t>
  </si>
  <si>
    <t>Alvaro Guillermo Gutierrez Ilabaca (Principal Researcher); Roberto Chávez Oyanadel (Adjunct Researcher); Pedro Vicente Zuñiga (Master Thesis)</t>
  </si>
  <si>
    <t>Sebastián Vicuña, Gabriel Castro</t>
  </si>
  <si>
    <t>28 Jul 2025, 12:34</t>
  </si>
  <si>
    <t>Cambios futuros en la productividad y almacenamiento de carbono sobre el suelo en los bosques de Chile.</t>
  </si>
  <si>
    <t>Alvaro Guillermo Gutierrez Ilabaca (Principal Researcher); José Manuel Osses (Master Thesis)</t>
  </si>
  <si>
    <t>Constanza Vera</t>
  </si>
  <si>
    <t>28 Jul 2025, 12:36</t>
  </si>
  <si>
    <t>Evaluación del estado de alteración de los bosques maulinos costeros mediante series temporales LANDSAT y lidar satelital GEDI</t>
  </si>
  <si>
    <t>Alvaro Guillermo Gutierrez Ilabaca (Principal Researcher); Sebastian Landeros Espina (Master Thesis)</t>
  </si>
  <si>
    <t>Mauricio Galleguillos</t>
  </si>
  <si>
    <t>28 Jul 2025, 12:38</t>
  </si>
  <si>
    <t>Entre lluvias y sequías: 35 años de resiliencia y cambios en las poblaciones de pequeños mamíferos del matorral semiárido chileno</t>
  </si>
  <si>
    <t xml:space="preserve">Previtali MA, Meserve PL, Kelt DA, Milstead WB, Troncoso AJ, Gutierrez JR, Bertin A, Gouin ND, Kartzinel T, Maldonado K, Newsome SD, Yeakel J. </t>
  </si>
  <si>
    <t>03 Aug 2025, 00:40</t>
  </si>
  <si>
    <t>XIX Congreso Latinoamericano de Genética</t>
  </si>
  <si>
    <t>Caracterización genómica de Nothofagus x leonii, único hibrido descrito como especie en los Nothofagus de Sudamérica.</t>
  </si>
  <si>
    <t>Alvaro Guillermo Gutierrez Ilabaca (Principal Researcher); Rodrigo Antonio Gutierrez Ilabaca (Adjunct Researcher)</t>
  </si>
  <si>
    <t>Jorquera J, Narváez G, Guillemin ML</t>
  </si>
  <si>
    <t>28 Jul 2025, 12:43</t>
  </si>
  <si>
    <t>COP 16</t>
  </si>
  <si>
    <t>Biodiversidad urbana: políticas públicas a distinta escala en la zona central de Chile</t>
  </si>
  <si>
    <t>03 Aug 2025, 16:35</t>
  </si>
  <si>
    <t>Interdisciplinary Science for Marine and Coastal Conservation in a changing world, Mallorca Science School.</t>
  </si>
  <si>
    <t>Conservation Planning for Nature and People</t>
  </si>
  <si>
    <t>15 Jul 2025, 14:52</t>
  </si>
  <si>
    <t>01 Aug 2025, 15:41</t>
  </si>
  <si>
    <t>Effective management of protected areas in Chile: How can we move forward together towards the 30X30 goal?</t>
  </si>
  <si>
    <t>Representativeness of Marine Ecosystems. Contribution to the achievement of Target 3 of the Kunming-Montreal Framework.</t>
  </si>
  <si>
    <t>15 Jul 2025, 15:03</t>
  </si>
  <si>
    <t>01 Aug 2025, 15:43</t>
  </si>
  <si>
    <t>III Congreso chileno de paleontología</t>
  </si>
  <si>
    <t>Paleofuegos en Patagonia: una comparación de regímenes de fuego en Patagonia Norte y Centro durante los últimos milenios</t>
  </si>
  <si>
    <t>Paola Alejandra Jara Arancio (Adjunct Researcher)</t>
  </si>
  <si>
    <t>Alex Molina</t>
  </si>
  <si>
    <t>03 Aug 2025, 18:04</t>
  </si>
  <si>
    <t xml:space="preserve">XVIII Encuentro Latinoamericano de Estudiantes de Recursos Naturales y Medio Ambiente </t>
  </si>
  <si>
    <t xml:space="preserve">Evaluación de la presencia y amenaza de perros de libre desplazamiento en áreas protegidas del estado de Chile </t>
  </si>
  <si>
    <t>Rafael Andres García Araya (Adjunct Researcher); María de los Angeles Gutiérrez Valenzuela (Undergraduate Thesis)</t>
  </si>
  <si>
    <t>02 Aug 2025, 20:58</t>
  </si>
  <si>
    <t xml:space="preserve">Identificación de área de distribución de la Cotorra Argentina en Chile </t>
  </si>
  <si>
    <t>Rafael Andres García Araya (Adjunct Researcher); Rosalorena Román Durán (Undergraduate Thesis)</t>
  </si>
  <si>
    <t>02 Aug 2025, 20:59</t>
  </si>
  <si>
    <t>03 Aug 2025, 13:09</t>
  </si>
  <si>
    <t>03 Aug 2025, 13:11</t>
  </si>
  <si>
    <t xml:space="preserve">Escala en Roca: Revisión bibliográfica de sus implicancias ecológicas y sociales </t>
  </si>
  <si>
    <t>Eduardo Fuentes  (PhD Thesis); Tomás Arellano (Undergraduate Thesis)</t>
  </si>
  <si>
    <t>03 Aug 2025, 13:12</t>
  </si>
  <si>
    <t>Roberto Chávez Oyanadel (Adjunct Researcher)</t>
  </si>
  <si>
    <t>Congreso Trabajo Social, Territorio &amp; Medioambiente</t>
  </si>
  <si>
    <t>Refugios Bioculturales abordando las transformaciones socio-ecológicas de los humedales costeros</t>
  </si>
  <si>
    <t>Catalina Luengo Veloso (Assistant)</t>
  </si>
  <si>
    <t>02 Aug 2025, 23:08</t>
  </si>
  <si>
    <t>De la evidencia a la acción: aprendizajes del informe IPBES sobre especies exóticas invasoras</t>
  </si>
  <si>
    <t>03 Aug 2025, 13:00</t>
  </si>
  <si>
    <t>03 Aug 2025, 13:47</t>
  </si>
  <si>
    <t>Biodiversity Information Science and Standards (SPNHC-TDWG) joint conference</t>
  </si>
  <si>
    <t>PyDwCA: A tool for integrating biodiversity data</t>
  </si>
  <si>
    <t>Sáez-Hidalgo, J. M., Segovia, R. A., Squeo, F. A.</t>
  </si>
  <si>
    <t>02 Aug 2025, 18:40</t>
  </si>
  <si>
    <t>TDWG Conference</t>
  </si>
  <si>
    <t xml:space="preserve">PyDwCA: A Tool for Integrating Biodiversity Data </t>
  </si>
  <si>
    <t>Pablo César Guerrero Martin (Principal Researcher); Francisco Antonio Squeo Porcile (Principal Researcher); Ricardo Andrés Segovia Cortés (Adjunct Researcher)</t>
  </si>
  <si>
    <t>Juan Saez</t>
  </si>
  <si>
    <t>03 Aug 2025, 14:44</t>
  </si>
  <si>
    <t>Primer Simposio de la Sociedad Chilena de Ciencias del Cuaternario</t>
  </si>
  <si>
    <t>Paleofuegos en Patagonia: una comparación de regímenes de fuego en la Región de Los Lagos y la Región de Aysén del General Carlos Ibáñez del Campo durante los dos últimos milenios</t>
  </si>
  <si>
    <t>03 Aug 2025, 18:03</t>
  </si>
  <si>
    <t>Restoration Ecology Society from Europe</t>
  </si>
  <si>
    <t>Is it neccesary to restore Andean forests after fire?</t>
  </si>
  <si>
    <t>9 coauthors</t>
  </si>
  <si>
    <t>29 Jul 2025, 10:01</t>
  </si>
  <si>
    <t>XXVII International Congress of Entomology</t>
  </si>
  <si>
    <t>DNA metabarcoding evidenced plant consumption by aphid-predating coccinellids</t>
  </si>
  <si>
    <t>Romero V, M Plantegenest,  B Jaloux, Y Tricault, B Lavandero</t>
  </si>
  <si>
    <t>03 Aug 2025, 16:38</t>
  </si>
  <si>
    <t>IUFRO Division 7 Joint Meeting: Theory and Practice to address Defoliating Insects, Invasive Pests and Biological Control of Insects and Pathogens in Forests</t>
  </si>
  <si>
    <t>The role of seasonal climate on the occurrence of Ormiscodes amphimone outbreaks in Patagonia, Southern Chile</t>
  </si>
  <si>
    <t>Estay S.A., Gutiérrez Á.G., Urra V., Cardenas, A., Lastra J.A.</t>
  </si>
  <si>
    <t>03 Aug 2025, 18:52</t>
  </si>
  <si>
    <t>Likely repercussions of climate change on the unknown biodiversity of the Southern Ocean: The case of the gastropod Neobuccinum E. A. Smith, 1879</t>
  </si>
  <si>
    <t>Díaz, A., Gonzalez, R.</t>
  </si>
  <si>
    <t>02 Aug 2025, 18:42</t>
  </si>
  <si>
    <t>Climate change and its range effects on sheathbills: Modeling the present and future potential distribution of the genus Chionis</t>
  </si>
  <si>
    <t>Escobar, C., Pertierra, L. R.</t>
  </si>
  <si>
    <t>02 Aug 2025, 18:43</t>
  </si>
  <si>
    <t>Phylogenomics of Deschampsia (Poaceae) species from the Southern Cone of South America</t>
  </si>
  <si>
    <t>Conejeros, M.</t>
  </si>
  <si>
    <t>02 Aug 2025, 18:45</t>
  </si>
  <si>
    <t>XI Open Science Conference</t>
  </si>
  <si>
    <t>LOHENGRIN ALEXIS CAVIERES GONZÁLEZ (Principal Researcher); Patricia Lisette Sáez Delgado (Adjunct Researcher); Francisca Fuentes Espinoza (PhD Thesis); Valentina Vallejos (PhD Thesis)</t>
  </si>
  <si>
    <t>León Bravo, Jeroni Galmes</t>
  </si>
  <si>
    <t>Flores Branttes (Part of the Center)</t>
  </si>
  <si>
    <t>03 Aug 2025, 18:26</t>
  </si>
  <si>
    <t>Patricia Lisette Sáez Delgado (Adjunct Researcher); Constanza Ramirez (PhD Thesis); Francisca Fuentes Espinoza (PhD Thesis); Valentina Vallejos (PhD Thesis)</t>
  </si>
  <si>
    <t>03 Aug 2025, 18:27</t>
  </si>
  <si>
    <t>LOHENGRIN ALEXIS CAVIERES GONZÁLEZ (Principal Researcher); Patricia Lisette Sáez Delgado (Adjunct Researcher); Valentina Vallejos (PhD Thesis)</t>
  </si>
  <si>
    <t>Dariel López, Olman Gómez</t>
  </si>
  <si>
    <t>León Bravo (Part of the Center)</t>
  </si>
  <si>
    <t>03 Aug 2025, 18:29</t>
  </si>
  <si>
    <t>Simposio Internacional sobre el Aprovechamiento de la Investigación LTER para Políticas de Conservación Basadas en Evidencia</t>
  </si>
  <si>
    <t>Red LTSER y Fray Jorge</t>
  </si>
  <si>
    <t>03 Aug 2025, 00:36</t>
  </si>
  <si>
    <t>Pollination services of Cucurbita pepo as sentinel species increase with a higher proportion of natural habitat in the agricultural landscape</t>
  </si>
  <si>
    <t>Montero F, P Díaz Siefer, T Lillo, FE Fontúrbel</t>
  </si>
  <si>
    <t>03 Aug 2025, 16:40</t>
  </si>
  <si>
    <t>Spatiotemporal behavior of culpeo fox (Lycalopex culpaeus) in response to anthropogenic activity in an agricultural landscape with a different proportion of natural habitat</t>
  </si>
  <si>
    <t>Ponce M, FE Fontúrbel, P Díaz-Siefer, V Riffo-Donoso, R Pozo, J Cusack</t>
  </si>
  <si>
    <t>03 Aug 2025, 16:42</t>
  </si>
  <si>
    <t>ESA 2024 Annual Meeting</t>
  </si>
  <si>
    <t>Is carbon starvation a cause of decay in Austrocedrus chilensis?: a comparative assessment between male and female trees</t>
  </si>
  <si>
    <t>Frida Ingrid Piper Busico (Principal Researcher); Carolina Morales Saavedra (PhD Thesis)</t>
  </si>
  <si>
    <t>Carolina Álvarez-Maldini, Claudio Ramírez</t>
  </si>
  <si>
    <t>29 Jul 2025, 12:34</t>
  </si>
  <si>
    <t>Allocation of photoassimilates in Quillaja saponaria after a period of carbon deprivation</t>
  </si>
  <si>
    <t>29 Jul 2025, 12:36</t>
  </si>
  <si>
    <t>Greater potential for carbohydrates storage, not growth, in deciduous than in evergreen trees</t>
  </si>
  <si>
    <t>29 Jul 2025, 12:37</t>
  </si>
  <si>
    <t>02 Aug 2025, 21:43</t>
  </si>
  <si>
    <t>02 Aug 2025, 21:44</t>
  </si>
  <si>
    <t>8th Frugivores and Seed Dispersal Symposium</t>
  </si>
  <si>
    <t>Evidence of fruit consumption by Proboscideans as the smoking gun of the seed dispersal anachronism hypothesis</t>
  </si>
  <si>
    <t>Claudio Latorre Hidalgo (Principal Researcher); Andrea Loayza Freire (Adjunct Researcher); Ricardo Andrés Segovia Cortés (Adjunct Researcher)</t>
  </si>
  <si>
    <t>02 Aug 2025, 22:13</t>
  </si>
  <si>
    <t>IV Coloquio Chileno de Socioecología y Etnoecología: "Coexistencia y Reciprocidad"</t>
  </si>
  <si>
    <t>Refugios Bioculturales abordando las transformaciones socio-ecológicas de abordando las transformaciones socio-ecológicas de los humedales costeros</t>
  </si>
  <si>
    <t>Cecilia Díaz-Cárcamo, Aylén Nahuelpán, Camila Morales-Salazar</t>
  </si>
  <si>
    <t>students: Catalina Luengo Veloso, Claudia Soto-Ávila, Richard Fernández, Camila Olivares</t>
  </si>
  <si>
    <t>02 Aug 2025, 23:06</t>
  </si>
  <si>
    <t>Exotic vascular flora in the Cape Horn Biosphere Reserve: biodiversity threats in Chile’s subantarctic natural laboratory.</t>
  </si>
  <si>
    <t>Sánchez-Jardón, L., Zuñiga, P., Goncalves, E., Caviness, T., Bustamante, R., Rozzi, R.</t>
  </si>
  <si>
    <t>11 Aug 2025, 16:03</t>
  </si>
  <si>
    <t>International Botany Congress XX</t>
  </si>
  <si>
    <t>Phylogenetic analysis of Deschampsia (Poaceae) in the Southern cone of South America through Angiosperm353 target sequencing</t>
  </si>
  <si>
    <t>Conejeros Palma, M.</t>
  </si>
  <si>
    <t>02 Aug 2025, 18:46</t>
  </si>
  <si>
    <t>How cacti colonized the desert?</t>
  </si>
  <si>
    <t>Toledo, S., García-Beltrán</t>
  </si>
  <si>
    <t>02 Aug 2025, 18:47</t>
  </si>
  <si>
    <t>VI simposio Colombiano sobre Especies Invasoras</t>
  </si>
  <si>
    <t>¿Son las especies invasoras más inflamables que las nativas?</t>
  </si>
  <si>
    <t>Leonardo Bacigalupe, Juli G. Pausas, Susana Gómez-González</t>
  </si>
  <si>
    <t>02 Aug 2025, 20:13</t>
  </si>
  <si>
    <t>VI Simposio Colombiano sobre especies invasoras</t>
  </si>
  <si>
    <t>Informe IPBES sobre especies invasoras”</t>
  </si>
  <si>
    <t>29 Jul 2024, 14:28</t>
  </si>
  <si>
    <t>IUFRO Conference</t>
  </si>
  <si>
    <t>Using historical tree plot inventory data to investigate the biogeography of Tropical America</t>
  </si>
  <si>
    <t>Ricardo Andrés Segovia Cortés (Adjunct Researcher)</t>
  </si>
  <si>
    <t>Karina Banda, Renato A Ferreira de Lima, Cecilia Blundo, Luis Cayuela, Géraldine Derroire, Kyle G Dexter, Moabe Fernandes, Claire Fortunel, Roy González, Tamara Heartsill-Scalley, Filipe França, Toby Pennington, Oliver L Phillips, Hans Ter Steege, Jérôme Chave, Adriane Esquivel-Muelbert</t>
  </si>
  <si>
    <t>03 Aug 2025, 14:47</t>
  </si>
  <si>
    <t>The importance of facilitative interactions for the plant diversity of alpine plant communities</t>
  </si>
  <si>
    <t>30 Jul 2025, 23:45</t>
  </si>
  <si>
    <t>Achieving Target 6 of the Kunming-Montreal GBF in mountains: Inputs from the IPBES Assessment of Invasive Alien Species and their Control</t>
  </si>
  <si>
    <t>29 Jul 2024, 14:31</t>
  </si>
  <si>
    <t>World biodiversty forum</t>
  </si>
  <si>
    <t>Changes on plant species diversity after 15 yrs. in the Andes of central Chile</t>
  </si>
  <si>
    <t>Maritza Mihok</t>
  </si>
  <si>
    <t>30 Jul 2025, 23:44</t>
  </si>
  <si>
    <t>Quantifying and Unraveling Causes of Soil Erosion Trends in Chile; A Study from 2001-2020</t>
  </si>
  <si>
    <t>Aurora Gaxiola (Principal Researcher); Ignacio Núñez Hidalgo (PhD Thesis)</t>
  </si>
  <si>
    <t>Marco Pfeiffer</t>
  </si>
  <si>
    <t>22 Jul 2025, 18:30</t>
  </si>
  <si>
    <t>"Centennial Celebration and Congress of the International Union of Soil Sciences"</t>
  </si>
  <si>
    <t>Microbial landscapes: unraveling the impact of natural surroundings on orchards</t>
  </si>
  <si>
    <t>Pedro Mondaca, Eduardo Arellano, Alexis Velasquez</t>
  </si>
  <si>
    <t>22 Jul 2025, 18:32</t>
  </si>
  <si>
    <t>Meeting Institute of Ecology and Biodiversity.</t>
  </si>
  <si>
    <t>Planificación, Gobernanza y Coproducción de Conocimientos en la Conservación de la Biodiversidad. Integración de avances del programa de investigación sobre Conservación y Bienestar Humano.</t>
  </si>
  <si>
    <t>31 Jul 2024, 09:44</t>
  </si>
  <si>
    <t>Programa de igualdad de género IEB.</t>
  </si>
  <si>
    <t>Olga Alejandra Barbosa Prieto (Principal Researcher); Maria Jose Martinez Harms (Principal Researcher)</t>
  </si>
  <si>
    <t>31 Jul 2024, 09:45</t>
  </si>
  <si>
    <t>Encuentro Anual Centro Basal IEB</t>
  </si>
  <si>
    <t>Dinámicas de carbono orgánico del suelo en bosques nativos y plantaciones de Chile Central.</t>
  </si>
  <si>
    <t>Catalina Guerra, Ignacio Núñez-Hidalgo, Eduardo Arellano</t>
  </si>
  <si>
    <t>22 Jul 2025, 18:40</t>
  </si>
  <si>
    <t>Explorando la interacción entre los requerimientos lumínicos y la transferencia de nutrientes vía micorriza en la dinámica de regeneración</t>
  </si>
  <si>
    <t>Felipe Figueroa</t>
  </si>
  <si>
    <t>22 Jul 2025, 18:41</t>
  </si>
  <si>
    <t>Biotopo y su influencia en la coexistencia de especies de plantas leñosas en la regeneración</t>
  </si>
  <si>
    <t>Paula Formas, Pablo A. Marquet</t>
  </si>
  <si>
    <t>22 Jul 2025, 18:42</t>
  </si>
  <si>
    <t>Determinantes de los patrones de regeneración natural en los bosques del Maule</t>
  </si>
  <si>
    <t>Aurora Gaxiola (Principal Researcher); Alvaro Guillermo Gutierrez Ilabaca (Principal Researcher)</t>
  </si>
  <si>
    <t>Veronica Marin</t>
  </si>
  <si>
    <t>22 Jul 2025, 18:43</t>
  </si>
  <si>
    <t>OWSD LAC Regional Meeting</t>
  </si>
  <si>
    <t>OWSD Chile</t>
  </si>
  <si>
    <t>Maria Jose Martinez Harms</t>
  </si>
  <si>
    <t>03 Aug 2025, 00:45</t>
  </si>
  <si>
    <t>Global Knowledge Dialogue - Latin America</t>
  </si>
  <si>
    <t>03 Aug 2025, 00:43</t>
  </si>
  <si>
    <t>Seminario internacional Estudios de Doctorado en Conservación de la Naturaleza</t>
  </si>
  <si>
    <t>Conservación basada en evidencia en la Patagonia chilena: conocimientos, oportunidades y perspectivas globales.</t>
  </si>
  <si>
    <t>31 Jul 2024, 09:47</t>
  </si>
  <si>
    <t>CENTRO DE INVESTIGACIONES SOBRE DESERTIFICACIÓN</t>
  </si>
  <si>
    <t>02 Aug 2025, 20:03</t>
  </si>
  <si>
    <t>Susana Paula Juliá (Principal Researcher); Korina Ocamnpo (PhD Thesis)</t>
  </si>
  <si>
    <t>23 Jul 2024, 12:03</t>
  </si>
  <si>
    <t>Symposium Conservation Spatial Planning</t>
  </si>
  <si>
    <t>Planificación espacial para la conservación. Seminario Internacional Instituto de Ecología y Biodiversidad.</t>
  </si>
  <si>
    <t>31 Jul 2024, 09:48</t>
  </si>
  <si>
    <t>XVII International Colloquium on Plant Ecophysiology, Parque Katalapi, Puerto Montt, Chile (2024)</t>
  </si>
  <si>
    <t>Uniqueness of the Photosynthetic and Hydraulic Ecophysiological Traits of Antarctic Vascular Plants.</t>
  </si>
  <si>
    <t>LOHENGRIN ALEXIS CAVIERES GONZÁLEZ (Principal Researcher); Patricia Lisette Sáez Delgado (Adjunct Researcher); Vinka Anik Thomas (Postdoctoral Fellow); Constanza Ramirez (PhD Thesis); Francisca Fuentes Espinoza (PhD Thesis); Valentina Vallejos (PhD Thesis); Pedro Flores (Master Thesis)</t>
  </si>
  <si>
    <t>León A. Bravo, Jeroni Galmés</t>
  </si>
  <si>
    <t>03 Aug 2025, 18:19</t>
  </si>
  <si>
    <t>Leaf hydraulic responds differentially between Antarctic vascular plant species to in situ environmental changes, but always in a coordinated way with photosynthesis”</t>
  </si>
  <si>
    <t>Domingo Sancho-Knapik, Constanza F. Ramírez, Betsy K., Rivera, León A. Bravo, José Javier Peguero-Pina, Eustaquio Gil-Pelegrín, Jeroni Galmés</t>
  </si>
  <si>
    <t>03 Aug 2025, 18:21</t>
  </si>
  <si>
    <t>"Anatomical and biochemical evolutionary ancient traits of Araucaria Araucana (Molina) K. Koch and their effects on carbon  assimilation"</t>
  </si>
  <si>
    <t>LOHENGRIN ALEXIS CAVIERES GONZÁLEZ (Principal Researcher); Patricia Lisette Sáez Delgado (Adjunct Researcher); Betsy Rivera Briones (PhD Thesis)</t>
  </si>
  <si>
    <t>Sebastià Capó-Bauçà, Concepción Iñiguez, Eugenio Sanfuentes von Stowasser, Francisca Fuentes, Constanza F. Ramírez, Valentina Vallejos, Jeroni Galmés</t>
  </si>
  <si>
    <t>03 Aug 2025, 18:24</t>
  </si>
  <si>
    <t>XVII International Colloquium on Plant Ecophysiology</t>
  </si>
  <si>
    <t>LOHENGRIN ALEXIS CAVIERES GONZÁLEZ (Principal Researcher); Patricia Lisette Sáez Delgado (Adjunct Researcher)</t>
  </si>
  <si>
    <t xml:space="preserve">Flores P; Fuentes F; Vallejos V; Ramírez C; Bravo L; Galmés J; </t>
  </si>
  <si>
    <t>23 Jul 2024, 13:11</t>
  </si>
  <si>
    <t>Congreso Futuro Atacama</t>
  </si>
  <si>
    <t>Biodiversidad terrestre y marina de la región de Atacama: de las cumbres más altas hasta las fosas más profundas</t>
  </si>
  <si>
    <t>Dagoberto Arcos, Ricardo Catalán, Freddy Vargas</t>
  </si>
  <si>
    <t>17 Jul 2024, 16:49</t>
  </si>
  <si>
    <t>29 Jul 2025, 12:45</t>
  </si>
  <si>
    <t>02 Aug 2025, 21:47</t>
  </si>
  <si>
    <t>Constanza Gabriela Napolitano Valenzuela (Adjunct Researcher)</t>
  </si>
  <si>
    <t>FB210008</t>
  </si>
  <si>
    <t xml:space="preserve">XLV Congreso Chileno de Microbiología. </t>
  </si>
  <si>
    <t xml:space="preserve">Dispersal and colonization dynamics of the Acidithiobacillus bacteria in microbial communities assembly in a natural extremely acidic environment. </t>
  </si>
  <si>
    <t>Raquel Clara Quatrini Nyqvist (Principal Researcher); Francisco Issotta (Postdoctoral Fellow); Camila Rojas-Villalobos (PhD Thesis); Dilanaz Arisan (PhD Thesis); Juan Carlos Duarte Ramirez (PhD Thesis)</t>
  </si>
  <si>
    <t>03 Dec 2025</t>
  </si>
  <si>
    <t>Modeling and computational biology; Viruses, microbes, and infection</t>
  </si>
  <si>
    <t>04 Jun 2025, 11:34</t>
  </si>
  <si>
    <t>Viruses, microbes, and infection</t>
  </si>
  <si>
    <t>Amelina Andrea Albornoz (Adjunct Researcher)</t>
  </si>
  <si>
    <t>Simon David Poblete Fuentes (Adjunct Researcher)</t>
  </si>
  <si>
    <t>Modeling and computational biology</t>
  </si>
  <si>
    <t>Enrique Brandan Siques (Principal Researcher); Daniela Victoria Rebolledo Lopez (Adjunct Researcher)</t>
  </si>
  <si>
    <t>Cell signaling and neuropathology</t>
  </si>
  <si>
    <t>Daniela Victoria Rebolledo Lopez (Adjunct Researcher)</t>
  </si>
  <si>
    <t>Micaela María Ricca (Adjunct Researcher); Sebastián Andrés Valenzuela Anguita (Adjunct Researcher)</t>
  </si>
  <si>
    <t>Cell regulation and tumor biology; Cell signaling and neuropathology; Inmuno intervention and inflammation; Viruses, microbes, and infection</t>
  </si>
  <si>
    <t>Cell regulation and tumor biology; Inmuno intervention and inflammation</t>
  </si>
  <si>
    <t xml:space="preserve">Engineering T-cells as a therapy for Parkinson’s disease. </t>
  </si>
  <si>
    <t>Rodrigo Andrés Pacheco Rivera (Principal Researcher)</t>
  </si>
  <si>
    <t>Cell signaling and neuropathology; Viruses, microbes, and infection</t>
  </si>
  <si>
    <t>Raul Rene Araya Secchi (Adjunct Researcher)</t>
  </si>
  <si>
    <t>Carlos Fernando Lagos Arévalo (Adjunct Researcher)</t>
  </si>
  <si>
    <t>Early dysregulation of ATX/LPA and YAP/TAZ signaling in delta sarcoglycanopathy is associated with fibrosis and impaired muscle function</t>
  </si>
  <si>
    <t>Modelado Computacional del ARN en Diferentes Escalas</t>
  </si>
  <si>
    <t>PANAM Physiological Sciences</t>
  </si>
  <si>
    <t>The methyl-CpG-binding protein 2 mediates hypothalamus-adipose tissue communication and determines metabolic phenotype</t>
  </si>
  <si>
    <t>Cheril Cecilia Tapia Rojas (Principal Researcher); Nuria Gabriela Llontop López  (PhD Thesis)</t>
  </si>
  <si>
    <t>27 Jul 2024, 11:59</t>
  </si>
  <si>
    <t xml:space="preserve">Open Science. Universidad San Sebastián, Huechuraba. </t>
  </si>
  <si>
    <t>28 May 2025, 11:41</t>
  </si>
  <si>
    <t>Seminario Centro Ciencia &amp; Vida</t>
  </si>
  <si>
    <t>Exploring mitochondrial and synaptic dysfunction in multiple experimental models of aging: Focus on in vitro hippocampal neurons</t>
  </si>
  <si>
    <t>Cheril Cecilia Tapia Rojas (Principal Researcher); Matias Lira Mendieta (Postdoctoral Fellow)</t>
  </si>
  <si>
    <t>30 Jun 2025, 08:45</t>
  </si>
  <si>
    <t xml:space="preserve">Estudio de los sistemas de defensa y evaluación de la influencia de los sistemas de Restricción-Modificación (R-M) en la eficiencia de transformación en Fervidacidithiobacillus caldus ATCC 51756T. </t>
  </si>
  <si>
    <t>Raquel Clara Quatrini Nyqvist (Principal Researcher); Simón Beard (Postdoctoral Fellow); Sebastián Pacheco Acosta (PhD Thesis); Guillermo Eduardo Tapia Donoso (Undergraduate Thesis)</t>
  </si>
  <si>
    <t>04 Jun 2025, 11:36</t>
  </si>
  <si>
    <t xml:space="preserve">Nitrogen cycling in extreme acidic environments: Insights from the Copahue-Caviahue Volcanic Complex Poster. XLV Congreso Chileno de Microbiología. </t>
  </si>
  <si>
    <t>Raquel Clara Quatrini Nyqvist (Principal Researcher); Camila Rojas-Villalobos (PhD Thesis); Felipe Gallardo (PhD Thesis); Sofía Valentina Reyes Impellizzeri (PhD Thesis)</t>
  </si>
  <si>
    <t>04 Jun 2025, 11:38</t>
  </si>
  <si>
    <t>CASP 16</t>
  </si>
  <si>
    <t>Predictor talk 2: southeRNA</t>
  </si>
  <si>
    <t>02 Jul 2025, 10:31</t>
  </si>
  <si>
    <t xml:space="preserve">III Encuentro para el Personal Técnico-Profesional en el área de animales en investigación y el Entrenamiento Permanente: Una Apuesta desde el programa Institucional de cuidado y Uso de animales PICUA </t>
  </si>
  <si>
    <t>Programas institucionales PICUA, formación permanente; Taller Procedimientos Operativos Estandarizados (POEs); Buenas prácticas de manipulación y sujeción de ratas y ratones; ¿Cómo gestionar colonias de ratas y ratones?; Habilidades emocionales y herramie</t>
  </si>
  <si>
    <t>09 Jul 2025, 10:33</t>
  </si>
  <si>
    <t>7th ASOCHIN Meeting</t>
  </si>
  <si>
    <t>Role of adenosine receptor A2A in the generation of exhausted CD8+ T cells in the tumor microenvironment</t>
  </si>
  <si>
    <t>Maria Rosa Bono Merino (Principal Researcher); Alvaro Fernando Lladser Caldera (Principal Researcher); Mario Rosemblatt Silber (Principal Researcher); Alberto Jesus Martin Martin (Adjunct Researcher); Daniela Macarena Sauma Mahaluf (Adjunct Researcher); Juan Pablo Saavedra (PhD Thesis); Felipe Malgue (Master Thesis)</t>
  </si>
  <si>
    <t>Cell regulation and tumor biology; Cell signaling and neuropathology; Inmuno intervention and inflammation</t>
  </si>
  <si>
    <t>26 Jun 2025, 11:38</t>
  </si>
  <si>
    <t>Annual Meeting ASOCHIN 7th</t>
  </si>
  <si>
    <t>Adenosine together with IL-2 and IL-12 terminal exhaustion of CD8 T cells in vitro</t>
  </si>
  <si>
    <t>Maria Rosa Bono Merino (Principal Researcher); Mario Rosemblatt Silber (Principal Researcher); Daniela Macarena Sauma Mahaluf (Adjunct Researcher); Juan Pablo Saavedra (PhD Thesis); Felipe Malgue (Master Thesis); Joaquín de la Rosa (Master Thesis); Solange Gouet (Undergraduate Thesis)</t>
  </si>
  <si>
    <t>Inmuno intervention and inflammation; Viruses, microbes, and infection</t>
  </si>
  <si>
    <t>26 Jun 2025, 11:40</t>
  </si>
  <si>
    <t>7th Annual Meeting ASOCHIN</t>
  </si>
  <si>
    <t>A2AR promotes differentiation of exhausted progenitor T cells into exhausted T cells in vitro</t>
  </si>
  <si>
    <t>Maria Rosa Bono Merino (Principal Researcher); Mario Rosemblatt Silber (Principal Researcher); Alberto Jesus Martin Martin (Adjunct Researcher); Daniela Macarena Sauma Mahaluf (Adjunct Researcher); Catalina Rodriguez (PhD Thesis); Juan Pablo Saavedra (PhD Thesis); Felipe Malgue (Master Thesis); Sofia Rodriguez (PhD Thesis); Solange Gouet (Undergraduate Thesis)</t>
  </si>
  <si>
    <t>26 Jun 2025, 11:42</t>
  </si>
  <si>
    <t>VII Annual Reunion ASOCHIN 2024</t>
  </si>
  <si>
    <t>Microbiota-derived metabolites controls the trafficking of gut immune cells to central nervous system during autoimmunity"</t>
  </si>
  <si>
    <t>Carolina Elizabeth Prado Terrazas (Adjunct Researcher)</t>
  </si>
  <si>
    <t>Inmuno intervention and inflammation; Modeling and computational biology</t>
  </si>
  <si>
    <t>15 Jun 2025, 12:11</t>
  </si>
  <si>
    <t xml:space="preserve">XXXVI annual meeting of the Chilean Society for Cell Biology. </t>
  </si>
  <si>
    <t xml:space="preserve">Targeting T-cell mediated autoimmune response to alpha-synuclein to stop Parkinson’s disease. Symposium “Deciphering aging: Molecular mechanisms and therapeutics interventions”. </t>
  </si>
  <si>
    <t>Rodrigo Andrés Pacheco Rivera (Principal Researcher); Carolina Elizabeth Prado Terrazas (Adjunct Researcher); Ornella Chovar (PhD Thesis); Zulmary Manjarres (PhD Thesis)</t>
  </si>
  <si>
    <t>28 May 2025, 11:37</t>
  </si>
  <si>
    <t>Simposio: Innovating Biomedicine through Molecular Design and Structural Bioinformatics</t>
  </si>
  <si>
    <t>Aproximaciones de Bioinformática Estructural y Química Biológica para el Diseño de Nuevos Fármacos</t>
  </si>
  <si>
    <t>09 Jun 2025, 09:17</t>
  </si>
  <si>
    <t>Aptameros en Chile</t>
  </si>
  <si>
    <t>02 Jul 2025, 10:28</t>
  </si>
  <si>
    <t>3ra Reunión Anual Sociedad Chilena de Bioinformática (SCB2024)</t>
  </si>
  <si>
    <t>Bioinformatic Approaches to Understand Energy Metabolic Pathways in the Polyextremophile Acidihalobacter</t>
  </si>
  <si>
    <t>David Holmes Salway (Adjunct Researcher); Eva Marilyn Vergara Jiménez (PhD Thesis)</t>
  </si>
  <si>
    <t>Jorge Valdés, Himel Nahreen Khaleque,  Elizabeth L.J</t>
  </si>
  <si>
    <t>30 May 2025, 10:34</t>
  </si>
  <si>
    <t>Mechanism of Gating in Connexin Hemichannels: A Complex Interplay Between Internal and External Factors.</t>
  </si>
  <si>
    <t>Tomas Orlando Perez-Acle Acle (Director); Felipe Villanelo Lizana (Postdoctoral Fellow); Daniela Barreras (PhD Thesis); Joaquin Jensen (PhD Thesis)</t>
  </si>
  <si>
    <t>26 Jun 2025, 11:24</t>
  </si>
  <si>
    <t> Dynamic Stability and Structural Analysis of human Connexin 26 N-Terminal Domain: Insights from Molecular Dynamics Simulations.</t>
  </si>
  <si>
    <t>Tomas Orlando Perez-Acle Acle (Director); Daniela Barreras (PhD Thesis); Joaquin Jensen (PhD Thesis); Fabián Parra (Undergraduate Thesis)</t>
  </si>
  <si>
    <t>26 Jun 2025, 11:25</t>
  </si>
  <si>
    <t xml:space="preserve"> III Congreso de la Sociedad Chilena de Bioinformática (SCB2024). </t>
  </si>
  <si>
    <t xml:space="preserve"> MobHunter: A data integration platform for Mobile Genetic Elements prediction in microbial genomes.</t>
  </si>
  <si>
    <t>Raquel Clara Quatrini Nyqvist (Principal Researcher); Ana Rosa Moya Beltrán (Postdoctoral Fellow); Francisco Issotta (Postdoctoral Fellow); Pedro Sepulveda Rebolledo (Postdoctoral Fellow); Camila Rojas-Villalobos (PhD Thesis); Dilanaz Arisan (PhD Thesis)</t>
  </si>
  <si>
    <t>04 Jun 2025, 11:41</t>
  </si>
  <si>
    <t xml:space="preserve"> Community ecology: Exploring the iron-cycling microbial genes in a natural environmental pH gradient. </t>
  </si>
  <si>
    <t>Daniela Victoria Rebolledo Lopez (Adjunct Researcher); Francisco Issotta (Postdoctoral Fellow); Camila Rojas-Villalobos (PhD Thesis)</t>
  </si>
  <si>
    <t>04 Jun 2025, 11:43</t>
  </si>
  <si>
    <t xml:space="preserve"> Development of a pipeline for binning and refinement of MAGs for improved genome-resolved metagenomic data analysis.</t>
  </si>
  <si>
    <t>Tomas Orlando Perez-Acle Acle (Director); Raquel Clara Quatrini Nyqvist (Principal Researcher); Francisco Issotta (Postdoctoral Fellow); Camila Rojas-Villalobos (PhD Thesis)</t>
  </si>
  <si>
    <t>04 Jun 2025, 11:45</t>
  </si>
  <si>
    <t xml:space="preserve"> Genome evolution of the Acidithiobacillia: mapping Structural Variations (SVs) and their contribution to diversification of the class. </t>
  </si>
  <si>
    <t>Raquel Clara Quatrini Nyqvist (Principal Researcher); Alberto Jesus Martin Martin (Adjunct Researcher); Ana Rosa Moya Beltrán (Postdoctoral Fellow); Pedro Sepulveda Rebolledo (Postdoctoral Fellow); Simón Beard (Postdoctoral Fellow)</t>
  </si>
  <si>
    <t>04 Jun 2025, 11:46</t>
  </si>
  <si>
    <t xml:space="preserve"> Revealing the unseen: Metagenomic co-assemblies illuminate the viral diversity in the Copahue-Caviahue Volcanic Complex.</t>
  </si>
  <si>
    <t>Raquel Clara Quatrini Nyqvist (Principal Researcher); Francisco Issotta (Postdoctoral Fellow); Camila Rojas-Villalobos (PhD Thesis); Abraham Isaac Zapata Araya (PhD Thesis)</t>
  </si>
  <si>
    <t>04 Jun 2025, 11:48</t>
  </si>
  <si>
    <t>7th Advanced Course on Immunity &amp; Cancer Immunotherapy,</t>
  </si>
  <si>
    <t>Heterogeneous tissue-resident memory CD8+ T cells are established in breast cancer tumors and invaded lymph nodes</t>
  </si>
  <si>
    <t>Javiera Reyes Alvarez (PhD Thesis)</t>
  </si>
  <si>
    <t>Cell regulation and tumor biology</t>
  </si>
  <si>
    <t>25 Jun 2025, 10:45</t>
  </si>
  <si>
    <t xml:space="preserve">VII Annual meeting ASOCHIN. </t>
  </si>
  <si>
    <t>Short-chain fatty acids signalling in T-cells promotes the development of Parkinson’s disease in a mouse model.</t>
  </si>
  <si>
    <t>Rodrigo Andrés Pacheco Rivera (Principal Researcher); Ornella Chovar (PhD Thesis)</t>
  </si>
  <si>
    <t>28 May 2025, 12:03</t>
  </si>
  <si>
    <t xml:space="preserve">Interferon-gamma-induced dendritic cells exhibit an anti-inflammatory profile, inhibit CD4+ T cell proliferation, and promote regulatory T cell induction in a neuroantigen-specific manner. </t>
  </si>
  <si>
    <t>Luis Alfonso González de la Rosa (Principal Researcher); Rodrigo Andrés Pacheco Rivera (Principal Researcher); Carolina Elizabeth Prado Terrazas (Adjunct Researcher)</t>
  </si>
  <si>
    <t>28 May 2025, 12:05</t>
  </si>
  <si>
    <t>"Taller Internacional sobre “Avances y Desafíos en la Gestión Ética de Animales de Laboratorio: Capacitación y Condiciones Óptimas”"</t>
  </si>
  <si>
    <t>"Reconocimiento del dolor, estrés y distrés para entender el bienestar. Fatiga por compasión, la nueva pandemia."</t>
  </si>
  <si>
    <t>09 Jul 2025, 10:34</t>
  </si>
  <si>
    <t>IEEE Nano Peru 2024</t>
  </si>
  <si>
    <t>Multiscale Modeling of RNA: zooming in and out to improve results</t>
  </si>
  <si>
    <t>02 Jul 2025, 10:46</t>
  </si>
  <si>
    <t>14 th Latin American and Caribbean Congress of Immunology</t>
  </si>
  <si>
    <t>Characterization of Tissue-Resident Memory B cells in the kidney of a mouse model of Systemic Lupus Erythematosus</t>
  </si>
  <si>
    <t>Maria Rosa Bono Merino (Principal Researcher); Mario Rosemblatt Silber (Principal Researcher); Sarah Elizabeth Nuñez Clausen (Adjunct Researcher); Daniela Macarena Sauma Mahaluf (Adjunct Researcher); Nicolas Valdivieso (PhD Thesis)</t>
  </si>
  <si>
    <t>Inmuno intervention and inflammation</t>
  </si>
  <si>
    <t>26 Jun 2025, 11:44</t>
  </si>
  <si>
    <t>XXXVI ANNUAL MEETING CHILEAN SOCIETY FOR CELL BIOLOGY</t>
  </si>
  <si>
    <t>LYSOPHOSPHATIDIC ACID DRIVES MUSCLE FIBROSIS VIA LPAR1 ACTIVATION AFTER SCIATIC NERVE INJURY.</t>
  </si>
  <si>
    <t>Enrique Brandan Siques (Principal Researcher); Maria Soledad Matus Montero (Principal Researcher); Nicolás Martínez (Postdoctoral Fellow); Adriana Córdova (PhD Thesis); Meilyn Cruz (PhD Thesis)</t>
  </si>
  <si>
    <t>10 Jun 2025, 08:59</t>
  </si>
  <si>
    <t>YAP/TAZ ACTIVATION IN FIBROSIS INDUCED BY DENERVATION DEPENDS ON LPA/LPA1 SIGNALING.</t>
  </si>
  <si>
    <t>Enrique Brandan Siques (Principal Researcher); Meilyn Cruz (Postdoctoral Fellow); Felipe Gallardo (PhD Thesis)</t>
  </si>
  <si>
    <t>10 Jun 2025, 09:02</t>
  </si>
  <si>
    <t>EARLY INHIBITION OF THE ATX/LPA/LPAR AXIS REDUCES FIBROSIS AND IMPROVES MUSCLE FUNCTION IN DELTA SARCOGLYCAN-ASSOCIATED MUSCULAR DYSTROPHY</t>
  </si>
  <si>
    <t>Enrique Brandan Siques (Principal Researcher); Nicolás Martínez (Postdoctoral Fellow); Cristian Gutierrez (PhD Thesis)</t>
  </si>
  <si>
    <t>10 Jun 2025, 09:08</t>
  </si>
  <si>
    <t>OPTIMIZING FIBROTIC AND BASAL EXTRACELLULAR MATRIX PRODUCTION FROM FIBROBLASTS FOR SUBSEQUENT RECELLULARIZATION.</t>
  </si>
  <si>
    <t>Enrique Brandan Siques (Principal Researcher); Meilyn Cruz (Postdoctoral Fellow); Sebastián Bazaes (Undergraduate Thesis)</t>
  </si>
  <si>
    <t>10 Jun 2025, 09:11</t>
  </si>
  <si>
    <t xml:space="preserve">Chilean Society for Cell Biology XXXVI Annual Meeting  </t>
  </si>
  <si>
    <t>The kinase PKR controls the synaptic protein synthesis and a specific stress-dependent mRNAs translation</t>
  </si>
  <si>
    <t>Maria Soledad Matus Montero (Principal Researcher); Cheril Cecilia Tapia Rojas (Principal Researcher); Nicolás Martínez (Postdoctoral Fellow); Juan Francisco Roa Petit (PhD Thesis); ARIEL PATRICIO TAPIA GODOY (Undergraduate Thesis)</t>
  </si>
  <si>
    <t>26 Jun 2025, 11:00</t>
  </si>
  <si>
    <t>Protein Kinase RNA-activated (PKR) participates in peripheral nerve integrity maintenance after injury.</t>
  </si>
  <si>
    <t>Maria Soledad Matus Montero (Principal Researcher); Nicolás Martínez (Postdoctoral Fellow); Alejandra Trujillo Espergel (Undergraduate Thesis); ARIEL PATRICIO TAPIA GODOY (Undergraduate Thesis); CAMILA ANDREA MORALES MANZANO  (Undergraduate Thesis)</t>
  </si>
  <si>
    <t>26 Jun 2025, 11:02</t>
  </si>
  <si>
    <t>The potential role of GCN2 kinase in the mitochondrial function of oligodendrocytes.</t>
  </si>
  <si>
    <t>Maria Soledad Matus Montero (Principal Researcher); Cheril Cecilia Tapia Rojas (Principal Researcher); Claudia Jara Orellana (Postdoctoral Fellow); Juan Francisco Roa Petit (PhD Thesis)</t>
  </si>
  <si>
    <t>26 Jun 2025, 11:03</t>
  </si>
  <si>
    <t>GCN2 kinase-mediated adaptation to amino acid scarcity is sex-dependent, ranging from metabolism control to autophagy activation in the central nervous system.</t>
  </si>
  <si>
    <t>Maria Soledad Matus Montero (Principal Researcher); Marcela Escandon (PhD Thesis); Sofia Parham Jadue (Undergraduate Thesis)</t>
  </si>
  <si>
    <t>26 Jun 2025, 11:04</t>
  </si>
  <si>
    <t>The metabolic sensor GCN2 as a driver of adaptation and its role in aging in response to a nutritional strategy</t>
  </si>
  <si>
    <t>26 Jun 2025, 11:05</t>
  </si>
  <si>
    <t>28 May 2025, 11:33</t>
  </si>
  <si>
    <t>Dual role of galectin-8 in the outcome of acute kidney injury</t>
  </si>
  <si>
    <t>Luis Alfonso González de la Rosa (Principal Researcher); Rodrigo Andrés Pacheco Rivera (Principal Researcher); Carolina Elizabeth Prado Terrazas (Adjunct Researcher); Andrea Morena Soza Gajardo (Adjunct Researcher); Ornella Chovar (PhD Thesis); Tomás Toledo (PhD Thesis)</t>
  </si>
  <si>
    <t>28 May 2025, 12:01</t>
  </si>
  <si>
    <t>Congreso Ética y Bioética USACH 2024</t>
  </si>
  <si>
    <t>Investigación en seres sintientes no humanos</t>
  </si>
  <si>
    <t>09 Jul 2025, 10:36</t>
  </si>
  <si>
    <t>Loss of bone marrow lymphoid progenitors affects thymus functionality in lupus</t>
  </si>
  <si>
    <t>Mario Rosemblatt Silber (Principal Researcher); Sarah Elizabeth Nuñez Clausen (Adjunct Researcher); Daniela Macarena Sauma Mahaluf (Adjunct Researcher); Nicolas Valdivieso (PhD Thesis)</t>
  </si>
  <si>
    <t>26 Jun 2025, 11:46</t>
  </si>
  <si>
    <t>XLV Congreso Chileno Urologia</t>
  </si>
  <si>
    <t xml:space="preserve">CARACTERIZACIÓN DE PACIENTES CON CÁNCER DE PENE EN UN HOSPITAL PÚBLICO: ANÁLISIS RETROSPECTIVO DE 5 AÑOS  </t>
  </si>
  <si>
    <t>Ivan Esteban Alfaro Cortez (Adjunct Researcher); Vincenzo Andres Borgna Christie (Adjunct Researcher); Ariel Briceño (Undergraduate Thesis)</t>
  </si>
  <si>
    <t>02 Jul 2025, 11:00</t>
  </si>
  <si>
    <t>XLV Congreso Anual de la Sociedad de Farmacología de Chile</t>
  </si>
  <si>
    <t>“Development of HSC70: LAMP-2A Interaction Inhibitors for the development of a selective anti-cancer therapy”</t>
  </si>
  <si>
    <t>Ivan Esteban Alfaro Cortez (Adjunct Researcher); Carlos Fernando Lagos Arévalo (Adjunct Researcher)</t>
  </si>
  <si>
    <t>Cell regulation and tumor biology; Cell signaling and neuropathology; Modeling and computational biology</t>
  </si>
  <si>
    <t>30 Jun 2025, 14:25</t>
  </si>
  <si>
    <t>“MetaDrug: An AI-Driven Tool for Accelerated Molecule Optimization in Hit-to-Lead Drug Development”</t>
  </si>
  <si>
    <t>Ivan Esteban Alfaro Cortez (Adjunct Researcher); Gonzalo Nuñez (Postdoctoral Fellow); Cristian Herrera (PhD Thesis)</t>
  </si>
  <si>
    <t>Cell regulation and tumor biology; Cell signaling and neuropathology</t>
  </si>
  <si>
    <t>30 Jun 2025, 14:27</t>
  </si>
  <si>
    <t>7th Anual meeting Asociación chilena de inmunología</t>
  </si>
  <si>
    <t>Characterization of tissue-resident memory B cells in the kidney of a mouse model of systemic lupus erythematosus</t>
  </si>
  <si>
    <t>02 Jul 2025, 10:08</t>
  </si>
  <si>
    <t>XLV Congreso Anual Sociedad de Farmacología de Chile</t>
  </si>
  <si>
    <t>"Modeling and Dynamics of the Mineralocorticoid Receptor in Its Inactive State: Development of a Pharmacophore Model and Screening of Novel Antagonists"</t>
  </si>
  <si>
    <t>Recabarren-Gajardo, G, Amoroso,  P, Rubio-Quiróz</t>
  </si>
  <si>
    <t>09 Jun 2025, 08:56</t>
  </si>
  <si>
    <t>Aldosterone Effects on Hepatic and Renal Cells: Activation of the Unfolded Protein Response via IRE1 and PERK Pathways In Vitro</t>
  </si>
  <si>
    <t>Amoroso Alejandro , Rubio-Quiróz Luis</t>
  </si>
  <si>
    <t>09 Jun 2025, 09:10</t>
  </si>
  <si>
    <t>Design of Prohibitin 2 ligands for mitophagy activation in senescent cells: modulation of the PHB2/LC3/P62 pathway</t>
  </si>
  <si>
    <t>09 Jun 2025, 09:13</t>
  </si>
  <si>
    <t>Development of HSC70: LAMP-2A Interaction Inhibitors for the development of a selective anti-cancer therapy</t>
  </si>
  <si>
    <t>09 Jun 2025, 09:15</t>
  </si>
  <si>
    <t>International Cell Senescence Association Meeting</t>
  </si>
  <si>
    <t>Targeting cell senescence and fibrosis to enhance peripheral nerve regeneration following chronic damage</t>
  </si>
  <si>
    <t>30 Jun 2025, 13:58</t>
  </si>
  <si>
    <t>Interplay of senecent cells and Macrophage polarization in peripheral nerve repair in aging and chronic denervation.</t>
  </si>
  <si>
    <t>30 Jun 2025, 14:00</t>
  </si>
  <si>
    <t>Tumor-infiltrating CD4+ T cells recognize human renal carcinoma and are functionally organized into circulating and tissue-resident compartments</t>
  </si>
  <si>
    <t>Alvaro Fernando Lladser Caldera (Principal Researcher); Farides Saavedra (Postdoctoral Fellow); Sofia Hidalgo  (Postdoctoral Fellow); Marco Fraga (PhD Thesis)</t>
  </si>
  <si>
    <t>25 Jun 2025, 10:35</t>
  </si>
  <si>
    <t>Deciphering the T cell networks underlying effective immunity against solid tumors.</t>
  </si>
  <si>
    <t>25 Jun 2025, 10:36</t>
  </si>
  <si>
    <t>Lymphodepleting preconditioning impairs long-term host antitumor T cell immunity induced by adoptive cell therapy</t>
  </si>
  <si>
    <t>Alvaro Fernando Lladser Caldera (Principal Researcher); Vincenzo Andres Borgna Christie (Adjunct Researcher); HUGO ARNALDO GONZALEZ VELOZO (Adjunct Researcher); Andres Hernandez (Postdoctoral Fellow); Sofia Hidalgo  (Postdoctoral Fellow); Ximena López (Postdoctoral Fellow); Diego Figueroa (PhD Thesis); Felipe Flores (PhD Thesis); Juan Pablo Vega (PhD Thesis); Fabiola Otarola (Undergraduate Thesis)</t>
  </si>
  <si>
    <t>25 Jun 2025, 10:39</t>
  </si>
  <si>
    <t>"Tumor-specific memory CD8 + T cells infiltrate renal cell carcinoma tumors as circulating progenitors that differentiate into tissue-resident subsets and undergo exhaustion"</t>
  </si>
  <si>
    <t>Alvaro Fernando Lladser Caldera (Principal Researcher); Vincenzo Andres Borgna Christie (Adjunct Researcher); Daniela Macarena Sauma Mahaluf (Adjunct Researcher); Andres Hernandez (Postdoctoral Fellow); Diego Figueroa (Postdoctoral Fellow); Farides Saavedra (Postdoctoral Fellow); Sofia Hidalgo  (Postdoctoral Fellow); Javiera Reyes Alvarez (PhD Thesis)</t>
  </si>
  <si>
    <t>25 Jun 2025, 10:42</t>
  </si>
  <si>
    <t>14th Congress Latin American and Caribbean Association for Immunology</t>
  </si>
  <si>
    <t>02 Jul 2025, 10:06</t>
  </si>
  <si>
    <t>14th Latin American and Caribbean Congress of Immunology (ALACI).</t>
  </si>
  <si>
    <t xml:space="preserve">Developing an immunotherapy for Parkinson’s disease: Regulatory T-cells expressing a chimeric antigen receptor specific to nitrated alpha-synuclein. </t>
  </si>
  <si>
    <t>Rodrigo Andrés Pacheco Rivera (Principal Researcher); Carolina Elizabeth Prado Terrazas (Adjunct Researcher); Zulmary Manjarres (PhD Thesis)</t>
  </si>
  <si>
    <t>28 May 2025, 11:30</t>
  </si>
  <si>
    <t>Temperature-dependent Gn/Gc spike conformations of hantaviruses assessed by flow virometry</t>
  </si>
  <si>
    <t>Nicole D. Tischler (Principal Researcher); Nicolás Muena (Postdoctoral Fellow); Gabriel Vergara Meza (Master Thesis); Gianina Arata Salas (Undergraduate Thesis)</t>
  </si>
  <si>
    <t>26 Jun 2025, 10:21</t>
  </si>
  <si>
    <t>Characterizing the pH Sensitivity of the Andes virus (Hantaviridae) Gn and Gc glycoproteins in the Secretory Pathway</t>
  </si>
  <si>
    <t>Luis Alfonso González de la Rosa (Principal Researcher); Nicole D. Tischler (Principal Researcher); Fabián Figueroa Ahumada (PhD Thesis); Gianina Arata Salas (Undergraduate Thesis)</t>
  </si>
  <si>
    <t>26 Jun 2025, 10:23</t>
  </si>
  <si>
    <t>3rd Franco-Austral Course on Bioinformatics Applied to Immunology: Computational tools applied to the analysis of single-cell “omics"</t>
  </si>
  <si>
    <t>Spatial Transcriptomics</t>
  </si>
  <si>
    <t>Alvaro Fernando Lladser Caldera (Principal Researcher); Andres Hernandez (Postdoctoral Fellow)</t>
  </si>
  <si>
    <t>25 Jun 2025, 10:27</t>
  </si>
  <si>
    <t>Jorge Valdés</t>
  </si>
  <si>
    <t>Sociedad de Bioquímica y Biología Molecular de Chile</t>
  </si>
  <si>
    <t xml:space="preserve">Characterization of the conformational changes in the Crimean-Congo Hemorrhagic Fever virus spikes </t>
  </si>
  <si>
    <t>Nicole D. Tischler (Principal Researcher); Eduardo Bignon (Postdoctoral Fellow); Esteban Rodríguez (Undergraduate Thesis); Gianina Arata Salas (Undergraduate Thesis)</t>
  </si>
  <si>
    <t>26 Jun 2025, 10:24</t>
  </si>
  <si>
    <t>Virología Física, Molecular y Computacional</t>
  </si>
  <si>
    <t>02 Jul 2025, 10:36</t>
  </si>
  <si>
    <t>New insights into hantavirus nucleoprotein subcellular localization</t>
  </si>
  <si>
    <t>30 Jun 2025, 09:02</t>
  </si>
  <si>
    <t>II Congeso de la Sociedad Chilena de Fonoaudiología</t>
  </si>
  <si>
    <t>LEXIMETRIX: una herramienta para el análisis cuantitativo de textos</t>
  </si>
  <si>
    <t>Mónica Otero Ferreiro (Adjunct Researcher)</t>
  </si>
  <si>
    <t>15 Jun 2025, 10:00</t>
  </si>
  <si>
    <t>"Estudio de la ADP-ribosilación de las histonas H3 y H4 sintetizadas de novo"</t>
  </si>
  <si>
    <t>Maria Alejandra Loyola Pedevila (Principal Researcher); Patricio Zapata (PhD Thesis)</t>
  </si>
  <si>
    <t>Cell regulation and tumor biology; Inmuno intervention and inflammation; Viruses, microbes, and infection</t>
  </si>
  <si>
    <t>30 Jun 2025, 09:00</t>
  </si>
  <si>
    <t>FENS:The Brain Conferences Neuronal Protein Synthesis Mechanisms in Health and Disease</t>
  </si>
  <si>
    <t>The sensor/kinase PKR at the synapse as a translation controller of specific stress-dependent mRNAs.</t>
  </si>
  <si>
    <t>Maria Soledad Matus Montero (Principal Researcher); Nicolás Martínez (Postdoctoral Fellow); ARIEL PATRICIO TAPIA GODOY (Undergraduate Thesis)</t>
  </si>
  <si>
    <t>26 Jun 2025, 10:58</t>
  </si>
  <si>
    <t>Intestinal dopamine controls the recruitment and suppressive activity of regulatory T-cells through the heteromeric complex formed by dopamine receptors D2 and D3</t>
  </si>
  <si>
    <t>Rodrigo Andrés Pacheco Rivera (Principal Researcher); Jacob Mora (PhD Thesis)</t>
  </si>
  <si>
    <t>Cell signaling and neuropathology; Inmuno intervention and inflammation; Viruses, microbes, and infection</t>
  </si>
  <si>
    <t>30 Jun 2025, 08:57</t>
  </si>
  <si>
    <t>" XLVII Reunión anual de la Sociedad de  Bioquímica y Biología Molecular de Chile."</t>
  </si>
  <si>
    <t>"Deciphering the Potential Role of the IVS-Loop in the Voltage-Sensing Mechanism of Prestin in Mammalian Hearing"</t>
  </si>
  <si>
    <t>15 Jun 2025, 09:46</t>
  </si>
  <si>
    <t>XLVII Reuni?n Anual Sociedad de Bioquímica y Biología Molecular de Chile</t>
  </si>
  <si>
    <t>Functional investigation of histones H3 and H4 in mitochondria</t>
  </si>
  <si>
    <t>Maria Alejandra Loyola Pedevila (Principal Researcher); Cheril Cecilia Tapia Rojas (Principal Researcher); Scarleth Larraín Goicovich (Undergraduate Thesis)</t>
  </si>
  <si>
    <t>23 Jun 2025, 15:51</t>
  </si>
  <si>
    <t>Characterization and functionality of HBx protein isoforms and the ORF6 protein of the hepatitis B virus</t>
  </si>
  <si>
    <t>Maria Alejandra Loyola Pedevila (Principal Researcher); Rodrigo Alejandro Villanueva Arancibia (Adjunct Researcher); Scarleth Larraín Goicovich (Undergraduate Thesis)</t>
  </si>
  <si>
    <t>23 Jun 2025, 15:54</t>
  </si>
  <si>
    <t>Seminario Centro Ciencia &amp; Vida : Empresa</t>
  </si>
  <si>
    <t>Merging the Power of Nuclear Medicine and Drug Discovery in the Fight Against Cancer: Therakles at the Forefront of Targeted Radiopharmaceutical Therapies</t>
  </si>
  <si>
    <t>Sebastian Bernales Odino (Adjunct Researcher)</t>
  </si>
  <si>
    <t>30 Jun 2025, 08:53</t>
  </si>
  <si>
    <t xml:space="preserve">Neurosciences conference series. Faculty of Pharmacy and Food Sciences. University of Barcelona. Campus Diagonal, Aula Magna. </t>
  </si>
  <si>
    <t xml:space="preserve">Regulatory T-cells expressing a chimeric antigen receptor specific to nitrated alpha-synuclein inhibit the development of Parkinson’s disease in mouse models. </t>
  </si>
  <si>
    <t>28 May 2025, 11:21</t>
  </si>
  <si>
    <t>14th International Congress on Extremophiles</t>
  </si>
  <si>
    <t>Diversity within species in South American terrestrial hydrothermal systems.</t>
  </si>
  <si>
    <t>Raquel Clara Quatrini Nyqvist (Principal Researcher); Ana Rosa Moya Beltrán (Postdoctoral Fellow); Francisco Issotta (Postdoctoral Fellow); Dilanaz Arisan (PhD Thesis)</t>
  </si>
  <si>
    <t>04 Jun 2025, 11:26</t>
  </si>
  <si>
    <t>EMBO Membrane fusion workshop</t>
  </si>
  <si>
    <t>Exploring the mechanism of membrane fusion in archaea using pleolipoviruses</t>
  </si>
  <si>
    <t>Nicole D. Tischler (Principal Researcher)</t>
  </si>
  <si>
    <t>01 Aug 2024, 17:11</t>
  </si>
  <si>
    <t>"Leveraging Machine Learning for Sampling Rare Events in Biomolecular Systems"</t>
  </si>
  <si>
    <t>"An RNA Machine-Learning Force Field for Exploration of the Conformational Space"</t>
  </si>
  <si>
    <t>17 Sep 2024</t>
  </si>
  <si>
    <t>02 Jul 2025, 10:33</t>
  </si>
  <si>
    <t>Histone lysine monomethylations on ribosomes regulate the maturation of newly synthesized histones</t>
  </si>
  <si>
    <t>Maria Alejandra Loyola Pedevila (Principal Researcher); Farides Saavedra (Postdoctoral Fellow); Patricio Zapata (PhD Thesis); Paulina Espinosa (Undergraduate Thesis)</t>
  </si>
  <si>
    <t>23 Jun 2025, 15:49</t>
  </si>
  <si>
    <t>World Summit and Exp on Neuroscience and Nervous System Disorders.</t>
  </si>
  <si>
    <t xml:space="preserve">T-cell response to ?-synuclein links gut microbiota dysbiosis with Parkinson's Disease development. </t>
  </si>
  <si>
    <t>28 May 2025, 11:24</t>
  </si>
  <si>
    <t>30 Jun 2025, 08:50</t>
  </si>
  <si>
    <t>7th European Congress of Immunology (ECI 2024)</t>
  </si>
  <si>
    <t xml:space="preserve">Microbiota-dependent T-cell response to ?-synuclein-derived antigens triggers motor and non- motor symptoms associated with Parkinson's Disease. </t>
  </si>
  <si>
    <t>28 May 2025, 11:14</t>
  </si>
  <si>
    <t xml:space="preserve">7th European Congress of Immunology (ECI 2024). </t>
  </si>
  <si>
    <t xml:space="preserve">Interferon-gamma induces tolerogenic dendritic cells with suppressive activity in experimental autoimmune encephalomyelitis. </t>
  </si>
  <si>
    <t>Rodrigo Andrés Pacheco Rivera (Principal Researcher); Carolina Elizabeth Prado Terrazas (Adjunct Researcher); Constanza Reyes Olea (Master Thesis)</t>
  </si>
  <si>
    <t>28 May 2025, 11:45</t>
  </si>
  <si>
    <t>Seminario  Centro Ciencia &amp; Vida: Empresa</t>
  </si>
  <si>
    <t>Del laboratorio a los pacientes: innovación biomédica en oncología"</t>
  </si>
  <si>
    <t>Javier Cerda (PhD Thesis)</t>
  </si>
  <si>
    <t>Cell regulation and tumor biology; Cell signaling and neuropathology; Inmuno intervention and inflammation; Modeling and computational biology; Viruses, microbes, and infection</t>
  </si>
  <si>
    <t>30 Jun 2025, 08:42</t>
  </si>
  <si>
    <t>Microbial Extremophiles: Exploring the Limits of Life on Earth and Beyond</t>
  </si>
  <si>
    <t>30 May 2025, 10:42</t>
  </si>
  <si>
    <t>Deciphering Sulfide Oxidation in Acidihalobacter: Genomic Insights from Ancient Earth-Like Environments</t>
  </si>
  <si>
    <t xml:space="preserve"> Himel Nahreen Khaleque,  Himel Nahreen Khalequen</t>
  </si>
  <si>
    <t>30 May 2025, 10:45</t>
  </si>
  <si>
    <t xml:space="preserve">AstroBiology 2024 </t>
  </si>
  <si>
    <t xml:space="preserve"> Exploring the evolutionary origins of the denitrification and nitrogen fixation pathways in the novel extremophilic genus Ambacidithiobacillus.</t>
  </si>
  <si>
    <t>Raquel Clara Quatrini Nyqvist (Principal Researcher); Ana Rosa Moya Beltrán (Postdoctoral Fellow); Camila Rojas-Villalobos (PhD Thesis); Felipe Gallardo (PhD Thesis)</t>
  </si>
  <si>
    <t>04 Jun 2025, 11:30</t>
  </si>
  <si>
    <t>Visualizing Complexity Science Workshop 2024</t>
  </si>
  <si>
    <t>Samuel Ropert (PhD Thesis)</t>
  </si>
  <si>
    <t>26 Jun 2025, 11:27</t>
  </si>
  <si>
    <t xml:space="preserve">Determinación del papel del receptor de ácidos grasos de cadena corta GPR43 </t>
  </si>
  <si>
    <t>30 Jun 2025, 08:38</t>
  </si>
  <si>
    <t>International Biohydrometallurgy Symposia (IBS) into the 63rd Annual Conference of Metallurgists (COM 2024)</t>
  </si>
  <si>
    <t>Invited Keynote Talk: Evolution and Milestones: Nearly 50 Years of International Biohydrometallurgy Symposia (IBS)</t>
  </si>
  <si>
    <t>30 May 2025, 10:47</t>
  </si>
  <si>
    <t>Determinación del papel del receptor de ácidos grasos de cadena corta GPR43 en el desarrollo de la respuesta autoinmune contra alfa-sinucleína asociada a la enfermedad de Parkinson</t>
  </si>
  <si>
    <t>29 Jun 2025, 19:02</t>
  </si>
  <si>
    <t>Bunyavirus meeting 2024</t>
  </si>
  <si>
    <t>Molecular insights into the hantavirus Gn/Gc spikes during viral cell:cell transmission, cell entry and their biogenesis</t>
  </si>
  <si>
    <t>Nicole D. Tischler (Principal Researcher); Diego Figueroa (Postdoctoral Fellow); Eduardo Bignon (Postdoctoral Fellow); Gabriel Vergara Meza (Master Thesis)</t>
  </si>
  <si>
    <t>01 Aug 2024, 17:00</t>
  </si>
  <si>
    <t>International Congress of Mucosal Immunology</t>
  </si>
  <si>
    <t>Microbiota-derived metabolites controls the trafficking _x000B_of gut immune cells to CNS during autoimmunity</t>
  </si>
  <si>
    <t>18 Jul 2024, 18:09</t>
  </si>
  <si>
    <t>Cell regulation and tumor biology; Viruses, microbes, and infection</t>
  </si>
  <si>
    <t>24 Jul 2024, 10:42</t>
  </si>
  <si>
    <t>Telluride Neuromorphic Cognition Engineering Workshop</t>
  </si>
  <si>
    <t>Soraya Mora (PhD Thesis)</t>
  </si>
  <si>
    <t>30 Jul 2024, 16:11</t>
  </si>
  <si>
    <t>OHBM 2024 | Organization for Human Brain Mapping Annual Meeting</t>
  </si>
  <si>
    <t>Large scale network modelling of the effect of sensory and electric stimulation</t>
  </si>
  <si>
    <t>Felipe Torres, Lea-Carnall, Alejandro Weinstein, Joana Cabral, Wael El-Deredy</t>
  </si>
  <si>
    <t>17 Jul 2024, 10:05</t>
  </si>
  <si>
    <t>Multiscale subdivision of an anatomical cortical parcellation based on geodesic distance</t>
  </si>
  <si>
    <t>Yarelis Prieto, Joaquín Molina,  Cecilia Hernández, CyrilPoupon, Jean-François Mangi,  Wael El-Deredy, Pamela Guevara</t>
  </si>
  <si>
    <t>17 Jul 2024, 10:07</t>
  </si>
  <si>
    <t>Yunier Prieur, Felipe Torres, Alejandro Weinstein,  Wael El-Deredy</t>
  </si>
  <si>
    <t>17 Jul 2024, 10:01</t>
  </si>
  <si>
    <t>Mechanics of Hearing 2024</t>
  </si>
  <si>
    <t>Reconstruction of prestin ancestors shed light on the evolution of its area-motor activity</t>
  </si>
  <si>
    <t>17 Jul 2024, 12:01</t>
  </si>
  <si>
    <t>Enrique Brandan Siques (Principal Researcher); Meilyn Cruz (Postdoctoral Fellow)</t>
  </si>
  <si>
    <t>28 Jul 2024, 09:42</t>
  </si>
  <si>
    <t>8th International Congress Myology</t>
  </si>
  <si>
    <t xml:space="preserve">Unraveling the Role of Lipid Signaling in Skeletal Muscle Fibrosis: Lysophosphatidic Acid (LPA) Modulates YAP/TAZ Activation in Denervation. </t>
  </si>
  <si>
    <t>Enrique Brandan Siques (Principal Researcher); Maria Soledad Matus Montero (Principal Researcher); Meilyn Cruz (Postdoctoral Fellow); Nicolás Martínez (Postdoctoral Fellow)</t>
  </si>
  <si>
    <t>28 Jul 2024, 09:38</t>
  </si>
  <si>
    <t>16th Annual World Cancer Congress</t>
  </si>
  <si>
    <t>D-propranolol's potential and mechanisms as repurposed antitumor drug</t>
  </si>
  <si>
    <t>Luis Alfonso González de la Rosa (Principal Researcher)</t>
  </si>
  <si>
    <t>Cell regulation and tumor biology; Cell signaling and neuropathology; Viruses, microbes, and infection</t>
  </si>
  <si>
    <t>28 Jul 2024, 13:17</t>
  </si>
  <si>
    <t>EMBO Molecular Biology of Archaea workshop</t>
  </si>
  <si>
    <t>Membrane fusion in haloarchaea: pleolipoviruses as model system</t>
  </si>
  <si>
    <t>01 Aug 2024, 16:57</t>
  </si>
  <si>
    <t>XXIII Congreso de la Federación Farmacéutica Sudamericana</t>
  </si>
  <si>
    <t>The objective of the FEFAS congress is to generate a space to share knowledge and review the most current issues related to the pharmaceutical profession, and to deepen in topics of relevance at national and regional level.</t>
  </si>
  <si>
    <t>17 Jul 2024, 11:23</t>
  </si>
  <si>
    <t>XLIV Congreso Anual Sociedad de Farmacología de Chile SOFARCHI</t>
  </si>
  <si>
    <t>Combining shape, electrostatics and fast virtual screening to discover allosteric modulators of the Mineralocorticoid Receptor</t>
  </si>
  <si>
    <t>17 Jul 2024, 11:17</t>
  </si>
  <si>
    <t>I Congreso Internacional en Ciencias de Animales en Investigación-ASOCHITAL</t>
  </si>
  <si>
    <t>Fatiga por Compasión "La Nueva Pandemia"</t>
  </si>
  <si>
    <t>30 Jul 2024, 17:24</t>
  </si>
  <si>
    <t>Microbiota and Immune system: Interactions and possibilities for therapy</t>
  </si>
  <si>
    <t>Microbiota-dependent T-cell response to a-synuclein-derived antigens involved in motor and sensory disturbances in Parkinson's Disease</t>
  </si>
  <si>
    <t>Zulmary Manjarres (PhD Thesis)</t>
  </si>
  <si>
    <t>15 Jul 2024, 12:39</t>
  </si>
  <si>
    <t>American Asociation for Cancer Research Annual meeting 2024</t>
  </si>
  <si>
    <t xml:space="preserve"> Role of the tumor microbiome in the lung adenocarcinoma immune microenvironment through multi meta-omics analysis</t>
  </si>
  <si>
    <t>Alberto Jesus Martin Martin (Adjunct Researcher)</t>
  </si>
  <si>
    <t>Ivania Valdés,  Eduardo Martínez, Daniel Carvajal Hausdorf, Erick Riquelme</t>
  </si>
  <si>
    <t>17 Jul 2024, 15:46</t>
  </si>
  <si>
    <t>Frontiers of Coarse-Grained Models: From New Developments to Modeling Dynamics, Assemblies, and Macromolecular Machines</t>
  </si>
  <si>
    <t>Multiscale modeling of RNA inside viruses: bridging levels of resolution using minimal representations</t>
  </si>
  <si>
    <t>30 Jul 2024, 15:22</t>
  </si>
  <si>
    <t>American Association for Cancer Research Annual Meeting 2023</t>
  </si>
  <si>
    <t>Revealing the role of lung cancer microbiota in the tumor progression</t>
  </si>
  <si>
    <t>Alberto Jesus Martin Martin (Adjunct Researcher); Ivania Valdes (PhD Thesis)</t>
  </si>
  <si>
    <t>30 Jul 2024, 10:20</t>
  </si>
  <si>
    <t>Impact Cell and Gene Therapy Meeting</t>
  </si>
  <si>
    <t>Deciphering the T cell networks underlying long-term efficacy of adoptive cell therapy against solid tumors</t>
  </si>
  <si>
    <t>27 Jul 2024, 10:48</t>
  </si>
  <si>
    <t>Preclinical evaluation of chimeric antigen receptor T cells targeting the carcinoembryonic antigen as a potential immunotherapy for gallbladder cancer</t>
  </si>
  <si>
    <t>Alvaro Fernando Lladser Caldera (Principal Researcher); Rodrigo Andrés Pacheco Rivera (Principal Researcher); Vincenzo Andres Borgna Christie (Adjunct Researcher); MANUEL ALEJANDRO VARAS GODOY (Adjunct Researcher); Sofia Hidalgo  (Postdoctoral Fellow)</t>
  </si>
  <si>
    <t>27 Jul 2024, 10:55</t>
  </si>
  <si>
    <t>Tumor-infiltrating CD4+ T cells exhibit cytotoxic and tissue-resident phenotypes and recognize autologous human renal carcinoma cells</t>
  </si>
  <si>
    <t>Alvaro Fernando Lladser Caldera (Principal Researcher); Vincenzo Andres Borgna Christie (Adjunct Researcher); Farides Saavedra (Postdoctoral Fellow); Sofia Hidalgo  (Postdoctoral Fellow)</t>
  </si>
  <si>
    <t>27 Jul 2024, 10:56</t>
  </si>
  <si>
    <t>Long-term efficacy of adoptive cell therapy is determined by host antitumor CD8+ T cell immunity and undermined by lymphodepleting preconditioning</t>
  </si>
  <si>
    <t>Alvaro Fernando Lladser Caldera (Principal Researcher); Vincenzo Andres Borgna Christie (Adjunct Researcher); HUGO ARNALDO GONZALEZ VELOZO (Adjunct Researcher); Andres Hernandez (Postdoctoral Fellow); Sofia Hidalgo  (Postdoctoral Fellow); Ximena López (Postdoctoral Fellow); Juan Pablo Vega (PhD Thesis)</t>
  </si>
  <si>
    <t>27 Jul 2024, 10:59</t>
  </si>
  <si>
    <t xml:space="preserve">Tumor-specific memory CD8+ T cells infiltrate renal cell carcinoma tumors as circulating progenitors that differentiate into tissue-resident subsets and undergo exhaustion </t>
  </si>
  <si>
    <t>Alvaro Fernando Lladser Caldera (Principal Researcher); Vincenzo Andres Borgna Christie (Adjunct Researcher); Daniela Macarena Sauma Mahaluf (Adjunct Researcher); Andres Hernandez (Postdoctoral Fellow); Diego Figueroa (Postdoctoral Fellow); Sofia Hidalgo  (Postdoctoral Fellow); Javiera Reyes Alvarez (PhD Thesis)</t>
  </si>
  <si>
    <t>27 Jul 2024, 11:01</t>
  </si>
  <si>
    <t>2ND International Meeting of the Pan American Neuroendocrine Society</t>
  </si>
  <si>
    <t>NSPA, a protein that is required for NMDAR function, contributes to energy homeostasis</t>
  </si>
  <si>
    <t>28 Jul 2024, 13:15</t>
  </si>
  <si>
    <t>Global Microbiota Vault (GloMiNe-CHILE 2024)</t>
  </si>
  <si>
    <t xml:space="preserve">Acidic microbiomes as model systems in eco-evolutionary studies. </t>
  </si>
  <si>
    <t>28 Jul 2024, 13:56</t>
  </si>
  <si>
    <t>Micaela María Ricca (Adjunct Researcher)</t>
  </si>
  <si>
    <t>Diplomado en comportamiento y bienestar animal aplicados</t>
  </si>
  <si>
    <t xml:space="preserve">Mo?dulo de Especies de Investigacio?n, clase Comportamiento y Bienestar en Conejos de Investigacio?n. </t>
  </si>
  <si>
    <t>30 Jul 2024, 17:12</t>
  </si>
  <si>
    <t>FB210015</t>
  </si>
  <si>
    <t>4. Industrialization, digitization and management models of timber constructions</t>
  </si>
  <si>
    <t>Roberto Pizarro Tapia (Principal Researcher)</t>
  </si>
  <si>
    <t>1. Forestry sustainability and silvicultural improvement</t>
  </si>
  <si>
    <t>02 Sep 2025, 18:36</t>
  </si>
  <si>
    <t>6. Development of non-structural value-added products</t>
  </si>
  <si>
    <t>3. Seismic engineering of timber structures</t>
  </si>
  <si>
    <t>02 Sep 2025, 18:30</t>
  </si>
  <si>
    <t>02 Sep 2025, 17:25</t>
  </si>
  <si>
    <t>Juan  José Ugarte Gurruchaga (Adjunct Researcher)</t>
  </si>
  <si>
    <t>5. Sustainability and preservation of organic constructions</t>
  </si>
  <si>
    <t>02 Sep 2025, 17:46</t>
  </si>
  <si>
    <t>Felipe Andres Victorero Castaño (Adjunct Researcher)</t>
  </si>
  <si>
    <t>Daniela Méndez López (Adjunct Researcher)</t>
  </si>
  <si>
    <t>II Congreso Temático Forestal</t>
  </si>
  <si>
    <t>Construcción sustentable en madera: El potencial de las ciudades como reservorios de carbono biogénico</t>
  </si>
  <si>
    <t>29 Jan 2025, 10:29</t>
  </si>
  <si>
    <t>Análisis de Ciclo de Vida (ACV), y Producción Sustentable de Madera en Escenario de Cambio Climático</t>
  </si>
  <si>
    <t>29 Jan 2025, 10:31</t>
  </si>
  <si>
    <t>Experiencias y aprendizajes del monitoreo de un edificio de madera contralaminada (CLT) durante 2 años</t>
  </si>
  <si>
    <t>Alexander Igor Opazo Vega (Adjunct Researcher)</t>
  </si>
  <si>
    <t>Industrialización en edificaciones de madera para la construcción sostenible</t>
  </si>
  <si>
    <t>29 Jan 2025, 10:33</t>
  </si>
  <si>
    <t>Resiliencia post-incendio en bosques andinos del centro-sur de Chile: ¿Cuánto se recuperan los bosques 10 años después del fuego?</t>
  </si>
  <si>
    <t>Andres Hernan Fuentes Ramirez (Principal Researcher); Paola Andrea Arroyo Vargas (Postdoctoral Fellow); Camila Constanza Fernández Urrutia (PhD Thesis); Octavio Alexander Toy Opazo (PhD Thesis)</t>
  </si>
  <si>
    <t>28 Jan 2025, 15:07</t>
  </si>
  <si>
    <t>Productividad Sostenida de Plantaciones Bajo Cambio Climático</t>
  </si>
  <si>
    <t>28 Jan 2025, 15:34</t>
  </si>
  <si>
    <t>Retención de biodiversidad bajo Pinus radiata en el centro-sur de Chile</t>
  </si>
  <si>
    <t>Rodrigo Ignacio Vargas Gaete (Adjunct Researcher)</t>
  </si>
  <si>
    <t>28 Jan 2025, 15:36</t>
  </si>
  <si>
    <t>Uso de hidrotecnias para propiciar la recarga de acuíferos desde áreas forestadas</t>
  </si>
  <si>
    <t>28 Jan 2025, 15:39</t>
  </si>
  <si>
    <t>Monitoreo de Agentes de Daño en Ecosistemas Forestales: Clave para la Adaptación al Cambio Climático</t>
  </si>
  <si>
    <t>Priscila Ester Moraga Suazo (Adjunct Researcher)</t>
  </si>
  <si>
    <t>28 Jan 2025, 15:40</t>
  </si>
  <si>
    <t>Mineralización de madera con carbonato de calcio: Captura de carbono e incremento de la durabilidad de la madera</t>
  </si>
  <si>
    <t>Vicente Andres Hernandez Castillo (Adjunct Researcher)</t>
  </si>
  <si>
    <t>28 Jan 2025, 15:42</t>
  </si>
  <si>
    <t>Fibras no-convencionales para el desarrollo de productos con impacto en la industria de la construcción</t>
  </si>
  <si>
    <t>Cecilia Andrea Fuentealba Becerra (Principal Researcher)</t>
  </si>
  <si>
    <t>28 Jan 2025, 15:45</t>
  </si>
  <si>
    <t>Elementos para diseñar una silvicultura adaptativa al cambio climático en pino piñonero</t>
  </si>
  <si>
    <t>Verónica Francisca Loewe Muñoz (Principal Researcher)</t>
  </si>
  <si>
    <t>28 Jan 2025, 15:46</t>
  </si>
  <si>
    <t>Uso de maderas siniestradas para la producción de productos de ingeniería</t>
  </si>
  <si>
    <t>Juan Pedro Elissetche Martínez (Adjunct Researcher)</t>
  </si>
  <si>
    <t>29 Jan 2025, 10:20</t>
  </si>
  <si>
    <t>Escuadrías pequeñas: Potenciando el uso del bosque nativo bajo escenarios de cambio climático</t>
  </si>
  <si>
    <t>Maria Paulina Fernández Quiroga (Adjunct Researcher)</t>
  </si>
  <si>
    <t>29 Jan 2025, 10:24</t>
  </si>
  <si>
    <t>Uso y valorización de la materia prima nativa para maderas de pequeñas escuadrías</t>
  </si>
  <si>
    <t>Rosa  María Alzamora Mallea (Adjunct Researcher)</t>
  </si>
  <si>
    <t>29 Jan 2025, 10:26</t>
  </si>
  <si>
    <t>Forest Productivity Cooperative, Latin America Contact Meeting 2024</t>
  </si>
  <si>
    <t>LARW2 Chile: Diseño de Plantación para Optimizar el Valor y Productividad del Rodal de Genotipos Sitio-Específicos en Pinus radiata</t>
  </si>
  <si>
    <t>RAFAEL ALEJANDRO RUBILAR PONS (Principal Researcher); Daniel Ignacio Bozo Ramirez (Master Thesis)</t>
  </si>
  <si>
    <t>Timothy Albaugh, Rachel Cook, Otávio Campoe</t>
  </si>
  <si>
    <t>11 Jun 2025, 12:31</t>
  </si>
  <si>
    <t>RW7 Chile: Efectos en el Largo Plazo de la Preparación de Suelo, Control de Malezas y Fertilización en Pinus radiata en Chile y en una 2da rotación</t>
  </si>
  <si>
    <t>Timothy Albaugh, Rachel Cook, Otávio Campoe, Matías Pincheira</t>
  </si>
  <si>
    <t>11 Jun 2025, 14:27</t>
  </si>
  <si>
    <t>RW7 AR: Efectos en el Largo Plazo de la Preparación de Suelo, Control de Malezas y Fertilización en Pinus taeda en Argentina</t>
  </si>
  <si>
    <t>Albaugh, Timothy, Cook, Rachel, Campoe, Otávio, Pincheira, Matías, Valencia, Juan</t>
  </si>
  <si>
    <t>11 Jun 2025, 14:30</t>
  </si>
  <si>
    <t>EuCarbHydro: Relación entre balances de C y uso de agua en genotipos de Eucalyptus Mediterráneos</t>
  </si>
  <si>
    <t>RAFAEL ALEJANDRO RUBILAR PONS (Principal Researcher); Juan Carlos Valverde (PhD Thesis)</t>
  </si>
  <si>
    <t>Pincheira, Matias, Medina, Alex, Emhart, Veronica, Espinoza, Yosselin, Campoe, Otávio</t>
  </si>
  <si>
    <t>11 Jun 2025, 14:33</t>
  </si>
  <si>
    <t>RW7B y C: Intensidad y Calidad de Preparación de Suelo: Desarrollo de Modelo de Decisión para Pinus radiata</t>
  </si>
  <si>
    <t>11 Jun 2025, 14:42</t>
  </si>
  <si>
    <t>Ensayos de Fertilización de Máxima Productividad en Eucalyptus sp. en Chile</t>
  </si>
  <si>
    <t>Albaugh, Timothy, Cook, Rachel, Campoe, Otávio, Pincheira, Matías</t>
  </si>
  <si>
    <t>11 Jun 2025, 14:54</t>
  </si>
  <si>
    <t>Uso del modelo 3PG modelando la respuesta a la preparación de Suelo, control de malezas y fertilización</t>
  </si>
  <si>
    <t>Albaugh, Timothy, Cook, Rachel, Campoe, Otávio, Carter, David, Pincheira, Matías, Valencia, Juan Carlos</t>
  </si>
  <si>
    <t>11 Jun 2025, 14:56</t>
  </si>
  <si>
    <t>Uso de imágenes Landsat y Sentinel-2 para estimar la productividad en rodales de Pinus radiata en Chile</t>
  </si>
  <si>
    <t>11 Jun 2025, 14:58</t>
  </si>
  <si>
    <t>RW23 CO: Respuesta a la duración e intensidad del control de malezas en Pinus sp.</t>
  </si>
  <si>
    <t>Albaugh, Timothy, Cook, Rachel, Campoe, Otávio, Zapata, Marcela</t>
  </si>
  <si>
    <t>11 Jun 2025, 15:04</t>
  </si>
  <si>
    <t>RW7B CO: Respuesta a la Intensidad de Preparación de Suelo, Estrategia de Control de Malezas y Fertilización en Eucaliptus y Pino en Colombia</t>
  </si>
  <si>
    <t>11 Jun 2025, 15:08</t>
  </si>
  <si>
    <t>LARW1 Colombia: Efecto de la cosecha y silvicultura de plantaciones forestales tropicales en las propiedades físicas, químicas y biológicas de los suelos</t>
  </si>
  <si>
    <t>11 Jun 2025, 16:04</t>
  </si>
  <si>
    <t>Cenamad 1 y 2: Efectos del sitio en el stock de carbono en plantaciones de Pinus radiata a edad de cosecha en suelos contrastantes</t>
  </si>
  <si>
    <t>RAFAEL ALEJANDRO RUBILAR PONS (Principal Researcher); Rosa  María Alzamora Mallea (Adjunct Researcher); Juan Pedro Elissetche Martínez (Adjunct Researcher); Juan Carlos Valverde (PhD Thesis)</t>
  </si>
  <si>
    <t>Campoe, Otávio, Pincheira, Matías, Valencia, Juan</t>
  </si>
  <si>
    <t>11 Jun 2025, 16:11</t>
  </si>
  <si>
    <t>Efecto del fuego sobre la especie Araucaria araucana en los andes del sur de Chile</t>
  </si>
  <si>
    <t>Andres Hernan Fuentes Ramirez (Principal Researcher)</t>
  </si>
  <si>
    <t>14 Jan 2025, 15:46</t>
  </si>
  <si>
    <t>Congreso Iberoamericano de Investigación en Celulosa y Papel (CIADICYP 2024)</t>
  </si>
  <si>
    <t>Alkaline Extraction of Eucalyptus globulus Bark: A Natural Sustainable Solution for Wood Preservation</t>
  </si>
  <si>
    <t>Cecilia Andrea Fuentealba Becerra (Principal Researcher); Vicente Andres Hernandez Castillo (Adjunct Researcher); Priscila Ester Moraga Suazo (Adjunct Researcher); Danilo Escobar (Postdoctoral Fellow); Gastón Antonio Bravo Arrepol (Postdoctoral Fellow); Tomás Oñate (Undergraduate Thesis)</t>
  </si>
  <si>
    <t>29 Jan 2025, 14:56</t>
  </si>
  <si>
    <t>INDUSTRIAL HEMP: SUSTAINABLE NON-WOOD SOURCES FOR THE DEVELOPMENT OF NEW MATERIALS</t>
  </si>
  <si>
    <t>29 Jan 2025, 15:06</t>
  </si>
  <si>
    <t>Biorefinery of Grape Cane Waste: Extraction of Phenolic Compounds to Develop Bioproducts</t>
  </si>
  <si>
    <t>02 Sep 2025, 18:13</t>
  </si>
  <si>
    <t>XIII Ibero-American Congress on Cellulose and Paper Research (CIADICYP 2024)</t>
  </si>
  <si>
    <t>Comparative assessment and optimization of extraction methods for phenolic compounds from Eucalyptus globulus bark</t>
  </si>
  <si>
    <t>Cecilia Andrea Fuentealba Becerra (Principal Researcher); Danilo Escobar (Postdoctoral Fellow); Gastón Antonio Bravo Arrepol (Postdoctoral Fellow)</t>
  </si>
  <si>
    <t>Gustavo Cabrera</t>
  </si>
  <si>
    <t>14 Jan 2025, 15:19</t>
  </si>
  <si>
    <t>Encuentro de Investigación: Energía, Agua y Sustentabilidad</t>
  </si>
  <si>
    <t>Evaluación de la influencia del incremento de la superficie de riego agrícola intensivo en la disponibilidad de las reservas de aguas subterráneas en tres cuencas, Coquimbo, en el periodo 1996-2022</t>
  </si>
  <si>
    <t>29 Jan 2025, 15:11</t>
  </si>
  <si>
    <t>Prospección y evaluación del daño por Proholopterus chilensis en bosques de Roble-Raulí-Coigüe.</t>
  </si>
  <si>
    <t>Rosa  María Alzamora Mallea (Adjunct Researcher); Maria Paulina Fernández Quiroga (Adjunct Researcher); Priscila Ester Moraga Suazo (Adjunct Researcher)</t>
  </si>
  <si>
    <t>29 Jan 2025, 10:39</t>
  </si>
  <si>
    <t>Evaluación de la defoliación causada por complejo de minadores de Nothofagus obliqua en regiones de Ñuble y Los Ríos.</t>
  </si>
  <si>
    <t>29 Jan 2025, 10:44</t>
  </si>
  <si>
    <t>Desecación de Quillaja saponaria en Chile central y su relación con la reducción de precipitaciones, condiciones de hábitat, vegetación vecina y estado sanitario</t>
  </si>
  <si>
    <t>Pablo Ignacio Becerra Osses (Adjunct Researcher); Maria Paulina Fernández Quiroga (Adjunct Researcher); Priscila Ester Moraga Suazo (Adjunct Researcher)</t>
  </si>
  <si>
    <t>29 Jan 2025, 10:51</t>
  </si>
  <si>
    <t>Patrones de degradación de la vegetación de un ecosistema xerofítico pre-andino del centro-norte de Chile</t>
  </si>
  <si>
    <t>29 Jan 2025, 14:18</t>
  </si>
  <si>
    <t>Potencial benéfico de hongos endófitos de Nothofagus pumilio para el establecimiento de plántulas post-disturbios</t>
  </si>
  <si>
    <t>Camila Constanza Fernández Urrutia (PhD Thesis)</t>
  </si>
  <si>
    <t>29 Jan 2025, 14:20</t>
  </si>
  <si>
    <t>¿El aroma de las plantas es relevante en la dinámica de incendios forestales en bosques del centro-sur de Chile?</t>
  </si>
  <si>
    <t>Andres Hernan Fuentes Ramirez (Principal Researcher); Octavio Alexander Toy Opazo (PhD Thesis); Valeria Palma (Master Thesis)</t>
  </si>
  <si>
    <t>29 Jan 2025, 14:22</t>
  </si>
  <si>
    <t>Retención de especies nativas bajo dosel de plantaciones de pinus radiata en el centro sur de Chile</t>
  </si>
  <si>
    <t>Rodrigo Ignacio Vargas Gaete (Adjunct Researcher); Natalia Getner (Master Thesis)</t>
  </si>
  <si>
    <t>29 Jan 2025, 14:30</t>
  </si>
  <si>
    <t>Supervivencia y crecimiento de Araucaria araucana post-fuego:Rol de los legados biológicos y el pastoreo de ganado en un área protegida del centro-sur de Chile</t>
  </si>
  <si>
    <t>Andres Hernan Fuentes Ramirez (Principal Researcher); Paola Andrea Arroyo Vargas (Postdoctoral Fellow); Bernardita Díaz Mons (Master Thesis)</t>
  </si>
  <si>
    <t>29 Jan 2025, 14:35</t>
  </si>
  <si>
    <t>Monitoreo en tiempo real del crecimiento, formación de madera y almacenamiento de carbono en plantaciones</t>
  </si>
  <si>
    <t>29 Jan 2025, 14:43</t>
  </si>
  <si>
    <t>La contribución de las plantaciones forestales en Chile a la protección de los suelos: una estimación usando RUSLE</t>
  </si>
  <si>
    <t>29 Jan 2025, 14:45</t>
  </si>
  <si>
    <t>Desarrollo de modelos generales de estimación de secuestro de carbono en plantaciones de Pinus radiata creciendo en sitios contrastantes</t>
  </si>
  <si>
    <t>RAFAEL ALEJANDRO RUBILAR PONS (Principal Researcher); Rosa  María Alzamora Mallea (Adjunct Researcher); Juan Pedro Elissetche Martínez (Adjunct Researcher); Daniel Ignacio Bozo Ramirez (Master Thesis)</t>
  </si>
  <si>
    <t>Juan Carlos Valverde, Matías Pincheira</t>
  </si>
  <si>
    <t>11 Jun 2025, 12:25</t>
  </si>
  <si>
    <t>Sinergias entre el fuego e invasiones de plantas: Avanzando hacia la conservación de Araucaria-Nothofagus en los Andes del sur de Chile</t>
  </si>
  <si>
    <t>02 Sep 2025, 18:22</t>
  </si>
  <si>
    <t>Comportamiento de Quercus robur creciendo en plantaciones puras y mixtas en el sur de Chile</t>
  </si>
  <si>
    <t>Verónica Francisca Loewe Muñoz (Principal Researcher); Rodrigo del Río (PhD Thesis)</t>
  </si>
  <si>
    <t>Luis Barrales</t>
  </si>
  <si>
    <t>14 Jan 2025, 15:07</t>
  </si>
  <si>
    <t>Impacto del tamaño del árbol en su respuesta ante sequías</t>
  </si>
  <si>
    <t>Verónica Francisca Loewe Muñoz (Principal Researcher); Claudia Delard (PhD Thesis); Rodrigo del Río (PhD Thesis)</t>
  </si>
  <si>
    <t>Mónica Balzarini</t>
  </si>
  <si>
    <t>14 Jan 2025, 15:11</t>
  </si>
  <si>
    <t>Degradación de ecosistemas forestales, definiciones y conceptos aplicados a los bosques de Chile</t>
  </si>
  <si>
    <t>14 Jan 2025, 15:31</t>
  </si>
  <si>
    <t>Normativa medioambiental y conservación de las zonas ribereñas: perspectivas desde un paisaje forestal del sur de Chile</t>
  </si>
  <si>
    <t>Andres Hernan Fuentes Ramirez (Principal Researcher); Ricardo Esteban Gonzalez Jimenez (Adjunct Researcher); Rodrigo Ignacio Vargas Gaete (Adjunct Researcher); Javiera Cordova Ibañez (Master Thesis)</t>
  </si>
  <si>
    <t>14 Jan 2025, 15:41</t>
  </si>
  <si>
    <t>Estimando espacialmente la probabilidad que el uso actual de la tierra sea bosque nativo</t>
  </si>
  <si>
    <t>Ricardo Esteban Gonzalez Jimenez (Adjunct Researcher)</t>
  </si>
  <si>
    <t>14 Jan 2025, 15:48</t>
  </si>
  <si>
    <t>First stone pine (Pinus pinea L.) mechanical and manual harvesting trials in Chile: future pine nut business</t>
  </si>
  <si>
    <t>Luis Barrales, Mónica Balzarini</t>
  </si>
  <si>
    <t>14 Jan 2025, 18:02</t>
  </si>
  <si>
    <t>28 Jan 2025, 15:04</t>
  </si>
  <si>
    <t>Seminario Internacional: Al Rescate de la especie milenaria Araucaria araucana</t>
  </si>
  <si>
    <t>Supervivencia y crecimiento post-fuego de Araucaria araucana en los Andes del sur de Chile</t>
  </si>
  <si>
    <t>14 Jan 2025, 17:58</t>
  </si>
  <si>
    <t>4th European Symposium on Fire Safety Science, Journal of Physics: Conference Series 2885</t>
  </si>
  <si>
    <t>Zone modeling of timber compartment fires with increasing combustible surfaces: modification to the Semenov’s model</t>
  </si>
  <si>
    <t>Wolfram Michael Jahn von Arnswaldt (Principal Researcher); Agustín H. Majdalani (Other Center/Project Researcher); Ignacio Alonso Calderón Espinoza (PhD Thesis)</t>
  </si>
  <si>
    <t>Calderón-Vásquez, Ignacio, Battisti, Felipe G.</t>
  </si>
  <si>
    <t>11 Jun 2025, 16:14</t>
  </si>
  <si>
    <t>5th Iberoamerican Congress on Biorefineries (5-CIAB)</t>
  </si>
  <si>
    <t>Optimisation of subcritical water extraction of phenolic compounds from Pinus radiata and Eucalyptus globulus barks</t>
  </si>
  <si>
    <t>Cecilia Andrea Fuentealba Becerra (Principal Researcher); Danilo Escobar (Postdoctoral Fellow); Tomás Oñate (Undergraduate Thesis)</t>
  </si>
  <si>
    <t>Jorge Santos, Cristina Segura, Gustavo Cabrera</t>
  </si>
  <si>
    <t>14 Jan 2025, 15:15</t>
  </si>
  <si>
    <t>17th World Congress on Polyphenols Application</t>
  </si>
  <si>
    <t>Phenolic compound extraction: A chemical comparative study of conventional and unconventional methods from Pinus radiata bark</t>
  </si>
  <si>
    <t>Cecilia Andrea Fuentealba Becerra (Principal Researcher); Danilo Escobar (Postdoctoral Fellow)</t>
  </si>
  <si>
    <t>14 Jan 2025, 15:18</t>
  </si>
  <si>
    <t>V Congreso de Estudiantes y Graduados de Postgrado de la Universidad de La Frontera</t>
  </si>
  <si>
    <t>Caracterización y potencial benéfico de hongos endófitos de Nothofagus pumilio (lenga) para el establecimiento exitoso de plántulas post-disturbios</t>
  </si>
  <si>
    <t>29 Jan 2025, 14:21</t>
  </si>
  <si>
    <t>IV Congreso Iberoamericano de Sedimentos y Ecología (CISE) + Primera Jornada Iberoamericana sobre Erosión y Sedimentación (JIES)</t>
  </si>
  <si>
    <t>Erosión y Restauración: Un Análisis del Impacto de la Forestación en Chile</t>
  </si>
  <si>
    <t>29 Jan 2025, 14:39</t>
  </si>
  <si>
    <t>Los desafíos que imponen los recursos hídricos en América Latina y el Caribe como base de la sostenibilidad regional</t>
  </si>
  <si>
    <t>29 Jan 2025, 15:07</t>
  </si>
  <si>
    <t>Stockholm 2024 - IUFRO - Forest &amp; Society towards 2050</t>
  </si>
  <si>
    <t>Using spectral vegetation indices to estimate mid-term responses to soil preparation intensity and weed control timing for Pinus radiata plantations</t>
  </si>
  <si>
    <t>Rachel Cook, David Carter</t>
  </si>
  <si>
    <t>29 Aug 2024, 14:36</t>
  </si>
  <si>
    <t>26th IUFRO World Congress</t>
  </si>
  <si>
    <t>Phloem carbon-isotope discrimination and carbon balance of Eucalyptus genotypes under contrasting water availability regimes</t>
  </si>
  <si>
    <t>RAFAEL ALEJANDRO RUBILAR PONS (Principal Researcher); Juan Carlos Valverde (PhD Thesis); Daniel Ignacio Bozo Ramirez (Master Thesis)</t>
  </si>
  <si>
    <t>Matías Pincheira, Alex Medina, Yosselin Espinoza, Verónica Emhart</t>
  </si>
  <si>
    <t>29 Aug 2024, 14:55</t>
  </si>
  <si>
    <t>Pinus pinea plantations monitoring using unmanned aerial vehicles derived data</t>
  </si>
  <si>
    <t>Rafael Navarro, Rómulo Santelices, Antonio Cabrera</t>
  </si>
  <si>
    <t>14 Jan 2025, 14:45</t>
  </si>
  <si>
    <t>Effect of site and Tuber borchii inoculation on P. pinea growth through the analysis of three consecutive years of plant establishment</t>
  </si>
  <si>
    <t>14 Jan 2025, 14:55</t>
  </si>
  <si>
    <t>Naturalized sweet chestnut (Castanea sativa Mill.) in the rural landscape</t>
  </si>
  <si>
    <t>14 Jan 2025, 14:57</t>
  </si>
  <si>
    <t>Mediterranean stone pine production systems and the emerging bioeconomy in Chile</t>
  </si>
  <si>
    <t>14 Jan 2025, 15:01</t>
  </si>
  <si>
    <t>III Congreso Ibero-Latinoamericano de la Madera en la Construcción (CIMAD 2024)</t>
  </si>
  <si>
    <t>Análisis de la eficiencia estructural y ambiental de losas prefabricadas en madera</t>
  </si>
  <si>
    <t>Manuel Carpio Martínez (Director); Pablo Guindos Bretones (Adjunct Researcher)</t>
  </si>
  <si>
    <t>Alexander Wenzel</t>
  </si>
  <si>
    <t>3. Seismic engineering of timber structures; 5. Sustainability and preservation of organic constructions</t>
  </si>
  <si>
    <t>29 Aug 2024, 12:34</t>
  </si>
  <si>
    <t>Respuesta de la adhesión al encolado en verde utilizando especies de nothofagus crecidas en Chile</t>
  </si>
  <si>
    <t>Gonzalo José Rodríguez Grau (Adjunct Researcher); Victor Rosales (Adjunct Researcher)</t>
  </si>
  <si>
    <t>Claudio Montero, Carlos Galarce, Claudia Alvarado, Regis Pommier, Lisa Muñoz</t>
  </si>
  <si>
    <t>4. Industrialization, digitization and management models of timber constructions; 5. Sustainability and preservation of organic constructions</t>
  </si>
  <si>
    <t>29 Aug 2024, 12:38</t>
  </si>
  <si>
    <t>Tableros a base de chapas de madera de pino radiata reforzados con fibras de ingeniería y adhesivos</t>
  </si>
  <si>
    <t>Mario Antonio Núñez Decap (Principal Researcher)</t>
  </si>
  <si>
    <t>Marcela Vidal, Boris Moya, Camila Opazo, Gerson Rojas</t>
  </si>
  <si>
    <t>2. High quality technology in manufacturing and functionality of wood for construction; 6. Development of non-structural value-added products</t>
  </si>
  <si>
    <t>29 Aug 2024, 12:40</t>
  </si>
  <si>
    <t>Contraste en el comportamiento sísmico de estructuras de marco plataforma según la rigidez en el plano del diafragma: Una metodología implementada en ETABS</t>
  </si>
  <si>
    <t>Pablo Guindos Bretones (Adjunct Researcher)</t>
  </si>
  <si>
    <t>29 Aug 2024, 12:42</t>
  </si>
  <si>
    <t>Modelo link-frame para muros de madera de entramado ligero y CLT y su aplicación en un edificio con variantes de rigidez de la losa fuera del plano</t>
  </si>
  <si>
    <t>29 Aug 2024, 12:45</t>
  </si>
  <si>
    <t>Influencia de las intervenciones en viviendas de madera con pisos ventilados en la aparición del hongo serpula lacrymans</t>
  </si>
  <si>
    <t>Taller de investigación y proyectos arquitectónicos: Distritos de innovación en madera para Chile</t>
  </si>
  <si>
    <t>Andrés Sierra, Juan Acevedo</t>
  </si>
  <si>
    <t>29 Aug 2024, 12:49</t>
  </si>
  <si>
    <t>Análisis de puentes térmicos lineales entre muros y losas de edificios de madera</t>
  </si>
  <si>
    <t>Manuel Carpio Martínez (Director); José Alberto Paz Pérez (PhD Thesis)</t>
  </si>
  <si>
    <t>Conexión axial de tornillos en pies derechos de borde para controlar el volcamiento en muros de entramado ligero de madera en el sistema marco plataforma</t>
  </si>
  <si>
    <t>29 Aug 2024, 12:52</t>
  </si>
  <si>
    <t>Edificios de entramado de madera de media altura y su potencial para reducir los GEI en diferentes climas: El caso chileno y su objetivo de carbono neutralidad para 2050</t>
  </si>
  <si>
    <t>Mario Antonio Ubilla Sanz (Adjunct Researcher); Felipe Andres Victorero Castaño (Adjunct Researcher)</t>
  </si>
  <si>
    <t>Waldo Bustamante</t>
  </si>
  <si>
    <t>Influencia de la especie y calidad en la velocidad de carbonización en madera de rápido crecimiento</t>
  </si>
  <si>
    <t>Victor Rosales (Adjunct Researcher)</t>
  </si>
  <si>
    <t>Daniel Godoy, Luis Gallardi, Leandro Domenech, Juan José Fontana, Vanesa Baño</t>
  </si>
  <si>
    <t>29 Aug 2024, 14:18</t>
  </si>
  <si>
    <t>Del dicho al Hecho: Desarrollo e implementación de la técnica de encolado en verde usando especies nativas chilenas</t>
  </si>
  <si>
    <t>Carlos Galarce, Patricio Cortés, Claudio Montero, Claudia Alvarado, Lisa Muñoz, Regis Pommier</t>
  </si>
  <si>
    <t>29 Aug 2024, 14:23</t>
  </si>
  <si>
    <t>Edificio Tamango: Exploración tipológica para construir 12 pisos con viviendas de madera en zona sísmica</t>
  </si>
  <si>
    <t>Juan  José Ugarte Gurruchaga (Adjunct Researcher); Diego Valdivieso Cascante (PhD Thesis)</t>
  </si>
  <si>
    <t>Gerardo Armanet, Sebastián Cárcamo</t>
  </si>
  <si>
    <t>28 Aug 2024, 17:51</t>
  </si>
  <si>
    <t>Calibración del modelo numérico de un edificio CLT de 5 pisos considerando mediciones de sus propiedades dinámicas laterales</t>
  </si>
  <si>
    <t>Franco Paolo Benedetti Leonelli (Adjunct Researcher); Alexander Igor Opazo Vega (Adjunct Researcher); Victor Rosales (Adjunct Researcher)</t>
  </si>
  <si>
    <t>Alan Jara</t>
  </si>
  <si>
    <t>3. Seismic engineering of timber structures; 4. Industrialization, digitization and management models of timber constructions; 5. Sustainability and preservation of organic constructions</t>
  </si>
  <si>
    <t>28 Aug 2024, 17:57</t>
  </si>
  <si>
    <t>Seguimiento de las propiedades modales de un edificio de CLT de madiana altura durante el montaje por medio de vibraciones ambientales</t>
  </si>
  <si>
    <t>28 Aug 2024, 18:07</t>
  </si>
  <si>
    <t>9th European Congress on Computational Methods in Applied Sciences and Engineering</t>
  </si>
  <si>
    <t>Estimation of the orthotropic elastic properties of reinforced laminated veneer lumber panels through vibration-based model updating techniques</t>
  </si>
  <si>
    <t>Mario Antonio Núñez Decap (Principal Researcher); Franco Paolo Benedetti Leonelli (Adjunct Researcher); Alexander Igor Opazo Vega (Adjunct Researcher)</t>
  </si>
  <si>
    <t>2. High quality technology in manufacturing and functionality of wood for construction; 3. Seismic engineering of timber structures; 4. Industrialization, digitization and management models of timber constructions; 6. Development of non-structural value-added products</t>
  </si>
  <si>
    <t>14 Jan 2025, 15:23</t>
  </si>
  <si>
    <t>Seminario de Otoño: Programa de Postgrado en Ciencias Forestales y Agronomía. Foresting Green Transition: Bioeconomy in Chile and Finland</t>
  </si>
  <si>
    <t>Soil and Site Productivity Effects on Above and Belowground Pinus radiata Carbon Pools at Harvesting Age</t>
  </si>
  <si>
    <t>Roberto Pizarro Tapia (Principal Researcher); RAFAEL ALEJANDRO RUBILAR PONS (Principal Researcher); Rosa  María Alzamora Mallea (Adjunct Researcher); Juan Pedro Elissetche Martínez (Adjunct Researcher); Juan Carlos Valverde (PhD Thesis); Daniel Ignacio Bozo Ramirez (Master Thesis); Claudia Sanhueza (Undergraduate Thesis)</t>
  </si>
  <si>
    <t>Matías Pincheira</t>
  </si>
  <si>
    <t>29 Aug 2024, 15:00</t>
  </si>
  <si>
    <t>Biotechnological Application of Polyphenols from Pine and Eucalyptus as a Natural Solution against Wood-Decaying Fungi</t>
  </si>
  <si>
    <t>Cecilia Andrea Fuentealba Becerra (Principal Researcher); Vicente Andres Hernandez Castillo (Adjunct Researcher); Priscila Ester Moraga Suazo (Adjunct Researcher); Danilo Escobar (Postdoctoral Fellow); Tomás Oñate (Undergraduate Thesis)</t>
  </si>
  <si>
    <t>29 Aug 2024, 14:14</t>
  </si>
  <si>
    <t>XX Congreso Internacional sobre Sostenibilidad Ambiental, Cultural, Económica y Social</t>
  </si>
  <si>
    <t>Valorización de residuos de tableros de fibra de densidad media (MDF) para aplicaciones de almacenamiento de energía térmica: Una alternativa de innovación sustentable</t>
  </si>
  <si>
    <t>Cecilia del Carmen Bustos Avila (Adjunct Researcher); Gustavo Rodríguez Rivero (PhD Thesis)</t>
  </si>
  <si>
    <t>Alain Cloutier</t>
  </si>
  <si>
    <t>28 Aug 2024, 17:45</t>
  </si>
  <si>
    <t>The 3rd International Electronic Conference on Plant Sciences (IECPS 2024)</t>
  </si>
  <si>
    <t>Effect of planting density on Pinus radiata growth and branch diameter before canopy closure</t>
  </si>
  <si>
    <t>Rachel Cook, Matías Pincheira, David Carter, Timothy Albaugh</t>
  </si>
  <si>
    <t>29 Aug 2024, 14:51</t>
  </si>
  <si>
    <t>The 3rd International Electronic Conference in Plant Sciences (IECPS 2024)</t>
  </si>
  <si>
    <t>Use of soil respiration as a trial of drought susceptibility in Eucalyptus genotypes</t>
  </si>
  <si>
    <t>Alex Medina, Verónica Emhart, Álvaro Zapata</t>
  </si>
  <si>
    <t>29 Aug 2024, 14:58</t>
  </si>
  <si>
    <t>Potenciales aplicaciones antifúngicas de especies nativas en madera aserrada</t>
  </si>
  <si>
    <t>Cecilia Andrea Fuentealba Becerra (Principal Researcher); Maria Paulina Fernández Quiroga (Adjunct Researcher); Danilo Escobar (Postdoctoral Fellow); Gastón Antonio Bravo Arrepol (Postdoctoral Fellow); Tomás Oñate (Undergraduate Thesis)</t>
  </si>
  <si>
    <t>28 Aug 2024, 17:01</t>
  </si>
  <si>
    <t>Curso de Verano 2024 - Silvicultura y Calidad de Madera en Escenarios de Cambio Climático</t>
  </si>
  <si>
    <t>Las propiedades físico y mecánicas de la madera y su relación con la calidad de productos finales</t>
  </si>
  <si>
    <t>RAFAEL ALEJANDRO RUBILAR PONS (Principal Researcher); Rosa  María Alzamora Mallea (Adjunct Researcher); Juan Pedro Elissetche Martínez (Adjunct Researcher)</t>
  </si>
  <si>
    <t>Luis Apiolaza, Regis Texeira</t>
  </si>
  <si>
    <t>29 Aug 2024, 15:03</t>
  </si>
  <si>
    <t>International Oak Symposium</t>
  </si>
  <si>
    <t>Quercus rubra pure and mixed plantations performance growing in a non-native habitat</t>
  </si>
  <si>
    <t>14 Jan 2025, 18:00</t>
  </si>
  <si>
    <t>FB210017</t>
  </si>
  <si>
    <t>Neuro-Symbolic AI</t>
  </si>
  <si>
    <t>Felipe José Bravo Márquez (Principal Researcher)</t>
  </si>
  <si>
    <t>DL for Vision and Language</t>
  </si>
  <si>
    <t>Brain-Inspired AI; DL for Vision and Language; Human Centered AI; Neuro-Symbolic AI; Physics-Informed Machine Learning</t>
  </si>
  <si>
    <t>Carlos Alberto Sing-Long Collao (Adjunct Researcher)</t>
  </si>
  <si>
    <t>Physics-Informed Machine Learning</t>
  </si>
  <si>
    <t>Brain-Inspired AI</t>
  </si>
  <si>
    <t>Pablo Barceló (Principal Researcher); Alexander Kozachinskiy (Postdoctoral Fellow)</t>
  </si>
  <si>
    <t>Steifer, Tomasz</t>
  </si>
  <si>
    <t>Human Centered AI</t>
  </si>
  <si>
    <t>Denis Alejandro Parra Santander (Adjunct Researcher)</t>
  </si>
  <si>
    <t>Mircea Petrache (Adjunct Researcher)</t>
  </si>
  <si>
    <t>Felipe José Bravo Márquez (Adjunct Researcher)</t>
  </si>
  <si>
    <t>Marcelo Mendoza (Principal Researcher); Hans Albert Lobel Díaz (Adjunct Researcher); Carlos Munoz (PhD Thesis)</t>
  </si>
  <si>
    <t>DL for Vision and Language; Human Centered AI</t>
  </si>
  <si>
    <t>Federico Fuentes Caycedo (Adjunct Researcher)</t>
  </si>
  <si>
    <t>Manuel Alejandro Sanchez Uribe (Adjunct Researcher)</t>
  </si>
  <si>
    <t>Pablo Barceló (Principal Researcher)</t>
  </si>
  <si>
    <t>Alexander Kozachinskiy (Postdoctoral Fellow)</t>
  </si>
  <si>
    <t>1° Workshop de Aprendizaje Multimodal 2024</t>
  </si>
  <si>
    <t>Deep Learning Deeper, Better, Stronger than Machine Learning</t>
  </si>
  <si>
    <t>Valentin Barriere (Adjunct Researcher)</t>
  </si>
  <si>
    <t>05 Aug 2025, 14:36</t>
  </si>
  <si>
    <t>38th Conference on Neural Information Processing Systems (NeurIPS 2024).</t>
  </si>
  <si>
    <t>Differentially Private Optimization with Sparse Gradients</t>
  </si>
  <si>
    <t>Badih Ghazi, Pritish Kamath, Ravi Kumar, Pasin Manurangsi</t>
  </si>
  <si>
    <t>07 Jul 2025, 11:40</t>
  </si>
  <si>
    <t>NeurIPS 2024 Workshop on Mathematics of Modern Machine Learning</t>
  </si>
  <si>
    <t>Geometric Deep Learning with Quasiconformal Neural Networks: An Introduction</t>
  </si>
  <si>
    <t>Hans Albert Lobel Díaz (Adjunct Researcher); Nicolás Alvarado (PhD Thesis)</t>
  </si>
  <si>
    <t>07 Aug 2025, 10:23</t>
  </si>
  <si>
    <t>Seminario Caleta Numerica, Instituto de Matematicas</t>
  </si>
  <si>
    <t>Symplectic Hamiltonian HDG methods for Shallow-Water Equations</t>
  </si>
  <si>
    <t>11 Aug 2025, 10:32</t>
  </si>
  <si>
    <t>Pluralistic Alignment Workshop</t>
  </si>
  <si>
    <t>Being Considerate as a Pathway Towards Pluralistic Alignment for Agentic A</t>
  </si>
  <si>
    <t>Rodrigo Andrés Toro Icarte (Adjunct Researcher)</t>
  </si>
  <si>
    <t>Alamdari, Parand, Klassen, Toryn, McIIraith, Sheila</t>
  </si>
  <si>
    <t>29 Jul 2025, 17:48</t>
  </si>
  <si>
    <t>Escuela de Verano en Inteligencia Artificial</t>
  </si>
  <si>
    <t>Pamela Beatriz Guevara Alvez (Adjunct Researcher); Elida Rosa Poo Pérez (PhD Thesis)</t>
  </si>
  <si>
    <t>02 Sep 2025, 14:52</t>
  </si>
  <si>
    <t>Thirty-Eighth Annual Conference on Neural Information Processing Systems</t>
  </si>
  <si>
    <t>Fisher Flow Matching for Generative Modeling over Discrete Data</t>
  </si>
  <si>
    <t>Davis, Oscar, Kessler, Samuel, Ilkan, Ismail, Bronstein, Michael, Joey, Avishek</t>
  </si>
  <si>
    <t>29 Jul 2025, 17:15</t>
  </si>
  <si>
    <t>Bassily, Raef, Menart, Michael</t>
  </si>
  <si>
    <t>29 Jul 2025, 18:52</t>
  </si>
  <si>
    <t>Enhanced Detection of Human-Driven Forest Alterations using Echo State Networks</t>
  </si>
  <si>
    <t>Paula Andrea Aguirre Aparicio (Principal Researcher)</t>
  </si>
  <si>
    <t>Couso, Tomás, Carrasco, Rodrigo, Lopatin, Javier</t>
  </si>
  <si>
    <t>29 Jul 2025, 19:04</t>
  </si>
  <si>
    <t xml:space="preserve"> 38th Conference on Neural Information Processing Systems (NeurIPS 2024</t>
  </si>
  <si>
    <t>Public-data Assisted Private Stochastic Optimization: Power and Limitations</t>
  </si>
  <si>
    <t>Enayat Ullah, Michael Menart, Raef Bassily, Raman Arora</t>
  </si>
  <si>
    <t>07 Jul 2025, 10:46</t>
  </si>
  <si>
    <t>38th Conference on Neural Information Processing Systems (NeurIPS 2024)</t>
  </si>
  <si>
    <t>Reward Machines for Deep RL in Noisy and Uncertain Environments</t>
  </si>
  <si>
    <t>Andrew C. Li, Zizhao Chen, Toryn Q. Klassen, Pashootan Vaezipoor, Sheila A. McIlraith</t>
  </si>
  <si>
    <t>11 Jul 2025, 11:52</t>
  </si>
  <si>
    <t xml:space="preserve">Mathematics of Modern Machine Learning (M3L) </t>
  </si>
  <si>
    <t>29 Jul 2025, 17:57</t>
  </si>
  <si>
    <t>2024 IEEE/WIC International Conference on Web Intelligence and Intelligent Agent Technology</t>
  </si>
  <si>
    <t>A Comparative Analysis of Offensive Discourse in the 2021 Chilean Presidential Campaign on Twitter and WhatsApp</t>
  </si>
  <si>
    <t>Hernan Sarmiento, Jorge Ortiz, Marcelo Santos, Sebastián Valenzuela</t>
  </si>
  <si>
    <t>03 Jul 2025, 11:53</t>
  </si>
  <si>
    <t>Optimization of Bias Mitigation in Word Embeddings: a Methodological Approach</t>
  </si>
  <si>
    <t xml:space="preserve">María José Zambrano </t>
  </si>
  <si>
    <t>03 Jul 2025, 12:43</t>
  </si>
  <si>
    <t>Workshop en Optimización y Algoritmos  WOA 2024</t>
  </si>
  <si>
    <t>Optimization on a Finer Scale: Local Subgradient Variation Perspective</t>
  </si>
  <si>
    <t>05 Aug 2025, 14:44</t>
  </si>
  <si>
    <t>Jornada Científicas INRIA 2024</t>
  </si>
  <si>
    <t>The AI &lt;-&gt; HPC infra landscape: greedy vs frugal alternatives and experiences</t>
  </si>
  <si>
    <t>05 Aug 2025, 13:55</t>
  </si>
  <si>
    <t>05 Aug 2025, 14:42</t>
  </si>
  <si>
    <t>3D Analysis of Human Movement (3DAHM), International Symposium on</t>
  </si>
  <si>
    <t>Data Standardization for Gait Analysis in the Oritel Network</t>
  </si>
  <si>
    <t>Esteban Javier Pino Quiroga (Adjunct Researcher)</t>
  </si>
  <si>
    <t>Rosario Ulloa, Mónica Morante,  Lorena Llorente, Manuela Galli</t>
  </si>
  <si>
    <t>03 Jul 2025, 16:28</t>
  </si>
  <si>
    <t>27th Iberoamerican Congress, CIARP</t>
  </si>
  <si>
    <t>Mixture of LSTM Experts for Sales Prediction with Diverse Features</t>
  </si>
  <si>
    <t>Billy Mark Peralta Marquez (Adjunct Researcher)</t>
  </si>
  <si>
    <t xml:space="preserve">Matías Soto, Felipe Cortés, Tímar Contreras </t>
  </si>
  <si>
    <t>02 Jul 2025, 11:41</t>
  </si>
  <si>
    <t>Predicting Next Phases of Multi-Stage Network Attacks: A Comparative Study of Statistical and Deep-Learning Models</t>
  </si>
  <si>
    <t>Romina Debora Torres Torres (Adjunct Researcher)</t>
  </si>
  <si>
    <t xml:space="preserve">Antonia Severín , César Roudergue , Rodrigo Salas </t>
  </si>
  <si>
    <t>02 Jul 2025, 11:59</t>
  </si>
  <si>
    <t>A Proposal for Explainable Fruit Quality Recognition Using Multimodal Models</t>
  </si>
  <si>
    <t xml:space="preserve">Felipe Nuñez, Orietta Nicolis, Luis Caro,  Marco Mora </t>
  </si>
  <si>
    <t>02 Jul 2025, 12:05</t>
  </si>
  <si>
    <t>20th International Symposium on Medical Information Processing and Analysis (SIPAIM)</t>
  </si>
  <si>
    <t>Fast White Matter Fiber Clustering Using Variational Autoencoder Latent Space</t>
  </si>
  <si>
    <t>Pamela Beatriz Guevara Alvez (Adjunct Researcher); Sebastián Andrés Navarrete Caro (Master Thesis)</t>
  </si>
  <si>
    <t>Jean-François Mangin, Cecilia Hernández</t>
  </si>
  <si>
    <t>03 Jul 2025, 12:49</t>
  </si>
  <si>
    <t>X CONGRESO DE LA SOCIEDAD CIENTÍFICA DE PSICOLOGÍA DE CHILE</t>
  </si>
  <si>
    <t>Explorando la consistencia y heterogeneidad de los constructos de compasión y autocompasión</t>
  </si>
  <si>
    <t>Rodrigo Clemente Vergara Ortúzar (Adjunct Researcher)</t>
  </si>
  <si>
    <t>05 Aug 2025, 13:17</t>
  </si>
  <si>
    <t>2024 Conference on Empirical Methods in Natural Language Processing</t>
  </si>
  <si>
    <t>From Insights to Actions: The Impact of Interpretability and Analysis Research on NLP</t>
  </si>
  <si>
    <t>Cristian Buc Chavez (Other Center/Project Researcher); Tomás Vergara Browne (Master Thesis)</t>
  </si>
  <si>
    <t>Mosbach, Marius, Gautam, Vagrant, Klakow, Dietrich, Geva, Mor</t>
  </si>
  <si>
    <t>29 Jul 2025, 16:27</t>
  </si>
  <si>
    <t xml:space="preserve">2024 Conference on Empirical Methods in Natural Language Processing </t>
  </si>
  <si>
    <t>A Study of Nationality Bias in Names and Perplexity using Off-the-Shelf Affect-related Tweet Classifiers</t>
  </si>
  <si>
    <t>Cifuentes, Sebastian (CENIA Tech Lead)</t>
  </si>
  <si>
    <t>29 Jul 2025, 16:41</t>
  </si>
  <si>
    <t>Workshop on Casual Discovery (CaDis 2024)</t>
  </si>
  <si>
    <t>Discovering the causal structure of students’ entry into higher education in Chile from data</t>
  </si>
  <si>
    <t>Quinsacara, Pablo, Schwarzenberg, Pablo</t>
  </si>
  <si>
    <t>11 Jul 2025, 12:03</t>
  </si>
  <si>
    <t>The 27th ACM Conference on Computer-Supported Cooperative Work and Social Computing</t>
  </si>
  <si>
    <t>Fostering Latin American-Centric CSCW Research and Practice</t>
  </si>
  <si>
    <t>Claudia Andrea López Moncada (Principal Researcher)</t>
  </si>
  <si>
    <t>Francisco J. Gutierrez., Laura S. Gaytán-Lugo. , Gustavo Lopez. , Heloisa Candello. , Adriana S. Vivacqua. , Marisol Wong-Villacres. , Carla F. Griggio. , Luis A. Castro. , Saiph Savage. , Cleidson R. B. de Souza.</t>
  </si>
  <si>
    <t>07 Aug 2025, 10:46</t>
  </si>
  <si>
    <t>27th ACM Conference on Computer-Supported Cooperative Work and Social Computing</t>
  </si>
  <si>
    <t>Opportunities and Challenges of Emerging Human-AI Interactions to Support Healthcare in the Global South</t>
  </si>
  <si>
    <t>Valeria Herskovic (Adjunct Researcher)</t>
  </si>
  <si>
    <t>Carolina Fuentes, Iyubanit Rodríguez, Gabriela Cajamarca, Laura Cabrera-Quiros, Andrés Lucero, Kenton O'Hara</t>
  </si>
  <si>
    <t>02 Jul 2025, 10:21</t>
  </si>
  <si>
    <t>IV Congreso de la Asociación Chilena de Ciencias del Movimiento</t>
  </si>
  <si>
    <t>El impacto de la práctica con videojuegos en el desarrollo de habilidades cognitivas</t>
  </si>
  <si>
    <t>Cristobal Moenne (Adjunct Researcher)</t>
  </si>
  <si>
    <t>05 Aug 2025, 13:11</t>
  </si>
  <si>
    <t>21st International Conference on Principles of Knowledge Representation and Reasoning</t>
  </si>
  <si>
    <t>A Uniform Language to Explain Decision Trees</t>
  </si>
  <si>
    <t>Pablo Rademacher Barceló (Master Thesis)</t>
  </si>
  <si>
    <t>Marcelo Arenas., Diego Bustamante., Jose Caraball., Bernardo Subercaseaux.</t>
  </si>
  <si>
    <t>07 Aug 2025, 11:08</t>
  </si>
  <si>
    <t>43rd International Conference of the Chilean Computer Science Society (SCCC)</t>
  </si>
  <si>
    <t>A Preliminary Study of Self-Regulation Strategies in Chilean Engineering Students</t>
  </si>
  <si>
    <t>Carlos Marcelo Hernández Ulloa (Adjunct Researcher); Luis Cristobal Rojas Gonzalez (Adjunct Researcher)</t>
  </si>
  <si>
    <t>Carolina Zambrano, Darío Rojas</t>
  </si>
  <si>
    <t>03 Jul 2025, 16:19</t>
  </si>
  <si>
    <t>Toward Automatic Vehicle Classification for Toll Booths on Chilean Interurban Highways</t>
  </si>
  <si>
    <t>Billy Mark Peralta Marquez (Adjunct Researcher); Carlos Marcelo Hernández Ulloa (Adjunct Researcher)</t>
  </si>
  <si>
    <t xml:space="preserve">Victor Flores , Raúl Luengo </t>
  </si>
  <si>
    <t>DL for Vision and Language; Neuro-Symbolic AI</t>
  </si>
  <si>
    <t>03 Jul 2025, 16:22</t>
  </si>
  <si>
    <t>Graph-Based Neural Networks for Public Transport Speed Prediction in Santiago, Chile</t>
  </si>
  <si>
    <t>Daniel Muller , Orietta Nicolis</t>
  </si>
  <si>
    <t>03 Jul 2025, 16:31</t>
  </si>
  <si>
    <t>Predicting the Next Step of a Multistep Network Attacks During Capture the Flag Events Using LSTM</t>
  </si>
  <si>
    <t>Romina Debora Torres Torres (Adjunct Researcher); Antonia Severin Cruzat (Master Thesis); Claudio Alexis Canales Pavez (Master Thesis)</t>
  </si>
  <si>
    <t>03 Jul 2025, 16:35</t>
  </si>
  <si>
    <t>Eye movements behavior during crossmodal visuo-auditory search</t>
  </si>
  <si>
    <t>Pedro Esteban Maldonado Arbogast (Principal Researcher)</t>
  </si>
  <si>
    <t>05 Aug 2025, 13:24</t>
  </si>
  <si>
    <t>III Jornada de Investigación Aplicada 2024 ARRAY</t>
  </si>
  <si>
    <t>Hacia un Cambio de Paradigma en la Ética de la IA: Abrazando el Desvelar Ético en la Tercera Ola</t>
  </si>
  <si>
    <t>Gabriela Constanza Arriagada Bruneau (Adjunct Researcher)</t>
  </si>
  <si>
    <t>05 Aug 2025, 14:50</t>
  </si>
  <si>
    <t>SIAM MDS24</t>
  </si>
  <si>
    <t>Interpretable Regularization-Based Nonparametric Uncertainty Quantification and Model Reduction for Dynamical Systems;</t>
  </si>
  <si>
    <t>Qian Yang, Evan Reed</t>
  </si>
  <si>
    <t>07 Aug 2025, 13:14</t>
  </si>
  <si>
    <t>Characterizing Reducibility by Solving High-Dimensional Partial Differential Equations with Neural Networks</t>
  </si>
  <si>
    <t>Manuel Alejandro Sanchez Uribe (Adjunct Researcher); Carlos Alberto Sing-Long Collao (Adjunct Researcher); Vicente Andrés Hojas García (Master Thesis)</t>
  </si>
  <si>
    <t>07 Aug 2025, 14:31</t>
  </si>
  <si>
    <t>27th European Conference on Artificial Intelligence</t>
  </si>
  <si>
    <t>The Distributional Uncertainty of the SHAP Score in Explainable Machine LearningThe Distributional Uncertainty of the SHAP Score in Explainable Machine Learning</t>
  </si>
  <si>
    <t>Leopoldo Eduardo Bertossi Duran (Adjunct Researcher); Miguel Angel Romero Orth (Adjunct Researcher)</t>
  </si>
  <si>
    <t>Santiago Cifuentes, Nina Pardal, Sergio Abriola, Maria Vanina Martinez</t>
  </si>
  <si>
    <t>07 Jul 2025, 10:06</t>
  </si>
  <si>
    <t>Recommender Systems for Sustainability and Social Good</t>
  </si>
  <si>
    <t>14 Kg of CO2: Analyzing the Carbon Footprint and Performance of Session-Based Recommendation Algorithms</t>
  </si>
  <si>
    <t>Juan Carlos Gil</t>
  </si>
  <si>
    <t>01 Jul 2025, 17:47</t>
  </si>
  <si>
    <t>Society fo Neuroscience Annual Meeting 2024</t>
  </si>
  <si>
    <t xml:space="preserve">Unveiling the visual cortex microcircuit: Modeling the extra-classical receptive field effect </t>
  </si>
  <si>
    <t>Pedro Esteban Maldonado Arbogast (Principal Researcher); Christ Alejandra Devia Manriquez (Adjunct Researcher); Samuel Madariaga (PhD Thesis); Catalina Murúa Fredes (Master Thesis)</t>
  </si>
  <si>
    <t>Jara, Camilo</t>
  </si>
  <si>
    <t>08 Aug 2025, 13:09</t>
  </si>
  <si>
    <t>IX Coloqio de Estudiantes de Filosofía Analítica</t>
  </si>
  <si>
    <t>Autism as a Natural and Political Kind: A Computational and Narrative Approach</t>
  </si>
  <si>
    <t>05 Aug 2025, 14:55</t>
  </si>
  <si>
    <t xml:space="preserve">Computer Vision – ECCV 2024 Workshops </t>
  </si>
  <si>
    <t>Cultural Heritage 3D Reconstruction with Diffusion Networks</t>
  </si>
  <si>
    <t>Ivan Anselmo Sipiran Mendoza (Principal Researcher); Pablo Jaramillo Vesperinas (Undergraduate Thesis)</t>
  </si>
  <si>
    <t>30 Jun 2025, 10:46</t>
  </si>
  <si>
    <t>Unsupervised Video Summarization: A Reconstruction Model with Proximal Gradient Methods</t>
  </si>
  <si>
    <t>Ivan Anselmo Sipiran Mendoza (Principal Researcher)</t>
  </si>
  <si>
    <t>Anali Alfaro</t>
  </si>
  <si>
    <t>01 Jul 2025, 15:57</t>
  </si>
  <si>
    <t>Fetal, Infant, &amp; Toddler Neuroimaging Group Conference</t>
  </si>
  <si>
    <t>Eye Movements Reveal Pretend Play Mechanisms in Toddlers and Their Effects on Word-Object Learning</t>
  </si>
  <si>
    <t>Marcela de Lourdes Peña Garay (Principal Researcher); Camilo José Gouet Hiriart (Adjunct Researcher); Cristobal Moenne (Adjunct Researcher)</t>
  </si>
  <si>
    <t>07 Aug 2025, 12:59</t>
  </si>
  <si>
    <t>Iberian Languages Evaluation Forum 2024</t>
  </si>
  <si>
    <t>VICTOR VECTORS @ DIPROMATS 2024: Propaganda Detection with LLM Paraphrasing and Machine Translation</t>
  </si>
  <si>
    <t>Marcelo Mendoza (Principal Researcher)</t>
  </si>
  <si>
    <t>Fernández, Miguel, Ojeda, Maximiliano, Guevera, Lilly, Varela, Diego, Barrón-Cedeño, Alberto</t>
  </si>
  <si>
    <t>29 Jul 2025, 16:46</t>
  </si>
  <si>
    <t>Bootcamp para Niñas y Adolescentes Líderes en Ingeniería y Ciencias</t>
  </si>
  <si>
    <t>Las Matemáticas de la Privacidad</t>
  </si>
  <si>
    <t>05 Aug 2025, 14:47</t>
  </si>
  <si>
    <t xml:space="preserve">XXIV Jornadas Rolando Chuaqui Kettlun Filosofía y Ciencias </t>
  </si>
  <si>
    <t>Perspectivas filosóficas en torno a la Inteligencia Artificial</t>
  </si>
  <si>
    <t>05 Aug 2025, 14:52</t>
  </si>
  <si>
    <t>CMM Pucón Symposium 2024</t>
  </si>
  <si>
    <t xml:space="preserve"> A Tour through the Language Models: from Shannon to GPT-4</t>
  </si>
  <si>
    <t>05 Aug 2025, 13:59</t>
  </si>
  <si>
    <t>3DOR 2024: Symposium on 3D Object Retrieval</t>
  </si>
  <si>
    <t>Self-distillation for Efficient Object-level Point Cloud Learning</t>
  </si>
  <si>
    <t>Ivan Anselmo Sipiran Mendoza (Principal Researcher); JOSE MANUEL SAAVEDRA RONDO (Adjunct Researcher)</t>
  </si>
  <si>
    <t>Oyarzún, Lucas</t>
  </si>
  <si>
    <t>29 Jul 2025, 19:09</t>
  </si>
  <si>
    <t>Convergence Properties of Hyperbolic Neural Networks on Riemannian Manifolds</t>
  </si>
  <si>
    <t>Nicolás Alvarado (PhD Thesis)</t>
  </si>
  <si>
    <t>Sebastian Burgos</t>
  </si>
  <si>
    <t>02 Jul 2025, 12:17</t>
  </si>
  <si>
    <t>Data-driven PDE-based inverse problem, in theory and practice</t>
  </si>
  <si>
    <t xml:space="preserve"> An analysis of full Bloch inversion</t>
  </si>
  <si>
    <t>07 Aug 2025, 13:08</t>
  </si>
  <si>
    <t>23rd Workshop on Biomedical Language Processing</t>
  </si>
  <si>
    <t>iHealth-Chile-3&amp;2 at RRG24: Template Based Report Generation</t>
  </si>
  <si>
    <t>Alvaro Marcelo Soto Arriaza (Director); Denis Alejandro Parra Santander (Adjunct Researcher); Pablo Messina (PhD Thesis)</t>
  </si>
  <si>
    <t xml:space="preserve">Oscar Loch, Rafael Elberg, Diego Campanini, René Vidal </t>
  </si>
  <si>
    <t>01 Jul 2025, 18:06</t>
  </si>
  <si>
    <t>e 14th Workshop on Computational Approaches to Subjectivity, Sentiment, &amp; Social Media Analysis</t>
  </si>
  <si>
    <t>Findings of WASSA 2024 Shared Task on Empathy and Personality Detection in Interactions</t>
  </si>
  <si>
    <t>Salvatore Giorgi, João Sedoc, Shabnam Tafreshi</t>
  </si>
  <si>
    <t>02 Jul 2025, 09:54</t>
  </si>
  <si>
    <t>2024 L Latin American Computer Conference (CLEI)</t>
  </si>
  <si>
    <t>Causal Analysis of Failure in a First-Year Course at a Chilean University Based on Programming Support Guides</t>
  </si>
  <si>
    <t>Gaston Sepulveda, Pablo Schwarzenberg, Marcos Levano</t>
  </si>
  <si>
    <t>03 Jul 2025, 16:38</t>
  </si>
  <si>
    <t>Self-Supervised Learning Applied to Variable Star Semi-Supervised Classification Using LSTM and GRU Networks</t>
  </si>
  <si>
    <t>Billy Mark Peralta Marquez (Adjunct Researcher); Hans Albert Lobel Díaz (Adjunct Researcher)</t>
  </si>
  <si>
    <t>Roberto Merino, Pablo Jara, Orietta Nicolis, Luis Caro</t>
  </si>
  <si>
    <t>03 Jul 2025, 16:42</t>
  </si>
  <si>
    <t>Association for Computational Linguistics</t>
  </si>
  <si>
    <t>Extracting and Encoding: Leveraging Large Language Models and Medical Knowledge to Enhance Radiological Text Representation</t>
  </si>
  <si>
    <t>Alvaro Marcelo Soto Arriaza (Director); Denis Alejandro Parra Santander (Adjunct Researcher); Pablo Messina (PhD Thesis); Vladimir Araujo (PhD Thesis)</t>
  </si>
  <si>
    <t>Vidal, René</t>
  </si>
  <si>
    <t>11 Aug 2024</t>
  </si>
  <si>
    <t>07 Jul 2025, 10:16</t>
  </si>
  <si>
    <t>Thirty-Third International Joint Conference on Artificial Intelligence</t>
  </si>
  <si>
    <t>Theoretical Study on Multi-objective Heuristic Search</t>
  </si>
  <si>
    <t>Carlos Marcelo Hernández Ulloa (Adjunct Researcher)</t>
  </si>
  <si>
    <t>Skyler, Shawn, Shperberg, Shahaf, Atzmon, Dor, Felner, Ariel, Salzman, Oren, Chan, Hung-Shao, Zhang, Han, Koenig, Sven, Yeoh, William</t>
  </si>
  <si>
    <t>03 Aug 2024</t>
  </si>
  <si>
    <t>29 Jul 2024, 19:20</t>
  </si>
  <si>
    <t xml:space="preserve">New Frontiers in Mathematical Modeling of Biological Systems </t>
  </si>
  <si>
    <t xml:space="preserve"> 	Tikhonov Regularization As a Nonparametric Method for Uncertainty Quantification for Dynamical Systems</t>
  </si>
  <si>
    <t>Carlos Alberto Sing-Long Collao (Principal Researcher)</t>
  </si>
  <si>
    <t>11 Aug 2024, 18:40</t>
  </si>
  <si>
    <t>International Conference on Machine Learning</t>
  </si>
  <si>
    <t>Hyperbolic Optimizer as a Dynamical System</t>
  </si>
  <si>
    <t>29 Jul 2024, 19:55</t>
  </si>
  <si>
    <t>On the Unexpected Effectiveness of Reinforcement Learning for Sequential Recommendation</t>
  </si>
  <si>
    <t>Rodrigo Andrés Toro Icarte (Adjunct Researcher); Alvaro Andrés Labarca Silva (Master Thesis)</t>
  </si>
  <si>
    <t>30 Jul 2024, 15:09</t>
  </si>
  <si>
    <t>International Conference on Machine Learning 2024</t>
  </si>
  <si>
    <t>On dimensionality of feature vectors in MPNNs</t>
  </si>
  <si>
    <t>Luis Cristobal Rojas Gonzalez (Principal Researcher); Alexander Kozachinskiy (Postdoctoral Fellow); César Bravo Arcos (Master Thesis)</t>
  </si>
  <si>
    <t>05 Aug 2024, 14:35</t>
  </si>
  <si>
    <t>The Role of Sparsity in Differentially Private Learning</t>
  </si>
  <si>
    <t>11 Aug 2024, 23:01</t>
  </si>
  <si>
    <t>12th IFAC Conference on Fractional Differentiation and its Applications ICFDA 2024</t>
  </si>
  <si>
    <t>Fractional adaptive observer for variable structure high cell density fed-batch cultures</t>
  </si>
  <si>
    <t>Pedro Andrés Saa Higuera (Adjunct Researcher)</t>
  </si>
  <si>
    <t>07 Aug 2025, 11:30</t>
  </si>
  <si>
    <t>2024 SIAM Annual Meeting (AN24) with Online Component</t>
  </si>
  <si>
    <t>Tikhonov Regularization As a Nonparametric Method for Uncertainty Quantification under Moment Constraints</t>
  </si>
  <si>
    <t>Villalon, Elena, Yang, Qian</t>
  </si>
  <si>
    <t>11 Aug 2024, 19:07</t>
  </si>
  <si>
    <t xml:space="preserve">Interpretable and Extrapolative Model Reduction of Complex </t>
  </si>
  <si>
    <t>Yang, Qian, Reed, Evan</t>
  </si>
  <si>
    <t>11 Aug 2024, 19:09</t>
  </si>
  <si>
    <t xml:space="preserve"> Thirty Seventh Annual Conference on Learning Theory</t>
  </si>
  <si>
    <t>Simple Online Learning with Consistent Oracle</t>
  </si>
  <si>
    <t>30 Jul 2024, 15:48</t>
  </si>
  <si>
    <t xml:space="preserve">DRS Conference </t>
  </si>
  <si>
    <t>Hybrid Ecologies of artificial intelligence: prototyping terrestrial practices through a design installationpractices through a design installation</t>
  </si>
  <si>
    <t>Manuela Garretón Izquierdo (PhD Thesis)</t>
  </si>
  <si>
    <t>Tironi, Martin</t>
  </si>
  <si>
    <t>29 Jul 2024, 18:41</t>
  </si>
  <si>
    <t xml:space="preserve"> Joint Conference on Lexical and Computational Semantics (*SEM 2024)</t>
  </si>
  <si>
    <t>Speedy Gonzales: A Collection of Fast Task-Specific Models for Spanish</t>
  </si>
  <si>
    <t>Cañete, José</t>
  </si>
  <si>
    <t>30 Jul 2024, 15:54</t>
  </si>
  <si>
    <t>Summit IAA Inteligencia Artificial Aplicada DUOC 2024</t>
  </si>
  <si>
    <t>Algoritmos de IA aplicados al análisis de imágenes de Resonancia Magnética cerebral</t>
  </si>
  <si>
    <t>11 Aug 2024, 22:43</t>
  </si>
  <si>
    <t>LatinX in Computer Vision (LXCV) CVPR</t>
  </si>
  <si>
    <t>Long Tail Image Generation Through Feature Space Augmentation and Iterated  Learning</t>
  </si>
  <si>
    <t>Mircea Petrache (Adjunct Researcher); Rafael Tov Elberg Haschelevici (Master Thesis)</t>
  </si>
  <si>
    <t xml:space="preserve">Conference on Computer Vision and Pattern Recognition (CVPR) </t>
  </si>
  <si>
    <t>Our Deep CNN Face Matchers Have Developed Achromatopsia Supplementary Material</t>
  </si>
  <si>
    <t>DOMINGO MERY QUIROZ (Principal Researcher)</t>
  </si>
  <si>
    <t>Bhatta, Aman, Wu, Haiyu, Annan, Joyce, King, Michael, Bowyer, Kevin</t>
  </si>
  <si>
    <t>30 Jul 2024, 15:40</t>
  </si>
  <si>
    <t>Mathematics of Deep Learning Workshop, Banff International Research Station</t>
  </si>
  <si>
    <t>11 Aug 2024, 23:03</t>
  </si>
  <si>
    <t>Seventeenth International Symposium on Combinatorial Search</t>
  </si>
  <si>
    <t>A New Upper Bound for the Makespan of Cost-Optimal Solutions for Multi-Agent Path Finding (Extended Abstract)</t>
  </si>
  <si>
    <t>Jorge Andrés Baier Aranda (Adjunct Researcher)</t>
  </si>
  <si>
    <t>López, Rodrigo, Asín-Achá, Roberto</t>
  </si>
  <si>
    <t>29 Jul 2024, 06:24</t>
  </si>
  <si>
    <t>A-A*pex: Efficient Anytime Approximate Multi-Objective Search</t>
  </si>
  <si>
    <t>Zhang, Han, Salzman, Oren, Felner, Ariel, Koenig, Sven</t>
  </si>
  <si>
    <t>29 Jul 2024, 06:58</t>
  </si>
  <si>
    <t>Efficient Set Dominance Checks in Multi-Objective Shortest-Path Algorithms via Vectorized Operations</t>
  </si>
  <si>
    <t>Zhang, Han, Koenig, Sven, Felner, Ariel, Salzman, Oren</t>
  </si>
  <si>
    <t>29 Jul 2024, 19:33</t>
  </si>
  <si>
    <t xml:space="preserve">Finding a Small, Diverse Subset of the Pareto Solution Set in Bi-Objective Search (Extended Abstract) </t>
  </si>
  <si>
    <t>Jorge Andrés Baier Aranda (Adjunct Researcher); Carlos Marcelo Hernández Ulloa (Adjunct Researcher); Pablo Hernán Araneda Muñoz (Master Thesis)</t>
  </si>
  <si>
    <t>Rivera, Nicolás</t>
  </si>
  <si>
    <t>29 Jul 2024, 19:48</t>
  </si>
  <si>
    <t xml:space="preserve">Speeding Up Dominance Checks in Multi-Objective Search: New Techniques and Data Structures </t>
  </si>
  <si>
    <t>Zhang, Han, Salzman, Oren, Felner, Ariel, Satish, T.K, Koenig, Sven</t>
  </si>
  <si>
    <t>30 Jul 2024, 16:07</t>
  </si>
  <si>
    <t>THE 2024 JOINT INTERNATIONAL CONFERENCE ON COMPUTATIONAL LINGUISTICS, LANGUAGE RESOURCES AND EVALUATION</t>
  </si>
  <si>
    <t>Are Text Classifiers Xenophobic? A Country-Oriented Bias Detection Method With Least Confounding Variables</t>
  </si>
  <si>
    <t>Valentín Barriere (Postdoctoral Fellow)</t>
  </si>
  <si>
    <t>29 Jul 2024, 10:04</t>
  </si>
  <si>
    <t>Joint International Conference on Computational Linguistics, Language Resources and Evaluation (LREC-COLING 2024)</t>
  </si>
  <si>
    <t>The Touché23-ValueEval Dataset for Identifying Human Values behind Arguments</t>
  </si>
  <si>
    <t xml:space="preserve">Mirzakhmedova, Nailia , Kiesel, Johannes, Alshomary, Milad, Heinrich, Maximilian, Handke, Nicolás, Cai, Xiaoni, Dastgheib, Doratossadat , Ghahroodi, Omid, SadraeiJavaheri, MohammadAli , Asgari, Ehsaneddin , Kawaletz, Lea , Wachsmuth, Henning , Stein, Benno </t>
  </si>
  <si>
    <t>12 Aug 2024, 09:55</t>
  </si>
  <si>
    <t>Unpacking Bias: An Empirical Study of Bias Measurement Metrics, Mitigation Algorithms, and Their Interactions</t>
  </si>
  <si>
    <t>Felipe José Bravo Márquez (Principal Researcher); María José Zambrano (Master Thesis)</t>
  </si>
  <si>
    <t>30 Jul 2024, 16:20</t>
  </si>
  <si>
    <t>WWW’24 Workshop Proposal DCAI Data-centric Artificial Intelligence</t>
  </si>
  <si>
    <t>Measuring the Predictability of Recommender Systems using Structural Complexity Metrics</t>
  </si>
  <si>
    <t>Andrés Jonathan Abeliuk Kimelman (Adjunct Researcher); Alfonso Valderrama (Master Thesis)</t>
  </si>
  <si>
    <t>11 Aug 2024, 22:54</t>
  </si>
  <si>
    <t>1er Congreso chileno de Derecho y Tecnología</t>
  </si>
  <si>
    <t>Más allá del código: reflexiones sobre los retos éticos y regulatorios de la IA</t>
  </si>
  <si>
    <t>14 Aug 2024, 20:03</t>
  </si>
  <si>
    <t>The Twelfth International Conference on Learning Representations</t>
  </si>
  <si>
    <t>On the Power of the Weisfeiler-Leman Test for Graph Motif Parameters</t>
  </si>
  <si>
    <t>Lanzinger, Matthias</t>
  </si>
  <si>
    <t>11 Aug 2024, 17:48</t>
  </si>
  <si>
    <t>International Conference on Learning Representations</t>
  </si>
  <si>
    <t>LOGICAL LANGUAGES ACCEPTED BY TRANSFORMER ENCODERS WITH HARD ATTENTION</t>
  </si>
  <si>
    <t>Widjaja, Antjony, Podolski, Vladimir</t>
  </si>
  <si>
    <t>05 Aug 2024, 14:27</t>
  </si>
  <si>
    <t>2024 IEEE International Conference on Acoustics, Speech and Signal Processing</t>
  </si>
  <si>
    <t>Exact classification of NMR spectra from NMR signals</t>
  </si>
  <si>
    <t>Izquierdo, Pedro, Xavier, Aline, Andia, Marcelo</t>
  </si>
  <si>
    <t>11 Aug 2024, 19:05</t>
  </si>
  <si>
    <t>Pucón Learning and AI Summit</t>
  </si>
  <si>
    <t>Towards an artificial retina</t>
  </si>
  <si>
    <t>14 Aug 2024, 20:29</t>
  </si>
  <si>
    <t xml:space="preserve">The Energy Homeostasis Principle: Neuronal Energy Regulation Drives Network Dynamics and Behavior. </t>
  </si>
  <si>
    <t>46th European Conference on Information Retrieval, ECIR 2024</t>
  </si>
  <si>
    <t>News Gathering: Leveraging Transformers to Rank News</t>
  </si>
  <si>
    <t>Ojeda, Maximiliano</t>
  </si>
  <si>
    <t>23 Apr 2024, 19:28</t>
  </si>
  <si>
    <t xml:space="preserve">SIGCSE 2024:  Symposium on Computer Science Education </t>
  </si>
  <si>
    <t>Exploring the Impact of Generative AI for StandUp Report Recommendations in Software Capstone Project Development</t>
  </si>
  <si>
    <t>Marcelo Mendoza (Principal Researcher); Hugo Andres Neyem (Adjunct Researcher); Luis Armando Gonzalez (PhD Thesis)</t>
  </si>
  <si>
    <t>Sandoval, Juan-Pablo, Centellas, Leonardo, Paredes, Carlos</t>
  </si>
  <si>
    <t>23 Mar 2024</t>
  </si>
  <si>
    <t>23 Apr 2024, 19:02</t>
  </si>
  <si>
    <t xml:space="preserve">LATIN 2024: Theoretical Informatics </t>
  </si>
  <si>
    <t>Infinite Separation Between General and Chromatic Memory</t>
  </si>
  <si>
    <t>12 Aug 2024, 10:02</t>
  </si>
  <si>
    <t>Workshop on the Foundational Aspects of Neuro-Symbolic Computing</t>
  </si>
  <si>
    <t>On the dimensionality of feature vectors in MPNNs.</t>
  </si>
  <si>
    <t>Luis Cristobal Rojas Gonzalez (Principal Researcher)</t>
  </si>
  <si>
    <t>14 Aug 2024, 20:37</t>
  </si>
  <si>
    <t>Recent Advances in Multiobjective Search.</t>
  </si>
  <si>
    <t>Jorge Andrés Baier Aranda (Adjunct Researcher); Carlos Marcelo Hernández Ulloa (Adjunct Researcher)</t>
  </si>
  <si>
    <t>14 Aug 2024, 20:40</t>
  </si>
  <si>
    <t>3 iterations of (d ? 1)-WL test distinguish non-isometric point clouds of d-dimensional points</t>
  </si>
  <si>
    <t>11 Aug 2024, 17:39</t>
  </si>
  <si>
    <t>Applying Logic to the Specification and Computation of Attribution Scores in Explainable Machine Learning</t>
  </si>
  <si>
    <t>Leopoldo Eduardo Bertossi Duran (Adjunct Researcher)</t>
  </si>
  <si>
    <t>11 Aug 2024, 17:40</t>
  </si>
  <si>
    <t>The 35th International Conference on Algorithmic Learning Theory</t>
  </si>
  <si>
    <t>Differentially Private Non-Convex Optimization under the KL Condition with Optimal Rates</t>
  </si>
  <si>
    <t>Menart, Michael, Ullah, Enayat, Arora, Raman, Bassily, Raef</t>
  </si>
  <si>
    <t>03 Apr 2024, 16:14</t>
  </si>
  <si>
    <t>Thirty-Eighth AAAI Conference on Artificial Intelligence</t>
  </si>
  <si>
    <t xml:space="preserve">A Class of Topological Pseudodistances for Fast Comparison of Persistence Diagrams </t>
  </si>
  <si>
    <t>Kindelan, Rolando, Cerda, Mauricio, Hitschfeld, Nancy</t>
  </si>
  <si>
    <t>11 Aug 2024, 18:05</t>
  </si>
  <si>
    <t xml:space="preserve">32nd EACSL Annual Conference on Computer Science Logic 2024 (CSL 2024) </t>
  </si>
  <si>
    <t>Energy Games over Totally Ordered Groups</t>
  </si>
  <si>
    <t>12 Aug 2024, 10:00</t>
  </si>
  <si>
    <t>Preface The Seventh Chilean Workshop on Numerical Analysis of Partial Differential Equations (WONAPDE 2024</t>
  </si>
  <si>
    <t>Sum-of-squares Polynomial Optimization to Study the Stability of Shear Flows</t>
  </si>
  <si>
    <t>11 Aug 2024, 19:02</t>
  </si>
  <si>
    <t>Cómo la ética es clave para preservar lo humano en la IA</t>
  </si>
  <si>
    <t>14 Aug 2024, 19:58</t>
  </si>
  <si>
    <t>4th Latin American Sustainable Development of Energy Water and Environment Systems (SDEWES)</t>
  </si>
  <si>
    <t>A multi-model platform for sustainable electromobility analysis and planning</t>
  </si>
  <si>
    <t>Gonzalo Sebastián Bustos Turu (Other Center/Project Researcher)</t>
  </si>
  <si>
    <t>11 Aug 2024, 18:37</t>
  </si>
  <si>
    <t>FB210018</t>
  </si>
  <si>
    <t>1er Encuentro Nacional de Patrimonios</t>
  </si>
  <si>
    <t>Experiencias de formación en Perspectiva Biocultural de los patrimonios de Punta Arenas y Río Seco, Estrecho de Magallanes</t>
  </si>
  <si>
    <t>Flavia Morello Repetto (Principal Researcher); Mauricio Andrés Onetto Pavez (Adjunct Researcher)</t>
  </si>
  <si>
    <t> Felipe Lagos, Ariana Riquelme, Adrián González, Paulina Oyarzun, Verónica Figueroa, Miguel Cáceres, AymaraZegers</t>
  </si>
  <si>
    <t>Biocultural conservation to multiple scales: Social sustainability, economic and environmental</t>
  </si>
  <si>
    <t>01 Sep 2025, 13:06</t>
  </si>
  <si>
    <t>Sentinels of homogenization biocultural: Answers of the biocultural diversity to species introduction exotics and formal education</t>
  </si>
  <si>
    <t>Sentinels of Climate Change: Responses of Subantarctic and Alpine Biodiversity and Ecosystem Functioning to Climate Change</t>
  </si>
  <si>
    <t>Jéssica Lorena Sepúlveda Pizarro (Adjunct Researcher)</t>
  </si>
  <si>
    <t>Mary Therese Kalin Hurley (Principal Researcher); Luis Retamal (Master Thesis)</t>
  </si>
  <si>
    <t>Paola Alejandra Jara Arancio (Adjunct Researcher); Alex Molina Estrella (Master Thesis)</t>
  </si>
  <si>
    <t>Patricio Moreno</t>
  </si>
  <si>
    <t>Past and present variability of the areal extent of the Southern Pacific High: insights from reanalysis data and tree-rings</t>
  </si>
  <si>
    <t>Duncan Andres Christie Browne (Adjunct Researcher); Ricardo Villalba (Other Center/Project Researcher); Claudio Andrés Álvarez Pacheco (Postdoctoral Fellow)</t>
  </si>
  <si>
    <t>Hugo Alejandro Benítez de la Fuente (Adjunct Researcher)</t>
  </si>
  <si>
    <t>Lorena Pía Medina Morales (Principal Researcher)</t>
  </si>
  <si>
    <t>Claudia Andrea Mansilla Andrade (Adjunct Researcher); Victor Manuel Sierpe González (Adjunct Researcher); jimena andrea torres elgueta (Adjunct Researcher)</t>
  </si>
  <si>
    <t>Trace Elizabeth Gale Detrich (Adjunct Researcher)</t>
  </si>
  <si>
    <t>The 2024 Annual Meeting of the International Association for Environmental Philosophy</t>
  </si>
  <si>
    <t>The Art of Making Kin with Insects: Lens of Cultural Entomology and Entomolinguistics</t>
  </si>
  <si>
    <t>Danquiong Zhu (Other Center/Project Researcher)</t>
  </si>
  <si>
    <t>16 Jan 2025, 22:59</t>
  </si>
  <si>
    <t>Ricardo Rozzi (Director)</t>
  </si>
  <si>
    <t>RAMIRO OSCIEL BUSTAMANTE ARAYA (Adjunct Researcher); Laura Sánchez-Jardón (Adjunct Researcher); Pamela Constanza Zúñiga Cancino (Master Thesis)</t>
  </si>
  <si>
    <t>Laura Sánchez-Jardón (Adjunct Researcher)</t>
  </si>
  <si>
    <t>José Tomás Ibarra Eliessetch (Principal Researcher)</t>
  </si>
  <si>
    <t>Roy Mackenzie Calderón (Adjunct Researcher)</t>
  </si>
  <si>
    <t>Juan Luis Celis, Luca Zattera, Bruce Osborne, David Trejo, David Aguilera</t>
  </si>
  <si>
    <t>Benjamín Pujadas (PhD Thesis)</t>
  </si>
  <si>
    <t>Juan Ernesto Treviño Villarreal (Adjunct Researcher)</t>
  </si>
  <si>
    <t>Alejandra Tauro (Postdoctoral Fellow)</t>
  </si>
  <si>
    <t>Duncan Andres Christie Browne (Adjunct Researcher)</t>
  </si>
  <si>
    <t>Congreso de Iniciación Científica y Tecnológica 2024</t>
  </si>
  <si>
    <t>El Centro Internacional Cabo de Hornos: Sentinela del Cambio Global en la cumbre austral de América</t>
  </si>
  <si>
    <t>01 Sep 2025, 22:22</t>
  </si>
  <si>
    <t>Magíster Gestion Territorial de los Recursos Naturales, Facultad de Ciencias Agronómicas, Universidad de Chile</t>
  </si>
  <si>
    <t>El Centro Internacional Cabo de Hornos: Centinela del Cambio Global en la cumbre austral de América</t>
  </si>
  <si>
    <t>01 Sep 2025, 22:25</t>
  </si>
  <si>
    <t>V Congreso Internacional de Educación para el Desarrollo Sustentable (CIEDS 2024) VI Congreso Internacional de Educación e Interculturalidad de la Red Interuniversitaria de Educación e Interculturalidad (RIEDI, 2024)</t>
  </si>
  <si>
    <t>Fondos de conocimiento como estrategia pedagógica para la interculturalidad y la convivencia en aulas interculturales chilenas</t>
  </si>
  <si>
    <t>17 Jan 2025, 01:22</t>
  </si>
  <si>
    <t>Seminario Internacional "Educación y Desarrollo: Perspectivas multidisciplinarias para un futuro más próspero".</t>
  </si>
  <si>
    <t>Educación e inclusión biocultural. Aportes a los caminos que abordan la sustentabilidad</t>
  </si>
  <si>
    <t>17 Jan 2025, 01:14</t>
  </si>
  <si>
    <t>American Geophysical Union (AGU) Fall Meeting 2024</t>
  </si>
  <si>
    <t>Alvaro Gonzalez-Reyes, Ariel Muñoz, Martin Hadad, Feng Cheng, Mariano Morales, Mukund Palat Rao, Camilo Marquez, Carlos LeQuesne, Martin Jacques-Coper, Moises Rojas-Badilla</t>
  </si>
  <si>
    <t>13 Jan 2025, 17:21</t>
  </si>
  <si>
    <t>Past Streamflow Variability Of The Shullcas River In The Peruvian Andes Inferred From Tree-Rings Records</t>
  </si>
  <si>
    <t>Ginette Ticse-Otarola, Edilson Requena-Rojas, Ariel Muñoz, Isadora Schneider, Clara Rodriguez-Morata, Laia Andreu-Hayles</t>
  </si>
  <si>
    <t>17 Jan 2025, 02:28</t>
  </si>
  <si>
    <t>Ecologia degli spazi umani: natura, società, religione</t>
  </si>
  <si>
    <t>Etica del Rewilding (e della de-estinzione)</t>
  </si>
  <si>
    <t>Luca Valera (Adjunct Researcher)</t>
  </si>
  <si>
    <t>16 Jan 2025, 22:45</t>
  </si>
  <si>
    <t>Sustainability conference at the end of the world</t>
  </si>
  <si>
    <t xml:space="preserve">Lessons of sustainability from a subantarctic experience in chilean Patagonia: The case of the University of Magallanes </t>
  </si>
  <si>
    <t>Elke Schüttler (Principal Researcher); Roy Mackenzie Calderón (Adjunct Researcher); Laura Sánchez-Jardón (Adjunct Researcher)</t>
  </si>
  <si>
    <t>Claudia Mac-lean, Jean Hugé, Luis Vargas</t>
  </si>
  <si>
    <t>17 Jan 2025, 01:26</t>
  </si>
  <si>
    <t>Conferencia de Sustentabilidad en el Fin del Mundo: Experiencias y desafíos desde ambientes antárticos y subantárticos</t>
  </si>
  <si>
    <t>"Biodiversidad y Secuestro de Carbono en Bosques de Kelp, Centinelas Subantárticos de Cambio Climático"</t>
  </si>
  <si>
    <t>Andrés Omar Mansilla Muñoz (Principal Researcher)</t>
  </si>
  <si>
    <t>17 Jan 2025, 02:09</t>
  </si>
  <si>
    <t>Conferencia de Sustentabilidad en el fin del mundo: experiencias y desafíos desde ambientes antárticos y subantárticos.</t>
  </si>
  <si>
    <t>Aportes de la Filosofía Ambiental de Campo para la Conservación de la Diversidad Biocultural Antártica y Subantártica</t>
  </si>
  <si>
    <t>17 Jan 2025, 04:15</t>
  </si>
  <si>
    <t>XXIII congreso nacional arqueología chilena</t>
  </si>
  <si>
    <t>Avances en la caracterización espacial y distribución del registro zooarqueológico durante el holoceno tardío en cuatro localidades del canal beagle, fuego patagonia, chile (55°s/70°30’-66°30’w)</t>
  </si>
  <si>
    <t>Flavia Morello Repetto (Principal Researcher); Manuel Julio San Román Bontes (Adjunct Researcher)</t>
  </si>
  <si>
    <t>Javiera Mardones</t>
  </si>
  <si>
    <t>16 Jan 2025, 22:25</t>
  </si>
  <si>
    <t>Seminario transversal l'UMR 7209 AASPE Animaux et végétaux familiers des humains. Anthropozoologie et aanthropobotanique. Museo Nacional de Historia Natural de Paris.</t>
  </si>
  <si>
    <t>L'exploitation du guanaco (Lama guanicoe) à des fins techniques et son rôle alimentaire chez les chasseurs-cuilleurs de Patagonia australe au cours de l'Holocene en Patagonie et Terre de Feu</t>
  </si>
  <si>
    <t>Victor Manuel Sierpe González (Adjunct Researcher)</t>
  </si>
  <si>
    <t>Marianne Christensen</t>
  </si>
  <si>
    <t>16 Jan 2025, 22:17</t>
  </si>
  <si>
    <t>Encuentro de Estudiantes CR2</t>
  </si>
  <si>
    <t>Isotopos estables de ?13C en bosques de altura adyacentes al desierto de Atacama.</t>
  </si>
  <si>
    <t>Duncan Andres Christie Browne (Adjunct Researcher); Claudio Andrés Álvarez Pacheco (Postdoctoral Fellow)</t>
  </si>
  <si>
    <t xml:space="preserve">  Flores, F., Muñoz A.A., Maldonado A., Szejner, P.,</t>
  </si>
  <si>
    <t>29 Aug 2025, 12:03</t>
  </si>
  <si>
    <t xml:space="preserve">Taller Proyecto Humboldt-Golfo de California. Fondo Conjunto de Cooperación México-Chile. </t>
  </si>
  <si>
    <t xml:space="preserve">“La Cumbre Austral de América”. </t>
  </si>
  <si>
    <t>17 Jan 2025, 04:18</t>
  </si>
  <si>
    <t>IV Congreso Latinoamericano y del Caribe de Biología para la Conservación,</t>
  </si>
  <si>
    <t>Taller / Workshop, “Estatus de la conservación en Latinoamérica y el Caribe”</t>
  </si>
  <si>
    <t>Osvaldo Eric Ramírez Bravo; Barrios, Mercedes; Prosdocimi Laura; Rodríguez Salgado; Iris Massiel; Segovia Salcedo, Maria Claudia; Antonio Tovar Narvaez , Luis; Miyaki ,Cristina; Giraldo Lopez, Alan; Santos Murgas, Alonso; Pelz Serrano, Karla; Garcia, Bran</t>
  </si>
  <si>
    <t>29 Aug 2025, 08:45</t>
  </si>
  <si>
    <t>IX Congreso Nacional de Ciencias Forestales</t>
  </si>
  <si>
    <t>Assessing CO2 impact on water use efficiency in Andean two tree species through isotope analysis</t>
  </si>
  <si>
    <t xml:space="preserve"> Flores, F., Muñoz A.A., Maldonado A., Szejner, P.,</t>
  </si>
  <si>
    <t>29 Aug 2025, 12:27</t>
  </si>
  <si>
    <t>Seminario-Taller. “Tu Investigación en 5 minutos”</t>
  </si>
  <si>
    <t>Respuesta del crecimiento radial al clima en tres especies de Nothofagus ubicadas en sus límites de distribución altitudinal en bosques de la Patagonia norte.</t>
  </si>
  <si>
    <t>Álvaro González-Reyes, Thomas T. Veblen, Carlos LeQuesne, Felipe Flores, Moisés Rojas-Badilla, Tania Gipoulou-Zúñiga, Diego Aliste, Vicente Rozas.</t>
  </si>
  <si>
    <t>29 Aug 2025, 12:12</t>
  </si>
  <si>
    <t>The 2024 Annual Symposium of the Network of Asian Environmental Philosophy (NAEP)</t>
  </si>
  <si>
    <t>Devouring Deluge and Rivers of Healing: Biocultural Reconceptuation of Rivers</t>
  </si>
  <si>
    <t>16 Jan 2025, 23:03</t>
  </si>
  <si>
    <t>XIX Congreso de la Asociación de Estudiantes de Biología de Chile</t>
  </si>
  <si>
    <t>Explorando Formas a través del Tiempo:  La Revolución de la Morfometría Geométrica en la Zoología. Congreso de la Asociación de Estudiantes de Biología de Chile. Valdivia, Chile</t>
  </si>
  <si>
    <t>01 Sep 2025, 11:16</t>
  </si>
  <si>
    <t>Seminari di Studi del Progetto di ricerca PRIN PNRR 2022 I-WELL: Integral Wellbeing for Human Flourishing</t>
  </si>
  <si>
    <t>Salute e benessere dal punto di vista dell’etica ambientale</t>
  </si>
  <si>
    <t>16 Jan 2025, 22:48</t>
  </si>
  <si>
    <t>Network for the Detection of Atmospheric Composition Change - NDACC Annual Steering Committee Meeting 2024</t>
  </si>
  <si>
    <t>The UNEP Environmental Effects Assessment Panel's Insights on Ozone Layer Depletion and Its Environmental Consequences</t>
  </si>
  <si>
    <t>Roy Mackenzie Calderón (Adjunct Researcher); Brenda Olivia Riquelme del Rio (Postdoctoral Fellow)</t>
  </si>
  <si>
    <t>Sharon Robinson, Matthew Robson</t>
  </si>
  <si>
    <t>21 Jul 2025, 16:16</t>
  </si>
  <si>
    <t>Primer congreso nacional de zoología</t>
  </si>
  <si>
    <t>Deciphering microbial biogeography and diversification in the Southern  Ocean: Key insights from marine holobionts.</t>
  </si>
  <si>
    <t>Karin Françoise Gerard (Adjunct Researcher); Sebastian Rosenfeld Sekulovic (PhD Thesis)</t>
  </si>
  <si>
    <t>Guillaume Schwob, Mélanie Delleuze, Sebastián Rosenfeld, Nicolás I.  Segovia, Claudio González-Wevar, Thomas Saucède, Paul Brickle,  Karin Gérard, Elie Poulin, Léa Cabrol, Julieta Orlando.</t>
  </si>
  <si>
    <t>31 Jul 2025, 00:06</t>
  </si>
  <si>
    <t>"Redescubriendo la Biodiversidad del Cabo de Hornos:  Implicaciones Filogeneticas y Biogeográficas en Moluscos Marinos"</t>
  </si>
  <si>
    <t>Sebastian Rosenfeld Sekulovic (PhD Thesis)</t>
  </si>
  <si>
    <t>17 Jan 2025, 02:11</t>
  </si>
  <si>
    <t>“Justiça climatica e responsabilidade”</t>
  </si>
  <si>
    <t>Rewilding nature: ¿una nueva forma de la responsabilidad?</t>
  </si>
  <si>
    <t>16 Jan 2025, 22:50</t>
  </si>
  <si>
    <t>X Congreso Internacional de la Red de Sistemas Agroalimentarios Localizados SIAL</t>
  </si>
  <si>
    <t>Percepciones del Cambio Climático en la Apicultura de Patagonia Norte en Chile</t>
  </si>
  <si>
    <t>Valentina Lepe, Carla Marchant, Robin Browaldh, Ariel Muñoz, M Gajardo-Rojas, K Yañez</t>
  </si>
  <si>
    <t>17 Jan 2025, 02:38</t>
  </si>
  <si>
    <t>Congreso Nacional de Flora Nativa</t>
  </si>
  <si>
    <t>Ecoturismo con Lupa</t>
  </si>
  <si>
    <t>17 Jan 2025, 04:21</t>
  </si>
  <si>
    <t>Fluctuaciones mensuales en la densidad poblacional de géneros de simúlidos (Diptera: Simuliidae) potencialmente transmisores de Leucocytozoon sp. a las aves silvestres en Parque Etnobotánico Omora, Reserva de la Biósfera Cabo de Hornos.</t>
  </si>
  <si>
    <t>Constanza Tapia Chandías (PhD Thesis)</t>
  </si>
  <si>
    <t>21 Jul 2025, 15:33</t>
  </si>
  <si>
    <t>Conectividad a diferentes escalas espaciales y temporales en el camarón hada antártico Branchinecta gaini</t>
  </si>
  <si>
    <t>Tamara Andrea Contador Mejías (Principal Researcher); Claudia Maturana Bobadilla (Postdoctoral Fellow); Melisa Gañan Mora (PhD Thesis); Sebastian Rosenfeld Sekulovic (PhD Thesis)</t>
  </si>
  <si>
    <t>Elie Poulin, Valentina Bernal, Moisés Valladares, Guillaume Schowb</t>
  </si>
  <si>
    <t>21 Jul 2025, 16:09</t>
  </si>
  <si>
    <t>La Ecorregión Subantártica de Magallanes como centro de diversificación de la biodiversidad dulceacuícola</t>
  </si>
  <si>
    <t>Ricardo Rozzi (Director); Tamara Andrea Contador Mejías (Principal Researcher); Hugo Alejandro Benítez de la Fuente (Adjunct Researcher); Claudia Maturana Bobadilla (Postdoctoral Fellow); Melisa Gañan Mora (PhD Thesis); Sebastian Rosenfeld Sekulovic (PhD Thesis)</t>
  </si>
  <si>
    <t>21 Jul 2025, 16:12</t>
  </si>
  <si>
    <t>El especismo en masa: formas de estudio y prevención</t>
  </si>
  <si>
    <t>Sandra Baquedano Jer (Adjunct Researcher)</t>
  </si>
  <si>
    <t>16 Jan 2025, 22:52</t>
  </si>
  <si>
    <t>Patrones de actividad de los carnívoros nativos de Chile central ¿Están influenciados por el tipo de paisaje?</t>
  </si>
  <si>
    <t>Diego Ramírez-Álvarez, Kathia Arenas, Melanie Kaiser,</t>
  </si>
  <si>
    <t>29 Aug 2025, 08:09</t>
  </si>
  <si>
    <t>Análisis de Parasitismo en Carnívoros Domésticos de Libre Tránsito y Silvestres en Áreas Perturbadas y No Perturbadas del Sur de Chile. ha sido aceptado para su presentación en el I Congreso Chileno de Zoología.</t>
  </si>
  <si>
    <t>Mariana Pavez, Lucila Moreno, Carolina Ugarte, Camila Stuardo,</t>
  </si>
  <si>
    <t>29 Aug 2025, 08:12</t>
  </si>
  <si>
    <t>Adaptive response of a native rodent to the introduced mink following two invasion scenarios in the Cape Horn Biosphere Reserve</t>
  </si>
  <si>
    <t>Elke Schüttler (Principal Researcher); Rodrigo Alfonso Vásquez Salfate (Principal Researcher); Ramiro Crego (Other Center/Project Researcher); Katherine Chavez (Master Thesis)</t>
  </si>
  <si>
    <t>17 Jan 2025, 01:29</t>
  </si>
  <si>
    <t>Effects of human landscape disturbance on the gastrointestinal microbiota of wild foxes (Lycalopex spp.) in southern Chile</t>
  </si>
  <si>
    <t>Rocío Paleo-López, Carolina S Ugarte, Camila J. Stuardo, Andrea X Silva</t>
  </si>
  <si>
    <t>29 Aug 2025, 08:14</t>
  </si>
  <si>
    <t>Communication bias? Journalistic coverage of invasive species in Chile</t>
  </si>
  <si>
    <t>Elke Schüttler (Principal Researcher); RAMIRO OSCIEL BUSTAMANTE ARAYA (Adjunct Researcher)</t>
  </si>
  <si>
    <t>Thora Herrmann, Sofía Gutiérrez</t>
  </si>
  <si>
    <t>17 Jan 2025, 01:31</t>
  </si>
  <si>
    <t>Experiencias de comunicación de la ciencia desde la academia: desafíos y oportunidades</t>
  </si>
  <si>
    <t>29 Aug 2025, 08:15</t>
  </si>
  <si>
    <t>Adaptive response in nesting birds after two decades of mink (Neogale vison) inavsion in the extreme south of Chile</t>
  </si>
  <si>
    <t>Elke Schüttler (Principal Researcher); Ramiro Crego (Other Center/Project Researcher); Valeria Gómez (Master Thesis)</t>
  </si>
  <si>
    <t>Fabian Jaksic, Gabriela Flores</t>
  </si>
  <si>
    <t>17 Jan 2025, 01:33</t>
  </si>
  <si>
    <t>Comprendiendo la brecha entre conservación y genética en América Latina: Desafíos y oportunidades para integrar la genética en las prácticas de conservación</t>
  </si>
  <si>
    <t>Cristhian Clavijo ; Viviana Rojas-Bonzi ,; Carolina I Miño ; José F González-Maya ; Nadia Bou ; Alan Giraldo 0; Angela Martino ; Cristina Yumi Miyaki ; Luis F Aguirre ; Andrea Cosacov ; Yoamel Milián-García</t>
  </si>
  <si>
    <t>29 Aug 2025, 08:23</t>
  </si>
  <si>
    <t>Salud, genética y conservación: Integrando herramientas genéticas para identificar amenazas a carnívoros en paisajes perturbados</t>
  </si>
  <si>
    <t>29 Aug 2025, 08:25</t>
  </si>
  <si>
    <t xml:space="preserve">. Efecto de la temperatura del mar sobre la variación genética y morfométrica de un quitón del Pacífico mexicano. </t>
  </si>
  <si>
    <t xml:space="preserve">Raquel Hernández-P, Azalea Guerra-García, Patricia Ornelas-García, Margarita Correa y Daniel Piñero. </t>
  </si>
  <si>
    <t>01 Sep 2025, 12:22</t>
  </si>
  <si>
    <t>Delfines pequeños en aguas frías subantárticas; revisión de las reglas de Bergmann y Allen en el caso de la tonina overa (Cephalorhynchus commersonii)</t>
  </si>
  <si>
    <t xml:space="preserve">Franco Cruz-Jofré, María José Pérez-Álvarez, Camila Calderón-Quirgas, Analía San Martín, Juan Capella, Jorge Gibbons, Carlos Olavarría, Jorge Acevedo, Hugo Benítez. </t>
  </si>
  <si>
    <t>01 Sep 2025, 12:24</t>
  </si>
  <si>
    <t>Revelando la variación de la forma del ala en los ecosistemas del Altiplano Norte: Un ejemplo de la mariposa Phulia nymphula utilizando morfometría geométrica.</t>
  </si>
  <si>
    <t>Hugo Alejandro Benítez de la Fuente (Adjunct Researcher); Jordan Camilo Hernandez Martelo (PhD Thesis)</t>
  </si>
  <si>
    <t xml:space="preserve">Thania Acuña, Isabel Lobos, Alejandro Piñeiro, Amado Villalobos-Leiva, Franco Cruz-Jofré, Margarita Correa, </t>
  </si>
  <si>
    <t>01 Sep 2025, 12:26</t>
  </si>
  <si>
    <t>Diversidad morfo-funcional del cráneo y mandíbula de Thylamys elegans: Morfología de los linajes distribuidos en el centro norte de Chile</t>
  </si>
  <si>
    <t>José Ignacio Arriagada Díaz, Franco Cruz-Jofré, Karen Moreno, Dusan Boric-Barguetto, Kornelius Kupczik</t>
  </si>
  <si>
    <t>01 Sep 2025, 12:28</t>
  </si>
  <si>
    <t>Variación morfológica de la mojarra amarilla (Caquetaia kraussii): una visión integrada de las variables sexuales y ambientales utilizando morfometría geométrica</t>
  </si>
  <si>
    <t>Amado Villalobos-Leiva, Adriana Bermúdez, Daniela Ahumada-C, Margarita Correa, Angie Díaz</t>
  </si>
  <si>
    <t>01 Sep 2025, 12:29</t>
  </si>
  <si>
    <t>Variación morfológica alar y corbicular de Tetragonisca angustula (Apidae; Meliponini): una aproximación utilizando morfometría geométrica</t>
  </si>
  <si>
    <t>Sebastián García, Wilson Vera, Andrea L. García</t>
  </si>
  <si>
    <t>01 Sep 2025, 12:31</t>
  </si>
  <si>
    <t>¿Invasores en Forma?: Morfometría Geométrica para Descifrar la Adaptación de los Insectos Plaga en Ambientes Cambiantes</t>
  </si>
  <si>
    <t>01 Sep 2025, 12:32</t>
  </si>
  <si>
    <t>Variación de la morfología craneal y perspectivas sobre la biología alimentaria de petreles y pardelas (Aves: Procellariidae) fósiles de Formación Bahía Inglesa.</t>
  </si>
  <si>
    <t>Luna Elaine N., Martín F. Chávez Hoffmeister</t>
  </si>
  <si>
    <t>01 Sep 2025, 12:34</t>
  </si>
  <si>
    <t>Filogeografía integrativa de la especie Diloma nigerrimum a lo largo de las costas de Chile y Nueva Zelanda</t>
  </si>
  <si>
    <t>Camila Parra, Elie Poulin, Hamish Spencer, Claudio González-Wevar</t>
  </si>
  <si>
    <t>01 Sep 2025, 12:36</t>
  </si>
  <si>
    <t>Revelando los efectos ocultos: Pesticidas y asimetría en la forma de las alas de Musca domestica - Perspectivas desde Arbolillo, Chile</t>
  </si>
  <si>
    <t>Oróstica-Pinochet R., Lobos I.A., Piñeiro-González A., Correa M., Villalobos-Leiva A., Perez L., Valdes C., Muñoz-Quezada MT</t>
  </si>
  <si>
    <t>01 Sep 2025, 12:38</t>
  </si>
  <si>
    <t>. Asimetría fluctuante en el erizo de mar Abatus agassizii: Una aproximación al efecto de la heterogeneidad química de los ambientes marinos en Antártica</t>
  </si>
  <si>
    <t>Fernando Moya, Natalia Ugas-Bravo, Elie Poulin</t>
  </si>
  <si>
    <t>01 Sep 2025, 12:39</t>
  </si>
  <si>
    <t>Diversidad del género Laevilitorina: Un Estudio Integrativo en Antártica</t>
  </si>
  <si>
    <t>Hugo Alejandro Benítez de la Fuente (Adjunct Researcher); Sebastian Rosenfeld Sekulovic (PhD Thesis)</t>
  </si>
  <si>
    <t>Paula Segovia-Collao, Conxita Ávila, Elie Poulin, Camila Parra, Julia Saravia, Claudio González-Wevar</t>
  </si>
  <si>
    <t>01 Sep 2025, 12:42</t>
  </si>
  <si>
    <t xml:space="preserve">. Nuevo hallazgo: Desplazamiento río arriba de la larva de Sapo Hermoso, Telmatobufo venustus (Philippi, 1899) (Anura: Calyptocephalellidae). </t>
  </si>
  <si>
    <t>Alejandro Piñeiro-González, Isabel A. Lobos,  Nelson Velásquez</t>
  </si>
  <si>
    <t>01 Sep 2025, 12:44</t>
  </si>
  <si>
    <t>Aproximación morfométrica para el estudio de Triatoma infestans, un vector de la enfermedad de Chagas</t>
  </si>
  <si>
    <t>Belén Díaz-Toledo, Carla Ponce-Revello,  María Laura Hernández, Esteban San Juan, Lorena Llanos, Carolina Reyes, Antonella Bacigalupo &amp; Carezza Botto-Mahan</t>
  </si>
  <si>
    <t>01 Sep 2025, 12:45</t>
  </si>
  <si>
    <t>Variación interespecífica e intraespecífica de la forma del caparazón de neonatos de Chelonia mydas y Lepidochelys olivacea en los océanos Atlántico y Pacífico</t>
  </si>
  <si>
    <t>Begoña Mardones-Zapata, Cutzy Bedolla-Ochoa, Jaime Restrepo, Mitzy Nuñez, &amp; Rocio Álvarez-Varas</t>
  </si>
  <si>
    <t>01 Sep 2025, 12:47</t>
  </si>
  <si>
    <t>Variación en la morfometría alar de Yramea cytheris Drury (1773) (Lepidoptera: Nymphalidae) en un gradiente latitudinal en Chile.</t>
  </si>
  <si>
    <t xml:space="preserve">Macarena González-Ricci,  Isabel A. Lobos, Alejandro Piñeiro-González, </t>
  </si>
  <si>
    <t>01 Sep 2025, 12:49</t>
  </si>
  <si>
    <t>Una pequeña mariposa que prospera en condiciones extremas: exploración de las adaptaciones genéticas y morfométricas de Itylos titicaca Weymer (1890) en el Altiplano Norte</t>
  </si>
  <si>
    <t>Isabel A. Lobos, Amado Villalobos-Leiva, Franco Cruz-Jofre, Alejandro Piñeiro-González, Raquel Hernandez, Margarita Correa, Manuel Suazo, Luis Pastenes</t>
  </si>
  <si>
    <t>01 Sep 2025, 12:51</t>
  </si>
  <si>
    <t>Chovinismo Taxonomico: No Más</t>
  </si>
  <si>
    <t>17 Jan 2025, 04:23</t>
  </si>
  <si>
    <t>Proyectos Co-Lab por la salvaguarda de los Patrimonios Bioculturales, Universidad de Magallanes (UMAG)</t>
  </si>
  <si>
    <t>01 Sep 2025, 13:03</t>
  </si>
  <si>
    <t>17 Jul 2025, 18:18</t>
  </si>
  <si>
    <t>El desacople térmico favorece el enfriamiento en plantas alpinas del complejo volcánico Nevados de Chillán.</t>
  </si>
  <si>
    <t>Mary Therese Kalin Hurley (Principal Researcher); Angela Paola Sierra Almeida (Adjunct Researcher); Loreto Vioeta Morales Orellana (Postdoctoral Fellow); Catalina Sandoval Urzúa (Undergraduate Thesis)</t>
  </si>
  <si>
    <t>17 Jul 2025, 18:20</t>
  </si>
  <si>
    <t>La exposición a la radiación UV regula el metaboloma secundario de respuesta al estrés ambiental en el musgo subantártico Polytrichum strictum</t>
  </si>
  <si>
    <t>Javier Martinez-Abaigar, Encarnación Nuñez-Oliveira, Leonardo Perez-de Souza, Alisdair Fernie</t>
  </si>
  <si>
    <t>21 Jul 2025, 16:19</t>
  </si>
  <si>
    <t>XXX Reunion Anual Sociedad de Ecologia de Chile</t>
  </si>
  <si>
    <t>Juan Carlos Aravena Donaire (Principal Researcher); Duncan Andres Christie Browne (Adjunct Researcher); Claudio Andrés Álvarez Pacheco (Postdoctoral Fellow)</t>
  </si>
  <si>
    <t>Roberto Chavez, Alvaro Gutierrez</t>
  </si>
  <si>
    <t>17 Jan 2025, 02:33</t>
  </si>
  <si>
    <t>III Congreso Internacional de REDECANEDU</t>
  </si>
  <si>
    <t>Pequeña historia de una gran RED</t>
  </si>
  <si>
    <t>31 Jul 2025, 16:43</t>
  </si>
  <si>
    <t>Congreso CIEDS+RIEDI Diálogo y diversidad Construyendo un mundo intercultural y sustentable a través de la educación</t>
  </si>
  <si>
    <t>La necesidad de repensar la sustentabilidad bajo la luz crítica intercultural para la educación en territorios en conflicto</t>
  </si>
  <si>
    <t>16 Jan 2025, 22:57</t>
  </si>
  <si>
    <t>Educación comunitaria para el fortalecimiento de la agencia en los sistemas alimentarios de Zacatlán, Puebla, México</t>
  </si>
  <si>
    <t>17 Jan 2025, 01:16</t>
  </si>
  <si>
    <t>VII Congreso de Oceanografía Física, Meteorología y Clima del Pacifico Sur Oriental</t>
  </si>
  <si>
    <t>Condiciones sinópticas asociadas a anillos de congelamiento en Araucaria araucana en la ladera occidental de la cordillera de los Andes</t>
  </si>
  <si>
    <t>Duncan Andres Christie Browne (Adjunct Researcher); Manuel José Suazo Álvarez (Master Thesis)</t>
  </si>
  <si>
    <t>Tomas Muñoz-Salazar, Carlos Lequesne, Moises Rojas-Badilla, Tania Gipoulou, Alvaro Gonzalez-Reyes, Martin Jacques-Coper, Juan Quintana</t>
  </si>
  <si>
    <t>17 Jan 2025, 02:35</t>
  </si>
  <si>
    <t>Congreso Interdisciplinario para el Desarrollo Sustentable CIEDS” – VI Congreso de Educación Intercultural de la Red Interuniversitaria de Educación Intercultural (RIEDI)</t>
  </si>
  <si>
    <t>Conservacion biocultural</t>
  </si>
  <si>
    <t>17 Jan 2025, 04:25</t>
  </si>
  <si>
    <t>Congreso Internacional de Educación Sustentabilidad e Interculturalidad</t>
  </si>
  <si>
    <t xml:space="preserve">Formación continua en docentes para el desarrollo profesional de docentes. Una revisión sistemática como aporte a la creación de una Trayectoria en educación en cambio climático  </t>
  </si>
  <si>
    <t>Andoni Patricio Arenas Martija (Adjunct Researcher)</t>
  </si>
  <si>
    <t>Daniel Llancavil</t>
  </si>
  <si>
    <t>16 Jan 2025, 22:03</t>
  </si>
  <si>
    <t>" ¿Cómo se comunican los profesores con quienes se aprende? Proyecciones para la formación inicial docente."</t>
  </si>
  <si>
    <t>16 Jan 2025, 21:57</t>
  </si>
  <si>
    <t xml:space="preserve"> VI Coloquio Internacional de Investigadores en Didáctica de la Geografía</t>
  </si>
  <si>
    <t xml:space="preserve">Diseño de una trayectoria formativa para la educación en cambio climático </t>
  </si>
  <si>
    <t>16 Jan 2025, 22:00</t>
  </si>
  <si>
    <t>VII Simposio Internacional de Encuentros etnográficos con niñas, niños, y jóvenes en contextos educativos y comunitarios diversos</t>
  </si>
  <si>
    <t>Etnografía interdisciplinaria y técnicas participativas con NNJ: Comunidades sensoriales en taller ecológico, de navegación y de historia local en maritorio yagán, Puerto Williams Chile</t>
  </si>
  <si>
    <t>Andrea Valdivia Barrios (Principal Researcher); Benjamín Pujadas (PhD Thesis)</t>
  </si>
  <si>
    <t>17 Jan 2025, 01:19</t>
  </si>
  <si>
    <t>Jorge Herrera Benavides , Daniel Núñez Ibarra, Mauricio Galleguillos Torres</t>
  </si>
  <si>
    <t>11 Aug 2025, 17:49</t>
  </si>
  <si>
    <t xml:space="preserve">Cambio climático y disrupción de ciclos ecológicos en los bosques subantárticos. </t>
  </si>
  <si>
    <t>Roberto Chávez, Álvaro Gutiérrez.</t>
  </si>
  <si>
    <t>29 Aug 2025, 12:20</t>
  </si>
  <si>
    <t>Reconstrucción de la Altitud de la Isoterma 0°C en Patagonia Norte desde el año 1141 usando anillos de árboles</t>
  </si>
  <si>
    <t>Duncan Andres Christie Browne (Adjunct Researcher); Ricardo Villalba (Other Center/Project Researcher); Manuel José Suazo Álvarez (Master Thesis)</t>
  </si>
  <si>
    <t>Alfonso Fernández, Ariel Muñoz, Alvaro Gonzales-Reyes, Martin Jacques-Coper, Martin Hadad, , Carlos LeQuesne, Ignacio Mundo</t>
  </si>
  <si>
    <t>17 Jan 2025, 02:45</t>
  </si>
  <si>
    <t>Antonia Mondion, Roberto Chavez, Moises Rojas-Badilla, Carlos LeQuesne, I Lopez, G Castro</t>
  </si>
  <si>
    <t>17 Jan 2025, 02:47</t>
  </si>
  <si>
    <t>Pamela Almonacid, Moises Rojas-Badilla, Carlos Lequesne, Tomas Muñoz-Salazar</t>
  </si>
  <si>
    <t>17 Jan 2025, 02:49</t>
  </si>
  <si>
    <t>Kevin Sharp-Riffo, Carlos LeQuesne, Moises Rojas-Badilla, Felipe Flores</t>
  </si>
  <si>
    <t>17 Jan 2025, 02:51</t>
  </si>
  <si>
    <t>Felipe Flores, Ariel Muñoz, Antonio Maldonado, Paul Szejner</t>
  </si>
  <si>
    <t>17 Jan 2025, 02:52</t>
  </si>
  <si>
    <t>Alvaro Gonzales-Reyes, Thomas Veblen, Carlos LeQuesne, Felipe Flores, Moises Rojas-Badilla, Tania Gipoulou-Zuñiga, Diego Aliste, Vicente Rozas</t>
  </si>
  <si>
    <t>17 Jan 2025, 02:55</t>
  </si>
  <si>
    <t>17 Jan 2025, 02:57</t>
  </si>
  <si>
    <t>XII Jornadas de arqueología de la Patagonia</t>
  </si>
  <si>
    <t>Nuevos antecedentes en torno a la arqueología al oeste de sierra Baguales (Chile) desde mediados del Holoceno a fines del Holoceno tardío</t>
  </si>
  <si>
    <t>Cristóbal Palacios, Fabiana Martin, Ernesto Teneb</t>
  </si>
  <si>
    <t>16 Jan 2025, 22:21</t>
  </si>
  <si>
    <t>XII Jornadas de Arqueología de Patagonia</t>
  </si>
  <si>
    <t>Nuevas dataciones radiocarbónicas para los sitios Punta Santa Ana 1 y Bahía Buena 1 : reevaluando la cronología de la ocupación costera temprana del estrecho de magallanes.</t>
  </si>
  <si>
    <t>Javiera Mardones y María José Barrientos</t>
  </si>
  <si>
    <t>16 Jan 2025, 22:28</t>
  </si>
  <si>
    <t>Más que obsidiana y hueso. Nuevas evidencias sobre la tecnología de los canoeros tempranos a partir del análisis traceológico pizzulic 2, Isla Englefield*</t>
  </si>
  <si>
    <t>Manuel Julio San Román Bontes (Adjunct Researcher)</t>
  </si>
  <si>
    <t>Consuelo Huidobro, J. Macari Correa y D. Cuenca Solana</t>
  </si>
  <si>
    <t>16 Jan 2025, 22:32</t>
  </si>
  <si>
    <t>Arqueología del archipiélago fueguino: una agenda para la última frontera</t>
  </si>
  <si>
    <t>Francisco Zangrando y Angélica Tivoli</t>
  </si>
  <si>
    <t>16 Jan 2025, 22:35</t>
  </si>
  <si>
    <t>VI CONGRESO LATINOAMERICANO DE  MASTOZOOLOGÍA 2024</t>
  </si>
  <si>
    <t>Genética, salud y conservación de félidos.</t>
  </si>
  <si>
    <t>29 Aug 2025, 08:01</t>
  </si>
  <si>
    <t>CAZADORES DEL BOSQUE COSTERO: EL SITIO PUERTO ARTURO 45, OCUPACIONES HOLOCENO TARDÍO AL CENTRO-OESTE DE TIERRA DEL FUEGO.</t>
  </si>
  <si>
    <t>ISIDORA ARANEDA, CONSUELO HUIDOBRO, CLAUDIA MANSILLA, MARIA JOSÉ BARRIENTOS, CAROLA FLORES, GIUSEPPE RIVAS</t>
  </si>
  <si>
    <t>29 Aug 2025, 11:27</t>
  </si>
  <si>
    <t>II Seminario: Prácticas y Políticas para una Educación con el Territorio</t>
  </si>
  <si>
    <t>Experiencias de educación para la conservación y educación con el territorio</t>
  </si>
  <si>
    <t>31 Jul 2025, 16:46</t>
  </si>
  <si>
    <t xml:space="preserve">VIII Coloquio Inernacional: Maestras de pueblos originarios, africanas, rurales y afordecendientes  </t>
  </si>
  <si>
    <t xml:space="preserve">Educación y territorio: Pedagogías propias en contextos interculturales y de frontera </t>
  </si>
  <si>
    <t>Juan Guillermo Mansilla Sepúlveda (Adjunct Researcher)</t>
  </si>
  <si>
    <t>31 Jul 2025, 16:39</t>
  </si>
  <si>
    <t>6tas Jornadas de Investigación. Cómo construimos conocimiento</t>
  </si>
  <si>
    <t>Re-Existencia del Pueblo Yagan de Ukika en Hupuswea. Notas para una justicia cultural.</t>
  </si>
  <si>
    <t>31 Jul 2025, 16:55</t>
  </si>
  <si>
    <t>6th Symposium Food Structure and Functionality</t>
  </si>
  <si>
    <t>Functional characterization and microstructure of fine seaweed particles and their aqueous dispersions.</t>
  </si>
  <si>
    <t>Jose Miguel Aguilera Radic (Principal Researcher)</t>
  </si>
  <si>
    <t>Leyla Covacevich</t>
  </si>
  <si>
    <t>16 Jan 2025, 22:07</t>
  </si>
  <si>
    <t>XIV Congreso Chileno de Ornitología</t>
  </si>
  <si>
    <t>Diferencias en la temporalidad e intensidad de la muda entre sexos en una población de chincoles de Chile central</t>
  </si>
  <si>
    <t>Rodrigo Alfonso Vásquez Salfate (Principal Researcher); Carlos Valeris (Postdoctoral Fellow); Pablo Andrés Cornejo Escobar (PhD Thesis); Katherine Chavez (Master Thesis)</t>
  </si>
  <si>
    <t>29 Aug 2025, 19:32</t>
  </si>
  <si>
    <t>III Congreso Chileno de Paleontología.</t>
  </si>
  <si>
    <t>Paleofuegos en Patagonia: una comparación de regímenes de fuego en Patagonia Norte y Centro durante los últimos milenios.</t>
  </si>
  <si>
    <t>01 Sep 2025, 13:21</t>
  </si>
  <si>
    <t>Environmental Effects Assessment Panel -UNEP</t>
  </si>
  <si>
    <t>2024 Update report EEAP-UNEP Montreal Protocol</t>
  </si>
  <si>
    <t>21 Jul 2025, 16:30</t>
  </si>
  <si>
    <t>Seminario Internacional sobre Humanización en Salud</t>
  </si>
  <si>
    <t>La Importancia de Una Sanlud para el Bienestar Humano y del Conjunto de los Seres Vivos</t>
  </si>
  <si>
    <t>17 Jan 2025, 04:27</t>
  </si>
  <si>
    <t>Paleofuegos en Patagonia: una comparación de regímenes de fuego en la Región de Los Lagos y la Región de Aysén del General Carlos Ibáñez del Campo durante los dos últimos milenios.</t>
  </si>
  <si>
    <t>01 Sep 2025, 13:19</t>
  </si>
  <si>
    <t>Respuestas del crecimiento radial y de la eficiencia intrínseca en el uso del agua mediante isótopos estables a factores ambientales en bosques de altura del Desierto de Atacama</t>
  </si>
  <si>
    <t>17 Jan 2025, 02:41</t>
  </si>
  <si>
    <t>17 Jan 2025, 02:43</t>
  </si>
  <si>
    <t xml:space="preserve">XXVII International Congress of Entomology </t>
  </si>
  <si>
    <t>Unravelling the invasive patterns of the exotic Antarctic fly Trichocerca maculipennis: A genetic and morphometric approach</t>
  </si>
  <si>
    <t>Tamara Andrea Contador Mejías (Principal Researcher); Hugo Alejandro Benítez de la Fuente (Adjunct Researcher); Claudia Maturana Bobadilla (Postdoctoral Fellow); Jordan Camilo Hernandez Martelo (PhD Thesis); Melisa Gañan Mora (PhD Thesis)</t>
  </si>
  <si>
    <t>Villalobos-Leiva A,  Kim S.</t>
  </si>
  <si>
    <t>01 Sep 2025, 11:23</t>
  </si>
  <si>
    <t>36th Annual ISEE Conference, “Addressing challenges in environmental health, justice, and development.</t>
  </si>
  <si>
    <t>From Bioethics to Biocultural Ethics</t>
  </si>
  <si>
    <t>17 Jan 2025, 04:30</t>
  </si>
  <si>
    <t>Habitat specificity modulates the microbial biogeographic patterns in the Southern Ocean</t>
  </si>
  <si>
    <t>Karin Françoise Gerard (Adjunct Researcher)</t>
  </si>
  <si>
    <t>Mélanie Delleuze, Guillaume Schwob, Julieta Orlando, Karin Gerard, Thomas Saucède, Paul Brickle, Elie Poulin, Lea Cabrol.</t>
  </si>
  <si>
    <t>31 Jul 2025, 00:10</t>
  </si>
  <si>
    <t>Phylogeographical patterns in Laevilacunaria antarctica (Gastropoda: Laevilitorininae) across its distribution in maritime Antarctica and South Georgia.</t>
  </si>
  <si>
    <t>Claudio González-Wevar, Yarleth Poveda, Andreas Schmider-Martínez, Sebastián Rosenfeld, Claudia Maturana, Karin Gérard, Hamish Spencer, Elie Poulin.</t>
  </si>
  <si>
    <t>31 Jul 2025, 00:13</t>
  </si>
  <si>
    <t>Revealing climate-driven adaptations, phylogeography, population structure, and phenological dynamics of Parochlus steinenii, the winged Antarctic midge in Antarctic and Sub-Antarctic ecosystems.</t>
  </si>
  <si>
    <t>Tamara Andrea Contador Mejías (Principal Researcher); Hugo Alejandro Benítez de la Fuente (Adjunct Researcher); Karin Françoise Gerard (Adjunct Researcher); Brenda Olivia Riquelme del Rio (Postdoctoral Fellow); Claudia Maturana Bobadilla (Postdoctoral Fellow); Javier Rendoll Cárcamo (PhD Thesis); Melisa Gañan Mora (PhD Thesis); Katherine Chavez (Master Thesis); Carolina Perez Troncoso (Undergraduate Thesis)</t>
  </si>
  <si>
    <t>31 Jul 2025, 00:16</t>
  </si>
  <si>
    <t>Congreso Historia 2024</t>
  </si>
  <si>
    <t>Desafíos interculturales y bioculturales en el territorio más austral del mundo: Upushwea (Puerto Williams), Chile</t>
  </si>
  <si>
    <t>31 Jul 2025, 16:41</t>
  </si>
  <si>
    <t>SCAR Open Science Conference</t>
  </si>
  <si>
    <t>A potential threat to Chile’s southernmost forest? Unprecedented leaf-miner moth (Lepidoptera: Nepticulidae) outbreak affecting deciduous Nothofagus species in the Magellanic sub-Antarctic Ecoregion</t>
  </si>
  <si>
    <t>21 Jul 2025, 15:28</t>
  </si>
  <si>
    <t>Ancient diversification in extreme environments: Exploring the historical biogeography of the Antarctic winged midge Parochlus steinenii (Diptera: Chironomidae)</t>
  </si>
  <si>
    <t>Tamara Andrea Contador Mejías (Principal Researcher); Claudia Maturana Bobadilla (Postdoctoral Fellow); Melisa Gañan Mora (PhD Thesis)</t>
  </si>
  <si>
    <t>Elie Poulin, Claudio González-Wevar, Chester Sands</t>
  </si>
  <si>
    <t>21 Jul 2025, 16:04</t>
  </si>
  <si>
    <t>Subantarctic Extreme Environments: First Database of Occurrence for the Climate Change Sentinel,Telmatogeton magellanicus</t>
  </si>
  <si>
    <t>Tamara Andrea Contador Mejías (Principal Researcher); Brenda Olivia Riquelme del Rio (Postdoctoral Fellow); Claudia Maturana Bobadilla (Postdoctoral Fellow); Javier Rendoll Cárcamo (PhD Thesis); Melisa Gañan Mora (PhD Thesis); Katherine Chavez (Master Thesis)</t>
  </si>
  <si>
    <t>Núria Bonada</t>
  </si>
  <si>
    <t>21 Jul 2025, 16:34</t>
  </si>
  <si>
    <t>Phenological Responses of Parochlus steinenii to Climate Change in Antarctic Ecosystems</t>
  </si>
  <si>
    <t>21 Jul 2025, 17:13</t>
  </si>
  <si>
    <t>"Unveiling the biodiversity of epiphytic microalgae to benthic macroalgae in sites  with and without glacial influence, Magellanic Subantarctic Ecoregion, Chile."</t>
  </si>
  <si>
    <t>Andrés Omar Mansilla Muñoz (Principal Researcher); Maximo Jorge Frangopulos Rivera (Adjunct Researcher); Johanna Marambio (Postdoctoral Fellow); Fabio Mendez Mansilla (PhD Thesis); Francisco Bahamonde Mihovilovich (PhD Thesis); Juan Pablo Rodriguez (PhD Thesis)</t>
  </si>
  <si>
    <t>Barbara Jaramillo, Zambra López</t>
  </si>
  <si>
    <t>17 Jan 2025, 01:44</t>
  </si>
  <si>
    <t>"Environmental drivers of phytoplankton distribution in Yendegaia Bay, Cape  Horn Biosphere Reserve (RBCH), Chile."</t>
  </si>
  <si>
    <t>17 Jan 2025, 01:47</t>
  </si>
  <si>
    <t>"Tracing the Origins of Antarctic Periwinkles:  A Molecular Perspective on Laevilacunaria Evolution"</t>
  </si>
  <si>
    <t>Claudia Maturana Bobadilla (Postdoctoral Fellow); Sebastian Rosenfeld Sekulovic (PhD Thesis)</t>
  </si>
  <si>
    <t>"Hamish G. Spencer, Thomas Saucède, Paul Brickle, Paula Vidal,  Moisés Valladares, Phd Elie Poulin, Claudio González-Wevar"</t>
  </si>
  <si>
    <t>17 Jan 2025, 01:50</t>
  </si>
  <si>
    <t>"Impact of the Quaternary glaciations on the population genetic diversity  of Halicarcinus planatus Fabricius, 1775 in the Magellanic Region."</t>
  </si>
  <si>
    <t>Karin Françoise Gerard (Adjunct Researcher); Jaime Andrés Ojeda Villarroel (Other Center/Project Researcher); Sebastian Rosenfeld Sekulovic (PhD Thesis)</t>
  </si>
  <si>
    <t>"Constanza Ceroni, Jean-Baptiste Ledoux, Marjorie Araya,  Zambra Lopez, Guillaume Schwob, Elie Poulin"</t>
  </si>
  <si>
    <t>17 Jan 2025, 01:52</t>
  </si>
  <si>
    <t>"Austrochlamys natans and Zygochlamys patagonica: Fate of two  Magellanic scallops in a context of climate change"</t>
  </si>
  <si>
    <t>Karin Françoise Gerard (Adjunct Researcher); Sebastian Rosenfeld Sekulovic (PhD Thesis); Karen Chaura (Undergraduate Thesis)</t>
  </si>
  <si>
    <t>Erik Daza, Zambra Lopez, Elie Poulin</t>
  </si>
  <si>
    <t>17 Jan 2025, 01:54</t>
  </si>
  <si>
    <t>"Insight into the evolutionary history of Halicarcinus planatus,  a circum-Subantarctic crab"</t>
  </si>
  <si>
    <t>"Zambra Lopez, Jean-Baptiste Ledoux, Claudio Gonzalez-Wevar,  Jonathan Waters, Paul Brickle, Elie Poulin"</t>
  </si>
  <si>
    <t>17 Jan 2025, 01:56</t>
  </si>
  <si>
    <t>"Deciphering microbial biogeography and diversification in the Southern  Ocean: Key insights from marine metaorganisms."</t>
  </si>
  <si>
    <t>"Guillaume Schwob,Mélanie Delleuze, Nicolás I. Segovia,  Claudio González-Wevar,Thomas Saucède, Paul Brickle, Elie Poulin,  Léa Cabrol, Julieta Orlando"</t>
  </si>
  <si>
    <t>17 Jan 2025, 01:58</t>
  </si>
  <si>
    <t>"Systematic Study of Nominal Species of the Genus Laevilitorina in  Antarctic Peninsula (Gastropoda:Laevilitorininae)"</t>
  </si>
  <si>
    <t>"Paula Segovia, Camila Parra, Dra. Julia Saravia, Hugo Benitez,  Elie Poulin, Claudio Gonzalez"</t>
  </si>
  <si>
    <t>17 Jan 2025, 01:59</t>
  </si>
  <si>
    <t>"Revealing unnoticed passengers: Monitoring antarctic trajectory ship  hulls as species transports and their detection by eDNA"</t>
  </si>
  <si>
    <t>Andrés Omar Mansilla Muñoz (Principal Researcher); Francisco Bahamonde Mihovilovich (PhD Thesis); Juan Pablo Rodriguez (PhD Thesis)</t>
  </si>
  <si>
    <t>"Zambra López-Farrán, Luis Miguel Pardo, Victoria Suescún,  Jorge Navarro, Leyla Cárdenas"</t>
  </si>
  <si>
    <t>17 Jan 2025, 02:01</t>
  </si>
  <si>
    <t>"New insights in the genus Devaleraea (Palmariaceae, Rhodophyta) from the  Southern Hemisphere on the basis of genomic and multilocus analyses"</t>
  </si>
  <si>
    <t>Andrés Omar Mansilla Muñoz (Principal Researcher); Karin Françoise Gerard (Adjunct Researcher); Danilo Edson Bustamante Mostajo (Other Center/Project Researcher); Martha Steffany Calderón Rios (Other Center/Project Researcher)</t>
  </si>
  <si>
    <t>17 Jan 2025, 02:04</t>
  </si>
  <si>
    <t>"Photo-physiology of the first reported bleached crustose coralline alga, Clathromorphum sp. (Hapalidiales, Rhodophyta) from Antarctica"</t>
  </si>
  <si>
    <t>Andrés Omar Mansilla Muñoz (Principal Researcher); Danilo Edson Bustamante Mostajo (Other Center/Project Researcher); Martha Steffany Calderón Rios (Other Center/Project Researcher); Johanna Marambio (Postdoctoral Fellow); Fabio Mendez Mansilla (PhD Thesis); Juan Pablo Rodriguez (PhD Thesis)</t>
  </si>
  <si>
    <t>17 Jan 2025, 02:06</t>
  </si>
  <si>
    <t xml:space="preserve">15 Years’ Presence Of The Non-Native Fly Trichocera maculipennis in Antarctica: Current Insights And Future Prospects. </t>
  </si>
  <si>
    <t>Tamara Andrea Contador Mejías (Principal Researcher); Hugo Alejandro Benítez de la Fuente (Adjunct Researcher); Peter Convey (Other Center/Project Researcher); Jordan Camilo Hernandez Martelo (PhD Thesis)</t>
  </si>
  <si>
    <t>Kim S, To?kacz K, Jabs M, Remedios de Leon M</t>
  </si>
  <si>
    <t>01 Sep 2025, 11:40</t>
  </si>
  <si>
    <t>First record of Psychoda albipennis (Zetterstedt, 1850) in King George Island: A new non-native species with high invasive potential</t>
  </si>
  <si>
    <t>Tamara Andrea Contador Mejías (Principal Researcher); Hugo Alejandro Benítez de la Fuente (Adjunct Researcher); Peter Convey (Other Center/Project Researcher); Claudia Maturana Bobadilla (Postdoctoral Fellow); Jordan Camilo Hernandez Martelo (PhD Thesis); Melisa Gañan Mora (PhD Thesis)</t>
  </si>
  <si>
    <t>, Sanghee Kim</t>
  </si>
  <si>
    <t>01 Sep 2025, 11:49</t>
  </si>
  <si>
    <t>Sentinels of Climate Change: Impacts of Invasive Species Salmonids on Subantarctic Aquatic Ecosystems in Magallanes</t>
  </si>
  <si>
    <t>Tamara Andrea Contador Mejías (Principal Researcher); Hugo Alejandro Benítez de la Fuente (Adjunct Researcher); Brenda Olivia Riquelme del Río (Adjunct Researcher); Javier Rendoll Cárcamo (Postdoctoral Fellow); Melisa Gañan Mora (PhD Thesis); Katherine Chavez (Master Thesis)</t>
  </si>
  <si>
    <t>Chris Harrod</t>
  </si>
  <si>
    <t>01 Sep 2025, 11:56</t>
  </si>
  <si>
    <t>An outsider on the Antarctic Peninsula: A new record of the non-native moth Plodia interpunctella (Lepidoptera: Pyralidae)</t>
  </si>
  <si>
    <t>Tamara Andrea Contador Mejías (Principal Researcher); Hugo Alejandro Benítez de la Fuente (Adjunct Researcher); Peter Convey (Other Center/Project Researcher); Claudia Maturana Bobadilla (Postdoctoral Fellow); Jordan Camilo Hernandez Martelo (PhD Thesis)</t>
  </si>
  <si>
    <t>Carla Ximena Salinas, Sanghee Kim, Lorena Rebolledo, Paulo Camargo, Vinicius Ferreira, Isabel Lobos, Alejandro Piñeiro</t>
  </si>
  <si>
    <t>01 Sep 2025, 12:00</t>
  </si>
  <si>
    <t>Trichocera maculipennis: new findings on its invasion into natural ecosystems in South America and Antarctica</t>
  </si>
  <si>
    <t>Tamara Andrea Contador Mejías (Principal Researcher); Hugo Alejandro Benítez de la Fuente (Adjunct Researcher); Peter Convey (Other Center/Project Researcher); Claudia Maturana Bobadilla (Postdoctoral Fellow); Javier Rendoll Cárcamo (Postdoctoral Fellow); Melisa Gañan Mora (PhD Thesis); Katherine Chavez (Master Thesis)</t>
  </si>
  <si>
    <t>Sanghee Kim, Ewa Krzeminska</t>
  </si>
  <si>
    <t>01 Sep 2025, 12:05</t>
  </si>
  <si>
    <t>. Unveiling the shape of Austral Ocean: Morphogeometric analysis of three sea urchin species of the Abatus genus</t>
  </si>
  <si>
    <t>Fernando Moya, Élie Poulin</t>
  </si>
  <si>
    <t>01 Sep 2025, 12:08</t>
  </si>
  <si>
    <t>Biogeographical patterns in Eatoniella (Caenogastropoda: Eatoniellidae) across different provinces of the Southern Ocean</t>
  </si>
  <si>
    <t xml:space="preserve">Maximiliano Martínez, Felipe Martínez, Claudio Gonzáles-Wevar, Elie Poulin, </t>
  </si>
  <si>
    <t>01 Sep 2025, 12:10</t>
  </si>
  <si>
    <t>9th International Woodpecker Conference</t>
  </si>
  <si>
    <t>The Magellanic Woodpecker’s role in its assemblage: a case study of cavity provisioning and habitat selection in the world’s southernmost forests</t>
  </si>
  <si>
    <t>Amy Lynn Wynia (Other Center/Project Researcher)</t>
  </si>
  <si>
    <t>16 Jan 2025, 22:54</t>
  </si>
  <si>
    <t>The 25 World Congress of Philosophy</t>
  </si>
  <si>
    <t>Field Environmental Philosophy for A More Inclusive Biocultural Conservation</t>
  </si>
  <si>
    <t>Ricardo Rozzi (Director); Danquiong Zhu (Other Center/Project Researcher)</t>
  </si>
  <si>
    <t>16 Jan 2025, 23:01</t>
  </si>
  <si>
    <t>25th World Congress of Philosophy, “Philosophy across Boundaries”</t>
  </si>
  <si>
    <t>“Face to face” encounters among human and other-than-human co-inhabitants: The Biocultural Ethics and Edcation Program of the Omora Ethnobotanical Park Chile</t>
  </si>
  <si>
    <t>17 Jan 2025, 04:34</t>
  </si>
  <si>
    <t>Art of metaphorical communication and boundary-crossing in field environmental philosophy</t>
  </si>
  <si>
    <t>Tsuji, R</t>
  </si>
  <si>
    <t>17 Jan 2025, 04:37</t>
  </si>
  <si>
    <t xml:space="preserve"> IV Coloquio de la Sociedad Chilena de Socioecología y Etnoecología (SOSOET) «Coexistencia y Reciprocidad»</t>
  </si>
  <si>
    <t>José Tomás Ibarra Eliessetch (Principal Researcher); Josefina Cortés (PhD Thesis); Julián Caviedes  (PhD Thesis); María Guadalupe Barrera (PhD Thesis); Francisca Santana (Master Thesis); Santiago Kaulen (Master Thesis)</t>
  </si>
  <si>
    <t>29 Aug 2025, 11:02</t>
  </si>
  <si>
    <t>IV Coloquio de la Sociedad Chilena de Socioecología y Etnoecología (SOSOET) «Coexistencia y Reciprocidad»</t>
  </si>
  <si>
    <t>29 Aug 2025, 11:08</t>
  </si>
  <si>
    <t>3rd Joint Meeting on Evolutionary Biology</t>
  </si>
  <si>
    <t xml:space="preserve">Optimizing Phenotype for a Better Fly: Unraveling Adaptive Patterns in the Alien Antarctic Fly Trichocera maculipennis through Genetic and Morphometric Analysis. </t>
  </si>
  <si>
    <t>Katarzyna To?kacz, Sanghee Kim, Mónica Remedios-De León, Peter Convey</t>
  </si>
  <si>
    <t>30 Aug 2024, 14:26</t>
  </si>
  <si>
    <t>Seasonal shifts in moss secondary metabolome and phenology in response to altitude</t>
  </si>
  <si>
    <t>21 Jul 2025, 16:22</t>
  </si>
  <si>
    <t>Are mosses from subAntarctic areas affected by the “ozone hole” more tolerant to ultraviolet-B radiation?.</t>
  </si>
  <si>
    <t>Javier Martinez-Abaigar, Encarnación Nuñez-Oliveira, Leonardo Perez-de Souza, Alisdair Fernie, Bernard Goffinet, Liu Yang</t>
  </si>
  <si>
    <t>21 Jul 2025, 16:24</t>
  </si>
  <si>
    <t>Multidisciplinary research of the cryptogamic diversity in Chile’s southernmost natural laborator</t>
  </si>
  <si>
    <t>Roy Mackenzie Calderón (Adjunct Researcher); Laura Sánchez-Jardón (Adjunct Researcher); Sebastián Zambrano (Master Thesis); Lucas Oyarzún Contreras (Undergraduate Thesis)</t>
  </si>
  <si>
    <t>Ojeda-Vásquez F, McCool M, Lemas M</t>
  </si>
  <si>
    <t>21 Jul 2025, 16:27</t>
  </si>
  <si>
    <t>International Possibilities Conference</t>
  </si>
  <si>
    <t>Sustainable Development Pathways in Protected Area Buffer Zones of Chilean Patagonia</t>
  </si>
  <si>
    <t>29 Aug 2025, 17:18</t>
  </si>
  <si>
    <t>Seminar Seaweed: Science and Gastronomy</t>
  </si>
  <si>
    <t>Seaweed science and food applications in Chile</t>
  </si>
  <si>
    <t>16 Jan 2025, 22:10</t>
  </si>
  <si>
    <t>ACUIALGAS «Estado y Perspectivas del Cultivo de Macroalgas en América Latina»</t>
  </si>
  <si>
    <t>Participación encuentro regional</t>
  </si>
  <si>
    <t>Marcela del Pilar Avila Lagos (Adjunct Researcher)</t>
  </si>
  <si>
    <t>28 Aug 2024, 15:25</t>
  </si>
  <si>
    <t>XVII Congreso Nacional y IV Internacional de Historia con enfoques críticos de descolonización 2024</t>
  </si>
  <si>
    <t xml:space="preserve">Ontologías conflictivas e injusticias epistemáticas en paisajes lingüísticos de los territorios indígenas sudaméricanos. El caso de Wulaia y la casi extinción del pueblo Yagán </t>
  </si>
  <si>
    <t>28 Aug 2024, 15:00</t>
  </si>
  <si>
    <t>11a ICAZ Bird Working Group</t>
  </si>
  <si>
    <t>Exploitation of Avifauna and Strategies for the use of space and mobility circuits of marine hunter-gatherers groups from Otway sound, Patagonia, Chile</t>
  </si>
  <si>
    <t>María José Barrientos</t>
  </si>
  <si>
    <t>16 Jan 2025, 22:40</t>
  </si>
  <si>
    <t>TRACE 2024 Tree Rings in Archaeology, Climatology and Ecology</t>
  </si>
  <si>
    <t>Growth patterns of the southernmost conifer, Pilgerodendron uviferum, in Patagonia</t>
  </si>
  <si>
    <t>Juan Carlos Aravena Donaire (Principal Researcher); Ricardo Villalba (Other Center/Project Researcher); Isabella Aguilera-Betti (PhD Thesis); Catalina Fernández García (Master Thesis)</t>
  </si>
  <si>
    <t>Christian Bringas</t>
  </si>
  <si>
    <t>21 Jul 2025, 13:06</t>
  </si>
  <si>
    <t>V Congreso Internacional sobre Liderazgo y Mejora de la Educación</t>
  </si>
  <si>
    <t>12 Aug 2024, 17:26</t>
  </si>
  <si>
    <t xml:space="preserve">Efectos de la heterogeneidad ambiental en la estructura poblacional de Macrocystis pyrifera en la ecorregión subantártica de Magallanes, Chile. </t>
  </si>
  <si>
    <t>Andrés Omar Mansilla Muñoz (Principal Researcher); Marcela del Pilar Avila Lagos (Adjunct Researcher); Johanna Marambio (Postdoctoral Fellow); Fabio Mendez Mansilla (PhD Thesis); Francisco Bahamonde Mihovilovich (PhD Thesis); Juan Pablo Rodriguez (PhD Thesis)</t>
  </si>
  <si>
    <t>07 Aug 2024, 14:05</t>
  </si>
  <si>
    <t>Rol ecológico de Macrocystis pyrifera: especie fundacional de la biodiversidad marina en la ecorregión subantártica de Magallanes, Chile</t>
  </si>
  <si>
    <t>Julián Cáceres, Ricardo Riquelme, Cristina Gamín</t>
  </si>
  <si>
    <t>07 Aug 2024, 14:16</t>
  </si>
  <si>
    <t>VI Congreso SOCHICRI 2024</t>
  </si>
  <si>
    <t>Estimación preliminar de tasas históricas de meteorización basadas en mediciones de martillo Schmidt de un área recientemente descubierta del glaciar Grey, Patagonia sur (~51oS).</t>
  </si>
  <si>
    <t>Juan Carlos Aravena Donaire (Principal Researcher); Esteban Andrés Sagredo Tapia (Adjunct Researcher); Rodrigo Soteres García (Postdoctoral Fellow)</t>
  </si>
  <si>
    <t>Rosa M. Carrasco (U. Castilla-La Mancha), Camilo Rada (UMAG), Paulina Cifuentes (U of Bristol), Lucía Guerra (U.Nac. Córdoba), Fabián M. Riquelme (PUC), Rodrigo I. Hevia (PUC), Matea A. Martini (U.Nac. Córdoba), Javier Pedraza(PUC), Michael R. Kaplan (Col</t>
  </si>
  <si>
    <t>19 Aug 2024, 22:05</t>
  </si>
  <si>
    <t>International Congress of Internationalization and Teacher Training: Chanlenges and Perspectives</t>
  </si>
  <si>
    <t>Formación docente en Chile</t>
  </si>
  <si>
    <t>12 Aug 2024, 17:23</t>
  </si>
  <si>
    <t xml:space="preserve"> Integrating biocultural functional traits as heritage Indicators in community-led wetland conservation of southern Chile. </t>
  </si>
  <si>
    <t>Paola Araneda, Cristóbal Pizarro</t>
  </si>
  <si>
    <t>19 Aug 2024, 00:35</t>
  </si>
  <si>
    <t xml:space="preserve">Transdisciplinary as a participatory approach to face the social-environmental crises of family farming. </t>
  </si>
  <si>
    <t>Francisca Santana, Constanza Monterrubio-Solís, Josefina Cortés, Paolo Perasso, Lorena Vieli, Gonzalo Valdivieso</t>
  </si>
  <si>
    <t>19 Aug 2024, 00:40</t>
  </si>
  <si>
    <t xml:space="preserve">Indigenous and local knowledge of social-ecological changes is positively associated with livelihood resilience in a Globally Important Agricultural Heritage System. </t>
  </si>
  <si>
    <t xml:space="preserve">Julián Caviedes, Laura Calvet-Mir, S. </t>
  </si>
  <si>
    <t>19 Aug 2024, 00:42</t>
  </si>
  <si>
    <t>Segunda Conferencia Internacional CHIC "Desde la homogeneización biocultural, hacia la conservación biocultural"</t>
  </si>
  <si>
    <t>Impacto de la colonización chileno-europea en el paisaje de Isla Navarino</t>
  </si>
  <si>
    <t>Rodrigo Patricio Villa Martinez (Adjunct Researcher); Carla Henríquez Velásquez (Postdoctoral Fellow)</t>
  </si>
  <si>
    <t>19 Aug 2024, 22:00</t>
  </si>
  <si>
    <t> CO-LAB PATRIMONIOS BIOCULTURALES, experiencias y formación en investigación transdisciplinaria</t>
  </si>
  <si>
    <t>Riquelme, A.; Oyarzun, P.; Figueroa, V.; Cáceres, M.; Zegers, A.</t>
  </si>
  <si>
    <t>19 Aug 2024, 23:27</t>
  </si>
  <si>
    <t>Percepciones sensoriales de niños y niñas sobre sus paisajes  bioculturales en actividades educativas. Etnografía en maritorio yagán,  Puerto Williams</t>
  </si>
  <si>
    <t>12 Aug 2024, 17:28</t>
  </si>
  <si>
    <t>“Bichos: ¿Co-habitante o molestia? Conocimientos y percepción sobre insectos de niños y niñas de la Escuela de Puerto Williams”,</t>
  </si>
  <si>
    <t>12 Aug 2024, 17:31</t>
  </si>
  <si>
    <t>Educar con el territorio</t>
  </si>
  <si>
    <t>Andrea Valdivia Barrios (Principal Researcher)</t>
  </si>
  <si>
    <t>12 Aug 2024, 17:32</t>
  </si>
  <si>
    <t xml:space="preserve">“Flora vascular exótica en Chile subantártico: amenazas a la biodiversidad en el laboratorio natural más austral” </t>
  </si>
  <si>
    <t>Durán M., Squeo F., Caviness T</t>
  </si>
  <si>
    <t>28 Aug 2024, 15:59</t>
  </si>
  <si>
    <t>Una mirada a los roedores de la Reserva de la Biosfera Cabo de Hornos y sus implicaciones para la epidemiología ecológica</t>
  </si>
  <si>
    <t>Ricardo Rozzi (Director); Rodrigo Alfonso Vásquez Salfate (Principal Researcher); Carola Patricia Cañón Valenzuela (Postdoctoral Fellow); Fernando Javier Novoa Galaz (PhD Thesis)</t>
  </si>
  <si>
    <t>28 Aug 2024, 16:02</t>
  </si>
  <si>
    <t>Impacto del ganado sobre una pradera subantártica, Isla Navarino: una aproximación experimental</t>
  </si>
  <si>
    <t>Elke Schüttler (Principal Researcher); Roy Mackenzie Calderón (Adjunct Researcher); RAMIRO OSCIEL BUSTAMANTE ARAYA (Adjunct Researcher); Laura Sánchez-Jardón (Adjunct Researcher); Pamela Constanza Zúñiga Cancino (Master Thesis)</t>
  </si>
  <si>
    <t>E. Goncalves</t>
  </si>
  <si>
    <t>Variación microclimática de los Bosques subantárticos en Isla Navarino”: implicancias sobre su invasibilidad</t>
  </si>
  <si>
    <t>Migración del Fío-Fío (Elaenia albiceps chilensis) y Chincol (Zonotrichia capensis australis): posibles implicancias en la ecología de enfermedades</t>
  </si>
  <si>
    <t>Ricardo Rozzi (Director); Rodrigo Alfonso Vásquez Salfate (Principal Researcher); Juan Ignacio Rivero de Aguilar Cachafeiro (Adjunct Researcher); Carlos Valeris (Postdoctoral Fellow); Erik Sandvig Coleman (Postdoctoral Fellow); Rocío Jara (Postdoctoral Fellow)</t>
  </si>
  <si>
    <t>Lisovski, S., Wingfield, J., Ramenofsky, M., Barroso, O</t>
  </si>
  <si>
    <t>28 Aug 2024, 16:12</t>
  </si>
  <si>
    <t>Desentrañando las complejidades de las Floraciones Algales Nocivas en fiordos y canales patagónicos: Síntesis de datos históricos e investigación contemporánea.</t>
  </si>
  <si>
    <t>Andrés Omar Mansilla Muñoz (Principal Researcher); Maximo Jorge Frangopulos Rivera (Adjunct Researcher); Francisco Bahamonde Mihovilovich (PhD Thesis)</t>
  </si>
  <si>
    <t>Gemita Pizarro, Vanessa Monge, Rodrigo Torres, they are also CHIC</t>
  </si>
  <si>
    <t>06 Aug 2024, 17:13</t>
  </si>
  <si>
    <t>Hacia una transición justa en la Región de Magallanes y Antártica Chilena: Imaginarios de transición ante la emergente industria del Hidrógeno Verde</t>
  </si>
  <si>
    <t>Camila Albornoz (Master Thesis)</t>
  </si>
  <si>
    <t>28 Aug 2024, 16:14</t>
  </si>
  <si>
    <t>Centinelas marinos de la Homogeneización Biocultural: desde los bosques de kelp a microbiomas en la ecorregión subantártica de Magallanes.</t>
  </si>
  <si>
    <t>Andrés Omar Mansilla Muñoz (Principal Researcher); Marcela del Pilar Avila Lagos (Adjunct Researcher); Maximo Jorge Frangopulos Rivera (Adjunct Researcher); Karin Françoise Gerard (Adjunct Researcher); Jaime Andrés Ojeda Villarroel (Other Center/Project Researcher); Flavio Berchez (Other Center/Project Researcher); Danilo Edson Bustamante Mostajo (Other Center/Project Researcher); Martha Steffany Calderón Rios (Other Center/Project Researcher); Johanna Marambio (Postdoctoral Fellow); Fabio Mendez Mansilla (PhD Thesis); Francisco Bahamonde Mihovilovich (PhD Thesis); Juan Pablo Rodriguez (PhD Thesis); Sebastian Rosenfeld Sekulovic (PhD Thesis)</t>
  </si>
  <si>
    <t>06 Aug 2024, 17:44</t>
  </si>
  <si>
    <t>Diversidad conocida del Reino Fungi en la región subantártica de Magallanes: oportunidad para la educación biocultural</t>
  </si>
  <si>
    <t>Francisca Coloma</t>
  </si>
  <si>
    <t>28 Aug 2024, 16:16</t>
  </si>
  <si>
    <t>Two lenses for exploring relationships between seabirds and fishers: Unveiling reciprocal contributions</t>
  </si>
  <si>
    <t>Flavia Morello Repetto (Principal Researcher); Jaime Andrés Ojeda Villarroel (Other Center/Project Researcher)</t>
  </si>
  <si>
    <t>Suazo C. G., Astorga-España M. S., Salomon A.K. &amp; N. C. Ban</t>
  </si>
  <si>
    <t>28 Aug 2024, 16:20</t>
  </si>
  <si>
    <t>Monitoreo de la malaria aviar en Cabo de Hornos: desafíos y oportunidades</t>
  </si>
  <si>
    <t>Juan Ignacio Rivero de Aguilar Cachafeiro (Adjunct Researcher)</t>
  </si>
  <si>
    <t>28 Aug 2024, 16:26</t>
  </si>
  <si>
    <t>¡La ciencia es divertida! Un calendario basado en evidencia sobre la interacción de nuestras mascotas con la naturaleza</t>
  </si>
  <si>
    <t>Elke Schüttler (Principal Researcher)</t>
  </si>
  <si>
    <t>28 Aug 2024, 16:33</t>
  </si>
  <si>
    <t>¿Doméstico o bagual? Conceptualización de Perros de libre movimiento en una isla subantártica, Chile.</t>
  </si>
  <si>
    <t>Patricio Perez (Master Thesis)</t>
  </si>
  <si>
    <t>28 Aug 2024, 16:37</t>
  </si>
  <si>
    <t>Análisis poblacional de las aves del bosque subantártico: el uso de la estocasticidad ambiental para estudiar su viabilidad poblacional</t>
  </si>
  <si>
    <t>Nicolás Fabián Zúñiga Molina (Master Thesis)</t>
  </si>
  <si>
    <t>28 Aug 2024, 16:40</t>
  </si>
  <si>
    <t>Respuesta adaptativa en aves nidificantes tras dos décadas de invasión del visón (Neogale vison) en el Sur de Chile</t>
  </si>
  <si>
    <t>Valeria Gómez (Master Thesis)</t>
  </si>
  <si>
    <t>28 Aug 2024, 16:42</t>
  </si>
  <si>
    <t>Homogeneización de los bosques submarinos subantárticos: una mirada ante el cambio climático.</t>
  </si>
  <si>
    <t>Andrés Omar Mansilla Muñoz (Principal Researcher); Marcela del Pilar Avila Lagos (Adjunct Researcher); Jaime Andrés Ojeda Villarroel (Other Center/Project Researcher); Johanna Marambio (Postdoctoral Fellow); Fabio Mendez Mansilla (PhD Thesis); Francisco Bahamonde Mihovilovich (PhD Thesis); Juan Pablo Rodriguez (PhD Thesis); Sebastian Rosenfeld Sekulovic (PhD Thesis)</t>
  </si>
  <si>
    <t xml:space="preserve"> Kai Bischof</t>
  </si>
  <si>
    <t>07 Aug 2024, 13:46</t>
  </si>
  <si>
    <t>Conectando la salud ecosistémica marina con la biomedicina para abordar enfermedades prevalentes de la población en la Ecorregión Subantártica de Magallanes.</t>
  </si>
  <si>
    <t>Andrés Omar Mansilla Muñoz (Principal Researcher); Maximo Jorge Frangopulos Rivera (Adjunct Researcher); Fabio Mendez Mansilla (PhD Thesis)</t>
  </si>
  <si>
    <t>Nibaldo Inestrosa</t>
  </si>
  <si>
    <t>07 Aug 2024, 13:48</t>
  </si>
  <si>
    <t>Macroalgas Marinas de la RBCH: El Papel del Nuevo Herbario de Criptógamas Subantárticas (HCS) UMAG-CHIC, Chile, en la Conservación Biocultural.</t>
  </si>
  <si>
    <t>Ricardo Rozzi (Director); Andrés Omar Mansilla Muñoz (Principal Researcher); Laura Sánchez-Jardón (Adjunct Researcher); Danilo Edson Bustamante Mostajo (Other Center/Project Researcher); Martha Steffany Calderón Rios (Other Center/Project Researcher); Johanna Marambio (Postdoctoral Fellow); Francisco Bahamonde Mihovilovich (PhD Thesis); Juan Pablo Rodriguez (PhD Thesis)</t>
  </si>
  <si>
    <t>07 Aug 2024, 13:55</t>
  </si>
  <si>
    <t>Floraciones de algas nocivas en sistemas bentónicos: avances recientes e investigaciones futuras en la ecorregión subantártica de magallanes.</t>
  </si>
  <si>
    <t>07 Aug 2024, 13:58</t>
  </si>
  <si>
    <t>Un paisaje de nostalgia y belleza silvestre: sobre los procesos conservación biocultural de productos agroalimentarios en el sur de Chile.</t>
  </si>
  <si>
    <t>Ángela Hernández</t>
  </si>
  <si>
    <t>19 Aug 2024, 00:45</t>
  </si>
  <si>
    <t xml:space="preserve"> Redes socio-ecológicas en la agricultura: enfrentando la homogenización biocultural en el sur de Los Andes.</t>
  </si>
  <si>
    <t>José Tomás Ibarra Eliessetch (Principal Researcher); María Guadalupe Barrera (PhD Thesis)</t>
  </si>
  <si>
    <t>19 Aug 2024, 00:47</t>
  </si>
  <si>
    <t>Encuentro IEB</t>
  </si>
  <si>
    <t>La Regla de Rapoport y su relación con los nichos climáticos en la flora de la Provincia Altoandina del Cono Su</t>
  </si>
  <si>
    <t>Mary Therese Kalin Hurley (Principal Researcher); Luis Felipe Hinojosa Opazo (Adjunct Researcher); Luis Retamal (Undergraduate Thesis)</t>
  </si>
  <si>
    <t>19 Aug 2024, 20:15</t>
  </si>
  <si>
    <t>Ajuste fenológico y reducción de requerimientos energéticos de Phacelia secunda en un gradiente altitudinaltamb</t>
  </si>
  <si>
    <t>Mary Therese Kalin Hurley (Principal Researcher); Italo Tamburrino Widner (PhD Thesis); Alvaro Aguayo Curilen (Undergraduate Thesis); Valentina Aedo Muñoz (Undergraduate Thesis)</t>
  </si>
  <si>
    <t>Saavedra, A., Madrid, G</t>
  </si>
  <si>
    <t>19 Aug 2024, 20:18</t>
  </si>
  <si>
    <t>Seminario Institucionalidad y territorio chileno antártico, oportunidades y desafíos</t>
  </si>
  <si>
    <t>“Puerto Williams y el Centro Internacional Cabo de Hornos: Plataforma clave para la investigación en la capital de la Provincia Antártica Chilena”</t>
  </si>
  <si>
    <t>30 Aug 2024, 11:40</t>
  </si>
  <si>
    <t>Coloquio Habitabilidad II</t>
  </si>
  <si>
    <t>Los humanos son hummus: La ecoteología de Leonardo Boff y la Ética Biocultural</t>
  </si>
  <si>
    <t>30 Aug 2024, 11:35</t>
  </si>
  <si>
    <t>Filosofía ambiental de campo: conceptos y prácticas para resolver la ceguera de la sociedad global sobre la diversidad biológica y cultural</t>
  </si>
  <si>
    <t>30 Aug 2024, 12:12</t>
  </si>
  <si>
    <t>“Face to face” encounters among human and other-than-human co-inhabitants: concepts and practices for a biocultural ethics</t>
  </si>
  <si>
    <t>30 Aug 2024, 12:17</t>
  </si>
  <si>
    <t xml:space="preserve">Right or good? A complexity approach for a just food system. </t>
  </si>
  <si>
    <t>Caterina Rondoni, Gonzalo Valdivieso</t>
  </si>
  <si>
    <t>19 Aug 2024, 00:53</t>
  </si>
  <si>
    <t>Seminario Paradigma Tecnocrático: Un discernimiento a partir de la ecología integral</t>
  </si>
  <si>
    <t>Los humanos son hummus: la Ética Biocultural y La ecoteología de Leonardo Boff</t>
  </si>
  <si>
    <t>30 Aug 2024, 11:43</t>
  </si>
  <si>
    <t>Seminario Internacional Antropología y Ecología</t>
  </si>
  <si>
    <t>Antropocentrismo y chovinismo taxonómico: ¡no más!”</t>
  </si>
  <si>
    <t>30 Aug 2024, 11:47</t>
  </si>
  <si>
    <t>Invited speaker at École des Hautes Études en Sciences Sociales (EHESS)</t>
  </si>
  <si>
    <t>Biocultural Homogenization: a wicked problem in the Anthropocene</t>
  </si>
  <si>
    <t>30 Aug 2024, 11:50</t>
  </si>
  <si>
    <t xml:space="preserve">Anthropocentrism and taxonomic chauvinism: Never again!” </t>
  </si>
  <si>
    <t>30 Aug 2024, 11:53</t>
  </si>
  <si>
    <t xml:space="preserve">“The Pluriverse of Ecotourism with a Hand-Lens.” </t>
  </si>
  <si>
    <t>30 Aug 2024, 11:57</t>
  </si>
  <si>
    <t xml:space="preserve">“From Bioethics to Biocultural Ethics.” </t>
  </si>
  <si>
    <t>30 Aug 2024, 11:59</t>
  </si>
  <si>
    <t>Seminario: La Antártica y el Centro Internacional Cabo de Hornos, centinelas del cambio climático global</t>
  </si>
  <si>
    <t>La Antártica y el Centro Internacional Cabo de Hornos, centinelas del cambio climático global</t>
  </si>
  <si>
    <t>30 Aug 2024, 12:07</t>
  </si>
  <si>
    <t>FB210021</t>
  </si>
  <si>
    <t>Gonzalo Saldías Yau (Principal Researcher); Iván Ernesto Pérez Santos (Adjunct Researcher); Pamela Karina Muñoz Linford (Postdoctoral Fellow)</t>
  </si>
  <si>
    <t>L1. Oceanic and atmospheric forcings; L2. Evolving coastal ecosystems</t>
  </si>
  <si>
    <t>Pamela Karina Muñoz Linford (Postdoctoral Fellow)</t>
  </si>
  <si>
    <t>L2. Evolving coastal ecosystems</t>
  </si>
  <si>
    <t>L1. Oceanic and atmospheric forcings</t>
  </si>
  <si>
    <t>Odette Alejandra Vergara Soto (Adjunct Researcher)</t>
  </si>
  <si>
    <t>camila del pilar fernandez ibanez (Director)</t>
  </si>
  <si>
    <t>L1. Oceanic and atmospheric forcings; L2. Evolving coastal ecosystems; L3. Coastal Biogeochemistry; L4. Fisheries Sustainability and Conservation</t>
  </si>
  <si>
    <t>L4. Fisheries Sustainability and Conservation</t>
  </si>
  <si>
    <t>Paul Gregorio Gómez Canchong (Other Center/Project Researcher)</t>
  </si>
  <si>
    <t>Allisson Patsy Astuya Villalón (Principal Researcher)</t>
  </si>
  <si>
    <t>L2. Evolving coastal ecosystems; L3. Coastal Biogeochemistry</t>
  </si>
  <si>
    <t>Sergio Andres Navarrete Campos (Adjunct Researcher)</t>
  </si>
  <si>
    <t>L3. Coastal Biogeochemistry</t>
  </si>
  <si>
    <t>Curso de Capacitación</t>
  </si>
  <si>
    <t>Luis Francisco Bedriñana Romano (Adjunct Researcher)</t>
  </si>
  <si>
    <t>Catharina Alves de Souza (Principal Researcher)</t>
  </si>
  <si>
    <t>Luis Antonio Cubillos Santander (Adjunct Researcher); Gabriela Torretti Cortés (Master Thesis)</t>
  </si>
  <si>
    <t>Gonzalo Saldías Yau (Principal Researcher)</t>
  </si>
  <si>
    <t>L1. Oceanic and atmospheric forcings; L4. Fisheries Sustainability and Conservation</t>
  </si>
  <si>
    <t>Diego Alonso Narváez Rodríguez (Principal Researcher)</t>
  </si>
  <si>
    <t>Veronica Andrea Molina Trincado (Principal Researcher); Stephanny Victoria Curaz Leiva  (PhD Thesis)</t>
  </si>
  <si>
    <t>Allisson Patsy Astuya Villalón (Principal Researcher); Alexander Fabricio Brevis Valdebenito (PhD Thesis)</t>
  </si>
  <si>
    <t>Susannah Janet Buchan (Principal Researcher)</t>
  </si>
  <si>
    <t>Marcus Alfonso Sobarzo Bustamante (Principal Researcher)</t>
  </si>
  <si>
    <t>Leonardo Castro Cifuentes (Principal Researcher); Diego Alonso Narváez Rodríguez (Principal Researcher); Gonzalo Saldías Yau (Principal Researcher); Valentina Paz Valdés Castro (Adjunct Researcher); Iván Ernesto Pérez Santos (Adjunct Researcher); Pamela Karina Muñoz Linford (Postdoctoral Fellow); Roxana Paola León Lazo (PhD Thesis)</t>
  </si>
  <si>
    <t>Boris DEWITTE (Adjunct Researcher)</t>
  </si>
  <si>
    <t>Vincent Echevin, Lab. LOCEAN, Institut Pierre-Simon Laplace, IPSL; IRD, CNRS/UPMC/MNHN, France</t>
  </si>
  <si>
    <t>Apertura ecológica de barras en desembocaduras: desafíos para la gestión integrada de la zona costera</t>
  </si>
  <si>
    <t>Interacciones cuenca-océano: el caso del río Maipo</t>
  </si>
  <si>
    <t>Carolina Martínez, Dir. Centro UC Observatorio de la Costa, CIGIDEN, Milenio SECOS, Raúl Flores, Dir. Dpto. obras civiles UTFSM, CIGIDEN, Mauricio Villagrán , Univ. Catolica de la Santísima Concepción, Milenio SECOS, Paola Peña, SERNAGEOMIN</t>
  </si>
  <si>
    <t>04 Dec 2024, 16:49</t>
  </si>
  <si>
    <t>IV Encuentro Nacional de Profesionales de la Comunicación y Divulgación en Ciencia, Tecnología, Conocimiento e Innovación. Transformando la sociedad y el conocimiento desde la comunicación científica</t>
  </si>
  <si>
    <t>Tejiendo redes entre ciencia y turismo: Una experiencia en Caleta Tortel</t>
  </si>
  <si>
    <t>Silvio César Pantoja Gutiérrez (Principal Researcher); Mitzi  Mireya Acevedo Ejzman (Other Center/Project Researcher); Paul Gregorio Gómez Canchong (Other Center/Project Researcher); Camila Eugenia Calderón Quirgas (Master Thesis)</t>
  </si>
  <si>
    <t>Participan el profesional:_x000D_
Rodrigo Mansilla</t>
  </si>
  <si>
    <t>09 Oct 2024, 17:04</t>
  </si>
  <si>
    <t>Sembrando Cultura Oceánica: cada audiencia es un mundo</t>
  </si>
  <si>
    <t>Participa:_x000D_
Celeste Burgos Badal</t>
  </si>
  <si>
    <t>09 Oct 2024, 17:08</t>
  </si>
  <si>
    <t>Cultura Oceánica: un desafío comunicativo para el siglo XXI</t>
  </si>
  <si>
    <t>Carolina Zagal, Moisés Gallo, Fundación Oceanósfera, Grupo trabajo Cultura Oceánica del CONA</t>
  </si>
  <si>
    <t>Modalidad: Mesas de Dialogo "Interdisciplina, comunicación de la ciencia, salud y medio ambiente, políticas públicas".</t>
  </si>
  <si>
    <t>10 Oct 2024, 16:04</t>
  </si>
  <si>
    <t>Digitalización de zooplancton en Latinoamérica: Una nueva mirada a los 60 años de zooplancton en Chile</t>
  </si>
  <si>
    <t>Avances en sistemas de observación para la detección in situ y continua de fitoplancton</t>
  </si>
  <si>
    <t>24 Mar 2025, 18:08</t>
  </si>
  <si>
    <t>Digitalizando eufáusidos para estudiar la variabilidad temporal en la biomasa y estructura de tallas del krill de Humboldt.</t>
  </si>
  <si>
    <t>Macarena Paz Díaz Astudillo (Postdoctoral Fellow)</t>
  </si>
  <si>
    <t>L1. Oceanic and atmospheric forcings; L3. Coastal Biogeochemistry</t>
  </si>
  <si>
    <t>Organizado por IFOP._x000D_
Profundizar y estimular la investigación,  Capacitación y difusión en el ámbito del análisis automático de zooplancton.</t>
  </si>
  <si>
    <t>12 Dec 2024, 17:42</t>
  </si>
  <si>
    <t>Encuentro de Jóvenes ConCiencia 2024, ANID</t>
  </si>
  <si>
    <t>Temática de Datos Abiertos y su rol en la investigación científica</t>
  </si>
  <si>
    <t>Cristóbal Ignacio Castillo Ilabaca (PhD Thesis)</t>
  </si>
  <si>
    <t>11 Mar 2025, 18:31</t>
  </si>
  <si>
    <t>ODS + CIENCIA</t>
  </si>
  <si>
    <t>Eventos extremos y efectos del cambio climático en el océano costero de Chile centro-sur</t>
  </si>
  <si>
    <t>04 Dec 2024, 16:54</t>
  </si>
  <si>
    <t>Bacterias COMAMMOX y ensambles nitrificantes en humedales costeros con impacto antropogénico</t>
  </si>
  <si>
    <t>Veronica Andrea Molina Trincado (Principal Researcher); Polette Yanara Aguilar Muñoz (Postdoctoral Fellow)</t>
  </si>
  <si>
    <t xml:space="preserve">Pérez-Flores, M. Doc. Interdisciplinario en Ciencias Ambientales, Fac. Ciencias Nat. y Exactas, Univ. Playa Ancha, Morales-Herrera, F. HUB Ambiental UPLA, Universidad Playa Ancha, Cornejo, M. Escuela Ciencias del Mar e Instituto Milenio de Oceanografía, Pontificia Universidad Católica de Valparaíso </t>
  </si>
  <si>
    <t>25 Mar 2025, 15:46</t>
  </si>
  <si>
    <t>Análisis del microbioma intestinal del chorito maico (Perumytilus purpuratus) en tres sitios con diferentes niveles de impactos antropogénicos</t>
  </si>
  <si>
    <t>Veronica Andrea Molina Trincado (Principal Researcher); Polette Yanara Aguilar Muñoz (Postdoctoral Fellow); Stephanny Victoria Curaz Leiva  (PhD Thesis)</t>
  </si>
  <si>
    <t>Sáez, C.  HUB AMBIENTAL UPLA, Depto. Ciencias del Mar y Biol. Aplicada, Univ. de Alicante, España</t>
  </si>
  <si>
    <t>25 Mar 2025, 15:50</t>
  </si>
  <si>
    <t>Congreso Iberoamericano de Acústica, FIA2024</t>
  </si>
  <si>
    <t>Estudios acústicos sobre ballenas realizados en las costas de Chile</t>
  </si>
  <si>
    <t>Participación como conferencista del Evento, organizado por la Sociedad Chilena de Acústica, SOCHA la Federación  Iberoamericana de Acústica, FIA</t>
  </si>
  <si>
    <t>02 Jan 2025, 15:37</t>
  </si>
  <si>
    <t>Comunidades, Ciencias y Artes en el Golfo de Arauco: Co-construyendo Conocimientos para la Sustentabilidad Costera</t>
  </si>
  <si>
    <t>Floraciones Algales Novias (marea roja) en el Golfo de Arauco: Desafíos para la detección y adaptación</t>
  </si>
  <si>
    <t>12 Mar 2025, 15:54</t>
  </si>
  <si>
    <t>II SEMINARIO INTERNACIONAL Manejo de la pesca y la acuicultura con enfoque ecosistémico en tiempos de cambio climático: Avances, desafíos y acciones</t>
  </si>
  <si>
    <t>Aproximación a puntos de referencia ecosistémicos para pesquerías de peces pelágicos pequeños de Chile” Dr. Sergio</t>
  </si>
  <si>
    <t>Sergio Neira Alarcón (Principal Researcher)</t>
  </si>
  <si>
    <t>Organiza: Sociedad Chilena de Ciencias del Mar (SCHCM) - Instituto de Fomento Pesquero (IFOP)._x000D_
Inst. Auspician: Pontificia Universidad Católica de Valparaíso (PUCV), Sociedad Nacional de Pesca (SONAPESCA), Centro Interdisciplinario para la Investigación Acuícola (INCAR), Instituto de Investigación Pesquera (INPESCA), Oceana Chile, Instituto Tecnológico del Salmón (INTESAL), Centro de Investigación de Ecosistemas Patagónicos (CIEP)_x000D_
Inst.  Patrocinan_x000D_
Servicio Hidrográfico y Oceanográfico de la Armada de Chile (SHOA), COPAS Coastal, Instituto Antártico Chileno (INACH), Universidad de Magallanes (UMAG), The Nature Conservancy Chile (TNC)</t>
  </si>
  <si>
    <t>VI Simposio Iberoamericano de Ecología Reproductiva, Reclutamiento y Pesquerías, SIBECORP</t>
  </si>
  <si>
    <t>Estimaciones modelo-basado de la fracción diaria de hembras desovantes en dos peces pelágicos pequeños en Chile</t>
  </si>
  <si>
    <t>Gabriel Claramunt, Facultad de Recursos Naturales Renovables, Universidad Arturo Prat</t>
  </si>
  <si>
    <t>13 Nov 2024, 11:30</t>
  </si>
  <si>
    <t xml:space="preserve">El desove de dos peces pelágicos pequeños presenta una estructura espacial progresiva y alternancia entre especies en la zona centro-sur de Chile </t>
  </si>
  <si>
    <t>Leonardo Castro Cifuentes (Principal Researcher); Luis Antonio Cubillos Santander (Adjunct Researcher)</t>
  </si>
  <si>
    <t>13 Nov 2024, 11:37</t>
  </si>
  <si>
    <t>Dinámica espacial y temporal de la pesca de krill antártico (Euphausia superba, Dana 1850): identificación y evaluación de caladeros basada en oportunidad de pesca</t>
  </si>
  <si>
    <t>13 Nov 2024, 11:44</t>
  </si>
  <si>
    <t xml:space="preserve">El rol subsidiario poco conocido de los ríos sobre los estados tempranos de peces en zonas costeras: ¿Factores secundarios en las estrategias reproductivas? </t>
  </si>
  <si>
    <t>Leonardo Castro Cifuentes (Principal Researcher); Samuel Antonio Soto Mendoza (Other Center/Project Researcher)</t>
  </si>
  <si>
    <t>Violeta Morín</t>
  </si>
  <si>
    <t>Pamela Barrientos, profesional copas coastal</t>
  </si>
  <si>
    <t>13 Nov 2024, 13:50</t>
  </si>
  <si>
    <t>SOLAS Open Science Conference 2024</t>
  </si>
  <si>
    <t>ENSO-driven OMZ variability in the Pacific</t>
  </si>
  <si>
    <t>Invitado_x000D_
9ª Conferencia Científica Abierta (OSC) del estudio de la superficie oceánica y la atmósfera baja</t>
  </si>
  <si>
    <t>16 Dec 2024, 15:09</t>
  </si>
  <si>
    <t>7º Congreso de Oceanografía Física, Meteorología y Clima del Pacífico Sur Oriental</t>
  </si>
  <si>
    <t>Influencia de la descarga del Río Biobío sobre los estadios de vida temprano de anchoveta y sardina común en el Golfo de Arauco</t>
  </si>
  <si>
    <t>Leonardo Castro Cifuentes (Principal Researcher); Marcus Alfonso Sobarzo Bustamante (Principal Researcher); Odette Alejandra Vergara Soto (Adjunct Researcher); Luis Antonio Cubillos Santander (Adjunct Researcher); Samuel Antonio Soto Mendoza (Other Center/Project Researcher)</t>
  </si>
  <si>
    <t>19 Nov 2024, 17:14</t>
  </si>
  <si>
    <t>Dinámica del transporte submareal a través de la Boca de Guafo conectando el océano abierto y el Mar Interior de Chiloé</t>
  </si>
  <si>
    <t>Valentina Mundaca, Vincent Echevin, Lab. LOCEAN, Institut Pierre-Simon Laplace, IPSL; IRD, CNRS/UPMC/MNHN, France, Osvaldo Artal, Héctor Hito</t>
  </si>
  <si>
    <t>19 Nov 2024, 17:26</t>
  </si>
  <si>
    <t>Dissipation Rate of Turbulent Kinetic Energy Contributes to Positive fluxes of Dissolved oxygen in Fjords</t>
  </si>
  <si>
    <t>Iván Ernesto Pérez Santos (Adjunct Researcher); Gonzalo Saldías Yau (Adjunct Researcher); Pamela Karina Muñoz Linford (Postdoctoral Fellow)</t>
  </si>
  <si>
    <t>Rozas Luis, Departamento de Ciencias de la Ingeniería, Universidad de Los Lagos, Chile., Ross Lauren Department of Civil and Environmental Engineering, University of Maine, Orono, ME, USA)</t>
  </si>
  <si>
    <t>19 Nov 2024, 17:30</t>
  </si>
  <si>
    <t>Masas de Aguas, Turbulencia y Flujos de Oxígeno en las Aguas Oceánicas Exteriores a los Fiordos de la Patagonia</t>
  </si>
  <si>
    <t>P.A. Díaz Centro i-mar de la Universidad de los Lagos, Puerto Montt, Chile. CeBiB, L. Farías, Depart. Oceanografía, UdeC; Centro de Ciencia del Clima y la Resiliencia (CR2), Concepción, Chile. Depart. Física, Fac. Ciencias, U del Bío-Bío</t>
  </si>
  <si>
    <t>19 Nov 2024, 17:37</t>
  </si>
  <si>
    <t>Implementación de sistema de información oceanográfica para operaciones portuarias</t>
  </si>
  <si>
    <t>Diego Alonso Narváez Rodríguez (Principal Researcher); Gonzalo Saldías Yau (Principal Researcher); Maricarmen Andrea Josefina Guerra Paris (Adjunct Researcher); Daniel Esteban Brieva Álvarez (Postdoctoral Fellow)</t>
  </si>
  <si>
    <t>Participa, Natalia Carrera, Profesional del centro</t>
  </si>
  <si>
    <t>19 Nov 2024, 17:42</t>
  </si>
  <si>
    <t>Desarrollo y desafíos futuros para el programa de observación oceanográfica en el complejo de fiordos asociados a los ríos Baker y Pascua, Región de Aysén</t>
  </si>
  <si>
    <t>Marcelo Hernán Gutiérrez Astete (Principal Researcher); Diego Alonso Narváez Rodríguez (Principal Researcher); Fabian Jose Tapia Jorquera (Principal Researcher); Iván Ernesto Pérez Santos (Adjunct Researcher)</t>
  </si>
  <si>
    <t>Carlos Moffat, University of Delaware, USA</t>
  </si>
  <si>
    <t>L1. Oceanic and atmospheric forcings; L2. Evolving coastal ecosystems; L3. Coastal Biogeochemistry</t>
  </si>
  <si>
    <t>19 Nov 2024, 18:09</t>
  </si>
  <si>
    <t>Influencia del Cañón del Biobío en la circulación durante surgencia y hundimiento costero frente a Chile central</t>
  </si>
  <si>
    <t>Gonzalo Saldías Yau (Principal Researcher); Odette Alejandra Vergara Soto (Adjunct Researcher); Sebastián Vásquez Pastene (PhD Thesis); Pedro Andrés Figueroa Güenante (Master Thesis); Richard Antonio Muñoz Herrera (Master Thesis)</t>
  </si>
  <si>
    <t>Cristian Salas</t>
  </si>
  <si>
    <t>L1. Oceanic and atmospheric forcings; L2. Evolving coastal ecosystems; L4. Fisheries Sustainability and Conservation</t>
  </si>
  <si>
    <t>19 Nov 2024, 18:17</t>
  </si>
  <si>
    <t>Circulation in the Guafo Mouth: the gateway to northern Patagonia</t>
  </si>
  <si>
    <t>Iván Ernesto Pérez Santos (Adjunct Researcher); Pamela Karina Muñoz Linford (Postdoctoral Fellow)</t>
  </si>
  <si>
    <t>Lauren Ross, University of Maine, Civil and Environmental Engineering, Orono, United States of America, Patricio A. Díaz, CeBiB, Universidad de Los Lagos</t>
  </si>
  <si>
    <t>19 Nov 2024, 18:25</t>
  </si>
  <si>
    <t>Long-term air-sea observations in the Southeast Pacific</t>
  </si>
  <si>
    <t>Sebastien Bigorre, Woods Hole Oceanographic Institution, Robert Weller, Woods Hole Oceanographic Institution</t>
  </si>
  <si>
    <t>19 Nov 2024, 18:38</t>
  </si>
  <si>
    <t>A modeling study of the influence of an atmospheric river event on the circulation and hydrographic conditions in the Gulf of Arauco</t>
  </si>
  <si>
    <t>Diego Alonso Narváez Rodríguez (Principal Researcher); Gonzalo Saldías Yau (Principal Researcher); Odette Alejandra Vergara Soto (Adjunct Researcher); Maricarmen Andrea Josefina Guerra Paris (Adjunct Researcher); Daniel Esteban Brieva Álvarez (Postdoctoral Fellow)</t>
  </si>
  <si>
    <t>Natalia Carrera, Profesional MOTOR</t>
  </si>
  <si>
    <t>20 Nov 2024, 12:06</t>
  </si>
  <si>
    <t>The influence of Coastal Trapped Waves and upwelling winds on cross-shore transports and exchanges over the continental shelf</t>
  </si>
  <si>
    <t>20 Nov 2024, 12:19</t>
  </si>
  <si>
    <t>La Influencia del Cañón Submarino Margarita en la Intrusión de UCDW en la Plataforma Continental adyacente</t>
  </si>
  <si>
    <t>Gonzalo Saldías Yau (Principal Researcher); Maria Andrea Piñones Valenzuela (Adjunct Researcher); Pedro Andrés Figueroa Güenante (Master Thesis)</t>
  </si>
  <si>
    <t>Sofia Palacios, Universidad de Concepción</t>
  </si>
  <si>
    <t>sin afiliación</t>
  </si>
  <si>
    <t>20 Nov 2024, 12:44</t>
  </si>
  <si>
    <t>Simulaciones numéricas de precipitación de verano en los Andes extra tropicales en clima presente y futuro</t>
  </si>
  <si>
    <t>Miguel Lagos-Zúñiga, Universidad Técnica Federico Santa María, Santiago, Roberto Rondanelli, Universidad de Chile, Chile</t>
  </si>
  <si>
    <t>21 Nov 2024, 15:33</t>
  </si>
  <si>
    <t>Coastal Trapped Waves Propagation and Modal Structure along the Chilean Coast</t>
  </si>
  <si>
    <t>Sophia Nativí, Universidad del Biobío, Concepción</t>
  </si>
  <si>
    <t>21 Nov 2024, 15:35</t>
  </si>
  <si>
    <t>Grandes Eventos de Precipitación en Chile Centro-Sur y su Relación con la Intensidad y Duración del Transporte de Vapor de Agua</t>
  </si>
  <si>
    <t>Raúl Valenzuela; Univ. de O'Higgins, Rancagua, René Garreaud; Dpto de Geofísica, Univ. de Chile, Sebastián Krogh; Dpto de Recursos Hídricos, Univ. de Concepción., Diego Campos; Earth Sciences Department, Barcelona Supercomputing Center, Lucía Scaff; Dpto de Geofísica, Univ. de Concepción</t>
  </si>
  <si>
    <t>21 Nov 2024, 15:54</t>
  </si>
  <si>
    <t>Río atmosférico trae calor y lluvia a la Península Antártica norte durante el invierno medio austral de 2023</t>
  </si>
  <si>
    <t>Jorge F. Carrasco; Centro de Investigación Gaia Antártica, Univ. de Magallanes., Raúl R. Cordero; Dpto de Física, Univ. de Santiago de Chile, Francisco Fernandoy; Fac. de Ingeniería, Univ. Nacional Andrés Bello, Álvaro Gómez-Contreras; Dpto de Geofísica, Univ. de Chile, Benjamín Carrillo; Centro de Investigación Gaia Antártica, Univ. de Magallanes</t>
  </si>
  <si>
    <t>21 Nov 2024, 16:00</t>
  </si>
  <si>
    <t>Desempeño del modelo Weather Research and Forecasting en la circulación superficial y su impacto en la energía solar en la región de Antofagasta</t>
  </si>
  <si>
    <t>Francisca Jofré Univ. de Chile, Santiago, Nicolás Huneeus; Univ. de Chile</t>
  </si>
  <si>
    <t>21 Nov 2024, 16:12</t>
  </si>
  <si>
    <t>Simulación y análisis de vientos costeros durante el río atmosférico zonal de junio 2023 en Chile centro-sur</t>
  </si>
  <si>
    <t>Diego Alonso Narváez Rodríguez (Principal Researcher); Gonzalo Saldías Yau (Principal Researcher); Maricarmen Andrea Josefina Guerra Paris (Adjunct Researcher); Martín Sebastián Jacques Coper (Adjunct Researcher)</t>
  </si>
  <si>
    <t xml:space="preserve">sin afiliación._x000D_
Autoría y presentación: Natalia Carrera, profesional de la línea 1_x000D_
</t>
  </si>
  <si>
    <t>21 Nov 2024, 16:19</t>
  </si>
  <si>
    <t>Observaciones de oleaje durante ríos atmosféricos en la región del Biobío</t>
  </si>
  <si>
    <t>Diego Alonso Narváez Rodríguez (Principal Researcher); Maricarmen Andrea Josefina Guerra Paris (Adjunct Researcher); Gonzalo Saldías Yau (Adjunct Researcher)</t>
  </si>
  <si>
    <t>Participan los profesionales COPAS COASTAL:_x000D_
Jimena González, Marcelo Ramírez, Marco Avendaño. y Víctor Mora</t>
  </si>
  <si>
    <t>21 Nov 2024, 17:34</t>
  </si>
  <si>
    <t>Patrones de Vientos Dominantes bajo la Influencia de Ríos Atmosféricos: Implicaciones para la Surgencia Costera en el Centro-Sur de Chile</t>
  </si>
  <si>
    <t>Diego Alonso Narváez Rodríguez (Principal Researcher); Deniz Bozkurt (Adjunct Researcher); Martín Sebastián Jacques Coper (Adjunct Researcher); Gonzalo Saldías Yau (Adjunct Researcher); Yosvany Garcia Santos (PhD Thesis)</t>
  </si>
  <si>
    <t>21 Nov 2024, 17:39</t>
  </si>
  <si>
    <t>Sea Surface Temperature Forecasting: A Novel Approach Combining Deep Learning and Transformers in Central Chile</t>
  </si>
  <si>
    <t>Diego Alonso Narváez Rodríguez (Principal Researcher); David Francisco Bustos Usta (PhD Thesis)</t>
  </si>
  <si>
    <t>21 Nov 2024, 17:43</t>
  </si>
  <si>
    <t>Revisiting historical trends in the Eastern Boundary Upwelling Systems with a machine learning method</t>
  </si>
  <si>
    <t>Diego Alonso Narváez Rodríguez (Principal Researcher); Fabian Jose Tapia Jorquera (Principal Researcher); Boris DEWITTE (Adjunct Researcher); David Francisco Bustos Usta (PhD Thesis)</t>
  </si>
  <si>
    <t>Vera Oerder, Dpto Oceanografía, Fac de Ciencias Naturales y Oceanográficas, IMOUdeC, Mabel Vidal, Departamento de Ciencias de la Computación, Universidad de Concepción, Concepción, Chile</t>
  </si>
  <si>
    <t>21 Nov 2024, 17:57</t>
  </si>
  <si>
    <t>Eventos meteorológicos extremos en Chile centro, sur y austral: ¿qué información práctica para su pronóstico podemos extraer de señales de variabilidad climática intraestacional?</t>
  </si>
  <si>
    <t>Martín Sebastián Jacques Coper (Adjunct Researcher)</t>
  </si>
  <si>
    <t>21 Nov 2024, 18:01</t>
  </si>
  <si>
    <t>Porque una boya sólo es una boya mientras esté a flote: POSAR en la Estación 18, Región del Biobío</t>
  </si>
  <si>
    <t>Diego Alonso Narváez Rodríguez (Principal Researcher); Martín Sebastián Jacques Coper (Adjunct Researcher)</t>
  </si>
  <si>
    <t>René Garreaud, Centro de Ciencias para el Clima y la Resilencia, Univ. de Chile, Laura Farías, Centro de Ciencias para el Clima y la Resilencia, Univ. de Chile, Ignacio Ruz, Centro de Ciencias para el Clima y la Resilencia, Univ. de Chile, Susana Bustos, Centro de Ciencias para el Clima y la Resilencia, Univ. de Chile, Nicolás Mayorga, Advection Spa, José Cifuentes, Advection Spa</t>
  </si>
  <si>
    <t>21 Nov 2024, 18:13</t>
  </si>
  <si>
    <t>Modulación de eventos cálidos extremos en la Península Antártica Occidental (PAO) por la Oscilación de Madden-Julian (MJO) durante el verano austral</t>
  </si>
  <si>
    <t>Álvaro Constanzo Gatica; Dpto de Geofísica, Univ. de Chile; (CR)2; Dir. Meteorológica de Chile</t>
  </si>
  <si>
    <t>21 Nov 2024, 18:18</t>
  </si>
  <si>
    <t>Influencia de Patrones Atmosféricos Sinópticos-Intraestacionales y Condiciones Oceánicas en la Variabilidad Estival de la Concentración de Clorofila-a en el Estrecho de Bransfield, Península Antártica Occidental</t>
  </si>
  <si>
    <t>Martín Sebastián Jacques Coper (Adjunct Researcher); Maria Andrea Piñones Valenzuela (Adjunct Researcher); Efraín Patricio Valencia Arriagada (Undergraduate Thesis)</t>
  </si>
  <si>
    <t>María E. Alcamán; Centro de Ciencia del Clima y la Resiliencia (CR)2, Univ. de Chile; C+, Univ. del Desarrollo</t>
  </si>
  <si>
    <t>21 Nov 2024, 18:25</t>
  </si>
  <si>
    <t>Ríos Atmosféricos Zonales e Inclinados en el Centro-sur de Chile</t>
  </si>
  <si>
    <t>Rene Garreaud, CR2 y Dpto de Geofísica, Univ. de Chile, Julio C. Marín; CEACC y Dpto de Meteorología, Univ. de Valparaíso</t>
  </si>
  <si>
    <t>21 Nov 2024, 18:30</t>
  </si>
  <si>
    <t>Temporal variability of the 0°C isotherm height over the coast of the Biobío Region (36.4ºS), Chile: characterization and case studies</t>
  </si>
  <si>
    <t>Camila Quijada-Meza, Universidad de Concepción, René Garreaud, Centro de Ciencias para el Clima y la Resilencia, Universidad de Chile, Simone Schauwecker, Suiza</t>
  </si>
  <si>
    <t>22 Nov 2024, 15:50</t>
  </si>
  <si>
    <t>Estimación del riesgo regional de incendios forestales en Chile mediante regresión logística</t>
  </si>
  <si>
    <t>Christian Segura, Universidad de Concepción</t>
  </si>
  <si>
    <t>22 Nov 2024, 16:04</t>
  </si>
  <si>
    <t>Caracterización de condiciones meteorológicas dominantes durante incendios forestales en Chile Centro-Sur</t>
  </si>
  <si>
    <t>Natalia Ruiz, Universidad de Concepción, Francisco de la Barrera, Fac. de Ciencias Ambientales, UdeC, Centro de Desarrollo Urbano Sustentable, CEDEUS</t>
  </si>
  <si>
    <t>22 Nov 2024, 16:08</t>
  </si>
  <si>
    <t>Modulación de Gran Escala de Condiciones Tornadogénicas en Chile Centro-Sur</t>
  </si>
  <si>
    <t>Paloma Navarrete, UdeC. Centro de Ciencia del Clima y la Resiliencia (CR)2, Julio C. Marín, Departamento de Meteorología, Univ. de Valparaíso, Univ. de Estudios Atmosféricos y Cambio Climático (CEACC), Univ. de Valparaíso, Felipe Gutiérrez, Dpto de Meteorología, Univ. de Valparaíso, Diana Pozo, Univ. de Estudios Atmosféricos y Cambio Climático (CEACC), Univ. de Valparaíso</t>
  </si>
  <si>
    <t>22 Nov 2024, 16:24</t>
  </si>
  <si>
    <t>Modulación de parámetros convectivos en Chile centro-sur por MJO, ENOS y SAM</t>
  </si>
  <si>
    <t>Javier Campos Núñez, Univ. de Concepción, Julio C. Marín, Dpto de Meteorología, Univ. de Valparaíso. Centro de Estudios Atmosféricos y Cambio Climático (CEACC), U. de Valparaíso, Diana Pozo, Dpto de Meteorología, Univ. de Valparaíso. Centro de Estudios Atmosféricos y Cambio Climático (CEACC), U. de Valparaíso, Diana Pozo, Dpto de Meteorología, Univ. de Valparaíso. Centro de Estudios Atmosféricos y Cambio Climático (CEACC), U. de Valparaíso, Daniel Veloso-Águila; Department of Atmospheric Science, Colorado State University, Fort Collins, Colorado, USA, Vittorio A. Gensini, Department of Earth, Atmosphere, and Environment, Northern Illinois University, DeKalb, Illinois, USA, Bradford S. Barrett, Retired, Raleigh, North CarolinaUSA</t>
  </si>
  <si>
    <t>22 Nov 2024, 16:48</t>
  </si>
  <si>
    <t>Entendiendo los procesos atmosféricos, oceánicos y de la criósfera en Antártica: cambio climático, eventos extremos e interacciones en el presente y futuro</t>
  </si>
  <si>
    <t>22 Nov 2024, 17:00</t>
  </si>
  <si>
    <t>Control que ejerce la presencia de un cañón submarino en la Península Antártica norte sobre la variabilidad y los tiempos de residencia de la circulación oceánica</t>
  </si>
  <si>
    <t>David Donoso, Pontificia Univ. Católica de Valparaíso, Paula Amador Véliz, Univ.. Austral de Chile., Albert Palomino, Univ. Austral de Chile</t>
  </si>
  <si>
    <t>22 Nov 2024, 17:04</t>
  </si>
  <si>
    <t>Estudio numérico de la circulación oceánica costera en la Bahía de Coronel bajo un evento de río atmosférico representado por dos herramientas numéricas distintas: ERA5 y WRF</t>
  </si>
  <si>
    <t>Participa: Natalia Carrera</t>
  </si>
  <si>
    <t>22 Nov 2024, 17:09</t>
  </si>
  <si>
    <t>Presencia de la masa de Agua Intermedia Antártica en la plataforma continental de la Patagonia Sur durante la transición Invierno-primavera</t>
  </si>
  <si>
    <t>Jorge Mardones, Instituto de Fomento Pesquero (IFOP), Cristian Ruiz, Instituto de Fomento Pesquero (IFOP)</t>
  </si>
  <si>
    <t>Participa Pamela Barrientos</t>
  </si>
  <si>
    <t>22 Nov 2024, 17:28</t>
  </si>
  <si>
    <t xml:space="preserve">Eventos extremos de temperatura superficial del mar en Bahía Maxwell: detección de olas de calor y frío marinas invernales durante las últimas dos décadas </t>
  </si>
  <si>
    <t xml:space="preserve">Autor: Octavio Mercado Peña, profesional copas coastal, por desconfiguración Pág. Se ingresar coordinador línea 1. </t>
  </si>
  <si>
    <t>22 Nov 2024, 17:43</t>
  </si>
  <si>
    <t xml:space="preserve">Relación entre los ríos atmosféricos y el gradiente orográfico de precipitación en las regiones de Biobío y Ñuble (~36°s). </t>
  </si>
  <si>
    <t>Ernesto González, Dpto de Geofísica, Univ. de Concepción &amp; (CR)2, Lucia Scaff, Dpto. de Geofísica, Univ. de Concepción</t>
  </si>
  <si>
    <t>22 Nov 2024, 17:59</t>
  </si>
  <si>
    <t>Estado Actual de los Sistemas de Observación en Chile - DOCA</t>
  </si>
  <si>
    <t>Introducción y organizador del simposio</t>
  </si>
  <si>
    <t>Organizador: Diego Narváez; Centro de Investigación Oceanográfica COPAS COASTAL, Universidad de Concepción</t>
  </si>
  <si>
    <t>19 Nov 2024, 18:36</t>
  </si>
  <si>
    <t>Estado Actual de los Sistemas de Observación en Chile, DOCA 2024</t>
  </si>
  <si>
    <t>Porqué una boya sólo es una boya mientras esté a flote: POSAR en la Estación 18, Región del Biobío</t>
  </si>
  <si>
    <t>René Garreaud, Centro de Ciencias para el Clima y la Resilencia, Universidad de Chile, Laura Farías, Centro de Ciencias para el Clima y la Resilencia, Universidad de Chile, Ignacio Ruz, Centro de Ciencias para el Clima y la Resilencia, Universidad de Chile, Susana Bustos, Centro de Ciencias para el Clima y la Resilencia, Universidad de Chile, Nicolás Mayorga, Advection Spa,  José Cifuentes, Advection Spa</t>
  </si>
  <si>
    <t>19 Nov 2024, 18:51</t>
  </si>
  <si>
    <t>Avances científicos y retos en oceanografía operacional del Observatorio Marino Reloncaví (OMARE)</t>
  </si>
  <si>
    <t>Gonzalo Saldías Yau (Principal Researcher); Paulina Andrea Montero Reyes (Adjunct Researcher); Iván Ernesto Pérez Santos (Adjunct Researcher); Pamela Karina Muñoz Linford (Postdoctoral Fellow)</t>
  </si>
  <si>
    <t>Patricio Díaz, Centro i-mar, CeBiB; Univ. Los Lagos, Guido Mansilla, Centro i-mar, Univ. Los Lagos; , Barbara Cantarero, Centro i-mar, Univ. Los Lagos, Sergio Contreras, Univ. Católica Santísima Concepción, Carlos Lara, Universidad Católica de la Santísima Concepción, Ana María Zarate, Univ. de la Frontera, Temuco, Ramiro Riquelme, Depto Zoología, Fac. Ciencias Naturales y Oceanográficas, UdeC; IMO</t>
  </si>
  <si>
    <t>Futuro de la Investigación Oceanográfica en Chile- DOCA 2024</t>
  </si>
  <si>
    <t>Introducción/Desarrollo del Taller</t>
  </si>
  <si>
    <t>19 Nov 2024, 18:28</t>
  </si>
  <si>
    <t>11th International Symposium on Atmospheric Sciences, ATMOS'24</t>
  </si>
  <si>
    <t>PENDIENTE</t>
  </si>
  <si>
    <t>escribir</t>
  </si>
  <si>
    <t>18 Nov 2024, 16:10</t>
  </si>
  <si>
    <t>VI Congreso Latinoamericano de Mastozoología. Simposio Mamíferos Marinos</t>
  </si>
  <si>
    <t>Una aproximación multiplataforma para entender las dinámicas de distribución y abundancia de la ballena fin en Chile</t>
  </si>
  <si>
    <t>18 Oct 2024, 19:12</t>
  </si>
  <si>
    <t>Efecto biogeoquímico de los mamíferos marinos sobre el ciclo de nutrientes y producción primaria en la zona central de Chile</t>
  </si>
  <si>
    <t>camila del pilar fernandez ibanez (Director); Susannah Janet Buchan (Principal Researcher); Silvio César Pantoja Gutiérrez (Principal Researcher); Andrea Alejandra Cisterna Concha (PhD Thesis)</t>
  </si>
  <si>
    <t>L2. Evolving coastal ecosystems; L3. Coastal Biogeochemistry; L4. Fisheries Sustainability and Conservation</t>
  </si>
  <si>
    <t>Organiza: Universidad Santo Tomas – Museo Nacional de Historia Natural</t>
  </si>
  <si>
    <t>CHILE PAVILION COP 16</t>
  </si>
  <si>
    <t>camila del pilar fernandez ibanez (Director); Veronica Andrea Molina Trincado (Principal Researcher)</t>
  </si>
  <si>
    <t>Dr. Maria de los Angeles Gallardo. ANID Ring Oceanic biodiversity under climate change threat, ESMOI-UCN., MSc. Maria Valladares, Cornell Coastal Solutions Program &amp; Ocean Node, Dr. Carlos Olavarria, CEAZA and CTCI National Council for the Development of Chile, MSc. Marcelo Olivares Arenas, Institute of Public Policies Coquimbo UCN and North Central Ocean Natural Laboratory Node.</t>
  </si>
  <si>
    <t>18 Nov 2024, 17:24</t>
  </si>
  <si>
    <t>IMO-WMU Workshop on Underwater Radiated Noise Reduction Policies &amp; Strategies with a Focus on Developing Countries</t>
  </si>
  <si>
    <t>Asistente</t>
  </si>
  <si>
    <t>05 Nov 2024, 16:24</t>
  </si>
  <si>
    <t>Herramientas Básicas de Onedrive en la Gestión Laboral</t>
  </si>
  <si>
    <t>22 Nov 2024, 18:39</t>
  </si>
  <si>
    <t>13th Advanced Phytoplankton Course</t>
  </si>
  <si>
    <t>Identification, Taxonomy, Systematics</t>
  </si>
  <si>
    <t xml:space="preserve">The APC13 tutors are renown phytoplankton experts: _x000D_
_x000D_
Nicolas Chomerat, IFREMER, Concarneau, France_x000D_
Bente Edvardsen, University of Oslo, Norway _x000D_
Wiebe H.C.F. Kooistra, Stazione Zoologica Anton Dohrn, Naples, Italy_x000D_
Carina B. Lange, University of Concepción, Chile _x000D_
Jacob Larsen, UNESCO IOC SCCHA, Copenhagen, Denmark _x000D_
Nina Lundholm, Natural History Museum, University of Copenhagen, Denmark _x000D_
Wenche  Eikrem, Norwegian Institute of Water Research_x000D_
Marina Montresor, Stazione Zoologica Anton Dohrn, Naples, Italy _x000D_
Ian Probert, Station Biologique, Roscoff, France _x000D_
Diana Sarno, Stazione Zoologica Anton Dohrn, Naples, Italy _x000D_
Urban Tillmann, Alfred Wegener Institute, Bremerhaven, Germany _x000D_
Daniel Vaulot, Station Biologique, Roscoff, France &amp; University of Oslo, Norway_x000D_
Adriana Zingone, Stazione Zoologica Anton Dohrn, Naples, Italy </t>
  </si>
  <si>
    <t>04 Nov 2024, 15:35</t>
  </si>
  <si>
    <t>Exchange flow and mixing in Patagonian Fjords under climatic variability modes</t>
  </si>
  <si>
    <t xml:space="preserve">Elias Pinilla, Lauren Ross </t>
  </si>
  <si>
    <t>Encuentro internacional bianual que congregó a participantes de distintos países con más de 147 exposiciones.</t>
  </si>
  <si>
    <t>17 Oct 2024, 16:48</t>
  </si>
  <si>
    <t xml:space="preserve">of Estuaries and Coastal Seas (PECS) - 2024 </t>
  </si>
  <si>
    <t>Tidal and subtidal dynamics at the toe of a salt wedge</t>
  </si>
  <si>
    <t xml:space="preserve">Elias Pinilla, Aldo Sottolichio, Arnoldo Valle-Levinson, Cristian Rojas, Debora Barros, Lauren Ross </t>
  </si>
  <si>
    <t>17 Oct 2024, 17:01</t>
  </si>
  <si>
    <t>Elias Pinilla, Aldo Sottolichio, Arnoldo Valle-Levinson, Cristian Rojas, Debora Barros, Lauren Ross</t>
  </si>
  <si>
    <t>17 Oct 2024, 17:11</t>
  </si>
  <si>
    <t>Dissipation rate of Turbulent Kinetic Energy contributes to positive fluxes of dissolved oxygen in fjords</t>
  </si>
  <si>
    <t>Luis Rozas, Lauren Ross, Marcela Rojas</t>
  </si>
  <si>
    <t>17 Oct 2024, 17:14</t>
  </si>
  <si>
    <t>Cambio Climático: un problema de múltiples escalas</t>
  </si>
  <si>
    <t>10 Oct 2024, 16:22</t>
  </si>
  <si>
    <t>Operation of oceanographic equipment for environmental monitoring: configuration, deployment, and data analysis - DYNAMO 2024</t>
  </si>
  <si>
    <t>Metabarcoding study focusing on phytoplankton diversity</t>
  </si>
  <si>
    <t>En el marco del proyecto DYNAMO, financiado por el Ministerio Federal Alemán de Educación e Investigación (BMBF), programa No LAT16STRUC-039, y en conjunto con el centro IDEAL de la Universidad Austral de Chile.</t>
  </si>
  <si>
    <t>17 Oct 2024, 17:42</t>
  </si>
  <si>
    <t>Dissipation Rate of Turbulent Kinetic Energy Contributes to Positive fluxes of Dissolved oxygen in Fjords.</t>
  </si>
  <si>
    <t>En el marco del proyecto DYNAMO, financiado por el Ministerio Federal  Alemán de Educación e Investigación (BMBF), programa No AT16STRUC-039, y en conjunto con el centro IDEAL de la Universidad Austral de Chile</t>
  </si>
  <si>
    <t>12 Jul 2024, 15:58</t>
  </si>
  <si>
    <t>Operation of oceanographic equipment for environmental monitoring: configuration, deployment, and data análisis - DYNAMO 2024</t>
  </si>
  <si>
    <t>Implementation of Marine Mammals with CTD Sensors for Oceanographic Monitoring.</t>
  </si>
  <si>
    <t>En el marco del proyecto DYNAMO, financiado por el Ministerio Federal Alemán de Educación e Investigación (BMBF), programa No LAT16STRUC-039, y en conjunto con el centro IDEAL de la Universidad Austral de Chile</t>
  </si>
  <si>
    <t>12 Jul 2024, 16:01</t>
  </si>
  <si>
    <t>Advances in observing systems for in situ and real-time detection of phytoplankton.</t>
  </si>
  <si>
    <t>12 Jul 2024, 16:06</t>
  </si>
  <si>
    <t>Cellular bioassays for the study of emerging marine toxins.</t>
  </si>
  <si>
    <t>En el marco del proyecto DYNAMO, financiado por el Ministerio Federal Alemán de Educación e Investigación (BMBF), programa No AT16STRUC-039, y en conjunto con el centro IDEAL de la Universidad Austral de Chile.</t>
  </si>
  <si>
    <t>12 Jul 2024, 16:11</t>
  </si>
  <si>
    <t>AstroBiology in Chile 2024. A Multidisciplinary Workshop</t>
  </si>
  <si>
    <t>Microbial metabolic potential and the geochemical landscape across the Andean Southern Volcanic Zone</t>
  </si>
  <si>
    <t>Gerdhard Leonard Jessen Reyes (Adjunct Researcher)</t>
  </si>
  <si>
    <t>30 Jan 2025, 19:48</t>
  </si>
  <si>
    <t>Simposio Internacional "La Ingeniería Pesquera y la Agenda 2030 de Desarrollo Sostenible</t>
  </si>
  <si>
    <t>XI SCAR Open Science Conference</t>
  </si>
  <si>
    <t>Ocean circulation and bathymetry controls on the presence of a biological hotspot at the northern Antarctic Peninsula</t>
  </si>
  <si>
    <t>Session 18, pág.- 19 programa</t>
  </si>
  <si>
    <t>30 Aug 2024, 12:23</t>
  </si>
  <si>
    <t xml:space="preserve">Workshop 2: Antarctica InSync – preparing towards a Southern Ocean Decade Program. XI SCAR </t>
  </si>
  <si>
    <t>Extreme sea surface temperature events in Maxwell bay: Detecting winter marine heatwaves and marine cold spells in the last 2 decades</t>
  </si>
  <si>
    <t>Octavio Mercado Peña</t>
  </si>
  <si>
    <t>Session 8, pág 14 del programa</t>
  </si>
  <si>
    <t>30 Aug 2024, 13:06</t>
  </si>
  <si>
    <t>Session 8: Polar extreme events and their physical drivers. Pág. 12, programa</t>
  </si>
  <si>
    <t>30 Aug 2024, 13:17</t>
  </si>
  <si>
    <t>Simultaneous modelling of horizontal and vertical movement patterns of Humpback whales in the Southwest Atlantic and Southern Oceans</t>
  </si>
  <si>
    <t>Session 18, pag9 programa</t>
  </si>
  <si>
    <t>30 Aug 2024, 14:18</t>
  </si>
  <si>
    <t>Assessing the influence of the MJO on extreme warm events in the western antarctic peninsula (EAP) during austral summer (November-March)</t>
  </si>
  <si>
    <t>Mireia Mestre Martín (Adjunct Researcher)</t>
  </si>
  <si>
    <t>30 Aug 2024, 14:23</t>
  </si>
  <si>
    <t>Satellite-derived variability of sea surface salinity and geostrophic currents off western Patagonia: Exploring the presence of a coastal freshening trend</t>
  </si>
  <si>
    <t>30 Aug 2024, 14:24</t>
  </si>
  <si>
    <t>Evaluación de estrategias de manejo (MSE) - Camarón nylon</t>
  </si>
  <si>
    <t>Evaluación de estrategias de manejo del Camarón nylon</t>
  </si>
  <si>
    <t>Taller organizado por IFOP</t>
  </si>
  <si>
    <t>17 Oct 2024, 18:49</t>
  </si>
  <si>
    <t>COLACMAR 20º Congreso Latinoamericano de Ciencias del Mar</t>
  </si>
  <si>
    <t>Sterol signatures of dinoflagellates as tracers for toxic algal blooms</t>
  </si>
  <si>
    <t>Paola Andrea Cárdenas, postgrado en Ciencias UCSC, Sergio Contreras, Pablo Salgado</t>
  </si>
  <si>
    <t>Víctor Acuña, Profesional Motor COPAS Coastal</t>
  </si>
  <si>
    <t>22 Oct 2024, 16:29</t>
  </si>
  <si>
    <t>Jornada Plan Ciencia 2030 UdeC en Biotech Connect 2024: Cómo innovar y emprender haciendo ciencia desde la UdeC</t>
  </si>
  <si>
    <t>Biotecnología azul: retos y oportunidades para responder a los grandes desafíos globales</t>
  </si>
  <si>
    <t>18 Oct 2024, 17:12</t>
  </si>
  <si>
    <t>Toward a Predictive Ecology of the Anthropocene</t>
  </si>
  <si>
    <t>Towards A More Useful Science of Ecological Networks: Integrating Space, Dispersal and Subsidies in Marine Ecosystems</t>
  </si>
  <si>
    <t>12 Sep 2024, 18:52</t>
  </si>
  <si>
    <t>2024 International Atmospheric Rivers Conference Held</t>
  </si>
  <si>
    <t>Precipitation and melt over the Antarctic Peninsula: the role of intense atmospheric rivers</t>
  </si>
  <si>
    <t>Yosvany Garcia Santos (PhD Thesis)</t>
  </si>
  <si>
    <t>Irina Gorodetskaya, CIIMAR - Interdisciplinary Centre of Marine and Environmental Research of the University of Porto, Portugal</t>
  </si>
  <si>
    <t>29 Aug 2024, 15:33</t>
  </si>
  <si>
    <t>Research Themes for the ACCESS Forum 2024</t>
  </si>
  <si>
    <t>T3M, Tesis en tres minutos</t>
  </si>
  <si>
    <t>Gerdhard Leonard Jessen Reyes (Adjunct Researcher); Cristóbal Ignacio Castillo Ilabaca (PhD Thesis)</t>
  </si>
  <si>
    <t>14 Jun 2024, 11:43</t>
  </si>
  <si>
    <t>Ecopath 40 years. The Ecosystem Continuum: From Knowledge to Decisions. Conference and Courses</t>
  </si>
  <si>
    <t>Impact of sea lion predation on Chile's main fisheries</t>
  </si>
  <si>
    <t>Sergio Neira Alarcón (Principal Researcher); Ana María Arriagada Millán (PhD Thesis)</t>
  </si>
  <si>
    <t>25 Jun 2024, 16:39</t>
  </si>
  <si>
    <t>Approaching ecosystem reference points for small pelagic fish fisheries in Chile</t>
  </si>
  <si>
    <t>Sergio Neira Alarcón (Principal Researcher); Luis Antonio Cubillos Santander (Adjunct Researcher); Ana María Arriagada Millán (PhD Thesis); Mónica E. Barros Jiménez (PhD Thesis); Rubén Alfredo Alarcón Muñoz (PhD Thesis)</t>
  </si>
  <si>
    <t>Hugo Arancibia, Centro de Investigaciones Centro de Investigación Aplicada del Mar, CIAM, María José Cuevas, Lab. EPOMAR, UdeC</t>
  </si>
  <si>
    <t>25 Jun 2024, 16:35</t>
  </si>
  <si>
    <t>CHARLA MAGISTRAL, XLIII Congreso de Ciencias del Mar 2024</t>
  </si>
  <si>
    <t>El futuro es hoy: Cambio Climático y ecosistemas costeros</t>
  </si>
  <si>
    <t xml:space="preserve">Asistencia: 160 personas </t>
  </si>
  <si>
    <t>10 Jun 2024, 14:47</t>
  </si>
  <si>
    <t>XLIII Congreso de Ciencias del Mar 2024</t>
  </si>
  <si>
    <t>Contaminación por hidrocarburos aromáticos policíclicos en sedimentos superficiales costeros y comunidad microbiana asociada</t>
  </si>
  <si>
    <t>Marcelo Hernán Gutiérrez Astete (Principal Researcher); Silvio César Pantoja Gutiérrez (Principal Researcher); Gerdhard Leonard Jessen Reyes (Adjunct Researcher); Cristóbal Ignacio Castillo Ilabaca (PhD Thesis); Alexandra Jullieth Pereira Troncoso (Undergraduate Thesis)</t>
  </si>
  <si>
    <t>Karem Henríquez, Dpto de Ciencias, Universidad del Bío Bío, Chile, Marco Salamanca, Dpto Oceanografía, UdeC, Pierre Galand, Sorbonne Université, CNRS, Laboratoire d’Ecogéochimie des Environnements Benthiques (LECOB), Observatoire Océanologique de Banyuls, France, Departamento de Ciencias, Universidad del Bío Bío, Chile</t>
  </si>
  <si>
    <t>Mario Aranda, colaborador científico nacional COPAS Coastal; Pontificia Universidad Católica de Chile_x000D_
Agradec.: NLHPC (ECM-02) y COPAS-Coastal ANID FB210021</t>
  </si>
  <si>
    <t>10 Jun 2024, 12:56</t>
  </si>
  <si>
    <t>Evaluación de stock state-space de langostino colorado: importancia del error de proceso en la variación del reclutamiento, selectividad y capturabilidad.</t>
  </si>
  <si>
    <t>María José Cuevas, Lab. EPOMAR, UdeC</t>
  </si>
  <si>
    <t>10 Jun 2024, 14:32</t>
  </si>
  <si>
    <t>Relación entre las Calles de Von Kármán y la variabilidad climática en el sistema insular Robinson Crusoe-Santa Clara y exploración de su posible respuesta oceánica.</t>
  </si>
  <si>
    <t>Boris DEWITTE (Adjunct Researcher); Martín Sebastián Jacques Coper (Adjunct Researcher)</t>
  </si>
  <si>
    <t>Amaya C., Dpto Geofísica, UdeC, Parada C., Dpto Geofísica, UdeC; ESMOI, Dpto Biología Marina, UCN, Coquimbo,, Cornejo-Guzmán S., Center for Ecology and Sustainable Management of Oceanic Islands (ESMOI), Dpto Biología Marina, UCN, Coquimbo, Chile</t>
  </si>
  <si>
    <t>10 Jun 2024, 14:43</t>
  </si>
  <si>
    <t>Variabilidad espacial de la materia orgánica disuelta fluorescente (FDOM) y su relación con las condiciones oceanográficas frente a Chile</t>
  </si>
  <si>
    <t>camila del pilar fernandez ibanez (Director); Silvio César Pantoja Gutiérrez (Principal Researcher); Edson Raúl Gómez Torres (PhD Thesis)</t>
  </si>
  <si>
    <t>10 Jun 2024, 14:52</t>
  </si>
  <si>
    <t>Evaluando la Amplitud Trófica de dos Peces Pelágicos Pequeños de Importancia Comercial en el norte y centro-sur de Chile</t>
  </si>
  <si>
    <t>Leonardo Castro Cifuentes (Principal Researcher); Luis Antonio Cubillos Santander (Adjunct Researcher); Sebastián Vásquez Pastene (PhD Thesis); Bastian Garrido Rojas (Master Thesis)</t>
  </si>
  <si>
    <t>10 Jun 2024, 14:57</t>
  </si>
  <si>
    <t>Patrones espaciales de alta resolución del fitoplancton en los fiordos de la Patagonia chilena revelados por Imaging FlowCytoBot</t>
  </si>
  <si>
    <t>Marcelo Hernán Gutiérrez Astete (Principal Researcher); Diego Alonso Narváez Rodríguez (Principal Researcher); Paulina Andrea Montero Reyes (Adjunct Researcher)</t>
  </si>
  <si>
    <t>Catharina Alves-de-Souza, Dpto de Oceanografía UdeC, Lautaro Cifuentes, Pregrado en Biología Marina, UdeC, Giovanni Daneri, CIEP, Heide Schulz-Vogt, Leibniz Institute for Baltic Sea Research, Rostock, Germany</t>
  </si>
  <si>
    <t>Financiamiento: Centro COPAS COASTAL FB210021; Fondecyt 11230763 y 1230152.</t>
  </si>
  <si>
    <t>10 Jun 2024, 15:26</t>
  </si>
  <si>
    <t>Explorando el establecimiento del erizo de mar de espinas largas Centrostephanus sylviae en el Archipiélago de Juan Fernández: amenazas y futuros esfuerzos de conservación.</t>
  </si>
  <si>
    <t>Ivan Andres E. Hinojosa Toledo (Adjunct Researcher)</t>
  </si>
  <si>
    <t>Vera-Duarte J., Dpto. Ecología, Fac. Ciencias, Univ. Católica Santísima Concepción,, Carrasco SA.,Lab. Ictiología e Interacciones Biofísicas (LABITI), Instituto Biología, Fac. Ciencias, Univ. Valparaíso, Gaymer CF., ESMOI, Dpto. Biología Marina, Univer. Católica Norte, Coquimbo,, Friedlander A., CF., ESMOI, Dpto. Biología Marina, UCN, Hawaii Institute of Marine Biology, Univ. of Hawaii, Kaneohe, Hawaii, USA, Wahle R., School of Marine Sciences, University of Maine, Maine, USA, Palma Á., FisioAqua SpA, Santiago, Chile</t>
  </si>
  <si>
    <t>17 Jun 2024, 11:30</t>
  </si>
  <si>
    <t>Simposio XI, Ambientes costeros emergentes asociadas a eventos extremos: Nuevas fronteras y aproximaciones experimentales, XLIII CCM2024</t>
  </si>
  <si>
    <t>Coordinadoras Principales del simposio:_x000D_
Dras. Verónica Molina y Camila Fernández</t>
  </si>
  <si>
    <t>17 Jun 2024, 11:53</t>
  </si>
  <si>
    <t>Efectos del patrón de paternidad en el desempeño de la progenie del camarón de roca, Rhynchocinetes typus</t>
  </si>
  <si>
    <t>Darío Navarrete, Magíster Ecología Marina, Fac. Ciencias, Univ. Católica Santísima Concepción, Luis Miguel Pardo, Univ. Austral Chile, Instituto Ciencias Marinas y Limnológicas</t>
  </si>
  <si>
    <t>17 Jun 2024, 15:40</t>
  </si>
  <si>
    <t>Cambios interdecadales del Índice Gonadosomático de Sardina común (Strangomera bentincki), ¿efecto positivo de la regulación pesquera?</t>
  </si>
  <si>
    <t>Eveling Monsalve, Doc. MaReA, Fac. Ciencias Naturales y Oceanográficas, UdeC</t>
  </si>
  <si>
    <t>18 Jun 2024, 12:52</t>
  </si>
  <si>
    <t>Muestreador de Escala Fina (MEF): Una nueva herramienta para explorar capas finas de fitoplancton en los fiordos chilenos</t>
  </si>
  <si>
    <t>Álvaro Aravena, Centro i~mar, Univ. Los Lagos, Puerto Montt, Bárbara Cantarero, Centro i~mar, Univ. Los Lagos, Puerto Montt, Beatriz Reguera, Robinson Altamirano, Centro i~mar, Univ. Los Lagos, Puerto Montt, Carolina Miranda, Centro i~mar, Gonzalo Álvarez,  Michael Araya , Patricio A. Díaz</t>
  </si>
  <si>
    <t>Fondecyt Regular 1231220; CeBiB ANID-PIA FB0001</t>
  </si>
  <si>
    <t>18 Jun 2024, 14:31</t>
  </si>
  <si>
    <t>Variabilidad fitoplanctónica y ficotoxinas en fiordo Puyuhuapi y canales adyacentes</t>
  </si>
  <si>
    <t>Bárbara Cantarero, Centro i~mar, UdeLosLagos, Carolina Miranda-Nail, Centro i~mar, UdeLosLagos, Bernd krock, Alfred Wegener Institut-Helmholtz Zentrum für Polar- und Meeresforschung, Am Haelshafen, Germany., Gonzalo Álvarez, Fac. Ciencias del Mar, Dpto. Acuicultura, Micahel Araya, Centro CIDTA, Daniel Varela, Centro i~mar, UdeLosLagos, Patricio A. Diaz, Centro i~mar, Centro CeBiB, UdeLosLagos</t>
  </si>
  <si>
    <t>Fondecyt Regular 1231220</t>
  </si>
  <si>
    <t>18 Jun 2024, 14:49</t>
  </si>
  <si>
    <t>Efectos de las Condiciones Bio-Oceanográficas en la Distribución de Huevos y Larvas de Merluza de cola en la Patagonia Chilena</t>
  </si>
  <si>
    <t>Leonardo Castro Cifuentes (Principal Researcher); Diego Alonso Narváez Rodríguez (Principal Researcher); Carlos Veroes García (PhD Thesis)</t>
  </si>
  <si>
    <t>18 Jun 2024, 14:52</t>
  </si>
  <si>
    <t>Variabilidad espacial y estacional en la concentración de nutrientes en aguas costeras de dos ecosistemas de surgencia: Humboldt y California</t>
  </si>
  <si>
    <t>Fabian Jose Tapia Jorquera (Principal Researcher); Sergio Andres Navarrete Campos (Adjunct Researcher)</t>
  </si>
  <si>
    <t>Sofía Chacano, Estación Costera Investigaciones Marinas, Las Cruces, Fac. Ciencias Biológicas, PUCC</t>
  </si>
  <si>
    <t>18 Jun 2024, 14:58</t>
  </si>
  <si>
    <t>Distribución de foraminíferos bentónicos en sedimentos superficiales del Golfo Almirante Montt, Región de Magallanes</t>
  </si>
  <si>
    <t>Valentina Mena, Biología Marina, UdeC, Paola Cárdenas, IDEAL; UCSC; Doc. Ciencias Mención en Biodiversidad y Biorecursos</t>
  </si>
  <si>
    <t>18 Jun 2024, 15:06</t>
  </si>
  <si>
    <t>Cambios en el balance de oxígeno por la interacción de ríos atmosféricos en el fiordo Puyuhuapi</t>
  </si>
  <si>
    <t>Juan Rojas, Dpto. Geofísica, Fac. Ciencias Físicas y Matemáticas, Vincent Echevin, Lab. LOCEAN, Institut Pierre-Simon Laplace (IPSL), IRD/CNRS/UPMC/MNHN, France</t>
  </si>
  <si>
    <t>L3. Coastal Biogeochemistry; L4. Fisheries Sustainability and Conservation</t>
  </si>
  <si>
    <t>18 Jun 2024, 15:22</t>
  </si>
  <si>
    <t>Efecto de la levadura Rhodotorula mucilaginosa en el crecimiento y contenido lipídico de larvas de Magallana gigas producidas en hatchery</t>
  </si>
  <si>
    <t>Marcelo Hernán Gutiérrez Astete (Principal Researcher); Silvio César Pantoja Gutiérrez (Principal Researcher); Paloma Soledad Araya Vega (Undergraduate Thesis)</t>
  </si>
  <si>
    <t>Alejandra Llanos, Dpto. Oceanografía, UdeC, Carlos Muñoz, Unidad Productora de Semillas, UdeC</t>
  </si>
  <si>
    <t>Financiamiento: financiamiento parcial Fondecyt 1200252 y COPAS Coastal FB210021.</t>
  </si>
  <si>
    <t>18 Jun 2024, 15:28</t>
  </si>
  <si>
    <t>Caracterización de lípidos en muestras de hepatopáncreas de ostión del norte (Argopecten purpuratus) positivas a biotoxinas lipofílicas mediante LC-HRMS</t>
  </si>
  <si>
    <t>Carola Vergara, Dpto. Análisis Instrumental. Fac. Farmacia, UdeC, 3, Maximiliano Ramm, Dpto. Análisis Instrumental. Fac. Farmacia, UdeC, Lorena Delgado, , Luis Bustamante, Dpto. Nal. y de Referencia en Salud Ambiental, Instit. Salud publicada de Chile, Chile</t>
  </si>
  <si>
    <t>Financiamiento: FONDEQUIP EQM210168, Financiamiento parcial de COPAS Coastal ANID FB210021 e Instituto de salud pública.</t>
  </si>
  <si>
    <t>18 Jun 2024, 15:36</t>
  </si>
  <si>
    <t>Efectos Subletales de Karenia selliformis en la línea celular RTgill-W1: Estudio integrado de toxicidad y expresión génica mediante cultivo Transwell</t>
  </si>
  <si>
    <t>Allisson Patsy Astuya Villalón (Principal Researcher); Alvarita Irene San Martín Vera (Undergraduate Thesis); Aline Loxandra Apolonio Varas (Undergraduate Thesis); Victoria Paz Alfaro Ahumada (Undergraduate Thesis)</t>
  </si>
  <si>
    <t>Alejandra Rivera, Lab. LBTx-UdeC</t>
  </si>
  <si>
    <t>Financiamiento: FONDECYT 12000845 ANID_ COPAS Coastal ANID FB210021. Agradecimientos CREAN IFOP</t>
  </si>
  <si>
    <t>18 Jun 2024, 15:51</t>
  </si>
  <si>
    <t>Estimación del Steepness y Relación Stock-Recluta para dos socks de Congrio dorado</t>
  </si>
  <si>
    <t>Luis Antonio Cubillos Santander (Adjunct Researcher); Nicolás Esteban Eduardo Muñoz Aroca (PhD Thesis)</t>
  </si>
  <si>
    <t>18 Jun 2024, 15:54</t>
  </si>
  <si>
    <t>Interacciones Microbianas En Floraciones Algales Nocivas: Dinámicas Simbióticas Y Respuestas Algicidas En La Mitigación De FANs</t>
  </si>
  <si>
    <t>Allisson Patsy Astuya Villalón (Principal Researcher); Camila Ignacia Castro Bravo  (Undergraduate Thesis)</t>
  </si>
  <si>
    <t>Francisco Guic, Lab. Biopelículas y Microbiología Ambiental, Centro Biotecnología, y Fac. Ciencias Forestales., Katherine Sossa, Lab. Biopelículas y Microbiología Ambiental, Centro Biotecnología, y Fac. Ciencias Forestales.</t>
  </si>
  <si>
    <t>Financiamiento: Proyecto VRID-UdeC 2021000367MUL; COPAS Coastal ANID FB210021</t>
  </si>
  <si>
    <t>18 Jun 2024, 16:02</t>
  </si>
  <si>
    <t>Transporte bacteriano y actividad enzimática en las interacciones de hongos y bacterias de sedimentos marinos en la región del Biobío, Chile</t>
  </si>
  <si>
    <t>Marcelo Hernán Gutiérrez Astete (Principal Researcher); Karina Andrea Fuentes Cruz (Undergraduate Thesis)</t>
  </si>
  <si>
    <t>José Sepúlveda, Pregrado Biología Marina, UdeC, Christóbal Zambrano, Pregrado Biología Marina, UdeC, Francisco Álvarez, Pregrado Biología Marina, UdeC</t>
  </si>
  <si>
    <t>Financiamiento parcial de COPAS COASTAL FB210021</t>
  </si>
  <si>
    <t>18 Jun 2024, 16:12</t>
  </si>
  <si>
    <t>Abundancia de la Nutria Marina Lontra Felina (Molina 1782) en la costa de Chile</t>
  </si>
  <si>
    <t>Ivan Andres E. Hinojosa Toledo (Adjunct Researcher); Tamara Constanza Huerta Santander (Master Thesis)</t>
  </si>
  <si>
    <t>Pizarro J. Cristóbal, Lab. Estudios del Antropoceno. Fac. Ciencias Forestales</t>
  </si>
  <si>
    <t>18 Jun 2024, 16:17</t>
  </si>
  <si>
    <t>Biodiversidad bentónica sublitoral durante el crucero CIMAR 29-Fiordos: evaluación preliminar y su potencial relación con el oxígeno disuelto</t>
  </si>
  <si>
    <t>Claudia Andrade, Lab. Ecología Funcional, Inst. de la Patagonia, Univ. Magallanes, Leslie Novoa, Dpto. Ciencias y Recursos Naturales, Fac. Ciencias, Univ. Magallanes, Taryn Sepúlveda, Lab. Ecología Funcional, Cristian Aldea, Dpto. Ciencias y Recursos Naturales</t>
  </si>
  <si>
    <t>Financiamiento: Fondecyt Regular 1231220</t>
  </si>
  <si>
    <t>18 Jun 2024, 16:25</t>
  </si>
  <si>
    <t>Evaluación de efectos letales y subletales de cultivo y exudado de K. selliformis sobre los estados larvales de Choromytilus chorus</t>
  </si>
  <si>
    <t>Allisson Patsy Astuya Villalón (Principal Researcher); Victoria Paz Alfaro Ahumada (Undergraduate Thesis)</t>
  </si>
  <si>
    <t>Angela Frías, Dpto. Oceanografía, UdeC, Alejandra Llanos, Dpto. Oceanografía, UdeC</t>
  </si>
  <si>
    <t>18 Jun 2024, 16:30</t>
  </si>
  <si>
    <t>Influencia de la descarga de agua dulce del Río Biobío sobre los estadios de vida temprano de anchoveta (Engraulis ringens) en el golfo de Arauco (37°S), Chile central</t>
  </si>
  <si>
    <t>Leonardo Castro Cifuentes (Principal Researcher); Odette Alejandra Vergara Soto (Adjunct Researcher); Luis Antonio Cubillos Santander (Adjunct Researcher); Samuel Antonio Soto Mendoza (Other Center/Project Researcher)</t>
  </si>
  <si>
    <t>18 Jun 2024, 16:53</t>
  </si>
  <si>
    <t>Explorando capas finas de Dinophysis (Erhenberg 1839) en fiordo Puyuhuapi: Una mirada desde la alta resolución</t>
  </si>
  <si>
    <t>Álvaro Aravena, Centro i~mar, Univ. Los Lagos, Puerto Montt, Bárbara Cantarero, Centro i~mar, UdeLosLagos, Beatriz Reguera, Centro Oceanográfico de Vigo, Instituto Español de Oceanografía, IEO-CSIC, España, Robinson Altamirano, Centro i~mar, Carolina Miranda, Centro i~mar, Gonzalo Álvarez, Fac. Ciencias del Mar, Dpto. Acuicultura, UCN, Michael Araya, Centro de Investigación y Desarrollo Tecnológico en Algas (CIDTA), UCN, Patricio A. Díaz, Centro de Biotecnología y Bioingeniería, CeBiB; Univ. Los Lagos</t>
  </si>
  <si>
    <t>18 Jun 2024, 17:08</t>
  </si>
  <si>
    <t>Diferenciación en Morfometría de Branquioespinas y su Relación con Niveles Tróficos de Sardina Común y Anchoveta entre las Zonas Centro-Sur y Mar Interior de Chiloé</t>
  </si>
  <si>
    <t>Leonardo Castro Cifuentes (Principal Researcher); Sergio Neira Alarcón (Principal Researcher); Cecilia Valentina Orellana Muñoz (Undergraduate Thesis)</t>
  </si>
  <si>
    <t>Jorge Castillo, IFOP, Chile</t>
  </si>
  <si>
    <t>Pamela Barrientos, Profesional Copas Coastal</t>
  </si>
  <si>
    <t>18 Jun 2024, 17:12</t>
  </si>
  <si>
    <t>Biogeoquímica de la Masa de Agua Intermedia Antártica en la transecta desde Caldera a Isla de Pascua</t>
  </si>
  <si>
    <t>Geraldine Celis, Magíster en Oceanografía, Escuela de Ciencias del Mar, PUCV, Marcela Cornejo, Escuela de Ciencias del Mar e Instituto Milenio de Oceanografía, Pontificia Universidad Católica de Valparaíso, Valparaíso, Chile.</t>
  </si>
  <si>
    <t>Financiamiento: Proyecto CIMAR 26 Islas Oceánicas CONA C26IO22-01, FONDECYT 1211977, Programa de Magister en Oceanografía, PUCV</t>
  </si>
  <si>
    <t>18 Jun 2024, 17:18</t>
  </si>
  <si>
    <t>Efectos de El Niño 2015/16 y El Niño 2023/24 en las condiciones de hidrográficas en las zonas norte y centro de Chile</t>
  </si>
  <si>
    <t>Diego Alonso Narváez Rodríguez (Principal Researcher); María Teresa Gatica Pérez (Undergraduate Thesis)</t>
  </si>
  <si>
    <t>Financiamiento: COPAS COASTAL ANID FB210021</t>
  </si>
  <si>
    <t>18 Jun 2024, 17:22</t>
  </si>
  <si>
    <t>Forzantes en la distribución temporal de óxido nitroso en la capa superficial de la zona de generación de remolinos de mesoescala frente a Valparaíso</t>
  </si>
  <si>
    <t>Constanza Hernández, Escuela Ciencias del Mar, PUCV, Marcela Cornejo, Escuela de Ciencias del Mar e Instituto Milenio de Oceanografía, Pontificia Universidad Católica de Valparaíso, Valparaíso, Chile., Samuel Hormazábal, Escuela Ciencias del Mar, PUCV</t>
  </si>
  <si>
    <t>Financiamiento: FONDECYT 1211977, Laboratorio de Biogeoquímica Marina y de Gases de Efecto Invernadero (PUCV).</t>
  </si>
  <si>
    <t>18 Jun 2024, 17:37</t>
  </si>
  <si>
    <t>Variabilidad ambiental de corto periodo en la temperatura y oxígeno del agua de fondo en localidades de la costa de Chile Central</t>
  </si>
  <si>
    <t>Fabian Jose Tapia Jorquera (Principal Researcher); Camila Latapiat Álvarez de Araya (Undergraduate Thesis)</t>
  </si>
  <si>
    <t>18 Jun 2024, 17:46</t>
  </si>
  <si>
    <t>Cambios en la Interfase Río-Mar de la Patagonia Norte de Chile</t>
  </si>
  <si>
    <t>Fabian Jose Tapia Jorquera (Principal Researcher)</t>
  </si>
  <si>
    <t>Jorge León, Dpto. Química Ambiental, Fac. Ciencias, UCSC/INCAR, Rodrigo Aguayo, Centro EULA-Chile/UdeC, Doris Soto, INCAR, José Luis Iriarte, Centro FONDAP-IDEAL, Andrea Corredor, Centro FONDAP-IDEAL</t>
  </si>
  <si>
    <t>Financiamiento: Proyectos ANID-FONDECYT1221102, ANID-FSEQ210030, FONDAP-INCAR 1523A0007</t>
  </si>
  <si>
    <t>18 Jun 2024, 17:55</t>
  </si>
  <si>
    <t>Impacto de los Eventos de "El Niño" en el Ingreso del Agua Ecuatorial Subsuperficial a la Patagonia Norte</t>
  </si>
  <si>
    <t>Financiamiento: COPAS COASTAL ANID FB210021.</t>
  </si>
  <si>
    <t>18 Jun 2024, 17:58</t>
  </si>
  <si>
    <t>Patricio Díaz, Centro i-mar, Univ. Los Lagos, Laura Farías, SECOS/CR2/UdeC, J. Henríquez, Centro i-mar, Univ. Los Lagos, K. Sanzan, Post Oceanografía, UdeC, C. Rodríguez, Centro i-mar, Univ. Los Lagos, A. Baldrich, CeBiB, Univ. Los Lagos, G. Álvarez, UCN,  Michel Araya, UCN</t>
  </si>
  <si>
    <t>Financiamiento: CIMAR 29F, FONDECYT 1211037, COPAS COASTAL ANID FB210021 y CIEP R20F002</t>
  </si>
  <si>
    <t>18 Jun 2024, 18:11</t>
  </si>
  <si>
    <t>Respuesta de la bahía de Concepción a tormentas invernales</t>
  </si>
  <si>
    <t>Diego Alonso Narváez Rodríguez (Principal Researcher); Marcus Alfonso Sobarzo Bustamante (Principal Researcher); Gonzalo Saldías Yau (Adjunct Researcher); Richard Antonio Muñoz Herrera (Master Thesis)</t>
  </si>
  <si>
    <t>Amin Ali, Pregrado Biología Marina, UdeC</t>
  </si>
  <si>
    <t>Financiamiento: COPAS COASTAL, UdeC</t>
  </si>
  <si>
    <t>18 Jun 2024, 18:16</t>
  </si>
  <si>
    <t>Exposición y Vulnerabilidad de las AMERB al Cambio Climático: Análisis y Recomendaciones</t>
  </si>
  <si>
    <t>Aldo Hernández, Centro de Investigación en Recursos Naturales HOLON SpA, Chile, Oscar Inostroza, HOLON SpA, Carlos Leal, HOLON SpA</t>
  </si>
  <si>
    <t>18 Jun 2024, 18:20</t>
  </si>
  <si>
    <t>Abundancia y diversidad de hongos marinos en aguas de la plataforma continental y fiordos de la Patagonia Chilena</t>
  </si>
  <si>
    <t>Marcelo Hernán Gutiérrez Astete (Principal Researcher); Diego Alonso Narváez Rodríguez (Principal Researcher)</t>
  </si>
  <si>
    <t>Naomi Harada, Japan Agency for Marine-Earth Science &amp; Technology, JAMSTEC, Japan.</t>
  </si>
  <si>
    <t>Financiamiento: COPAS Coastal FB210021</t>
  </si>
  <si>
    <t>18 Jun 2024, 18:29</t>
  </si>
  <si>
    <t>Metales pesados y su potencial biomagnificación en tramas tróficas marinas de Ventanas, Valparaíso, Chile.</t>
  </si>
  <si>
    <t>María Díaz, HUB AMBIENTAL UPLA, Univ. Playa Ancha, Iván Sola, HUB AMBIENTAL UPLA, Univ. Playa Ancha, Jhoel Ruiz, HUB AMBIENTAL UPLA, Univ. Playa Ancha, Francisca Arce, Lab. Análisis Isotópicos, Fac. Ingeniería, UNAB, Carolina Cárcamo, HUB AMBIENTAL UPLA, Univ. Playa Ancha, Juan Vargas,  Lab. Análisis Isotópicos, Fac. Ingeniería, UNAB, María Lobos, Lab. Química Ambiental, Inst. Química y Bioquímica, Fac. Ciencias, UV, Celine Lavergne, HUB AMBIENTAL UPLA, Univ. Playa Ancha, Sebastián Klarian, Centro CIMARQ/UNAB; University of Connecticut, Mansfield, CT, USA., Claudio Sáez, Dpto. Ciencias del Mar y Biología Aplicada, Fac. Ciencias, Univ. Alicante, España</t>
  </si>
  <si>
    <t>Financiamiento: FIC BIP N°40046077, HUB AMBIENTAL UPLA, ANID INES I+D (INID210013); Fondecyt 1211977, COPAS Coastal ANID FB210021, Becas Doc. Nal. ANID, 2022-F21220676.</t>
  </si>
  <si>
    <t>18 Jun 2024, 18:48</t>
  </si>
  <si>
    <t>Efecto de la exposición a ácido okadaico y variaciones ambientales en mecanoreceptores de larvas tempranas de anchoveta (Engraulis ringens)</t>
  </si>
  <si>
    <t>Leonardo Castro Cifuentes (Principal Researcher); Piera Andrea Pepe Vargas (Master Thesis)</t>
  </si>
  <si>
    <t>Catharina Alves-de-Souza, Dpto de Oceanografía UdeC, Alejandra Llanos, Dpto. Oceanografía, UdeC</t>
  </si>
  <si>
    <t>18 Jun 2024, 18:51</t>
  </si>
  <si>
    <t>Adenocystis utricularis (Ochrophyta, Phaeophyceae) como modelo de holobionte Antártico: interacción microbioma-hospedero ante el aumento de temperatura derivado del Cambio Climático</t>
  </si>
  <si>
    <t>Kerina Gonzalez-Pino, HUB AMBIENTAL UPLA, Francisca Morales, HUB AMBIENTAL UPLA, Fernanda Rodriguez-Rojas, HUB AMBIENTAL UPLA</t>
  </si>
  <si>
    <t>Financiamiento: proyecto INACH Regular RT_30-21, Fondecyt-postdoc3240498, Fondecyt Reg1211977 y COPAS Coastal FONDAP BASAL FB210021</t>
  </si>
  <si>
    <t>18 Jun 2024, 18:59</t>
  </si>
  <si>
    <t>Impacto del deshielo de glaciares en la macroalga parda antártica Adenocystis utricularis: biomarcadores y microbioma como herramientas de diagnóstico ambiental.</t>
  </si>
  <si>
    <t>Francisca Morales-Herrera, HUB AMBIENTAL UPLA, Fernanda Rodríguez, Dpto. Ciencias y Geografía, Fac. Ciencias Naturales y Exactas, Univ. Playa Ancha</t>
  </si>
  <si>
    <t>Financiamiento: proyecto INACH Regular RT_30-21, Fondecyt postdoc3240498, Fondecyt Regular1211977 y COPAS Coastal FONDAP BASAL FB210021.</t>
  </si>
  <si>
    <t>18 Jun 2024, 19:20</t>
  </si>
  <si>
    <t>Desde la antártica hasta Francia, un krill a la vez</t>
  </si>
  <si>
    <t>Yanara Morgunovsky, Lab. LaPAB, Univ. Austral de Chile, Danilo Astorga, Lab. Oceanografía Biológica Univ. Austral de Chile, Dantes Arduam, Inst. Ciencias Físicas y Matemáticas, Univ. Austral de Chile, Cristian Cofré, Inst. Informática, Univ. Austral de Chile,  Matilde Rivas, Inst. Milenio Fundamentos de los Datos, UC, Octavio Mercado, Lab. LaPAB, Univ. Austral de Chile/COPAS Coastal</t>
  </si>
  <si>
    <t>Financiamiento: Instituto francés INRIA, VIDCA-UACh, Fondecyt Regular 1210988.</t>
  </si>
  <si>
    <t>18 Jun 2024, 19:33</t>
  </si>
  <si>
    <t>Modelación del cambio climático sobre la idoneidad de hábitat de los principales recursos pesqueros de la zona centro-sur de Chile</t>
  </si>
  <si>
    <t>Diego Alonso Narváez Rodríguez (Principal Researcher); Sergio Neira Alarcón (Principal Researcher); Ana María Arriagada Millán (PhD Thesis); Nicolás Esteban Eduardo Muñoz Aroca (PhD Thesis); Rubén Alfredo Alarcón Muñoz (PhD Thesis)</t>
  </si>
  <si>
    <t>Reinaldo Rivera, Instituto Milenio de Oceanografía</t>
  </si>
  <si>
    <t>Doctorado Ciencias c/m Manejo de Recursos Acuáticos Renovables, MaReA, UdeC. Universidad Andrés Bello. _x000D_
Center COPAS Coastal ANID FB 210021, Instituto Milenio de Oceanografía</t>
  </si>
  <si>
    <t>10 Jun 2024, 11:42</t>
  </si>
  <si>
    <t>Síntesis Bifásica de Hidroxiapatita/? - Fosfato Tricálcico a Partir de Exoesqueletos de Concholepas Concholepas</t>
  </si>
  <si>
    <t>Gabriel Paredes,  Laboratorio de Investigación y Desarrollo, MicBiotech SpA, Concepción, Chile, Carolina Barriga, MicBiotech SpA; LiveBone SpA, Vilma Sanhueza, 3Instituto de Geología Económica Aplicada (GEA), UdeC, Javier Barros, MicBiotech SpA; LiveBone SpA</t>
  </si>
  <si>
    <t>10 Jun 2024, 12:09</t>
  </si>
  <si>
    <t>Estructura espacial no-lineal del desove de tres peces pelágicos pequeños en la Zona Estuarina de la Patagonia Norte de Chile</t>
  </si>
  <si>
    <t>Leonardo Castro Cifuentes (Principal Researcher); Luis Antonio Cubillos Santander (Adjunct Researcher); Juan Víctor Antón Heredia (PhD Thesis)</t>
  </si>
  <si>
    <t>10 Jun 2024, 13:03</t>
  </si>
  <si>
    <t>Influencia de la Profundidad y Temperetura sobre la Tasa de Captura en la Pesquería de Arrastre Pelágico del krill antártico (Euphausia superba Dana, 1850) en isla Orcadas del Sur e isla Georgia del Sur (2018-2022)</t>
  </si>
  <si>
    <t>Gabriela Torretti, Magister en Ciencias con mención en Pesquerías, UdeC</t>
  </si>
  <si>
    <t>10 Jun 2024, 14:18</t>
  </si>
  <si>
    <t>Índices de biomasa con modelo espaciotemporal mejora la evaluación del estatus de crustáceos demersales</t>
  </si>
  <si>
    <t>Luis Antonio Cubillos Santander (Adjunct Researcher); Juan Víctor Antón Heredia (PhD Thesis)</t>
  </si>
  <si>
    <t>María José Cuevas, Lab. EPOMAR, UdeC; Centro de Evaluación de Pesquera y Manejo de Recursos SpA, Concepción, Blanca Bustos, Lab. EPOMAR, UdeC</t>
  </si>
  <si>
    <t>10 Jun 2024, 14:26</t>
  </si>
  <si>
    <t>Simposio II, Experiencias y progresos en Evaluación de Estrategias de Manejo (EEM) en pesquerías chilenas, XLIII CCM2024</t>
  </si>
  <si>
    <t>Reglas de control como herramientas de manejo bajo un ambiente cambiante: desafíos para la implementación de la nueva ley de pesca</t>
  </si>
  <si>
    <t>10 Jun 2024, 14:34</t>
  </si>
  <si>
    <t>VIII Simposio de Divulgación en Ciencias del Mar, XLIII CCM2024</t>
  </si>
  <si>
    <t>Los desafíos de implementar un Centro de Interpretación Ambiental y Turístico en Caleta Tortel</t>
  </si>
  <si>
    <t>Silvio César Pantoja Gutiérrez (Principal Researcher); Mitzi  Mireya Acevedo Ejzman (Other Center/Project Researcher); Paul Gregorio Gómez Canchong (Other Center/Project Researcher)</t>
  </si>
  <si>
    <t>10 Jun 2024, 15:02</t>
  </si>
  <si>
    <t>Trasplantes como una estrategia de estudio de respuestas microbianas a cambios ambientales en ecosistemas diversos</t>
  </si>
  <si>
    <t>Marcelo Hernán Gutiérrez Astete (Principal Researcher); Veronica Andrea Molina Trincado (Principal Researcher); Polette Yanara Aguilar Muñoz (Postdoctoral Fellow); Camila Eugenia Calderón Quirgas (Master Thesis)</t>
  </si>
  <si>
    <t>Sara Beier, Department of Biological Oceanography, Leibniz Institute for Baltic Sea Research Warnemünde (IOW), Rostock, Germany, Marcela Cornejo, Escuela Ciencias del Mar e Instituto Milenio Oceanografía, Pontificia Univ. Católica Valparaíso, Paula Celis-Pla, HUB Ambiental UPLA y Departamento de Ciencias y Geografía, Univ. Playa Ancha, Céline Lavergne, HUB Ambiental UPLA y Departamento de Ciencias y Geografía, Univ. Playa Ancha, Fernánda Rodríguez,HUB Ambiental UPLA y Departamento de Ciencias y Geografía, Univ. Playa Ancha, Yoanna Eissler, Instituto de Química y Bioquímica, Fac. Ciencias, Univ. Valparaíso, Eduardo Castro, Dpto. Microbiología, Fac. Ciencias de la Salud, Univ. Talca</t>
  </si>
  <si>
    <t>Financiamiento: FONDECYT grants Nº 1211977, FONDAP Coastal Proyecto ANID FB210021</t>
  </si>
  <si>
    <t>17 Jun 2024, 16:07</t>
  </si>
  <si>
    <t>MetaCosmos: Efecto de Antibióticos sobre la Estructura de las Comunidades Microbiana del Fiordo de Comau</t>
  </si>
  <si>
    <t>Felipe G. Bermúdez, Dpto. Microbiología, Fac. Ciencias de la Salud, Univ. Talca; Centro Ecología Integrativa, Univ. Talca, Valentín Berríos-Farías, Dpto. Microbiología, Fac. Ciencias de la Salud, Univ. Talca; Centro Ecología Integrativa, Univ. Talca, Eduardo Castro-Nallar, Dpto. Microbiología, Fac. Ciencias de la Salud, Univ. Talca; Centro Ecología Integrativa, Univ. Talca</t>
  </si>
  <si>
    <t>Financiamiento: FONDECYT 1200834, FONDECYT 1240871</t>
  </si>
  <si>
    <t>17 Jun 2024, 16:17</t>
  </si>
  <si>
    <t>Dilucidando las respuestas biogeoquímicas de los ecosistemas costeros a eventos de temperaturas extremas</t>
  </si>
  <si>
    <t>camila del pilar fernandez ibanez (Director); Veronica Andrea Molina Trincado (Principal Researcher); Diego Alonso Narváez Rodríguez (Principal Researcher); Polette Yanara Aguilar Muñoz (Postdoctoral Fellow); Valentina Paz Valdés Castro (Postdoctoral Fellow)</t>
  </si>
  <si>
    <t xml:space="preserve">Fernanda Rodríguez, CNRS UMR LOMIC Observatoire Oceanologique de Banyuls sur Mer, Francia.; Dpto. Ciencias y Geografía &amp; HUB AMBIENTAL, UPLA </t>
  </si>
  <si>
    <t>Financiamiento: Fondecyt postdoctorado 3210481, INACH Regular RT_30-21, COPAS Coastal ANID FB210021, Fondecyt regular 1211977</t>
  </si>
  <si>
    <t>17 Jun 2024, 16:23</t>
  </si>
  <si>
    <t xml:space="preserve">Simponsio XI, Ambientes costeros emergentes asociadas a eventos extremos: Nuevas fronteras y aproximaciones experimentales, XLIII CCM2024 </t>
  </si>
  <si>
    <t>Hipoxia ambiental, respuesta desde la microbiota de invertebrados marinos</t>
  </si>
  <si>
    <t>Marcelo Hernán Gutiérrez Astete (Principal Researcher); Fabian Jose Tapia Jorquera (Principal Researcher); Mireia Mestre Martín (Adjunct Researcher); Valentina Marjorie Valenzuela Muñoz (Adjunct Researcher); Cristian Jorge Gallardo Escarate (Adjunct Researcher); Gerdhard Leonard Jessen Reyes (Adjunct Researcher); Sergio Andres Navarrete Campos (Adjunct Researcher)</t>
  </si>
  <si>
    <t>María Morales-Rivera, Fac. Ciencias Naturales, Escuela de Medicina Veterinaria, Univ. San Sebastián</t>
  </si>
  <si>
    <t>María Morales-Rivera, co-investigador proyecto HIT Copas Coastal._x000D_
Financiamiento: COPAS COASTAL FB210021, Proyecto HIT COPAS-COASTAL y FONDAP (1522A0004)</t>
  </si>
  <si>
    <t>17 Jun 2024, 16:32</t>
  </si>
  <si>
    <t>Coordinador Principal del Simposio: Paúl Gómez_x000D_
Profesional, Rodrigo Mansilla_x000D_
Financiamiento: ANID FB210021 y CP21-E026</t>
  </si>
  <si>
    <t>17 Jun 2024, 17:21</t>
  </si>
  <si>
    <t>Simposio V, Hacia una norma secundaria de calidad ambiental de la zona costera del Golfo de Arauco: antecedentes actualizados relevantes para su elaboración, XLIII CCM2024</t>
  </si>
  <si>
    <t>Usos de la zona costera en el Golfo de Arauco: importancia ambiental y ecológica</t>
  </si>
  <si>
    <t>Aldo Hernández, Centro de Investigación en Recursos Naturales HOLON SpA, Chile, Oscar Inostroza-Michael, HOLON SpA, Marco Salamanca, , Cristian Chandía, Lab. Oceanografía Química (LOQ),, Eduardo Hernández-Miranda, Dpto. Oceanografía, Fac. de Ciencias Naturales y Oceanográficas, UdeC; LOQ-UdeC; INCAR, José M. Bogdanovich, Consultora Geobiota, Chile, Carlos Leal, HOLON SpA; Doc. Ciencias Ambientales c/m Sistemas Acuáticos Continentales, UdeC</t>
  </si>
  <si>
    <t>Proyecto RMGA, Red de Monitoreo Ambiental de Ecosistemas Marinos del golfo de Arauco,  Ministerio del Medio Ambiente</t>
  </si>
  <si>
    <t>17 Jun 2024, 17:35</t>
  </si>
  <si>
    <t>Hidrodinámica del golfo de Arauco</t>
  </si>
  <si>
    <t>Programa de Estudios Ecosistémicos del golfo de Arauco (PREGA). UdeC y Celulosa Arauco y Constitución. Centro Interdisciplinario para la Investigación Acuícola (INCAR), UdeC</t>
  </si>
  <si>
    <t>17 Jun 2024, 17:42</t>
  </si>
  <si>
    <t>Cambios hidrográficos estacionales a lo largo de la costa del golfo de Arauco (37ºS)</t>
  </si>
  <si>
    <t>Marcus Alfonso Sobarzo Bustamante (Principal Researcher); Odette Alejandra Vergara Soto (Adjunct Researcher); Gonzalo Saldías Yau (Adjunct Researcher); Josselyn Nathaly Contreras Rojas (Master Thesis); Richard Antonio Muñoz Herrera (Master Thesis)</t>
  </si>
  <si>
    <t>Luis Bermedo, INCAR, COPAS COASTAL , Cristian Chandia, HOLON; Lab. Oceanografía Química-LOQ, Aldo Hernández, Centro de Investigación en Recursos Naturales HOLON SpA, Chile, Eduardo Hernández-Miranda, Dpto. Oceanografía. Fac. Ciencias Naturales y Oceanográficas. UdeC; LOQ-UdeC , Marco Salamanca, Dpto. Oceanografía. Fac. Ciencias Naturales y Oceanográficas. UdeC; LOQ-UdeC</t>
  </si>
  <si>
    <t>Proyecto RMGA Red de Monitoreo Ambiental de Ecosistemas Marinos del golfo de Arauco, Ministerio del Medio Ambiente</t>
  </si>
  <si>
    <t>17 Jun 2024, 17:55</t>
  </si>
  <si>
    <t>Una aproximación multiplataforma para evaluar el efecto de las olas de calor sobre los patrones de distribución y abundancia de ballenas fin en la corriente de Humboldt</t>
  </si>
  <si>
    <t>Susannah Janet Buchan (Principal Researcher); Diego Alonso Narváez Rodríguez (Principal Researcher); Luis Francisco Bedriñana Romano (Adjunct Researcher); Boris DEWITTE (Adjunct Researcher)</t>
  </si>
  <si>
    <t xml:space="preserve"> Rodrigo Hucke-Gaete, NGO Centro Ballena Azul, Chile, Maritza Sepúlveda, Centro de Investigación y Gestión de Recursos Naturales (CIGREN), Chile, Carlos Olavarría, Centro de Estudios Avanzados en Zonas Áridas, Kathleen M. Stafford, Marine Mammal Institute, Oregon State University, USA, Robert Bello, IFOP, Chile, Ilia Cari, IFOP, Chile,  Ljubitza Clavijo, IFOP, Chile, Patrici Zrate, IFOP, Chile,  Alexandre N. Zerbini, NOAA, Seattle, USA;  Marine Ecology &amp;Telemetry Research, USA; Instituto Aqualie, Brazil</t>
  </si>
  <si>
    <t>Octavio Mercado-Peña, profesional apoyo COPAS (Organizar, procesar bases de datos y modelación)</t>
  </si>
  <si>
    <t>10 Jun 2024, 12:40</t>
  </si>
  <si>
    <t>1º Coloquio Internacional Consideraciones para la sostenibilidad social y medioambiental de la pesca artesanal en América Latina</t>
  </si>
  <si>
    <t>Pendiente</t>
  </si>
  <si>
    <t>Organizado por Facultad de Ingeniería Pesquera y de Alimentos (FIPA) de la Universidad Nacional del Callao (UNAC), Instituto Marítimo de Corea(KMI), Korea – Latin America Ocean and Fisheries Cooperation Center –KOLAC.</t>
  </si>
  <si>
    <t>19 Aug 2024, 19:24</t>
  </si>
  <si>
    <t>Curso KOPAR Capacitación</t>
  </si>
  <si>
    <t>Curso básico de seguridad y familiarización abordo</t>
  </si>
  <si>
    <t>Postdoc. Pamela Muñoz Linford</t>
  </si>
  <si>
    <t>08 Aug 2024, 12:59</t>
  </si>
  <si>
    <t xml:space="preserve">Programa Tecnología y Movilización de Datos Oceánicos de la Cuenca del Pacífico, PRODIGY </t>
  </si>
  <si>
    <t>Uso de equipos oceanográficos y análisis de datos</t>
  </si>
  <si>
    <t>El curso fue impartido por Programa Tecnología y Movilización de Datos Oceánicos de la Cuenca del Pacífico, PRODIGY (siglas en inglés), Universidad de Columbia Británica, Vancouver, Canadá, en  las estaciones marinas Bamfield y el Instituto Hakai dirigida a estudiantes de programas de postgrado en oceanografía de diferentes universidades. Asistentes: 15</t>
  </si>
  <si>
    <t>07 Aug 2024, 18:54</t>
  </si>
  <si>
    <t>Puerto de Ideas Antofagasta</t>
  </si>
  <si>
    <t>La vida secreta de las ballenas azules en chile</t>
  </si>
  <si>
    <t>Susannah Janet Buchan (Principal Researcher); Luis Francisco Bedriñana Romano (Adjunct Researcher)</t>
  </si>
  <si>
    <t>Asistieron 200 personas</t>
  </si>
  <si>
    <t>18 Apr 2024, 17:32</t>
  </si>
  <si>
    <t>Meetins EGU General Assembly, European Geosciences Union</t>
  </si>
  <si>
    <t>Iván Ernesto Pérez Santos (Adjunct Researcher); Pamela Karina Muñoz Linford (PhD Thesis)</t>
  </si>
  <si>
    <t>Lauren Ross, University of Maine, Civil and Environmental Engineering, Orono, United States of America, Patricio Diaz, Centro i~mar, Universidad de Los Lagos, Puerto Montt, Chile</t>
  </si>
  <si>
    <t>22 Apr 2024, 11:28</t>
  </si>
  <si>
    <t>Physical, biological, and chemical inter-processes in fjords</t>
  </si>
  <si>
    <t>Iván Ernesto Pérez Santos (Adjunct Researcher); Gonzalo Saldías Yau (Adjunct Researcher); Macarena Paz Díaz Astudillo (Postdoctoral Fellow); Pamela Karina Muñoz Linford (Postdoctoral Fellow); Richard Antonio Fernández Melgarejo (Undergraduate Thesis)</t>
  </si>
  <si>
    <t>Ramiro Riquelme-Bugueño, Carlos Lara, Facundo Barrera, Mauricio Ladaeta, Camila Schwerter, Sara Arenas-Uribe, Pilar Navarro, Guido Mancilla-Gutiérrez, Erika Jorquera</t>
  </si>
  <si>
    <t>Centro i-mar de la Universidad de los Lagos; Center for Oceanographic Research COPAS Sur-Austral and COPAS COASTAL, Universidad de Concepción; Centro de Investigaciones en Ecosistemas de la Patagonia (CIEP); CeBiB, Universidad de Los Lagos, Civil and Environmental Engineering University of Maine, Orono, ME, USA; Dpto. Zoología, FCNO, UdeC; Instituto Milenio de Oceanografía (IMO), UdeC; Dpto. Ecología, Facultad de Ciencias, UCSC; Centro de Investigación en Recursos Naturales y Sustentabilidad, UBO; Centro Austral de Investigaciones Científicas (CADIC-CONICET), Tierra del Fuego, Argentina; Fundación Bariloche, San Carlos de Bariloche, Río Negro, Argentina; CONICET, Buenos Aires, Argentina; Zero Carbono, Chile; Dpto. Física, Facultad de Ciencias, UBB; Universidad de Valparaíso; Instituto Milenio en Socio-Ecología Costera (SECOS)</t>
  </si>
  <si>
    <t>22 Apr 2024, 11:55</t>
  </si>
  <si>
    <t>The influence of a submarine canyon on the wind-driven downwelling circulation over the continental shelf</t>
  </si>
  <si>
    <t>Gonzalo Saldías Yau (Adjunct Researcher); Pedro Andrés Figueroa Güenante (Master Thesis)</t>
  </si>
  <si>
    <t>Susan Allen, Department of Earth, Ocean and Atmospheric Sciences, University of British Columbia, Vancouver, Canada</t>
  </si>
  <si>
    <t>22 Apr 2024, 12:45</t>
  </si>
  <si>
    <t>Myr record of export production at the Pacific entrance of the Drake Passage considering syndepositional redistribution of sediments</t>
  </si>
  <si>
    <t>Maria Toyos Simon, MARUM – Cen­ter for Mar­ine En­vir­on­mental Sci­ences, Uni­versity of Bre­men, Germany, Frank Lamy &amp; Lester Lembke-Jene, Alfred-Wegener-Institut, Helmholtz-Zentrum für Polar und Meeresforschung, Bremerhaven, Germany, Jordan T. Abell, Centro de Investigación Dinámica de Ecosistemas Marinos de Altas Latitudes (IDEAL), Universidad Austral de Chile, Helge W. Arz, Leibniz-Institut für Ostseeforschung Warnemünde (IOW), Rostock-Warnemünde, Germany, Gisela Winckler,Lamont-Doherty Earth Observatory, Columbia University, Palisades, USA</t>
  </si>
  <si>
    <t>22 Apr 2024, 13:00</t>
  </si>
  <si>
    <t>Environmental parameters affect palaeothermometry of Alkenones and GDGTs: A case study at the Southern Chilean Margin (46° S)</t>
  </si>
  <si>
    <t>Julia Rieke &amp; Frank Lamy, Alfred-Wegener-Institute, Geoscience, Bremerhaven, Germany , Alfredo Martínez-Garcia, , Jérôme Kaiser, , Lester Lembke-Jene,, Helge W. Arz, Leibniz Institute for Baltic Sea Research, department of Marine Geology, Rostock-Warnemuende, Germany, Ralf Tiedemann, Leibniz Institute for Baltic Sea Research, department of Marine Geology, Rostock-Warnemuende, Germany</t>
  </si>
  <si>
    <t>22 Apr 2024, 15:00</t>
  </si>
  <si>
    <t>Dinámica de las olas de calor marinas e impactos en ecosistemas costeros y estuarinos</t>
  </si>
  <si>
    <t>Coastal MHWs in West Antarctic Peninsula</t>
  </si>
  <si>
    <t>Organizan: Partnership for Obsevation of the Global Ocean, Pogo; Institute for Marine and Antarctic Studies, IMAS, Universidad de Tasmania; DGEO Universidad de Concepción; Centro COPAS COASTAL, INTESAL SalmonChile._x000D_
Dra. Andrea Piñones, además participa como organizadora del evento</t>
  </si>
  <si>
    <t>09 Apr 2024, 17:41</t>
  </si>
  <si>
    <t>Marine heatwaves dynamics and impacts on coastal and estuarine ecosystems</t>
  </si>
  <si>
    <t>Synoptic-intraseasonal modulation of atmospheric heatwaves and related coastal ocean impacts in south Chile</t>
  </si>
  <si>
    <t>Diego Alonso Narváez Rodríguez (Principal Researcher); Martín Sebastián Jacques Coper (Adjunct Researcher); Sebastián Vásquez Pastene (PhD Thesis)</t>
  </si>
  <si>
    <t>09 Apr 2024, 17:48</t>
  </si>
  <si>
    <t>Detection of MHWs in fjord-like environment (Chilean Patagonia)</t>
  </si>
  <si>
    <t>Cécile Fanny Pujol (PhD Thesis)</t>
  </si>
  <si>
    <t>09 Apr 2024, 17:50</t>
  </si>
  <si>
    <t>Marine Heatwave onset drives dry and warm conditions inside a Patagonian Fjord</t>
  </si>
  <si>
    <t>Diego Alonso Narváez Rodríguez (Principal Researcher); Fabian Jose Tapia Jorquera (Principal Researcher); Gonzalo Saldías Yau (Adjunct Researcher); Pedro Andrés Figueroa Güenante (Master Thesis)</t>
  </si>
  <si>
    <t>09 Apr 2024, 17:52</t>
  </si>
  <si>
    <t>Anomalies in copepod abundances triggered by marine heatwaves off northern Chile: Are there combined effects with El Niño events?</t>
  </si>
  <si>
    <t>Macarena Paz Díaz Astudillo (Postdoctoral Fellow); Pedro Andrés Figueroa Güenante (Master Thesis)</t>
  </si>
  <si>
    <t>09 Apr 2024, 17:55</t>
  </si>
  <si>
    <t>18 Apr 2024, 17:57</t>
  </si>
  <si>
    <t>7th Zooplankton Production Symposium (ZPS)</t>
  </si>
  <si>
    <t>Contrasting responses of euphausiid species to environmental and biological drivers explain the low krill diversity of the Humboldt Current System coastal area</t>
  </si>
  <si>
    <t>Gonzalo Saldías Yau (Adjunct Researcher); Macarena Paz Díaz Astudillo (Postdoctoral Fellow)</t>
  </si>
  <si>
    <t>Kim Bernard, Oregon State University,  Ramiro Riquelme-Bugueño, Dpto. Zoología, Fac. Ciencias Naturales y Oceanográficas, UdeC</t>
  </si>
  <si>
    <t>Participación como presentadora y co-organizadora de la sesión 15: Recent advances in global euphausiid ecology</t>
  </si>
  <si>
    <t>13 Mar 2024, 15:28</t>
  </si>
  <si>
    <t>Diel changes in the distribution of zooplankton over a steep submarine canyon: Is there evidence of canyon-induced transport?</t>
  </si>
  <si>
    <t>Gonzalo Saldías Yau (Adjunct Researcher); Macarena Paz Díaz Astudillo (Postdoctoral Fellow); Pedro Andrés Figueroa Güenante (Master Thesis)</t>
  </si>
  <si>
    <t>Ramiro Riquelme-Bugueño, Dpto. Zoologia, Fac. Ciencia Naturales y Oceanográficas. UdeC,  Manuel Castillo, Fac. Ciencias del Mar y Recursos Naturales, Univ. Valparaíso</t>
  </si>
  <si>
    <t>13 Mar 2024, 15:31</t>
  </si>
  <si>
    <t>32nd Fungal Genetics Conference</t>
  </si>
  <si>
    <t>Ecology of marine fungi in the South Pacific Ocean off Chile</t>
  </si>
  <si>
    <t>Abstract Books, page:192-193</t>
  </si>
  <si>
    <t>24 Jan 2024, 15:11</t>
  </si>
  <si>
    <t>Ocean Science Meeting 2024 (OSM24)</t>
  </si>
  <si>
    <t>Impact of ENSO on the inflow of the equatorial susrface water into the patagonian fjords</t>
  </si>
  <si>
    <t>24 Jan 2024, 13:06</t>
  </si>
  <si>
    <t>Workshop Serie online Zoom</t>
  </si>
  <si>
    <t>Mortalidad natural con árboles de clasificación y panel interactivo</t>
  </si>
  <si>
    <t>Asistentes:12 personas</t>
  </si>
  <si>
    <t>08 Mar 2024, 11:33</t>
  </si>
  <si>
    <t>Encuentro de Investigación UdeC, concomimiento que transforma</t>
  </si>
  <si>
    <t>Resolviendo preguntas biofísicas a través de modelación hidrodinámica-biogeoquímica de alta resolución en Chile central</t>
  </si>
  <si>
    <t>22 Mar 2024, 16:09</t>
  </si>
  <si>
    <t>Oceanografía para la década 2020-2030: una perspectiva desde el océano costero</t>
  </si>
  <si>
    <t>22 Mar 2024, 16:10</t>
  </si>
  <si>
    <t>Austral Summer Institute XXI Understanding the impact of climate change on the coastal ocean</t>
  </si>
  <si>
    <t>Epigenetics phenomena connecting climate change and coastal marine species</t>
  </si>
  <si>
    <t>camila del pilar fernandez ibanez (Director); Marcelo Hernán Gutiérrez Astete (Principal Researcher); Diego Alonso Narváez Rodríguez (Principal Researcher); Silvio César Pantoja Gutiérrez (Principal Researcher); Fabian Jose Tapia Jorquera (Principal Researcher); Cristian Jorge Gallardo Escarate (Adjunct Researcher); Carina Beatriz Lange Mahn (Adjunct Researcher)</t>
  </si>
  <si>
    <t>Dr. Steven Roberts, University of Washington, United States</t>
  </si>
  <si>
    <t>Romina San Martín (Finance), Monica Sorondo (Management &amp; Logistics)</t>
  </si>
  <si>
    <t>28 Aug 2024, 12:39</t>
  </si>
  <si>
    <t>Gordon Research Conference (GRC) Geobiology 2024</t>
  </si>
  <si>
    <t>18 Mar 2024, 16:52</t>
  </si>
  <si>
    <t>Austral Summer Institute XXI “Understanding the impact of climate change on the coastal ocean</t>
  </si>
  <si>
    <t>Paleohydrology: Inferring past climate and environmental changes from coastal sediments</t>
  </si>
  <si>
    <t>camila del pilar fernandez ibanez (Director); Marcelo Hernán Gutiérrez Astete (Principal Researcher); Diego Alonso Narváez Rodríguez (Principal Researcher); Silvio César Pantoja Gutiérrez (Principal Researcher); Fabian Jose Tapia Jorquera (Principal Researcher); Cristian Jorge Gallardo Escarate (Adjunct Researcher)</t>
  </si>
  <si>
    <t>Dr. Sébastien Bertrand, Paris-Saclay University, France</t>
  </si>
  <si>
    <t xml:space="preserve">Romina San Martín (Finance), Monica Sorondo (Management &amp; Logistics)_x000D_
_x000D_
 </t>
  </si>
  <si>
    <t>27 Aug 2024, 19:10</t>
  </si>
  <si>
    <t>FB210024</t>
  </si>
  <si>
    <t>Curso Internacional Teórico-Práctico "Aplicaciones del cultivo celular en la investigación de compuestos bioactivos"</t>
  </si>
  <si>
    <t>2. BioME - Biomaterials and Biomedical Engineering</t>
  </si>
  <si>
    <t>“Desafíos en la producción de biofármacos con la plataforma de células CHO”</t>
  </si>
  <si>
    <t>Claudia Victoria Altamirano GOMEZ (Principal Researcher)</t>
  </si>
  <si>
    <t>02 Sep 2025, 21:20</t>
  </si>
  <si>
    <t>Francisca Andrea Alcayaga Miranda (Principal Researcher)</t>
  </si>
  <si>
    <t>1. BioRED - Biomedical Research and Development</t>
  </si>
  <si>
    <t>Claudia Prieto Vasquez (Principal Researcher)</t>
  </si>
  <si>
    <t>3. AI Bio - Artificial intelligence in Bioinformatics and Healthcare</t>
  </si>
  <si>
    <t>Eliana Lara (PhD Thesis)</t>
  </si>
  <si>
    <t>María Jesus Araya (PhD Thesis)</t>
  </si>
  <si>
    <t>Nutrition and Neurodevelopment: Participation of Vitamin E in the Differentiation of the Early Brain</t>
  </si>
  <si>
    <t>Dolores Busso PERKINS (Adjunct Researcher)</t>
  </si>
  <si>
    <t>4. Clinical Traslation</t>
  </si>
  <si>
    <t>02 Sep 2025, 21:15</t>
  </si>
  <si>
    <t>Paloma Fuentes (Postdoctoral Fellow)</t>
  </si>
  <si>
    <t>Maroun Khoury (Director)</t>
  </si>
  <si>
    <t>Rene  Michael Botnar (Principal Researcher)</t>
  </si>
  <si>
    <t>02 Sep 2025, 15:49</t>
  </si>
  <si>
    <t>Primer Seminario de Innovación y Desarrollo de Productos Terapias Avanzadas</t>
  </si>
  <si>
    <t>¿Estamos preparados a ofrecer terapia avanzada en Chile?</t>
  </si>
  <si>
    <t>02 Sep 2025, 15:57</t>
  </si>
  <si>
    <t>: BioSmart - Biomateriales inteligentes para la Ingeniería de Tejidos</t>
  </si>
  <si>
    <t>¿Cómo potenciar las propiedades terapéuticas de las MSc?: Una mirada a los métodos de potenciación</t>
  </si>
  <si>
    <t>02 Sep 2025, 21:01</t>
  </si>
  <si>
    <t>BioSmart - Biomateriales inteligentes para la Ingeniería de Tejidos</t>
  </si>
  <si>
    <t>“Evaluación de suplementos mediante enfoque de Diseño basado en Calidad para producción de vesículas extracelulares pequeñas derivadas de células estromales mesenquimales humanas de cordón umbilical”</t>
  </si>
  <si>
    <t>Paloma Fuentes</t>
  </si>
  <si>
    <t>02 Sep 2025, 21:03</t>
  </si>
  <si>
    <t xml:space="preserve"> 7th Annual Meeting ASOCHIN</t>
  </si>
  <si>
    <t>Mesenchymal Stem/Stromal Cells as a potential immunosuppressive mechanism for inflammatory and auroimmune diseases”</t>
  </si>
  <si>
    <t>02 Sep 2025, 16:16</t>
  </si>
  <si>
    <t>VII ASOCHIN Anual Meeting</t>
  </si>
  <si>
    <t>Role of mitochondrial transfer of Mesenchymal stem/stromal cells on the phenotype and metabolism of synovial macrophages to restrain the progression of Osteoarthritis REPROGRAMMING OF SYNOVIAL MACROPHAGES IN PATIENTS WITH OSTEOARTHRITIS</t>
  </si>
  <si>
    <t>Liliana Yantén (PhD Thesis)</t>
  </si>
  <si>
    <t>02 Sep 2025, 17:24</t>
  </si>
  <si>
    <t>Circulating cell-free mitochondria treatment in the memory CD4+ T cells reduces proliferation and differentiation.</t>
  </si>
  <si>
    <t>Yessia Hidalgo Fadic (Adjunct Researcher); Rocio Lorca (Other Center/Project Researcher)</t>
  </si>
  <si>
    <t>Jose Corrales</t>
  </si>
  <si>
    <t>02 Sep 2025, 17:45</t>
  </si>
  <si>
    <t>Incorporation of circulating cell-free circulating mitochondria from older donor cells into CD4+ T cells from young donors modulates the senescent phenotype</t>
  </si>
  <si>
    <t>Jose Corrales, Bruno torres</t>
  </si>
  <si>
    <t>VII ANNUAL MEETING - ASOCHIN</t>
  </si>
  <si>
    <t xml:space="preserve">Mitochondrial transfer from cancer cells to immune cells: a new cancer immune evasion mechanism? </t>
  </si>
  <si>
    <t>Camila Fuentes (Postdoctoral Fellow)</t>
  </si>
  <si>
    <t>02 Sep 2025, 18:15</t>
  </si>
  <si>
    <t>Simposio Teórico-Práctico: Análisis de datos y herramientas de Software para Citometría de Flujo.</t>
  </si>
  <si>
    <t>María Paz Hernandez (Postdoctoral Fellow)</t>
  </si>
  <si>
    <t>Reunión Anual de la “Sociedad de Biología Celular de Chile (SBCCH)” 2024</t>
  </si>
  <si>
    <t>Mitochondria-derived reactive oxygen species induces overdifferentiation of neural stem/progenitor cells after non-cytotoxic cisplatin exposure</t>
  </si>
  <si>
    <t>Felipe Bustamante Barrientos (Postdoctoral Fellow)</t>
  </si>
  <si>
    <t>02 Sep 2025, 17:06</t>
  </si>
  <si>
    <t>Chilean Society for Cell Biology – XXXVI Annual Meeting</t>
  </si>
  <si>
    <t xml:space="preserve"> “Mitochondrial transplant reduces mitochondrial dysfunction in pulmonary arterial smooth muscle cells exposed to chronic hypoxia”. Sebastian Castillo-Galán &amp; Jimena Cuenca.</t>
  </si>
  <si>
    <t>Jimena Cuenca Moreno (Principal Researcher); Sebastián Castillo (Postdoctoral Fellow)</t>
  </si>
  <si>
    <t>Matias Sauma</t>
  </si>
  <si>
    <t>02 Sep 2025, 18:29</t>
  </si>
  <si>
    <t xml:space="preserve">“Therapeutic Potential of Mitochondrial Transplantation in Viral-Induced Cellular Damage”. </t>
  </si>
  <si>
    <t>Jimena Cuenca Moreno (Principal Researcher); Felipe Andrés Grunenwald Bravo (Postdoctoral Fellow); Sebastián Castillo (Postdoctoral Fellow); Diego Muñoz (Undergraduate Thesis); Francisca Rodriguez (Undergraduate Thesis); Tamara Inostroza (Undergraduate Thesis)</t>
  </si>
  <si>
    <t>Biodistribution of Intravenously Transplanted Mitochondria and MAVS-Enriched Mitochondria in Healthy Mice”.</t>
  </si>
  <si>
    <t>Jimena Cuenca Moreno (Principal Researcher); Felipe Andrés Grunenwald Bravo (Postdoctoral Fellow); Sebastián Castillo (Postdoctoral Fellow); Nicolas George (PhD Thesis)</t>
  </si>
  <si>
    <t xml:space="preserve">Matias Sauma </t>
  </si>
  <si>
    <t>02 Sep 2025, 18:34</t>
  </si>
  <si>
    <t>Metabolismo de células de mamífero en cultivo</t>
  </si>
  <si>
    <t>10th Latin-American Symposium on Animal Cell Technology (SLATCC)</t>
  </si>
  <si>
    <t>, Study and Control of Oxidative State in the Proliferation of Human Umbilical Cord-Derived Mesenchymal Stem Cells</t>
  </si>
  <si>
    <t xml:space="preserve">Cristian Torres, Valeria de María </t>
  </si>
  <si>
    <t>02 Sep 2025, 21:12</t>
  </si>
  <si>
    <t xml:space="preserve"> SLATCC 2024</t>
  </si>
  <si>
    <t>02 Sep 2025, 16:14</t>
  </si>
  <si>
    <t>X Simposio Latinoamericano de Tecnología de Cultivos Celulares</t>
  </si>
  <si>
    <t>Advancement I ncell therapy fro m speakeasy to frontscene</t>
  </si>
  <si>
    <t>02 Sep 2025, 15:54</t>
  </si>
  <si>
    <t>X Simposio Latinoamericano de Tecnologías de Cultivos Celulares</t>
  </si>
  <si>
    <t>Desarrollo de líneas celulares para la producción de bioterapéuticos</t>
  </si>
  <si>
    <t>02 Sep 2025, 20:59</t>
  </si>
  <si>
    <t>X Simposio Latinoamericano de Tecnologías de Cultivos Celula</t>
  </si>
  <si>
    <t>“IMPACT OF GALACTOSE/LACTATE SUPPLEMENTATION T CELLS DIFFERENTIATION, PROLIFERATION AND THERAPEUTIC POTENTIAL”</t>
  </si>
  <si>
    <t>02 Sep 2025, 21:00</t>
  </si>
  <si>
    <t>14th Latin American and Caribbean Immunology Congress ALACI 2024</t>
  </si>
  <si>
    <t xml:space="preserve"> “mitochondrial transfer as a new immunosuppresive mechanism on inflammation</t>
  </si>
  <si>
    <t>02 Sep 2025, 16:23</t>
  </si>
  <si>
    <t>“Small Extracellular Vesicles from metabolically reprogrammed</t>
  </si>
  <si>
    <t>02 Sep 2025, 16:11</t>
  </si>
  <si>
    <t>14th Latin American and Caribbean Congress of Immunology (ALACI 2024)</t>
  </si>
  <si>
    <t>nfolded protein response factors ATF6 and XBP1 increase the inflammatory cytokine expression in dendritic cells and augments the systemic inflammatory response induced by TLR agonists in high saturated fatty acid context.</t>
  </si>
  <si>
    <t>Jonathan Morales (Postdoctoral Fellow)</t>
  </si>
  <si>
    <t>02 Sep 2025, 17:21</t>
  </si>
  <si>
    <t>14th Latin American and Caribbean Congress of Immunology program</t>
  </si>
  <si>
    <t>Monocytes and microglial cells are activated by periodontal extracellular vesicles and acquire a potentially neuroinflammatory profile</t>
  </si>
  <si>
    <t>Inge Ursula Wyneken Hempel (Principal Researcher)</t>
  </si>
  <si>
    <t>02 Sep 2025, 19:08</t>
  </si>
  <si>
    <t xml:space="preserve"> ALACI 2024 Pre-Congress Course “Advancing Immunometabolism Research in Latin American and the Caribbean (ImMet-LAC)”</t>
  </si>
  <si>
    <t>Transferencia mitocondrial derivada de MSC como potencial herramienta regulatoria de las funciones inflamatorias de DCs a través de la modulación de la actividad UPR y metabolismo energético en obesidad</t>
  </si>
  <si>
    <t>02 Sep 2025, 17:23</t>
  </si>
  <si>
    <t>15th World Congress on Targeting Mitochondria</t>
  </si>
  <si>
    <t>MITOCHONDRIA TRANSPLANTATION ON VIRAL ACTIVATED EPITHELIAL LUNG CELLS</t>
  </si>
  <si>
    <t>Yessia Hidalgo Fadic (Adjunct Researcher)</t>
  </si>
  <si>
    <t>02 Sep 2025, 17:56</t>
  </si>
  <si>
    <t xml:space="preserve">15th World Congres on Targeting Mitochondria </t>
  </si>
  <si>
    <t>MITOCHONDRIAL TRANSPLANTATION AS A THERAPEUTIC STRATEGY TO MITIGATE VIRAL-INDUCED LUNG INJURY THROUGH MAVS-DEPENDENT ANTIVIRAL PATHWAYS”.</t>
  </si>
  <si>
    <t>Jimena Cuenca Moreno (Principal Researcher); Felipe Andrés Grunenwald Bravo (Postdoctoral Fellow)</t>
  </si>
  <si>
    <t>XX Annual Meeting Sociedad Chilena de Neurociencia</t>
  </si>
  <si>
    <t>Repetitive stress induces an increase of Neutral Sphingomyelinase 2 in the rat prefrontal cortex</t>
  </si>
  <si>
    <t>Pablo Lazcano, Alejandro Luarte</t>
  </si>
  <si>
    <t>02 Sep 2025, 19:14</t>
  </si>
  <si>
    <t>Immunomodulatory Role of Astrocyte-Derived Extracellular Vesicles in Macrophage and Microglial Activation Under Stress Conditions</t>
  </si>
  <si>
    <t>Pablo Lazcano, Alejandro Luarte, Megan Lobel</t>
  </si>
  <si>
    <t>02 Sep 2025, 19:19</t>
  </si>
  <si>
    <t>Exploring the impact of astrocyte-derived extracellular ve- sicles on axonal protein synthesis</t>
  </si>
  <si>
    <t>Carlos contreras, Pablo Lazcano, Alejandro Luarte</t>
  </si>
  <si>
    <t>02 Sep 2025, 19:20</t>
  </si>
  <si>
    <t xml:space="preserve">II Symposium Medicina Traslacional (Oct 2024) – </t>
  </si>
  <si>
    <t>“Contribution of extracellular mitochondria in melanoma progression”. Presentación Oral</t>
  </si>
  <si>
    <t>02 Sep 2025, 18:14</t>
  </si>
  <si>
    <t>4º BIOMIT (2024) A 30 AÑOS DE LA CREACIÓN DEL CIM</t>
  </si>
  <si>
    <t>Integrating continuous culture and Omics approaches to deepen understanding on CHO cell metabolism and identify optimization targets</t>
  </si>
  <si>
    <t>02 Sep 2025, 20:56</t>
  </si>
  <si>
    <t xml:space="preserve">Advanced therapy meeting- Phacilitate </t>
  </si>
  <si>
    <t xml:space="preserve">National acces to Immunotherapy and CART </t>
  </si>
  <si>
    <t>02 Sep 2025, 15:52</t>
  </si>
  <si>
    <t xml:space="preserve"> BioSmart - Biomateriales inteligentes para la Ingeniería de Tejidos</t>
  </si>
  <si>
    <t>XXXV Reunión Anual Sociedad Chilena de Reproducción y Desarrollo</t>
  </si>
  <si>
    <t>Cholesterol homeostasis during oocyte maturation: implication for the gamete functionality and viability (poster)</t>
  </si>
  <si>
    <t>Yessica Ortega</t>
  </si>
  <si>
    <t>02 Sep 2025, 19:00</t>
  </si>
  <si>
    <t>Embryonic Developmental Delay and Exencephaly Rates Associate with the Genetic Background in SR-B1 KO Mice</t>
  </si>
  <si>
    <t>Camila Romero</t>
  </si>
  <si>
    <t>02 Sep 2025, 19:03</t>
  </si>
  <si>
    <t>II WORKSHOP ANUAL GAVE</t>
  </si>
  <si>
    <t>Astrocyte-derived small extracellular vesicles in central and peripheral inflammation under stress conditions: Impact on the Gut-Associated Immune System</t>
  </si>
  <si>
    <t>02 Sep 2025, 19:10</t>
  </si>
  <si>
    <t xml:space="preserve">EMTP Chile: 2024 Joint Workshop on MR Phase, Magnetic Susceptibility and Electrical Properties </t>
  </si>
  <si>
    <t>Artificial Intelligence for Cardiac and Low-field MRI</t>
  </si>
  <si>
    <t xml:space="preserve"> 2do Encuentro con la Biotribu</t>
  </si>
  <si>
    <t>02 Sep 2025, 20:44</t>
  </si>
  <si>
    <t xml:space="preserve"> Congreso Chileno de Estudiantes de Medicina -VIII COCEM</t>
  </si>
  <si>
    <t>Potencial de la Inteligencia Artificial en las Imágenes Médicas</t>
  </si>
  <si>
    <t>02 Sep 2025, 16:12</t>
  </si>
  <si>
    <t>Congreso Chileno de Estudiantes de Medicina (COCEM)</t>
  </si>
  <si>
    <t>Introducción a la IA y Reconocimiento de Patrones</t>
  </si>
  <si>
    <t>08 Aug 2024, 11:17</t>
  </si>
  <si>
    <t>Industrial Bioprocessing Training 2024</t>
  </si>
  <si>
    <t>Hosted by the Biomanufacturing Innovation Institute (BII) and UMass Lowell</t>
  </si>
  <si>
    <t>08 Aug 2024, 10:24</t>
  </si>
  <si>
    <t xml:space="preserve"> Jornada Internacional de Biotecnología 2024</t>
  </si>
  <si>
    <t>Biofármacos: perspectiva desde la ingeniería de bioprocesos</t>
  </si>
  <si>
    <t>08 Aug 2024, 10:48</t>
  </si>
  <si>
    <t>Simposio Jóvenes Investigadores iHEALTH</t>
  </si>
  <si>
    <t xml:space="preserve">Deep Learning Myocardial Segmentation in 3D Whole-Heart Joint T1/T2 mapping: Comparison of nnU-Net and MA-SAM </t>
  </si>
  <si>
    <t>Carlota Rivera (Other Center/Project Researcher)</t>
  </si>
  <si>
    <t>08 Aug 2024, 10:27</t>
  </si>
  <si>
    <t>02 Sep 2025, 21:22</t>
  </si>
  <si>
    <t>28th International Conference on Prenatal Diagnosis and Therapy (ISPD)</t>
  </si>
  <si>
    <t>Characterization of small extracellular vesicles derived from menstrual fluid from multiparous women and women with history of Preeclampsia</t>
  </si>
  <si>
    <t>Lara Jorge Monteiro (Adjunct Researcher)</t>
  </si>
  <si>
    <t>12 Aug 2024, 15:28</t>
  </si>
  <si>
    <t>LncRNA MALAT1 as a potential biomarker of placental insufficiency</t>
  </si>
  <si>
    <t>12 Aug 2024, 15:29</t>
  </si>
  <si>
    <t>1st European  inmunometabolism conference: Metabolism meets immunology</t>
  </si>
  <si>
    <t>Mitochondrial Transfer from Cancer cells to Immune cells: A new cancer immune evasion mechanism?</t>
  </si>
  <si>
    <t>12 Aug 2024, 15:44</t>
  </si>
  <si>
    <t>European Society for Animal Cell Culture 28th Meeting, ESACT 2024</t>
  </si>
  <si>
    <t>Mammalian Cell Culture Strategies: Validation of a Model-Based Platform for Medium and Feeding Design</t>
  </si>
  <si>
    <t>Carlos Ivan Paredes Paredes</t>
  </si>
  <si>
    <t>08 Aug 2024, 11:58</t>
  </si>
  <si>
    <t>ESACT Meeting 2024</t>
  </si>
  <si>
    <t>Advancing Biomanufacturing Excellence: Harnessing Model Predictive Control for Optimal Process Efficiency and High-Quality Product Outputs</t>
  </si>
  <si>
    <t>08 Aug 2024, 12:00</t>
  </si>
  <si>
    <t>08 Aug 2024, 12:01</t>
  </si>
  <si>
    <t xml:space="preserve">Enhancing Monoclonal Antibody Yield in CHO Cells for Gastric Cancer: Assessing Ratios of Global Regulators </t>
  </si>
  <si>
    <t>08 Aug 2024, 10:45</t>
  </si>
  <si>
    <t xml:space="preserve">. Improvement of the production of an innovator human monoclonal antibody again MICA receptor </t>
  </si>
  <si>
    <t>08 Aug 2024, 10:46</t>
  </si>
  <si>
    <t xml:space="preserve">coloquio: Evolución en Chile sobre enfermedades poco frecuentes </t>
  </si>
  <si>
    <t>02 Sep 2025, 21:08</t>
  </si>
  <si>
    <t>Annual congress of the European Association for Cancer Research</t>
  </si>
  <si>
    <t>Unravelling the role of mitochondrial release in melanoma</t>
  </si>
  <si>
    <t>Nicolas George (PhD Thesis)</t>
  </si>
  <si>
    <t>12 Aug 2024, 15:39</t>
  </si>
  <si>
    <t>12 Aug 2024, 15:43</t>
  </si>
  <si>
    <t>ANNUAL CONGRESS OF THE EUROPEAN ASSOCIATION FOR CANCER RESEARCH</t>
  </si>
  <si>
    <t>Yessia Hidalgo Fadic (Adjunct Researcher); Nicolas George (PhD Thesis)</t>
  </si>
  <si>
    <t>09 Aug 2024, 12:14</t>
  </si>
  <si>
    <t>30th Annual Meeting ISCT</t>
  </si>
  <si>
    <t>Effects of mitochondrial transplantation on intracellular antiviral pathways, restorative actions, and immunomodulatory responses in RIG-I Agonist-Activated Lung Cells</t>
  </si>
  <si>
    <t>Francisca Andrea Alcayaga Miranda (Principal Researcher); Jimena Cuenca Moreno (Principal Researcher)</t>
  </si>
  <si>
    <t>Characterization of Mesenchymal Stromal Cells and Their Mitochondria in Response to RIG-I Agonist</t>
  </si>
  <si>
    <t>08 Aug 2024, 14:44</t>
  </si>
  <si>
    <t>ISCT Annual Meeting 2024</t>
  </si>
  <si>
    <t>sEVs FROM METABOLICALLY REPROGRAMMED UC-MSCs AS A POTENTIAL MULTIFUNCIONAL ACELLULAR THERAPY FOR OSTEOARTHRITIS</t>
  </si>
  <si>
    <t>14 Aug 2024, 14:18</t>
  </si>
  <si>
    <t>Congreso Sociedad Latinoamericana de Interacción Materno-Fetal y Placenta (SLIMP).</t>
  </si>
  <si>
    <t>08 Aug 2024, 11:27</t>
  </si>
  <si>
    <t>1º Congreso de Estudiantes de Postgrado en Ciencias y Salud</t>
  </si>
  <si>
    <t>Melanoma mitochondrial release and disease progression</t>
  </si>
  <si>
    <t>12 Aug 2024, 15:40</t>
  </si>
  <si>
    <t>INTERNATIONAL SOCIETY FOR EXTRACELLULAR VESICLES ANNUAL MEETING 2024</t>
  </si>
  <si>
    <t>1)	Umbilical cord mesenchymal stromal cells-derived small extracellular vesicles: advancing knee osteoarthritis therapeutics</t>
  </si>
  <si>
    <t>Aliosha Iván Figueroa (Other Center/Project Researcher)</t>
  </si>
  <si>
    <t>12 Aug 2024, 15:37</t>
  </si>
  <si>
    <t>2)	Characterization and biological activity potential of extracellular vesicles from industrial bovine milk: a comparative analysis of multiple sources</t>
  </si>
  <si>
    <t>ISEV2024 Annual Meeting</t>
  </si>
  <si>
    <t>Acellular therapy with umbilical cord mesenchymal stem-derived small extracellular vesicles or mitochondria, as a new treatment for osteoarthritis</t>
  </si>
  <si>
    <t>Cynthia Aylin Garcia Guerrero (PhD Thesis)</t>
  </si>
  <si>
    <t>14 Aug 2024, 14:22</t>
  </si>
  <si>
    <t>Small extracellular vesicles from metabolically reprogrammed mesenchymal stem/stromal cell as a potential immunosuppressive mechanism</t>
  </si>
  <si>
    <t>14 Aug 2024, 14:34</t>
  </si>
  <si>
    <t>Conference of the International Society for Magnetic Resonance in Medicine</t>
  </si>
  <si>
    <t xml:space="preserve">E-poster, Deep Learning Myocardial Segmentation In 3D Whole-Heart Joint T1/T2 Mapping: Comparison Of NnU-Net And MA-SAM </t>
  </si>
  <si>
    <t>Cuarta Jornada CICAs Facultad de Medicina Universidad de Chile</t>
  </si>
  <si>
    <t>Role of mitochondrial transfer of Mesenchymal stem/stromal cells on the phenotype of synovial macrophages to restrain the progression of Osteoarthritis</t>
  </si>
  <si>
    <t>14 Aug 2024, 14:33</t>
  </si>
  <si>
    <t>Seminario Instituto de Biomedicina de Sevilla</t>
  </si>
  <si>
    <t>Contribution of Vitamin E to the Early Stages of Mouse Development</t>
  </si>
  <si>
    <t>08 Aug 2024, 11:24</t>
  </si>
  <si>
    <t>Seminario Department of Physiology, Development and Neuroscience, University of Cambridge</t>
  </si>
  <si>
    <t>Nutrition and Neurodevelopment: Contribution of Vitamin E to the Development of the Early Brain</t>
  </si>
  <si>
    <t>08 Aug 2024, 11:21</t>
  </si>
  <si>
    <t>From the Neckar Valley to the Cordillera de los Andes: Breaking Borders with Molecular Systems Engineering</t>
  </si>
  <si>
    <t>Quality-based Design for the production of small extracellular vesicles derived from Mesenchymal Stem/Stromal Cells</t>
  </si>
  <si>
    <t>08 Aug 2024, 10:34</t>
  </si>
  <si>
    <t>Artificial Intelligence Summit: Bridging Engineers and Clinicians</t>
  </si>
  <si>
    <t>Deep Learning and Large Language Models: A Primer for Clinicians</t>
  </si>
  <si>
    <t>08 Aug 2024, 15:22</t>
  </si>
  <si>
    <t>Cumbre sobre Inteligencia Artificial: Un puente entre ingenieros y clínicos</t>
  </si>
  <si>
    <t>INTELIGENCIA ARTIFICIAL Y RECONOCIMIENTO DE PATRONES HOY: CONCEPTOS Y APLICACIONES</t>
  </si>
  <si>
    <t>08 Aug 2024, 11:06</t>
  </si>
  <si>
    <t>Foro "Vida, Investigación y Academia 2024"</t>
  </si>
  <si>
    <t xml:space="preserve"> The potential of AI in Medical Imaging</t>
  </si>
  <si>
    <t>08 Aug 2024, 10:29</t>
  </si>
  <si>
    <t>Horizon Cardiovascular Imaging</t>
  </si>
  <si>
    <t>08 Aug 2024, 10:35</t>
  </si>
  <si>
    <t>Congreso Impact Cell and Gene Therapy Meeting</t>
  </si>
  <si>
    <t xml:space="preserve"> Impact Cell and Gene Therapy Meeting</t>
  </si>
  <si>
    <t>Paloma Fuentes (Postdoctoral Fellow); Victor Manuel Espinola Cerpa  (PhD Thesis); Constanza Collarte (Master Thesis)</t>
  </si>
  <si>
    <t>08 Aug 2024, 10:38</t>
  </si>
  <si>
    <t xml:space="preserve"> Materials Research Society (MRS) </t>
  </si>
  <si>
    <t>Recent advances in biomimetic smart polymers: from piezoelectric-nanogenerators to tissue engineering applications</t>
  </si>
  <si>
    <t>Humberto Cristian Palza Cordero (Principal Researcher)</t>
  </si>
  <si>
    <t>XVIII Simposio Latinoamericano de Polímeros</t>
  </si>
  <si>
    <t>Optimización de la Respuesta Piezo y Tribo eléctrica en Nanogeneradores Híbridos Basados en Poliuretano</t>
  </si>
  <si>
    <t>02 Sep 2025, 16:02</t>
  </si>
  <si>
    <t>Andamios supramoleculares a partir de microgeles termosensibles en base a poli(N-isopropilacrilamida) y sulfato de condroitina metracrilado</t>
  </si>
  <si>
    <t>02 Sep 2025, 16:00</t>
  </si>
  <si>
    <t>Andamios electroactivos de poliuretano termoplástico recubiertos con un electrodo piezoeléctrico asado en polipirrol y partículas de titanato de bario para ingeniería de tejidosAndamios electroactivos de poliuretano termoplástico recubiertos con un electr</t>
  </si>
  <si>
    <t>02 Sep 2025, 16:03</t>
  </si>
  <si>
    <t xml:space="preserve">CMR 2024 Conference of the Society for Cardiovascular Magnetic Resonance </t>
  </si>
  <si>
    <t>he Role of Quantitative Imaging at Low and High Field</t>
  </si>
  <si>
    <t>08 Aug 2024, 10:02</t>
  </si>
  <si>
    <t>Next generation 3D Whole Heart CMR with 100%?respiratory efficiency: The power of collaboration</t>
  </si>
  <si>
    <t>CMR 2024 Conference of the Society for Cardiovascular Magnetic Resonance</t>
  </si>
  <si>
    <t>A Motion-Corrected Deep-Neural-Network Reconstruction Approach for Fast Whole-Heart MRI in Patients with Congenital Heart Disease</t>
  </si>
  <si>
    <t>Rene  Michael Botnar (Principal Researcher); Claudia Prieto Vasquez (Principal Researcher)</t>
  </si>
  <si>
    <t>08 Aug 2024, 10:18</t>
  </si>
  <si>
    <t xml:space="preserve">Accelerated Free-breathing 3D Simultaneous Bright and Black-blood Whole-heart Imaging at 0.55T: Comparison to 1.5T </t>
  </si>
  <si>
    <t>08 Aug 2024, 10:20</t>
  </si>
  <si>
    <t xml:space="preserve">Simultaneous Contrast-free 3D Aortic Lumen and Vessel Wall Imaging at 0.55T </t>
  </si>
  <si>
    <t>08 Aug 2024, 10:21</t>
  </si>
  <si>
    <t>4th INTERNATIONAL SYMPOSIUM Cancer and Inflammation</t>
  </si>
  <si>
    <t>Astrocyte-derived small extracellular vesicles regulate intestinal and systemic inflammation induced by restraint stress in rats</t>
  </si>
  <si>
    <t>09 Aug 2024, 11:04</t>
  </si>
  <si>
    <t xml:space="preserve">RSC Biomaterials Chemistry Group 18th Annual Conference </t>
  </si>
  <si>
    <t>1)	Improving the piezoelectricity of 3D printed PCL composites using the Maxwell-Wagner-Sillars effect for bone tissue scaffolds</t>
  </si>
  <si>
    <t>Humberto Cristian Palza Cordero (Principal Researcher); Felipe Andres Olate Moya (Postdoctoral Fellow)</t>
  </si>
  <si>
    <t>F. Fernández-Gil, J. Aguilar-Cosme, S. Cartmell</t>
  </si>
  <si>
    <t>12 Aug 2024, 16:31</t>
  </si>
  <si>
    <t>3D Printed Scaffolds of Double Network Hydrogels with Honey and MoS2 Nanoparticles for Tissue Engineering</t>
  </si>
  <si>
    <t>Juan Pablo Acevedo Cox (Principal Researcher); Humberto Cristian Palza Cordero (Principal Researcher); Felipe Andres Olate Moya (Postdoctoral Fellow)</t>
  </si>
  <si>
    <t>2)	F. A. Sepúlveda, P. Lagonero, M. R. Antognazza</t>
  </si>
  <si>
    <t>12 Aug 2024, 16:33</t>
  </si>
  <si>
    <t>4th International symposium cancer and inflamation</t>
  </si>
  <si>
    <t>Characterization of extracellular mitochondrial release in melanoma model</t>
  </si>
  <si>
    <t>12 Aug 2024, 15:41</t>
  </si>
  <si>
    <t>XXVI ANIVERSARIO ICBM Universidad de Chile</t>
  </si>
  <si>
    <t>14 Aug 2024, 14:32</t>
  </si>
  <si>
    <t xml:space="preserve">Congreso Sociedad de Biología  </t>
  </si>
  <si>
    <t xml:space="preserve">Mesenchymal stem cell-derived mitochondrial transfer in synoviocytes from osteoarthritis patients </t>
  </si>
  <si>
    <t>Fernando Figueroa Elizalde (Principal Researcher); Rocio Lorca (Other Center/Project Researcher)</t>
  </si>
  <si>
    <t>08 Aug 2024, 12:06</t>
  </si>
  <si>
    <t>webinar</t>
  </si>
  <si>
    <t>César Augusto Méndez Melgar (Principal Researcher); Amalia Nuevo Delaunay (Principal Researcher)</t>
  </si>
  <si>
    <t>R19A10001</t>
  </si>
  <si>
    <t>Actividad antioxidante de péptidos bioactivos obtenidos desde hidrolizados de proteina de porotos locales chilenos (Phaseolus vulgaris L.).</t>
  </si>
  <si>
    <t>Basilio Alejandro Carrasco Glavez (Director); Katherine Andrea Márquez Calvo (Principal Researcher); Andrea Francisca Plaza Ramírez (Principal Researcher)</t>
  </si>
  <si>
    <t>Desarrollo de nuevos productos</t>
  </si>
  <si>
    <t>13 Feb 2024, 18:31</t>
  </si>
  <si>
    <t>Desarrollo de un ingrediente funcional a partir de garbanzos fermentados reducidos en oligosacáridos de la familia rafinosa (RFOs)</t>
  </si>
  <si>
    <t>Katherine Andrea Márquez Calvo (Principal Researcher)</t>
  </si>
  <si>
    <t>Desarrollo de nuevos productos; Valorización de residuos agroindustriales</t>
  </si>
  <si>
    <t>13 Feb 2024, 18:32</t>
  </si>
  <si>
    <t>Transición agroecológica: avanzando hacia la salud de las personas y los ecosistemas con la memoria del territorio</t>
  </si>
  <si>
    <t>Carlos Alberto Huenchuleo Pedreros (Director)</t>
  </si>
  <si>
    <t>Marta Verónica Albornoz Albornoz (Principal Researcher)</t>
  </si>
  <si>
    <t>R20F0001</t>
  </si>
  <si>
    <t>Plant growth promoting bacteria (PGPB) from rhizosphere of Chilean native common beans (Phaseolus vulgaris L.) in improved growth and acclimatized response to temperature stress</t>
  </si>
  <si>
    <t>Basilio Alejandro Carrasco Glavez (Director); Aparna Banerjee (Main Researcher Not part of Central Team); Cynthia Meza Muñoz (PhD Thesis)</t>
  </si>
  <si>
    <t>Genetics; Metabolomics</t>
  </si>
  <si>
    <t>16 Jun 2025, 15:44</t>
  </si>
  <si>
    <t xml:space="preserve">2do Congreso de Estudiantes Investigadores de la Salud de la Región del Maule </t>
  </si>
  <si>
    <t>Efectos del uso de consorcio microbiano sobre la bioactividad de metabolitos producidos en los granos de variedades locales de poroto (Phaseolus vulgaris L.)</t>
  </si>
  <si>
    <t>Basilio Alejandro Carrasco Glavez (Director); Aparna Banerjee (Main Researcher Not part of Central Team); Nicolas Flores (Master Thesis)</t>
  </si>
  <si>
    <t>Sexto Simposio Iberoamericano de los AGEs en la Salud</t>
  </si>
  <si>
    <t>Efecto de la suplementación de pan con harina de porotos nativos chilenos en la actividad antioxidante, propiedades texturales y en los niveles de malondialdehído y metilglioxal generados durante la digestión gástrica in vitro</t>
  </si>
  <si>
    <t>Felipe Avila (Adjunct Researcher); Aracely Basoalto (Master Thesis)</t>
  </si>
  <si>
    <t>Metabolomics</t>
  </si>
  <si>
    <t>16 Jun 2025, 15:47</t>
  </si>
  <si>
    <t>Encuentro de investigacion: Energia, Agua y Sustentabilidad</t>
  </si>
  <si>
    <t>Análsis comparativo de proteínas, minerales, polifenoles totales y actividad antioxidante de 25 variedades tradicionales chilenas de poroto (Phaseolus vulgaris L.)</t>
  </si>
  <si>
    <t>Basilio Alejandro Carrasco Glavez (Director); Lee Ann Meisel . (Main Researcher Not part of Central Team)</t>
  </si>
  <si>
    <t>16 Jun 2025, 16:11</t>
  </si>
  <si>
    <t>Nationaler Leguminosen-Kongress</t>
  </si>
  <si>
    <t>Anti - und nutritive Inhaltsstoffe chilenischer Bohnensorten für den Anbau in Deutschland</t>
  </si>
  <si>
    <t>Basilio Alejandro Carrasco Glavez (Director); Ricardo Alfonso Cabeza Pérez (Adjunct Researcher)</t>
  </si>
  <si>
    <t>16 Jun 2025, 16:09</t>
  </si>
  <si>
    <t>VIII Encuentro Científico de Biología Vegetal</t>
  </si>
  <si>
    <t>Indole Acetic Acid (IAA) producing plant growth promoting bacteria (PGPB) from rhizosphere of Chilean common beans (Phaseolus vulgaris L.) landraces in acclimatized response to temperature stress</t>
  </si>
  <si>
    <t>Basilio Alejandro Carrasco Glavez (Director); Aparna Banerjee (Main Researcher Not part of Central Team); Ricardo Alfonso Cabeza Pérez (Adjunct Researcher); Cynthia Meza Muñoz (PhD Thesis)</t>
  </si>
  <si>
    <t>Genetics; Human Health; Metabolomics</t>
  </si>
  <si>
    <t>16 Jun 2025, 13:33</t>
  </si>
  <si>
    <t xml:space="preserve">VIII Encuentro Científico de Biología Vegetal </t>
  </si>
  <si>
    <t>16 Jun 2025, 15:58</t>
  </si>
  <si>
    <t>VIII Encuentro Científico Biología Vegetal de moléculas a ecosistemas</t>
  </si>
  <si>
    <t>Exploring seed germination via bacterial interactions: Evaluating bean polymer integrity with thermogravimetric analysis</t>
  </si>
  <si>
    <t>Basilio Alejandro Carrasco Glavez (Director); Aparna Banerjee (Main Researcher Not part of Central Team); Cynthia Meza Muñoz (PhD Thesis); Nicolas Flores (Master Thesis)</t>
  </si>
  <si>
    <t>16 Jun 2025, 16:33</t>
  </si>
  <si>
    <t xml:space="preserve">1era Jornada Internacional de Biotecnología Chile </t>
  </si>
  <si>
    <t>Aplicación de Bacterias promotoras de crecimiento vegetal (PGPB) en frijol común nativo chileno (Phaseolus vulgaris L.) para un crecimiento mejorado en respuesta al estrés térmico</t>
  </si>
  <si>
    <t>16 Jun 2025, 13:18</t>
  </si>
  <si>
    <t>Plant-bacteria interaction improving the antioxidant activity in the Chilean  ecotypes of Common beans</t>
  </si>
  <si>
    <t>16 Jun 2025, 15:54</t>
  </si>
  <si>
    <t>Explorando la germinación de semillas a traves de interacciones bacterianas: Evaluación de la integridad del polimero de frijol con análisis termogravimétrico</t>
  </si>
  <si>
    <t>Basilio Alejandro Carrasco Glavez (Director); Aparna Banerjee (Main Researcher Not part of Central Team)</t>
  </si>
  <si>
    <t>16 Jun 2025, 16:30</t>
  </si>
  <si>
    <t>VI Workshop “Péptidos terapéuticos para bioaplicaciones”</t>
  </si>
  <si>
    <t>Analysis of the inhibitory activity using computer-engineered peptides upon the enzyme protein disulfide isomerase (PDI): A Molecular Docking Study with Bean Peptides</t>
  </si>
  <si>
    <t>Eduardo Javier Fuentes Quinteros (Main Researcher Not part of Central Team); Iván Francisco Palomo González (Main Researcher Not part of Central Team); Hector Montecino Garrido (Postdoctoral Fellow); Natalia Francisca Rodriguez (PhD Thesis)</t>
  </si>
  <si>
    <t>Human Health</t>
  </si>
  <si>
    <t>16 Jun 2025, 13:12</t>
  </si>
  <si>
    <t>R20F0002</t>
  </si>
  <si>
    <t>XVII CONGRESO DE LA SOCIEDAD CHILENA DE LIMNOLOGÍA</t>
  </si>
  <si>
    <t>AGUA POTABLE URBANA Y RURAL EN AYSÉN: DESAFÍOS PARA EL MONITOREO HIDROLÓGICO EN EL CONTEXTO DE CAMBIO GLOBAL</t>
  </si>
  <si>
    <t>Anna Beatrice Astorga Roine (Principal Researcher); Brian Legare Reid Burns (Principal Researcher); Cristián Andrés Frêne Conget (Postdoctoral Fellow)</t>
  </si>
  <si>
    <t>Landscape Dynamics (LD)</t>
  </si>
  <si>
    <t>04 Nov 2024, 10:22</t>
  </si>
  <si>
    <t>Cambios en el Balance de Oxígeno por la interacción de ríos atmosféricos en el fiordo Puyuhuapi</t>
  </si>
  <si>
    <t>Rodrigo Fernando Torres Saavedra (Principal Researcher); Lenna Ortiz (PhD Thesis)</t>
  </si>
  <si>
    <t>Marine Ecosistems Interactions (MEI)</t>
  </si>
  <si>
    <t>05 Jun 2024, 14:55</t>
  </si>
  <si>
    <t>2024 SAA 89th Annual Meeting</t>
  </si>
  <si>
    <t>Spatial Distribution and Archaeological Characteristics of the Historical Record of Central-West Patagonia</t>
  </si>
  <si>
    <t>César Augusto Méndez Melgar (Principal Researcher); Amalia Nuevo Delaunay (Principal Researcher); Paulo Moreno (PhD Thesis)</t>
  </si>
  <si>
    <t>Omar Reyes (investigador Asociado PATSER), Diego Galleani (Tesista Magister CIEP)</t>
  </si>
  <si>
    <t>Human Environmental Interactions (HEI); Landscape Dynamics (LD)</t>
  </si>
  <si>
    <t>22 May 2024, 10:49</t>
  </si>
  <si>
    <t>Expedient Lithic Procurement at the Katterfeld Quarry-Workshop of Central-West Patagonia</t>
  </si>
  <si>
    <t>María Paz Quercia (investigadora independiente), Catalina Contreras (investigadora independiente), Bayron Soto (universidad austral de Chile)</t>
  </si>
  <si>
    <t>Human Environmental Interactions (HEI)</t>
  </si>
  <si>
    <t>22 May 2024, 10:58</t>
  </si>
  <si>
    <t>Historical Archaeology as a Device for Heritage Protection in West Patagonia</t>
  </si>
  <si>
    <t>Amalia Nuevo Delaunay (Principal Researcher); Javieral Letelier Cosmelli  (PhD Thesis)</t>
  </si>
  <si>
    <t>Carlos Castillo Levicoy (investigador independiente)</t>
  </si>
  <si>
    <t>22 May 2024, 11:02</t>
  </si>
  <si>
    <t>Exploring Psychiatry´s History in Chile: A Material PErspective os the Dr. José Horwit´z Barak Psychiatric Institute</t>
  </si>
  <si>
    <t>Javieral Letelier Cosmelli  (PhD Thesis)</t>
  </si>
  <si>
    <t>22 May 2024, 11:06</t>
  </si>
  <si>
    <t>Changes and Continuities on Recent Past Human Occupations in Continental Southern Patagonia</t>
  </si>
  <si>
    <t>Amalia Nuevo Delaunay (Principal Researcher)</t>
  </si>
  <si>
    <t>Silvana Espinosa, Gisella Cassiodoro, Martín Acuña</t>
  </si>
  <si>
    <t>22 May 2024, 11:08</t>
  </si>
  <si>
    <t>R20F0009</t>
  </si>
  <si>
    <t>X Congreso Mexicano de Ecología. SCME, Sociedad Científica Mexicana de Ecología.</t>
  </si>
  <si>
    <t>Variación latitudinal en el microbioma de la piel de ballenas jorobadas (Megaptera novaeangliae) y diferencias relacionadas con la edad en lobos marinos sudamericanos (Otaria flavescens).</t>
  </si>
  <si>
    <t>Jorge Andrés Acevedo Ramírez (Principal Researcher); Eliana Paola Acuña Gomez (Principal Researcher); Valeria Francisca Souza Saldivar (Other Center/Project Researcher); Lautaro Oyarzun (Master Thesis)</t>
  </si>
  <si>
    <t>Eguiarte LE, Murillo A</t>
  </si>
  <si>
    <t>Ecología y Ecosistemas Acuáticos</t>
  </si>
  <si>
    <t>14 Apr 2025, 11:32</t>
  </si>
  <si>
    <t>La fenologi?a y biogeografi?a estructuran en conjunto los rasgos del microbioma plumoso de los pingu?inos de Magallanes.</t>
  </si>
  <si>
    <t>Jorge Andrés Acevedo Ramírez (Principal Researcher); Eliana Paola Acuña Gomez (Principal Researcher); Claudio Andrés Moraga Bustamante (Adjunct Researcher); Valeria Francisca Souza Saldivar (Other Center/Project Researcher); Manuel Alejandro Ochoa Sánchez (PhD Thesis)</t>
  </si>
  <si>
    <t>Eguiarte LE, Rodriguez U</t>
  </si>
  <si>
    <t>14 Apr 2025, 12:54</t>
  </si>
  <si>
    <t>SMBE 2024 (Society for Molecular Biology and Evolution)</t>
  </si>
  <si>
    <t>Feather microbiota compositional and functional landscapes across phenology and biogeography in Magellanic penguins in the Magellan Strait, Chile.</t>
  </si>
  <si>
    <t>Jorge Andrés Acevedo Ramírez (Principal Researcher); Eliana Paola Acuña Gomez (Principal Researcher); Claudio Andrés Moraga Bustamante (Adjunct Researcher); Katherine Gaete (Other Center/Project Researcher); Valeria Francisca Souza Saldivar (Other Center/Project Researcher); Manuel Alejandro Ochoa Sánchez (PhD Thesis)</t>
  </si>
  <si>
    <t>Eguiarte LE, Tapia R, Rodriguez Cruz UE</t>
  </si>
  <si>
    <t>14 Apr 2025, 11:42</t>
  </si>
  <si>
    <t>Estimación de abundancia y tendencia poblacional de la colonia de pingüino de Magallanes en Isla Contramaestre, Estrecho de Magallanes.</t>
  </si>
  <si>
    <t>Jorge Andrés Acevedo Ramírez (Principal Researcher); Eliana Paola Acuña Gomez (Principal Researcher); Claudio Andrés Moraga Bustamante (Adjunct Researcher); Katherine Gaete (Other Center/Project Researcher); Manuel Alejandro Ochoa Sánchez (PhD Thesis); Lautaro Oyarzun (Master Thesis)</t>
  </si>
  <si>
    <t>Sistema de Información Geográfica (SIG) y modelización.</t>
  </si>
  <si>
    <t>14 Apr 2025, 11:00</t>
  </si>
  <si>
    <t>Variación diaria preliminar de lobo marino común (Otaria byronia) en Isla Cayetano, AMCP Francisco Coloane, Estrecho de Magallanes.</t>
  </si>
  <si>
    <t>Jorge Andrés Acevedo Ramírez (Principal Researcher); Eliana Paola Acuña Gomez (Principal Researcher); Claudio Andrés Moraga Bustamante (Adjunct Researcher); Lisette Zenteno Devaud (Postdoctoral Fellow); Lautaro Oyarzun (Master Thesis)</t>
  </si>
  <si>
    <t>Aguilar C</t>
  </si>
  <si>
    <t>14 Apr 2025, 11:23</t>
  </si>
  <si>
    <t>MEEHUBS 2024 (Microbial Ecology and Evolution Hub-based Conference)</t>
  </si>
  <si>
    <t>Penguin body bacteria across body-site and geographic levels in the Strait of Magellan</t>
  </si>
  <si>
    <t>Manuel Alejandro Ochoa Sánchez (PhD Thesis)</t>
  </si>
  <si>
    <t>14 Apr 2025, 10:53</t>
  </si>
  <si>
    <t>R22A0001</t>
  </si>
  <si>
    <t>Actividad antioxidante de péptidos bioactivos obtenidos desde hidrolizados de proteína de porotos locales chilenos (Phaseolus vulgaris L.)</t>
  </si>
  <si>
    <t>Katherine Marquez</t>
  </si>
  <si>
    <t>28 Jun 2024, 14:01</t>
  </si>
  <si>
    <t>28 Jun 2024, 14:03</t>
  </si>
  <si>
    <t>R23F0001</t>
  </si>
  <si>
    <t>28º Simposio Internacional sobre Ingeniería de Reacciones Químicas (ISCRE28)</t>
  </si>
  <si>
    <t>Control de Flujo Mediante una Distribución No Homogénea de Tamaño de Pellets en Lechos Catalíticos para una Condición de Bajo Reynolds</t>
  </si>
  <si>
    <t>Lindley Maxwell</t>
  </si>
  <si>
    <t>Reactors</t>
  </si>
  <si>
    <t>21 Nov 2024, 11:38</t>
  </si>
  <si>
    <t>R23F0003</t>
  </si>
  <si>
    <t>Soil and water in the context of renewable energies in Latin America</t>
  </si>
  <si>
    <t>Assessment of future climate scenarios on water resources availability in Central Chile: An interregional case study</t>
  </si>
  <si>
    <t>Héctor Moya (PhD Thesis)</t>
  </si>
  <si>
    <t>15 Sep 2924</t>
  </si>
  <si>
    <t>Cambio climático y Soluciones basadas en la naturaleza</t>
  </si>
  <si>
    <t>13 Nov 2024, 11:16</t>
  </si>
  <si>
    <t>Food Systems Microbiome Conference</t>
  </si>
  <si>
    <t>Juan Luis Celis Diez (Principal Researcher); Blas Exequiel Lavandero Icaza (Other Center/Project Researcher)</t>
  </si>
  <si>
    <t>Pablo Mondaca</t>
  </si>
  <si>
    <t>14 May 2924</t>
  </si>
  <si>
    <t xml:space="preserve">Biodiversidad y servicios de control biológico ; Biodiversidad y servicios de polinización; Interacción suelo, planta, microorganismos </t>
  </si>
  <si>
    <t>13 Nov 2024, 11:47</t>
  </si>
  <si>
    <t xml:space="preserve">Interacción suelo, planta, microorganismos </t>
  </si>
  <si>
    <t>Biodiversidad y servicios de polinización</t>
  </si>
  <si>
    <t>Juan Luis Celis Diez (Principal Researcher)</t>
  </si>
  <si>
    <t xml:space="preserve">Valoración de servicios ecosistémicos </t>
  </si>
  <si>
    <t xml:space="preserve">Biodiversidad y servicios de control biológico </t>
  </si>
  <si>
    <t>Marta Verónica Albornoz Albornoz (Principal Researcher); Armando Alfaro Tapia (Postdoctoral Fellow)</t>
  </si>
  <si>
    <t xml:space="preserve">XXVI Congreso Anual de Economía Agraria </t>
  </si>
  <si>
    <t>Sostenibilidad de la pequeña agricultura del secano de Chile Central, Región de Valparaíso.</t>
  </si>
  <si>
    <t>Adrián Rivera , Walter Rossing, Santiago Dogliotti</t>
  </si>
  <si>
    <t>18 Mar 2025, 12:51</t>
  </si>
  <si>
    <t>Comprender los factores psicosociales que afectan la adoción de la intensificación ecológica en Chile Central.</t>
  </si>
  <si>
    <t>Carlos Alberto Huenchuleo Pedreros (Director); Juan Luis Celis Diez (Principal Researcher); Valeska Rojas (Master Thesis)</t>
  </si>
  <si>
    <t>Keira Dymond , Pablo Díaz- Siefer</t>
  </si>
  <si>
    <t>18 Mar 2025, 12:56</t>
  </si>
  <si>
    <t>XI Congreso Colombiano de Cromatografía</t>
  </si>
  <si>
    <t>LIPID REMODELING IN RESPONSE TO DROUGHT STRESS IN WHEAT PLANTS INOCULATED WITH A TRIPARTITE MICROBIAL CONSORTIUM</t>
  </si>
  <si>
    <t>15 Nov 2024, 15:38</t>
  </si>
  <si>
    <t>Uso de biodiversidad funcional para el manejo ecológico de insectos plaga</t>
  </si>
  <si>
    <t>Armando Alfaro Tapia (Postdoctoral Fellow)</t>
  </si>
  <si>
    <t>15 Nov 2024, 15:45</t>
  </si>
  <si>
    <t>Biodiversidad funcional y recursos microbiológicos para una Fruticultura Sustentable</t>
  </si>
  <si>
    <t>Recursos Microbiológicos para Fomentar una Agricultura Sustentable: Desarrollo de Consorcios Microbianos</t>
  </si>
  <si>
    <t>15 Nov 2024, 16:09</t>
  </si>
  <si>
    <t>Encuentro de investigadores</t>
  </si>
  <si>
    <t>Ariel Andrés Muñoz Navarro (Principal Researcher)</t>
  </si>
  <si>
    <t>Marco Billi, Gonzalo Melej, Daniela Peña, Marcelo Madariaga-Burgos</t>
  </si>
  <si>
    <t>13 Nov 2024, 11:29</t>
  </si>
  <si>
    <t>X congreso Latinoamericano de Agroecología</t>
  </si>
  <si>
    <t>Bichos en acción: Fomentando la agroecología en personas mayores</t>
  </si>
  <si>
    <t>15 Nov 2024, 15:50</t>
  </si>
  <si>
    <t>Restauración biológica de suelos mediante la implementación participativa de coberturas herbáceas multiespecie en Chile central</t>
  </si>
  <si>
    <t>Unidades de biodiversidad funcional para el manejo ecológico de plagas en cítricos</t>
  </si>
  <si>
    <t>11 Nov 2024, 12:37</t>
  </si>
  <si>
    <t>Contribution of residential gardens of viña del mar to biodiversity conservation in chile</t>
  </si>
  <si>
    <t>15 Nov 2024, 15:57</t>
  </si>
  <si>
    <t>Expo Chile Agricola 2024</t>
  </si>
  <si>
    <t>Manipulación del hábitat: Diseñando y mezclando flores para mejorar el control biológico de plagas</t>
  </si>
  <si>
    <t>15 Nov 2024, 16:19</t>
  </si>
  <si>
    <t>Violeta Romero</t>
  </si>
  <si>
    <t>13 Nov 2024, 15:20</t>
  </si>
  <si>
    <t>I Congreso Hábitat y Salud de La Universidad de Los Andes</t>
  </si>
  <si>
    <t>14 Nov 2024, 10:16</t>
  </si>
  <si>
    <t>14 Nov 2024, 10:40</t>
  </si>
  <si>
    <t>14 Nov 2024, 10:11</t>
  </si>
  <si>
    <t>El rol de los Bioestimulantes frente al estrés y sus mecanismos de defensa</t>
  </si>
  <si>
    <t>Modulación de la tolerancia de los cultivos al estrés biótico abiótico mediante la aplicación de bioestimulantes</t>
  </si>
  <si>
    <t>13 Nov 2024, 12:51</t>
  </si>
  <si>
    <t>EXTREMOPHILE MICROORGANISMS TO DEVELOP À LA CARTE BIO-INOCULANTS FOR A SUSTAINABLE AGRICULTURE</t>
  </si>
  <si>
    <t>14 Nov 2024, 12:03</t>
  </si>
  <si>
    <t>Soil Microbiome, Contamination, and Shrublands: Decoding their Complex Relationship in a Chilean Mediterranean Landscape</t>
  </si>
  <si>
    <t>Pedro Moncada</t>
  </si>
  <si>
    <t xml:space="preserve">Biodiversidad y servicios de polinización; Interacción suelo, planta, microorganismos </t>
  </si>
  <si>
    <t>R23F0004</t>
  </si>
  <si>
    <t>Carmen Gloria Soto Maldonado (Director)</t>
  </si>
  <si>
    <t>Bioiberoamerica 2024</t>
  </si>
  <si>
    <t>NUTRITIONAL AND FUNCTIONAL CHARACTERISTICS OF BEER BAGASSE AS A POTENTIAL FOOD INGREDIENT </t>
  </si>
  <si>
    <t>Carmen Gloria Soto Maldonado (Director); Lida Fuentes Viveros (Adjunct Researcher)</t>
  </si>
  <si>
    <t>María Elvira Zúñiga-Hansen, Araceli Olivares-Miralles, Franco Cárdenas-Fehrenberg, Boris Arancibia-Antichivichi, Francisca Rojas-Hidalgo</t>
  </si>
  <si>
    <t>Revaluation of agroindustrial discards</t>
  </si>
  <si>
    <t>20 Nov 2024, 18:10</t>
  </si>
  <si>
    <t>Seminario Internacional. Desarrollo de Prototipos desde residuos de cerveza, cacao y vino</t>
  </si>
  <si>
    <t>John Jara</t>
  </si>
  <si>
    <t>20 Nov 2024, 18:25</t>
  </si>
  <si>
    <t>R23F0005</t>
  </si>
  <si>
    <t>Chemical and mechanical recycling</t>
  </si>
  <si>
    <t>CONGRESO XXI International, XXVII Nacional de Ciencias Ambientales ANCA</t>
  </si>
  <si>
    <t>Optimización de la configuración de un reactor de pirólisis para obtención de rGLP a partir de carboxilatos</t>
  </si>
  <si>
    <t>Felipe Andrés Sanhueza Vera (PhD Thesis)</t>
  </si>
  <si>
    <t>18 Nov 2024, 15:49</t>
  </si>
  <si>
    <t>Seminario internacional UAC, México</t>
  </si>
  <si>
    <t>18 Nov 2024, 15:45</t>
  </si>
  <si>
    <t>Contar</t>
  </si>
  <si>
    <t>Instrumento</t>
  </si>
  <si>
    <t>Centros Fondap</t>
  </si>
  <si>
    <t>Anillos</t>
  </si>
  <si>
    <t>Centros Basales</t>
  </si>
  <si>
    <t>Centros de Educación</t>
  </si>
  <si>
    <t xml:space="preserve">Centros Regionales </t>
  </si>
  <si>
    <t>n =</t>
  </si>
  <si>
    <t>Actividades</t>
  </si>
  <si>
    <t>Promedio x proyecto</t>
  </si>
  <si>
    <t>Eventos en:</t>
  </si>
  <si>
    <t>Cantidad</t>
  </si>
  <si>
    <t>%</t>
  </si>
  <si>
    <t>Extranjero</t>
  </si>
  <si>
    <t>Congresos - Paises extranjero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</si>
</sst>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name val="Arial"/>
      <family val="2"/>
      <charset val="1"/>
    </font>
    <font>
      <b/>
      <sz val="11"/>
      <name val="Calibri"/>
      <family val="2"/>
    </font>
    <font>
      <sz val="11"/>
      <name val="Calibri"/>
      <family val="2"/>
    </font>
    <font>
      <sz val="11"/>
      <color theme="1"/>
      <name val="Calibri"/>
      <family val="2"/>
    </font>
    <font>
      <b/>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pplyBorder="0">
      <protection locked="0"/>
    </xf>
  </cellStyleXfs>
  <cellXfs count="20">
    <xf numFmtId="0" fontId="0" fillId="0" borderId="0" xfId="0">
      <protection locked="0"/>
    </xf>
    <xf numFmtId="0" fontId="2" fillId="0" borderId="0" xfId="0" applyFont="1" applyBorder="1" applyAlignment="1">
      <alignment vertical="center"/>
      <protection locked="0"/>
    </xf>
    <xf numFmtId="0" fontId="1" fillId="0" borderId="0" xfId="0" applyFont="1" applyBorder="1" applyAlignment="1">
      <alignment horizontal="center" vertical="center"/>
      <protection locked="0"/>
    </xf>
    <xf numFmtId="0" fontId="2" fillId="0" borderId="0" xfId="0" applyFont="1" applyBorder="1" applyAlignment="1">
      <alignment horizontal="center" vertical="center"/>
      <protection locked="0"/>
    </xf>
    <xf numFmtId="0" fontId="1" fillId="0" borderId="1" xfId="0" applyFont="1" applyBorder="1" applyAlignment="1">
      <alignment horizontal="center" vertical="center"/>
      <protection locked="0"/>
    </xf>
    <xf numFmtId="0" fontId="2" fillId="0" borderId="1" xfId="0" applyFont="1" applyBorder="1" applyAlignment="1">
      <alignment vertical="center"/>
      <protection locked="0"/>
    </xf>
    <xf numFmtId="0" fontId="2" fillId="0" borderId="1" xfId="0" applyFont="1" applyBorder="1" applyAlignment="1">
      <alignment horizontal="center" vertical="center"/>
      <protection locked="0"/>
    </xf>
    <xf numFmtId="0" fontId="1" fillId="2" borderId="1" xfId="0" applyFont="1" applyFill="1" applyBorder="1" applyAlignment="1">
      <alignment horizontal="center" vertical="center"/>
      <protection locked="0"/>
    </xf>
    <xf numFmtId="0" fontId="3" fillId="0" borderId="0" xfId="0" applyFont="1" applyAlignment="1" applyProtection="1">
      <alignment horizontal="center" vertical="center"/>
    </xf>
    <xf numFmtId="0" fontId="4" fillId="0" borderId="1" xfId="0" applyFont="1" applyBorder="1" applyAlignment="1" applyProtection="1">
      <alignment horizontal="center" vertical="center"/>
    </xf>
    <xf numFmtId="0" fontId="3" fillId="0" borderId="1" xfId="0" applyFont="1" applyBorder="1" applyAlignment="1" applyProtection="1">
      <alignment vertical="center"/>
    </xf>
    <xf numFmtId="0" fontId="3" fillId="0" borderId="0" xfId="0" applyFont="1" applyAlignment="1" applyProtection="1">
      <alignment vertical="center"/>
    </xf>
    <xf numFmtId="164" fontId="3" fillId="0" borderId="1" xfId="0" applyNumberFormat="1" applyFont="1" applyBorder="1" applyAlignment="1" applyProtection="1">
      <alignment horizontal="center" vertical="center"/>
    </xf>
    <xf numFmtId="164" fontId="4" fillId="0" borderId="1" xfId="0" applyNumberFormat="1" applyFont="1" applyBorder="1" applyAlignment="1" applyProtection="1">
      <alignment horizontal="center" vertical="center"/>
    </xf>
    <xf numFmtId="0" fontId="4" fillId="0" borderId="0" xfId="0" applyFont="1" applyAlignment="1" applyProtection="1">
      <alignment horizontal="center" vertical="center"/>
    </xf>
    <xf numFmtId="164" fontId="4" fillId="0" borderId="0" xfId="0" applyNumberFormat="1" applyFont="1" applyAlignment="1" applyProtection="1">
      <alignment horizontal="center" vertical="center"/>
    </xf>
    <xf numFmtId="0" fontId="3" fillId="0" borderId="1" xfId="0" applyFont="1" applyBorder="1" applyAlignment="1" applyProtection="1">
      <alignment horizontal="center"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4"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51529-4B00-4AEF-9BD5-6804F0CAAF70}">
  <dimension ref="B1:AQ3963"/>
  <sheetViews>
    <sheetView tabSelected="1" topLeftCell="Q1" workbookViewId="0">
      <pane activePane="bottomRight" state="frozen"/>
      <selection activeCell="AQ67" sqref="AQ67"/>
    </sheetView>
  </sheetViews>
  <sheetFormatPr baseColWidth="10" defaultRowHeight="15" x14ac:dyDescent="0.2"/>
  <cols>
    <col min="1" max="1" width="4.7109375" style="1" customWidth="1"/>
    <col min="2" max="2" width="12" style="1" bestFit="1" customWidth="1"/>
    <col min="3" max="3" width="20" style="3" customWidth="1"/>
    <col min="4" max="4" width="6.85546875" style="2" bestFit="1" customWidth="1"/>
    <col min="5" max="6" width="8.140625" style="1" customWidth="1"/>
    <col min="7" max="7" width="22.140625" style="3" bestFit="1" customWidth="1"/>
    <col min="8" max="8" width="6.85546875" style="2" bestFit="1" customWidth="1"/>
    <col min="9" max="13" width="7.85546875" style="1" customWidth="1"/>
    <col min="14" max="14" width="11.5703125" style="1" bestFit="1" customWidth="1"/>
    <col min="15" max="16" width="4.140625" style="1" customWidth="1"/>
    <col min="17" max="17" width="17.28515625" style="1" bestFit="1" customWidth="1"/>
    <col min="18" max="18" width="9.140625" style="1" customWidth="1"/>
    <col min="19" max="19" width="3.85546875" style="1" customWidth="1"/>
    <col min="20" max="20" width="20" style="1" bestFit="1" customWidth="1"/>
    <col min="21" max="21" width="3.5703125" style="1" bestFit="1" customWidth="1"/>
    <col min="22" max="22" width="11.28515625" style="1" bestFit="1" customWidth="1"/>
    <col min="23" max="23" width="4.42578125" style="1" customWidth="1"/>
    <col min="24" max="24" width="19.5703125" style="1" bestFit="1" customWidth="1"/>
    <col min="25" max="27" width="11.42578125" style="1"/>
    <col min="28" max="28" width="8.140625" style="1" customWidth="1"/>
    <col min="29" max="29" width="3" style="1" bestFit="1" customWidth="1"/>
    <col min="30" max="30" width="15.85546875" style="1" bestFit="1" customWidth="1"/>
    <col min="31" max="31" width="3.42578125" style="1" customWidth="1"/>
    <col min="32" max="32" width="3" style="1" bestFit="1" customWidth="1"/>
    <col min="33" max="33" width="14.85546875" style="1" bestFit="1" customWidth="1"/>
    <col min="34" max="34" width="4.28515625" style="1" customWidth="1"/>
    <col min="35" max="35" width="3" style="1" bestFit="1" customWidth="1"/>
    <col min="36" max="36" width="20" style="1" bestFit="1" customWidth="1"/>
    <col min="37" max="37" width="4.28515625" style="1" customWidth="1"/>
    <col min="38" max="38" width="3" style="1" bestFit="1" customWidth="1"/>
    <col min="39" max="39" width="14.85546875" style="1" bestFit="1" customWidth="1"/>
    <col min="40" max="40" width="4.28515625" style="1" customWidth="1"/>
    <col min="41" max="41" width="3" style="1" bestFit="1" customWidth="1"/>
    <col min="42" max="42" width="18.5703125" style="1" bestFit="1" customWidth="1"/>
    <col min="43" max="16384" width="11.42578125" style="1"/>
  </cols>
  <sheetData>
    <row r="1" spans="2:43" s="2" customFormat="1" x14ac:dyDescent="0.2">
      <c r="B1" s="4" t="s">
        <v>0</v>
      </c>
      <c r="C1" s="7" t="s">
        <v>13586</v>
      </c>
      <c r="D1" s="7" t="s">
        <v>13585</v>
      </c>
      <c r="E1" s="4" t="s">
        <v>1</v>
      </c>
      <c r="F1" s="4" t="s">
        <v>2</v>
      </c>
      <c r="G1" s="4" t="s">
        <v>3</v>
      </c>
      <c r="H1" s="7" t="s">
        <v>13585</v>
      </c>
      <c r="I1" s="4" t="s">
        <v>4</v>
      </c>
      <c r="J1" s="4" t="s">
        <v>5</v>
      </c>
      <c r="K1" s="4" t="s">
        <v>6</v>
      </c>
      <c r="L1" s="4" t="s">
        <v>7</v>
      </c>
      <c r="M1" s="4" t="s">
        <v>8</v>
      </c>
      <c r="N1" s="4" t="s">
        <v>9</v>
      </c>
      <c r="O1" s="4" t="s">
        <v>10</v>
      </c>
      <c r="P1" s="4" t="s">
        <v>11</v>
      </c>
      <c r="Q1" s="4" t="s">
        <v>12</v>
      </c>
    </row>
    <row r="2" spans="2:43" ht="15.75" thickBot="1" x14ac:dyDescent="0.25">
      <c r="B2" s="5" t="s">
        <v>4751</v>
      </c>
      <c r="C2" s="6" t="s">
        <v>13588</v>
      </c>
      <c r="D2" s="4">
        <v>250</v>
      </c>
      <c r="E2" s="5" t="s">
        <v>20</v>
      </c>
      <c r="F2" s="5" t="s">
        <v>4762</v>
      </c>
      <c r="G2" s="6" t="s">
        <v>41</v>
      </c>
      <c r="H2" s="4"/>
      <c r="I2" s="5" t="s">
        <v>22</v>
      </c>
      <c r="J2" s="5" t="s">
        <v>4763</v>
      </c>
      <c r="K2" s="5" t="s">
        <v>4764</v>
      </c>
      <c r="L2" s="5"/>
      <c r="M2" s="5" t="s">
        <v>1928</v>
      </c>
      <c r="N2" s="5" t="s">
        <v>4765</v>
      </c>
      <c r="O2" s="5" t="s">
        <v>4760</v>
      </c>
      <c r="P2" s="5"/>
      <c r="Q2" s="5" t="s">
        <v>4766</v>
      </c>
    </row>
    <row r="3" spans="2:43" ht="15.75" thickBot="1" x14ac:dyDescent="0.25">
      <c r="B3" s="5" t="s">
        <v>4777</v>
      </c>
      <c r="C3" s="6" t="s">
        <v>13588</v>
      </c>
      <c r="D3" s="4">
        <v>261</v>
      </c>
      <c r="E3" s="5" t="s">
        <v>24</v>
      </c>
      <c r="F3" s="5" t="s">
        <v>4786</v>
      </c>
      <c r="G3" s="6" t="s">
        <v>41</v>
      </c>
      <c r="H3" s="4"/>
      <c r="I3" s="5"/>
      <c r="J3" s="5" t="s">
        <v>4786</v>
      </c>
      <c r="K3" s="5" t="s">
        <v>4784</v>
      </c>
      <c r="L3" s="5"/>
      <c r="M3" s="5" t="s">
        <v>336</v>
      </c>
      <c r="N3" s="5" t="s">
        <v>336</v>
      </c>
      <c r="O3" s="5" t="s">
        <v>4781</v>
      </c>
      <c r="P3" s="5"/>
      <c r="Q3" s="5" t="s">
        <v>4805</v>
      </c>
      <c r="T3" s="9" t="s">
        <v>13586</v>
      </c>
      <c r="U3" s="9" t="s">
        <v>13592</v>
      </c>
      <c r="V3" s="9" t="s">
        <v>13593</v>
      </c>
      <c r="W3" s="8"/>
      <c r="X3" s="9" t="s">
        <v>13594</v>
      </c>
      <c r="AD3" s="17" t="s">
        <v>13599</v>
      </c>
      <c r="AE3" s="18"/>
      <c r="AF3" s="18"/>
      <c r="AG3" s="18"/>
      <c r="AH3" s="18"/>
      <c r="AI3" s="18"/>
      <c r="AJ3" s="18"/>
      <c r="AK3" s="18"/>
      <c r="AL3" s="18"/>
      <c r="AM3" s="18"/>
      <c r="AN3" s="18"/>
      <c r="AO3" s="18"/>
      <c r="AP3" s="19"/>
    </row>
    <row r="4" spans="2:43" x14ac:dyDescent="0.2">
      <c r="B4" s="5" t="s">
        <v>6686</v>
      </c>
      <c r="C4" s="6" t="s">
        <v>13588</v>
      </c>
      <c r="D4" s="4">
        <v>512</v>
      </c>
      <c r="E4" s="5" t="s">
        <v>15</v>
      </c>
      <c r="F4" s="5" t="s">
        <v>6797</v>
      </c>
      <c r="G4" s="6" t="s">
        <v>41</v>
      </c>
      <c r="H4" s="4"/>
      <c r="I4" s="5"/>
      <c r="J4" s="5" t="s">
        <v>6763</v>
      </c>
      <c r="K4" s="5" t="s">
        <v>6694</v>
      </c>
      <c r="L4" s="5"/>
      <c r="M4" s="5" t="s">
        <v>1668</v>
      </c>
      <c r="N4" s="5" t="s">
        <v>2421</v>
      </c>
      <c r="O4" s="5" t="s">
        <v>6690</v>
      </c>
      <c r="P4" s="5"/>
      <c r="Q4" s="5" t="s">
        <v>6798</v>
      </c>
      <c r="T4" s="10" t="s">
        <v>13588</v>
      </c>
      <c r="U4" s="9">
        <v>74</v>
      </c>
      <c r="V4" s="9">
        <v>776</v>
      </c>
      <c r="W4" s="11"/>
      <c r="X4" s="12">
        <f>V4/U4</f>
        <v>10.486486486486486</v>
      </c>
    </row>
    <row r="5" spans="2:43" x14ac:dyDescent="0.2">
      <c r="B5" s="5" t="s">
        <v>6686</v>
      </c>
      <c r="C5" s="6" t="s">
        <v>13588</v>
      </c>
      <c r="D5" s="4">
        <v>513</v>
      </c>
      <c r="E5" s="5" t="s">
        <v>82</v>
      </c>
      <c r="F5" s="5" t="s">
        <v>6794</v>
      </c>
      <c r="G5" s="6" t="s">
        <v>41</v>
      </c>
      <c r="H5" s="4"/>
      <c r="I5" s="5"/>
      <c r="J5" s="5" t="s">
        <v>6795</v>
      </c>
      <c r="K5" s="5" t="s">
        <v>6698</v>
      </c>
      <c r="L5" s="5"/>
      <c r="M5" s="5" t="s">
        <v>1082</v>
      </c>
      <c r="N5" s="5" t="s">
        <v>1058</v>
      </c>
      <c r="O5" s="5" t="s">
        <v>6690</v>
      </c>
      <c r="P5" s="5"/>
      <c r="Q5" s="5" t="s">
        <v>6796</v>
      </c>
      <c r="T5" s="10" t="s">
        <v>13589</v>
      </c>
      <c r="U5" s="9">
        <v>17</v>
      </c>
      <c r="V5" s="9">
        <v>1885</v>
      </c>
      <c r="W5" s="11"/>
      <c r="X5" s="12">
        <f t="shared" ref="X5:X8" si="0">V5/U5</f>
        <v>110.88235294117646</v>
      </c>
      <c r="AD5" s="2" t="s">
        <v>13588</v>
      </c>
      <c r="AE5" s="2"/>
      <c r="AG5" s="2" t="s">
        <v>13589</v>
      </c>
      <c r="AH5" s="2"/>
      <c r="AJ5" s="2" t="s">
        <v>13590</v>
      </c>
      <c r="AK5" s="2"/>
      <c r="AM5" s="2" t="s">
        <v>13587</v>
      </c>
      <c r="AN5" s="2"/>
      <c r="AP5" s="2" t="s">
        <v>13591</v>
      </c>
      <c r="AQ5" s="2"/>
    </row>
    <row r="6" spans="2:43" x14ac:dyDescent="0.2">
      <c r="B6" s="5" t="s">
        <v>6686</v>
      </c>
      <c r="C6" s="6" t="s">
        <v>13588</v>
      </c>
      <c r="D6" s="4">
        <v>514</v>
      </c>
      <c r="E6" s="5" t="s">
        <v>20</v>
      </c>
      <c r="F6" s="5" t="s">
        <v>6779</v>
      </c>
      <c r="G6" s="6" t="s">
        <v>41</v>
      </c>
      <c r="H6" s="4"/>
      <c r="I6" s="5" t="s">
        <v>22</v>
      </c>
      <c r="J6" s="5" t="s">
        <v>6780</v>
      </c>
      <c r="K6" s="5" t="s">
        <v>6698</v>
      </c>
      <c r="L6" s="5"/>
      <c r="M6" s="5" t="s">
        <v>3763</v>
      </c>
      <c r="N6" s="5" t="s">
        <v>480</v>
      </c>
      <c r="O6" s="5" t="s">
        <v>6695</v>
      </c>
      <c r="P6" s="5"/>
      <c r="Q6" s="5" t="s">
        <v>6781</v>
      </c>
      <c r="T6" s="10" t="s">
        <v>13590</v>
      </c>
      <c r="U6" s="9">
        <v>2</v>
      </c>
      <c r="V6" s="9">
        <v>140</v>
      </c>
      <c r="X6" s="12">
        <f t="shared" si="0"/>
        <v>70</v>
      </c>
      <c r="AC6" s="2">
        <v>1</v>
      </c>
      <c r="AD6" s="1" t="s">
        <v>41</v>
      </c>
      <c r="AF6" s="2">
        <v>1</v>
      </c>
      <c r="AG6" s="1" t="s">
        <v>41</v>
      </c>
      <c r="AI6" s="2">
        <v>1</v>
      </c>
      <c r="AJ6" s="1" t="s">
        <v>41</v>
      </c>
      <c r="AL6" s="2">
        <v>1</v>
      </c>
      <c r="AM6" s="1" t="s">
        <v>41</v>
      </c>
      <c r="AO6" s="2">
        <v>1</v>
      </c>
      <c r="AP6" s="1" t="s">
        <v>41</v>
      </c>
    </row>
    <row r="7" spans="2:43" x14ac:dyDescent="0.2">
      <c r="B7" s="5" t="s">
        <v>6686</v>
      </c>
      <c r="C7" s="6" t="s">
        <v>13588</v>
      </c>
      <c r="D7" s="4">
        <v>525</v>
      </c>
      <c r="E7" s="5" t="s">
        <v>82</v>
      </c>
      <c r="F7" s="5" t="s">
        <v>6746</v>
      </c>
      <c r="G7" s="6" t="s">
        <v>41</v>
      </c>
      <c r="H7" s="4"/>
      <c r="I7" s="5"/>
      <c r="J7" s="5" t="s">
        <v>6747</v>
      </c>
      <c r="K7" s="5" t="s">
        <v>6748</v>
      </c>
      <c r="L7" s="5"/>
      <c r="M7" s="5" t="s">
        <v>3162</v>
      </c>
      <c r="N7" s="5" t="s">
        <v>921</v>
      </c>
      <c r="O7" s="5" t="s">
        <v>6690</v>
      </c>
      <c r="P7" s="5"/>
      <c r="Q7" s="5" t="s">
        <v>6749</v>
      </c>
      <c r="T7" s="10" t="s">
        <v>13587</v>
      </c>
      <c r="U7" s="9">
        <v>12</v>
      </c>
      <c r="V7" s="9">
        <v>1107</v>
      </c>
      <c r="X7" s="12">
        <f t="shared" si="0"/>
        <v>92.25</v>
      </c>
      <c r="AC7" s="2">
        <v>2</v>
      </c>
      <c r="AD7" s="1" t="s">
        <v>34</v>
      </c>
      <c r="AF7" s="2">
        <v>2</v>
      </c>
      <c r="AG7" s="1" t="s">
        <v>34</v>
      </c>
      <c r="AI7" s="2">
        <v>2</v>
      </c>
      <c r="AJ7" s="1" t="s">
        <v>34</v>
      </c>
      <c r="AL7" s="2">
        <v>2</v>
      </c>
      <c r="AM7" s="1" t="s">
        <v>877</v>
      </c>
      <c r="AO7" s="2">
        <v>2</v>
      </c>
      <c r="AP7" s="1" t="s">
        <v>43</v>
      </c>
    </row>
    <row r="8" spans="2:43" x14ac:dyDescent="0.2">
      <c r="B8" s="5" t="s">
        <v>6686</v>
      </c>
      <c r="C8" s="6" t="s">
        <v>13588</v>
      </c>
      <c r="D8" s="4">
        <v>545</v>
      </c>
      <c r="E8" s="5" t="s">
        <v>35</v>
      </c>
      <c r="F8" s="5" t="s">
        <v>6782</v>
      </c>
      <c r="G8" s="6" t="s">
        <v>41</v>
      </c>
      <c r="H8" s="4"/>
      <c r="I8" s="5"/>
      <c r="J8" s="5" t="s">
        <v>6783</v>
      </c>
      <c r="K8" s="5" t="s">
        <v>6698</v>
      </c>
      <c r="L8" s="5"/>
      <c r="M8" s="5" t="s">
        <v>219</v>
      </c>
      <c r="N8" s="5" t="s">
        <v>219</v>
      </c>
      <c r="O8" s="5" t="s">
        <v>6690</v>
      </c>
      <c r="P8" s="5"/>
      <c r="Q8" s="5" t="s">
        <v>6784</v>
      </c>
      <c r="T8" s="10" t="s">
        <v>13591</v>
      </c>
      <c r="U8" s="9">
        <v>7</v>
      </c>
      <c r="V8" s="9">
        <v>54</v>
      </c>
      <c r="X8" s="12">
        <f t="shared" si="0"/>
        <v>7.7142857142857144</v>
      </c>
      <c r="AC8" s="2">
        <v>3</v>
      </c>
      <c r="AD8" s="1" t="s">
        <v>51</v>
      </c>
      <c r="AF8" s="2">
        <v>3</v>
      </c>
      <c r="AG8" s="1" t="s">
        <v>51</v>
      </c>
      <c r="AI8" s="2">
        <v>3</v>
      </c>
      <c r="AJ8" s="1" t="s">
        <v>51</v>
      </c>
      <c r="AL8" s="2">
        <v>3</v>
      </c>
      <c r="AM8" s="1" t="s">
        <v>34</v>
      </c>
      <c r="AO8" s="2">
        <v>3</v>
      </c>
      <c r="AP8" s="1" t="s">
        <v>47</v>
      </c>
    </row>
    <row r="9" spans="2:43" x14ac:dyDescent="0.2">
      <c r="B9" s="5" t="s">
        <v>4273</v>
      </c>
      <c r="C9" s="6" t="s">
        <v>13588</v>
      </c>
      <c r="D9" s="4">
        <v>122</v>
      </c>
      <c r="E9" s="5" t="s">
        <v>20</v>
      </c>
      <c r="F9" s="5" t="s">
        <v>4299</v>
      </c>
      <c r="G9" s="6" t="s">
        <v>34</v>
      </c>
      <c r="H9" s="4"/>
      <c r="I9" s="5" t="s">
        <v>22</v>
      </c>
      <c r="J9" s="5" t="s">
        <v>4300</v>
      </c>
      <c r="K9" s="5" t="s">
        <v>4301</v>
      </c>
      <c r="L9" s="5"/>
      <c r="M9" s="5" t="s">
        <v>330</v>
      </c>
      <c r="N9" s="5" t="s">
        <v>1385</v>
      </c>
      <c r="O9" s="5" t="s">
        <v>4302</v>
      </c>
      <c r="P9" s="5"/>
      <c r="Q9" s="5" t="s">
        <v>4303</v>
      </c>
      <c r="AC9" s="2">
        <v>4</v>
      </c>
      <c r="AD9" s="1" t="s">
        <v>59</v>
      </c>
      <c r="AF9" s="2">
        <v>4</v>
      </c>
      <c r="AG9" s="1" t="s">
        <v>59</v>
      </c>
      <c r="AI9" s="2">
        <v>4</v>
      </c>
      <c r="AJ9" s="1" t="s">
        <v>43</v>
      </c>
      <c r="AL9" s="2">
        <v>4</v>
      </c>
      <c r="AM9" s="1" t="s">
        <v>51</v>
      </c>
      <c r="AO9" s="2">
        <v>4</v>
      </c>
      <c r="AP9" s="1" t="s">
        <v>18</v>
      </c>
    </row>
    <row r="10" spans="2:43" x14ac:dyDescent="0.2">
      <c r="B10" s="5" t="s">
        <v>4273</v>
      </c>
      <c r="C10" s="6" t="s">
        <v>13588</v>
      </c>
      <c r="D10" s="4">
        <v>127</v>
      </c>
      <c r="E10" s="5" t="s">
        <v>20</v>
      </c>
      <c r="F10" s="5" t="s">
        <v>4274</v>
      </c>
      <c r="G10" s="6" t="s">
        <v>34</v>
      </c>
      <c r="H10" s="4"/>
      <c r="I10" s="5" t="s">
        <v>22</v>
      </c>
      <c r="J10" s="5" t="s">
        <v>4275</v>
      </c>
      <c r="K10" s="5" t="s">
        <v>4276</v>
      </c>
      <c r="L10" s="5"/>
      <c r="M10" s="5" t="s">
        <v>1230</v>
      </c>
      <c r="N10" s="5" t="s">
        <v>1222</v>
      </c>
      <c r="O10" s="5" t="s">
        <v>4277</v>
      </c>
      <c r="P10" s="5"/>
      <c r="Q10" s="5" t="s">
        <v>4278</v>
      </c>
      <c r="AC10" s="2">
        <v>5</v>
      </c>
      <c r="AD10" s="1" t="s">
        <v>86</v>
      </c>
      <c r="AF10" s="2">
        <v>5</v>
      </c>
      <c r="AG10" s="1" t="s">
        <v>86</v>
      </c>
      <c r="AI10" s="2">
        <v>5</v>
      </c>
      <c r="AJ10" s="1" t="s">
        <v>25</v>
      </c>
      <c r="AL10" s="2">
        <v>5</v>
      </c>
      <c r="AM10" s="1" t="s">
        <v>59</v>
      </c>
      <c r="AO10" s="2">
        <v>5</v>
      </c>
      <c r="AP10" s="1" t="s">
        <v>81</v>
      </c>
    </row>
    <row r="11" spans="2:43" x14ac:dyDescent="0.2">
      <c r="B11" s="5" t="s">
        <v>4377</v>
      </c>
      <c r="C11" s="6" t="s">
        <v>13588</v>
      </c>
      <c r="D11" s="4">
        <v>150</v>
      </c>
      <c r="E11" s="5" t="s">
        <v>20</v>
      </c>
      <c r="F11" s="5" t="s">
        <v>4467</v>
      </c>
      <c r="G11" s="6" t="s">
        <v>34</v>
      </c>
      <c r="H11" s="4"/>
      <c r="I11" s="5" t="s">
        <v>22</v>
      </c>
      <c r="J11" s="5" t="s">
        <v>4385</v>
      </c>
      <c r="K11" s="5" t="s">
        <v>4380</v>
      </c>
      <c r="L11" s="5"/>
      <c r="M11" s="5" t="s">
        <v>97</v>
      </c>
      <c r="N11" s="5" t="s">
        <v>97</v>
      </c>
      <c r="O11" s="5" t="s">
        <v>4382</v>
      </c>
      <c r="P11" s="5"/>
      <c r="Q11" s="5" t="s">
        <v>4468</v>
      </c>
      <c r="AC11" s="2">
        <v>6</v>
      </c>
      <c r="AD11" s="1" t="s">
        <v>84</v>
      </c>
      <c r="AF11" s="2">
        <v>6</v>
      </c>
      <c r="AG11" s="1" t="s">
        <v>84</v>
      </c>
      <c r="AI11" s="2">
        <v>6</v>
      </c>
      <c r="AJ11" s="1" t="s">
        <v>39</v>
      </c>
      <c r="AL11" s="2">
        <v>6</v>
      </c>
      <c r="AM11" s="1" t="s">
        <v>86</v>
      </c>
      <c r="AO11" s="2">
        <v>6</v>
      </c>
      <c r="AP11" s="1" t="s">
        <v>16</v>
      </c>
    </row>
    <row r="12" spans="2:43" x14ac:dyDescent="0.2">
      <c r="B12" s="5" t="s">
        <v>4377</v>
      </c>
      <c r="C12" s="6" t="s">
        <v>13588</v>
      </c>
      <c r="D12" s="4">
        <v>151</v>
      </c>
      <c r="E12" s="5" t="s">
        <v>20</v>
      </c>
      <c r="F12" s="5" t="s">
        <v>4469</v>
      </c>
      <c r="G12" s="6" t="s">
        <v>34</v>
      </c>
      <c r="H12" s="4"/>
      <c r="I12" s="5" t="s">
        <v>38</v>
      </c>
      <c r="J12" s="5" t="s">
        <v>4470</v>
      </c>
      <c r="K12" s="5" t="s">
        <v>4471</v>
      </c>
      <c r="L12" s="5"/>
      <c r="M12" s="5" t="s">
        <v>96</v>
      </c>
      <c r="N12" s="5" t="s">
        <v>284</v>
      </c>
      <c r="O12" s="5" t="s">
        <v>4395</v>
      </c>
      <c r="P12" s="5"/>
      <c r="Q12" s="5" t="s">
        <v>4472</v>
      </c>
      <c r="X12" s="11"/>
      <c r="Y12" s="9" t="s">
        <v>13595</v>
      </c>
      <c r="Z12" s="9" t="s">
        <v>13596</v>
      </c>
      <c r="AA12" s="9" t="s">
        <v>13597</v>
      </c>
      <c r="AC12" s="2">
        <v>7</v>
      </c>
      <c r="AD12" s="1" t="s">
        <v>43</v>
      </c>
      <c r="AF12" s="2">
        <v>7</v>
      </c>
      <c r="AG12" s="1" t="s">
        <v>43</v>
      </c>
      <c r="AI12" s="2">
        <v>7</v>
      </c>
      <c r="AJ12" s="1" t="s">
        <v>18</v>
      </c>
      <c r="AL12" s="2">
        <v>7</v>
      </c>
      <c r="AM12" s="1" t="s">
        <v>84</v>
      </c>
      <c r="AO12" s="2">
        <v>7</v>
      </c>
      <c r="AP12" s="1" t="s">
        <v>65</v>
      </c>
    </row>
    <row r="13" spans="2:43" x14ac:dyDescent="0.2">
      <c r="B13" s="5" t="s">
        <v>4377</v>
      </c>
      <c r="C13" s="6" t="s">
        <v>13588</v>
      </c>
      <c r="D13" s="4">
        <v>152</v>
      </c>
      <c r="E13" s="5" t="s">
        <v>20</v>
      </c>
      <c r="F13" s="5" t="s">
        <v>4469</v>
      </c>
      <c r="G13" s="6" t="s">
        <v>34</v>
      </c>
      <c r="H13" s="4"/>
      <c r="I13" s="5" t="s">
        <v>38</v>
      </c>
      <c r="J13" s="5" t="s">
        <v>4473</v>
      </c>
      <c r="K13" s="5" t="s">
        <v>4474</v>
      </c>
      <c r="L13" s="5"/>
      <c r="M13" s="5" t="s">
        <v>96</v>
      </c>
      <c r="N13" s="5" t="s">
        <v>284</v>
      </c>
      <c r="O13" s="5" t="s">
        <v>4395</v>
      </c>
      <c r="P13" s="5"/>
      <c r="Q13" s="5" t="s">
        <v>4475</v>
      </c>
      <c r="X13" s="16" t="s">
        <v>13588</v>
      </c>
      <c r="Y13" s="10" t="s">
        <v>14</v>
      </c>
      <c r="Z13" s="9">
        <v>457</v>
      </c>
      <c r="AA13" s="13">
        <f>(Z13*100)/V4</f>
        <v>58.891752577319586</v>
      </c>
      <c r="AC13" s="2">
        <v>8</v>
      </c>
      <c r="AD13" s="1" t="s">
        <v>54</v>
      </c>
      <c r="AF13" s="2">
        <v>8</v>
      </c>
      <c r="AG13" s="1" t="s">
        <v>8577</v>
      </c>
      <c r="AI13" s="2">
        <v>8</v>
      </c>
      <c r="AJ13" s="1" t="s">
        <v>68</v>
      </c>
      <c r="AL13" s="2">
        <v>8</v>
      </c>
      <c r="AM13" s="1" t="s">
        <v>43</v>
      </c>
      <c r="AO13" s="2">
        <v>8</v>
      </c>
      <c r="AP13" s="1" t="s">
        <v>40</v>
      </c>
    </row>
    <row r="14" spans="2:43" x14ac:dyDescent="0.2">
      <c r="B14" s="5" t="s">
        <v>4377</v>
      </c>
      <c r="C14" s="6" t="s">
        <v>13588</v>
      </c>
      <c r="D14" s="4">
        <v>153</v>
      </c>
      <c r="E14" s="5" t="s">
        <v>20</v>
      </c>
      <c r="F14" s="5" t="s">
        <v>4469</v>
      </c>
      <c r="G14" s="6" t="s">
        <v>34</v>
      </c>
      <c r="H14" s="4"/>
      <c r="I14" s="5" t="s">
        <v>38</v>
      </c>
      <c r="J14" s="5" t="s">
        <v>4476</v>
      </c>
      <c r="K14" s="5" t="s">
        <v>4474</v>
      </c>
      <c r="L14" s="5" t="s">
        <v>4403</v>
      </c>
      <c r="M14" s="5" t="s">
        <v>96</v>
      </c>
      <c r="N14" s="5" t="s">
        <v>284</v>
      </c>
      <c r="O14" s="5" t="s">
        <v>4395</v>
      </c>
      <c r="P14" s="5"/>
      <c r="Q14" s="5" t="s">
        <v>4477</v>
      </c>
      <c r="X14" s="16"/>
      <c r="Y14" s="10" t="s">
        <v>13598</v>
      </c>
      <c r="Z14" s="9">
        <f>V4-Z13</f>
        <v>319</v>
      </c>
      <c r="AA14" s="13">
        <f>100-AA13</f>
        <v>41.108247422680414</v>
      </c>
      <c r="AC14" s="2">
        <v>9</v>
      </c>
      <c r="AD14" s="1" t="s">
        <v>36</v>
      </c>
      <c r="AF14" s="2">
        <v>9</v>
      </c>
      <c r="AG14" s="1" t="s">
        <v>1162</v>
      </c>
      <c r="AI14" s="2">
        <v>9</v>
      </c>
      <c r="AJ14" s="1" t="s">
        <v>273</v>
      </c>
      <c r="AL14" s="2">
        <v>9</v>
      </c>
      <c r="AM14" s="1" t="s">
        <v>54</v>
      </c>
      <c r="AO14" s="2">
        <v>9</v>
      </c>
      <c r="AP14" s="1" t="s">
        <v>55</v>
      </c>
    </row>
    <row r="15" spans="2:43" x14ac:dyDescent="0.2">
      <c r="B15" s="5" t="s">
        <v>4377</v>
      </c>
      <c r="C15" s="6" t="s">
        <v>13588</v>
      </c>
      <c r="D15" s="4">
        <v>154</v>
      </c>
      <c r="E15" s="5" t="s">
        <v>20</v>
      </c>
      <c r="F15" s="5" t="s">
        <v>4469</v>
      </c>
      <c r="G15" s="6" t="s">
        <v>34</v>
      </c>
      <c r="H15" s="4"/>
      <c r="I15" s="5" t="s">
        <v>38</v>
      </c>
      <c r="J15" s="5" t="s">
        <v>4478</v>
      </c>
      <c r="K15" s="5" t="s">
        <v>4479</v>
      </c>
      <c r="L15" s="5" t="s">
        <v>4480</v>
      </c>
      <c r="M15" s="5" t="s">
        <v>96</v>
      </c>
      <c r="N15" s="5" t="s">
        <v>284</v>
      </c>
      <c r="O15" s="5" t="s">
        <v>4395</v>
      </c>
      <c r="P15" s="5"/>
      <c r="Q15" s="5" t="s">
        <v>4481</v>
      </c>
      <c r="Y15" s="11"/>
      <c r="Z15" s="14"/>
      <c r="AA15" s="15"/>
      <c r="AC15" s="2">
        <v>10</v>
      </c>
      <c r="AD15" s="1" t="s">
        <v>47</v>
      </c>
      <c r="AF15" s="2">
        <v>10</v>
      </c>
      <c r="AG15" s="1" t="s">
        <v>54</v>
      </c>
      <c r="AI15" s="2">
        <v>10</v>
      </c>
      <c r="AJ15" s="1" t="s">
        <v>53</v>
      </c>
      <c r="AL15" s="2">
        <v>10</v>
      </c>
      <c r="AM15" s="1" t="s">
        <v>36</v>
      </c>
      <c r="AO15" s="2">
        <v>10</v>
      </c>
      <c r="AP15" s="1" t="s">
        <v>26</v>
      </c>
    </row>
    <row r="16" spans="2:43" x14ac:dyDescent="0.2">
      <c r="B16" s="5" t="s">
        <v>4377</v>
      </c>
      <c r="C16" s="6" t="s">
        <v>13588</v>
      </c>
      <c r="D16" s="4">
        <v>155</v>
      </c>
      <c r="E16" s="5" t="s">
        <v>20</v>
      </c>
      <c r="F16" s="5" t="s">
        <v>4469</v>
      </c>
      <c r="G16" s="6" t="s">
        <v>34</v>
      </c>
      <c r="H16" s="4"/>
      <c r="I16" s="5" t="s">
        <v>38</v>
      </c>
      <c r="J16" s="5" t="s">
        <v>4482</v>
      </c>
      <c r="K16" s="5" t="s">
        <v>4414</v>
      </c>
      <c r="L16" s="5"/>
      <c r="M16" s="5" t="s">
        <v>96</v>
      </c>
      <c r="N16" s="5" t="s">
        <v>284</v>
      </c>
      <c r="O16" s="5" t="s">
        <v>4395</v>
      </c>
      <c r="P16" s="5"/>
      <c r="Q16" s="5" t="s">
        <v>4483</v>
      </c>
      <c r="AC16" s="2">
        <v>11</v>
      </c>
      <c r="AD16" s="1" t="s">
        <v>643</v>
      </c>
      <c r="AF16" s="2">
        <v>11</v>
      </c>
      <c r="AG16" s="1" t="s">
        <v>36</v>
      </c>
      <c r="AI16" s="2">
        <v>11</v>
      </c>
      <c r="AJ16" s="1" t="s">
        <v>48</v>
      </c>
      <c r="AL16" s="2">
        <v>11</v>
      </c>
      <c r="AM16" s="1" t="s">
        <v>47</v>
      </c>
      <c r="AO16" s="2"/>
    </row>
    <row r="17" spans="2:41" x14ac:dyDescent="0.2">
      <c r="B17" s="5" t="s">
        <v>4377</v>
      </c>
      <c r="C17" s="6" t="s">
        <v>13588</v>
      </c>
      <c r="D17" s="4">
        <v>156</v>
      </c>
      <c r="E17" s="5" t="s">
        <v>20</v>
      </c>
      <c r="F17" s="5" t="s">
        <v>4469</v>
      </c>
      <c r="G17" s="6" t="s">
        <v>34</v>
      </c>
      <c r="H17" s="4"/>
      <c r="I17" s="5" t="s">
        <v>38</v>
      </c>
      <c r="J17" s="5" t="s">
        <v>4484</v>
      </c>
      <c r="K17" s="5" t="s">
        <v>4485</v>
      </c>
      <c r="L17" s="5" t="s">
        <v>4486</v>
      </c>
      <c r="M17" s="5" t="s">
        <v>96</v>
      </c>
      <c r="N17" s="5" t="s">
        <v>284</v>
      </c>
      <c r="O17" s="5" t="s">
        <v>4391</v>
      </c>
      <c r="P17" s="5"/>
      <c r="Q17" s="5" t="s">
        <v>4487</v>
      </c>
      <c r="Y17" s="9" t="s">
        <v>13595</v>
      </c>
      <c r="Z17" s="9" t="s">
        <v>13596</v>
      </c>
      <c r="AA17" s="9" t="s">
        <v>13597</v>
      </c>
      <c r="AC17" s="2">
        <v>12</v>
      </c>
      <c r="AD17" s="1" t="s">
        <v>524</v>
      </c>
      <c r="AF17" s="2">
        <v>12</v>
      </c>
      <c r="AG17" s="1" t="s">
        <v>47</v>
      </c>
      <c r="AI17" s="2">
        <v>12</v>
      </c>
      <c r="AJ17" s="1" t="s">
        <v>40</v>
      </c>
      <c r="AL17" s="2">
        <v>12</v>
      </c>
      <c r="AM17" s="1" t="s">
        <v>643</v>
      </c>
      <c r="AO17" s="2"/>
    </row>
    <row r="18" spans="2:41" x14ac:dyDescent="0.2">
      <c r="B18" s="5" t="s">
        <v>4377</v>
      </c>
      <c r="C18" s="6" t="s">
        <v>13588</v>
      </c>
      <c r="D18" s="4">
        <v>157</v>
      </c>
      <c r="E18" s="5" t="s">
        <v>20</v>
      </c>
      <c r="F18" s="5" t="s">
        <v>4469</v>
      </c>
      <c r="G18" s="6" t="s">
        <v>34</v>
      </c>
      <c r="H18" s="4"/>
      <c r="I18" s="5" t="s">
        <v>38</v>
      </c>
      <c r="J18" s="5" t="s">
        <v>4488</v>
      </c>
      <c r="K18" s="5" t="s">
        <v>4489</v>
      </c>
      <c r="L18" s="5"/>
      <c r="M18" s="5" t="s">
        <v>96</v>
      </c>
      <c r="N18" s="5" t="s">
        <v>284</v>
      </c>
      <c r="O18" s="5" t="s">
        <v>4490</v>
      </c>
      <c r="P18" s="5"/>
      <c r="Q18" s="5" t="s">
        <v>4491</v>
      </c>
      <c r="X18" s="16" t="s">
        <v>13589</v>
      </c>
      <c r="Y18" s="10" t="s">
        <v>14</v>
      </c>
      <c r="Z18" s="9">
        <v>1005</v>
      </c>
      <c r="AA18" s="13">
        <f>(Z18*100)/V5</f>
        <v>53.315649867374006</v>
      </c>
      <c r="AC18" s="2">
        <v>13</v>
      </c>
      <c r="AD18" s="1" t="s">
        <v>73</v>
      </c>
      <c r="AF18" s="2">
        <v>13</v>
      </c>
      <c r="AG18" s="1" t="s">
        <v>643</v>
      </c>
      <c r="AI18" s="2">
        <v>13</v>
      </c>
      <c r="AJ18" s="1" t="s">
        <v>26</v>
      </c>
      <c r="AL18" s="2">
        <v>13</v>
      </c>
      <c r="AM18" s="1" t="s">
        <v>524</v>
      </c>
      <c r="AO18" s="2"/>
    </row>
    <row r="19" spans="2:41" x14ac:dyDescent="0.2">
      <c r="B19" s="5" t="s">
        <v>4377</v>
      </c>
      <c r="C19" s="6" t="s">
        <v>13588</v>
      </c>
      <c r="D19" s="4">
        <v>158</v>
      </c>
      <c r="E19" s="5" t="s">
        <v>20</v>
      </c>
      <c r="F19" s="5" t="s">
        <v>4469</v>
      </c>
      <c r="G19" s="6" t="s">
        <v>34</v>
      </c>
      <c r="H19" s="4"/>
      <c r="I19" s="5" t="s">
        <v>38</v>
      </c>
      <c r="J19" s="5" t="s">
        <v>4492</v>
      </c>
      <c r="K19" s="5" t="s">
        <v>4421</v>
      </c>
      <c r="L19" s="5" t="s">
        <v>4381</v>
      </c>
      <c r="M19" s="5" t="s">
        <v>96</v>
      </c>
      <c r="N19" s="5" t="s">
        <v>284</v>
      </c>
      <c r="O19" s="5" t="s">
        <v>4382</v>
      </c>
      <c r="P19" s="5"/>
      <c r="Q19" s="5" t="s">
        <v>4493</v>
      </c>
      <c r="X19" s="16"/>
      <c r="Y19" s="10" t="s">
        <v>13598</v>
      </c>
      <c r="Z19" s="9">
        <f>V5-Z18</f>
        <v>880</v>
      </c>
      <c r="AA19" s="13">
        <f>100-AA18</f>
        <v>46.684350132625994</v>
      </c>
      <c r="AC19" s="2">
        <v>14</v>
      </c>
      <c r="AD19" s="1" t="s">
        <v>45</v>
      </c>
      <c r="AF19" s="2">
        <v>14</v>
      </c>
      <c r="AG19" s="1" t="s">
        <v>524</v>
      </c>
      <c r="AI19" s="2">
        <v>14</v>
      </c>
      <c r="AJ19" s="1" t="s">
        <v>72</v>
      </c>
      <c r="AL19" s="2">
        <v>14</v>
      </c>
      <c r="AM19" s="1" t="s">
        <v>85</v>
      </c>
      <c r="AO19" s="2"/>
    </row>
    <row r="20" spans="2:41" x14ac:dyDescent="0.2">
      <c r="B20" s="5" t="s">
        <v>4377</v>
      </c>
      <c r="C20" s="6" t="s">
        <v>13588</v>
      </c>
      <c r="D20" s="4">
        <v>180</v>
      </c>
      <c r="E20" s="5" t="s">
        <v>20</v>
      </c>
      <c r="F20" s="5" t="s">
        <v>4384</v>
      </c>
      <c r="G20" s="6" t="s">
        <v>34</v>
      </c>
      <c r="H20" s="4"/>
      <c r="I20" s="5" t="s">
        <v>22</v>
      </c>
      <c r="J20" s="5" t="s">
        <v>4385</v>
      </c>
      <c r="K20" s="5" t="s">
        <v>4380</v>
      </c>
      <c r="L20" s="5"/>
      <c r="M20" s="5" t="s">
        <v>2304</v>
      </c>
      <c r="N20" s="5" t="s">
        <v>2863</v>
      </c>
      <c r="O20" s="5" t="s">
        <v>4382</v>
      </c>
      <c r="P20" s="5"/>
      <c r="Q20" s="5" t="s">
        <v>4386</v>
      </c>
      <c r="AC20" s="2">
        <v>15</v>
      </c>
      <c r="AD20" s="1" t="s">
        <v>25</v>
      </c>
      <c r="AF20" s="2">
        <v>15</v>
      </c>
      <c r="AG20" s="1" t="s">
        <v>45</v>
      </c>
      <c r="AI20" s="2"/>
      <c r="AL20" s="2">
        <v>15</v>
      </c>
      <c r="AM20" s="1" t="s">
        <v>73</v>
      </c>
      <c r="AO20" s="2"/>
    </row>
    <row r="21" spans="2:41" x14ac:dyDescent="0.2">
      <c r="B21" s="5" t="s">
        <v>4377</v>
      </c>
      <c r="C21" s="6" t="s">
        <v>13588</v>
      </c>
      <c r="D21" s="4">
        <v>181</v>
      </c>
      <c r="E21" s="5" t="s">
        <v>20</v>
      </c>
      <c r="F21" s="5" t="s">
        <v>4378</v>
      </c>
      <c r="G21" s="6" t="s">
        <v>34</v>
      </c>
      <c r="H21" s="4"/>
      <c r="I21" s="5" t="s">
        <v>22</v>
      </c>
      <c r="J21" s="5" t="s">
        <v>4379</v>
      </c>
      <c r="K21" s="5" t="s">
        <v>4380</v>
      </c>
      <c r="L21" s="5" t="s">
        <v>4381</v>
      </c>
      <c r="M21" s="5" t="s">
        <v>1218</v>
      </c>
      <c r="N21" s="5" t="s">
        <v>2821</v>
      </c>
      <c r="O21" s="5" t="s">
        <v>4382</v>
      </c>
      <c r="P21" s="5"/>
      <c r="Q21" s="5" t="s">
        <v>4383</v>
      </c>
      <c r="AC21" s="2">
        <v>16</v>
      </c>
      <c r="AD21" s="1" t="s">
        <v>39</v>
      </c>
      <c r="AF21" s="2">
        <v>16</v>
      </c>
      <c r="AG21" s="1" t="s">
        <v>25</v>
      </c>
      <c r="AI21" s="2"/>
      <c r="AL21" s="2">
        <v>16</v>
      </c>
      <c r="AM21" s="1" t="s">
        <v>45</v>
      </c>
      <c r="AO21" s="2"/>
    </row>
    <row r="22" spans="2:41" x14ac:dyDescent="0.2">
      <c r="B22" s="5" t="s">
        <v>4565</v>
      </c>
      <c r="C22" s="6" t="s">
        <v>13588</v>
      </c>
      <c r="D22" s="4">
        <v>199</v>
      </c>
      <c r="E22" s="5" t="s">
        <v>82</v>
      </c>
      <c r="F22" s="5" t="s">
        <v>4599</v>
      </c>
      <c r="G22" s="6" t="s">
        <v>34</v>
      </c>
      <c r="H22" s="4"/>
      <c r="I22" s="5"/>
      <c r="J22" s="5" t="s">
        <v>4602</v>
      </c>
      <c r="K22" s="5" t="s">
        <v>4566</v>
      </c>
      <c r="L22" s="5"/>
      <c r="M22" s="5" t="s">
        <v>1464</v>
      </c>
      <c r="N22" s="5" t="s">
        <v>2089</v>
      </c>
      <c r="O22" s="5" t="s">
        <v>4567</v>
      </c>
      <c r="P22" s="5"/>
      <c r="Q22" s="5" t="s">
        <v>4603</v>
      </c>
      <c r="Y22" s="9" t="s">
        <v>13595</v>
      </c>
      <c r="Z22" s="9" t="s">
        <v>13596</v>
      </c>
      <c r="AA22" s="9" t="s">
        <v>13597</v>
      </c>
      <c r="AC22" s="2">
        <v>17</v>
      </c>
      <c r="AD22" s="1" t="s">
        <v>18</v>
      </c>
      <c r="AF22" s="2">
        <v>17</v>
      </c>
      <c r="AG22" s="1" t="s">
        <v>541</v>
      </c>
      <c r="AI22" s="2"/>
      <c r="AL22" s="2">
        <v>17</v>
      </c>
      <c r="AM22" s="1" t="s">
        <v>25</v>
      </c>
      <c r="AO22" s="2"/>
    </row>
    <row r="23" spans="2:41" x14ac:dyDescent="0.2">
      <c r="B23" s="5" t="s">
        <v>4565</v>
      </c>
      <c r="C23" s="6" t="s">
        <v>13588</v>
      </c>
      <c r="D23" s="4">
        <v>200</v>
      </c>
      <c r="E23" s="5" t="s">
        <v>24</v>
      </c>
      <c r="F23" s="5" t="s">
        <v>4599</v>
      </c>
      <c r="G23" s="6" t="s">
        <v>34</v>
      </c>
      <c r="H23" s="4"/>
      <c r="I23" s="5"/>
      <c r="J23" s="5" t="s">
        <v>4600</v>
      </c>
      <c r="K23" s="5" t="s">
        <v>4566</v>
      </c>
      <c r="L23" s="5"/>
      <c r="M23" s="5" t="s">
        <v>1464</v>
      </c>
      <c r="N23" s="5" t="s">
        <v>2089</v>
      </c>
      <c r="O23" s="5" t="s">
        <v>4567</v>
      </c>
      <c r="P23" s="5"/>
      <c r="Q23" s="5" t="s">
        <v>4601</v>
      </c>
      <c r="X23" s="16" t="s">
        <v>13590</v>
      </c>
      <c r="Y23" s="10" t="s">
        <v>14</v>
      </c>
      <c r="Z23" s="9">
        <v>101</v>
      </c>
      <c r="AA23" s="13">
        <f>(Z23*100)/V6</f>
        <v>72.142857142857139</v>
      </c>
      <c r="AC23" s="2">
        <v>18</v>
      </c>
      <c r="AD23" s="1" t="s">
        <v>81</v>
      </c>
      <c r="AF23" s="2">
        <v>18</v>
      </c>
      <c r="AG23" s="1" t="s">
        <v>39</v>
      </c>
      <c r="AI23" s="2"/>
      <c r="AL23" s="2">
        <v>18</v>
      </c>
      <c r="AM23" s="1" t="s">
        <v>558</v>
      </c>
      <c r="AO23" s="2"/>
    </row>
    <row r="24" spans="2:41" x14ac:dyDescent="0.2">
      <c r="B24" s="5" t="s">
        <v>4643</v>
      </c>
      <c r="C24" s="6" t="s">
        <v>13588</v>
      </c>
      <c r="D24" s="4">
        <v>222</v>
      </c>
      <c r="E24" s="5" t="s">
        <v>20</v>
      </c>
      <c r="F24" s="5" t="s">
        <v>4469</v>
      </c>
      <c r="G24" s="6" t="s">
        <v>34</v>
      </c>
      <c r="H24" s="4"/>
      <c r="I24" s="5" t="s">
        <v>38</v>
      </c>
      <c r="J24" s="5" t="s">
        <v>4649</v>
      </c>
      <c r="K24" s="5" t="s">
        <v>4650</v>
      </c>
      <c r="L24" s="5"/>
      <c r="M24" s="5" t="s">
        <v>96</v>
      </c>
      <c r="N24" s="5" t="s">
        <v>284</v>
      </c>
      <c r="O24" s="5" t="s">
        <v>4648</v>
      </c>
      <c r="P24" s="5"/>
      <c r="Q24" s="5" t="s">
        <v>4651</v>
      </c>
      <c r="X24" s="16"/>
      <c r="Y24" s="10" t="s">
        <v>13598</v>
      </c>
      <c r="Z24" s="9">
        <f>V6-Z23</f>
        <v>39</v>
      </c>
      <c r="AA24" s="13">
        <f>100-AA23</f>
        <v>27.857142857142861</v>
      </c>
      <c r="AC24" s="2">
        <v>19</v>
      </c>
      <c r="AD24" s="1" t="s">
        <v>19</v>
      </c>
      <c r="AF24" s="2">
        <v>19</v>
      </c>
      <c r="AG24" s="1" t="s">
        <v>18</v>
      </c>
      <c r="AI24" s="2"/>
      <c r="AL24" s="2">
        <v>19</v>
      </c>
      <c r="AM24" s="1" t="s">
        <v>1015</v>
      </c>
      <c r="AO24" s="2"/>
    </row>
    <row r="25" spans="2:41" x14ac:dyDescent="0.2">
      <c r="B25" s="5" t="s">
        <v>4643</v>
      </c>
      <c r="C25" s="6" t="s">
        <v>13588</v>
      </c>
      <c r="D25" s="4">
        <v>223</v>
      </c>
      <c r="E25" s="5" t="s">
        <v>20</v>
      </c>
      <c r="F25" s="5" t="s">
        <v>4469</v>
      </c>
      <c r="G25" s="6" t="s">
        <v>34</v>
      </c>
      <c r="H25" s="4"/>
      <c r="I25" s="5" t="s">
        <v>38</v>
      </c>
      <c r="J25" s="5" t="s">
        <v>4652</v>
      </c>
      <c r="K25" s="5" t="s">
        <v>4653</v>
      </c>
      <c r="L25" s="5"/>
      <c r="M25" s="5" t="s">
        <v>96</v>
      </c>
      <c r="N25" s="5" t="s">
        <v>284</v>
      </c>
      <c r="O25" s="5" t="s">
        <v>4648</v>
      </c>
      <c r="P25" s="5"/>
      <c r="Q25" s="5" t="s">
        <v>4654</v>
      </c>
      <c r="AC25" s="2">
        <v>20</v>
      </c>
      <c r="AD25" s="1" t="s">
        <v>68</v>
      </c>
      <c r="AF25" s="2">
        <v>20</v>
      </c>
      <c r="AG25" s="1" t="s">
        <v>1160</v>
      </c>
      <c r="AI25" s="2"/>
      <c r="AL25" s="2">
        <v>20</v>
      </c>
      <c r="AM25" s="1" t="s">
        <v>39</v>
      </c>
      <c r="AO25" s="2"/>
    </row>
    <row r="26" spans="2:41" x14ac:dyDescent="0.2">
      <c r="B26" s="5" t="s">
        <v>4777</v>
      </c>
      <c r="C26" s="6" t="s">
        <v>13588</v>
      </c>
      <c r="D26" s="4">
        <v>271</v>
      </c>
      <c r="E26" s="5" t="s">
        <v>15</v>
      </c>
      <c r="F26" s="5" t="s">
        <v>4835</v>
      </c>
      <c r="G26" s="6" t="s">
        <v>34</v>
      </c>
      <c r="H26" s="4"/>
      <c r="I26" s="5"/>
      <c r="J26" s="5" t="s">
        <v>4836</v>
      </c>
      <c r="K26" s="5" t="s">
        <v>4837</v>
      </c>
      <c r="L26" s="5"/>
      <c r="M26" s="5" t="s">
        <v>2249</v>
      </c>
      <c r="N26" s="5" t="s">
        <v>4838</v>
      </c>
      <c r="O26" s="5" t="s">
        <v>4781</v>
      </c>
      <c r="P26" s="5"/>
      <c r="Q26" s="5" t="s">
        <v>4839</v>
      </c>
      <c r="AC26" s="2">
        <v>21</v>
      </c>
      <c r="AD26" s="1" t="s">
        <v>53</v>
      </c>
      <c r="AF26" s="2">
        <v>21</v>
      </c>
      <c r="AG26" s="1" t="s">
        <v>81</v>
      </c>
      <c r="AI26" s="2"/>
      <c r="AL26" s="2">
        <v>21</v>
      </c>
      <c r="AM26" s="1" t="s">
        <v>18</v>
      </c>
      <c r="AO26" s="2"/>
    </row>
    <row r="27" spans="2:41" x14ac:dyDescent="0.2">
      <c r="B27" s="5" t="s">
        <v>4777</v>
      </c>
      <c r="C27" s="6" t="s">
        <v>13588</v>
      </c>
      <c r="D27" s="4">
        <v>272</v>
      </c>
      <c r="E27" s="5" t="s">
        <v>15</v>
      </c>
      <c r="F27" s="5" t="s">
        <v>4835</v>
      </c>
      <c r="G27" s="6" t="s">
        <v>34</v>
      </c>
      <c r="H27" s="4"/>
      <c r="I27" s="5"/>
      <c r="J27" s="5" t="s">
        <v>4840</v>
      </c>
      <c r="K27" s="5" t="s">
        <v>4780</v>
      </c>
      <c r="L27" s="5"/>
      <c r="M27" s="5" t="s">
        <v>2249</v>
      </c>
      <c r="N27" s="5" t="s">
        <v>4838</v>
      </c>
      <c r="O27" s="5" t="s">
        <v>4781</v>
      </c>
      <c r="P27" s="5"/>
      <c r="Q27" s="5" t="s">
        <v>4841</v>
      </c>
      <c r="Y27" s="9" t="s">
        <v>13595</v>
      </c>
      <c r="Z27" s="9" t="s">
        <v>13596</v>
      </c>
      <c r="AA27" s="9" t="s">
        <v>13597</v>
      </c>
      <c r="AC27" s="2">
        <v>22</v>
      </c>
      <c r="AD27" s="1" t="s">
        <v>49</v>
      </c>
      <c r="AF27" s="2">
        <v>22</v>
      </c>
      <c r="AG27" s="1" t="s">
        <v>19</v>
      </c>
      <c r="AI27" s="2"/>
      <c r="AL27" s="2">
        <v>22</v>
      </c>
      <c r="AM27" s="1" t="s">
        <v>19</v>
      </c>
      <c r="AO27" s="2"/>
    </row>
    <row r="28" spans="2:41" x14ac:dyDescent="0.2">
      <c r="B28" s="5" t="s">
        <v>5963</v>
      </c>
      <c r="C28" s="6" t="s">
        <v>13588</v>
      </c>
      <c r="D28" s="4">
        <v>317</v>
      </c>
      <c r="E28" s="5" t="s">
        <v>20</v>
      </c>
      <c r="F28" s="5" t="s">
        <v>6052</v>
      </c>
      <c r="G28" s="6" t="s">
        <v>34</v>
      </c>
      <c r="H28" s="4"/>
      <c r="I28" s="5" t="s">
        <v>22</v>
      </c>
      <c r="J28" s="5" t="s">
        <v>6053</v>
      </c>
      <c r="K28" s="5" t="s">
        <v>5974</v>
      </c>
      <c r="L28" s="5"/>
      <c r="M28" s="5" t="s">
        <v>229</v>
      </c>
      <c r="N28" s="5" t="s">
        <v>230</v>
      </c>
      <c r="O28" s="5" t="s">
        <v>5965</v>
      </c>
      <c r="P28" s="5"/>
      <c r="Q28" s="5" t="s">
        <v>6054</v>
      </c>
      <c r="X28" s="16" t="s">
        <v>13587</v>
      </c>
      <c r="Y28" s="10" t="s">
        <v>14</v>
      </c>
      <c r="Z28" s="9">
        <v>546</v>
      </c>
      <c r="AA28" s="13">
        <f>(Z28*100)/V7</f>
        <v>49.322493224932252</v>
      </c>
      <c r="AC28" s="2">
        <v>23</v>
      </c>
      <c r="AD28" s="1" t="s">
        <v>16</v>
      </c>
      <c r="AF28" s="2">
        <v>23</v>
      </c>
      <c r="AG28" s="1" t="s">
        <v>68</v>
      </c>
      <c r="AI28" s="2"/>
      <c r="AL28" s="2">
        <v>23</v>
      </c>
      <c r="AM28" s="1" t="s">
        <v>68</v>
      </c>
      <c r="AO28" s="2"/>
    </row>
    <row r="29" spans="2:41" x14ac:dyDescent="0.2">
      <c r="B29" s="5" t="s">
        <v>5963</v>
      </c>
      <c r="C29" s="6" t="s">
        <v>13588</v>
      </c>
      <c r="D29" s="4">
        <v>318</v>
      </c>
      <c r="E29" s="5" t="s">
        <v>20</v>
      </c>
      <c r="F29" s="5" t="s">
        <v>6052</v>
      </c>
      <c r="G29" s="6" t="s">
        <v>34</v>
      </c>
      <c r="H29" s="4"/>
      <c r="I29" s="5" t="s">
        <v>22</v>
      </c>
      <c r="J29" s="5" t="s">
        <v>6055</v>
      </c>
      <c r="K29" s="5" t="s">
        <v>5974</v>
      </c>
      <c r="L29" s="5"/>
      <c r="M29" s="5" t="s">
        <v>229</v>
      </c>
      <c r="N29" s="5" t="s">
        <v>230</v>
      </c>
      <c r="O29" s="5" t="s">
        <v>5981</v>
      </c>
      <c r="P29" s="5"/>
      <c r="Q29" s="5" t="s">
        <v>6056</v>
      </c>
      <c r="X29" s="16"/>
      <c r="Y29" s="10" t="s">
        <v>13598</v>
      </c>
      <c r="Z29" s="9">
        <f>V7-Z28</f>
        <v>561</v>
      </c>
      <c r="AA29" s="13">
        <f>100-AA28</f>
        <v>50.677506775067748</v>
      </c>
      <c r="AC29" s="2">
        <v>24</v>
      </c>
      <c r="AD29" s="1" t="s">
        <v>65</v>
      </c>
      <c r="AF29" s="2">
        <v>24</v>
      </c>
      <c r="AG29" s="1" t="s">
        <v>273</v>
      </c>
      <c r="AI29" s="2"/>
      <c r="AL29" s="2">
        <v>24</v>
      </c>
      <c r="AM29" s="1" t="s">
        <v>273</v>
      </c>
      <c r="AO29" s="2"/>
    </row>
    <row r="30" spans="2:41" x14ac:dyDescent="0.2">
      <c r="B30" s="5" t="s">
        <v>5963</v>
      </c>
      <c r="C30" s="6" t="s">
        <v>13588</v>
      </c>
      <c r="D30" s="4">
        <v>344</v>
      </c>
      <c r="E30" s="5" t="s">
        <v>24</v>
      </c>
      <c r="F30" s="5" t="s">
        <v>6032</v>
      </c>
      <c r="G30" s="6" t="s">
        <v>34</v>
      </c>
      <c r="H30" s="4"/>
      <c r="I30" s="5"/>
      <c r="J30" s="5" t="s">
        <v>6033</v>
      </c>
      <c r="K30" s="5" t="s">
        <v>5964</v>
      </c>
      <c r="L30" s="5"/>
      <c r="M30" s="5" t="s">
        <v>351</v>
      </c>
      <c r="N30" s="5" t="s">
        <v>351</v>
      </c>
      <c r="O30" s="5" t="s">
        <v>5965</v>
      </c>
      <c r="P30" s="5"/>
      <c r="Q30" s="5" t="s">
        <v>6034</v>
      </c>
      <c r="AC30" s="2">
        <v>25</v>
      </c>
      <c r="AD30" s="1" t="s">
        <v>40</v>
      </c>
      <c r="AF30" s="2">
        <v>25</v>
      </c>
      <c r="AG30" s="1" t="s">
        <v>53</v>
      </c>
      <c r="AI30" s="2"/>
      <c r="AL30" s="2">
        <v>25</v>
      </c>
      <c r="AM30" s="1" t="s">
        <v>53</v>
      </c>
      <c r="AO30" s="2"/>
    </row>
    <row r="31" spans="2:41" x14ac:dyDescent="0.2">
      <c r="B31" s="5" t="s">
        <v>6059</v>
      </c>
      <c r="C31" s="6" t="s">
        <v>13588</v>
      </c>
      <c r="D31" s="4">
        <v>352</v>
      </c>
      <c r="E31" s="5" t="s">
        <v>35</v>
      </c>
      <c r="F31" s="5" t="s">
        <v>6093</v>
      </c>
      <c r="G31" s="6" t="s">
        <v>34</v>
      </c>
      <c r="H31" s="4"/>
      <c r="I31" s="5"/>
      <c r="J31" s="5" t="s">
        <v>6094</v>
      </c>
      <c r="K31" s="5" t="s">
        <v>6067</v>
      </c>
      <c r="L31" s="5"/>
      <c r="M31" s="5" t="s">
        <v>157</v>
      </c>
      <c r="N31" s="5" t="s">
        <v>157</v>
      </c>
      <c r="O31" s="5" t="s">
        <v>6063</v>
      </c>
      <c r="P31" s="5"/>
      <c r="Q31" s="5" t="s">
        <v>6095</v>
      </c>
      <c r="AC31" s="2">
        <v>26</v>
      </c>
      <c r="AD31" s="1" t="s">
        <v>26</v>
      </c>
      <c r="AF31" s="2">
        <v>26</v>
      </c>
      <c r="AG31" s="1" t="s">
        <v>58</v>
      </c>
      <c r="AI31" s="2"/>
      <c r="AL31" s="2">
        <v>26</v>
      </c>
      <c r="AM31" s="1" t="s">
        <v>67</v>
      </c>
      <c r="AO31" s="2"/>
    </row>
    <row r="32" spans="2:41" x14ac:dyDescent="0.2">
      <c r="B32" s="5" t="s">
        <v>6059</v>
      </c>
      <c r="C32" s="6" t="s">
        <v>13588</v>
      </c>
      <c r="D32" s="4">
        <v>362</v>
      </c>
      <c r="E32" s="5" t="s">
        <v>24</v>
      </c>
      <c r="F32" s="5" t="s">
        <v>6119</v>
      </c>
      <c r="G32" s="6" t="s">
        <v>34</v>
      </c>
      <c r="H32" s="4"/>
      <c r="I32" s="5"/>
      <c r="J32" s="5" t="s">
        <v>6120</v>
      </c>
      <c r="K32" s="5" t="s">
        <v>6067</v>
      </c>
      <c r="L32" s="5"/>
      <c r="M32" s="5" t="s">
        <v>496</v>
      </c>
      <c r="N32" s="5" t="s">
        <v>496</v>
      </c>
      <c r="O32" s="5" t="s">
        <v>6063</v>
      </c>
      <c r="P32" s="5"/>
      <c r="Q32" s="5" t="s">
        <v>6121</v>
      </c>
      <c r="Y32" s="9" t="s">
        <v>13595</v>
      </c>
      <c r="Z32" s="9" t="s">
        <v>13596</v>
      </c>
      <c r="AA32" s="9" t="s">
        <v>13597</v>
      </c>
      <c r="AC32" s="2">
        <v>27</v>
      </c>
      <c r="AD32" s="1" t="s">
        <v>72</v>
      </c>
      <c r="AF32" s="2">
        <v>27</v>
      </c>
      <c r="AG32" s="1" t="s">
        <v>67</v>
      </c>
      <c r="AI32" s="2"/>
      <c r="AL32" s="2">
        <v>27</v>
      </c>
      <c r="AM32" s="1" t="s">
        <v>49</v>
      </c>
      <c r="AO32" s="2"/>
    </row>
    <row r="33" spans="2:41" x14ac:dyDescent="0.2">
      <c r="B33" s="5" t="s">
        <v>6059</v>
      </c>
      <c r="C33" s="6" t="s">
        <v>13588</v>
      </c>
      <c r="D33" s="4">
        <v>363</v>
      </c>
      <c r="E33" s="5" t="s">
        <v>35</v>
      </c>
      <c r="F33" s="5" t="s">
        <v>6117</v>
      </c>
      <c r="G33" s="6" t="s">
        <v>34</v>
      </c>
      <c r="H33" s="4"/>
      <c r="I33" s="5"/>
      <c r="J33" s="5" t="s">
        <v>6118</v>
      </c>
      <c r="K33" s="5" t="s">
        <v>6067</v>
      </c>
      <c r="L33" s="5"/>
      <c r="M33" s="5" t="s">
        <v>484</v>
      </c>
      <c r="N33" s="5" t="s">
        <v>485</v>
      </c>
      <c r="O33" s="5" t="s">
        <v>6063</v>
      </c>
      <c r="P33" s="5"/>
      <c r="Q33" s="5" t="s">
        <v>2986</v>
      </c>
      <c r="X33" s="16" t="s">
        <v>13591</v>
      </c>
      <c r="Y33" s="10" t="s">
        <v>14</v>
      </c>
      <c r="Z33" s="9">
        <v>26</v>
      </c>
      <c r="AA33" s="13">
        <f>(Z33*100)/V8</f>
        <v>48.148148148148145</v>
      </c>
      <c r="AC33" s="2">
        <v>28</v>
      </c>
      <c r="AD33" s="1" t="s">
        <v>44</v>
      </c>
      <c r="AF33" s="2">
        <v>28</v>
      </c>
      <c r="AG33" s="1" t="s">
        <v>49</v>
      </c>
      <c r="AI33" s="2"/>
      <c r="AL33" s="2">
        <v>28</v>
      </c>
      <c r="AM33" s="1" t="s">
        <v>48</v>
      </c>
      <c r="AO33" s="2"/>
    </row>
    <row r="34" spans="2:41" x14ac:dyDescent="0.2">
      <c r="B34" s="5" t="s">
        <v>6059</v>
      </c>
      <c r="C34" s="6" t="s">
        <v>13588</v>
      </c>
      <c r="D34" s="4">
        <v>364</v>
      </c>
      <c r="E34" s="5" t="s">
        <v>35</v>
      </c>
      <c r="F34" s="5" t="s">
        <v>6114</v>
      </c>
      <c r="G34" s="6" t="s">
        <v>34</v>
      </c>
      <c r="H34" s="4"/>
      <c r="I34" s="5"/>
      <c r="J34" s="5" t="s">
        <v>6115</v>
      </c>
      <c r="K34" s="5" t="s">
        <v>6067</v>
      </c>
      <c r="L34" s="5"/>
      <c r="M34" s="5" t="s">
        <v>485</v>
      </c>
      <c r="N34" s="5" t="s">
        <v>485</v>
      </c>
      <c r="O34" s="5" t="s">
        <v>6063</v>
      </c>
      <c r="P34" s="5"/>
      <c r="Q34" s="5" t="s">
        <v>6116</v>
      </c>
      <c r="X34" s="16"/>
      <c r="Y34" s="10" t="s">
        <v>13598</v>
      </c>
      <c r="Z34" s="9">
        <f>V8-Z33</f>
        <v>28</v>
      </c>
      <c r="AA34" s="13">
        <f>100-AA33</f>
        <v>51.851851851851855</v>
      </c>
      <c r="AC34" s="2">
        <v>29</v>
      </c>
      <c r="AD34" s="1" t="s">
        <v>543</v>
      </c>
      <c r="AF34" s="2">
        <v>29</v>
      </c>
      <c r="AG34" s="1" t="s">
        <v>1904</v>
      </c>
      <c r="AI34" s="2"/>
      <c r="AL34" s="2">
        <v>29</v>
      </c>
      <c r="AM34" s="1" t="s">
        <v>16</v>
      </c>
      <c r="AO34" s="2"/>
    </row>
    <row r="35" spans="2:41" x14ac:dyDescent="0.2">
      <c r="B35" s="5" t="s">
        <v>6273</v>
      </c>
      <c r="C35" s="6" t="s">
        <v>13588</v>
      </c>
      <c r="D35" s="4">
        <v>409</v>
      </c>
      <c r="E35" s="5" t="s">
        <v>20</v>
      </c>
      <c r="F35" s="5" t="s">
        <v>6293</v>
      </c>
      <c r="G35" s="6" t="s">
        <v>34</v>
      </c>
      <c r="H35" s="4"/>
      <c r="I35" s="5" t="s">
        <v>22</v>
      </c>
      <c r="J35" s="5" t="s">
        <v>6294</v>
      </c>
      <c r="K35" s="5" t="s">
        <v>6295</v>
      </c>
      <c r="L35" s="5"/>
      <c r="M35" s="5" t="s">
        <v>400</v>
      </c>
      <c r="N35" s="5" t="s">
        <v>400</v>
      </c>
      <c r="O35" s="5" t="s">
        <v>6282</v>
      </c>
      <c r="P35" s="5"/>
      <c r="Q35" s="5" t="s">
        <v>6296</v>
      </c>
      <c r="AC35" s="2">
        <v>30</v>
      </c>
      <c r="AD35" s="1" t="s">
        <v>277</v>
      </c>
      <c r="AF35" s="2">
        <v>30</v>
      </c>
      <c r="AG35" s="1" t="s">
        <v>48</v>
      </c>
      <c r="AI35" s="2"/>
      <c r="AL35" s="2">
        <v>30</v>
      </c>
      <c r="AM35" s="1" t="s">
        <v>65</v>
      </c>
      <c r="AO35" s="2"/>
    </row>
    <row r="36" spans="2:41" x14ac:dyDescent="0.2">
      <c r="B36" s="5" t="s">
        <v>6380</v>
      </c>
      <c r="C36" s="6" t="s">
        <v>13588</v>
      </c>
      <c r="D36" s="4">
        <v>445</v>
      </c>
      <c r="E36" s="5" t="s">
        <v>35</v>
      </c>
      <c r="F36" s="5" t="s">
        <v>6403</v>
      </c>
      <c r="G36" s="6" t="s">
        <v>34</v>
      </c>
      <c r="H36" s="4"/>
      <c r="I36" s="5"/>
      <c r="J36" s="5" t="s">
        <v>6404</v>
      </c>
      <c r="K36" s="5" t="s">
        <v>6385</v>
      </c>
      <c r="L36" s="5"/>
      <c r="M36" s="5" t="s">
        <v>1448</v>
      </c>
      <c r="N36" s="5" t="s">
        <v>1448</v>
      </c>
      <c r="O36" s="5" t="s">
        <v>6382</v>
      </c>
      <c r="P36" s="5"/>
      <c r="Q36" s="5" t="s">
        <v>6405</v>
      </c>
      <c r="AC36" s="2">
        <v>31</v>
      </c>
      <c r="AD36" s="1" t="s">
        <v>1007</v>
      </c>
      <c r="AF36" s="2">
        <v>31</v>
      </c>
      <c r="AG36" s="1" t="s">
        <v>70</v>
      </c>
      <c r="AI36" s="2"/>
      <c r="AL36" s="2">
        <v>31</v>
      </c>
      <c r="AM36" s="1" t="s">
        <v>542</v>
      </c>
      <c r="AO36" s="2"/>
    </row>
    <row r="37" spans="2:41" x14ac:dyDescent="0.2">
      <c r="B37" s="5" t="s">
        <v>6380</v>
      </c>
      <c r="C37" s="6" t="s">
        <v>13588</v>
      </c>
      <c r="D37" s="4">
        <v>446</v>
      </c>
      <c r="E37" s="5" t="s">
        <v>13</v>
      </c>
      <c r="F37" s="5" t="s">
        <v>6400</v>
      </c>
      <c r="G37" s="6" t="s">
        <v>34</v>
      </c>
      <c r="H37" s="4"/>
      <c r="I37" s="5"/>
      <c r="J37" s="5" t="s">
        <v>6401</v>
      </c>
      <c r="K37" s="5" t="s">
        <v>6385</v>
      </c>
      <c r="L37" s="5"/>
      <c r="M37" s="5" t="s">
        <v>1812</v>
      </c>
      <c r="N37" s="5" t="s">
        <v>1812</v>
      </c>
      <c r="O37" s="5" t="s">
        <v>6382</v>
      </c>
      <c r="P37" s="5"/>
      <c r="Q37" s="5" t="s">
        <v>6402</v>
      </c>
      <c r="AC37" s="2">
        <v>32</v>
      </c>
      <c r="AD37" s="1" t="s">
        <v>274</v>
      </c>
      <c r="AF37" s="2">
        <v>32</v>
      </c>
      <c r="AG37" s="1" t="s">
        <v>16</v>
      </c>
      <c r="AI37" s="2"/>
      <c r="AL37" s="2">
        <v>32</v>
      </c>
      <c r="AM37" s="1" t="s">
        <v>40</v>
      </c>
      <c r="AO37" s="2"/>
    </row>
    <row r="38" spans="2:41" x14ac:dyDescent="0.2">
      <c r="B38" s="5" t="s">
        <v>6594</v>
      </c>
      <c r="C38" s="6" t="s">
        <v>13588</v>
      </c>
      <c r="D38" s="4">
        <v>505</v>
      </c>
      <c r="E38" s="5" t="s">
        <v>13</v>
      </c>
      <c r="F38" s="5" t="s">
        <v>6644</v>
      </c>
      <c r="G38" s="6" t="s">
        <v>34</v>
      </c>
      <c r="H38" s="4"/>
      <c r="I38" s="5"/>
      <c r="J38" s="5" t="s">
        <v>6645</v>
      </c>
      <c r="K38" s="5" t="s">
        <v>6646</v>
      </c>
      <c r="L38" s="5"/>
      <c r="M38" s="5" t="s">
        <v>866</v>
      </c>
      <c r="N38" s="5" t="s">
        <v>3134</v>
      </c>
      <c r="O38" s="5" t="s">
        <v>6647</v>
      </c>
      <c r="P38" s="5"/>
      <c r="Q38" s="5" t="s">
        <v>6648</v>
      </c>
      <c r="AC38" s="2">
        <v>33</v>
      </c>
      <c r="AD38" s="1" t="s">
        <v>1163</v>
      </c>
      <c r="AF38" s="2">
        <v>33</v>
      </c>
      <c r="AG38" s="1" t="s">
        <v>65</v>
      </c>
      <c r="AI38" s="2"/>
      <c r="AL38" s="2">
        <v>33</v>
      </c>
      <c r="AM38" s="1" t="s">
        <v>275</v>
      </c>
      <c r="AO38" s="2"/>
    </row>
    <row r="39" spans="2:41" x14ac:dyDescent="0.2">
      <c r="B39" s="5" t="s">
        <v>6930</v>
      </c>
      <c r="C39" s="6" t="s">
        <v>13588</v>
      </c>
      <c r="D39" s="4">
        <v>592</v>
      </c>
      <c r="E39" s="5" t="s">
        <v>20</v>
      </c>
      <c r="F39" s="5" t="s">
        <v>6945</v>
      </c>
      <c r="G39" s="6" t="s">
        <v>34</v>
      </c>
      <c r="H39" s="4"/>
      <c r="I39" s="5" t="s">
        <v>22</v>
      </c>
      <c r="J39" s="5" t="s">
        <v>6946</v>
      </c>
      <c r="K39" s="5" t="s">
        <v>6947</v>
      </c>
      <c r="L39" s="5"/>
      <c r="M39" s="5" t="s">
        <v>118</v>
      </c>
      <c r="N39" s="5" t="s">
        <v>118</v>
      </c>
      <c r="O39" s="5" t="s">
        <v>6948</v>
      </c>
      <c r="P39" s="5"/>
      <c r="Q39" s="5" t="s">
        <v>6949</v>
      </c>
      <c r="AC39" s="2">
        <v>34</v>
      </c>
      <c r="AD39" s="1" t="s">
        <v>21</v>
      </c>
      <c r="AF39" s="2">
        <v>34</v>
      </c>
      <c r="AG39" s="1" t="s">
        <v>60</v>
      </c>
      <c r="AI39" s="2"/>
      <c r="AL39" s="2">
        <v>34</v>
      </c>
      <c r="AM39" s="1" t="s">
        <v>64</v>
      </c>
      <c r="AO39" s="2"/>
    </row>
    <row r="40" spans="2:41" x14ac:dyDescent="0.2">
      <c r="B40" s="5" t="s">
        <v>6987</v>
      </c>
      <c r="C40" s="6" t="s">
        <v>13588</v>
      </c>
      <c r="D40" s="4">
        <v>600</v>
      </c>
      <c r="E40" s="5" t="s">
        <v>20</v>
      </c>
      <c r="F40" s="5" t="s">
        <v>7006</v>
      </c>
      <c r="G40" s="6" t="s">
        <v>34</v>
      </c>
      <c r="H40" s="4"/>
      <c r="I40" s="5" t="s">
        <v>22</v>
      </c>
      <c r="J40" s="5" t="s">
        <v>7007</v>
      </c>
      <c r="K40" s="5" t="s">
        <v>6990</v>
      </c>
      <c r="L40" s="5"/>
      <c r="M40" s="5" t="s">
        <v>118</v>
      </c>
      <c r="N40" s="5" t="s">
        <v>4970</v>
      </c>
      <c r="O40" s="5" t="s">
        <v>6992</v>
      </c>
      <c r="P40" s="5"/>
      <c r="Q40" s="5" t="s">
        <v>7008</v>
      </c>
      <c r="AC40" s="2"/>
      <c r="AF40" s="2">
        <v>35</v>
      </c>
      <c r="AG40" s="1" t="s">
        <v>40</v>
      </c>
      <c r="AI40" s="2"/>
      <c r="AL40" s="2">
        <v>35</v>
      </c>
      <c r="AM40" s="1" t="s">
        <v>26</v>
      </c>
      <c r="AO40" s="2"/>
    </row>
    <row r="41" spans="2:41" x14ac:dyDescent="0.2">
      <c r="B41" s="5" t="s">
        <v>6987</v>
      </c>
      <c r="C41" s="6" t="s">
        <v>13588</v>
      </c>
      <c r="D41" s="4">
        <v>604</v>
      </c>
      <c r="E41" s="5" t="s">
        <v>20</v>
      </c>
      <c r="F41" s="5" t="s">
        <v>6988</v>
      </c>
      <c r="G41" s="6" t="s">
        <v>34</v>
      </c>
      <c r="H41" s="4"/>
      <c r="I41" s="5" t="s">
        <v>22</v>
      </c>
      <c r="J41" s="5" t="s">
        <v>6989</v>
      </c>
      <c r="K41" s="5" t="s">
        <v>6990</v>
      </c>
      <c r="L41" s="5"/>
      <c r="M41" s="5" t="s">
        <v>1715</v>
      </c>
      <c r="N41" s="5" t="s">
        <v>6991</v>
      </c>
      <c r="O41" s="5" t="s">
        <v>6992</v>
      </c>
      <c r="P41" s="5"/>
      <c r="Q41" s="5" t="s">
        <v>6993</v>
      </c>
      <c r="AF41" s="2">
        <v>36</v>
      </c>
      <c r="AG41" s="1" t="s">
        <v>275</v>
      </c>
      <c r="AL41" s="2">
        <v>36</v>
      </c>
      <c r="AM41" s="1" t="s">
        <v>52</v>
      </c>
    </row>
    <row r="42" spans="2:41" x14ac:dyDescent="0.2">
      <c r="B42" s="5" t="s">
        <v>7030</v>
      </c>
      <c r="C42" s="6" t="s">
        <v>13588</v>
      </c>
      <c r="D42" s="4">
        <v>610</v>
      </c>
      <c r="E42" s="5" t="s">
        <v>35</v>
      </c>
      <c r="F42" s="5" t="s">
        <v>7032</v>
      </c>
      <c r="G42" s="6" t="s">
        <v>34</v>
      </c>
      <c r="H42" s="4"/>
      <c r="I42" s="5"/>
      <c r="J42" s="5"/>
      <c r="K42" s="5" t="s">
        <v>7031</v>
      </c>
      <c r="L42" s="5" t="s">
        <v>7033</v>
      </c>
      <c r="M42" s="5" t="s">
        <v>645</v>
      </c>
      <c r="N42" s="5" t="s">
        <v>1416</v>
      </c>
      <c r="O42" s="5" t="s">
        <v>7034</v>
      </c>
      <c r="P42" s="5"/>
      <c r="Q42" s="5" t="s">
        <v>7035</v>
      </c>
      <c r="AF42" s="2">
        <v>37</v>
      </c>
      <c r="AG42" s="1" t="s">
        <v>91</v>
      </c>
      <c r="AL42" s="2">
        <v>37</v>
      </c>
      <c r="AM42" s="1" t="s">
        <v>72</v>
      </c>
    </row>
    <row r="43" spans="2:41" x14ac:dyDescent="0.2">
      <c r="B43" s="5" t="s">
        <v>7240</v>
      </c>
      <c r="C43" s="6" t="s">
        <v>13588</v>
      </c>
      <c r="D43" s="4">
        <v>681</v>
      </c>
      <c r="E43" s="5" t="s">
        <v>20</v>
      </c>
      <c r="F43" s="5" t="s">
        <v>7301</v>
      </c>
      <c r="G43" s="6" t="s">
        <v>34</v>
      </c>
      <c r="H43" s="4"/>
      <c r="I43" s="5" t="s">
        <v>22</v>
      </c>
      <c r="J43" s="5" t="s">
        <v>7302</v>
      </c>
      <c r="K43" s="5" t="s">
        <v>7303</v>
      </c>
      <c r="L43" s="5"/>
      <c r="M43" s="5" t="s">
        <v>157</v>
      </c>
      <c r="N43" s="5" t="s">
        <v>1230</v>
      </c>
      <c r="O43" s="5"/>
      <c r="P43" s="5"/>
      <c r="Q43" s="5" t="s">
        <v>7304</v>
      </c>
      <c r="AF43" s="2">
        <v>38</v>
      </c>
      <c r="AG43" s="1" t="s">
        <v>64</v>
      </c>
      <c r="AL43" s="2">
        <v>38</v>
      </c>
      <c r="AM43" s="1" t="s">
        <v>80</v>
      </c>
    </row>
    <row r="44" spans="2:41" x14ac:dyDescent="0.2">
      <c r="B44" s="5" t="s">
        <v>7240</v>
      </c>
      <c r="C44" s="6" t="s">
        <v>13588</v>
      </c>
      <c r="D44" s="4">
        <v>687</v>
      </c>
      <c r="E44" s="5" t="s">
        <v>20</v>
      </c>
      <c r="F44" s="5" t="s">
        <v>7305</v>
      </c>
      <c r="G44" s="6" t="s">
        <v>34</v>
      </c>
      <c r="H44" s="4"/>
      <c r="I44" s="5" t="s">
        <v>38</v>
      </c>
      <c r="J44" s="5" t="s">
        <v>7302</v>
      </c>
      <c r="K44" s="5" t="s">
        <v>7275</v>
      </c>
      <c r="L44" s="5"/>
      <c r="M44" s="5" t="s">
        <v>157</v>
      </c>
      <c r="N44" s="5" t="s">
        <v>3094</v>
      </c>
      <c r="O44" s="5"/>
      <c r="P44" s="5"/>
      <c r="Q44" s="5" t="s">
        <v>7306</v>
      </c>
      <c r="AF44" s="2">
        <v>39</v>
      </c>
      <c r="AG44" s="1" t="s">
        <v>55</v>
      </c>
      <c r="AL44" s="2">
        <v>39</v>
      </c>
      <c r="AM44" s="1" t="s">
        <v>924</v>
      </c>
    </row>
    <row r="45" spans="2:41" x14ac:dyDescent="0.2">
      <c r="B45" s="5" t="s">
        <v>7409</v>
      </c>
      <c r="C45" s="6" t="s">
        <v>13588</v>
      </c>
      <c r="D45" s="4">
        <v>715</v>
      </c>
      <c r="E45" s="5" t="s">
        <v>20</v>
      </c>
      <c r="F45" s="5" t="s">
        <v>7421</v>
      </c>
      <c r="G45" s="6" t="s">
        <v>34</v>
      </c>
      <c r="H45" s="4"/>
      <c r="I45" s="5" t="s">
        <v>22</v>
      </c>
      <c r="J45" s="5" t="s">
        <v>7422</v>
      </c>
      <c r="K45" s="5" t="s">
        <v>7410</v>
      </c>
      <c r="L45" s="5"/>
      <c r="M45" s="5" t="s">
        <v>1929</v>
      </c>
      <c r="N45" s="5" t="s">
        <v>5833</v>
      </c>
      <c r="O45" s="5" t="s">
        <v>7423</v>
      </c>
      <c r="P45" s="5"/>
      <c r="Q45" s="5" t="s">
        <v>7424</v>
      </c>
      <c r="AF45" s="2">
        <v>40</v>
      </c>
      <c r="AG45" s="1" t="s">
        <v>26</v>
      </c>
      <c r="AL45" s="2">
        <v>40</v>
      </c>
      <c r="AM45" s="1" t="s">
        <v>44</v>
      </c>
    </row>
    <row r="46" spans="2:41" x14ac:dyDescent="0.2">
      <c r="B46" s="5" t="s">
        <v>7525</v>
      </c>
      <c r="C46" s="6" t="s">
        <v>13588</v>
      </c>
      <c r="D46" s="4">
        <v>742</v>
      </c>
      <c r="E46" s="5" t="s">
        <v>20</v>
      </c>
      <c r="F46" s="5" t="s">
        <v>3324</v>
      </c>
      <c r="G46" s="6" t="s">
        <v>34</v>
      </c>
      <c r="H46" s="4"/>
      <c r="I46" s="5" t="s">
        <v>22</v>
      </c>
      <c r="J46" s="5" t="s">
        <v>3324</v>
      </c>
      <c r="K46" s="5" t="s">
        <v>7529</v>
      </c>
      <c r="L46" s="5"/>
      <c r="M46" s="5" t="s">
        <v>1634</v>
      </c>
      <c r="N46" s="5" t="s">
        <v>1634</v>
      </c>
      <c r="O46" s="5" t="s">
        <v>7528</v>
      </c>
      <c r="P46" s="5"/>
      <c r="Q46" s="5" t="s">
        <v>7536</v>
      </c>
      <c r="AF46" s="2">
        <v>41</v>
      </c>
      <c r="AG46" s="1" t="s">
        <v>52</v>
      </c>
      <c r="AL46" s="2">
        <v>41</v>
      </c>
      <c r="AM46" s="1" t="s">
        <v>543</v>
      </c>
    </row>
    <row r="47" spans="2:41" x14ac:dyDescent="0.2">
      <c r="B47" s="5" t="s">
        <v>4146</v>
      </c>
      <c r="C47" s="6" t="s">
        <v>13588</v>
      </c>
      <c r="D47" s="4">
        <v>89</v>
      </c>
      <c r="E47" s="5" t="s">
        <v>20</v>
      </c>
      <c r="F47" s="5" t="s">
        <v>4186</v>
      </c>
      <c r="G47" s="6" t="s">
        <v>51</v>
      </c>
      <c r="H47" s="4"/>
      <c r="I47" s="5" t="s">
        <v>22</v>
      </c>
      <c r="J47" s="5" t="s">
        <v>4187</v>
      </c>
      <c r="K47" s="5" t="s">
        <v>4166</v>
      </c>
      <c r="L47" s="5"/>
      <c r="M47" s="5" t="s">
        <v>416</v>
      </c>
      <c r="N47" s="5" t="s">
        <v>4184</v>
      </c>
      <c r="O47" s="5" t="s">
        <v>4188</v>
      </c>
      <c r="P47" s="5"/>
      <c r="Q47" s="5" t="s">
        <v>4189</v>
      </c>
      <c r="AF47" s="2">
        <v>42</v>
      </c>
      <c r="AG47" s="1" t="s">
        <v>72</v>
      </c>
      <c r="AL47" s="2">
        <v>42</v>
      </c>
      <c r="AM47" s="1" t="s">
        <v>277</v>
      </c>
    </row>
    <row r="48" spans="2:41" x14ac:dyDescent="0.2">
      <c r="B48" s="5" t="s">
        <v>4674</v>
      </c>
      <c r="C48" s="6" t="s">
        <v>13588</v>
      </c>
      <c r="D48" s="4">
        <v>230</v>
      </c>
      <c r="E48" s="5" t="s">
        <v>20</v>
      </c>
      <c r="F48" s="5" t="s">
        <v>4677</v>
      </c>
      <c r="G48" s="6" t="s">
        <v>51</v>
      </c>
      <c r="H48" s="4"/>
      <c r="I48" s="5" t="s">
        <v>22</v>
      </c>
      <c r="J48" s="5" t="s">
        <v>4678</v>
      </c>
      <c r="K48" s="5" t="s">
        <v>4679</v>
      </c>
      <c r="L48" s="5"/>
      <c r="M48" s="5" t="s">
        <v>2304</v>
      </c>
      <c r="N48" s="5" t="s">
        <v>1247</v>
      </c>
      <c r="O48" s="5" t="s">
        <v>4676</v>
      </c>
      <c r="P48" s="5"/>
      <c r="Q48" s="5" t="s">
        <v>4680</v>
      </c>
      <c r="AF48" s="2">
        <v>43</v>
      </c>
      <c r="AG48" s="1" t="s">
        <v>924</v>
      </c>
      <c r="AL48" s="2">
        <v>43</v>
      </c>
      <c r="AM48" s="1" t="s">
        <v>1007</v>
      </c>
    </row>
    <row r="49" spans="2:39" x14ac:dyDescent="0.2">
      <c r="B49" s="5" t="s">
        <v>4674</v>
      </c>
      <c r="C49" s="6" t="s">
        <v>13588</v>
      </c>
      <c r="D49" s="4">
        <v>231</v>
      </c>
      <c r="E49" s="5" t="s">
        <v>20</v>
      </c>
      <c r="F49" s="5" t="s">
        <v>4677</v>
      </c>
      <c r="G49" s="6" t="s">
        <v>51</v>
      </c>
      <c r="H49" s="4"/>
      <c r="I49" s="5" t="s">
        <v>22</v>
      </c>
      <c r="J49" s="5" t="s">
        <v>4681</v>
      </c>
      <c r="K49" s="5" t="s">
        <v>4682</v>
      </c>
      <c r="L49" s="5"/>
      <c r="M49" s="5" t="s">
        <v>2304</v>
      </c>
      <c r="N49" s="5" t="s">
        <v>1247</v>
      </c>
      <c r="O49" s="5" t="s">
        <v>4676</v>
      </c>
      <c r="P49" s="5"/>
      <c r="Q49" s="5" t="s">
        <v>4683</v>
      </c>
      <c r="AF49" s="2">
        <v>44</v>
      </c>
      <c r="AG49" s="1" t="s">
        <v>44</v>
      </c>
      <c r="AL49" s="2">
        <v>44</v>
      </c>
      <c r="AM49" s="1" t="s">
        <v>274</v>
      </c>
    </row>
    <row r="50" spans="2:39" x14ac:dyDescent="0.2">
      <c r="B50" s="5" t="s">
        <v>4674</v>
      </c>
      <c r="C50" s="6" t="s">
        <v>13588</v>
      </c>
      <c r="D50" s="4">
        <v>232</v>
      </c>
      <c r="E50" s="5" t="s">
        <v>20</v>
      </c>
      <c r="F50" s="5" t="s">
        <v>4677</v>
      </c>
      <c r="G50" s="6" t="s">
        <v>51</v>
      </c>
      <c r="H50" s="4"/>
      <c r="I50" s="5" t="s">
        <v>22</v>
      </c>
      <c r="J50" s="5" t="s">
        <v>4684</v>
      </c>
      <c r="K50" s="5" t="s">
        <v>4675</v>
      </c>
      <c r="L50" s="5"/>
      <c r="M50" s="5" t="s">
        <v>2304</v>
      </c>
      <c r="N50" s="5" t="s">
        <v>1247</v>
      </c>
      <c r="O50" s="5" t="s">
        <v>4676</v>
      </c>
      <c r="P50" s="5"/>
      <c r="Q50" s="5" t="s">
        <v>4685</v>
      </c>
      <c r="AF50" s="2">
        <v>45</v>
      </c>
      <c r="AG50" s="1" t="s">
        <v>543</v>
      </c>
      <c r="AL50" s="2">
        <v>45</v>
      </c>
      <c r="AM50" s="1" t="s">
        <v>42</v>
      </c>
    </row>
    <row r="51" spans="2:39" x14ac:dyDescent="0.2">
      <c r="B51" s="5" t="s">
        <v>4674</v>
      </c>
      <c r="C51" s="6" t="s">
        <v>13588</v>
      </c>
      <c r="D51" s="4">
        <v>233</v>
      </c>
      <c r="E51" s="5" t="s">
        <v>20</v>
      </c>
      <c r="F51" s="5" t="s">
        <v>4677</v>
      </c>
      <c r="G51" s="6" t="s">
        <v>51</v>
      </c>
      <c r="H51" s="4"/>
      <c r="I51" s="5" t="s">
        <v>22</v>
      </c>
      <c r="J51" s="5" t="s">
        <v>4686</v>
      </c>
      <c r="K51" s="5" t="s">
        <v>4687</v>
      </c>
      <c r="L51" s="5"/>
      <c r="M51" s="5" t="s">
        <v>2304</v>
      </c>
      <c r="N51" s="5" t="s">
        <v>1247</v>
      </c>
      <c r="O51" s="5" t="s">
        <v>4676</v>
      </c>
      <c r="P51" s="5"/>
      <c r="Q51" s="5" t="s">
        <v>4688</v>
      </c>
      <c r="AF51" s="2">
        <v>46</v>
      </c>
      <c r="AG51" s="1" t="s">
        <v>277</v>
      </c>
      <c r="AL51" s="2">
        <v>46</v>
      </c>
      <c r="AM51" s="1" t="s">
        <v>1163</v>
      </c>
    </row>
    <row r="52" spans="2:39" x14ac:dyDescent="0.2">
      <c r="B52" s="5" t="s">
        <v>4674</v>
      </c>
      <c r="C52" s="6" t="s">
        <v>13588</v>
      </c>
      <c r="D52" s="4">
        <v>234</v>
      </c>
      <c r="E52" s="5" t="s">
        <v>20</v>
      </c>
      <c r="F52" s="5" t="s">
        <v>4677</v>
      </c>
      <c r="G52" s="6" t="s">
        <v>51</v>
      </c>
      <c r="H52" s="4"/>
      <c r="I52" s="5" t="s">
        <v>22</v>
      </c>
      <c r="J52" s="5" t="s">
        <v>4689</v>
      </c>
      <c r="K52" s="5" t="s">
        <v>4690</v>
      </c>
      <c r="L52" s="5"/>
      <c r="M52" s="5" t="s">
        <v>2304</v>
      </c>
      <c r="N52" s="5" t="s">
        <v>1247</v>
      </c>
      <c r="O52" s="5" t="s">
        <v>4676</v>
      </c>
      <c r="P52" s="5"/>
      <c r="Q52" s="5" t="s">
        <v>4691</v>
      </c>
      <c r="AF52" s="2">
        <v>47</v>
      </c>
      <c r="AG52" s="1" t="s">
        <v>63</v>
      </c>
      <c r="AL52" s="2">
        <v>47</v>
      </c>
      <c r="AM52" s="1" t="s">
        <v>66</v>
      </c>
    </row>
    <row r="53" spans="2:39" x14ac:dyDescent="0.2">
      <c r="B53" s="5" t="s">
        <v>3990</v>
      </c>
      <c r="C53" s="6" t="s">
        <v>13588</v>
      </c>
      <c r="D53" s="4">
        <v>59</v>
      </c>
      <c r="E53" s="5" t="s">
        <v>20</v>
      </c>
      <c r="F53" s="5" t="s">
        <v>491</v>
      </c>
      <c r="G53" s="6" t="s">
        <v>59</v>
      </c>
      <c r="H53" s="4"/>
      <c r="I53" s="5" t="s">
        <v>22</v>
      </c>
      <c r="J53" s="5" t="s">
        <v>4049</v>
      </c>
      <c r="K53" s="5" t="s">
        <v>4019</v>
      </c>
      <c r="L53" s="5" t="s">
        <v>4036</v>
      </c>
      <c r="M53" s="5" t="s">
        <v>495</v>
      </c>
      <c r="N53" s="5" t="s">
        <v>496</v>
      </c>
      <c r="O53" s="5" t="s">
        <v>4021</v>
      </c>
      <c r="P53" s="5"/>
      <c r="Q53" s="5" t="s">
        <v>4050</v>
      </c>
      <c r="AF53" s="2">
        <v>48</v>
      </c>
      <c r="AG53" s="1" t="s">
        <v>1161</v>
      </c>
      <c r="AL53" s="2">
        <v>48</v>
      </c>
      <c r="AM53" s="1" t="s">
        <v>69</v>
      </c>
    </row>
    <row r="54" spans="2:39" x14ac:dyDescent="0.2">
      <c r="B54" s="5" t="s">
        <v>3990</v>
      </c>
      <c r="C54" s="6" t="s">
        <v>13588</v>
      </c>
      <c r="D54" s="4">
        <v>60</v>
      </c>
      <c r="E54" s="5" t="s">
        <v>20</v>
      </c>
      <c r="F54" s="5" t="s">
        <v>491</v>
      </c>
      <c r="G54" s="6" t="s">
        <v>59</v>
      </c>
      <c r="H54" s="4"/>
      <c r="I54" s="5" t="s">
        <v>38</v>
      </c>
      <c r="J54" s="5" t="s">
        <v>4051</v>
      </c>
      <c r="K54" s="5" t="s">
        <v>4052</v>
      </c>
      <c r="L54" s="5" t="s">
        <v>4036</v>
      </c>
      <c r="M54" s="5" t="s">
        <v>495</v>
      </c>
      <c r="N54" s="5" t="s">
        <v>496</v>
      </c>
      <c r="O54" s="5" t="s">
        <v>4053</v>
      </c>
      <c r="P54" s="5"/>
      <c r="Q54" s="5" t="s">
        <v>4054</v>
      </c>
      <c r="AF54" s="2">
        <v>49</v>
      </c>
      <c r="AG54" s="1" t="s">
        <v>274</v>
      </c>
      <c r="AL54" s="2">
        <v>49</v>
      </c>
      <c r="AM54" s="1" t="s">
        <v>21</v>
      </c>
    </row>
    <row r="55" spans="2:39" x14ac:dyDescent="0.2">
      <c r="B55" s="5" t="s">
        <v>3990</v>
      </c>
      <c r="C55" s="6" t="s">
        <v>13588</v>
      </c>
      <c r="D55" s="4">
        <v>61</v>
      </c>
      <c r="E55" s="5" t="s">
        <v>20</v>
      </c>
      <c r="F55" s="5" t="s">
        <v>491</v>
      </c>
      <c r="G55" s="6" t="s">
        <v>59</v>
      </c>
      <c r="H55" s="4"/>
      <c r="I55" s="5" t="s">
        <v>22</v>
      </c>
      <c r="J55" s="5" t="s">
        <v>4055</v>
      </c>
      <c r="K55" s="5" t="s">
        <v>4056</v>
      </c>
      <c r="L55" s="5" t="s">
        <v>4057</v>
      </c>
      <c r="M55" s="5" t="s">
        <v>495</v>
      </c>
      <c r="N55" s="5" t="s">
        <v>496</v>
      </c>
      <c r="O55" s="5" t="s">
        <v>4021</v>
      </c>
      <c r="P55" s="5"/>
      <c r="Q55" s="5" t="s">
        <v>4058</v>
      </c>
      <c r="AF55" s="2">
        <v>50</v>
      </c>
      <c r="AG55" s="1" t="s">
        <v>42</v>
      </c>
      <c r="AL55" s="2">
        <v>50</v>
      </c>
      <c r="AM55" s="1" t="s">
        <v>869</v>
      </c>
    </row>
    <row r="56" spans="2:39" x14ac:dyDescent="0.2">
      <c r="B56" s="5" t="s">
        <v>3990</v>
      </c>
      <c r="C56" s="6" t="s">
        <v>13588</v>
      </c>
      <c r="D56" s="4">
        <v>62</v>
      </c>
      <c r="E56" s="5" t="s">
        <v>20</v>
      </c>
      <c r="F56" s="5" t="s">
        <v>491</v>
      </c>
      <c r="G56" s="6" t="s">
        <v>59</v>
      </c>
      <c r="H56" s="4"/>
      <c r="I56" s="5" t="s">
        <v>22</v>
      </c>
      <c r="J56" s="5" t="s">
        <v>4059</v>
      </c>
      <c r="K56" s="5" t="s">
        <v>4060</v>
      </c>
      <c r="L56" s="5" t="s">
        <v>4036</v>
      </c>
      <c r="M56" s="5" t="s">
        <v>495</v>
      </c>
      <c r="N56" s="5" t="s">
        <v>496</v>
      </c>
      <c r="O56" s="5" t="s">
        <v>4061</v>
      </c>
      <c r="P56" s="5"/>
      <c r="Q56" s="5" t="s">
        <v>4062</v>
      </c>
      <c r="AF56" s="2">
        <v>51</v>
      </c>
      <c r="AG56" s="1" t="s">
        <v>1163</v>
      </c>
    </row>
    <row r="57" spans="2:39" x14ac:dyDescent="0.2">
      <c r="B57" s="5" t="s">
        <v>3990</v>
      </c>
      <c r="C57" s="6" t="s">
        <v>13588</v>
      </c>
      <c r="D57" s="4">
        <v>63</v>
      </c>
      <c r="E57" s="5" t="s">
        <v>20</v>
      </c>
      <c r="F57" s="5" t="s">
        <v>491</v>
      </c>
      <c r="G57" s="6" t="s">
        <v>59</v>
      </c>
      <c r="H57" s="4"/>
      <c r="I57" s="5" t="s">
        <v>38</v>
      </c>
      <c r="J57" s="5" t="s">
        <v>4063</v>
      </c>
      <c r="K57" s="5" t="s">
        <v>4064</v>
      </c>
      <c r="L57" s="5" t="s">
        <v>4036</v>
      </c>
      <c r="M57" s="5" t="s">
        <v>495</v>
      </c>
      <c r="N57" s="5" t="s">
        <v>496</v>
      </c>
      <c r="O57" s="5" t="s">
        <v>4061</v>
      </c>
      <c r="P57" s="5"/>
      <c r="Q57" s="5" t="s">
        <v>4065</v>
      </c>
      <c r="AF57" s="2">
        <v>52</v>
      </c>
      <c r="AG57" s="1" t="s">
        <v>1905</v>
      </c>
    </row>
    <row r="58" spans="2:39" x14ac:dyDescent="0.2">
      <c r="B58" s="5" t="s">
        <v>4231</v>
      </c>
      <c r="C58" s="6" t="s">
        <v>13588</v>
      </c>
      <c r="D58" s="4">
        <v>114</v>
      </c>
      <c r="E58" s="5" t="s">
        <v>20</v>
      </c>
      <c r="F58" s="5" t="s">
        <v>4254</v>
      </c>
      <c r="G58" s="6" t="s">
        <v>59</v>
      </c>
      <c r="H58" s="4"/>
      <c r="I58" s="5" t="s">
        <v>22</v>
      </c>
      <c r="J58" s="5" t="s">
        <v>4255</v>
      </c>
      <c r="K58" s="5" t="s">
        <v>4234</v>
      </c>
      <c r="L58" s="5" t="s">
        <v>4256</v>
      </c>
      <c r="M58" s="5" t="s">
        <v>495</v>
      </c>
      <c r="N58" s="5" t="s">
        <v>496</v>
      </c>
      <c r="O58" s="5" t="s">
        <v>4236</v>
      </c>
      <c r="P58" s="5"/>
      <c r="Q58" s="5" t="s">
        <v>4257</v>
      </c>
      <c r="AF58" s="2">
        <v>53</v>
      </c>
      <c r="AG58" s="1" t="s">
        <v>69</v>
      </c>
    </row>
    <row r="59" spans="2:39" x14ac:dyDescent="0.2">
      <c r="B59" s="5" t="s">
        <v>4231</v>
      </c>
      <c r="C59" s="6" t="s">
        <v>13588</v>
      </c>
      <c r="D59" s="4">
        <v>115</v>
      </c>
      <c r="E59" s="5" t="s">
        <v>20</v>
      </c>
      <c r="F59" s="5" t="s">
        <v>4258</v>
      </c>
      <c r="G59" s="6" t="s">
        <v>59</v>
      </c>
      <c r="H59" s="4"/>
      <c r="I59" s="5" t="s">
        <v>22</v>
      </c>
      <c r="J59" s="5" t="s">
        <v>4259</v>
      </c>
      <c r="K59" s="5" t="s">
        <v>4260</v>
      </c>
      <c r="L59" s="5" t="s">
        <v>4261</v>
      </c>
      <c r="M59" s="5" t="s">
        <v>495</v>
      </c>
      <c r="N59" s="5" t="s">
        <v>496</v>
      </c>
      <c r="O59" s="5" t="s">
        <v>4236</v>
      </c>
      <c r="P59" s="5"/>
      <c r="Q59" s="5" t="s">
        <v>4262</v>
      </c>
      <c r="AF59" s="2">
        <v>54</v>
      </c>
      <c r="AG59" s="1" t="s">
        <v>21</v>
      </c>
    </row>
    <row r="60" spans="2:39" x14ac:dyDescent="0.2">
      <c r="B60" s="5" t="s">
        <v>4231</v>
      </c>
      <c r="C60" s="6" t="s">
        <v>13588</v>
      </c>
      <c r="D60" s="4">
        <v>116</v>
      </c>
      <c r="E60" s="5" t="s">
        <v>20</v>
      </c>
      <c r="F60" s="5" t="s">
        <v>4254</v>
      </c>
      <c r="G60" s="6" t="s">
        <v>59</v>
      </c>
      <c r="H60" s="4"/>
      <c r="I60" s="5" t="s">
        <v>22</v>
      </c>
      <c r="J60" s="5" t="s">
        <v>4263</v>
      </c>
      <c r="K60" s="5" t="s">
        <v>4264</v>
      </c>
      <c r="L60" s="5" t="s">
        <v>4265</v>
      </c>
      <c r="M60" s="5" t="s">
        <v>495</v>
      </c>
      <c r="N60" s="5" t="s">
        <v>496</v>
      </c>
      <c r="O60" s="5" t="s">
        <v>4236</v>
      </c>
      <c r="P60" s="5"/>
      <c r="Q60" s="5" t="s">
        <v>4266</v>
      </c>
      <c r="AF60" s="2">
        <v>55</v>
      </c>
      <c r="AG60" s="1" t="s">
        <v>2289</v>
      </c>
    </row>
    <row r="61" spans="2:39" x14ac:dyDescent="0.2">
      <c r="B61" s="5" t="s">
        <v>4777</v>
      </c>
      <c r="C61" s="6" t="s">
        <v>13588</v>
      </c>
      <c r="D61" s="4">
        <v>264</v>
      </c>
      <c r="E61" s="5" t="s">
        <v>24</v>
      </c>
      <c r="F61" s="5" t="s">
        <v>4786</v>
      </c>
      <c r="G61" s="6" t="s">
        <v>59</v>
      </c>
      <c r="H61" s="4"/>
      <c r="I61" s="5"/>
      <c r="J61" s="5" t="s">
        <v>4786</v>
      </c>
      <c r="K61" s="5" t="s">
        <v>4784</v>
      </c>
      <c r="L61" s="5"/>
      <c r="M61" s="5" t="s">
        <v>1384</v>
      </c>
      <c r="N61" s="5" t="s">
        <v>1384</v>
      </c>
      <c r="O61" s="5" t="s">
        <v>4781</v>
      </c>
      <c r="P61" s="5"/>
      <c r="Q61" s="5" t="s">
        <v>4800</v>
      </c>
      <c r="AF61" s="2">
        <v>56</v>
      </c>
      <c r="AG61" s="1" t="s">
        <v>62</v>
      </c>
    </row>
    <row r="62" spans="2:39" x14ac:dyDescent="0.2">
      <c r="B62" s="5" t="s">
        <v>6862</v>
      </c>
      <c r="C62" s="6" t="s">
        <v>13588</v>
      </c>
      <c r="D62" s="4">
        <v>562</v>
      </c>
      <c r="E62" s="5" t="s">
        <v>20</v>
      </c>
      <c r="F62" s="5" t="s">
        <v>6888</v>
      </c>
      <c r="G62" s="6" t="s">
        <v>59</v>
      </c>
      <c r="H62" s="4"/>
      <c r="I62" s="5" t="s">
        <v>22</v>
      </c>
      <c r="J62" s="5" t="s">
        <v>6889</v>
      </c>
      <c r="K62" s="5" t="s">
        <v>6890</v>
      </c>
      <c r="L62" s="5"/>
      <c r="M62" s="5" t="s">
        <v>3487</v>
      </c>
      <c r="N62" s="5" t="s">
        <v>6891</v>
      </c>
      <c r="O62" s="5" t="s">
        <v>6892</v>
      </c>
      <c r="P62" s="5"/>
      <c r="Q62" s="5" t="s">
        <v>6893</v>
      </c>
      <c r="AF62" s="2"/>
    </row>
    <row r="63" spans="2:39" x14ac:dyDescent="0.2">
      <c r="B63" s="5" t="s">
        <v>7188</v>
      </c>
      <c r="C63" s="6" t="s">
        <v>13588</v>
      </c>
      <c r="D63" s="4">
        <v>663</v>
      </c>
      <c r="E63" s="5" t="s">
        <v>20</v>
      </c>
      <c r="F63" s="5" t="s">
        <v>491</v>
      </c>
      <c r="G63" s="6" t="s">
        <v>59</v>
      </c>
      <c r="H63" s="4"/>
      <c r="I63" s="5" t="s">
        <v>22</v>
      </c>
      <c r="J63" s="5" t="s">
        <v>7234</v>
      </c>
      <c r="K63" s="5" t="s">
        <v>7203</v>
      </c>
      <c r="L63" s="5" t="s">
        <v>7235</v>
      </c>
      <c r="M63" s="5" t="s">
        <v>495</v>
      </c>
      <c r="N63" s="5" t="s">
        <v>496</v>
      </c>
      <c r="O63" s="5" t="s">
        <v>7190</v>
      </c>
      <c r="P63" s="5"/>
      <c r="Q63" s="5" t="s">
        <v>7236</v>
      </c>
    </row>
    <row r="64" spans="2:39" x14ac:dyDescent="0.2">
      <c r="B64" s="5" t="s">
        <v>7188</v>
      </c>
      <c r="C64" s="6" t="s">
        <v>13588</v>
      </c>
      <c r="D64" s="4">
        <v>664</v>
      </c>
      <c r="E64" s="5" t="s">
        <v>20</v>
      </c>
      <c r="F64" s="5" t="s">
        <v>491</v>
      </c>
      <c r="G64" s="6" t="s">
        <v>59</v>
      </c>
      <c r="H64" s="4"/>
      <c r="I64" s="5" t="s">
        <v>22</v>
      </c>
      <c r="J64" s="5" t="s">
        <v>7237</v>
      </c>
      <c r="K64" s="5" t="s">
        <v>7203</v>
      </c>
      <c r="L64" s="5" t="s">
        <v>7238</v>
      </c>
      <c r="M64" s="5" t="s">
        <v>495</v>
      </c>
      <c r="N64" s="5" t="s">
        <v>496</v>
      </c>
      <c r="O64" s="5" t="s">
        <v>7190</v>
      </c>
      <c r="P64" s="5"/>
      <c r="Q64" s="5" t="s">
        <v>7239</v>
      </c>
    </row>
    <row r="65" spans="2:17" x14ac:dyDescent="0.2">
      <c r="B65" s="5" t="s">
        <v>4944</v>
      </c>
      <c r="C65" s="6" t="s">
        <v>13588</v>
      </c>
      <c r="D65" s="4">
        <v>299</v>
      </c>
      <c r="E65" s="5" t="s">
        <v>20</v>
      </c>
      <c r="F65" s="5" t="s">
        <v>4965</v>
      </c>
      <c r="G65" s="6" t="s">
        <v>86</v>
      </c>
      <c r="H65" s="4"/>
      <c r="I65" s="5" t="s">
        <v>38</v>
      </c>
      <c r="J65" s="5" t="s">
        <v>4966</v>
      </c>
      <c r="K65" s="5" t="s">
        <v>4945</v>
      </c>
      <c r="L65" s="5"/>
      <c r="M65" s="5" t="s">
        <v>148</v>
      </c>
      <c r="N65" s="5" t="s">
        <v>1415</v>
      </c>
      <c r="O65" s="5" t="s">
        <v>4946</v>
      </c>
      <c r="P65" s="5"/>
      <c r="Q65" s="5" t="s">
        <v>4967</v>
      </c>
    </row>
    <row r="66" spans="2:17" x14ac:dyDescent="0.2">
      <c r="B66" s="5" t="s">
        <v>6686</v>
      </c>
      <c r="C66" s="6" t="s">
        <v>13588</v>
      </c>
      <c r="D66" s="4">
        <v>510</v>
      </c>
      <c r="E66" s="5" t="s">
        <v>24</v>
      </c>
      <c r="F66" s="5" t="s">
        <v>6802</v>
      </c>
      <c r="G66" s="6" t="s">
        <v>86</v>
      </c>
      <c r="H66" s="4"/>
      <c r="I66" s="5"/>
      <c r="J66" s="5" t="s">
        <v>6803</v>
      </c>
      <c r="K66" s="5" t="s">
        <v>6694</v>
      </c>
      <c r="L66" s="5"/>
      <c r="M66" s="5" t="s">
        <v>1699</v>
      </c>
      <c r="N66" s="5" t="s">
        <v>1699</v>
      </c>
      <c r="O66" s="5" t="s">
        <v>6804</v>
      </c>
      <c r="P66" s="5"/>
      <c r="Q66" s="5" t="s">
        <v>6805</v>
      </c>
    </row>
    <row r="67" spans="2:17" x14ac:dyDescent="0.2">
      <c r="B67" s="5" t="s">
        <v>6686</v>
      </c>
      <c r="C67" s="6" t="s">
        <v>13588</v>
      </c>
      <c r="D67" s="4">
        <v>526</v>
      </c>
      <c r="E67" s="5" t="s">
        <v>20</v>
      </c>
      <c r="F67" s="5" t="s">
        <v>6715</v>
      </c>
      <c r="G67" s="6" t="s">
        <v>86</v>
      </c>
      <c r="H67" s="4"/>
      <c r="I67" s="5" t="s">
        <v>22</v>
      </c>
      <c r="J67" s="5" t="s">
        <v>6716</v>
      </c>
      <c r="K67" s="5" t="s">
        <v>6698</v>
      </c>
      <c r="L67" s="5"/>
      <c r="M67" s="5" t="s">
        <v>1821</v>
      </c>
      <c r="N67" s="5" t="s">
        <v>117</v>
      </c>
      <c r="O67" s="5" t="s">
        <v>6690</v>
      </c>
      <c r="P67" s="5"/>
      <c r="Q67" s="5" t="s">
        <v>6717</v>
      </c>
    </row>
    <row r="68" spans="2:17" x14ac:dyDescent="0.2">
      <c r="B68" s="5" t="s">
        <v>7146</v>
      </c>
      <c r="C68" s="6" t="s">
        <v>13588</v>
      </c>
      <c r="D68" s="4">
        <v>641</v>
      </c>
      <c r="E68" s="5" t="s">
        <v>20</v>
      </c>
      <c r="F68" s="5" t="s">
        <v>7157</v>
      </c>
      <c r="G68" s="6" t="s">
        <v>86</v>
      </c>
      <c r="H68" s="4"/>
      <c r="I68" s="5" t="s">
        <v>38</v>
      </c>
      <c r="J68" s="5" t="s">
        <v>7158</v>
      </c>
      <c r="K68" s="5" t="s">
        <v>7159</v>
      </c>
      <c r="L68" s="5"/>
      <c r="M68" s="5" t="s">
        <v>804</v>
      </c>
      <c r="N68" s="5" t="s">
        <v>1464</v>
      </c>
      <c r="O68" s="5" t="s">
        <v>7160</v>
      </c>
      <c r="P68" s="5"/>
      <c r="Q68" s="5" t="s">
        <v>7161</v>
      </c>
    </row>
    <row r="69" spans="2:17" x14ac:dyDescent="0.2">
      <c r="B69" s="5" t="s">
        <v>4377</v>
      </c>
      <c r="C69" s="6" t="s">
        <v>13588</v>
      </c>
      <c r="D69" s="4">
        <v>161</v>
      </c>
      <c r="E69" s="5" t="s">
        <v>20</v>
      </c>
      <c r="F69" s="5" t="s">
        <v>4457</v>
      </c>
      <c r="G69" s="6" t="s">
        <v>84</v>
      </c>
      <c r="H69" s="4"/>
      <c r="I69" s="5" t="s">
        <v>22</v>
      </c>
      <c r="J69" s="5" t="s">
        <v>4458</v>
      </c>
      <c r="K69" s="5" t="s">
        <v>4380</v>
      </c>
      <c r="L69" s="5" t="s">
        <v>4381</v>
      </c>
      <c r="M69" s="5" t="s">
        <v>573</v>
      </c>
      <c r="N69" s="5" t="s">
        <v>1258</v>
      </c>
      <c r="O69" s="5" t="s">
        <v>4382</v>
      </c>
      <c r="P69" s="5"/>
      <c r="Q69" s="5" t="s">
        <v>4459</v>
      </c>
    </row>
    <row r="70" spans="2:17" x14ac:dyDescent="0.2">
      <c r="B70" s="5" t="s">
        <v>6686</v>
      </c>
      <c r="C70" s="6" t="s">
        <v>13588</v>
      </c>
      <c r="D70" s="4">
        <v>542</v>
      </c>
      <c r="E70" s="5" t="s">
        <v>82</v>
      </c>
      <c r="F70" s="5" t="s">
        <v>6785</v>
      </c>
      <c r="G70" s="6" t="s">
        <v>84</v>
      </c>
      <c r="H70" s="4"/>
      <c r="I70" s="5"/>
      <c r="J70" s="5" t="s">
        <v>6786</v>
      </c>
      <c r="K70" s="5" t="s">
        <v>6720</v>
      </c>
      <c r="L70" s="5"/>
      <c r="M70" s="5" t="s">
        <v>1658</v>
      </c>
      <c r="N70" s="5" t="s">
        <v>496</v>
      </c>
      <c r="O70" s="5" t="s">
        <v>6706</v>
      </c>
      <c r="P70" s="5"/>
      <c r="Q70" s="5" t="s">
        <v>6787</v>
      </c>
    </row>
    <row r="71" spans="2:17" x14ac:dyDescent="0.2">
      <c r="B71" s="5" t="s">
        <v>4273</v>
      </c>
      <c r="C71" s="6" t="s">
        <v>13588</v>
      </c>
      <c r="D71" s="4">
        <v>125</v>
      </c>
      <c r="E71" s="5" t="s">
        <v>20</v>
      </c>
      <c r="F71" s="5" t="s">
        <v>4283</v>
      </c>
      <c r="G71" s="6" t="s">
        <v>43</v>
      </c>
      <c r="H71" s="4"/>
      <c r="I71" s="5" t="s">
        <v>22</v>
      </c>
      <c r="J71" s="5" t="s">
        <v>4284</v>
      </c>
      <c r="K71" s="5" t="s">
        <v>4276</v>
      </c>
      <c r="L71" s="5" t="s">
        <v>4285</v>
      </c>
      <c r="M71" s="5" t="s">
        <v>96</v>
      </c>
      <c r="N71" s="5" t="s">
        <v>284</v>
      </c>
      <c r="O71" s="5" t="s">
        <v>4286</v>
      </c>
      <c r="P71" s="5"/>
      <c r="Q71" s="5" t="s">
        <v>4287</v>
      </c>
    </row>
    <row r="72" spans="2:17" x14ac:dyDescent="0.2">
      <c r="B72" s="5" t="s">
        <v>4377</v>
      </c>
      <c r="C72" s="6" t="s">
        <v>13588</v>
      </c>
      <c r="D72" s="4">
        <v>193</v>
      </c>
      <c r="E72" s="5" t="s">
        <v>20</v>
      </c>
      <c r="F72" s="5" t="s">
        <v>4494</v>
      </c>
      <c r="G72" s="6" t="s">
        <v>43</v>
      </c>
      <c r="H72" s="4"/>
      <c r="I72" s="5" t="s">
        <v>38</v>
      </c>
      <c r="J72" s="5" t="s">
        <v>4495</v>
      </c>
      <c r="K72" s="5" t="s">
        <v>4496</v>
      </c>
      <c r="L72" s="5" t="s">
        <v>4497</v>
      </c>
      <c r="M72" s="5" t="s">
        <v>4498</v>
      </c>
      <c r="N72" s="5" t="s">
        <v>366</v>
      </c>
      <c r="O72" s="5" t="s">
        <v>4408</v>
      </c>
      <c r="P72" s="5"/>
      <c r="Q72" s="5" t="s">
        <v>4499</v>
      </c>
    </row>
    <row r="73" spans="2:17" x14ac:dyDescent="0.2">
      <c r="B73" s="5" t="s">
        <v>4726</v>
      </c>
      <c r="C73" s="6" t="s">
        <v>13588</v>
      </c>
      <c r="D73" s="4">
        <v>246</v>
      </c>
      <c r="E73" s="5" t="s">
        <v>20</v>
      </c>
      <c r="F73" s="5" t="s">
        <v>4741</v>
      </c>
      <c r="G73" s="6" t="s">
        <v>43</v>
      </c>
      <c r="H73" s="4"/>
      <c r="I73" s="5" t="s">
        <v>22</v>
      </c>
      <c r="J73" s="5" t="s">
        <v>4742</v>
      </c>
      <c r="K73" s="5" t="s">
        <v>4729</v>
      </c>
      <c r="L73" s="5"/>
      <c r="M73" s="5" t="s">
        <v>3094</v>
      </c>
      <c r="N73" s="5" t="s">
        <v>1470</v>
      </c>
      <c r="O73" s="5" t="s">
        <v>4728</v>
      </c>
      <c r="P73" s="5"/>
      <c r="Q73" s="5" t="s">
        <v>4743</v>
      </c>
    </row>
    <row r="74" spans="2:17" x14ac:dyDescent="0.2">
      <c r="B74" s="5" t="s">
        <v>4894</v>
      </c>
      <c r="C74" s="6" t="s">
        <v>13588</v>
      </c>
      <c r="D74" s="4">
        <v>287</v>
      </c>
      <c r="E74" s="5" t="s">
        <v>24</v>
      </c>
      <c r="F74" s="5" t="s">
        <v>4911</v>
      </c>
      <c r="G74" s="6" t="s">
        <v>43</v>
      </c>
      <c r="H74" s="4"/>
      <c r="I74" s="5" t="s">
        <v>22</v>
      </c>
      <c r="J74" s="5" t="s">
        <v>4912</v>
      </c>
      <c r="K74" s="5" t="s">
        <v>4897</v>
      </c>
      <c r="L74" s="5"/>
      <c r="M74" s="5" t="s">
        <v>96</v>
      </c>
      <c r="N74" s="5" t="s">
        <v>291</v>
      </c>
      <c r="O74" s="5" t="s">
        <v>4895</v>
      </c>
      <c r="P74" s="5"/>
      <c r="Q74" s="5" t="s">
        <v>4913</v>
      </c>
    </row>
    <row r="75" spans="2:17" x14ac:dyDescent="0.2">
      <c r="B75" s="5" t="s">
        <v>5963</v>
      </c>
      <c r="C75" s="6" t="s">
        <v>13588</v>
      </c>
      <c r="D75" s="4">
        <v>322</v>
      </c>
      <c r="E75" s="5" t="s">
        <v>20</v>
      </c>
      <c r="F75" s="5" t="s">
        <v>6041</v>
      </c>
      <c r="G75" s="6" t="s">
        <v>43</v>
      </c>
      <c r="H75" s="4"/>
      <c r="I75" s="5" t="s">
        <v>22</v>
      </c>
      <c r="J75" s="5" t="s">
        <v>6042</v>
      </c>
      <c r="K75" s="5" t="s">
        <v>5964</v>
      </c>
      <c r="L75" s="5"/>
      <c r="M75" s="5" t="s">
        <v>433</v>
      </c>
      <c r="N75" s="5" t="s">
        <v>433</v>
      </c>
      <c r="O75" s="5" t="s">
        <v>5965</v>
      </c>
      <c r="P75" s="5"/>
      <c r="Q75" s="5" t="s">
        <v>6043</v>
      </c>
    </row>
    <row r="76" spans="2:17" x14ac:dyDescent="0.2">
      <c r="B76" s="5" t="s">
        <v>6059</v>
      </c>
      <c r="C76" s="6" t="s">
        <v>13588</v>
      </c>
      <c r="D76" s="4">
        <v>356</v>
      </c>
      <c r="E76" s="5" t="s">
        <v>20</v>
      </c>
      <c r="F76" s="5" t="s">
        <v>6073</v>
      </c>
      <c r="G76" s="6" t="s">
        <v>43</v>
      </c>
      <c r="H76" s="4"/>
      <c r="I76" s="5" t="s">
        <v>22</v>
      </c>
      <c r="J76" s="5" t="s">
        <v>6082</v>
      </c>
      <c r="K76" s="5" t="s">
        <v>6083</v>
      </c>
      <c r="L76" s="5"/>
      <c r="M76" s="5" t="s">
        <v>2151</v>
      </c>
      <c r="N76" s="5" t="s">
        <v>2147</v>
      </c>
      <c r="O76" s="5" t="s">
        <v>6063</v>
      </c>
      <c r="P76" s="5"/>
      <c r="Q76" s="5" t="s">
        <v>6084</v>
      </c>
    </row>
    <row r="77" spans="2:17" x14ac:dyDescent="0.2">
      <c r="B77" s="5" t="s">
        <v>6059</v>
      </c>
      <c r="C77" s="6" t="s">
        <v>13588</v>
      </c>
      <c r="D77" s="4">
        <v>357</v>
      </c>
      <c r="E77" s="5" t="s">
        <v>20</v>
      </c>
      <c r="F77" s="5" t="s">
        <v>6073</v>
      </c>
      <c r="G77" s="6" t="s">
        <v>43</v>
      </c>
      <c r="H77" s="4"/>
      <c r="I77" s="5" t="s">
        <v>22</v>
      </c>
      <c r="J77" s="5" t="s">
        <v>6087</v>
      </c>
      <c r="K77" s="5" t="s">
        <v>6088</v>
      </c>
      <c r="L77" s="5"/>
      <c r="M77" s="5" t="s">
        <v>432</v>
      </c>
      <c r="N77" s="5" t="s">
        <v>2147</v>
      </c>
      <c r="O77" s="5" t="s">
        <v>6063</v>
      </c>
      <c r="P77" s="5"/>
      <c r="Q77" s="5" t="s">
        <v>6089</v>
      </c>
    </row>
    <row r="78" spans="2:17" x14ac:dyDescent="0.2">
      <c r="B78" s="5" t="s">
        <v>6059</v>
      </c>
      <c r="C78" s="6" t="s">
        <v>13588</v>
      </c>
      <c r="D78" s="4">
        <v>358</v>
      </c>
      <c r="E78" s="5" t="s">
        <v>20</v>
      </c>
      <c r="F78" s="5" t="s">
        <v>6073</v>
      </c>
      <c r="G78" s="6" t="s">
        <v>43</v>
      </c>
      <c r="H78" s="4"/>
      <c r="I78" s="5" t="s">
        <v>22</v>
      </c>
      <c r="J78" s="5" t="s">
        <v>6090</v>
      </c>
      <c r="K78" s="5" t="s">
        <v>6091</v>
      </c>
      <c r="L78" s="5"/>
      <c r="M78" s="5" t="s">
        <v>432</v>
      </c>
      <c r="N78" s="5" t="s">
        <v>2147</v>
      </c>
      <c r="O78" s="5" t="s">
        <v>6063</v>
      </c>
      <c r="P78" s="5"/>
      <c r="Q78" s="5" t="s">
        <v>6092</v>
      </c>
    </row>
    <row r="79" spans="2:17" x14ac:dyDescent="0.2">
      <c r="B79" s="5" t="s">
        <v>6059</v>
      </c>
      <c r="C79" s="6" t="s">
        <v>13588</v>
      </c>
      <c r="D79" s="4">
        <v>359</v>
      </c>
      <c r="E79" s="5" t="s">
        <v>20</v>
      </c>
      <c r="F79" s="5" t="s">
        <v>6073</v>
      </c>
      <c r="G79" s="6" t="s">
        <v>43</v>
      </c>
      <c r="H79" s="4"/>
      <c r="I79" s="5" t="s">
        <v>22</v>
      </c>
      <c r="J79" s="5" t="s">
        <v>6085</v>
      </c>
      <c r="K79" s="5" t="s">
        <v>6071</v>
      </c>
      <c r="L79" s="5"/>
      <c r="M79" s="5" t="s">
        <v>2151</v>
      </c>
      <c r="N79" s="5" t="s">
        <v>2147</v>
      </c>
      <c r="O79" s="5" t="s">
        <v>6063</v>
      </c>
      <c r="P79" s="5"/>
      <c r="Q79" s="5" t="s">
        <v>6086</v>
      </c>
    </row>
    <row r="80" spans="2:17" x14ac:dyDescent="0.2">
      <c r="B80" s="5" t="s">
        <v>6059</v>
      </c>
      <c r="C80" s="6" t="s">
        <v>13588</v>
      </c>
      <c r="D80" s="4">
        <v>360</v>
      </c>
      <c r="E80" s="5" t="s">
        <v>20</v>
      </c>
      <c r="F80" s="5" t="s">
        <v>6073</v>
      </c>
      <c r="G80" s="6" t="s">
        <v>43</v>
      </c>
      <c r="H80" s="4"/>
      <c r="I80" s="5" t="s">
        <v>22</v>
      </c>
      <c r="J80" s="5" t="s">
        <v>6074</v>
      </c>
      <c r="K80" s="5" t="s">
        <v>6071</v>
      </c>
      <c r="L80" s="5" t="s">
        <v>6075</v>
      </c>
      <c r="M80" s="5" t="s">
        <v>2151</v>
      </c>
      <c r="N80" s="5" t="s">
        <v>6076</v>
      </c>
      <c r="O80" s="5"/>
      <c r="P80" s="5"/>
      <c r="Q80" s="5" t="s">
        <v>6077</v>
      </c>
    </row>
    <row r="81" spans="2:17" x14ac:dyDescent="0.2">
      <c r="B81" s="5" t="s">
        <v>6059</v>
      </c>
      <c r="C81" s="6" t="s">
        <v>13588</v>
      </c>
      <c r="D81" s="4">
        <v>361</v>
      </c>
      <c r="E81" s="5" t="s">
        <v>20</v>
      </c>
      <c r="F81" s="5" t="s">
        <v>6073</v>
      </c>
      <c r="G81" s="6" t="s">
        <v>43</v>
      </c>
      <c r="H81" s="4"/>
      <c r="I81" s="5" t="s">
        <v>22</v>
      </c>
      <c r="J81" s="5" t="s">
        <v>6078</v>
      </c>
      <c r="K81" s="5" t="s">
        <v>6079</v>
      </c>
      <c r="L81" s="5" t="s">
        <v>6080</v>
      </c>
      <c r="M81" s="5" t="s">
        <v>2151</v>
      </c>
      <c r="N81" s="5" t="s">
        <v>6076</v>
      </c>
      <c r="O81" s="5"/>
      <c r="P81" s="5"/>
      <c r="Q81" s="5" t="s">
        <v>6081</v>
      </c>
    </row>
    <row r="82" spans="2:17" x14ac:dyDescent="0.2">
      <c r="B82" s="5" t="s">
        <v>6126</v>
      </c>
      <c r="C82" s="6" t="s">
        <v>13588</v>
      </c>
      <c r="D82" s="4">
        <v>377</v>
      </c>
      <c r="E82" s="5" t="s">
        <v>20</v>
      </c>
      <c r="F82" s="5" t="s">
        <v>6210</v>
      </c>
      <c r="G82" s="6" t="s">
        <v>43</v>
      </c>
      <c r="H82" s="4"/>
      <c r="I82" s="5" t="s">
        <v>38</v>
      </c>
      <c r="J82" s="5" t="s">
        <v>6211</v>
      </c>
      <c r="K82" s="5" t="s">
        <v>6189</v>
      </c>
      <c r="L82" s="5" t="s">
        <v>6212</v>
      </c>
      <c r="M82" s="5" t="s">
        <v>3043</v>
      </c>
      <c r="N82" s="5" t="s">
        <v>1821</v>
      </c>
      <c r="O82" s="5" t="s">
        <v>6139</v>
      </c>
      <c r="P82" s="5"/>
      <c r="Q82" s="5" t="s">
        <v>6213</v>
      </c>
    </row>
    <row r="83" spans="2:17" x14ac:dyDescent="0.2">
      <c r="B83" s="5" t="s">
        <v>6126</v>
      </c>
      <c r="C83" s="6" t="s">
        <v>13588</v>
      </c>
      <c r="D83" s="4">
        <v>378</v>
      </c>
      <c r="E83" s="5" t="s">
        <v>20</v>
      </c>
      <c r="F83" s="5" t="s">
        <v>6210</v>
      </c>
      <c r="G83" s="6" t="s">
        <v>43</v>
      </c>
      <c r="H83" s="4"/>
      <c r="I83" s="5" t="s">
        <v>38</v>
      </c>
      <c r="J83" s="5" t="s">
        <v>6214</v>
      </c>
      <c r="K83" s="5" t="s">
        <v>6215</v>
      </c>
      <c r="L83" s="5" t="s">
        <v>6216</v>
      </c>
      <c r="M83" s="5" t="s">
        <v>3043</v>
      </c>
      <c r="N83" s="5" t="s">
        <v>1821</v>
      </c>
      <c r="O83" s="5" t="s">
        <v>6139</v>
      </c>
      <c r="P83" s="5"/>
      <c r="Q83" s="5" t="s">
        <v>6217</v>
      </c>
    </row>
    <row r="84" spans="2:17" x14ac:dyDescent="0.2">
      <c r="B84" s="5" t="s">
        <v>6126</v>
      </c>
      <c r="C84" s="6" t="s">
        <v>13588</v>
      </c>
      <c r="D84" s="4">
        <v>379</v>
      </c>
      <c r="E84" s="5" t="s">
        <v>20</v>
      </c>
      <c r="F84" s="5" t="s">
        <v>6210</v>
      </c>
      <c r="G84" s="6" t="s">
        <v>43</v>
      </c>
      <c r="H84" s="4"/>
      <c r="I84" s="5" t="s">
        <v>38</v>
      </c>
      <c r="J84" s="5" t="s">
        <v>6218</v>
      </c>
      <c r="K84" s="5" t="s">
        <v>6143</v>
      </c>
      <c r="L84" s="5" t="s">
        <v>6219</v>
      </c>
      <c r="M84" s="5" t="s">
        <v>3043</v>
      </c>
      <c r="N84" s="5" t="s">
        <v>1821</v>
      </c>
      <c r="O84" s="5" t="s">
        <v>6139</v>
      </c>
      <c r="P84" s="5"/>
      <c r="Q84" s="5" t="s">
        <v>6220</v>
      </c>
    </row>
    <row r="85" spans="2:17" x14ac:dyDescent="0.2">
      <c r="B85" s="5" t="s">
        <v>6126</v>
      </c>
      <c r="C85" s="6" t="s">
        <v>13588</v>
      </c>
      <c r="D85" s="4">
        <v>380</v>
      </c>
      <c r="E85" s="5" t="s">
        <v>20</v>
      </c>
      <c r="F85" s="5" t="s">
        <v>6210</v>
      </c>
      <c r="G85" s="6" t="s">
        <v>43</v>
      </c>
      <c r="H85" s="4"/>
      <c r="I85" s="5" t="s">
        <v>38</v>
      </c>
      <c r="J85" s="5" t="s">
        <v>6221</v>
      </c>
      <c r="K85" s="5" t="s">
        <v>6147</v>
      </c>
      <c r="L85" s="5" t="s">
        <v>6222</v>
      </c>
      <c r="M85" s="5" t="s">
        <v>3043</v>
      </c>
      <c r="N85" s="5" t="s">
        <v>1821</v>
      </c>
      <c r="O85" s="5" t="s">
        <v>6139</v>
      </c>
      <c r="P85" s="5"/>
      <c r="Q85" s="5" t="s">
        <v>6223</v>
      </c>
    </row>
    <row r="86" spans="2:17" x14ac:dyDescent="0.2">
      <c r="B86" s="5" t="s">
        <v>6126</v>
      </c>
      <c r="C86" s="6" t="s">
        <v>13588</v>
      </c>
      <c r="D86" s="4">
        <v>381</v>
      </c>
      <c r="E86" s="5" t="s">
        <v>20</v>
      </c>
      <c r="F86" s="5" t="s">
        <v>6210</v>
      </c>
      <c r="G86" s="6" t="s">
        <v>43</v>
      </c>
      <c r="H86" s="4"/>
      <c r="I86" s="5" t="s">
        <v>38</v>
      </c>
      <c r="J86" s="5" t="s">
        <v>6224</v>
      </c>
      <c r="K86" s="5" t="s">
        <v>6152</v>
      </c>
      <c r="L86" s="5" t="s">
        <v>6225</v>
      </c>
      <c r="M86" s="5" t="s">
        <v>3043</v>
      </c>
      <c r="N86" s="5" t="s">
        <v>1821</v>
      </c>
      <c r="O86" s="5" t="s">
        <v>6130</v>
      </c>
      <c r="P86" s="5"/>
      <c r="Q86" s="5" t="s">
        <v>6226</v>
      </c>
    </row>
    <row r="87" spans="2:17" x14ac:dyDescent="0.2">
      <c r="B87" s="5" t="s">
        <v>6126</v>
      </c>
      <c r="C87" s="6" t="s">
        <v>13588</v>
      </c>
      <c r="D87" s="4">
        <v>382</v>
      </c>
      <c r="E87" s="5" t="s">
        <v>20</v>
      </c>
      <c r="F87" s="5" t="s">
        <v>6210</v>
      </c>
      <c r="G87" s="6" t="s">
        <v>43</v>
      </c>
      <c r="H87" s="4"/>
      <c r="I87" s="5" t="s">
        <v>38</v>
      </c>
      <c r="J87" s="5" t="s">
        <v>6227</v>
      </c>
      <c r="K87" s="5" t="s">
        <v>6177</v>
      </c>
      <c r="L87" s="5" t="s">
        <v>6225</v>
      </c>
      <c r="M87" s="5" t="s">
        <v>3043</v>
      </c>
      <c r="N87" s="5" t="s">
        <v>1821</v>
      </c>
      <c r="O87" s="5" t="s">
        <v>6139</v>
      </c>
      <c r="P87" s="5"/>
      <c r="Q87" s="5" t="s">
        <v>6228</v>
      </c>
    </row>
    <row r="88" spans="2:17" x14ac:dyDescent="0.2">
      <c r="B88" s="5" t="s">
        <v>6930</v>
      </c>
      <c r="C88" s="6" t="s">
        <v>13588</v>
      </c>
      <c r="D88" s="4">
        <v>597</v>
      </c>
      <c r="E88" s="5" t="s">
        <v>20</v>
      </c>
      <c r="F88" s="5" t="s">
        <v>6950</v>
      </c>
      <c r="G88" s="6" t="s">
        <v>43</v>
      </c>
      <c r="H88" s="4"/>
      <c r="I88" s="5" t="s">
        <v>22</v>
      </c>
      <c r="J88" s="5" t="s">
        <v>6951</v>
      </c>
      <c r="K88" s="5" t="s">
        <v>6933</v>
      </c>
      <c r="L88" s="5"/>
      <c r="M88" s="5" t="s">
        <v>2151</v>
      </c>
      <c r="N88" s="5" t="s">
        <v>2147</v>
      </c>
      <c r="O88" s="5" t="s">
        <v>6934</v>
      </c>
      <c r="P88" s="5"/>
      <c r="Q88" s="5" t="s">
        <v>6952</v>
      </c>
    </row>
    <row r="89" spans="2:17" x14ac:dyDescent="0.2">
      <c r="B89" s="5" t="s">
        <v>7030</v>
      </c>
      <c r="C89" s="6" t="s">
        <v>13588</v>
      </c>
      <c r="D89" s="4">
        <v>609</v>
      </c>
      <c r="E89" s="5" t="s">
        <v>20</v>
      </c>
      <c r="F89" s="5" t="s">
        <v>7044</v>
      </c>
      <c r="G89" s="6" t="s">
        <v>43</v>
      </c>
      <c r="H89" s="4"/>
      <c r="I89" s="5" t="s">
        <v>38</v>
      </c>
      <c r="J89" s="5" t="s">
        <v>7045</v>
      </c>
      <c r="K89" s="5" t="s">
        <v>7046</v>
      </c>
      <c r="L89" s="5" t="s">
        <v>7047</v>
      </c>
      <c r="M89" s="5" t="s">
        <v>3763</v>
      </c>
      <c r="N89" s="5" t="s">
        <v>3906</v>
      </c>
      <c r="O89" s="5" t="s">
        <v>7048</v>
      </c>
      <c r="P89" s="5"/>
      <c r="Q89" s="5" t="s">
        <v>7049</v>
      </c>
    </row>
    <row r="90" spans="2:17" x14ac:dyDescent="0.2">
      <c r="B90" s="5" t="s">
        <v>7240</v>
      </c>
      <c r="C90" s="6" t="s">
        <v>13588</v>
      </c>
      <c r="D90" s="4">
        <v>673</v>
      </c>
      <c r="E90" s="5" t="s">
        <v>20</v>
      </c>
      <c r="F90" s="5" t="s">
        <v>7268</v>
      </c>
      <c r="G90" s="6" t="s">
        <v>43</v>
      </c>
      <c r="H90" s="4"/>
      <c r="I90" s="5" t="s">
        <v>38</v>
      </c>
      <c r="J90" s="5" t="s">
        <v>7272</v>
      </c>
      <c r="K90" s="5" t="s">
        <v>7246</v>
      </c>
      <c r="L90" s="5"/>
      <c r="M90" s="5" t="s">
        <v>648</v>
      </c>
      <c r="N90" s="5" t="s">
        <v>1957</v>
      </c>
      <c r="O90" s="5"/>
      <c r="P90" s="5"/>
      <c r="Q90" s="5" t="s">
        <v>7273</v>
      </c>
    </row>
    <row r="91" spans="2:17" x14ac:dyDescent="0.2">
      <c r="B91" s="5" t="s">
        <v>7240</v>
      </c>
      <c r="C91" s="6" t="s">
        <v>13588</v>
      </c>
      <c r="D91" s="4">
        <v>678</v>
      </c>
      <c r="E91" s="5" t="s">
        <v>20</v>
      </c>
      <c r="F91" s="5" t="s">
        <v>7268</v>
      </c>
      <c r="G91" s="6" t="s">
        <v>43</v>
      </c>
      <c r="H91" s="4"/>
      <c r="I91" s="5" t="s">
        <v>38</v>
      </c>
      <c r="J91" s="5" t="s">
        <v>7274</v>
      </c>
      <c r="K91" s="5" t="s">
        <v>7275</v>
      </c>
      <c r="L91" s="5"/>
      <c r="M91" s="5" t="s">
        <v>648</v>
      </c>
      <c r="N91" s="5" t="s">
        <v>573</v>
      </c>
      <c r="O91" s="5"/>
      <c r="P91" s="5"/>
      <c r="Q91" s="5" t="s">
        <v>7276</v>
      </c>
    </row>
    <row r="92" spans="2:17" x14ac:dyDescent="0.2">
      <c r="B92" s="5" t="s">
        <v>7240</v>
      </c>
      <c r="C92" s="6" t="s">
        <v>13588</v>
      </c>
      <c r="D92" s="4">
        <v>679</v>
      </c>
      <c r="E92" s="5" t="s">
        <v>20</v>
      </c>
      <c r="F92" s="5" t="s">
        <v>7268</v>
      </c>
      <c r="G92" s="6" t="s">
        <v>43</v>
      </c>
      <c r="H92" s="4"/>
      <c r="I92" s="5" t="s">
        <v>38</v>
      </c>
      <c r="J92" s="5" t="s">
        <v>7269</v>
      </c>
      <c r="K92" s="5" t="s">
        <v>7270</v>
      </c>
      <c r="L92" s="5"/>
      <c r="M92" s="5" t="s">
        <v>648</v>
      </c>
      <c r="N92" s="5" t="s">
        <v>573</v>
      </c>
      <c r="O92" s="5"/>
      <c r="P92" s="5"/>
      <c r="Q92" s="5" t="s">
        <v>7271</v>
      </c>
    </row>
    <row r="93" spans="2:17" x14ac:dyDescent="0.2">
      <c r="B93" s="5" t="s">
        <v>7539</v>
      </c>
      <c r="C93" s="6" t="s">
        <v>13588</v>
      </c>
      <c r="D93" s="4">
        <v>758</v>
      </c>
      <c r="E93" s="5" t="s">
        <v>20</v>
      </c>
      <c r="F93" s="5" t="s">
        <v>7572</v>
      </c>
      <c r="G93" s="6" t="s">
        <v>43</v>
      </c>
      <c r="H93" s="4"/>
      <c r="I93" s="5" t="s">
        <v>22</v>
      </c>
      <c r="J93" s="5" t="s">
        <v>7573</v>
      </c>
      <c r="K93" s="5" t="s">
        <v>7545</v>
      </c>
      <c r="L93" s="5"/>
      <c r="M93" s="5" t="s">
        <v>1736</v>
      </c>
      <c r="N93" s="5" t="s">
        <v>1258</v>
      </c>
      <c r="O93" s="5" t="s">
        <v>7540</v>
      </c>
      <c r="P93" s="5"/>
      <c r="Q93" s="5" t="s">
        <v>7574</v>
      </c>
    </row>
    <row r="94" spans="2:17" x14ac:dyDescent="0.2">
      <c r="B94" s="5" t="s">
        <v>7539</v>
      </c>
      <c r="C94" s="6" t="s">
        <v>13588</v>
      </c>
      <c r="D94" s="4">
        <v>759</v>
      </c>
      <c r="E94" s="5" t="s">
        <v>20</v>
      </c>
      <c r="F94" s="5" t="s">
        <v>7569</v>
      </c>
      <c r="G94" s="6" t="s">
        <v>43</v>
      </c>
      <c r="H94" s="4"/>
      <c r="I94" s="5" t="s">
        <v>22</v>
      </c>
      <c r="J94" s="5" t="s">
        <v>7570</v>
      </c>
      <c r="K94" s="5" t="s">
        <v>7545</v>
      </c>
      <c r="L94" s="5"/>
      <c r="M94" s="5" t="s">
        <v>2856</v>
      </c>
      <c r="N94" s="5" t="s">
        <v>7076</v>
      </c>
      <c r="O94" s="5" t="s">
        <v>7540</v>
      </c>
      <c r="P94" s="5"/>
      <c r="Q94" s="5" t="s">
        <v>7571</v>
      </c>
    </row>
    <row r="95" spans="2:17" x14ac:dyDescent="0.2">
      <c r="B95" s="5" t="s">
        <v>7539</v>
      </c>
      <c r="C95" s="6" t="s">
        <v>13588</v>
      </c>
      <c r="D95" s="4">
        <v>762</v>
      </c>
      <c r="E95" s="5" t="s">
        <v>20</v>
      </c>
      <c r="F95" s="5" t="s">
        <v>7566</v>
      </c>
      <c r="G95" s="6" t="s">
        <v>43</v>
      </c>
      <c r="H95" s="4"/>
      <c r="I95" s="5" t="s">
        <v>22</v>
      </c>
      <c r="J95" s="5" t="s">
        <v>7567</v>
      </c>
      <c r="K95" s="5" t="s">
        <v>7542</v>
      </c>
      <c r="L95" s="5"/>
      <c r="M95" s="5" t="s">
        <v>1218</v>
      </c>
      <c r="N95" s="5" t="s">
        <v>4731</v>
      </c>
      <c r="O95" s="5" t="s">
        <v>7548</v>
      </c>
      <c r="P95" s="5"/>
      <c r="Q95" s="5" t="s">
        <v>7568</v>
      </c>
    </row>
    <row r="96" spans="2:17" x14ac:dyDescent="0.2">
      <c r="B96" s="5" t="s">
        <v>7539</v>
      </c>
      <c r="C96" s="6" t="s">
        <v>13588</v>
      </c>
      <c r="D96" s="4">
        <v>765</v>
      </c>
      <c r="E96" s="5" t="s">
        <v>20</v>
      </c>
      <c r="F96" s="5" t="s">
        <v>7549</v>
      </c>
      <c r="G96" s="6" t="s">
        <v>43</v>
      </c>
      <c r="H96" s="4"/>
      <c r="I96" s="5" t="s">
        <v>22</v>
      </c>
      <c r="J96" s="5" t="s">
        <v>7550</v>
      </c>
      <c r="K96" s="5" t="s">
        <v>7551</v>
      </c>
      <c r="L96" s="5"/>
      <c r="M96" s="5" t="s">
        <v>2807</v>
      </c>
      <c r="N96" s="5" t="s">
        <v>2807</v>
      </c>
      <c r="O96" s="5" t="s">
        <v>7543</v>
      </c>
      <c r="P96" s="5"/>
      <c r="Q96" s="5" t="s">
        <v>7552</v>
      </c>
    </row>
    <row r="97" spans="2:17" x14ac:dyDescent="0.2">
      <c r="B97" s="5" t="s">
        <v>3810</v>
      </c>
      <c r="C97" s="6" t="s">
        <v>13588</v>
      </c>
      <c r="D97" s="4">
        <v>2</v>
      </c>
      <c r="E97" s="5" t="s">
        <v>20</v>
      </c>
      <c r="F97" s="5" t="s">
        <v>3826</v>
      </c>
      <c r="G97" s="6" t="s">
        <v>54</v>
      </c>
      <c r="H97" s="4"/>
      <c r="I97" s="5" t="s">
        <v>22</v>
      </c>
      <c r="J97" s="5" t="s">
        <v>3827</v>
      </c>
      <c r="K97" s="5" t="s">
        <v>3828</v>
      </c>
      <c r="L97" s="5"/>
      <c r="M97" s="5" t="s">
        <v>3662</v>
      </c>
      <c r="N97" s="5" t="s">
        <v>433</v>
      </c>
      <c r="O97" s="5"/>
      <c r="P97" s="5"/>
      <c r="Q97" s="5" t="s">
        <v>3829</v>
      </c>
    </row>
    <row r="98" spans="2:17" x14ac:dyDescent="0.2">
      <c r="B98" s="5" t="s">
        <v>3990</v>
      </c>
      <c r="C98" s="6" t="s">
        <v>13588</v>
      </c>
      <c r="D98" s="4">
        <v>54</v>
      </c>
      <c r="E98" s="5" t="s">
        <v>20</v>
      </c>
      <c r="F98" s="5" t="s">
        <v>4033</v>
      </c>
      <c r="G98" s="6" t="s">
        <v>54</v>
      </c>
      <c r="H98" s="4"/>
      <c r="I98" s="5" t="s">
        <v>22</v>
      </c>
      <c r="J98" s="5" t="s">
        <v>4034</v>
      </c>
      <c r="K98" s="5" t="s">
        <v>4035</v>
      </c>
      <c r="L98" s="5" t="s">
        <v>4036</v>
      </c>
      <c r="M98" s="5" t="s">
        <v>443</v>
      </c>
      <c r="N98" s="5" t="s">
        <v>437</v>
      </c>
      <c r="O98" s="5" t="s">
        <v>4037</v>
      </c>
      <c r="P98" s="5"/>
      <c r="Q98" s="5" t="s">
        <v>4038</v>
      </c>
    </row>
    <row r="99" spans="2:17" x14ac:dyDescent="0.2">
      <c r="B99" s="5" t="s">
        <v>4674</v>
      </c>
      <c r="C99" s="6" t="s">
        <v>13588</v>
      </c>
      <c r="D99" s="4">
        <v>227</v>
      </c>
      <c r="E99" s="5" t="s">
        <v>20</v>
      </c>
      <c r="F99" s="5" t="s">
        <v>4712</v>
      </c>
      <c r="G99" s="6" t="s">
        <v>54</v>
      </c>
      <c r="H99" s="4"/>
      <c r="I99" s="5" t="s">
        <v>22</v>
      </c>
      <c r="J99" s="5" t="s">
        <v>4713</v>
      </c>
      <c r="K99" s="5" t="s">
        <v>4675</v>
      </c>
      <c r="L99" s="5"/>
      <c r="M99" s="5" t="s">
        <v>4184</v>
      </c>
      <c r="N99" s="5" t="s">
        <v>138</v>
      </c>
      <c r="O99" s="5" t="s">
        <v>4676</v>
      </c>
      <c r="P99" s="5"/>
      <c r="Q99" s="5" t="s">
        <v>4714</v>
      </c>
    </row>
    <row r="100" spans="2:17" x14ac:dyDescent="0.2">
      <c r="B100" s="5" t="s">
        <v>4674</v>
      </c>
      <c r="C100" s="6" t="s">
        <v>13588</v>
      </c>
      <c r="D100" s="4">
        <v>228</v>
      </c>
      <c r="E100" s="5" t="s">
        <v>20</v>
      </c>
      <c r="F100" s="5" t="s">
        <v>4712</v>
      </c>
      <c r="G100" s="6" t="s">
        <v>54</v>
      </c>
      <c r="H100" s="4"/>
      <c r="I100" s="5" t="s">
        <v>22</v>
      </c>
      <c r="J100" s="5" t="s">
        <v>4715</v>
      </c>
      <c r="K100" s="5" t="s">
        <v>4716</v>
      </c>
      <c r="L100" s="5"/>
      <c r="M100" s="5" t="s">
        <v>4184</v>
      </c>
      <c r="N100" s="5" t="s">
        <v>138</v>
      </c>
      <c r="O100" s="5" t="s">
        <v>4676</v>
      </c>
      <c r="P100" s="5"/>
      <c r="Q100" s="5" t="s">
        <v>4717</v>
      </c>
    </row>
    <row r="101" spans="2:17" x14ac:dyDescent="0.2">
      <c r="B101" s="5" t="s">
        <v>4777</v>
      </c>
      <c r="C101" s="6" t="s">
        <v>13588</v>
      </c>
      <c r="D101" s="4">
        <v>253</v>
      </c>
      <c r="E101" s="5" t="s">
        <v>13</v>
      </c>
      <c r="F101" s="5" t="s">
        <v>4842</v>
      </c>
      <c r="G101" s="6" t="s">
        <v>54</v>
      </c>
      <c r="H101" s="4"/>
      <c r="I101" s="5"/>
      <c r="J101" s="5" t="s">
        <v>4843</v>
      </c>
      <c r="K101" s="5" t="s">
        <v>4784</v>
      </c>
      <c r="L101" s="5"/>
      <c r="M101" s="5" t="s">
        <v>1685</v>
      </c>
      <c r="N101" s="5" t="s">
        <v>1685</v>
      </c>
      <c r="O101" s="5" t="s">
        <v>4781</v>
      </c>
      <c r="P101" s="5"/>
      <c r="Q101" s="5" t="s">
        <v>4844</v>
      </c>
    </row>
    <row r="102" spans="2:17" x14ac:dyDescent="0.2">
      <c r="B102" s="5" t="s">
        <v>7459</v>
      </c>
      <c r="C102" s="6" t="s">
        <v>13588</v>
      </c>
      <c r="D102" s="4">
        <v>726</v>
      </c>
      <c r="E102" s="5" t="s">
        <v>20</v>
      </c>
      <c r="F102" s="5" t="s">
        <v>7470</v>
      </c>
      <c r="G102" s="6" t="s">
        <v>54</v>
      </c>
      <c r="H102" s="4"/>
      <c r="I102" s="5" t="s">
        <v>22</v>
      </c>
      <c r="J102" s="5" t="s">
        <v>7471</v>
      </c>
      <c r="K102" s="5" t="s">
        <v>7472</v>
      </c>
      <c r="L102" s="5"/>
      <c r="M102" s="5" t="s">
        <v>843</v>
      </c>
      <c r="N102" s="5" t="s">
        <v>131</v>
      </c>
      <c r="O102" s="5" t="s">
        <v>7460</v>
      </c>
      <c r="P102" s="5"/>
      <c r="Q102" s="5" t="s">
        <v>7473</v>
      </c>
    </row>
    <row r="103" spans="2:17" x14ac:dyDescent="0.2">
      <c r="B103" s="5" t="s">
        <v>3803</v>
      </c>
      <c r="C103" s="6" t="s">
        <v>13588</v>
      </c>
      <c r="D103" s="4">
        <v>1</v>
      </c>
      <c r="E103" s="5" t="s">
        <v>82</v>
      </c>
      <c r="F103" s="5" t="s">
        <v>3804</v>
      </c>
      <c r="G103" s="6" t="s">
        <v>14</v>
      </c>
      <c r="H103" s="4">
        <v>1</v>
      </c>
      <c r="I103" s="5"/>
      <c r="J103" s="5" t="s">
        <v>3805</v>
      </c>
      <c r="K103" s="5" t="s">
        <v>3806</v>
      </c>
      <c r="L103" s="5" t="s">
        <v>3807</v>
      </c>
      <c r="M103" s="5" t="s">
        <v>1802</v>
      </c>
      <c r="N103" s="5" t="s">
        <v>337</v>
      </c>
      <c r="O103" s="5" t="s">
        <v>3808</v>
      </c>
      <c r="P103" s="5"/>
      <c r="Q103" s="5" t="s">
        <v>3809</v>
      </c>
    </row>
    <row r="104" spans="2:17" x14ac:dyDescent="0.2">
      <c r="B104" s="5" t="s">
        <v>3810</v>
      </c>
      <c r="C104" s="6" t="s">
        <v>13588</v>
      </c>
      <c r="D104" s="4">
        <v>6</v>
      </c>
      <c r="E104" s="5" t="s">
        <v>20</v>
      </c>
      <c r="F104" s="5" t="s">
        <v>3830</v>
      </c>
      <c r="G104" s="6" t="s">
        <v>14</v>
      </c>
      <c r="H104" s="4">
        <v>2</v>
      </c>
      <c r="I104" s="5" t="s">
        <v>22</v>
      </c>
      <c r="J104" s="5" t="s">
        <v>3831</v>
      </c>
      <c r="K104" s="5" t="s">
        <v>3817</v>
      </c>
      <c r="L104" s="5"/>
      <c r="M104" s="5" t="s">
        <v>513</v>
      </c>
      <c r="N104" s="5" t="s">
        <v>523</v>
      </c>
      <c r="O104" s="5" t="s">
        <v>3818</v>
      </c>
      <c r="P104" s="5"/>
      <c r="Q104" s="5" t="s">
        <v>3832</v>
      </c>
    </row>
    <row r="105" spans="2:17" x14ac:dyDescent="0.2">
      <c r="B105" s="5" t="s">
        <v>3834</v>
      </c>
      <c r="C105" s="6" t="s">
        <v>13588</v>
      </c>
      <c r="D105" s="4">
        <v>9</v>
      </c>
      <c r="E105" s="5" t="s">
        <v>15</v>
      </c>
      <c r="F105" s="5" t="s">
        <v>3904</v>
      </c>
      <c r="G105" s="6" t="s">
        <v>14</v>
      </c>
      <c r="H105" s="4">
        <v>3</v>
      </c>
      <c r="I105" s="5"/>
      <c r="J105" s="5" t="s">
        <v>3905</v>
      </c>
      <c r="K105" s="5" t="s">
        <v>3892</v>
      </c>
      <c r="L105" s="5"/>
      <c r="M105" s="5" t="s">
        <v>3906</v>
      </c>
      <c r="N105" s="5" t="s">
        <v>3906</v>
      </c>
      <c r="O105" s="5" t="s">
        <v>3848</v>
      </c>
      <c r="P105" s="5"/>
      <c r="Q105" s="5" t="s">
        <v>3907</v>
      </c>
    </row>
    <row r="106" spans="2:17" x14ac:dyDescent="0.2">
      <c r="B106" s="5" t="s">
        <v>3834</v>
      </c>
      <c r="C106" s="6" t="s">
        <v>13588</v>
      </c>
      <c r="D106" s="4">
        <v>12</v>
      </c>
      <c r="E106" s="5" t="s">
        <v>15</v>
      </c>
      <c r="F106" s="5" t="s">
        <v>3890</v>
      </c>
      <c r="G106" s="6" t="s">
        <v>14</v>
      </c>
      <c r="H106" s="4">
        <v>4</v>
      </c>
      <c r="I106" s="5"/>
      <c r="J106" s="5" t="s">
        <v>3891</v>
      </c>
      <c r="K106" s="5" t="s">
        <v>3892</v>
      </c>
      <c r="L106" s="5"/>
      <c r="M106" s="5" t="s">
        <v>3893</v>
      </c>
      <c r="N106" s="5" t="s">
        <v>3893</v>
      </c>
      <c r="O106" s="5" t="s">
        <v>3894</v>
      </c>
      <c r="P106" s="5"/>
      <c r="Q106" s="5" t="s">
        <v>3895</v>
      </c>
    </row>
    <row r="107" spans="2:17" x14ac:dyDescent="0.2">
      <c r="B107" s="5" t="s">
        <v>3834</v>
      </c>
      <c r="C107" s="6" t="s">
        <v>13588</v>
      </c>
      <c r="D107" s="4">
        <v>15</v>
      </c>
      <c r="E107" s="5" t="s">
        <v>24</v>
      </c>
      <c r="F107" s="5" t="s">
        <v>3879</v>
      </c>
      <c r="G107" s="6" t="s">
        <v>14</v>
      </c>
      <c r="H107" s="4">
        <v>5</v>
      </c>
      <c r="I107" s="5"/>
      <c r="J107" s="5" t="s">
        <v>3880</v>
      </c>
      <c r="K107" s="5" t="s">
        <v>3842</v>
      </c>
      <c r="L107" s="5"/>
      <c r="M107" s="5" t="s">
        <v>1526</v>
      </c>
      <c r="N107" s="5" t="s">
        <v>1526</v>
      </c>
      <c r="O107" s="5" t="s">
        <v>3838</v>
      </c>
      <c r="P107" s="5"/>
      <c r="Q107" s="5" t="s">
        <v>3881</v>
      </c>
    </row>
    <row r="108" spans="2:17" x14ac:dyDescent="0.2">
      <c r="B108" s="5" t="s">
        <v>3834</v>
      </c>
      <c r="C108" s="6" t="s">
        <v>13588</v>
      </c>
      <c r="D108" s="4">
        <v>16</v>
      </c>
      <c r="E108" s="5" t="s">
        <v>20</v>
      </c>
      <c r="F108" s="5" t="s">
        <v>3862</v>
      </c>
      <c r="G108" s="6" t="s">
        <v>14</v>
      </c>
      <c r="H108" s="4">
        <v>6</v>
      </c>
      <c r="I108" s="5" t="s">
        <v>22</v>
      </c>
      <c r="J108" s="5" t="s">
        <v>3863</v>
      </c>
      <c r="K108" s="5" t="s">
        <v>3864</v>
      </c>
      <c r="L108" s="5"/>
      <c r="M108" s="5" t="s">
        <v>342</v>
      </c>
      <c r="N108" s="5" t="s">
        <v>2075</v>
      </c>
      <c r="O108" s="5" t="s">
        <v>3865</v>
      </c>
      <c r="P108" s="5"/>
      <c r="Q108" s="5" t="s">
        <v>3866</v>
      </c>
    </row>
    <row r="109" spans="2:17" x14ac:dyDescent="0.2">
      <c r="B109" s="5" t="s">
        <v>3834</v>
      </c>
      <c r="C109" s="6" t="s">
        <v>13588</v>
      </c>
      <c r="D109" s="4">
        <v>17</v>
      </c>
      <c r="E109" s="5" t="s">
        <v>20</v>
      </c>
      <c r="F109" s="5" t="s">
        <v>3862</v>
      </c>
      <c r="G109" s="6" t="s">
        <v>14</v>
      </c>
      <c r="H109" s="4">
        <v>7</v>
      </c>
      <c r="I109" s="5" t="s">
        <v>22</v>
      </c>
      <c r="J109" s="5" t="s">
        <v>3870</v>
      </c>
      <c r="K109" s="5" t="s">
        <v>3868</v>
      </c>
      <c r="L109" s="5"/>
      <c r="M109" s="5" t="s">
        <v>342</v>
      </c>
      <c r="N109" s="5" t="s">
        <v>2075</v>
      </c>
      <c r="O109" s="5" t="s">
        <v>3838</v>
      </c>
      <c r="P109" s="5"/>
      <c r="Q109" s="5" t="s">
        <v>3871</v>
      </c>
    </row>
    <row r="110" spans="2:17" x14ac:dyDescent="0.2">
      <c r="B110" s="5" t="s">
        <v>3834</v>
      </c>
      <c r="C110" s="6" t="s">
        <v>13588</v>
      </c>
      <c r="D110" s="4">
        <v>18</v>
      </c>
      <c r="E110" s="5" t="s">
        <v>24</v>
      </c>
      <c r="F110" s="5" t="s">
        <v>3858</v>
      </c>
      <c r="G110" s="6" t="s">
        <v>14</v>
      </c>
      <c r="H110" s="4">
        <v>8</v>
      </c>
      <c r="I110" s="5"/>
      <c r="J110" s="5" t="s">
        <v>3859</v>
      </c>
      <c r="K110" s="5" t="s">
        <v>3860</v>
      </c>
      <c r="L110" s="5"/>
      <c r="M110" s="5" t="s">
        <v>2598</v>
      </c>
      <c r="N110" s="5" t="s">
        <v>2598</v>
      </c>
      <c r="O110" s="5" t="s">
        <v>3838</v>
      </c>
      <c r="P110" s="5"/>
      <c r="Q110" s="5" t="s">
        <v>3861</v>
      </c>
    </row>
    <row r="111" spans="2:17" x14ac:dyDescent="0.2">
      <c r="B111" s="5" t="s">
        <v>3834</v>
      </c>
      <c r="C111" s="6" t="s">
        <v>13588</v>
      </c>
      <c r="D111" s="4">
        <v>19</v>
      </c>
      <c r="E111" s="5" t="s">
        <v>20</v>
      </c>
      <c r="F111" s="5" t="s">
        <v>3862</v>
      </c>
      <c r="G111" s="6" t="s">
        <v>14</v>
      </c>
      <c r="H111" s="4">
        <v>9</v>
      </c>
      <c r="I111" s="5" t="s">
        <v>22</v>
      </c>
      <c r="J111" s="5" t="s">
        <v>3867</v>
      </c>
      <c r="K111" s="5" t="s">
        <v>3868</v>
      </c>
      <c r="L111" s="5"/>
      <c r="M111" s="5" t="s">
        <v>342</v>
      </c>
      <c r="N111" s="5" t="s">
        <v>330</v>
      </c>
      <c r="O111" s="5" t="s">
        <v>3838</v>
      </c>
      <c r="P111" s="5"/>
      <c r="Q111" s="5" t="s">
        <v>3869</v>
      </c>
    </row>
    <row r="112" spans="2:17" x14ac:dyDescent="0.2">
      <c r="B112" s="5" t="s">
        <v>3834</v>
      </c>
      <c r="C112" s="6" t="s">
        <v>13588</v>
      </c>
      <c r="D112" s="4">
        <v>22</v>
      </c>
      <c r="E112" s="5" t="s">
        <v>32</v>
      </c>
      <c r="F112" s="5" t="s">
        <v>3845</v>
      </c>
      <c r="G112" s="6" t="s">
        <v>14</v>
      </c>
      <c r="H112" s="4">
        <v>10</v>
      </c>
      <c r="I112" s="5" t="s">
        <v>22</v>
      </c>
      <c r="J112" s="5" t="s">
        <v>3846</v>
      </c>
      <c r="K112" s="5" t="s">
        <v>3847</v>
      </c>
      <c r="L112" s="5"/>
      <c r="M112" s="5" t="s">
        <v>2891</v>
      </c>
      <c r="N112" s="5" t="s">
        <v>1258</v>
      </c>
      <c r="O112" s="5" t="s">
        <v>3848</v>
      </c>
      <c r="P112" s="5" t="s">
        <v>3849</v>
      </c>
      <c r="Q112" s="5" t="s">
        <v>3850</v>
      </c>
    </row>
    <row r="113" spans="2:17" x14ac:dyDescent="0.2">
      <c r="B113" s="5" t="s">
        <v>3834</v>
      </c>
      <c r="C113" s="6" t="s">
        <v>13588</v>
      </c>
      <c r="D113" s="4">
        <v>23</v>
      </c>
      <c r="E113" s="5" t="s">
        <v>32</v>
      </c>
      <c r="F113" s="5" t="s">
        <v>3845</v>
      </c>
      <c r="G113" s="6" t="s">
        <v>14</v>
      </c>
      <c r="H113" s="4">
        <v>11</v>
      </c>
      <c r="I113" s="5" t="s">
        <v>38</v>
      </c>
      <c r="J113" s="5" t="s">
        <v>3851</v>
      </c>
      <c r="K113" s="5" t="s">
        <v>3852</v>
      </c>
      <c r="L113" s="5"/>
      <c r="M113" s="5" t="s">
        <v>2891</v>
      </c>
      <c r="N113" s="5" t="s">
        <v>1258</v>
      </c>
      <c r="O113" s="5" t="s">
        <v>3853</v>
      </c>
      <c r="P113" s="5"/>
      <c r="Q113" s="5" t="s">
        <v>3854</v>
      </c>
    </row>
    <row r="114" spans="2:17" x14ac:dyDescent="0.2">
      <c r="B114" s="5" t="s">
        <v>3834</v>
      </c>
      <c r="C114" s="6" t="s">
        <v>13588</v>
      </c>
      <c r="D114" s="4">
        <v>24</v>
      </c>
      <c r="E114" s="5" t="s">
        <v>82</v>
      </c>
      <c r="F114" s="5" t="s">
        <v>3835</v>
      </c>
      <c r="G114" s="6" t="s">
        <v>14</v>
      </c>
      <c r="H114" s="4">
        <v>12</v>
      </c>
      <c r="I114" s="5"/>
      <c r="J114" s="5" t="s">
        <v>3836</v>
      </c>
      <c r="K114" s="5" t="s">
        <v>3837</v>
      </c>
      <c r="L114" s="5"/>
      <c r="M114" s="5" t="s">
        <v>1915</v>
      </c>
      <c r="N114" s="5" t="s">
        <v>1915</v>
      </c>
      <c r="O114" s="5" t="s">
        <v>3838</v>
      </c>
      <c r="P114" s="5"/>
      <c r="Q114" s="5" t="s">
        <v>3839</v>
      </c>
    </row>
    <row r="115" spans="2:17" x14ac:dyDescent="0.2">
      <c r="B115" s="5" t="s">
        <v>3834</v>
      </c>
      <c r="C115" s="6" t="s">
        <v>13588</v>
      </c>
      <c r="D115" s="4">
        <v>25</v>
      </c>
      <c r="E115" s="5" t="s">
        <v>15</v>
      </c>
      <c r="F115" s="5" t="s">
        <v>3875</v>
      </c>
      <c r="G115" s="6" t="s">
        <v>14</v>
      </c>
      <c r="H115" s="4">
        <v>13</v>
      </c>
      <c r="I115" s="5"/>
      <c r="J115" s="5" t="s">
        <v>3876</v>
      </c>
      <c r="K115" s="5" t="s">
        <v>3877</v>
      </c>
      <c r="L115" s="5"/>
      <c r="M115" s="5" t="s">
        <v>2134</v>
      </c>
      <c r="N115" s="5" t="s">
        <v>2134</v>
      </c>
      <c r="O115" s="5" t="s">
        <v>3838</v>
      </c>
      <c r="P115" s="5"/>
      <c r="Q115" s="5" t="s">
        <v>3878</v>
      </c>
    </row>
    <row r="116" spans="2:17" x14ac:dyDescent="0.2">
      <c r="B116" s="5" t="s">
        <v>3834</v>
      </c>
      <c r="C116" s="6" t="s">
        <v>13588</v>
      </c>
      <c r="D116" s="4">
        <v>26</v>
      </c>
      <c r="E116" s="5" t="s">
        <v>24</v>
      </c>
      <c r="F116" s="5" t="s">
        <v>3872</v>
      </c>
      <c r="G116" s="6" t="s">
        <v>14</v>
      </c>
      <c r="H116" s="4">
        <v>14</v>
      </c>
      <c r="I116" s="5"/>
      <c r="J116" s="5" t="s">
        <v>3873</v>
      </c>
      <c r="K116" s="5" t="s">
        <v>3842</v>
      </c>
      <c r="L116" s="5"/>
      <c r="M116" s="5" t="s">
        <v>366</v>
      </c>
      <c r="N116" s="5" t="s">
        <v>366</v>
      </c>
      <c r="O116" s="5" t="s">
        <v>3838</v>
      </c>
      <c r="P116" s="5"/>
      <c r="Q116" s="5" t="s">
        <v>3874</v>
      </c>
    </row>
    <row r="117" spans="2:17" x14ac:dyDescent="0.2">
      <c r="B117" s="5" t="s">
        <v>3916</v>
      </c>
      <c r="C117" s="6" t="s">
        <v>13588</v>
      </c>
      <c r="D117" s="4">
        <v>28</v>
      </c>
      <c r="E117" s="5" t="s">
        <v>82</v>
      </c>
      <c r="F117" s="5" t="s">
        <v>3937</v>
      </c>
      <c r="G117" s="6" t="s">
        <v>14</v>
      </c>
      <c r="H117" s="4">
        <v>15</v>
      </c>
      <c r="I117" s="5"/>
      <c r="J117" s="5"/>
      <c r="K117" s="5" t="s">
        <v>3920</v>
      </c>
      <c r="L117" s="5"/>
      <c r="M117" s="5" t="s">
        <v>215</v>
      </c>
      <c r="N117" s="5" t="s">
        <v>215</v>
      </c>
      <c r="O117" s="5" t="s">
        <v>3918</v>
      </c>
      <c r="P117" s="5"/>
      <c r="Q117" s="5" t="s">
        <v>3938</v>
      </c>
    </row>
    <row r="118" spans="2:17" x14ac:dyDescent="0.2">
      <c r="B118" s="5" t="s">
        <v>3916</v>
      </c>
      <c r="C118" s="6" t="s">
        <v>13588</v>
      </c>
      <c r="D118" s="4">
        <v>29</v>
      </c>
      <c r="E118" s="5" t="s">
        <v>24</v>
      </c>
      <c r="F118" s="5" t="s">
        <v>3935</v>
      </c>
      <c r="G118" s="6" t="s">
        <v>14</v>
      </c>
      <c r="H118" s="4">
        <v>16</v>
      </c>
      <c r="I118" s="5"/>
      <c r="J118" s="5" t="s">
        <v>3935</v>
      </c>
      <c r="K118" s="5" t="s">
        <v>3919</v>
      </c>
      <c r="L118" s="5"/>
      <c r="M118" s="5" t="s">
        <v>468</v>
      </c>
      <c r="N118" s="5" t="s">
        <v>468</v>
      </c>
      <c r="O118" s="5" t="s">
        <v>3918</v>
      </c>
      <c r="P118" s="5"/>
      <c r="Q118" s="5" t="s">
        <v>3936</v>
      </c>
    </row>
    <row r="119" spans="2:17" x14ac:dyDescent="0.2">
      <c r="B119" s="5" t="s">
        <v>3916</v>
      </c>
      <c r="C119" s="6" t="s">
        <v>13588</v>
      </c>
      <c r="D119" s="4">
        <v>30</v>
      </c>
      <c r="E119" s="5" t="s">
        <v>32</v>
      </c>
      <c r="F119" s="5" t="s">
        <v>3932</v>
      </c>
      <c r="G119" s="6" t="s">
        <v>14</v>
      </c>
      <c r="H119" s="4">
        <v>17</v>
      </c>
      <c r="I119" s="5" t="s">
        <v>38</v>
      </c>
      <c r="J119" s="5" t="s">
        <v>3933</v>
      </c>
      <c r="K119" s="5" t="s">
        <v>3917</v>
      </c>
      <c r="L119" s="5"/>
      <c r="M119" s="5" t="s">
        <v>412</v>
      </c>
      <c r="N119" s="5" t="s">
        <v>412</v>
      </c>
      <c r="O119" s="5" t="s">
        <v>3918</v>
      </c>
      <c r="P119" s="5"/>
      <c r="Q119" s="5" t="s">
        <v>3934</v>
      </c>
    </row>
    <row r="120" spans="2:17" x14ac:dyDescent="0.2">
      <c r="B120" s="5" t="s">
        <v>3916</v>
      </c>
      <c r="C120" s="6" t="s">
        <v>13588</v>
      </c>
      <c r="D120" s="4">
        <v>31</v>
      </c>
      <c r="E120" s="5" t="s">
        <v>82</v>
      </c>
      <c r="F120" s="5" t="s">
        <v>3925</v>
      </c>
      <c r="G120" s="6" t="s">
        <v>14</v>
      </c>
      <c r="H120" s="4">
        <v>18</v>
      </c>
      <c r="I120" s="5"/>
      <c r="J120" s="5"/>
      <c r="K120" s="5" t="s">
        <v>3920</v>
      </c>
      <c r="L120" s="5"/>
      <c r="M120" s="5" t="s">
        <v>1262</v>
      </c>
      <c r="N120" s="5" t="s">
        <v>1262</v>
      </c>
      <c r="O120" s="5" t="s">
        <v>3918</v>
      </c>
      <c r="P120" s="5"/>
      <c r="Q120" s="5" t="s">
        <v>3926</v>
      </c>
    </row>
    <row r="121" spans="2:17" x14ac:dyDescent="0.2">
      <c r="B121" s="5" t="s">
        <v>3916</v>
      </c>
      <c r="C121" s="6" t="s">
        <v>13588</v>
      </c>
      <c r="D121" s="4">
        <v>32</v>
      </c>
      <c r="E121" s="5" t="s">
        <v>82</v>
      </c>
      <c r="F121" s="5" t="s">
        <v>3923</v>
      </c>
      <c r="G121" s="6" t="s">
        <v>14</v>
      </c>
      <c r="H121" s="4">
        <v>19</v>
      </c>
      <c r="I121" s="5"/>
      <c r="J121" s="5"/>
      <c r="K121" s="5" t="s">
        <v>3920</v>
      </c>
      <c r="L121" s="5"/>
      <c r="M121" s="5" t="s">
        <v>1247</v>
      </c>
      <c r="N121" s="5" t="s">
        <v>1247</v>
      </c>
      <c r="O121" s="5" t="s">
        <v>3918</v>
      </c>
      <c r="P121" s="5"/>
      <c r="Q121" s="5" t="s">
        <v>3924</v>
      </c>
    </row>
    <row r="122" spans="2:17" x14ac:dyDescent="0.2">
      <c r="B122" s="5" t="s">
        <v>3916</v>
      </c>
      <c r="C122" s="6" t="s">
        <v>13588</v>
      </c>
      <c r="D122" s="4">
        <v>33</v>
      </c>
      <c r="E122" s="5" t="s">
        <v>82</v>
      </c>
      <c r="F122" s="5" t="s">
        <v>3921</v>
      </c>
      <c r="G122" s="6" t="s">
        <v>14</v>
      </c>
      <c r="H122" s="4">
        <v>20</v>
      </c>
      <c r="I122" s="5"/>
      <c r="J122" s="5"/>
      <c r="K122" s="5" t="s">
        <v>3920</v>
      </c>
      <c r="L122" s="5"/>
      <c r="M122" s="5" t="s">
        <v>2807</v>
      </c>
      <c r="N122" s="5" t="s">
        <v>2807</v>
      </c>
      <c r="O122" s="5" t="s">
        <v>3918</v>
      </c>
      <c r="P122" s="5"/>
      <c r="Q122" s="5" t="s">
        <v>3922</v>
      </c>
    </row>
    <row r="123" spans="2:17" x14ac:dyDescent="0.2">
      <c r="B123" s="5" t="s">
        <v>3916</v>
      </c>
      <c r="C123" s="6" t="s">
        <v>13588</v>
      </c>
      <c r="D123" s="4">
        <v>35</v>
      </c>
      <c r="E123" s="5" t="s">
        <v>82</v>
      </c>
      <c r="F123" s="5" t="s">
        <v>3939</v>
      </c>
      <c r="G123" s="6" t="s">
        <v>14</v>
      </c>
      <c r="H123" s="4">
        <v>21</v>
      </c>
      <c r="I123" s="5"/>
      <c r="J123" s="5"/>
      <c r="K123" s="5" t="s">
        <v>3920</v>
      </c>
      <c r="L123" s="5"/>
      <c r="M123" s="5" t="s">
        <v>219</v>
      </c>
      <c r="N123" s="5" t="s">
        <v>219</v>
      </c>
      <c r="O123" s="5" t="s">
        <v>3918</v>
      </c>
      <c r="P123" s="5"/>
      <c r="Q123" s="5" t="s">
        <v>3940</v>
      </c>
    </row>
    <row r="124" spans="2:17" x14ac:dyDescent="0.2">
      <c r="B124" s="5" t="s">
        <v>3945</v>
      </c>
      <c r="C124" s="6" t="s">
        <v>13588</v>
      </c>
      <c r="D124" s="4">
        <v>38</v>
      </c>
      <c r="E124" s="5" t="s">
        <v>20</v>
      </c>
      <c r="F124" s="5" t="s">
        <v>3987</v>
      </c>
      <c r="G124" s="6" t="s">
        <v>14</v>
      </c>
      <c r="H124" s="4">
        <v>22</v>
      </c>
      <c r="I124" s="5" t="s">
        <v>22</v>
      </c>
      <c r="J124" s="5" t="s">
        <v>3956</v>
      </c>
      <c r="K124" s="5" t="s">
        <v>3988</v>
      </c>
      <c r="L124" s="5"/>
      <c r="M124" s="5" t="s">
        <v>506</v>
      </c>
      <c r="N124" s="5" t="s">
        <v>2421</v>
      </c>
      <c r="O124" s="5" t="s">
        <v>3958</v>
      </c>
      <c r="P124" s="5"/>
      <c r="Q124" s="5" t="s">
        <v>3989</v>
      </c>
    </row>
    <row r="125" spans="2:17" x14ac:dyDescent="0.2">
      <c r="B125" s="5" t="s">
        <v>3945</v>
      </c>
      <c r="C125" s="6" t="s">
        <v>13588</v>
      </c>
      <c r="D125" s="4">
        <v>39</v>
      </c>
      <c r="E125" s="5" t="s">
        <v>20</v>
      </c>
      <c r="F125" s="5" t="s">
        <v>3951</v>
      </c>
      <c r="G125" s="6" t="s">
        <v>14</v>
      </c>
      <c r="H125" s="4">
        <v>23</v>
      </c>
      <c r="I125" s="5" t="s">
        <v>22</v>
      </c>
      <c r="J125" s="5" t="s">
        <v>3952</v>
      </c>
      <c r="K125" s="5" t="s">
        <v>3953</v>
      </c>
      <c r="L125" s="5"/>
      <c r="M125" s="5" t="s">
        <v>1750</v>
      </c>
      <c r="N125" s="5" t="s">
        <v>1928</v>
      </c>
      <c r="O125" s="5" t="s">
        <v>3954</v>
      </c>
      <c r="P125" s="5"/>
      <c r="Q125" s="5" t="s">
        <v>3955</v>
      </c>
    </row>
    <row r="126" spans="2:17" x14ac:dyDescent="0.2">
      <c r="B126" s="5" t="s">
        <v>3945</v>
      </c>
      <c r="C126" s="6" t="s">
        <v>13588</v>
      </c>
      <c r="D126" s="4">
        <v>40</v>
      </c>
      <c r="E126" s="5" t="s">
        <v>20</v>
      </c>
      <c r="F126" s="5" t="s">
        <v>3951</v>
      </c>
      <c r="G126" s="6" t="s">
        <v>14</v>
      </c>
      <c r="H126" s="4">
        <v>24</v>
      </c>
      <c r="I126" s="5" t="s">
        <v>22</v>
      </c>
      <c r="J126" s="5" t="s">
        <v>3956</v>
      </c>
      <c r="K126" s="5" t="s">
        <v>3957</v>
      </c>
      <c r="L126" s="5"/>
      <c r="M126" s="5" t="s">
        <v>1750</v>
      </c>
      <c r="N126" s="5" t="s">
        <v>1928</v>
      </c>
      <c r="O126" s="5" t="s">
        <v>3958</v>
      </c>
      <c r="P126" s="5"/>
      <c r="Q126" s="5" t="s">
        <v>3959</v>
      </c>
    </row>
    <row r="127" spans="2:17" x14ac:dyDescent="0.2">
      <c r="B127" s="5" t="s">
        <v>3945</v>
      </c>
      <c r="C127" s="6" t="s">
        <v>13588</v>
      </c>
      <c r="D127" s="4">
        <v>41</v>
      </c>
      <c r="E127" s="5" t="s">
        <v>20</v>
      </c>
      <c r="F127" s="5" t="s">
        <v>3951</v>
      </c>
      <c r="G127" s="6" t="s">
        <v>14</v>
      </c>
      <c r="H127" s="4">
        <v>25</v>
      </c>
      <c r="I127" s="5" t="s">
        <v>22</v>
      </c>
      <c r="J127" s="5" t="s">
        <v>3960</v>
      </c>
      <c r="K127" s="5" t="s">
        <v>3961</v>
      </c>
      <c r="L127" s="5"/>
      <c r="M127" s="5" t="s">
        <v>1750</v>
      </c>
      <c r="N127" s="5" t="s">
        <v>1928</v>
      </c>
      <c r="O127" s="5" t="s">
        <v>3949</v>
      </c>
      <c r="P127" s="5"/>
      <c r="Q127" s="5" t="s">
        <v>3962</v>
      </c>
    </row>
    <row r="128" spans="2:17" x14ac:dyDescent="0.2">
      <c r="B128" s="5" t="s">
        <v>3945</v>
      </c>
      <c r="C128" s="6" t="s">
        <v>13588</v>
      </c>
      <c r="D128" s="4">
        <v>42</v>
      </c>
      <c r="E128" s="5" t="s">
        <v>20</v>
      </c>
      <c r="F128" s="5" t="s">
        <v>3951</v>
      </c>
      <c r="G128" s="6" t="s">
        <v>14</v>
      </c>
      <c r="H128" s="4">
        <v>26</v>
      </c>
      <c r="I128" s="5" t="s">
        <v>38</v>
      </c>
      <c r="J128" s="5" t="s">
        <v>3963</v>
      </c>
      <c r="K128" s="5" t="s">
        <v>3964</v>
      </c>
      <c r="L128" s="5"/>
      <c r="M128" s="5" t="s">
        <v>1750</v>
      </c>
      <c r="N128" s="5" t="s">
        <v>1928</v>
      </c>
      <c r="O128" s="5" t="s">
        <v>3954</v>
      </c>
      <c r="P128" s="5"/>
      <c r="Q128" s="5" t="s">
        <v>3965</v>
      </c>
    </row>
    <row r="129" spans="2:17" x14ac:dyDescent="0.2">
      <c r="B129" s="5" t="s">
        <v>3945</v>
      </c>
      <c r="C129" s="6" t="s">
        <v>13588</v>
      </c>
      <c r="D129" s="4">
        <v>43</v>
      </c>
      <c r="E129" s="5" t="s">
        <v>20</v>
      </c>
      <c r="F129" s="5" t="s">
        <v>3951</v>
      </c>
      <c r="G129" s="6" t="s">
        <v>14</v>
      </c>
      <c r="H129" s="4">
        <v>27</v>
      </c>
      <c r="I129" s="5" t="s">
        <v>38</v>
      </c>
      <c r="J129" s="5" t="s">
        <v>3966</v>
      </c>
      <c r="K129" s="5" t="s">
        <v>3967</v>
      </c>
      <c r="L129" s="5"/>
      <c r="M129" s="5" t="s">
        <v>1750</v>
      </c>
      <c r="N129" s="5" t="s">
        <v>1928</v>
      </c>
      <c r="O129" s="5" t="s">
        <v>3954</v>
      </c>
      <c r="P129" s="5"/>
      <c r="Q129" s="5" t="s">
        <v>3968</v>
      </c>
    </row>
    <row r="130" spans="2:17" x14ac:dyDescent="0.2">
      <c r="B130" s="5" t="s">
        <v>3945</v>
      </c>
      <c r="C130" s="6" t="s">
        <v>13588</v>
      </c>
      <c r="D130" s="4">
        <v>44</v>
      </c>
      <c r="E130" s="5" t="s">
        <v>20</v>
      </c>
      <c r="F130" s="5" t="s">
        <v>3951</v>
      </c>
      <c r="G130" s="6" t="s">
        <v>14</v>
      </c>
      <c r="H130" s="4">
        <v>28</v>
      </c>
      <c r="I130" s="5" t="s">
        <v>38</v>
      </c>
      <c r="J130" s="5" t="s">
        <v>3969</v>
      </c>
      <c r="K130" s="5" t="s">
        <v>3970</v>
      </c>
      <c r="L130" s="5"/>
      <c r="M130" s="5" t="s">
        <v>1750</v>
      </c>
      <c r="N130" s="5" t="s">
        <v>1928</v>
      </c>
      <c r="O130" s="5"/>
      <c r="P130" s="5"/>
      <c r="Q130" s="5" t="s">
        <v>3971</v>
      </c>
    </row>
    <row r="131" spans="2:17" x14ac:dyDescent="0.2">
      <c r="B131" s="5" t="s">
        <v>3945</v>
      </c>
      <c r="C131" s="6" t="s">
        <v>13588</v>
      </c>
      <c r="D131" s="4">
        <v>45</v>
      </c>
      <c r="E131" s="5" t="s">
        <v>20</v>
      </c>
      <c r="F131" s="5" t="s">
        <v>3951</v>
      </c>
      <c r="G131" s="6" t="s">
        <v>14</v>
      </c>
      <c r="H131" s="4">
        <v>29</v>
      </c>
      <c r="I131" s="5" t="s">
        <v>38</v>
      </c>
      <c r="J131" s="5" t="s">
        <v>3972</v>
      </c>
      <c r="K131" s="5" t="s">
        <v>3973</v>
      </c>
      <c r="L131" s="5"/>
      <c r="M131" s="5" t="s">
        <v>1750</v>
      </c>
      <c r="N131" s="5" t="s">
        <v>1928</v>
      </c>
      <c r="O131" s="5" t="s">
        <v>3974</v>
      </c>
      <c r="P131" s="5"/>
      <c r="Q131" s="5" t="s">
        <v>3975</v>
      </c>
    </row>
    <row r="132" spans="2:17" x14ac:dyDescent="0.2">
      <c r="B132" s="5" t="s">
        <v>3945</v>
      </c>
      <c r="C132" s="6" t="s">
        <v>13588</v>
      </c>
      <c r="D132" s="4">
        <v>46</v>
      </c>
      <c r="E132" s="5" t="s">
        <v>20</v>
      </c>
      <c r="F132" s="5" t="s">
        <v>3951</v>
      </c>
      <c r="G132" s="6" t="s">
        <v>14</v>
      </c>
      <c r="H132" s="4">
        <v>30</v>
      </c>
      <c r="I132" s="5" t="s">
        <v>38</v>
      </c>
      <c r="J132" s="5" t="s">
        <v>3976</v>
      </c>
      <c r="K132" s="5" t="s">
        <v>3977</v>
      </c>
      <c r="L132" s="5"/>
      <c r="M132" s="5" t="s">
        <v>1750</v>
      </c>
      <c r="N132" s="5" t="s">
        <v>1928</v>
      </c>
      <c r="O132" s="5" t="s">
        <v>3974</v>
      </c>
      <c r="P132" s="5"/>
      <c r="Q132" s="5" t="s">
        <v>3978</v>
      </c>
    </row>
    <row r="133" spans="2:17" x14ac:dyDescent="0.2">
      <c r="B133" s="5" t="s">
        <v>3945</v>
      </c>
      <c r="C133" s="6" t="s">
        <v>13588</v>
      </c>
      <c r="D133" s="4">
        <v>47</v>
      </c>
      <c r="E133" s="5" t="s">
        <v>20</v>
      </c>
      <c r="F133" s="5" t="s">
        <v>3951</v>
      </c>
      <c r="G133" s="6" t="s">
        <v>14</v>
      </c>
      <c r="H133" s="4">
        <v>31</v>
      </c>
      <c r="I133" s="5" t="s">
        <v>38</v>
      </c>
      <c r="J133" s="5" t="s">
        <v>3979</v>
      </c>
      <c r="K133" s="5" t="s">
        <v>3980</v>
      </c>
      <c r="L133" s="5"/>
      <c r="M133" s="5" t="s">
        <v>1750</v>
      </c>
      <c r="N133" s="5" t="s">
        <v>1928</v>
      </c>
      <c r="O133" s="5" t="s">
        <v>3949</v>
      </c>
      <c r="P133" s="5"/>
      <c r="Q133" s="5" t="s">
        <v>3981</v>
      </c>
    </row>
    <row r="134" spans="2:17" x14ac:dyDescent="0.2">
      <c r="B134" s="5" t="s">
        <v>3945</v>
      </c>
      <c r="C134" s="6" t="s">
        <v>13588</v>
      </c>
      <c r="D134" s="4">
        <v>48</v>
      </c>
      <c r="E134" s="5" t="s">
        <v>20</v>
      </c>
      <c r="F134" s="5" t="s">
        <v>3951</v>
      </c>
      <c r="G134" s="6" t="s">
        <v>14</v>
      </c>
      <c r="H134" s="4">
        <v>32</v>
      </c>
      <c r="I134" s="5" t="s">
        <v>38</v>
      </c>
      <c r="J134" s="5" t="s">
        <v>3982</v>
      </c>
      <c r="K134" s="5" t="s">
        <v>3957</v>
      </c>
      <c r="L134" s="5"/>
      <c r="M134" s="5" t="s">
        <v>1750</v>
      </c>
      <c r="N134" s="5" t="s">
        <v>1928</v>
      </c>
      <c r="O134" s="5" t="s">
        <v>3958</v>
      </c>
      <c r="P134" s="5"/>
      <c r="Q134" s="5" t="s">
        <v>3983</v>
      </c>
    </row>
    <row r="135" spans="2:17" x14ac:dyDescent="0.2">
      <c r="B135" s="5" t="s">
        <v>3945</v>
      </c>
      <c r="C135" s="6" t="s">
        <v>13588</v>
      </c>
      <c r="D135" s="4">
        <v>49</v>
      </c>
      <c r="E135" s="5" t="s">
        <v>20</v>
      </c>
      <c r="F135" s="5" t="s">
        <v>3951</v>
      </c>
      <c r="G135" s="6" t="s">
        <v>14</v>
      </c>
      <c r="H135" s="4">
        <v>33</v>
      </c>
      <c r="I135" s="5" t="s">
        <v>38</v>
      </c>
      <c r="J135" s="5" t="s">
        <v>3984</v>
      </c>
      <c r="K135" s="5" t="s">
        <v>3985</v>
      </c>
      <c r="L135" s="5"/>
      <c r="M135" s="5" t="s">
        <v>1750</v>
      </c>
      <c r="N135" s="5" t="s">
        <v>1928</v>
      </c>
      <c r="O135" s="5"/>
      <c r="P135" s="5"/>
      <c r="Q135" s="5" t="s">
        <v>3986</v>
      </c>
    </row>
    <row r="136" spans="2:17" x14ac:dyDescent="0.2">
      <c r="B136" s="5" t="s">
        <v>3945</v>
      </c>
      <c r="C136" s="6" t="s">
        <v>13588</v>
      </c>
      <c r="D136" s="4">
        <v>50</v>
      </c>
      <c r="E136" s="5" t="s">
        <v>32</v>
      </c>
      <c r="F136" s="5" t="s">
        <v>3946</v>
      </c>
      <c r="G136" s="6" t="s">
        <v>14</v>
      </c>
      <c r="H136" s="4">
        <v>34</v>
      </c>
      <c r="I136" s="5" t="s">
        <v>22</v>
      </c>
      <c r="J136" s="5" t="s">
        <v>3947</v>
      </c>
      <c r="K136" s="5" t="s">
        <v>3948</v>
      </c>
      <c r="L136" s="5"/>
      <c r="M136" s="5" t="s">
        <v>573</v>
      </c>
      <c r="N136" s="5" t="s">
        <v>1262</v>
      </c>
      <c r="O136" s="5" t="s">
        <v>3949</v>
      </c>
      <c r="P136" s="5"/>
      <c r="Q136" s="5" t="s">
        <v>3950</v>
      </c>
    </row>
    <row r="137" spans="2:17" x14ac:dyDescent="0.2">
      <c r="B137" s="5" t="s">
        <v>3990</v>
      </c>
      <c r="C137" s="6" t="s">
        <v>13588</v>
      </c>
      <c r="D137" s="4">
        <v>51</v>
      </c>
      <c r="E137" s="5" t="s">
        <v>32</v>
      </c>
      <c r="F137" s="5" t="s">
        <v>4039</v>
      </c>
      <c r="G137" s="6" t="s">
        <v>14</v>
      </c>
      <c r="H137" s="4">
        <v>35</v>
      </c>
      <c r="I137" s="5" t="s">
        <v>22</v>
      </c>
      <c r="J137" s="5" t="s">
        <v>4040</v>
      </c>
      <c r="K137" s="5" t="s">
        <v>3993</v>
      </c>
      <c r="L137" s="5"/>
      <c r="M137" s="5" t="s">
        <v>2198</v>
      </c>
      <c r="N137" s="5" t="s">
        <v>1634</v>
      </c>
      <c r="O137" s="5" t="s">
        <v>3994</v>
      </c>
      <c r="P137" s="5"/>
      <c r="Q137" s="5" t="s">
        <v>4041</v>
      </c>
    </row>
    <row r="138" spans="2:17" x14ac:dyDescent="0.2">
      <c r="B138" s="5" t="s">
        <v>3990</v>
      </c>
      <c r="C138" s="6" t="s">
        <v>13588</v>
      </c>
      <c r="D138" s="4">
        <v>52</v>
      </c>
      <c r="E138" s="5" t="s">
        <v>32</v>
      </c>
      <c r="F138" s="5" t="s">
        <v>4039</v>
      </c>
      <c r="G138" s="6" t="s">
        <v>14</v>
      </c>
      <c r="H138" s="4">
        <v>36</v>
      </c>
      <c r="I138" s="5" t="s">
        <v>38</v>
      </c>
      <c r="J138" s="5" t="s">
        <v>4042</v>
      </c>
      <c r="K138" s="5" t="s">
        <v>4043</v>
      </c>
      <c r="L138" s="5"/>
      <c r="M138" s="5" t="s">
        <v>2198</v>
      </c>
      <c r="N138" s="5" t="s">
        <v>1634</v>
      </c>
      <c r="O138" s="5" t="s">
        <v>3994</v>
      </c>
      <c r="P138" s="5"/>
      <c r="Q138" s="5" t="s">
        <v>4044</v>
      </c>
    </row>
    <row r="139" spans="2:17" x14ac:dyDescent="0.2">
      <c r="B139" s="5" t="s">
        <v>3990</v>
      </c>
      <c r="C139" s="6" t="s">
        <v>13588</v>
      </c>
      <c r="D139" s="4">
        <v>53</v>
      </c>
      <c r="E139" s="5" t="s">
        <v>32</v>
      </c>
      <c r="F139" s="5" t="s">
        <v>4045</v>
      </c>
      <c r="G139" s="6" t="s">
        <v>14</v>
      </c>
      <c r="H139" s="4">
        <v>37</v>
      </c>
      <c r="I139" s="5" t="s">
        <v>38</v>
      </c>
      <c r="J139" s="5" t="s">
        <v>4046</v>
      </c>
      <c r="K139" s="5" t="s">
        <v>4047</v>
      </c>
      <c r="L139" s="5"/>
      <c r="M139" s="5" t="s">
        <v>2198</v>
      </c>
      <c r="N139" s="5" t="s">
        <v>1634</v>
      </c>
      <c r="O139" s="5" t="s">
        <v>3994</v>
      </c>
      <c r="P139" s="5"/>
      <c r="Q139" s="5" t="s">
        <v>4048</v>
      </c>
    </row>
    <row r="140" spans="2:17" x14ac:dyDescent="0.2">
      <c r="B140" s="5" t="s">
        <v>3990</v>
      </c>
      <c r="C140" s="6" t="s">
        <v>13588</v>
      </c>
      <c r="D140" s="4">
        <v>55</v>
      </c>
      <c r="E140" s="5" t="s">
        <v>32</v>
      </c>
      <c r="F140" s="5" t="s">
        <v>4000</v>
      </c>
      <c r="G140" s="6" t="s">
        <v>14</v>
      </c>
      <c r="H140" s="4">
        <v>38</v>
      </c>
      <c r="I140" s="5" t="s">
        <v>38</v>
      </c>
      <c r="J140" s="5" t="s">
        <v>4001</v>
      </c>
      <c r="K140" s="5" t="s">
        <v>4002</v>
      </c>
      <c r="L140" s="5" t="s">
        <v>4003</v>
      </c>
      <c r="M140" s="5" t="s">
        <v>283</v>
      </c>
      <c r="N140" s="5" t="s">
        <v>284</v>
      </c>
      <c r="O140" s="5" t="s">
        <v>3992</v>
      </c>
      <c r="P140" s="5"/>
      <c r="Q140" s="5" t="s">
        <v>4004</v>
      </c>
    </row>
    <row r="141" spans="2:17" x14ac:dyDescent="0.2">
      <c r="B141" s="5" t="s">
        <v>3990</v>
      </c>
      <c r="C141" s="6" t="s">
        <v>13588</v>
      </c>
      <c r="D141" s="4">
        <v>56</v>
      </c>
      <c r="E141" s="5" t="s">
        <v>32</v>
      </c>
      <c r="F141" s="5" t="s">
        <v>4000</v>
      </c>
      <c r="G141" s="6" t="s">
        <v>14</v>
      </c>
      <c r="H141" s="4">
        <v>39</v>
      </c>
      <c r="I141" s="5" t="s">
        <v>38</v>
      </c>
      <c r="J141" s="5" t="s">
        <v>4005</v>
      </c>
      <c r="K141" s="5" t="s">
        <v>4006</v>
      </c>
      <c r="L141" s="5" t="s">
        <v>4007</v>
      </c>
      <c r="M141" s="5" t="s">
        <v>283</v>
      </c>
      <c r="N141" s="5" t="s">
        <v>284</v>
      </c>
      <c r="O141" s="5" t="s">
        <v>3992</v>
      </c>
      <c r="P141" s="5"/>
      <c r="Q141" s="5" t="s">
        <v>4008</v>
      </c>
    </row>
    <row r="142" spans="2:17" x14ac:dyDescent="0.2">
      <c r="B142" s="5" t="s">
        <v>3990</v>
      </c>
      <c r="C142" s="6" t="s">
        <v>13588</v>
      </c>
      <c r="D142" s="4">
        <v>57</v>
      </c>
      <c r="E142" s="5" t="s">
        <v>32</v>
      </c>
      <c r="F142" s="5" t="s">
        <v>4000</v>
      </c>
      <c r="G142" s="6" t="s">
        <v>14</v>
      </c>
      <c r="H142" s="4">
        <v>40</v>
      </c>
      <c r="I142" s="5" t="s">
        <v>38</v>
      </c>
      <c r="J142" s="5" t="s">
        <v>4009</v>
      </c>
      <c r="K142" s="5" t="s">
        <v>4010</v>
      </c>
      <c r="L142" s="5" t="s">
        <v>4011</v>
      </c>
      <c r="M142" s="5" t="s">
        <v>283</v>
      </c>
      <c r="N142" s="5" t="s">
        <v>284</v>
      </c>
      <c r="O142" s="5" t="s">
        <v>3992</v>
      </c>
      <c r="P142" s="5"/>
      <c r="Q142" s="5" t="s">
        <v>4012</v>
      </c>
    </row>
    <row r="143" spans="2:17" x14ac:dyDescent="0.2">
      <c r="B143" s="5" t="s">
        <v>3990</v>
      </c>
      <c r="C143" s="6" t="s">
        <v>13588</v>
      </c>
      <c r="D143" s="4">
        <v>58</v>
      </c>
      <c r="E143" s="5" t="s">
        <v>32</v>
      </c>
      <c r="F143" s="5" t="s">
        <v>4000</v>
      </c>
      <c r="G143" s="6" t="s">
        <v>14</v>
      </c>
      <c r="H143" s="4">
        <v>41</v>
      </c>
      <c r="I143" s="5" t="s">
        <v>38</v>
      </c>
      <c r="J143" s="5" t="s">
        <v>4013</v>
      </c>
      <c r="K143" s="5" t="s">
        <v>4014</v>
      </c>
      <c r="L143" s="5" t="s">
        <v>4015</v>
      </c>
      <c r="M143" s="5" t="s">
        <v>283</v>
      </c>
      <c r="N143" s="5" t="s">
        <v>284</v>
      </c>
      <c r="O143" s="5" t="s">
        <v>3992</v>
      </c>
      <c r="P143" s="5"/>
      <c r="Q143" s="5" t="s">
        <v>4016</v>
      </c>
    </row>
    <row r="144" spans="2:17" x14ac:dyDescent="0.2">
      <c r="B144" s="5" t="s">
        <v>3990</v>
      </c>
      <c r="C144" s="6" t="s">
        <v>13588</v>
      </c>
      <c r="D144" s="4">
        <v>64</v>
      </c>
      <c r="E144" s="5" t="s">
        <v>32</v>
      </c>
      <c r="F144" s="5" t="s">
        <v>3995</v>
      </c>
      <c r="G144" s="6" t="s">
        <v>14</v>
      </c>
      <c r="H144" s="4">
        <v>42</v>
      </c>
      <c r="I144" s="5" t="s">
        <v>22</v>
      </c>
      <c r="J144" s="5" t="s">
        <v>3996</v>
      </c>
      <c r="K144" s="5" t="s">
        <v>3991</v>
      </c>
      <c r="L144" s="5"/>
      <c r="M144" s="5" t="s">
        <v>3997</v>
      </c>
      <c r="N144" s="5" t="s">
        <v>3998</v>
      </c>
      <c r="O144" s="5" t="s">
        <v>3992</v>
      </c>
      <c r="P144" s="5"/>
      <c r="Q144" s="5" t="s">
        <v>3999</v>
      </c>
    </row>
    <row r="145" spans="2:17" x14ac:dyDescent="0.2">
      <c r="B145" s="5" t="s">
        <v>3990</v>
      </c>
      <c r="C145" s="6" t="s">
        <v>13588</v>
      </c>
      <c r="D145" s="4">
        <v>65</v>
      </c>
      <c r="E145" s="5" t="s">
        <v>20</v>
      </c>
      <c r="F145" s="5" t="s">
        <v>4017</v>
      </c>
      <c r="G145" s="6" t="s">
        <v>14</v>
      </c>
      <c r="H145" s="4">
        <v>43</v>
      </c>
      <c r="I145" s="5" t="s">
        <v>22</v>
      </c>
      <c r="J145" s="5" t="s">
        <v>4018</v>
      </c>
      <c r="K145" s="5" t="s">
        <v>4019</v>
      </c>
      <c r="L145" s="5" t="s">
        <v>4020</v>
      </c>
      <c r="M145" s="5" t="s">
        <v>127</v>
      </c>
      <c r="N145" s="5" t="s">
        <v>366</v>
      </c>
      <c r="O145" s="5" t="s">
        <v>4021</v>
      </c>
      <c r="P145" s="5"/>
      <c r="Q145" s="5" t="s">
        <v>4022</v>
      </c>
    </row>
    <row r="146" spans="2:17" x14ac:dyDescent="0.2">
      <c r="B146" s="5" t="s">
        <v>3990</v>
      </c>
      <c r="C146" s="6" t="s">
        <v>13588</v>
      </c>
      <c r="D146" s="4">
        <v>66</v>
      </c>
      <c r="E146" s="5" t="s">
        <v>20</v>
      </c>
      <c r="F146" s="5" t="s">
        <v>4023</v>
      </c>
      <c r="G146" s="6" t="s">
        <v>14</v>
      </c>
      <c r="H146" s="4">
        <v>44</v>
      </c>
      <c r="I146" s="5" t="s">
        <v>22</v>
      </c>
      <c r="J146" s="5" t="s">
        <v>4024</v>
      </c>
      <c r="K146" s="5" t="s">
        <v>4019</v>
      </c>
      <c r="L146" s="5" t="s">
        <v>4025</v>
      </c>
      <c r="M146" s="5" t="s">
        <v>127</v>
      </c>
      <c r="N146" s="5" t="s">
        <v>366</v>
      </c>
      <c r="O146" s="5" t="s">
        <v>4021</v>
      </c>
      <c r="P146" s="5"/>
      <c r="Q146" s="5" t="s">
        <v>4026</v>
      </c>
    </row>
    <row r="147" spans="2:17" x14ac:dyDescent="0.2">
      <c r="B147" s="5" t="s">
        <v>3990</v>
      </c>
      <c r="C147" s="6" t="s">
        <v>13588</v>
      </c>
      <c r="D147" s="4">
        <v>67</v>
      </c>
      <c r="E147" s="5" t="s">
        <v>20</v>
      </c>
      <c r="F147" s="5" t="s">
        <v>4023</v>
      </c>
      <c r="G147" s="6" t="s">
        <v>14</v>
      </c>
      <c r="H147" s="4">
        <v>45</v>
      </c>
      <c r="I147" s="5" t="s">
        <v>38</v>
      </c>
      <c r="J147" s="5" t="s">
        <v>4027</v>
      </c>
      <c r="K147" s="5" t="s">
        <v>4019</v>
      </c>
      <c r="L147" s="5" t="s">
        <v>4028</v>
      </c>
      <c r="M147" s="5" t="s">
        <v>127</v>
      </c>
      <c r="N147" s="5" t="s">
        <v>366</v>
      </c>
      <c r="O147" s="5" t="s">
        <v>4021</v>
      </c>
      <c r="P147" s="5"/>
      <c r="Q147" s="5" t="s">
        <v>4029</v>
      </c>
    </row>
    <row r="148" spans="2:17" x14ac:dyDescent="0.2">
      <c r="B148" s="5" t="s">
        <v>3990</v>
      </c>
      <c r="C148" s="6" t="s">
        <v>13588</v>
      </c>
      <c r="D148" s="4">
        <v>68</v>
      </c>
      <c r="E148" s="5" t="s">
        <v>20</v>
      </c>
      <c r="F148" s="5" t="s">
        <v>4023</v>
      </c>
      <c r="G148" s="6" t="s">
        <v>14</v>
      </c>
      <c r="H148" s="4">
        <v>46</v>
      </c>
      <c r="I148" s="5" t="s">
        <v>38</v>
      </c>
      <c r="J148" s="5" t="s">
        <v>4030</v>
      </c>
      <c r="K148" s="5" t="s">
        <v>4031</v>
      </c>
      <c r="L148" s="5" t="s">
        <v>4020</v>
      </c>
      <c r="M148" s="5" t="s">
        <v>127</v>
      </c>
      <c r="N148" s="5" t="s">
        <v>366</v>
      </c>
      <c r="O148" s="5" t="s">
        <v>4021</v>
      </c>
      <c r="P148" s="5"/>
      <c r="Q148" s="5" t="s">
        <v>4032</v>
      </c>
    </row>
    <row r="149" spans="2:17" x14ac:dyDescent="0.2">
      <c r="B149" s="5" t="s">
        <v>4066</v>
      </c>
      <c r="C149" s="6" t="s">
        <v>13588</v>
      </c>
      <c r="D149" s="4">
        <v>69</v>
      </c>
      <c r="E149" s="5" t="s">
        <v>20</v>
      </c>
      <c r="F149" s="5" t="s">
        <v>4086</v>
      </c>
      <c r="G149" s="6" t="s">
        <v>14</v>
      </c>
      <c r="H149" s="4">
        <v>47</v>
      </c>
      <c r="I149" s="5" t="s">
        <v>22</v>
      </c>
      <c r="J149" s="5" t="s">
        <v>4087</v>
      </c>
      <c r="K149" s="5" t="s">
        <v>4088</v>
      </c>
      <c r="L149" s="5"/>
      <c r="M149" s="5" t="s">
        <v>938</v>
      </c>
      <c r="N149" s="5" t="s">
        <v>461</v>
      </c>
      <c r="O149" s="5" t="s">
        <v>4070</v>
      </c>
      <c r="P149" s="5"/>
      <c r="Q149" s="5" t="s">
        <v>4089</v>
      </c>
    </row>
    <row r="150" spans="2:17" x14ac:dyDescent="0.2">
      <c r="B150" s="5" t="s">
        <v>4066</v>
      </c>
      <c r="C150" s="6" t="s">
        <v>13588</v>
      </c>
      <c r="D150" s="4">
        <v>70</v>
      </c>
      <c r="E150" s="5" t="s">
        <v>20</v>
      </c>
      <c r="F150" s="5" t="s">
        <v>4086</v>
      </c>
      <c r="G150" s="6" t="s">
        <v>14</v>
      </c>
      <c r="H150" s="4">
        <v>48</v>
      </c>
      <c r="I150" s="5" t="s">
        <v>38</v>
      </c>
      <c r="J150" s="5" t="s">
        <v>4090</v>
      </c>
      <c r="K150" s="5" t="s">
        <v>4080</v>
      </c>
      <c r="L150" s="5"/>
      <c r="M150" s="5" t="s">
        <v>938</v>
      </c>
      <c r="N150" s="5" t="s">
        <v>461</v>
      </c>
      <c r="O150" s="5" t="s">
        <v>4091</v>
      </c>
      <c r="P150" s="5"/>
      <c r="Q150" s="5" t="s">
        <v>4092</v>
      </c>
    </row>
    <row r="151" spans="2:17" x14ac:dyDescent="0.2">
      <c r="B151" s="5" t="s">
        <v>4066</v>
      </c>
      <c r="C151" s="6" t="s">
        <v>13588</v>
      </c>
      <c r="D151" s="4">
        <v>71</v>
      </c>
      <c r="E151" s="5" t="s">
        <v>20</v>
      </c>
      <c r="F151" s="5" t="s">
        <v>4086</v>
      </c>
      <c r="G151" s="6" t="s">
        <v>14</v>
      </c>
      <c r="H151" s="4">
        <v>49</v>
      </c>
      <c r="I151" s="5" t="s">
        <v>38</v>
      </c>
      <c r="J151" s="5" t="s">
        <v>4093</v>
      </c>
      <c r="K151" s="5" t="s">
        <v>4094</v>
      </c>
      <c r="L151" s="5" t="s">
        <v>4095</v>
      </c>
      <c r="M151" s="5" t="s">
        <v>938</v>
      </c>
      <c r="N151" s="5" t="s">
        <v>461</v>
      </c>
      <c r="O151" s="5" t="s">
        <v>4091</v>
      </c>
      <c r="P151" s="5"/>
      <c r="Q151" s="5" t="s">
        <v>4096</v>
      </c>
    </row>
    <row r="152" spans="2:17" x14ac:dyDescent="0.2">
      <c r="B152" s="5" t="s">
        <v>4066</v>
      </c>
      <c r="C152" s="6" t="s">
        <v>13588</v>
      </c>
      <c r="D152" s="4">
        <v>72</v>
      </c>
      <c r="E152" s="5" t="s">
        <v>20</v>
      </c>
      <c r="F152" s="5" t="s">
        <v>4086</v>
      </c>
      <c r="G152" s="6" t="s">
        <v>14</v>
      </c>
      <c r="H152" s="4">
        <v>50</v>
      </c>
      <c r="I152" s="5" t="s">
        <v>22</v>
      </c>
      <c r="J152" s="5" t="s">
        <v>4097</v>
      </c>
      <c r="K152" s="5" t="s">
        <v>4098</v>
      </c>
      <c r="L152" s="5"/>
      <c r="M152" s="5" t="s">
        <v>938</v>
      </c>
      <c r="N152" s="5" t="s">
        <v>461</v>
      </c>
      <c r="O152" s="5" t="s">
        <v>4081</v>
      </c>
      <c r="P152" s="5"/>
      <c r="Q152" s="5" t="s">
        <v>4099</v>
      </c>
    </row>
    <row r="153" spans="2:17" x14ac:dyDescent="0.2">
      <c r="B153" s="5" t="s">
        <v>4066</v>
      </c>
      <c r="C153" s="6" t="s">
        <v>13588</v>
      </c>
      <c r="D153" s="4">
        <v>73</v>
      </c>
      <c r="E153" s="5" t="s">
        <v>32</v>
      </c>
      <c r="F153" s="5" t="s">
        <v>4067</v>
      </c>
      <c r="G153" s="6" t="s">
        <v>14</v>
      </c>
      <c r="H153" s="4">
        <v>51</v>
      </c>
      <c r="I153" s="5" t="s">
        <v>22</v>
      </c>
      <c r="J153" s="5" t="s">
        <v>4068</v>
      </c>
      <c r="K153" s="5" t="s">
        <v>4069</v>
      </c>
      <c r="L153" s="5"/>
      <c r="M153" s="5" t="s">
        <v>1802</v>
      </c>
      <c r="N153" s="5" t="s">
        <v>337</v>
      </c>
      <c r="O153" s="5" t="s">
        <v>4070</v>
      </c>
      <c r="P153" s="5"/>
      <c r="Q153" s="5" t="s">
        <v>4071</v>
      </c>
    </row>
    <row r="154" spans="2:17" x14ac:dyDescent="0.2">
      <c r="B154" s="5" t="s">
        <v>4066</v>
      </c>
      <c r="C154" s="6" t="s">
        <v>13588</v>
      </c>
      <c r="D154" s="4">
        <v>74</v>
      </c>
      <c r="E154" s="5" t="s">
        <v>32</v>
      </c>
      <c r="F154" s="5" t="s">
        <v>4067</v>
      </c>
      <c r="G154" s="6" t="s">
        <v>14</v>
      </c>
      <c r="H154" s="4">
        <v>52</v>
      </c>
      <c r="I154" s="5" t="s">
        <v>22</v>
      </c>
      <c r="J154" s="5" t="s">
        <v>4072</v>
      </c>
      <c r="K154" s="5" t="s">
        <v>4073</v>
      </c>
      <c r="L154" s="5" t="s">
        <v>4074</v>
      </c>
      <c r="M154" s="5" t="s">
        <v>1802</v>
      </c>
      <c r="N154" s="5" t="s">
        <v>337</v>
      </c>
      <c r="O154" s="5" t="s">
        <v>4070</v>
      </c>
      <c r="P154" s="5"/>
      <c r="Q154" s="5" t="s">
        <v>4075</v>
      </c>
    </row>
    <row r="155" spans="2:17" x14ac:dyDescent="0.2">
      <c r="B155" s="5" t="s">
        <v>4066</v>
      </c>
      <c r="C155" s="6" t="s">
        <v>13588</v>
      </c>
      <c r="D155" s="4">
        <v>75</v>
      </c>
      <c r="E155" s="5" t="s">
        <v>32</v>
      </c>
      <c r="F155" s="5" t="s">
        <v>4067</v>
      </c>
      <c r="G155" s="6" t="s">
        <v>14</v>
      </c>
      <c r="H155" s="4">
        <v>53</v>
      </c>
      <c r="I155" s="5" t="s">
        <v>38</v>
      </c>
      <c r="J155" s="5" t="s">
        <v>4076</v>
      </c>
      <c r="K155" s="5" t="s">
        <v>4073</v>
      </c>
      <c r="L155" s="5" t="s">
        <v>4077</v>
      </c>
      <c r="M155" s="5" t="s">
        <v>1802</v>
      </c>
      <c r="N155" s="5" t="s">
        <v>337</v>
      </c>
      <c r="O155" s="5" t="s">
        <v>4070</v>
      </c>
      <c r="P155" s="5"/>
      <c r="Q155" s="5" t="s">
        <v>4078</v>
      </c>
    </row>
    <row r="156" spans="2:17" x14ac:dyDescent="0.2">
      <c r="B156" s="5" t="s">
        <v>4066</v>
      </c>
      <c r="C156" s="6" t="s">
        <v>13588</v>
      </c>
      <c r="D156" s="4">
        <v>76</v>
      </c>
      <c r="E156" s="5" t="s">
        <v>32</v>
      </c>
      <c r="F156" s="5" t="s">
        <v>4067</v>
      </c>
      <c r="G156" s="6" t="s">
        <v>14</v>
      </c>
      <c r="H156" s="4">
        <v>54</v>
      </c>
      <c r="I156" s="5" t="s">
        <v>22</v>
      </c>
      <c r="J156" s="5" t="s">
        <v>4079</v>
      </c>
      <c r="K156" s="5" t="s">
        <v>4080</v>
      </c>
      <c r="L156" s="5"/>
      <c r="M156" s="5" t="s">
        <v>1802</v>
      </c>
      <c r="N156" s="5" t="s">
        <v>337</v>
      </c>
      <c r="O156" s="5" t="s">
        <v>4081</v>
      </c>
      <c r="P156" s="5"/>
      <c r="Q156" s="5" t="s">
        <v>4082</v>
      </c>
    </row>
    <row r="157" spans="2:17" x14ac:dyDescent="0.2">
      <c r="B157" s="5" t="s">
        <v>4066</v>
      </c>
      <c r="C157" s="6" t="s">
        <v>13588</v>
      </c>
      <c r="D157" s="4">
        <v>77</v>
      </c>
      <c r="E157" s="5" t="s">
        <v>32</v>
      </c>
      <c r="F157" s="5" t="s">
        <v>4067</v>
      </c>
      <c r="G157" s="6" t="s">
        <v>14</v>
      </c>
      <c r="H157" s="4">
        <v>55</v>
      </c>
      <c r="I157" s="5" t="s">
        <v>38</v>
      </c>
      <c r="J157" s="5" t="s">
        <v>4083</v>
      </c>
      <c r="K157" s="5" t="s">
        <v>4073</v>
      </c>
      <c r="L157" s="5" t="s">
        <v>4084</v>
      </c>
      <c r="M157" s="5" t="s">
        <v>1802</v>
      </c>
      <c r="N157" s="5" t="s">
        <v>337</v>
      </c>
      <c r="O157" s="5" t="s">
        <v>4070</v>
      </c>
      <c r="P157" s="5"/>
      <c r="Q157" s="5" t="s">
        <v>4085</v>
      </c>
    </row>
    <row r="158" spans="2:17" x14ac:dyDescent="0.2">
      <c r="B158" s="5" t="s">
        <v>4100</v>
      </c>
      <c r="C158" s="6" t="s">
        <v>13588</v>
      </c>
      <c r="D158" s="4">
        <v>79</v>
      </c>
      <c r="E158" s="5" t="s">
        <v>20</v>
      </c>
      <c r="F158" s="5" t="s">
        <v>4133</v>
      </c>
      <c r="G158" s="6" t="s">
        <v>14</v>
      </c>
      <c r="H158" s="4">
        <v>56</v>
      </c>
      <c r="I158" s="5" t="s">
        <v>22</v>
      </c>
      <c r="J158" s="5" t="s">
        <v>4134</v>
      </c>
      <c r="K158" s="5" t="s">
        <v>4135</v>
      </c>
      <c r="L158" s="5" t="s">
        <v>4136</v>
      </c>
      <c r="M158" s="5" t="s">
        <v>185</v>
      </c>
      <c r="N158" s="5" t="s">
        <v>465</v>
      </c>
      <c r="O158" s="5" t="s">
        <v>4102</v>
      </c>
      <c r="P158" s="5"/>
      <c r="Q158" s="5" t="s">
        <v>4137</v>
      </c>
    </row>
    <row r="159" spans="2:17" x14ac:dyDescent="0.2">
      <c r="B159" s="5" t="s">
        <v>4100</v>
      </c>
      <c r="C159" s="6" t="s">
        <v>13588</v>
      </c>
      <c r="D159" s="4">
        <v>80</v>
      </c>
      <c r="E159" s="5" t="s">
        <v>20</v>
      </c>
      <c r="F159" s="5" t="s">
        <v>4130</v>
      </c>
      <c r="G159" s="6" t="s">
        <v>14</v>
      </c>
      <c r="H159" s="4">
        <v>57</v>
      </c>
      <c r="I159" s="5" t="s">
        <v>22</v>
      </c>
      <c r="J159" s="5" t="s">
        <v>4131</v>
      </c>
      <c r="K159" s="5" t="s">
        <v>4106</v>
      </c>
      <c r="L159" s="5" t="s">
        <v>4114</v>
      </c>
      <c r="M159" s="5" t="s">
        <v>1464</v>
      </c>
      <c r="N159" s="5" t="s">
        <v>2089</v>
      </c>
      <c r="O159" s="5" t="s">
        <v>4101</v>
      </c>
      <c r="P159" s="5"/>
      <c r="Q159" s="5" t="s">
        <v>4132</v>
      </c>
    </row>
    <row r="160" spans="2:17" x14ac:dyDescent="0.2">
      <c r="B160" s="5" t="s">
        <v>4100</v>
      </c>
      <c r="C160" s="6" t="s">
        <v>13588</v>
      </c>
      <c r="D160" s="4">
        <v>83</v>
      </c>
      <c r="E160" s="5" t="s">
        <v>32</v>
      </c>
      <c r="F160" s="5" t="s">
        <v>1719</v>
      </c>
      <c r="G160" s="6" t="s">
        <v>14</v>
      </c>
      <c r="H160" s="4">
        <v>58</v>
      </c>
      <c r="I160" s="5" t="s">
        <v>38</v>
      </c>
      <c r="J160" s="5" t="s">
        <v>4105</v>
      </c>
      <c r="K160" s="5" t="s">
        <v>4106</v>
      </c>
      <c r="L160" s="5"/>
      <c r="M160" s="5" t="s">
        <v>1218</v>
      </c>
      <c r="N160" s="5" t="s">
        <v>1723</v>
      </c>
      <c r="O160" s="5" t="s">
        <v>4102</v>
      </c>
      <c r="P160" s="5"/>
      <c r="Q160" s="5" t="s">
        <v>4107</v>
      </c>
    </row>
    <row r="161" spans="2:17" x14ac:dyDescent="0.2">
      <c r="B161" s="5" t="s">
        <v>4100</v>
      </c>
      <c r="C161" s="6" t="s">
        <v>13588</v>
      </c>
      <c r="D161" s="4">
        <v>84</v>
      </c>
      <c r="E161" s="5" t="s">
        <v>32</v>
      </c>
      <c r="F161" s="5" t="s">
        <v>1719</v>
      </c>
      <c r="G161" s="6" t="s">
        <v>14</v>
      </c>
      <c r="H161" s="4">
        <v>59</v>
      </c>
      <c r="I161" s="5" t="s">
        <v>38</v>
      </c>
      <c r="J161" s="5" t="s">
        <v>4108</v>
      </c>
      <c r="K161" s="5" t="s">
        <v>4109</v>
      </c>
      <c r="L161" s="5" t="s">
        <v>4110</v>
      </c>
      <c r="M161" s="5" t="s">
        <v>1218</v>
      </c>
      <c r="N161" s="5" t="s">
        <v>1723</v>
      </c>
      <c r="O161" s="5" t="s">
        <v>4101</v>
      </c>
      <c r="P161" s="5"/>
      <c r="Q161" s="5" t="s">
        <v>4111</v>
      </c>
    </row>
    <row r="162" spans="2:17" x14ac:dyDescent="0.2">
      <c r="B162" s="5" t="s">
        <v>4100</v>
      </c>
      <c r="C162" s="6" t="s">
        <v>13588</v>
      </c>
      <c r="D162" s="4">
        <v>85</v>
      </c>
      <c r="E162" s="5" t="s">
        <v>32</v>
      </c>
      <c r="F162" s="5" t="s">
        <v>1719</v>
      </c>
      <c r="G162" s="6" t="s">
        <v>14</v>
      </c>
      <c r="H162" s="4">
        <v>60</v>
      </c>
      <c r="I162" s="5" t="s">
        <v>38</v>
      </c>
      <c r="J162" s="5" t="s">
        <v>4112</v>
      </c>
      <c r="K162" s="5" t="s">
        <v>4113</v>
      </c>
      <c r="L162" s="5" t="s">
        <v>4114</v>
      </c>
      <c r="M162" s="5" t="s">
        <v>1218</v>
      </c>
      <c r="N162" s="5" t="s">
        <v>1723</v>
      </c>
      <c r="O162" s="5" t="s">
        <v>4101</v>
      </c>
      <c r="P162" s="5"/>
      <c r="Q162" s="5" t="s">
        <v>4115</v>
      </c>
    </row>
    <row r="163" spans="2:17" x14ac:dyDescent="0.2">
      <c r="B163" s="5" t="s">
        <v>4100</v>
      </c>
      <c r="C163" s="6" t="s">
        <v>13588</v>
      </c>
      <c r="D163" s="4">
        <v>86</v>
      </c>
      <c r="E163" s="5" t="s">
        <v>32</v>
      </c>
      <c r="F163" s="5" t="s">
        <v>1719</v>
      </c>
      <c r="G163" s="6" t="s">
        <v>14</v>
      </c>
      <c r="H163" s="4">
        <v>61</v>
      </c>
      <c r="I163" s="5" t="s">
        <v>22</v>
      </c>
      <c r="J163" s="5" t="s">
        <v>4116</v>
      </c>
      <c r="K163" s="5" t="s">
        <v>4117</v>
      </c>
      <c r="L163" s="5" t="s">
        <v>4118</v>
      </c>
      <c r="M163" s="5" t="s">
        <v>1218</v>
      </c>
      <c r="N163" s="5" t="s">
        <v>1723</v>
      </c>
      <c r="O163" s="5" t="s">
        <v>4101</v>
      </c>
      <c r="P163" s="5"/>
      <c r="Q163" s="5" t="s">
        <v>4119</v>
      </c>
    </row>
    <row r="164" spans="2:17" x14ac:dyDescent="0.2">
      <c r="B164" s="5" t="s">
        <v>4100</v>
      </c>
      <c r="C164" s="6" t="s">
        <v>13588</v>
      </c>
      <c r="D164" s="4">
        <v>87</v>
      </c>
      <c r="E164" s="5" t="s">
        <v>32</v>
      </c>
      <c r="F164" s="5" t="s">
        <v>1719</v>
      </c>
      <c r="G164" s="6" t="s">
        <v>14</v>
      </c>
      <c r="H164" s="4">
        <v>62</v>
      </c>
      <c r="I164" s="5" t="s">
        <v>38</v>
      </c>
      <c r="J164" s="5" t="s">
        <v>4120</v>
      </c>
      <c r="K164" s="5" t="s">
        <v>4121</v>
      </c>
      <c r="L164" s="5" t="s">
        <v>4122</v>
      </c>
      <c r="M164" s="5" t="s">
        <v>1218</v>
      </c>
      <c r="N164" s="5" t="s">
        <v>1723</v>
      </c>
      <c r="O164" s="5" t="s">
        <v>4101</v>
      </c>
      <c r="P164" s="5"/>
      <c r="Q164" s="5" t="s">
        <v>4123</v>
      </c>
    </row>
    <row r="165" spans="2:17" x14ac:dyDescent="0.2">
      <c r="B165" s="5" t="s">
        <v>4146</v>
      </c>
      <c r="C165" s="6" t="s">
        <v>13588</v>
      </c>
      <c r="D165" s="4">
        <v>91</v>
      </c>
      <c r="E165" s="5" t="s">
        <v>32</v>
      </c>
      <c r="F165" s="5" t="s">
        <v>4151</v>
      </c>
      <c r="G165" s="6" t="s">
        <v>14</v>
      </c>
      <c r="H165" s="4">
        <v>63</v>
      </c>
      <c r="I165" s="5" t="s">
        <v>22</v>
      </c>
      <c r="J165" s="5" t="s">
        <v>4152</v>
      </c>
      <c r="K165" s="5" t="s">
        <v>4153</v>
      </c>
      <c r="L165" s="5"/>
      <c r="M165" s="5" t="s">
        <v>283</v>
      </c>
      <c r="N165" s="5" t="s">
        <v>284</v>
      </c>
      <c r="O165" s="5" t="s">
        <v>4154</v>
      </c>
      <c r="P165" s="5"/>
      <c r="Q165" s="5" t="s">
        <v>4155</v>
      </c>
    </row>
    <row r="166" spans="2:17" x14ac:dyDescent="0.2">
      <c r="B166" s="5" t="s">
        <v>4146</v>
      </c>
      <c r="C166" s="6" t="s">
        <v>13588</v>
      </c>
      <c r="D166" s="4">
        <v>92</v>
      </c>
      <c r="E166" s="5" t="s">
        <v>32</v>
      </c>
      <c r="F166" s="5" t="s">
        <v>4151</v>
      </c>
      <c r="G166" s="6" t="s">
        <v>14</v>
      </c>
      <c r="H166" s="4">
        <v>64</v>
      </c>
      <c r="I166" s="5" t="s">
        <v>22</v>
      </c>
      <c r="J166" s="5" t="s">
        <v>4156</v>
      </c>
      <c r="K166" s="5" t="s">
        <v>4157</v>
      </c>
      <c r="L166" s="5"/>
      <c r="M166" s="5" t="s">
        <v>283</v>
      </c>
      <c r="N166" s="5" t="s">
        <v>284</v>
      </c>
      <c r="O166" s="5" t="s">
        <v>4158</v>
      </c>
      <c r="P166" s="5"/>
      <c r="Q166" s="5" t="s">
        <v>4159</v>
      </c>
    </row>
    <row r="167" spans="2:17" x14ac:dyDescent="0.2">
      <c r="B167" s="5" t="s">
        <v>4146</v>
      </c>
      <c r="C167" s="6" t="s">
        <v>13588</v>
      </c>
      <c r="D167" s="4">
        <v>93</v>
      </c>
      <c r="E167" s="5" t="s">
        <v>32</v>
      </c>
      <c r="F167" s="5" t="s">
        <v>4151</v>
      </c>
      <c r="G167" s="6" t="s">
        <v>14</v>
      </c>
      <c r="H167" s="4">
        <v>65</v>
      </c>
      <c r="I167" s="5" t="s">
        <v>22</v>
      </c>
      <c r="J167" s="5" t="s">
        <v>4160</v>
      </c>
      <c r="K167" s="5" t="s">
        <v>4161</v>
      </c>
      <c r="L167" s="5"/>
      <c r="M167" s="5" t="s">
        <v>283</v>
      </c>
      <c r="N167" s="5" t="s">
        <v>284</v>
      </c>
      <c r="O167" s="5" t="s">
        <v>4148</v>
      </c>
      <c r="P167" s="5"/>
      <c r="Q167" s="5" t="s">
        <v>4162</v>
      </c>
    </row>
    <row r="168" spans="2:17" x14ac:dyDescent="0.2">
      <c r="B168" s="5" t="s">
        <v>4146</v>
      </c>
      <c r="C168" s="6" t="s">
        <v>13588</v>
      </c>
      <c r="D168" s="4">
        <v>94</v>
      </c>
      <c r="E168" s="5" t="s">
        <v>32</v>
      </c>
      <c r="F168" s="5" t="s">
        <v>4151</v>
      </c>
      <c r="G168" s="6" t="s">
        <v>14</v>
      </c>
      <c r="H168" s="4">
        <v>66</v>
      </c>
      <c r="I168" s="5" t="s">
        <v>22</v>
      </c>
      <c r="J168" s="5" t="s">
        <v>4163</v>
      </c>
      <c r="K168" s="5" t="s">
        <v>4149</v>
      </c>
      <c r="L168" s="5"/>
      <c r="M168" s="5" t="s">
        <v>283</v>
      </c>
      <c r="N168" s="5" t="s">
        <v>284</v>
      </c>
      <c r="O168" s="5" t="s">
        <v>4150</v>
      </c>
      <c r="P168" s="5"/>
      <c r="Q168" s="5" t="s">
        <v>4164</v>
      </c>
    </row>
    <row r="169" spans="2:17" x14ac:dyDescent="0.2">
      <c r="B169" s="5" t="s">
        <v>4146</v>
      </c>
      <c r="C169" s="6" t="s">
        <v>13588</v>
      </c>
      <c r="D169" s="4">
        <v>95</v>
      </c>
      <c r="E169" s="5" t="s">
        <v>32</v>
      </c>
      <c r="F169" s="5" t="s">
        <v>4151</v>
      </c>
      <c r="G169" s="6" t="s">
        <v>14</v>
      </c>
      <c r="H169" s="4">
        <v>67</v>
      </c>
      <c r="I169" s="5" t="s">
        <v>22</v>
      </c>
      <c r="J169" s="5" t="s">
        <v>4165</v>
      </c>
      <c r="K169" s="5" t="s">
        <v>4166</v>
      </c>
      <c r="L169" s="5"/>
      <c r="M169" s="5" t="s">
        <v>283</v>
      </c>
      <c r="N169" s="5" t="s">
        <v>284</v>
      </c>
      <c r="O169" s="5" t="s">
        <v>4148</v>
      </c>
      <c r="P169" s="5"/>
      <c r="Q169" s="5" t="s">
        <v>4167</v>
      </c>
    </row>
    <row r="170" spans="2:17" x14ac:dyDescent="0.2">
      <c r="B170" s="5" t="s">
        <v>4146</v>
      </c>
      <c r="C170" s="6" t="s">
        <v>13588</v>
      </c>
      <c r="D170" s="4">
        <v>96</v>
      </c>
      <c r="E170" s="5" t="s">
        <v>32</v>
      </c>
      <c r="F170" s="5" t="s">
        <v>4151</v>
      </c>
      <c r="G170" s="6" t="s">
        <v>14</v>
      </c>
      <c r="H170" s="4">
        <v>68</v>
      </c>
      <c r="I170" s="5" t="s">
        <v>38</v>
      </c>
      <c r="J170" s="5" t="s">
        <v>4168</v>
      </c>
      <c r="K170" s="5" t="s">
        <v>4169</v>
      </c>
      <c r="L170" s="5"/>
      <c r="M170" s="5" t="s">
        <v>283</v>
      </c>
      <c r="N170" s="5" t="s">
        <v>284</v>
      </c>
      <c r="O170" s="5" t="s">
        <v>4154</v>
      </c>
      <c r="P170" s="5"/>
      <c r="Q170" s="5" t="s">
        <v>4170</v>
      </c>
    </row>
    <row r="171" spans="2:17" x14ac:dyDescent="0.2">
      <c r="B171" s="5" t="s">
        <v>4146</v>
      </c>
      <c r="C171" s="6" t="s">
        <v>13588</v>
      </c>
      <c r="D171" s="4">
        <v>97</v>
      </c>
      <c r="E171" s="5" t="s">
        <v>35</v>
      </c>
      <c r="F171" s="5" t="s">
        <v>4190</v>
      </c>
      <c r="G171" s="6" t="s">
        <v>14</v>
      </c>
      <c r="H171" s="4">
        <v>69</v>
      </c>
      <c r="I171" s="5"/>
      <c r="J171" s="5" t="s">
        <v>4191</v>
      </c>
      <c r="K171" s="5" t="s">
        <v>4192</v>
      </c>
      <c r="L171" s="5"/>
      <c r="M171" s="5" t="s">
        <v>260</v>
      </c>
      <c r="N171" s="5" t="s">
        <v>1902</v>
      </c>
      <c r="O171" s="5" t="s">
        <v>4174</v>
      </c>
      <c r="P171" s="5"/>
      <c r="Q171" s="5" t="s">
        <v>4193</v>
      </c>
    </row>
    <row r="172" spans="2:17" x14ac:dyDescent="0.2">
      <c r="B172" s="5" t="s">
        <v>4146</v>
      </c>
      <c r="C172" s="6" t="s">
        <v>13588</v>
      </c>
      <c r="D172" s="4">
        <v>98</v>
      </c>
      <c r="E172" s="5" t="s">
        <v>35</v>
      </c>
      <c r="F172" s="5" t="s">
        <v>4190</v>
      </c>
      <c r="G172" s="6" t="s">
        <v>14</v>
      </c>
      <c r="H172" s="4">
        <v>70</v>
      </c>
      <c r="I172" s="5"/>
      <c r="J172" s="5" t="s">
        <v>4194</v>
      </c>
      <c r="K172" s="5" t="s">
        <v>4195</v>
      </c>
      <c r="L172" s="5"/>
      <c r="M172" s="5" t="s">
        <v>260</v>
      </c>
      <c r="N172" s="5" t="s">
        <v>1902</v>
      </c>
      <c r="O172" s="5" t="s">
        <v>4174</v>
      </c>
      <c r="P172" s="5"/>
      <c r="Q172" s="5" t="s">
        <v>4196</v>
      </c>
    </row>
    <row r="173" spans="2:17" x14ac:dyDescent="0.2">
      <c r="B173" s="5" t="s">
        <v>4146</v>
      </c>
      <c r="C173" s="6" t="s">
        <v>13588</v>
      </c>
      <c r="D173" s="4">
        <v>99</v>
      </c>
      <c r="E173" s="5" t="s">
        <v>35</v>
      </c>
      <c r="F173" s="5" t="s">
        <v>4190</v>
      </c>
      <c r="G173" s="6" t="s">
        <v>14</v>
      </c>
      <c r="H173" s="4">
        <v>71</v>
      </c>
      <c r="I173" s="5"/>
      <c r="J173" s="5" t="s">
        <v>4197</v>
      </c>
      <c r="K173" s="5" t="s">
        <v>4198</v>
      </c>
      <c r="L173" s="5"/>
      <c r="M173" s="5" t="s">
        <v>260</v>
      </c>
      <c r="N173" s="5" t="s">
        <v>1902</v>
      </c>
      <c r="O173" s="5" t="s">
        <v>4199</v>
      </c>
      <c r="P173" s="5"/>
      <c r="Q173" s="5" t="s">
        <v>4200</v>
      </c>
    </row>
    <row r="174" spans="2:17" x14ac:dyDescent="0.2">
      <c r="B174" s="5" t="s">
        <v>4146</v>
      </c>
      <c r="C174" s="6" t="s">
        <v>13588</v>
      </c>
      <c r="D174" s="4">
        <v>100</v>
      </c>
      <c r="E174" s="5" t="s">
        <v>35</v>
      </c>
      <c r="F174" s="5" t="s">
        <v>4190</v>
      </c>
      <c r="G174" s="6" t="s">
        <v>14</v>
      </c>
      <c r="H174" s="4">
        <v>72</v>
      </c>
      <c r="I174" s="5"/>
      <c r="J174" s="5" t="s">
        <v>4201</v>
      </c>
      <c r="K174" s="5" t="s">
        <v>4202</v>
      </c>
      <c r="L174" s="5"/>
      <c r="M174" s="5" t="s">
        <v>260</v>
      </c>
      <c r="N174" s="5" t="s">
        <v>1902</v>
      </c>
      <c r="O174" s="5" t="s">
        <v>4203</v>
      </c>
      <c r="P174" s="5"/>
      <c r="Q174" s="5" t="s">
        <v>4204</v>
      </c>
    </row>
    <row r="175" spans="2:17" x14ac:dyDescent="0.2">
      <c r="B175" s="5" t="s">
        <v>4146</v>
      </c>
      <c r="C175" s="6" t="s">
        <v>13588</v>
      </c>
      <c r="D175" s="4">
        <v>101</v>
      </c>
      <c r="E175" s="5" t="s">
        <v>35</v>
      </c>
      <c r="F175" s="5" t="s">
        <v>4190</v>
      </c>
      <c r="G175" s="6" t="s">
        <v>14</v>
      </c>
      <c r="H175" s="4">
        <v>73</v>
      </c>
      <c r="I175" s="5"/>
      <c r="J175" s="5" t="s">
        <v>4205</v>
      </c>
      <c r="K175" s="5" t="s">
        <v>4206</v>
      </c>
      <c r="L175" s="5"/>
      <c r="M175" s="5" t="s">
        <v>260</v>
      </c>
      <c r="N175" s="5" t="s">
        <v>1902</v>
      </c>
      <c r="O175" s="5" t="s">
        <v>4150</v>
      </c>
      <c r="P175" s="5"/>
      <c r="Q175" s="5" t="s">
        <v>4207</v>
      </c>
    </row>
    <row r="176" spans="2:17" x14ac:dyDescent="0.2">
      <c r="B176" s="5" t="s">
        <v>4146</v>
      </c>
      <c r="C176" s="6" t="s">
        <v>13588</v>
      </c>
      <c r="D176" s="4">
        <v>102</v>
      </c>
      <c r="E176" s="5" t="s">
        <v>20</v>
      </c>
      <c r="F176" s="5" t="s">
        <v>4171</v>
      </c>
      <c r="G176" s="6" t="s">
        <v>14</v>
      </c>
      <c r="H176" s="4">
        <v>74</v>
      </c>
      <c r="I176" s="5" t="s">
        <v>38</v>
      </c>
      <c r="J176" s="5" t="s">
        <v>4172</v>
      </c>
      <c r="K176" s="5" t="s">
        <v>4173</v>
      </c>
      <c r="L176" s="5"/>
      <c r="M176" s="5" t="s">
        <v>127</v>
      </c>
      <c r="N176" s="5" t="s">
        <v>366</v>
      </c>
      <c r="O176" s="5" t="s">
        <v>4174</v>
      </c>
      <c r="P176" s="5"/>
      <c r="Q176" s="5" t="s">
        <v>4175</v>
      </c>
    </row>
    <row r="177" spans="2:17" x14ac:dyDescent="0.2">
      <c r="B177" s="5" t="s">
        <v>4146</v>
      </c>
      <c r="C177" s="6" t="s">
        <v>13588</v>
      </c>
      <c r="D177" s="4">
        <v>103</v>
      </c>
      <c r="E177" s="5" t="s">
        <v>20</v>
      </c>
      <c r="F177" s="5" t="s">
        <v>4171</v>
      </c>
      <c r="G177" s="6" t="s">
        <v>14</v>
      </c>
      <c r="H177" s="4">
        <v>75</v>
      </c>
      <c r="I177" s="5" t="s">
        <v>38</v>
      </c>
      <c r="J177" s="5" t="s">
        <v>4176</v>
      </c>
      <c r="K177" s="5" t="s">
        <v>4177</v>
      </c>
      <c r="L177" s="5"/>
      <c r="M177" s="5" t="s">
        <v>127</v>
      </c>
      <c r="N177" s="5" t="s">
        <v>366</v>
      </c>
      <c r="O177" s="5" t="s">
        <v>4174</v>
      </c>
      <c r="P177" s="5"/>
      <c r="Q177" s="5" t="s">
        <v>4178</v>
      </c>
    </row>
    <row r="178" spans="2:17" x14ac:dyDescent="0.2">
      <c r="B178" s="5" t="s">
        <v>4146</v>
      </c>
      <c r="C178" s="6" t="s">
        <v>13588</v>
      </c>
      <c r="D178" s="4">
        <v>104</v>
      </c>
      <c r="E178" s="5" t="s">
        <v>20</v>
      </c>
      <c r="F178" s="5" t="s">
        <v>4171</v>
      </c>
      <c r="G178" s="6" t="s">
        <v>14</v>
      </c>
      <c r="H178" s="4">
        <v>76</v>
      </c>
      <c r="I178" s="5" t="s">
        <v>38</v>
      </c>
      <c r="J178" s="5" t="s">
        <v>4179</v>
      </c>
      <c r="K178" s="5" t="s">
        <v>4180</v>
      </c>
      <c r="L178" s="5"/>
      <c r="M178" s="5" t="s">
        <v>127</v>
      </c>
      <c r="N178" s="5" t="s">
        <v>366</v>
      </c>
      <c r="O178" s="5" t="s">
        <v>4174</v>
      </c>
      <c r="P178" s="5"/>
      <c r="Q178" s="5" t="s">
        <v>4181</v>
      </c>
    </row>
    <row r="179" spans="2:17" x14ac:dyDescent="0.2">
      <c r="B179" s="5" t="s">
        <v>4209</v>
      </c>
      <c r="C179" s="6" t="s">
        <v>13588</v>
      </c>
      <c r="D179" s="4">
        <v>105</v>
      </c>
      <c r="E179" s="5" t="s">
        <v>32</v>
      </c>
      <c r="F179" s="5" t="s">
        <v>1719</v>
      </c>
      <c r="G179" s="6" t="s">
        <v>14</v>
      </c>
      <c r="H179" s="4">
        <v>77</v>
      </c>
      <c r="I179" s="5" t="s">
        <v>38</v>
      </c>
      <c r="J179" s="5" t="s">
        <v>4210</v>
      </c>
      <c r="K179" s="5" t="s">
        <v>4211</v>
      </c>
      <c r="L179" s="5"/>
      <c r="M179" s="5" t="s">
        <v>1218</v>
      </c>
      <c r="N179" s="5" t="s">
        <v>1723</v>
      </c>
      <c r="O179" s="5" t="s">
        <v>4212</v>
      </c>
      <c r="P179" s="5"/>
      <c r="Q179" s="5" t="s">
        <v>4213</v>
      </c>
    </row>
    <row r="180" spans="2:17" x14ac:dyDescent="0.2">
      <c r="B180" s="5" t="s">
        <v>4209</v>
      </c>
      <c r="C180" s="6" t="s">
        <v>13588</v>
      </c>
      <c r="D180" s="4">
        <v>106</v>
      </c>
      <c r="E180" s="5" t="s">
        <v>20</v>
      </c>
      <c r="F180" s="5" t="s">
        <v>4214</v>
      </c>
      <c r="G180" s="6" t="s">
        <v>14</v>
      </c>
      <c r="H180" s="4">
        <v>78</v>
      </c>
      <c r="I180" s="5" t="s">
        <v>38</v>
      </c>
      <c r="J180" s="5" t="s">
        <v>4215</v>
      </c>
      <c r="K180" s="5" t="s">
        <v>4216</v>
      </c>
      <c r="L180" s="5"/>
      <c r="M180" s="5" t="s">
        <v>127</v>
      </c>
      <c r="N180" s="5" t="s">
        <v>366</v>
      </c>
      <c r="O180" s="5" t="s">
        <v>4217</v>
      </c>
      <c r="P180" s="5"/>
      <c r="Q180" s="5" t="s">
        <v>4218</v>
      </c>
    </row>
    <row r="181" spans="2:17" x14ac:dyDescent="0.2">
      <c r="B181" s="5" t="s">
        <v>4209</v>
      </c>
      <c r="C181" s="6" t="s">
        <v>13588</v>
      </c>
      <c r="D181" s="4">
        <v>107</v>
      </c>
      <c r="E181" s="5" t="s">
        <v>20</v>
      </c>
      <c r="F181" s="5" t="s">
        <v>4214</v>
      </c>
      <c r="G181" s="6" t="s">
        <v>14</v>
      </c>
      <c r="H181" s="4">
        <v>79</v>
      </c>
      <c r="I181" s="5" t="s">
        <v>38</v>
      </c>
      <c r="J181" s="5" t="s">
        <v>4219</v>
      </c>
      <c r="K181" s="5" t="s">
        <v>4220</v>
      </c>
      <c r="L181" s="5"/>
      <c r="M181" s="5" t="s">
        <v>127</v>
      </c>
      <c r="N181" s="5" t="s">
        <v>366</v>
      </c>
      <c r="O181" s="5" t="s">
        <v>4221</v>
      </c>
      <c r="P181" s="5"/>
      <c r="Q181" s="5" t="s">
        <v>4222</v>
      </c>
    </row>
    <row r="182" spans="2:17" x14ac:dyDescent="0.2">
      <c r="B182" s="5" t="s">
        <v>4209</v>
      </c>
      <c r="C182" s="6" t="s">
        <v>13588</v>
      </c>
      <c r="D182" s="4">
        <v>108</v>
      </c>
      <c r="E182" s="5" t="s">
        <v>20</v>
      </c>
      <c r="F182" s="5" t="s">
        <v>4214</v>
      </c>
      <c r="G182" s="6" t="s">
        <v>14</v>
      </c>
      <c r="H182" s="4">
        <v>80</v>
      </c>
      <c r="I182" s="5" t="s">
        <v>22</v>
      </c>
      <c r="J182" s="5" t="s">
        <v>4223</v>
      </c>
      <c r="K182" s="5" t="s">
        <v>4224</v>
      </c>
      <c r="L182" s="5"/>
      <c r="M182" s="5" t="s">
        <v>127</v>
      </c>
      <c r="N182" s="5" t="s">
        <v>366</v>
      </c>
      <c r="O182" s="5" t="s">
        <v>4225</v>
      </c>
      <c r="P182" s="5"/>
      <c r="Q182" s="5" t="s">
        <v>4226</v>
      </c>
    </row>
    <row r="183" spans="2:17" x14ac:dyDescent="0.2">
      <c r="B183" s="5" t="s">
        <v>4209</v>
      </c>
      <c r="C183" s="6" t="s">
        <v>13588</v>
      </c>
      <c r="D183" s="4">
        <v>109</v>
      </c>
      <c r="E183" s="5" t="s">
        <v>20</v>
      </c>
      <c r="F183" s="5" t="s">
        <v>4214</v>
      </c>
      <c r="G183" s="6" t="s">
        <v>14</v>
      </c>
      <c r="H183" s="4">
        <v>81</v>
      </c>
      <c r="I183" s="5" t="s">
        <v>38</v>
      </c>
      <c r="J183" s="5" t="s">
        <v>4227</v>
      </c>
      <c r="K183" s="5" t="s">
        <v>4228</v>
      </c>
      <c r="L183" s="5"/>
      <c r="M183" s="5" t="s">
        <v>127</v>
      </c>
      <c r="N183" s="5" t="s">
        <v>366</v>
      </c>
      <c r="O183" s="5" t="s">
        <v>4212</v>
      </c>
      <c r="P183" s="5"/>
      <c r="Q183" s="5" t="s">
        <v>4229</v>
      </c>
    </row>
    <row r="184" spans="2:17" x14ac:dyDescent="0.2">
      <c r="B184" s="5" t="s">
        <v>4231</v>
      </c>
      <c r="C184" s="6" t="s">
        <v>13588</v>
      </c>
      <c r="D184" s="4">
        <v>111</v>
      </c>
      <c r="E184" s="5" t="s">
        <v>32</v>
      </c>
      <c r="F184" s="5" t="s">
        <v>4039</v>
      </c>
      <c r="G184" s="6" t="s">
        <v>14</v>
      </c>
      <c r="H184" s="4">
        <v>82</v>
      </c>
      <c r="I184" s="5" t="s">
        <v>22</v>
      </c>
      <c r="J184" s="5" t="s">
        <v>4246</v>
      </c>
      <c r="K184" s="5" t="s">
        <v>4247</v>
      </c>
      <c r="L184" s="5" t="s">
        <v>4248</v>
      </c>
      <c r="M184" s="5" t="s">
        <v>1634</v>
      </c>
      <c r="N184" s="5" t="s">
        <v>1634</v>
      </c>
      <c r="O184" s="5" t="s">
        <v>4236</v>
      </c>
      <c r="P184" s="5"/>
      <c r="Q184" s="5" t="s">
        <v>4249</v>
      </c>
    </row>
    <row r="185" spans="2:17" x14ac:dyDescent="0.2">
      <c r="B185" s="5" t="s">
        <v>4231</v>
      </c>
      <c r="C185" s="6" t="s">
        <v>13588</v>
      </c>
      <c r="D185" s="4">
        <v>112</v>
      </c>
      <c r="E185" s="5" t="s">
        <v>32</v>
      </c>
      <c r="F185" s="5" t="s">
        <v>4039</v>
      </c>
      <c r="G185" s="6" t="s">
        <v>14</v>
      </c>
      <c r="H185" s="4">
        <v>83</v>
      </c>
      <c r="I185" s="5" t="s">
        <v>38</v>
      </c>
      <c r="J185" s="5" t="s">
        <v>4250</v>
      </c>
      <c r="K185" s="5" t="s">
        <v>4251</v>
      </c>
      <c r="L185" s="5" t="s">
        <v>4252</v>
      </c>
      <c r="M185" s="5" t="s">
        <v>1634</v>
      </c>
      <c r="N185" s="5" t="s">
        <v>1634</v>
      </c>
      <c r="O185" s="5" t="s">
        <v>4236</v>
      </c>
      <c r="P185" s="5"/>
      <c r="Q185" s="5" t="s">
        <v>4253</v>
      </c>
    </row>
    <row r="186" spans="2:17" x14ac:dyDescent="0.2">
      <c r="B186" s="5" t="s">
        <v>4231</v>
      </c>
      <c r="C186" s="6" t="s">
        <v>13588</v>
      </c>
      <c r="D186" s="4">
        <v>117</v>
      </c>
      <c r="E186" s="5" t="s">
        <v>20</v>
      </c>
      <c r="F186" s="5" t="s">
        <v>4238</v>
      </c>
      <c r="G186" s="6" t="s">
        <v>14</v>
      </c>
      <c r="H186" s="4">
        <v>84</v>
      </c>
      <c r="I186" s="5" t="s">
        <v>38</v>
      </c>
      <c r="J186" s="5" t="s">
        <v>4239</v>
      </c>
      <c r="K186" s="5" t="s">
        <v>4234</v>
      </c>
      <c r="L186" s="5" t="s">
        <v>4240</v>
      </c>
      <c r="M186" s="5" t="s">
        <v>127</v>
      </c>
      <c r="N186" s="5" t="s">
        <v>366</v>
      </c>
      <c r="O186" s="5" t="s">
        <v>4236</v>
      </c>
      <c r="P186" s="5"/>
      <c r="Q186" s="5" t="s">
        <v>4241</v>
      </c>
    </row>
    <row r="187" spans="2:17" x14ac:dyDescent="0.2">
      <c r="B187" s="5" t="s">
        <v>4231</v>
      </c>
      <c r="C187" s="6" t="s">
        <v>13588</v>
      </c>
      <c r="D187" s="4">
        <v>118</v>
      </c>
      <c r="E187" s="5" t="s">
        <v>20</v>
      </c>
      <c r="F187" s="5" t="s">
        <v>4242</v>
      </c>
      <c r="G187" s="6" t="s">
        <v>14</v>
      </c>
      <c r="H187" s="4">
        <v>85</v>
      </c>
      <c r="I187" s="5" t="s">
        <v>38</v>
      </c>
      <c r="J187" s="5" t="s">
        <v>4243</v>
      </c>
      <c r="K187" s="5" t="s">
        <v>4234</v>
      </c>
      <c r="L187" s="5" t="s">
        <v>4244</v>
      </c>
      <c r="M187" s="5" t="s">
        <v>127</v>
      </c>
      <c r="N187" s="5" t="s">
        <v>366</v>
      </c>
      <c r="O187" s="5" t="s">
        <v>4236</v>
      </c>
      <c r="P187" s="5"/>
      <c r="Q187" s="5" t="s">
        <v>4245</v>
      </c>
    </row>
    <row r="188" spans="2:17" x14ac:dyDescent="0.2">
      <c r="B188" s="5" t="s">
        <v>4273</v>
      </c>
      <c r="C188" s="6" t="s">
        <v>13588</v>
      </c>
      <c r="D188" s="4">
        <v>120</v>
      </c>
      <c r="E188" s="5" t="s">
        <v>32</v>
      </c>
      <c r="F188" s="5" t="s">
        <v>4294</v>
      </c>
      <c r="G188" s="6" t="s">
        <v>14</v>
      </c>
      <c r="H188" s="4">
        <v>86</v>
      </c>
      <c r="I188" s="5" t="s">
        <v>22</v>
      </c>
      <c r="J188" s="5" t="s">
        <v>4295</v>
      </c>
      <c r="K188" s="5" t="s">
        <v>4296</v>
      </c>
      <c r="L188" s="5"/>
      <c r="M188" s="5" t="s">
        <v>1384</v>
      </c>
      <c r="N188" s="5" t="s">
        <v>1384</v>
      </c>
      <c r="O188" s="5" t="s">
        <v>4297</v>
      </c>
      <c r="P188" s="5"/>
      <c r="Q188" s="5" t="s">
        <v>4298</v>
      </c>
    </row>
    <row r="189" spans="2:17" x14ac:dyDescent="0.2">
      <c r="B189" s="5" t="s">
        <v>4273</v>
      </c>
      <c r="C189" s="6" t="s">
        <v>13588</v>
      </c>
      <c r="D189" s="4">
        <v>123</v>
      </c>
      <c r="E189" s="5" t="s">
        <v>32</v>
      </c>
      <c r="F189" s="5" t="s">
        <v>4288</v>
      </c>
      <c r="G189" s="6" t="s">
        <v>14</v>
      </c>
      <c r="H189" s="4">
        <v>87</v>
      </c>
      <c r="I189" s="5" t="s">
        <v>22</v>
      </c>
      <c r="J189" s="5" t="s">
        <v>4289</v>
      </c>
      <c r="K189" s="5" t="s">
        <v>4276</v>
      </c>
      <c r="L189" s="5" t="s">
        <v>4290</v>
      </c>
      <c r="M189" s="5" t="s">
        <v>301</v>
      </c>
      <c r="N189" s="5" t="s">
        <v>296</v>
      </c>
      <c r="O189" s="5" t="s">
        <v>4281</v>
      </c>
      <c r="P189" s="5"/>
      <c r="Q189" s="5" t="s">
        <v>4291</v>
      </c>
    </row>
    <row r="190" spans="2:17" x14ac:dyDescent="0.2">
      <c r="B190" s="5" t="s">
        <v>4273</v>
      </c>
      <c r="C190" s="6" t="s">
        <v>13588</v>
      </c>
      <c r="D190" s="4">
        <v>124</v>
      </c>
      <c r="E190" s="5" t="s">
        <v>32</v>
      </c>
      <c r="F190" s="5" t="s">
        <v>4288</v>
      </c>
      <c r="G190" s="6" t="s">
        <v>14</v>
      </c>
      <c r="H190" s="4">
        <v>88</v>
      </c>
      <c r="I190" s="5" t="s">
        <v>22</v>
      </c>
      <c r="J190" s="5" t="s">
        <v>4292</v>
      </c>
      <c r="K190" s="5" t="s">
        <v>4276</v>
      </c>
      <c r="L190" s="5"/>
      <c r="M190" s="5" t="s">
        <v>301</v>
      </c>
      <c r="N190" s="5" t="s">
        <v>296</v>
      </c>
      <c r="O190" s="5" t="s">
        <v>4286</v>
      </c>
      <c r="P190" s="5"/>
      <c r="Q190" s="5" t="s">
        <v>4293</v>
      </c>
    </row>
    <row r="191" spans="2:17" x14ac:dyDescent="0.2">
      <c r="B191" s="5" t="s">
        <v>4273</v>
      </c>
      <c r="C191" s="6" t="s">
        <v>13588</v>
      </c>
      <c r="D191" s="4">
        <v>126</v>
      </c>
      <c r="E191" s="5" t="s">
        <v>15</v>
      </c>
      <c r="F191" s="5" t="s">
        <v>4279</v>
      </c>
      <c r="G191" s="6" t="s">
        <v>14</v>
      </c>
      <c r="H191" s="4">
        <v>89</v>
      </c>
      <c r="I191" s="5"/>
      <c r="J191" s="5" t="s">
        <v>4280</v>
      </c>
      <c r="K191" s="5" t="s">
        <v>4276</v>
      </c>
      <c r="L191" s="5"/>
      <c r="M191" s="5" t="s">
        <v>2891</v>
      </c>
      <c r="N191" s="5" t="s">
        <v>2891</v>
      </c>
      <c r="O191" s="5" t="s">
        <v>4281</v>
      </c>
      <c r="P191" s="5"/>
      <c r="Q191" s="5" t="s">
        <v>4282</v>
      </c>
    </row>
    <row r="192" spans="2:17" x14ac:dyDescent="0.2">
      <c r="B192" s="5" t="s">
        <v>4273</v>
      </c>
      <c r="C192" s="6" t="s">
        <v>13588</v>
      </c>
      <c r="D192" s="4">
        <v>128</v>
      </c>
      <c r="E192" s="5" t="s">
        <v>15</v>
      </c>
      <c r="F192" s="5" t="s">
        <v>4309</v>
      </c>
      <c r="G192" s="6" t="s">
        <v>14</v>
      </c>
      <c r="H192" s="4">
        <v>90</v>
      </c>
      <c r="I192" s="5"/>
      <c r="J192" s="5" t="s">
        <v>4310</v>
      </c>
      <c r="K192" s="5" t="s">
        <v>4276</v>
      </c>
      <c r="L192" s="5"/>
      <c r="M192" s="5" t="s">
        <v>224</v>
      </c>
      <c r="N192" s="5" t="s">
        <v>224</v>
      </c>
      <c r="O192" s="5" t="s">
        <v>4286</v>
      </c>
      <c r="P192" s="5"/>
      <c r="Q192" s="5" t="s">
        <v>4311</v>
      </c>
    </row>
    <row r="193" spans="2:17" x14ac:dyDescent="0.2">
      <c r="B193" s="5" t="s">
        <v>4273</v>
      </c>
      <c r="C193" s="6" t="s">
        <v>13588</v>
      </c>
      <c r="D193" s="4">
        <v>129</v>
      </c>
      <c r="E193" s="5" t="s">
        <v>20</v>
      </c>
      <c r="F193" s="5" t="s">
        <v>4312</v>
      </c>
      <c r="G193" s="6" t="s">
        <v>14</v>
      </c>
      <c r="H193" s="4">
        <v>91</v>
      </c>
      <c r="I193" s="5" t="s">
        <v>22</v>
      </c>
      <c r="J193" s="5" t="s">
        <v>4313</v>
      </c>
      <c r="K193" s="5" t="s">
        <v>4314</v>
      </c>
      <c r="L193" s="5" t="s">
        <v>4290</v>
      </c>
      <c r="M193" s="5" t="s">
        <v>4315</v>
      </c>
      <c r="N193" s="5" t="s">
        <v>260</v>
      </c>
      <c r="O193" s="5" t="s">
        <v>4297</v>
      </c>
      <c r="P193" s="5"/>
      <c r="Q193" s="5" t="s">
        <v>4316</v>
      </c>
    </row>
    <row r="194" spans="2:17" x14ac:dyDescent="0.2">
      <c r="B194" s="5" t="s">
        <v>4317</v>
      </c>
      <c r="C194" s="6" t="s">
        <v>13588</v>
      </c>
      <c r="D194" s="4">
        <v>134</v>
      </c>
      <c r="E194" s="5" t="s">
        <v>32</v>
      </c>
      <c r="F194" s="5" t="s">
        <v>4338</v>
      </c>
      <c r="G194" s="6" t="s">
        <v>14</v>
      </c>
      <c r="H194" s="4">
        <v>92</v>
      </c>
      <c r="I194" s="5" t="s">
        <v>22</v>
      </c>
      <c r="J194" s="5" t="s">
        <v>4339</v>
      </c>
      <c r="K194" s="5" t="s">
        <v>4340</v>
      </c>
      <c r="L194" s="5"/>
      <c r="M194" s="5" t="s">
        <v>106</v>
      </c>
      <c r="N194" s="5" t="s">
        <v>337</v>
      </c>
      <c r="O194" s="5" t="s">
        <v>4341</v>
      </c>
      <c r="P194" s="5"/>
      <c r="Q194" s="5" t="s">
        <v>4342</v>
      </c>
    </row>
    <row r="195" spans="2:17" x14ac:dyDescent="0.2">
      <c r="B195" s="5" t="s">
        <v>4317</v>
      </c>
      <c r="C195" s="6" t="s">
        <v>13588</v>
      </c>
      <c r="D195" s="4">
        <v>137</v>
      </c>
      <c r="E195" s="5" t="s">
        <v>32</v>
      </c>
      <c r="F195" s="5" t="s">
        <v>4318</v>
      </c>
      <c r="G195" s="6" t="s">
        <v>14</v>
      </c>
      <c r="H195" s="4">
        <v>93</v>
      </c>
      <c r="I195" s="5" t="s">
        <v>22</v>
      </c>
      <c r="J195" s="5" t="s">
        <v>4319</v>
      </c>
      <c r="K195" s="5" t="s">
        <v>4320</v>
      </c>
      <c r="L195" s="5"/>
      <c r="M195" s="5" t="s">
        <v>283</v>
      </c>
      <c r="N195" s="5" t="s">
        <v>284</v>
      </c>
      <c r="O195" s="5" t="s">
        <v>4321</v>
      </c>
      <c r="P195" s="5"/>
      <c r="Q195" s="5" t="s">
        <v>4322</v>
      </c>
    </row>
    <row r="196" spans="2:17" x14ac:dyDescent="0.2">
      <c r="B196" s="5" t="s">
        <v>4317</v>
      </c>
      <c r="C196" s="6" t="s">
        <v>13588</v>
      </c>
      <c r="D196" s="4">
        <v>138</v>
      </c>
      <c r="E196" s="5" t="s">
        <v>32</v>
      </c>
      <c r="F196" s="5" t="s">
        <v>4318</v>
      </c>
      <c r="G196" s="6" t="s">
        <v>14</v>
      </c>
      <c r="H196" s="4">
        <v>94</v>
      </c>
      <c r="I196" s="5" t="s">
        <v>22</v>
      </c>
      <c r="J196" s="5" t="s">
        <v>4323</v>
      </c>
      <c r="K196" s="5" t="s">
        <v>4324</v>
      </c>
      <c r="L196" s="5"/>
      <c r="M196" s="5" t="s">
        <v>283</v>
      </c>
      <c r="N196" s="5" t="s">
        <v>284</v>
      </c>
      <c r="O196" s="5" t="s">
        <v>4321</v>
      </c>
      <c r="P196" s="5"/>
      <c r="Q196" s="5" t="s">
        <v>4325</v>
      </c>
    </row>
    <row r="197" spans="2:17" x14ac:dyDescent="0.2">
      <c r="B197" s="5" t="s">
        <v>4317</v>
      </c>
      <c r="C197" s="6" t="s">
        <v>13588</v>
      </c>
      <c r="D197" s="4">
        <v>139</v>
      </c>
      <c r="E197" s="5" t="s">
        <v>32</v>
      </c>
      <c r="F197" s="5" t="s">
        <v>4318</v>
      </c>
      <c r="G197" s="6" t="s">
        <v>14</v>
      </c>
      <c r="H197" s="4">
        <v>95</v>
      </c>
      <c r="I197" s="5" t="s">
        <v>22</v>
      </c>
      <c r="J197" s="5" t="s">
        <v>4326</v>
      </c>
      <c r="K197" s="5" t="s">
        <v>4324</v>
      </c>
      <c r="L197" s="5"/>
      <c r="M197" s="5" t="s">
        <v>283</v>
      </c>
      <c r="N197" s="5" t="s">
        <v>284</v>
      </c>
      <c r="O197" s="5" t="s">
        <v>4321</v>
      </c>
      <c r="P197" s="5"/>
      <c r="Q197" s="5" t="s">
        <v>4327</v>
      </c>
    </row>
    <row r="198" spans="2:17" x14ac:dyDescent="0.2">
      <c r="B198" s="5" t="s">
        <v>4317</v>
      </c>
      <c r="C198" s="6" t="s">
        <v>13588</v>
      </c>
      <c r="D198" s="4">
        <v>140</v>
      </c>
      <c r="E198" s="5" t="s">
        <v>32</v>
      </c>
      <c r="F198" s="5" t="s">
        <v>4318</v>
      </c>
      <c r="G198" s="6" t="s">
        <v>14</v>
      </c>
      <c r="H198" s="4">
        <v>96</v>
      </c>
      <c r="I198" s="5" t="s">
        <v>22</v>
      </c>
      <c r="J198" s="5" t="s">
        <v>4328</v>
      </c>
      <c r="K198" s="5" t="s">
        <v>4324</v>
      </c>
      <c r="L198" s="5"/>
      <c r="M198" s="5" t="s">
        <v>283</v>
      </c>
      <c r="N198" s="5" t="s">
        <v>284</v>
      </c>
      <c r="O198" s="5" t="s">
        <v>4321</v>
      </c>
      <c r="P198" s="5"/>
      <c r="Q198" s="5" t="s">
        <v>4329</v>
      </c>
    </row>
    <row r="199" spans="2:17" x14ac:dyDescent="0.2">
      <c r="B199" s="5" t="s">
        <v>4357</v>
      </c>
      <c r="C199" s="6" t="s">
        <v>13588</v>
      </c>
      <c r="D199" s="4">
        <v>142</v>
      </c>
      <c r="E199" s="5" t="s">
        <v>32</v>
      </c>
      <c r="F199" s="5" t="s">
        <v>4358</v>
      </c>
      <c r="G199" s="6" t="s">
        <v>14</v>
      </c>
      <c r="H199" s="4">
        <v>97</v>
      </c>
      <c r="I199" s="5" t="s">
        <v>38</v>
      </c>
      <c r="J199" s="5" t="s">
        <v>4359</v>
      </c>
      <c r="K199" s="5" t="s">
        <v>3800</v>
      </c>
      <c r="L199" s="5" t="s">
        <v>4360</v>
      </c>
      <c r="M199" s="5" t="s">
        <v>1715</v>
      </c>
      <c r="N199" s="5" t="s">
        <v>1208</v>
      </c>
      <c r="O199" s="5" t="s">
        <v>4361</v>
      </c>
      <c r="P199" s="5"/>
      <c r="Q199" s="5" t="s">
        <v>4362</v>
      </c>
    </row>
    <row r="200" spans="2:17" x14ac:dyDescent="0.2">
      <c r="B200" s="5" t="s">
        <v>4357</v>
      </c>
      <c r="C200" s="6" t="s">
        <v>13588</v>
      </c>
      <c r="D200" s="4">
        <v>143</v>
      </c>
      <c r="E200" s="5" t="s">
        <v>32</v>
      </c>
      <c r="F200" s="5" t="s">
        <v>4358</v>
      </c>
      <c r="G200" s="6" t="s">
        <v>14</v>
      </c>
      <c r="H200" s="4">
        <v>98</v>
      </c>
      <c r="I200" s="5" t="s">
        <v>38</v>
      </c>
      <c r="J200" s="5" t="s">
        <v>4363</v>
      </c>
      <c r="K200" s="5" t="s">
        <v>4364</v>
      </c>
      <c r="L200" s="5" t="s">
        <v>4365</v>
      </c>
      <c r="M200" s="5" t="s">
        <v>1715</v>
      </c>
      <c r="N200" s="5" t="s">
        <v>1208</v>
      </c>
      <c r="O200" s="5" t="s">
        <v>4361</v>
      </c>
      <c r="P200" s="5"/>
      <c r="Q200" s="5" t="s">
        <v>4366</v>
      </c>
    </row>
    <row r="201" spans="2:17" x14ac:dyDescent="0.2">
      <c r="B201" s="5" t="s">
        <v>4377</v>
      </c>
      <c r="C201" s="6" t="s">
        <v>13588</v>
      </c>
      <c r="D201" s="4">
        <v>144</v>
      </c>
      <c r="E201" s="5" t="s">
        <v>32</v>
      </c>
      <c r="F201" s="5" t="s">
        <v>4515</v>
      </c>
      <c r="G201" s="6" t="s">
        <v>14</v>
      </c>
      <c r="H201" s="4">
        <v>99</v>
      </c>
      <c r="I201" s="5" t="s">
        <v>22</v>
      </c>
      <c r="J201" s="5" t="s">
        <v>4516</v>
      </c>
      <c r="K201" s="5" t="s">
        <v>4517</v>
      </c>
      <c r="L201" s="5" t="s">
        <v>4518</v>
      </c>
      <c r="M201" s="5" t="s">
        <v>2198</v>
      </c>
      <c r="N201" s="5" t="s">
        <v>2199</v>
      </c>
      <c r="O201" s="5" t="s">
        <v>4395</v>
      </c>
      <c r="P201" s="5"/>
      <c r="Q201" s="5" t="s">
        <v>4519</v>
      </c>
    </row>
    <row r="202" spans="2:17" x14ac:dyDescent="0.2">
      <c r="B202" s="5" t="s">
        <v>4377</v>
      </c>
      <c r="C202" s="6" t="s">
        <v>13588</v>
      </c>
      <c r="D202" s="4">
        <v>145</v>
      </c>
      <c r="E202" s="5" t="s">
        <v>32</v>
      </c>
      <c r="F202" s="5" t="s">
        <v>4515</v>
      </c>
      <c r="G202" s="6" t="s">
        <v>14</v>
      </c>
      <c r="H202" s="4">
        <v>100</v>
      </c>
      <c r="I202" s="5" t="s">
        <v>22</v>
      </c>
      <c r="J202" s="5" t="s">
        <v>4520</v>
      </c>
      <c r="K202" s="5" t="s">
        <v>4521</v>
      </c>
      <c r="L202" s="5" t="s">
        <v>4522</v>
      </c>
      <c r="M202" s="5" t="s">
        <v>2198</v>
      </c>
      <c r="N202" s="5" t="s">
        <v>2199</v>
      </c>
      <c r="O202" s="5" t="s">
        <v>4391</v>
      </c>
      <c r="P202" s="5"/>
      <c r="Q202" s="5" t="s">
        <v>4523</v>
      </c>
    </row>
    <row r="203" spans="2:17" x14ac:dyDescent="0.2">
      <c r="B203" s="5" t="s">
        <v>4377</v>
      </c>
      <c r="C203" s="6" t="s">
        <v>13588</v>
      </c>
      <c r="D203" s="4">
        <v>159</v>
      </c>
      <c r="E203" s="5" t="s">
        <v>32</v>
      </c>
      <c r="F203" s="5" t="s">
        <v>4460</v>
      </c>
      <c r="G203" s="6" t="s">
        <v>14</v>
      </c>
      <c r="H203" s="4">
        <v>101</v>
      </c>
      <c r="I203" s="5" t="s">
        <v>38</v>
      </c>
      <c r="J203" s="5" t="s">
        <v>4461</v>
      </c>
      <c r="K203" s="5" t="s">
        <v>4462</v>
      </c>
      <c r="L203" s="5" t="s">
        <v>4403</v>
      </c>
      <c r="M203" s="5" t="s">
        <v>573</v>
      </c>
      <c r="N203" s="5" t="s">
        <v>1262</v>
      </c>
      <c r="O203" s="5" t="s">
        <v>4395</v>
      </c>
      <c r="P203" s="5"/>
      <c r="Q203" s="5" t="s">
        <v>4463</v>
      </c>
    </row>
    <row r="204" spans="2:17" x14ac:dyDescent="0.2">
      <c r="B204" s="5" t="s">
        <v>4377</v>
      </c>
      <c r="C204" s="6" t="s">
        <v>13588</v>
      </c>
      <c r="D204" s="4">
        <v>160</v>
      </c>
      <c r="E204" s="5" t="s">
        <v>32</v>
      </c>
      <c r="F204" s="5" t="s">
        <v>4460</v>
      </c>
      <c r="G204" s="6" t="s">
        <v>14</v>
      </c>
      <c r="H204" s="4">
        <v>102</v>
      </c>
      <c r="I204" s="5" t="s">
        <v>38</v>
      </c>
      <c r="J204" s="5" t="s">
        <v>4464</v>
      </c>
      <c r="K204" s="5" t="s">
        <v>4465</v>
      </c>
      <c r="L204" s="5" t="s">
        <v>4381</v>
      </c>
      <c r="M204" s="5" t="s">
        <v>573</v>
      </c>
      <c r="N204" s="5" t="s">
        <v>1262</v>
      </c>
      <c r="O204" s="5" t="s">
        <v>4382</v>
      </c>
      <c r="P204" s="5"/>
      <c r="Q204" s="5" t="s">
        <v>4466</v>
      </c>
    </row>
    <row r="205" spans="2:17" x14ac:dyDescent="0.2">
      <c r="B205" s="5" t="s">
        <v>4377</v>
      </c>
      <c r="C205" s="6" t="s">
        <v>13588</v>
      </c>
      <c r="D205" s="4">
        <v>162</v>
      </c>
      <c r="E205" s="5" t="s">
        <v>20</v>
      </c>
      <c r="F205" s="5" t="s">
        <v>4387</v>
      </c>
      <c r="G205" s="6" t="s">
        <v>14</v>
      </c>
      <c r="H205" s="4">
        <v>103</v>
      </c>
      <c r="I205" s="5" t="s">
        <v>38</v>
      </c>
      <c r="J205" s="5" t="s">
        <v>4426</v>
      </c>
      <c r="K205" s="5" t="s">
        <v>4427</v>
      </c>
      <c r="L205" s="5" t="s">
        <v>4428</v>
      </c>
      <c r="M205" s="5" t="s">
        <v>1269</v>
      </c>
      <c r="N205" s="5" t="s">
        <v>1263</v>
      </c>
      <c r="O205" s="5" t="s">
        <v>4391</v>
      </c>
      <c r="P205" s="5"/>
      <c r="Q205" s="5" t="s">
        <v>4429</v>
      </c>
    </row>
    <row r="206" spans="2:17" x14ac:dyDescent="0.2">
      <c r="B206" s="5" t="s">
        <v>4377</v>
      </c>
      <c r="C206" s="6" t="s">
        <v>13588</v>
      </c>
      <c r="D206" s="4">
        <v>163</v>
      </c>
      <c r="E206" s="5" t="s">
        <v>20</v>
      </c>
      <c r="F206" s="5" t="s">
        <v>4387</v>
      </c>
      <c r="G206" s="6" t="s">
        <v>14</v>
      </c>
      <c r="H206" s="4">
        <v>104</v>
      </c>
      <c r="I206" s="5" t="s">
        <v>38</v>
      </c>
      <c r="J206" s="5" t="s">
        <v>4430</v>
      </c>
      <c r="K206" s="5" t="s">
        <v>4431</v>
      </c>
      <c r="L206" s="5"/>
      <c r="M206" s="5" t="s">
        <v>1269</v>
      </c>
      <c r="N206" s="5" t="s">
        <v>1263</v>
      </c>
      <c r="O206" s="5" t="s">
        <v>4391</v>
      </c>
      <c r="P206" s="5"/>
      <c r="Q206" s="5" t="s">
        <v>4432</v>
      </c>
    </row>
    <row r="207" spans="2:17" x14ac:dyDescent="0.2">
      <c r="B207" s="5" t="s">
        <v>4377</v>
      </c>
      <c r="C207" s="6" t="s">
        <v>13588</v>
      </c>
      <c r="D207" s="4">
        <v>164</v>
      </c>
      <c r="E207" s="5" t="s">
        <v>20</v>
      </c>
      <c r="F207" s="5" t="s">
        <v>4387</v>
      </c>
      <c r="G207" s="6" t="s">
        <v>14</v>
      </c>
      <c r="H207" s="4">
        <v>105</v>
      </c>
      <c r="I207" s="5" t="s">
        <v>22</v>
      </c>
      <c r="J207" s="5" t="s">
        <v>4433</v>
      </c>
      <c r="K207" s="5" t="s">
        <v>4434</v>
      </c>
      <c r="L207" s="5" t="s">
        <v>4435</v>
      </c>
      <c r="M207" s="5" t="s">
        <v>1269</v>
      </c>
      <c r="N207" s="5" t="s">
        <v>1263</v>
      </c>
      <c r="O207" s="5" t="s">
        <v>4391</v>
      </c>
      <c r="P207" s="5"/>
      <c r="Q207" s="5" t="s">
        <v>4436</v>
      </c>
    </row>
    <row r="208" spans="2:17" x14ac:dyDescent="0.2">
      <c r="B208" s="5" t="s">
        <v>4377</v>
      </c>
      <c r="C208" s="6" t="s">
        <v>13588</v>
      </c>
      <c r="D208" s="4">
        <v>165</v>
      </c>
      <c r="E208" s="5" t="s">
        <v>20</v>
      </c>
      <c r="F208" s="5" t="s">
        <v>4387</v>
      </c>
      <c r="G208" s="6" t="s">
        <v>14</v>
      </c>
      <c r="H208" s="4">
        <v>106</v>
      </c>
      <c r="I208" s="5" t="s">
        <v>22</v>
      </c>
      <c r="J208" s="5" t="s">
        <v>4437</v>
      </c>
      <c r="K208" s="5" t="s">
        <v>4438</v>
      </c>
      <c r="L208" s="5" t="s">
        <v>4439</v>
      </c>
      <c r="M208" s="5" t="s">
        <v>1269</v>
      </c>
      <c r="N208" s="5" t="s">
        <v>1263</v>
      </c>
      <c r="O208" s="5" t="s">
        <v>4395</v>
      </c>
      <c r="P208" s="5"/>
      <c r="Q208" s="5" t="s">
        <v>4440</v>
      </c>
    </row>
    <row r="209" spans="2:17" x14ac:dyDescent="0.2">
      <c r="B209" s="5" t="s">
        <v>4377</v>
      </c>
      <c r="C209" s="6" t="s">
        <v>13588</v>
      </c>
      <c r="D209" s="4">
        <v>166</v>
      </c>
      <c r="E209" s="5" t="s">
        <v>20</v>
      </c>
      <c r="F209" s="5" t="s">
        <v>4387</v>
      </c>
      <c r="G209" s="6" t="s">
        <v>14</v>
      </c>
      <c r="H209" s="4">
        <v>107</v>
      </c>
      <c r="I209" s="5" t="s">
        <v>38</v>
      </c>
      <c r="J209" s="5" t="s">
        <v>4441</v>
      </c>
      <c r="K209" s="5" t="s">
        <v>4442</v>
      </c>
      <c r="L209" s="5" t="s">
        <v>4443</v>
      </c>
      <c r="M209" s="5" t="s">
        <v>1269</v>
      </c>
      <c r="N209" s="5" t="s">
        <v>1263</v>
      </c>
      <c r="O209" s="5" t="s">
        <v>4391</v>
      </c>
      <c r="P209" s="5"/>
      <c r="Q209" s="5" t="s">
        <v>4444</v>
      </c>
    </row>
    <row r="210" spans="2:17" x14ac:dyDescent="0.2">
      <c r="B210" s="5" t="s">
        <v>4377</v>
      </c>
      <c r="C210" s="6" t="s">
        <v>13588</v>
      </c>
      <c r="D210" s="4">
        <v>167</v>
      </c>
      <c r="E210" s="5" t="s">
        <v>20</v>
      </c>
      <c r="F210" s="5" t="s">
        <v>4387</v>
      </c>
      <c r="G210" s="6" t="s">
        <v>14</v>
      </c>
      <c r="H210" s="4">
        <v>108</v>
      </c>
      <c r="I210" s="5" t="s">
        <v>38</v>
      </c>
      <c r="J210" s="5" t="s">
        <v>4445</v>
      </c>
      <c r="K210" s="5" t="s">
        <v>4446</v>
      </c>
      <c r="L210" s="5" t="s">
        <v>4447</v>
      </c>
      <c r="M210" s="5" t="s">
        <v>1269</v>
      </c>
      <c r="N210" s="5" t="s">
        <v>1263</v>
      </c>
      <c r="O210" s="5" t="s">
        <v>4391</v>
      </c>
      <c r="P210" s="5"/>
      <c r="Q210" s="5" t="s">
        <v>4448</v>
      </c>
    </row>
    <row r="211" spans="2:17" x14ac:dyDescent="0.2">
      <c r="B211" s="5" t="s">
        <v>4377</v>
      </c>
      <c r="C211" s="6" t="s">
        <v>13588</v>
      </c>
      <c r="D211" s="4">
        <v>168</v>
      </c>
      <c r="E211" s="5" t="s">
        <v>20</v>
      </c>
      <c r="F211" s="5" t="s">
        <v>4387</v>
      </c>
      <c r="G211" s="6" t="s">
        <v>14</v>
      </c>
      <c r="H211" s="4">
        <v>109</v>
      </c>
      <c r="I211" s="5" t="s">
        <v>38</v>
      </c>
      <c r="J211" s="5" t="s">
        <v>4449</v>
      </c>
      <c r="K211" s="5" t="s">
        <v>4450</v>
      </c>
      <c r="L211" s="5" t="s">
        <v>4451</v>
      </c>
      <c r="M211" s="5" t="s">
        <v>1269</v>
      </c>
      <c r="N211" s="5" t="s">
        <v>1263</v>
      </c>
      <c r="O211" s="5" t="s">
        <v>4391</v>
      </c>
      <c r="P211" s="5"/>
      <c r="Q211" s="5" t="s">
        <v>4452</v>
      </c>
    </row>
    <row r="212" spans="2:17" x14ac:dyDescent="0.2">
      <c r="B212" s="5" t="s">
        <v>4377</v>
      </c>
      <c r="C212" s="6" t="s">
        <v>13588</v>
      </c>
      <c r="D212" s="4">
        <v>170</v>
      </c>
      <c r="E212" s="5" t="s">
        <v>20</v>
      </c>
      <c r="F212" s="5" t="s">
        <v>4387</v>
      </c>
      <c r="G212" s="6" t="s">
        <v>14</v>
      </c>
      <c r="H212" s="4">
        <v>110</v>
      </c>
      <c r="I212" s="5" t="s">
        <v>38</v>
      </c>
      <c r="J212" s="5" t="s">
        <v>4388</v>
      </c>
      <c r="K212" s="5" t="s">
        <v>4389</v>
      </c>
      <c r="L212" s="5" t="s">
        <v>4390</v>
      </c>
      <c r="M212" s="5" t="s">
        <v>1269</v>
      </c>
      <c r="N212" s="5" t="s">
        <v>1263</v>
      </c>
      <c r="O212" s="5" t="s">
        <v>4391</v>
      </c>
      <c r="P212" s="5"/>
      <c r="Q212" s="5" t="s">
        <v>4392</v>
      </c>
    </row>
    <row r="213" spans="2:17" x14ac:dyDescent="0.2">
      <c r="B213" s="5" t="s">
        <v>4377</v>
      </c>
      <c r="C213" s="6" t="s">
        <v>13588</v>
      </c>
      <c r="D213" s="4">
        <v>171</v>
      </c>
      <c r="E213" s="5" t="s">
        <v>20</v>
      </c>
      <c r="F213" s="5" t="s">
        <v>4387</v>
      </c>
      <c r="G213" s="6" t="s">
        <v>14</v>
      </c>
      <c r="H213" s="4">
        <v>111</v>
      </c>
      <c r="I213" s="5" t="s">
        <v>38</v>
      </c>
      <c r="J213" s="5" t="s">
        <v>4393</v>
      </c>
      <c r="K213" s="5" t="s">
        <v>4394</v>
      </c>
      <c r="L213" s="5"/>
      <c r="M213" s="5" t="s">
        <v>1269</v>
      </c>
      <c r="N213" s="5" t="s">
        <v>1263</v>
      </c>
      <c r="O213" s="5" t="s">
        <v>4395</v>
      </c>
      <c r="P213" s="5"/>
      <c r="Q213" s="5" t="s">
        <v>4396</v>
      </c>
    </row>
    <row r="214" spans="2:17" x14ac:dyDescent="0.2">
      <c r="B214" s="5" t="s">
        <v>4377</v>
      </c>
      <c r="C214" s="6" t="s">
        <v>13588</v>
      </c>
      <c r="D214" s="4">
        <v>172</v>
      </c>
      <c r="E214" s="5" t="s">
        <v>20</v>
      </c>
      <c r="F214" s="5" t="s">
        <v>4387</v>
      </c>
      <c r="G214" s="6" t="s">
        <v>14</v>
      </c>
      <c r="H214" s="4">
        <v>112</v>
      </c>
      <c r="I214" s="5" t="s">
        <v>38</v>
      </c>
      <c r="J214" s="5" t="s">
        <v>4397</v>
      </c>
      <c r="K214" s="5" t="s">
        <v>4398</v>
      </c>
      <c r="L214" s="5" t="s">
        <v>4399</v>
      </c>
      <c r="M214" s="5" t="s">
        <v>1269</v>
      </c>
      <c r="N214" s="5" t="s">
        <v>1263</v>
      </c>
      <c r="O214" s="5" t="s">
        <v>4395</v>
      </c>
      <c r="P214" s="5"/>
      <c r="Q214" s="5" t="s">
        <v>4400</v>
      </c>
    </row>
    <row r="215" spans="2:17" x14ac:dyDescent="0.2">
      <c r="B215" s="5" t="s">
        <v>4377</v>
      </c>
      <c r="C215" s="6" t="s">
        <v>13588</v>
      </c>
      <c r="D215" s="4">
        <v>173</v>
      </c>
      <c r="E215" s="5" t="s">
        <v>20</v>
      </c>
      <c r="F215" s="5" t="s">
        <v>4387</v>
      </c>
      <c r="G215" s="6" t="s">
        <v>14</v>
      </c>
      <c r="H215" s="4">
        <v>113</v>
      </c>
      <c r="I215" s="5" t="s">
        <v>22</v>
      </c>
      <c r="J215" s="5" t="s">
        <v>4401</v>
      </c>
      <c r="K215" s="5" t="s">
        <v>4402</v>
      </c>
      <c r="L215" s="5" t="s">
        <v>4403</v>
      </c>
      <c r="M215" s="5" t="s">
        <v>1269</v>
      </c>
      <c r="N215" s="5" t="s">
        <v>1263</v>
      </c>
      <c r="O215" s="5" t="s">
        <v>4395</v>
      </c>
      <c r="P215" s="5"/>
      <c r="Q215" s="5" t="s">
        <v>4404</v>
      </c>
    </row>
    <row r="216" spans="2:17" x14ac:dyDescent="0.2">
      <c r="B216" s="5" t="s">
        <v>4377</v>
      </c>
      <c r="C216" s="6" t="s">
        <v>13588</v>
      </c>
      <c r="D216" s="4">
        <v>174</v>
      </c>
      <c r="E216" s="5" t="s">
        <v>20</v>
      </c>
      <c r="F216" s="5" t="s">
        <v>4387</v>
      </c>
      <c r="G216" s="6" t="s">
        <v>14</v>
      </c>
      <c r="H216" s="4">
        <v>114</v>
      </c>
      <c r="I216" s="5" t="s">
        <v>38</v>
      </c>
      <c r="J216" s="5" t="s">
        <v>4405</v>
      </c>
      <c r="K216" s="5" t="s">
        <v>4406</v>
      </c>
      <c r="L216" s="5" t="s">
        <v>4407</v>
      </c>
      <c r="M216" s="5" t="s">
        <v>1269</v>
      </c>
      <c r="N216" s="5" t="s">
        <v>1263</v>
      </c>
      <c r="O216" s="5" t="s">
        <v>4408</v>
      </c>
      <c r="P216" s="5"/>
      <c r="Q216" s="5" t="s">
        <v>4409</v>
      </c>
    </row>
    <row r="217" spans="2:17" x14ac:dyDescent="0.2">
      <c r="B217" s="5" t="s">
        <v>4377</v>
      </c>
      <c r="C217" s="6" t="s">
        <v>13588</v>
      </c>
      <c r="D217" s="4">
        <v>175</v>
      </c>
      <c r="E217" s="5" t="s">
        <v>20</v>
      </c>
      <c r="F217" s="5" t="s">
        <v>4387</v>
      </c>
      <c r="G217" s="6" t="s">
        <v>14</v>
      </c>
      <c r="H217" s="4">
        <v>115</v>
      </c>
      <c r="I217" s="5" t="s">
        <v>38</v>
      </c>
      <c r="J217" s="5" t="s">
        <v>4410</v>
      </c>
      <c r="K217" s="5" t="s">
        <v>4411</v>
      </c>
      <c r="L217" s="5"/>
      <c r="M217" s="5" t="s">
        <v>1269</v>
      </c>
      <c r="N217" s="5" t="s">
        <v>1263</v>
      </c>
      <c r="O217" s="5" t="s">
        <v>4408</v>
      </c>
      <c r="P217" s="5"/>
      <c r="Q217" s="5" t="s">
        <v>4412</v>
      </c>
    </row>
    <row r="218" spans="2:17" x14ac:dyDescent="0.2">
      <c r="B218" s="5" t="s">
        <v>4377</v>
      </c>
      <c r="C218" s="6" t="s">
        <v>13588</v>
      </c>
      <c r="D218" s="4">
        <v>176</v>
      </c>
      <c r="E218" s="5" t="s">
        <v>20</v>
      </c>
      <c r="F218" s="5" t="s">
        <v>4387</v>
      </c>
      <c r="G218" s="6" t="s">
        <v>14</v>
      </c>
      <c r="H218" s="4">
        <v>116</v>
      </c>
      <c r="I218" s="5" t="s">
        <v>38</v>
      </c>
      <c r="J218" s="5" t="s">
        <v>4413</v>
      </c>
      <c r="K218" s="5" t="s">
        <v>4414</v>
      </c>
      <c r="L218" s="5" t="s">
        <v>4403</v>
      </c>
      <c r="M218" s="5" t="s">
        <v>1269</v>
      </c>
      <c r="N218" s="5" t="s">
        <v>1263</v>
      </c>
      <c r="O218" s="5" t="s">
        <v>4395</v>
      </c>
      <c r="P218" s="5"/>
      <c r="Q218" s="5" t="s">
        <v>4415</v>
      </c>
    </row>
    <row r="219" spans="2:17" x14ac:dyDescent="0.2">
      <c r="B219" s="5" t="s">
        <v>4377</v>
      </c>
      <c r="C219" s="6" t="s">
        <v>13588</v>
      </c>
      <c r="D219" s="4">
        <v>177</v>
      </c>
      <c r="E219" s="5" t="s">
        <v>20</v>
      </c>
      <c r="F219" s="5" t="s">
        <v>4387</v>
      </c>
      <c r="G219" s="6" t="s">
        <v>14</v>
      </c>
      <c r="H219" s="4">
        <v>117</v>
      </c>
      <c r="I219" s="5" t="s">
        <v>38</v>
      </c>
      <c r="J219" s="5" t="s">
        <v>4416</v>
      </c>
      <c r="K219" s="5" t="s">
        <v>4417</v>
      </c>
      <c r="L219" s="5" t="s">
        <v>4418</v>
      </c>
      <c r="M219" s="5" t="s">
        <v>1269</v>
      </c>
      <c r="N219" s="5" t="s">
        <v>1263</v>
      </c>
      <c r="O219" s="5" t="s">
        <v>4391</v>
      </c>
      <c r="P219" s="5"/>
      <c r="Q219" s="5" t="s">
        <v>4419</v>
      </c>
    </row>
    <row r="220" spans="2:17" x14ac:dyDescent="0.2">
      <c r="B220" s="5" t="s">
        <v>4377</v>
      </c>
      <c r="C220" s="6" t="s">
        <v>13588</v>
      </c>
      <c r="D220" s="4">
        <v>178</v>
      </c>
      <c r="E220" s="5" t="s">
        <v>20</v>
      </c>
      <c r="F220" s="5" t="s">
        <v>4387</v>
      </c>
      <c r="G220" s="6" t="s">
        <v>14</v>
      </c>
      <c r="H220" s="4">
        <v>118</v>
      </c>
      <c r="I220" s="5" t="s">
        <v>38</v>
      </c>
      <c r="J220" s="5" t="s">
        <v>4420</v>
      </c>
      <c r="K220" s="5" t="s">
        <v>4421</v>
      </c>
      <c r="L220" s="5" t="s">
        <v>4381</v>
      </c>
      <c r="M220" s="5" t="s">
        <v>1269</v>
      </c>
      <c r="N220" s="5" t="s">
        <v>1263</v>
      </c>
      <c r="O220" s="5" t="s">
        <v>4382</v>
      </c>
      <c r="P220" s="5"/>
      <c r="Q220" s="5" t="s">
        <v>4422</v>
      </c>
    </row>
    <row r="221" spans="2:17" x14ac:dyDescent="0.2">
      <c r="B221" s="5" t="s">
        <v>4377</v>
      </c>
      <c r="C221" s="6" t="s">
        <v>13588</v>
      </c>
      <c r="D221" s="4">
        <v>179</v>
      </c>
      <c r="E221" s="5" t="s">
        <v>20</v>
      </c>
      <c r="F221" s="5" t="s">
        <v>4387</v>
      </c>
      <c r="G221" s="6" t="s">
        <v>14</v>
      </c>
      <c r="H221" s="4">
        <v>119</v>
      </c>
      <c r="I221" s="5" t="s">
        <v>38</v>
      </c>
      <c r="J221" s="5" t="s">
        <v>4423</v>
      </c>
      <c r="K221" s="5" t="s">
        <v>4424</v>
      </c>
      <c r="L221" s="5"/>
      <c r="M221" s="5" t="s">
        <v>1269</v>
      </c>
      <c r="N221" s="5" t="s">
        <v>1263</v>
      </c>
      <c r="O221" s="5" t="s">
        <v>4395</v>
      </c>
      <c r="P221" s="5"/>
      <c r="Q221" s="5" t="s">
        <v>4425</v>
      </c>
    </row>
    <row r="222" spans="2:17" x14ac:dyDescent="0.2">
      <c r="B222" s="5" t="s">
        <v>4377</v>
      </c>
      <c r="C222" s="6" t="s">
        <v>13588</v>
      </c>
      <c r="D222" s="4">
        <v>182</v>
      </c>
      <c r="E222" s="5" t="s">
        <v>32</v>
      </c>
      <c r="F222" s="5" t="s">
        <v>4524</v>
      </c>
      <c r="G222" s="6" t="s">
        <v>14</v>
      </c>
      <c r="H222" s="4">
        <v>120</v>
      </c>
      <c r="I222" s="5" t="s">
        <v>38</v>
      </c>
      <c r="J222" s="5" t="s">
        <v>4525</v>
      </c>
      <c r="K222" s="5" t="s">
        <v>4389</v>
      </c>
      <c r="L222" s="5" t="s">
        <v>4526</v>
      </c>
      <c r="M222" s="5" t="s">
        <v>1658</v>
      </c>
      <c r="N222" s="5" t="s">
        <v>496</v>
      </c>
      <c r="O222" s="5" t="s">
        <v>4391</v>
      </c>
      <c r="P222" s="5"/>
      <c r="Q222" s="5" t="s">
        <v>4527</v>
      </c>
    </row>
    <row r="223" spans="2:17" x14ac:dyDescent="0.2">
      <c r="B223" s="5" t="s">
        <v>4377</v>
      </c>
      <c r="C223" s="6" t="s">
        <v>13588</v>
      </c>
      <c r="D223" s="4">
        <v>183</v>
      </c>
      <c r="E223" s="5" t="s">
        <v>32</v>
      </c>
      <c r="F223" s="5" t="s">
        <v>4524</v>
      </c>
      <c r="G223" s="6" t="s">
        <v>14</v>
      </c>
      <c r="H223" s="4">
        <v>121</v>
      </c>
      <c r="I223" s="5" t="s">
        <v>38</v>
      </c>
      <c r="J223" s="5" t="s">
        <v>4528</v>
      </c>
      <c r="K223" s="5" t="s">
        <v>4496</v>
      </c>
      <c r="L223" s="5" t="s">
        <v>4529</v>
      </c>
      <c r="M223" s="5" t="s">
        <v>1658</v>
      </c>
      <c r="N223" s="5" t="s">
        <v>496</v>
      </c>
      <c r="O223" s="5" t="s">
        <v>4408</v>
      </c>
      <c r="P223" s="5"/>
      <c r="Q223" s="5" t="s">
        <v>4530</v>
      </c>
    </row>
    <row r="224" spans="2:17" x14ac:dyDescent="0.2">
      <c r="B224" s="5" t="s">
        <v>4377</v>
      </c>
      <c r="C224" s="6" t="s">
        <v>13588</v>
      </c>
      <c r="D224" s="4">
        <v>184</v>
      </c>
      <c r="E224" s="5" t="s">
        <v>32</v>
      </c>
      <c r="F224" s="5" t="s">
        <v>4524</v>
      </c>
      <c r="G224" s="6" t="s">
        <v>14</v>
      </c>
      <c r="H224" s="4">
        <v>122</v>
      </c>
      <c r="I224" s="5" t="s">
        <v>38</v>
      </c>
      <c r="J224" s="5" t="s">
        <v>4531</v>
      </c>
      <c r="K224" s="5" t="s">
        <v>4496</v>
      </c>
      <c r="L224" s="5" t="s">
        <v>4532</v>
      </c>
      <c r="M224" s="5" t="s">
        <v>1658</v>
      </c>
      <c r="N224" s="5" t="s">
        <v>496</v>
      </c>
      <c r="O224" s="5" t="s">
        <v>4408</v>
      </c>
      <c r="P224" s="5"/>
      <c r="Q224" s="5" t="s">
        <v>4533</v>
      </c>
    </row>
    <row r="225" spans="2:17" x14ac:dyDescent="0.2">
      <c r="B225" s="5" t="s">
        <v>4377</v>
      </c>
      <c r="C225" s="6" t="s">
        <v>13588</v>
      </c>
      <c r="D225" s="4">
        <v>185</v>
      </c>
      <c r="E225" s="5" t="s">
        <v>32</v>
      </c>
      <c r="F225" s="5" t="s">
        <v>4524</v>
      </c>
      <c r="G225" s="6" t="s">
        <v>14</v>
      </c>
      <c r="H225" s="4">
        <v>123</v>
      </c>
      <c r="I225" s="5" t="s">
        <v>38</v>
      </c>
      <c r="J225" s="5" t="s">
        <v>4534</v>
      </c>
      <c r="K225" s="5" t="s">
        <v>4496</v>
      </c>
      <c r="L225" s="5" t="s">
        <v>4535</v>
      </c>
      <c r="M225" s="5" t="s">
        <v>1658</v>
      </c>
      <c r="N225" s="5" t="s">
        <v>496</v>
      </c>
      <c r="O225" s="5" t="s">
        <v>4391</v>
      </c>
      <c r="P225" s="5"/>
      <c r="Q225" s="5" t="s">
        <v>4536</v>
      </c>
    </row>
    <row r="226" spans="2:17" x14ac:dyDescent="0.2">
      <c r="B226" s="5" t="s">
        <v>4377</v>
      </c>
      <c r="C226" s="6" t="s">
        <v>13588</v>
      </c>
      <c r="D226" s="4">
        <v>186</v>
      </c>
      <c r="E226" s="5" t="s">
        <v>32</v>
      </c>
      <c r="F226" s="5" t="s">
        <v>4524</v>
      </c>
      <c r="G226" s="6" t="s">
        <v>14</v>
      </c>
      <c r="H226" s="4">
        <v>124</v>
      </c>
      <c r="I226" s="5" t="s">
        <v>38</v>
      </c>
      <c r="J226" s="5" t="s">
        <v>4537</v>
      </c>
      <c r="K226" s="5" t="s">
        <v>4389</v>
      </c>
      <c r="L226" s="5" t="s">
        <v>4538</v>
      </c>
      <c r="M226" s="5" t="s">
        <v>1658</v>
      </c>
      <c r="N226" s="5" t="s">
        <v>496</v>
      </c>
      <c r="O226" s="5" t="s">
        <v>4539</v>
      </c>
      <c r="P226" s="5"/>
      <c r="Q226" s="5" t="s">
        <v>4540</v>
      </c>
    </row>
    <row r="227" spans="2:17" x14ac:dyDescent="0.2">
      <c r="B227" s="5" t="s">
        <v>4377</v>
      </c>
      <c r="C227" s="6" t="s">
        <v>13588</v>
      </c>
      <c r="D227" s="4">
        <v>187</v>
      </c>
      <c r="E227" s="5" t="s">
        <v>32</v>
      </c>
      <c r="F227" s="5" t="s">
        <v>4524</v>
      </c>
      <c r="G227" s="6" t="s">
        <v>14</v>
      </c>
      <c r="H227" s="4">
        <v>125</v>
      </c>
      <c r="I227" s="5" t="s">
        <v>38</v>
      </c>
      <c r="J227" s="5" t="s">
        <v>4541</v>
      </c>
      <c r="K227" s="5" t="s">
        <v>4389</v>
      </c>
      <c r="L227" s="5" t="s">
        <v>4542</v>
      </c>
      <c r="M227" s="5" t="s">
        <v>1658</v>
      </c>
      <c r="N227" s="5" t="s">
        <v>496</v>
      </c>
      <c r="O227" s="5" t="s">
        <v>4395</v>
      </c>
      <c r="P227" s="5"/>
      <c r="Q227" s="5" t="s">
        <v>4543</v>
      </c>
    </row>
    <row r="228" spans="2:17" x14ac:dyDescent="0.2">
      <c r="B228" s="5" t="s">
        <v>4377</v>
      </c>
      <c r="C228" s="6" t="s">
        <v>13588</v>
      </c>
      <c r="D228" s="4">
        <v>188</v>
      </c>
      <c r="E228" s="5" t="s">
        <v>32</v>
      </c>
      <c r="F228" s="5" t="s">
        <v>4524</v>
      </c>
      <c r="G228" s="6" t="s">
        <v>14</v>
      </c>
      <c r="H228" s="4">
        <v>126</v>
      </c>
      <c r="I228" s="5" t="s">
        <v>38</v>
      </c>
      <c r="J228" s="5" t="s">
        <v>4544</v>
      </c>
      <c r="K228" s="5" t="s">
        <v>4496</v>
      </c>
      <c r="L228" s="5" t="s">
        <v>4545</v>
      </c>
      <c r="M228" s="5" t="s">
        <v>1658</v>
      </c>
      <c r="N228" s="5" t="s">
        <v>496</v>
      </c>
      <c r="O228" s="5" t="s">
        <v>4382</v>
      </c>
      <c r="P228" s="5"/>
      <c r="Q228" s="5" t="s">
        <v>4546</v>
      </c>
    </row>
    <row r="229" spans="2:17" x14ac:dyDescent="0.2">
      <c r="B229" s="5" t="s">
        <v>4377</v>
      </c>
      <c r="C229" s="6" t="s">
        <v>13588</v>
      </c>
      <c r="D229" s="4">
        <v>189</v>
      </c>
      <c r="E229" s="5" t="s">
        <v>32</v>
      </c>
      <c r="F229" s="5" t="s">
        <v>4524</v>
      </c>
      <c r="G229" s="6" t="s">
        <v>14</v>
      </c>
      <c r="H229" s="4">
        <v>127</v>
      </c>
      <c r="I229" s="5" t="s">
        <v>38</v>
      </c>
      <c r="J229" s="5" t="s">
        <v>4547</v>
      </c>
      <c r="K229" s="5" t="s">
        <v>4389</v>
      </c>
      <c r="L229" s="5" t="s">
        <v>4548</v>
      </c>
      <c r="M229" s="5" t="s">
        <v>1658</v>
      </c>
      <c r="N229" s="5" t="s">
        <v>496</v>
      </c>
      <c r="O229" s="5" t="s">
        <v>4408</v>
      </c>
      <c r="P229" s="5"/>
      <c r="Q229" s="5" t="s">
        <v>4549</v>
      </c>
    </row>
    <row r="230" spans="2:17" x14ac:dyDescent="0.2">
      <c r="B230" s="5" t="s">
        <v>4377</v>
      </c>
      <c r="C230" s="6" t="s">
        <v>13588</v>
      </c>
      <c r="D230" s="4">
        <v>190</v>
      </c>
      <c r="E230" s="5" t="s">
        <v>32</v>
      </c>
      <c r="F230" s="5" t="s">
        <v>4524</v>
      </c>
      <c r="G230" s="6" t="s">
        <v>14</v>
      </c>
      <c r="H230" s="4">
        <v>128</v>
      </c>
      <c r="I230" s="5" t="s">
        <v>38</v>
      </c>
      <c r="J230" s="5" t="s">
        <v>4550</v>
      </c>
      <c r="K230" s="5" t="s">
        <v>4496</v>
      </c>
      <c r="L230" s="5" t="s">
        <v>4551</v>
      </c>
      <c r="M230" s="5" t="s">
        <v>1658</v>
      </c>
      <c r="N230" s="5" t="s">
        <v>496</v>
      </c>
      <c r="O230" s="5" t="s">
        <v>4382</v>
      </c>
      <c r="P230" s="5"/>
      <c r="Q230" s="5" t="s">
        <v>4552</v>
      </c>
    </row>
    <row r="231" spans="2:17" x14ac:dyDescent="0.2">
      <c r="B231" s="5" t="s">
        <v>4377</v>
      </c>
      <c r="C231" s="6" t="s">
        <v>13588</v>
      </c>
      <c r="D231" s="4">
        <v>191</v>
      </c>
      <c r="E231" s="5" t="s">
        <v>32</v>
      </c>
      <c r="F231" s="5" t="s">
        <v>4524</v>
      </c>
      <c r="G231" s="6" t="s">
        <v>14</v>
      </c>
      <c r="H231" s="4">
        <v>129</v>
      </c>
      <c r="I231" s="5" t="s">
        <v>38</v>
      </c>
      <c r="J231" s="5" t="s">
        <v>4553</v>
      </c>
      <c r="K231" s="5" t="s">
        <v>4485</v>
      </c>
      <c r="L231" s="5" t="s">
        <v>4554</v>
      </c>
      <c r="M231" s="5" t="s">
        <v>1658</v>
      </c>
      <c r="N231" s="5" t="s">
        <v>496</v>
      </c>
      <c r="O231" s="5" t="s">
        <v>4391</v>
      </c>
      <c r="P231" s="5"/>
      <c r="Q231" s="5" t="s">
        <v>4555</v>
      </c>
    </row>
    <row r="232" spans="2:17" x14ac:dyDescent="0.2">
      <c r="B232" s="5" t="s">
        <v>4377</v>
      </c>
      <c r="C232" s="6" t="s">
        <v>13588</v>
      </c>
      <c r="D232" s="4">
        <v>192</v>
      </c>
      <c r="E232" s="5" t="s">
        <v>32</v>
      </c>
      <c r="F232" s="5" t="s">
        <v>4524</v>
      </c>
      <c r="G232" s="6" t="s">
        <v>14</v>
      </c>
      <c r="H232" s="4">
        <v>130</v>
      </c>
      <c r="I232" s="5" t="s">
        <v>38</v>
      </c>
      <c r="J232" s="5" t="s">
        <v>4556</v>
      </c>
      <c r="K232" s="5" t="s">
        <v>4557</v>
      </c>
      <c r="L232" s="5" t="s">
        <v>4403</v>
      </c>
      <c r="M232" s="5" t="s">
        <v>1658</v>
      </c>
      <c r="N232" s="5" t="s">
        <v>496</v>
      </c>
      <c r="O232" s="5" t="s">
        <v>4395</v>
      </c>
      <c r="P232" s="5"/>
      <c r="Q232" s="5" t="s">
        <v>4558</v>
      </c>
    </row>
    <row r="233" spans="2:17" x14ac:dyDescent="0.2">
      <c r="B233" s="5" t="s">
        <v>4559</v>
      </c>
      <c r="C233" s="6" t="s">
        <v>13588</v>
      </c>
      <c r="D233" s="4">
        <v>194</v>
      </c>
      <c r="E233" s="5" t="s">
        <v>32</v>
      </c>
      <c r="F233" s="5" t="s">
        <v>4560</v>
      </c>
      <c r="G233" s="6" t="s">
        <v>14</v>
      </c>
      <c r="H233" s="4">
        <v>131</v>
      </c>
      <c r="I233" s="5" t="s">
        <v>22</v>
      </c>
      <c r="J233" s="5" t="s">
        <v>4561</v>
      </c>
      <c r="K233" s="5" t="s">
        <v>4562</v>
      </c>
      <c r="L233" s="5"/>
      <c r="M233" s="5" t="s">
        <v>3317</v>
      </c>
      <c r="N233" s="5" t="s">
        <v>3317</v>
      </c>
      <c r="O233" s="5" t="s">
        <v>4563</v>
      </c>
      <c r="P233" s="5"/>
      <c r="Q233" s="5" t="s">
        <v>4564</v>
      </c>
    </row>
    <row r="234" spans="2:17" x14ac:dyDescent="0.2">
      <c r="B234" s="5" t="s">
        <v>4565</v>
      </c>
      <c r="C234" s="6" t="s">
        <v>13588</v>
      </c>
      <c r="D234" s="4">
        <v>195</v>
      </c>
      <c r="E234" s="5" t="s">
        <v>15</v>
      </c>
      <c r="F234" s="5" t="s">
        <v>4620</v>
      </c>
      <c r="G234" s="6" t="s">
        <v>14</v>
      </c>
      <c r="H234" s="4">
        <v>132</v>
      </c>
      <c r="I234" s="5"/>
      <c r="J234" s="5" t="s">
        <v>4621</v>
      </c>
      <c r="K234" s="5" t="s">
        <v>4573</v>
      </c>
      <c r="L234" s="5"/>
      <c r="M234" s="5" t="s">
        <v>484</v>
      </c>
      <c r="N234" s="5" t="s">
        <v>4622</v>
      </c>
      <c r="O234" s="5" t="s">
        <v>4574</v>
      </c>
      <c r="P234" s="5"/>
      <c r="Q234" s="5" t="s">
        <v>4623</v>
      </c>
    </row>
    <row r="235" spans="2:17" x14ac:dyDescent="0.2">
      <c r="B235" s="5" t="s">
        <v>4565</v>
      </c>
      <c r="C235" s="6" t="s">
        <v>13588</v>
      </c>
      <c r="D235" s="4">
        <v>196</v>
      </c>
      <c r="E235" s="5" t="s">
        <v>24</v>
      </c>
      <c r="F235" s="5" t="s">
        <v>4613</v>
      </c>
      <c r="G235" s="6" t="s">
        <v>14</v>
      </c>
      <c r="H235" s="4">
        <v>133</v>
      </c>
      <c r="I235" s="5"/>
      <c r="J235" s="5" t="s">
        <v>4618</v>
      </c>
      <c r="K235" s="5" t="s">
        <v>4573</v>
      </c>
      <c r="L235" s="5"/>
      <c r="M235" s="5" t="s">
        <v>2198</v>
      </c>
      <c r="N235" s="5" t="s">
        <v>1634</v>
      </c>
      <c r="O235" s="5" t="s">
        <v>4574</v>
      </c>
      <c r="P235" s="5"/>
      <c r="Q235" s="5" t="s">
        <v>4619</v>
      </c>
    </row>
    <row r="236" spans="2:17" x14ac:dyDescent="0.2">
      <c r="B236" s="5" t="s">
        <v>4565</v>
      </c>
      <c r="C236" s="6" t="s">
        <v>13588</v>
      </c>
      <c r="D236" s="4">
        <v>197</v>
      </c>
      <c r="E236" s="5" t="s">
        <v>32</v>
      </c>
      <c r="F236" s="5" t="s">
        <v>4613</v>
      </c>
      <c r="G236" s="6" t="s">
        <v>14</v>
      </c>
      <c r="H236" s="4">
        <v>134</v>
      </c>
      <c r="I236" s="5" t="s">
        <v>22</v>
      </c>
      <c r="J236" s="5" t="s">
        <v>4614</v>
      </c>
      <c r="K236" s="5" t="s">
        <v>4615</v>
      </c>
      <c r="L236" s="5"/>
      <c r="M236" s="5" t="s">
        <v>2198</v>
      </c>
      <c r="N236" s="5" t="s">
        <v>2199</v>
      </c>
      <c r="O236" s="5" t="s">
        <v>4616</v>
      </c>
      <c r="P236" s="5"/>
      <c r="Q236" s="5" t="s">
        <v>4617</v>
      </c>
    </row>
    <row r="237" spans="2:17" x14ac:dyDescent="0.2">
      <c r="B237" s="5" t="s">
        <v>4565</v>
      </c>
      <c r="C237" s="6" t="s">
        <v>13588</v>
      </c>
      <c r="D237" s="4">
        <v>198</v>
      </c>
      <c r="E237" s="5" t="s">
        <v>56</v>
      </c>
      <c r="F237" s="5" t="s">
        <v>4611</v>
      </c>
      <c r="G237" s="6" t="s">
        <v>14</v>
      </c>
      <c r="H237" s="4">
        <v>135</v>
      </c>
      <c r="I237" s="5"/>
      <c r="J237" s="5"/>
      <c r="K237" s="5" t="s">
        <v>4566</v>
      </c>
      <c r="L237" s="5"/>
      <c r="M237" s="5" t="s">
        <v>1618</v>
      </c>
      <c r="N237" s="5" t="s">
        <v>193</v>
      </c>
      <c r="O237" s="5" t="s">
        <v>4567</v>
      </c>
      <c r="P237" s="5"/>
      <c r="Q237" s="5" t="s">
        <v>4612</v>
      </c>
    </row>
    <row r="238" spans="2:17" x14ac:dyDescent="0.2">
      <c r="B238" s="5" t="s">
        <v>4565</v>
      </c>
      <c r="C238" s="6" t="s">
        <v>13588</v>
      </c>
      <c r="D238" s="4">
        <v>202</v>
      </c>
      <c r="E238" s="5" t="s">
        <v>24</v>
      </c>
      <c r="F238" s="5" t="s">
        <v>4590</v>
      </c>
      <c r="G238" s="6" t="s">
        <v>14</v>
      </c>
      <c r="H238" s="4">
        <v>136</v>
      </c>
      <c r="I238" s="5"/>
      <c r="J238" s="5" t="s">
        <v>4591</v>
      </c>
      <c r="K238" s="5" t="s">
        <v>4566</v>
      </c>
      <c r="L238" s="5"/>
      <c r="M238" s="5" t="s">
        <v>2376</v>
      </c>
      <c r="N238" s="5" t="s">
        <v>2376</v>
      </c>
      <c r="O238" s="5" t="s">
        <v>4567</v>
      </c>
      <c r="P238" s="5"/>
      <c r="Q238" s="5" t="s">
        <v>4592</v>
      </c>
    </row>
    <row r="239" spans="2:17" x14ac:dyDescent="0.2">
      <c r="B239" s="5" t="s">
        <v>4565</v>
      </c>
      <c r="C239" s="6" t="s">
        <v>13588</v>
      </c>
      <c r="D239" s="4">
        <v>203</v>
      </c>
      <c r="E239" s="5" t="s">
        <v>32</v>
      </c>
      <c r="F239" s="5" t="s">
        <v>4585</v>
      </c>
      <c r="G239" s="6" t="s">
        <v>14</v>
      </c>
      <c r="H239" s="4">
        <v>137</v>
      </c>
      <c r="I239" s="5" t="s">
        <v>22</v>
      </c>
      <c r="J239" s="5" t="s">
        <v>4586</v>
      </c>
      <c r="K239" s="5" t="s">
        <v>4587</v>
      </c>
      <c r="L239" s="5"/>
      <c r="M239" s="5" t="s">
        <v>1802</v>
      </c>
      <c r="N239" s="5" t="s">
        <v>337</v>
      </c>
      <c r="O239" s="5" t="s">
        <v>4588</v>
      </c>
      <c r="P239" s="5"/>
      <c r="Q239" s="5" t="s">
        <v>4589</v>
      </c>
    </row>
    <row r="240" spans="2:17" x14ac:dyDescent="0.2">
      <c r="B240" s="5" t="s">
        <v>4565</v>
      </c>
      <c r="C240" s="6" t="s">
        <v>13588</v>
      </c>
      <c r="D240" s="4">
        <v>205</v>
      </c>
      <c r="E240" s="5" t="s">
        <v>32</v>
      </c>
      <c r="F240" s="5" t="s">
        <v>4579</v>
      </c>
      <c r="G240" s="6" t="s">
        <v>14</v>
      </c>
      <c r="H240" s="4">
        <v>138</v>
      </c>
      <c r="I240" s="5" t="s">
        <v>22</v>
      </c>
      <c r="J240" s="5" t="s">
        <v>4580</v>
      </c>
      <c r="K240" s="5" t="s">
        <v>4566</v>
      </c>
      <c r="L240" s="5"/>
      <c r="M240" s="5" t="s">
        <v>291</v>
      </c>
      <c r="N240" s="5" t="s">
        <v>2328</v>
      </c>
      <c r="O240" s="5" t="s">
        <v>4567</v>
      </c>
      <c r="P240" s="5"/>
      <c r="Q240" s="5" t="s">
        <v>4581</v>
      </c>
    </row>
    <row r="241" spans="2:17" x14ac:dyDescent="0.2">
      <c r="B241" s="5" t="s">
        <v>4565</v>
      </c>
      <c r="C241" s="6" t="s">
        <v>13588</v>
      </c>
      <c r="D241" s="4">
        <v>206</v>
      </c>
      <c r="E241" s="5" t="s">
        <v>24</v>
      </c>
      <c r="F241" s="5" t="s">
        <v>4571</v>
      </c>
      <c r="G241" s="6" t="s">
        <v>14</v>
      </c>
      <c r="H241" s="4">
        <v>139</v>
      </c>
      <c r="I241" s="5"/>
      <c r="J241" s="5" t="s">
        <v>4572</v>
      </c>
      <c r="K241" s="5" t="s">
        <v>4573</v>
      </c>
      <c r="L241" s="5"/>
      <c r="M241" s="5" t="s">
        <v>1269</v>
      </c>
      <c r="N241" s="5" t="s">
        <v>1258</v>
      </c>
      <c r="O241" s="5" t="s">
        <v>4574</v>
      </c>
      <c r="P241" s="5"/>
      <c r="Q241" s="5" t="s">
        <v>4575</v>
      </c>
    </row>
    <row r="242" spans="2:17" x14ac:dyDescent="0.2">
      <c r="B242" s="5" t="s">
        <v>4565</v>
      </c>
      <c r="C242" s="6" t="s">
        <v>13588</v>
      </c>
      <c r="D242" s="4">
        <v>207</v>
      </c>
      <c r="E242" s="5" t="s">
        <v>56</v>
      </c>
      <c r="F242" s="5" t="s">
        <v>4568</v>
      </c>
      <c r="G242" s="6" t="s">
        <v>14</v>
      </c>
      <c r="H242" s="4">
        <v>140</v>
      </c>
      <c r="I242" s="5"/>
      <c r="J242" s="5"/>
      <c r="K242" s="5" t="s">
        <v>4569</v>
      </c>
      <c r="L242" s="5"/>
      <c r="M242" s="5" t="s">
        <v>1247</v>
      </c>
      <c r="N242" s="5" t="s">
        <v>2856</v>
      </c>
      <c r="O242" s="5" t="s">
        <v>4567</v>
      </c>
      <c r="P242" s="5"/>
      <c r="Q242" s="5" t="s">
        <v>4570</v>
      </c>
    </row>
    <row r="243" spans="2:17" x14ac:dyDescent="0.2">
      <c r="B243" s="5" t="s">
        <v>4565</v>
      </c>
      <c r="C243" s="6" t="s">
        <v>13588</v>
      </c>
      <c r="D243" s="4">
        <v>211</v>
      </c>
      <c r="E243" s="5" t="s">
        <v>24</v>
      </c>
      <c r="F243" s="5" t="s">
        <v>4576</v>
      </c>
      <c r="G243" s="6" t="s">
        <v>14</v>
      </c>
      <c r="H243" s="4">
        <v>141</v>
      </c>
      <c r="I243" s="5"/>
      <c r="J243" s="5" t="s">
        <v>4577</v>
      </c>
      <c r="K243" s="5" t="s">
        <v>4573</v>
      </c>
      <c r="L243" s="5"/>
      <c r="M243" s="5" t="s">
        <v>1269</v>
      </c>
      <c r="N243" s="5" t="s">
        <v>2236</v>
      </c>
      <c r="O243" s="5" t="s">
        <v>4574</v>
      </c>
      <c r="P243" s="5"/>
      <c r="Q243" s="5" t="s">
        <v>4578</v>
      </c>
    </row>
    <row r="244" spans="2:17" x14ac:dyDescent="0.2">
      <c r="B244" s="5" t="s">
        <v>4565</v>
      </c>
      <c r="C244" s="6" t="s">
        <v>13588</v>
      </c>
      <c r="D244" s="4">
        <v>212</v>
      </c>
      <c r="E244" s="5" t="s">
        <v>32</v>
      </c>
      <c r="F244" s="5" t="s">
        <v>4607</v>
      </c>
      <c r="G244" s="6" t="s">
        <v>14</v>
      </c>
      <c r="H244" s="4">
        <v>142</v>
      </c>
      <c r="I244" s="5" t="s">
        <v>38</v>
      </c>
      <c r="J244" s="5" t="s">
        <v>4608</v>
      </c>
      <c r="K244" s="5" t="s">
        <v>4609</v>
      </c>
      <c r="L244" s="5"/>
      <c r="M244" s="5" t="s">
        <v>2116</v>
      </c>
      <c r="N244" s="5" t="s">
        <v>2116</v>
      </c>
      <c r="O244" s="5" t="s">
        <v>4567</v>
      </c>
      <c r="P244" s="5"/>
      <c r="Q244" s="5" t="s">
        <v>4610</v>
      </c>
    </row>
    <row r="245" spans="2:17" x14ac:dyDescent="0.2">
      <c r="B245" s="5" t="s">
        <v>4565</v>
      </c>
      <c r="C245" s="6" t="s">
        <v>13588</v>
      </c>
      <c r="D245" s="4">
        <v>213</v>
      </c>
      <c r="E245" s="5" t="s">
        <v>56</v>
      </c>
      <c r="F245" s="5" t="s">
        <v>4624</v>
      </c>
      <c r="G245" s="6" t="s">
        <v>14</v>
      </c>
      <c r="H245" s="4">
        <v>143</v>
      </c>
      <c r="I245" s="5"/>
      <c r="J245" s="5"/>
      <c r="K245" s="5" t="s">
        <v>4573</v>
      </c>
      <c r="L245" s="5"/>
      <c r="M245" s="5" t="s">
        <v>1658</v>
      </c>
      <c r="N245" s="5" t="s">
        <v>219</v>
      </c>
      <c r="O245" s="5" t="s">
        <v>4574</v>
      </c>
      <c r="P245" s="5"/>
      <c r="Q245" s="5" t="s">
        <v>4625</v>
      </c>
    </row>
    <row r="246" spans="2:17" x14ac:dyDescent="0.2">
      <c r="B246" s="5" t="s">
        <v>4637</v>
      </c>
      <c r="C246" s="6" t="s">
        <v>13588</v>
      </c>
      <c r="D246" s="4">
        <v>215</v>
      </c>
      <c r="E246" s="5" t="s">
        <v>32</v>
      </c>
      <c r="F246" s="5" t="s">
        <v>4638</v>
      </c>
      <c r="G246" s="6" t="s">
        <v>14</v>
      </c>
      <c r="H246" s="4">
        <v>144</v>
      </c>
      <c r="I246" s="5" t="s">
        <v>22</v>
      </c>
      <c r="J246" s="5" t="s">
        <v>4639</v>
      </c>
      <c r="K246" s="5" t="s">
        <v>4640</v>
      </c>
      <c r="L246" s="5"/>
      <c r="M246" s="5" t="s">
        <v>1384</v>
      </c>
      <c r="N246" s="5" t="s">
        <v>331</v>
      </c>
      <c r="O246" s="5" t="s">
        <v>4641</v>
      </c>
      <c r="P246" s="5"/>
      <c r="Q246" s="5" t="s">
        <v>4642</v>
      </c>
    </row>
    <row r="247" spans="2:17" x14ac:dyDescent="0.2">
      <c r="B247" s="5" t="s">
        <v>4643</v>
      </c>
      <c r="C247" s="6" t="s">
        <v>13588</v>
      </c>
      <c r="D247" s="4">
        <v>218</v>
      </c>
      <c r="E247" s="5" t="s">
        <v>32</v>
      </c>
      <c r="F247" s="5" t="s">
        <v>4655</v>
      </c>
      <c r="G247" s="6" t="s">
        <v>14</v>
      </c>
      <c r="H247" s="4">
        <v>145</v>
      </c>
      <c r="I247" s="5" t="s">
        <v>22</v>
      </c>
      <c r="J247" s="5" t="s">
        <v>4656</v>
      </c>
      <c r="K247" s="5" t="s">
        <v>4647</v>
      </c>
      <c r="L247" s="5"/>
      <c r="M247" s="5" t="s">
        <v>295</v>
      </c>
      <c r="N247" s="5" t="s">
        <v>296</v>
      </c>
      <c r="O247" s="5" t="s">
        <v>4644</v>
      </c>
      <c r="P247" s="5"/>
      <c r="Q247" s="5" t="s">
        <v>4657</v>
      </c>
    </row>
    <row r="248" spans="2:17" x14ac:dyDescent="0.2">
      <c r="B248" s="5" t="s">
        <v>4674</v>
      </c>
      <c r="C248" s="6" t="s">
        <v>13588</v>
      </c>
      <c r="D248" s="4">
        <v>235</v>
      </c>
      <c r="E248" s="5" t="s">
        <v>32</v>
      </c>
      <c r="F248" s="5" t="s">
        <v>4696</v>
      </c>
      <c r="G248" s="6" t="s">
        <v>14</v>
      </c>
      <c r="H248" s="4">
        <v>146</v>
      </c>
      <c r="I248" s="5" t="s">
        <v>22</v>
      </c>
      <c r="J248" s="5" t="s">
        <v>4705</v>
      </c>
      <c r="K248" s="5" t="s">
        <v>4679</v>
      </c>
      <c r="L248" s="5"/>
      <c r="M248" s="5" t="s">
        <v>1526</v>
      </c>
      <c r="N248" s="5" t="s">
        <v>2147</v>
      </c>
      <c r="O248" s="5" t="s">
        <v>4676</v>
      </c>
      <c r="P248" s="5"/>
      <c r="Q248" s="5" t="s">
        <v>4706</v>
      </c>
    </row>
    <row r="249" spans="2:17" x14ac:dyDescent="0.2">
      <c r="B249" s="5" t="s">
        <v>4674</v>
      </c>
      <c r="C249" s="6" t="s">
        <v>13588</v>
      </c>
      <c r="D249" s="4">
        <v>236</v>
      </c>
      <c r="E249" s="5" t="s">
        <v>32</v>
      </c>
      <c r="F249" s="5" t="s">
        <v>4696</v>
      </c>
      <c r="G249" s="6" t="s">
        <v>14</v>
      </c>
      <c r="H249" s="4">
        <v>147</v>
      </c>
      <c r="I249" s="5" t="s">
        <v>22</v>
      </c>
      <c r="J249" s="5" t="s">
        <v>4707</v>
      </c>
      <c r="K249" s="5" t="s">
        <v>4708</v>
      </c>
      <c r="L249" s="5"/>
      <c r="M249" s="5" t="s">
        <v>1526</v>
      </c>
      <c r="N249" s="5" t="s">
        <v>2147</v>
      </c>
      <c r="O249" s="5" t="s">
        <v>4676</v>
      </c>
      <c r="P249" s="5"/>
      <c r="Q249" s="5" t="s">
        <v>4709</v>
      </c>
    </row>
    <row r="250" spans="2:17" x14ac:dyDescent="0.2">
      <c r="B250" s="5" t="s">
        <v>4674</v>
      </c>
      <c r="C250" s="6" t="s">
        <v>13588</v>
      </c>
      <c r="D250" s="4">
        <v>237</v>
      </c>
      <c r="E250" s="5" t="s">
        <v>32</v>
      </c>
      <c r="F250" s="5" t="s">
        <v>4696</v>
      </c>
      <c r="G250" s="6" t="s">
        <v>14</v>
      </c>
      <c r="H250" s="4">
        <v>148</v>
      </c>
      <c r="I250" s="5" t="s">
        <v>22</v>
      </c>
      <c r="J250" s="5" t="s">
        <v>4710</v>
      </c>
      <c r="K250" s="5" t="s">
        <v>4682</v>
      </c>
      <c r="L250" s="5"/>
      <c r="M250" s="5" t="s">
        <v>1526</v>
      </c>
      <c r="N250" s="5" t="s">
        <v>2147</v>
      </c>
      <c r="O250" s="5" t="s">
        <v>4676</v>
      </c>
      <c r="P250" s="5"/>
      <c r="Q250" s="5" t="s">
        <v>4711</v>
      </c>
    </row>
    <row r="251" spans="2:17" x14ac:dyDescent="0.2">
      <c r="B251" s="5" t="s">
        <v>4674</v>
      </c>
      <c r="C251" s="6" t="s">
        <v>13588</v>
      </c>
      <c r="D251" s="4">
        <v>238</v>
      </c>
      <c r="E251" s="5" t="s">
        <v>32</v>
      </c>
      <c r="F251" s="5" t="s">
        <v>4696</v>
      </c>
      <c r="G251" s="6" t="s">
        <v>14</v>
      </c>
      <c r="H251" s="4">
        <v>149</v>
      </c>
      <c r="I251" s="5" t="s">
        <v>22</v>
      </c>
      <c r="J251" s="5" t="s">
        <v>4697</v>
      </c>
      <c r="K251" s="5" t="s">
        <v>4698</v>
      </c>
      <c r="L251" s="5"/>
      <c r="M251" s="5" t="s">
        <v>1526</v>
      </c>
      <c r="N251" s="5" t="s">
        <v>2147</v>
      </c>
      <c r="O251" s="5" t="s">
        <v>4676</v>
      </c>
      <c r="P251" s="5"/>
      <c r="Q251" s="5" t="s">
        <v>4699</v>
      </c>
    </row>
    <row r="252" spans="2:17" x14ac:dyDescent="0.2">
      <c r="B252" s="5" t="s">
        <v>4674</v>
      </c>
      <c r="C252" s="6" t="s">
        <v>13588</v>
      </c>
      <c r="D252" s="4">
        <v>239</v>
      </c>
      <c r="E252" s="5" t="s">
        <v>32</v>
      </c>
      <c r="F252" s="5" t="s">
        <v>4696</v>
      </c>
      <c r="G252" s="6" t="s">
        <v>14</v>
      </c>
      <c r="H252" s="4">
        <v>150</v>
      </c>
      <c r="I252" s="5" t="s">
        <v>22</v>
      </c>
      <c r="J252" s="5" t="s">
        <v>4700</v>
      </c>
      <c r="K252" s="5" t="s">
        <v>4701</v>
      </c>
      <c r="L252" s="5"/>
      <c r="M252" s="5" t="s">
        <v>1526</v>
      </c>
      <c r="N252" s="5" t="s">
        <v>2147</v>
      </c>
      <c r="O252" s="5" t="s">
        <v>4676</v>
      </c>
      <c r="P252" s="5"/>
      <c r="Q252" s="5" t="s">
        <v>4702</v>
      </c>
    </row>
    <row r="253" spans="2:17" x14ac:dyDescent="0.2">
      <c r="B253" s="5" t="s">
        <v>4674</v>
      </c>
      <c r="C253" s="6" t="s">
        <v>13588</v>
      </c>
      <c r="D253" s="4">
        <v>240</v>
      </c>
      <c r="E253" s="5" t="s">
        <v>32</v>
      </c>
      <c r="F253" s="5" t="s">
        <v>4696</v>
      </c>
      <c r="G253" s="6" t="s">
        <v>14</v>
      </c>
      <c r="H253" s="4">
        <v>151</v>
      </c>
      <c r="I253" s="5" t="s">
        <v>22</v>
      </c>
      <c r="J253" s="5" t="s">
        <v>4703</v>
      </c>
      <c r="K253" s="5" t="s">
        <v>4687</v>
      </c>
      <c r="L253" s="5"/>
      <c r="M253" s="5" t="s">
        <v>1526</v>
      </c>
      <c r="N253" s="5" t="s">
        <v>2147</v>
      </c>
      <c r="O253" s="5" t="s">
        <v>4676</v>
      </c>
      <c r="P253" s="5"/>
      <c r="Q253" s="5" t="s">
        <v>4704</v>
      </c>
    </row>
    <row r="254" spans="2:17" x14ac:dyDescent="0.2">
      <c r="B254" s="5" t="s">
        <v>4726</v>
      </c>
      <c r="C254" s="6" t="s">
        <v>13588</v>
      </c>
      <c r="D254" s="4">
        <v>242</v>
      </c>
      <c r="E254" s="5" t="s">
        <v>24</v>
      </c>
      <c r="F254" s="5" t="s">
        <v>4738</v>
      </c>
      <c r="G254" s="6" t="s">
        <v>14</v>
      </c>
      <c r="H254" s="4">
        <v>152</v>
      </c>
      <c r="I254" s="5"/>
      <c r="J254" s="5" t="s">
        <v>4739</v>
      </c>
      <c r="K254" s="5" t="s">
        <v>4727</v>
      </c>
      <c r="L254" s="5"/>
      <c r="M254" s="5" t="s">
        <v>1377</v>
      </c>
      <c r="N254" s="5" t="s">
        <v>1377</v>
      </c>
      <c r="O254" s="5" t="s">
        <v>4728</v>
      </c>
      <c r="P254" s="5"/>
      <c r="Q254" s="5" t="s">
        <v>4740</v>
      </c>
    </row>
    <row r="255" spans="2:17" x14ac:dyDescent="0.2">
      <c r="B255" s="5" t="s">
        <v>4726</v>
      </c>
      <c r="C255" s="6" t="s">
        <v>13588</v>
      </c>
      <c r="D255" s="4">
        <v>243</v>
      </c>
      <c r="E255" s="5" t="s">
        <v>32</v>
      </c>
      <c r="F255" s="5" t="s">
        <v>4734</v>
      </c>
      <c r="G255" s="6" t="s">
        <v>14</v>
      </c>
      <c r="H255" s="4">
        <v>153</v>
      </c>
      <c r="I255" s="5" t="s">
        <v>22</v>
      </c>
      <c r="J255" s="5" t="s">
        <v>4735</v>
      </c>
      <c r="K255" s="5" t="s">
        <v>4736</v>
      </c>
      <c r="L255" s="5"/>
      <c r="M255" s="5" t="s">
        <v>1377</v>
      </c>
      <c r="N255" s="5" t="s">
        <v>331</v>
      </c>
      <c r="O255" s="5" t="s">
        <v>4728</v>
      </c>
      <c r="P255" s="5"/>
      <c r="Q255" s="5" t="s">
        <v>4737</v>
      </c>
    </row>
    <row r="256" spans="2:17" x14ac:dyDescent="0.2">
      <c r="B256" s="5" t="s">
        <v>4726</v>
      </c>
      <c r="C256" s="6" t="s">
        <v>13588</v>
      </c>
      <c r="D256" s="4">
        <v>245</v>
      </c>
      <c r="E256" s="5" t="s">
        <v>35</v>
      </c>
      <c r="F256" s="5" t="s">
        <v>4730</v>
      </c>
      <c r="G256" s="6" t="s">
        <v>14</v>
      </c>
      <c r="H256" s="4">
        <v>154</v>
      </c>
      <c r="I256" s="5"/>
      <c r="J256" s="5"/>
      <c r="K256" s="5" t="s">
        <v>4727</v>
      </c>
      <c r="L256" s="5"/>
      <c r="M256" s="5" t="s">
        <v>2827</v>
      </c>
      <c r="N256" s="5" t="s">
        <v>4731</v>
      </c>
      <c r="O256" s="5" t="s">
        <v>4728</v>
      </c>
      <c r="P256" s="5" t="s">
        <v>4732</v>
      </c>
      <c r="Q256" s="5" t="s">
        <v>4733</v>
      </c>
    </row>
    <row r="257" spans="2:17" x14ac:dyDescent="0.2">
      <c r="B257" s="5" t="s">
        <v>4751</v>
      </c>
      <c r="C257" s="6" t="s">
        <v>13588</v>
      </c>
      <c r="D257" s="4">
        <v>251</v>
      </c>
      <c r="E257" s="5" t="s">
        <v>32</v>
      </c>
      <c r="F257" s="5" t="s">
        <v>4757</v>
      </c>
      <c r="G257" s="6" t="s">
        <v>14</v>
      </c>
      <c r="H257" s="4">
        <v>155</v>
      </c>
      <c r="I257" s="5" t="s">
        <v>22</v>
      </c>
      <c r="J257" s="5" t="s">
        <v>4758</v>
      </c>
      <c r="K257" s="5" t="s">
        <v>4759</v>
      </c>
      <c r="L257" s="5"/>
      <c r="M257" s="5" t="s">
        <v>1230</v>
      </c>
      <c r="N257" s="5" t="s">
        <v>1230</v>
      </c>
      <c r="O257" s="5" t="s">
        <v>4760</v>
      </c>
      <c r="P257" s="5"/>
      <c r="Q257" s="5" t="s">
        <v>4761</v>
      </c>
    </row>
    <row r="258" spans="2:17" x14ac:dyDescent="0.2">
      <c r="B258" s="5" t="s">
        <v>4777</v>
      </c>
      <c r="C258" s="6" t="s">
        <v>13588</v>
      </c>
      <c r="D258" s="4">
        <v>259</v>
      </c>
      <c r="E258" s="5" t="s">
        <v>13</v>
      </c>
      <c r="F258" s="5" t="s">
        <v>4810</v>
      </c>
      <c r="G258" s="6" t="s">
        <v>14</v>
      </c>
      <c r="H258" s="4">
        <v>156</v>
      </c>
      <c r="I258" s="5"/>
      <c r="J258" s="5" t="s">
        <v>4811</v>
      </c>
      <c r="K258" s="5" t="s">
        <v>4808</v>
      </c>
      <c r="L258" s="5"/>
      <c r="M258" s="5" t="s">
        <v>341</v>
      </c>
      <c r="N258" s="5" t="s">
        <v>341</v>
      </c>
      <c r="O258" s="5" t="s">
        <v>4781</v>
      </c>
      <c r="P258" s="5"/>
      <c r="Q258" s="5" t="s">
        <v>4812</v>
      </c>
    </row>
    <row r="259" spans="2:17" x14ac:dyDescent="0.2">
      <c r="B259" s="5" t="s">
        <v>4777</v>
      </c>
      <c r="C259" s="6" t="s">
        <v>13588</v>
      </c>
      <c r="D259" s="4">
        <v>260</v>
      </c>
      <c r="E259" s="5" t="s">
        <v>13</v>
      </c>
      <c r="F259" s="5" t="s">
        <v>4806</v>
      </c>
      <c r="G259" s="6" t="s">
        <v>14</v>
      </c>
      <c r="H259" s="4">
        <v>157</v>
      </c>
      <c r="I259" s="5"/>
      <c r="J259" s="5" t="s">
        <v>4807</v>
      </c>
      <c r="K259" s="5" t="s">
        <v>4808</v>
      </c>
      <c r="L259" s="5"/>
      <c r="M259" s="5" t="s">
        <v>1821</v>
      </c>
      <c r="N259" s="5" t="s">
        <v>1821</v>
      </c>
      <c r="O259" s="5" t="s">
        <v>4781</v>
      </c>
      <c r="P259" s="5"/>
      <c r="Q259" s="5" t="s">
        <v>4809</v>
      </c>
    </row>
    <row r="260" spans="2:17" x14ac:dyDescent="0.2">
      <c r="B260" s="5" t="s">
        <v>4777</v>
      </c>
      <c r="C260" s="6" t="s">
        <v>13588</v>
      </c>
      <c r="D260" s="4">
        <v>263</v>
      </c>
      <c r="E260" s="5" t="s">
        <v>35</v>
      </c>
      <c r="F260" s="5" t="s">
        <v>4801</v>
      </c>
      <c r="G260" s="6" t="s">
        <v>14</v>
      </c>
      <c r="H260" s="4">
        <v>158</v>
      </c>
      <c r="I260" s="5"/>
      <c r="J260" s="5" t="s">
        <v>4802</v>
      </c>
      <c r="K260" s="5" t="s">
        <v>4780</v>
      </c>
      <c r="L260" s="5"/>
      <c r="M260" s="5" t="s">
        <v>1384</v>
      </c>
      <c r="N260" s="5" t="s">
        <v>1384</v>
      </c>
      <c r="O260" s="5" t="s">
        <v>4781</v>
      </c>
      <c r="P260" s="5"/>
      <c r="Q260" s="5" t="s">
        <v>4803</v>
      </c>
    </row>
    <row r="261" spans="2:17" x14ac:dyDescent="0.2">
      <c r="B261" s="5" t="s">
        <v>4777</v>
      </c>
      <c r="C261" s="6" t="s">
        <v>13588</v>
      </c>
      <c r="D261" s="4">
        <v>267</v>
      </c>
      <c r="E261" s="5" t="s">
        <v>82</v>
      </c>
      <c r="F261" s="5" t="s">
        <v>4788</v>
      </c>
      <c r="G261" s="6" t="s">
        <v>14</v>
      </c>
      <c r="H261" s="4">
        <v>159</v>
      </c>
      <c r="I261" s="5"/>
      <c r="J261" s="5" t="s">
        <v>4789</v>
      </c>
      <c r="K261" s="5" t="s">
        <v>4790</v>
      </c>
      <c r="L261" s="5"/>
      <c r="M261" s="5" t="s">
        <v>1251</v>
      </c>
      <c r="N261" s="5" t="s">
        <v>1247</v>
      </c>
      <c r="O261" s="5" t="s">
        <v>4791</v>
      </c>
      <c r="P261" s="5"/>
      <c r="Q261" s="5" t="s">
        <v>4792</v>
      </c>
    </row>
    <row r="262" spans="2:17" x14ac:dyDescent="0.2">
      <c r="B262" s="5" t="s">
        <v>4777</v>
      </c>
      <c r="C262" s="6" t="s">
        <v>13588</v>
      </c>
      <c r="D262" s="4">
        <v>268</v>
      </c>
      <c r="E262" s="5" t="s">
        <v>82</v>
      </c>
      <c r="F262" s="5" t="s">
        <v>4788</v>
      </c>
      <c r="G262" s="6" t="s">
        <v>14</v>
      </c>
      <c r="H262" s="4">
        <v>160</v>
      </c>
      <c r="I262" s="5"/>
      <c r="J262" s="5" t="s">
        <v>4793</v>
      </c>
      <c r="K262" s="5" t="s">
        <v>4794</v>
      </c>
      <c r="L262" s="5"/>
      <c r="M262" s="5" t="s">
        <v>1251</v>
      </c>
      <c r="N262" s="5" t="s">
        <v>1247</v>
      </c>
      <c r="O262" s="5" t="s">
        <v>4781</v>
      </c>
      <c r="P262" s="5"/>
      <c r="Q262" s="5" t="s">
        <v>4795</v>
      </c>
    </row>
    <row r="263" spans="2:17" x14ac:dyDescent="0.2">
      <c r="B263" s="5" t="s">
        <v>4777</v>
      </c>
      <c r="C263" s="6" t="s">
        <v>13588</v>
      </c>
      <c r="D263" s="4">
        <v>269</v>
      </c>
      <c r="E263" s="5" t="s">
        <v>82</v>
      </c>
      <c r="F263" s="5" t="s">
        <v>4788</v>
      </c>
      <c r="G263" s="6" t="s">
        <v>14</v>
      </c>
      <c r="H263" s="4">
        <v>161</v>
      </c>
      <c r="I263" s="5"/>
      <c r="J263" s="5" t="s">
        <v>4796</v>
      </c>
      <c r="K263" s="5" t="s">
        <v>4797</v>
      </c>
      <c r="L263" s="5"/>
      <c r="M263" s="5" t="s">
        <v>1251</v>
      </c>
      <c r="N263" s="5" t="s">
        <v>1247</v>
      </c>
      <c r="O263" s="5" t="s">
        <v>4781</v>
      </c>
      <c r="P263" s="5"/>
      <c r="Q263" s="5" t="s">
        <v>4798</v>
      </c>
    </row>
    <row r="264" spans="2:17" x14ac:dyDescent="0.2">
      <c r="B264" s="5" t="s">
        <v>4777</v>
      </c>
      <c r="C264" s="6" t="s">
        <v>13588</v>
      </c>
      <c r="D264" s="4">
        <v>274</v>
      </c>
      <c r="E264" s="5" t="s">
        <v>15</v>
      </c>
      <c r="F264" s="5" t="s">
        <v>4815</v>
      </c>
      <c r="G264" s="6" t="s">
        <v>14</v>
      </c>
      <c r="H264" s="4">
        <v>162</v>
      </c>
      <c r="I264" s="5"/>
      <c r="J264" s="5" t="s">
        <v>4793</v>
      </c>
      <c r="K264" s="5" t="s">
        <v>4816</v>
      </c>
      <c r="L264" s="5"/>
      <c r="M264" s="5" t="s">
        <v>4498</v>
      </c>
      <c r="N264" s="5" t="s">
        <v>122</v>
      </c>
      <c r="O264" s="5" t="s">
        <v>4781</v>
      </c>
      <c r="P264" s="5"/>
      <c r="Q264" s="5" t="s">
        <v>4817</v>
      </c>
    </row>
    <row r="265" spans="2:17" x14ac:dyDescent="0.2">
      <c r="B265" s="5" t="s">
        <v>4845</v>
      </c>
      <c r="C265" s="6" t="s">
        <v>13588</v>
      </c>
      <c r="D265" s="4">
        <v>276</v>
      </c>
      <c r="E265" s="5" t="s">
        <v>13</v>
      </c>
      <c r="F265" s="5" t="s">
        <v>4860</v>
      </c>
      <c r="G265" s="6" t="s">
        <v>14</v>
      </c>
      <c r="H265" s="4">
        <v>163</v>
      </c>
      <c r="I265" s="5"/>
      <c r="J265" s="5" t="s">
        <v>4861</v>
      </c>
      <c r="K265" s="5"/>
      <c r="L265" s="5" t="s">
        <v>4862</v>
      </c>
      <c r="M265" s="5" t="s">
        <v>301</v>
      </c>
      <c r="N265" s="5" t="s">
        <v>301</v>
      </c>
      <c r="O265" s="5" t="s">
        <v>4847</v>
      </c>
      <c r="P265" s="5"/>
      <c r="Q265" s="5" t="s">
        <v>4863</v>
      </c>
    </row>
    <row r="266" spans="2:17" x14ac:dyDescent="0.2">
      <c r="B266" s="5" t="s">
        <v>4845</v>
      </c>
      <c r="C266" s="6" t="s">
        <v>13588</v>
      </c>
      <c r="D266" s="4">
        <v>277</v>
      </c>
      <c r="E266" s="5" t="s">
        <v>13</v>
      </c>
      <c r="F266" s="5" t="s">
        <v>4860</v>
      </c>
      <c r="G266" s="6" t="s">
        <v>14</v>
      </c>
      <c r="H266" s="4">
        <v>164</v>
      </c>
      <c r="I266" s="5"/>
      <c r="J266" s="5" t="s">
        <v>4864</v>
      </c>
      <c r="K266" s="5" t="s">
        <v>4849</v>
      </c>
      <c r="L266" s="5"/>
      <c r="M266" s="5" t="s">
        <v>301</v>
      </c>
      <c r="N266" s="5" t="s">
        <v>301</v>
      </c>
      <c r="O266" s="5" t="s">
        <v>4850</v>
      </c>
      <c r="P266" s="5"/>
      <c r="Q266" s="5" t="s">
        <v>4865</v>
      </c>
    </row>
    <row r="267" spans="2:17" x14ac:dyDescent="0.2">
      <c r="B267" s="5" t="s">
        <v>4845</v>
      </c>
      <c r="C267" s="6" t="s">
        <v>13588</v>
      </c>
      <c r="D267" s="4">
        <v>278</v>
      </c>
      <c r="E267" s="5" t="s">
        <v>13</v>
      </c>
      <c r="F267" s="5" t="s">
        <v>4860</v>
      </c>
      <c r="G267" s="6" t="s">
        <v>14</v>
      </c>
      <c r="H267" s="4">
        <v>165</v>
      </c>
      <c r="I267" s="5"/>
      <c r="J267" s="5" t="s">
        <v>4866</v>
      </c>
      <c r="K267" s="5" t="s">
        <v>4846</v>
      </c>
      <c r="L267" s="5"/>
      <c r="M267" s="5" t="s">
        <v>301</v>
      </c>
      <c r="N267" s="5" t="s">
        <v>301</v>
      </c>
      <c r="O267" s="5" t="s">
        <v>4867</v>
      </c>
      <c r="P267" s="5"/>
      <c r="Q267" s="5" t="s">
        <v>4868</v>
      </c>
    </row>
    <row r="268" spans="2:17" x14ac:dyDescent="0.2">
      <c r="B268" s="5" t="s">
        <v>4845</v>
      </c>
      <c r="C268" s="6" t="s">
        <v>13588</v>
      </c>
      <c r="D268" s="4">
        <v>279</v>
      </c>
      <c r="E268" s="5" t="s">
        <v>20</v>
      </c>
      <c r="F268" s="5" t="s">
        <v>4856</v>
      </c>
      <c r="G268" s="6" t="s">
        <v>14</v>
      </c>
      <c r="H268" s="4">
        <v>166</v>
      </c>
      <c r="I268" s="5" t="s">
        <v>22</v>
      </c>
      <c r="J268" s="5" t="s">
        <v>4857</v>
      </c>
      <c r="K268" s="5" t="s">
        <v>4858</v>
      </c>
      <c r="L268" s="5"/>
      <c r="M268" s="5" t="s">
        <v>283</v>
      </c>
      <c r="N268" s="5" t="s">
        <v>284</v>
      </c>
      <c r="O268" s="5" t="s">
        <v>4847</v>
      </c>
      <c r="P268" s="5"/>
      <c r="Q268" s="5" t="s">
        <v>4859</v>
      </c>
    </row>
    <row r="269" spans="2:17" x14ac:dyDescent="0.2">
      <c r="B269" s="5" t="s">
        <v>4845</v>
      </c>
      <c r="C269" s="6" t="s">
        <v>13588</v>
      </c>
      <c r="D269" s="4">
        <v>280</v>
      </c>
      <c r="E269" s="5" t="s">
        <v>32</v>
      </c>
      <c r="F269" s="5" t="s">
        <v>4851</v>
      </c>
      <c r="G269" s="6" t="s">
        <v>14</v>
      </c>
      <c r="H269" s="4">
        <v>167</v>
      </c>
      <c r="I269" s="5" t="s">
        <v>22</v>
      </c>
      <c r="J269" s="5" t="s">
        <v>4852</v>
      </c>
      <c r="K269" s="5" t="s">
        <v>4853</v>
      </c>
      <c r="L269" s="5"/>
      <c r="M269" s="5" t="s">
        <v>1230</v>
      </c>
      <c r="N269" s="5" t="s">
        <v>1226</v>
      </c>
      <c r="O269" s="5" t="s">
        <v>4854</v>
      </c>
      <c r="P269" s="5"/>
      <c r="Q269" s="5" t="s">
        <v>4855</v>
      </c>
    </row>
    <row r="270" spans="2:17" x14ac:dyDescent="0.2">
      <c r="B270" s="5" t="s">
        <v>4869</v>
      </c>
      <c r="C270" s="6" t="s">
        <v>13588</v>
      </c>
      <c r="D270" s="4">
        <v>281</v>
      </c>
      <c r="E270" s="5" t="s">
        <v>20</v>
      </c>
      <c r="F270" s="5" t="s">
        <v>4870</v>
      </c>
      <c r="G270" s="6" t="s">
        <v>14</v>
      </c>
      <c r="H270" s="4">
        <v>168</v>
      </c>
      <c r="I270" s="5" t="s">
        <v>22</v>
      </c>
      <c r="J270" s="5" t="s">
        <v>4871</v>
      </c>
      <c r="K270" s="5" t="s">
        <v>4872</v>
      </c>
      <c r="L270" s="5"/>
      <c r="M270" s="5" t="s">
        <v>301</v>
      </c>
      <c r="N270" s="5" t="s">
        <v>296</v>
      </c>
      <c r="O270" s="5" t="s">
        <v>4873</v>
      </c>
      <c r="P270" s="5"/>
      <c r="Q270" s="5" t="s">
        <v>4874</v>
      </c>
    </row>
    <row r="271" spans="2:17" x14ac:dyDescent="0.2">
      <c r="B271" s="5" t="s">
        <v>4869</v>
      </c>
      <c r="C271" s="6" t="s">
        <v>13588</v>
      </c>
      <c r="D271" s="4">
        <v>282</v>
      </c>
      <c r="E271" s="5" t="s">
        <v>20</v>
      </c>
      <c r="F271" s="5" t="s">
        <v>4870</v>
      </c>
      <c r="G271" s="6" t="s">
        <v>14</v>
      </c>
      <c r="H271" s="4">
        <v>169</v>
      </c>
      <c r="I271" s="5" t="s">
        <v>22</v>
      </c>
      <c r="J271" s="5" t="s">
        <v>4875</v>
      </c>
      <c r="K271" s="5" t="s">
        <v>4876</v>
      </c>
      <c r="L271" s="5"/>
      <c r="M271" s="5" t="s">
        <v>301</v>
      </c>
      <c r="N271" s="5" t="s">
        <v>296</v>
      </c>
      <c r="O271" s="5" t="s">
        <v>4873</v>
      </c>
      <c r="P271" s="5"/>
      <c r="Q271" s="5" t="s">
        <v>4877</v>
      </c>
    </row>
    <row r="272" spans="2:17" x14ac:dyDescent="0.2">
      <c r="B272" s="5" t="s">
        <v>4880</v>
      </c>
      <c r="C272" s="6" t="s">
        <v>13588</v>
      </c>
      <c r="D272" s="4">
        <v>283</v>
      </c>
      <c r="E272" s="5" t="s">
        <v>32</v>
      </c>
      <c r="F272" s="5" t="s">
        <v>4884</v>
      </c>
      <c r="G272" s="6" t="s">
        <v>14</v>
      </c>
      <c r="H272" s="4">
        <v>170</v>
      </c>
      <c r="I272" s="5" t="s">
        <v>38</v>
      </c>
      <c r="J272" s="5" t="s">
        <v>4885</v>
      </c>
      <c r="K272" s="5" t="s">
        <v>4886</v>
      </c>
      <c r="L272" s="5"/>
      <c r="M272" s="5" t="s">
        <v>1207</v>
      </c>
      <c r="N272" s="5" t="s">
        <v>1201</v>
      </c>
      <c r="O272" s="5" t="s">
        <v>4883</v>
      </c>
      <c r="P272" s="5"/>
      <c r="Q272" s="5" t="s">
        <v>4887</v>
      </c>
    </row>
    <row r="273" spans="2:17" x14ac:dyDescent="0.2">
      <c r="B273" s="5" t="s">
        <v>4880</v>
      </c>
      <c r="C273" s="6" t="s">
        <v>13588</v>
      </c>
      <c r="D273" s="4">
        <v>284</v>
      </c>
      <c r="E273" s="5" t="s">
        <v>32</v>
      </c>
      <c r="F273" s="5" t="s">
        <v>4888</v>
      </c>
      <c r="G273" s="6" t="s">
        <v>14</v>
      </c>
      <c r="H273" s="4">
        <v>171</v>
      </c>
      <c r="I273" s="5" t="s">
        <v>38</v>
      </c>
      <c r="J273" s="5" t="s">
        <v>4889</v>
      </c>
      <c r="K273" s="5" t="s">
        <v>4886</v>
      </c>
      <c r="L273" s="5"/>
      <c r="M273" s="5" t="s">
        <v>1207</v>
      </c>
      <c r="N273" s="5" t="s">
        <v>1201</v>
      </c>
      <c r="O273" s="5" t="s">
        <v>4883</v>
      </c>
      <c r="P273" s="5"/>
      <c r="Q273" s="5" t="s">
        <v>4890</v>
      </c>
    </row>
    <row r="274" spans="2:17" x14ac:dyDescent="0.2">
      <c r="B274" s="5" t="s">
        <v>4880</v>
      </c>
      <c r="C274" s="6" t="s">
        <v>13588</v>
      </c>
      <c r="D274" s="4">
        <v>285</v>
      </c>
      <c r="E274" s="5" t="s">
        <v>24</v>
      </c>
      <c r="F274" s="5" t="s">
        <v>4891</v>
      </c>
      <c r="G274" s="6" t="s">
        <v>14</v>
      </c>
      <c r="H274" s="4">
        <v>172</v>
      </c>
      <c r="I274" s="5"/>
      <c r="J274" s="5" t="s">
        <v>4892</v>
      </c>
      <c r="K274" s="5" t="s">
        <v>4881</v>
      </c>
      <c r="L274" s="5"/>
      <c r="M274" s="5" t="s">
        <v>1207</v>
      </c>
      <c r="N274" s="5" t="s">
        <v>1201</v>
      </c>
      <c r="O274" s="5" t="s">
        <v>4883</v>
      </c>
      <c r="P274" s="5"/>
      <c r="Q274" s="5" t="s">
        <v>4893</v>
      </c>
    </row>
    <row r="275" spans="2:17" x14ac:dyDescent="0.2">
      <c r="B275" s="5" t="s">
        <v>4918</v>
      </c>
      <c r="C275" s="6" t="s">
        <v>13588</v>
      </c>
      <c r="D275" s="4">
        <v>292</v>
      </c>
      <c r="E275" s="5" t="s">
        <v>32</v>
      </c>
      <c r="F275" s="5" t="s">
        <v>4934</v>
      </c>
      <c r="G275" s="6" t="s">
        <v>14</v>
      </c>
      <c r="H275" s="4">
        <v>173</v>
      </c>
      <c r="I275" s="5" t="s">
        <v>22</v>
      </c>
      <c r="J275" s="5" t="s">
        <v>4935</v>
      </c>
      <c r="K275" s="5" t="s">
        <v>4936</v>
      </c>
      <c r="L275" s="5"/>
      <c r="M275" s="5" t="s">
        <v>112</v>
      </c>
      <c r="N275" s="5" t="s">
        <v>337</v>
      </c>
      <c r="O275" s="5" t="s">
        <v>4919</v>
      </c>
      <c r="P275" s="5"/>
      <c r="Q275" s="5" t="s">
        <v>4937</v>
      </c>
    </row>
    <row r="276" spans="2:17" x14ac:dyDescent="0.2">
      <c r="B276" s="5" t="s">
        <v>4918</v>
      </c>
      <c r="C276" s="6" t="s">
        <v>13588</v>
      </c>
      <c r="D276" s="4">
        <v>293</v>
      </c>
      <c r="E276" s="5" t="s">
        <v>32</v>
      </c>
      <c r="F276" s="5" t="s">
        <v>4934</v>
      </c>
      <c r="G276" s="6" t="s">
        <v>14</v>
      </c>
      <c r="H276" s="4">
        <v>174</v>
      </c>
      <c r="I276" s="5" t="s">
        <v>22</v>
      </c>
      <c r="J276" s="5" t="s">
        <v>4938</v>
      </c>
      <c r="K276" s="5" t="s">
        <v>4936</v>
      </c>
      <c r="L276" s="5"/>
      <c r="M276" s="5" t="s">
        <v>112</v>
      </c>
      <c r="N276" s="5" t="s">
        <v>337</v>
      </c>
      <c r="O276" s="5" t="s">
        <v>4919</v>
      </c>
      <c r="P276" s="5"/>
      <c r="Q276" s="5" t="s">
        <v>4939</v>
      </c>
    </row>
    <row r="277" spans="2:17" x14ac:dyDescent="0.2">
      <c r="B277" s="5" t="s">
        <v>4918</v>
      </c>
      <c r="C277" s="6" t="s">
        <v>13588</v>
      </c>
      <c r="D277" s="4">
        <v>294</v>
      </c>
      <c r="E277" s="5" t="s">
        <v>32</v>
      </c>
      <c r="F277" s="5" t="s">
        <v>4934</v>
      </c>
      <c r="G277" s="6" t="s">
        <v>14</v>
      </c>
      <c r="H277" s="4">
        <v>175</v>
      </c>
      <c r="I277" s="5" t="s">
        <v>22</v>
      </c>
      <c r="J277" s="5" t="s">
        <v>4940</v>
      </c>
      <c r="K277" s="5" t="s">
        <v>4941</v>
      </c>
      <c r="L277" s="5" t="s">
        <v>4942</v>
      </c>
      <c r="M277" s="5" t="s">
        <v>112</v>
      </c>
      <c r="N277" s="5" t="s">
        <v>337</v>
      </c>
      <c r="O277" s="5" t="s">
        <v>4919</v>
      </c>
      <c r="P277" s="5"/>
      <c r="Q277" s="5" t="s">
        <v>4943</v>
      </c>
    </row>
    <row r="278" spans="2:17" x14ac:dyDescent="0.2">
      <c r="B278" s="5" t="s">
        <v>4918</v>
      </c>
      <c r="C278" s="6" t="s">
        <v>13588</v>
      </c>
      <c r="D278" s="4">
        <v>295</v>
      </c>
      <c r="E278" s="5" t="s">
        <v>32</v>
      </c>
      <c r="F278" s="5" t="s">
        <v>4922</v>
      </c>
      <c r="G278" s="6" t="s">
        <v>14</v>
      </c>
      <c r="H278" s="4">
        <v>176</v>
      </c>
      <c r="I278" s="5" t="s">
        <v>22</v>
      </c>
      <c r="J278" s="5" t="s">
        <v>4923</v>
      </c>
      <c r="K278" s="5" t="s">
        <v>4924</v>
      </c>
      <c r="L278" s="5" t="s">
        <v>4925</v>
      </c>
      <c r="M278" s="5" t="s">
        <v>2891</v>
      </c>
      <c r="N278" s="5" t="s">
        <v>1263</v>
      </c>
      <c r="O278" s="5" t="s">
        <v>4919</v>
      </c>
      <c r="P278" s="5"/>
      <c r="Q278" s="5" t="s">
        <v>4926</v>
      </c>
    </row>
    <row r="279" spans="2:17" x14ac:dyDescent="0.2">
      <c r="B279" s="5" t="s">
        <v>4918</v>
      </c>
      <c r="C279" s="6" t="s">
        <v>13588</v>
      </c>
      <c r="D279" s="4">
        <v>296</v>
      </c>
      <c r="E279" s="5" t="s">
        <v>32</v>
      </c>
      <c r="F279" s="5" t="s">
        <v>4922</v>
      </c>
      <c r="G279" s="6" t="s">
        <v>14</v>
      </c>
      <c r="H279" s="4">
        <v>177</v>
      </c>
      <c r="I279" s="5" t="s">
        <v>22</v>
      </c>
      <c r="J279" s="5" t="s">
        <v>4927</v>
      </c>
      <c r="K279" s="5" t="s">
        <v>4928</v>
      </c>
      <c r="L279" s="5" t="s">
        <v>4929</v>
      </c>
      <c r="M279" s="5" t="s">
        <v>2891</v>
      </c>
      <c r="N279" s="5" t="s">
        <v>1263</v>
      </c>
      <c r="O279" s="5" t="s">
        <v>4920</v>
      </c>
      <c r="P279" s="5"/>
      <c r="Q279" s="5" t="s">
        <v>4930</v>
      </c>
    </row>
    <row r="280" spans="2:17" x14ac:dyDescent="0.2">
      <c r="B280" s="5" t="s">
        <v>4918</v>
      </c>
      <c r="C280" s="6" t="s">
        <v>13588</v>
      </c>
      <c r="D280" s="4">
        <v>297</v>
      </c>
      <c r="E280" s="5" t="s">
        <v>32</v>
      </c>
      <c r="F280" s="5" t="s">
        <v>4922</v>
      </c>
      <c r="G280" s="6" t="s">
        <v>14</v>
      </c>
      <c r="H280" s="4">
        <v>178</v>
      </c>
      <c r="I280" s="5" t="s">
        <v>22</v>
      </c>
      <c r="J280" s="5" t="s">
        <v>4931</v>
      </c>
      <c r="K280" s="5" t="s">
        <v>4928</v>
      </c>
      <c r="L280" s="5" t="s">
        <v>4932</v>
      </c>
      <c r="M280" s="5" t="s">
        <v>2891</v>
      </c>
      <c r="N280" s="5" t="s">
        <v>1263</v>
      </c>
      <c r="O280" s="5" t="s">
        <v>4921</v>
      </c>
      <c r="P280" s="5"/>
      <c r="Q280" s="5" t="s">
        <v>4933</v>
      </c>
    </row>
    <row r="281" spans="2:17" x14ac:dyDescent="0.2">
      <c r="B281" s="5" t="s">
        <v>4944</v>
      </c>
      <c r="C281" s="6" t="s">
        <v>13588</v>
      </c>
      <c r="D281" s="4">
        <v>301</v>
      </c>
      <c r="E281" s="5" t="s">
        <v>32</v>
      </c>
      <c r="F281" s="5" t="s">
        <v>4959</v>
      </c>
      <c r="G281" s="6" t="s">
        <v>14</v>
      </c>
      <c r="H281" s="4">
        <v>179</v>
      </c>
      <c r="I281" s="5" t="s">
        <v>22</v>
      </c>
      <c r="J281" s="5" t="s">
        <v>4960</v>
      </c>
      <c r="K281" s="5" t="s">
        <v>2280</v>
      </c>
      <c r="L281" s="5"/>
      <c r="M281" s="5" t="s">
        <v>573</v>
      </c>
      <c r="N281" s="5" t="s">
        <v>1262</v>
      </c>
      <c r="O281" s="5" t="s">
        <v>4946</v>
      </c>
      <c r="P281" s="5"/>
      <c r="Q281" s="5" t="s">
        <v>4961</v>
      </c>
    </row>
    <row r="282" spans="2:17" x14ac:dyDescent="0.2">
      <c r="B282" s="5" t="s">
        <v>4944</v>
      </c>
      <c r="C282" s="6" t="s">
        <v>13588</v>
      </c>
      <c r="D282" s="4">
        <v>303</v>
      </c>
      <c r="E282" s="5" t="s">
        <v>32</v>
      </c>
      <c r="F282" s="5" t="s">
        <v>4949</v>
      </c>
      <c r="G282" s="6" t="s">
        <v>14</v>
      </c>
      <c r="H282" s="4">
        <v>180</v>
      </c>
      <c r="I282" s="5" t="s">
        <v>38</v>
      </c>
      <c r="J282" s="5" t="s">
        <v>4950</v>
      </c>
      <c r="K282" s="5" t="s">
        <v>4947</v>
      </c>
      <c r="L282" s="5" t="s">
        <v>4951</v>
      </c>
      <c r="M282" s="5" t="s">
        <v>2827</v>
      </c>
      <c r="N282" s="5" t="s">
        <v>4731</v>
      </c>
      <c r="O282" s="5" t="s">
        <v>4948</v>
      </c>
      <c r="P282" s="5"/>
      <c r="Q282" s="5" t="s">
        <v>4952</v>
      </c>
    </row>
    <row r="283" spans="2:17" x14ac:dyDescent="0.2">
      <c r="B283" s="5" t="s">
        <v>4944</v>
      </c>
      <c r="C283" s="6" t="s">
        <v>13588</v>
      </c>
      <c r="D283" s="4">
        <v>304</v>
      </c>
      <c r="E283" s="5" t="s">
        <v>32</v>
      </c>
      <c r="F283" s="5" t="s">
        <v>4949</v>
      </c>
      <c r="G283" s="6" t="s">
        <v>14</v>
      </c>
      <c r="H283" s="4">
        <v>181</v>
      </c>
      <c r="I283" s="5" t="s">
        <v>22</v>
      </c>
      <c r="J283" s="5" t="s">
        <v>4953</v>
      </c>
      <c r="K283" s="5" t="s">
        <v>4954</v>
      </c>
      <c r="L283" s="5" t="s">
        <v>4951</v>
      </c>
      <c r="M283" s="5" t="s">
        <v>2827</v>
      </c>
      <c r="N283" s="5" t="s">
        <v>4731</v>
      </c>
      <c r="O283" s="5" t="s">
        <v>4948</v>
      </c>
      <c r="P283" s="5"/>
      <c r="Q283" s="5" t="s">
        <v>4955</v>
      </c>
    </row>
    <row r="284" spans="2:17" x14ac:dyDescent="0.2">
      <c r="B284" s="5" t="s">
        <v>5906</v>
      </c>
      <c r="C284" s="6" t="s">
        <v>13588</v>
      </c>
      <c r="D284" s="4">
        <v>305</v>
      </c>
      <c r="E284" s="5" t="s">
        <v>32</v>
      </c>
      <c r="F284" s="5" t="s">
        <v>5948</v>
      </c>
      <c r="G284" s="6" t="s">
        <v>14</v>
      </c>
      <c r="H284" s="4">
        <v>182</v>
      </c>
      <c r="I284" s="5" t="s">
        <v>22</v>
      </c>
      <c r="J284" s="5" t="s">
        <v>5949</v>
      </c>
      <c r="K284" s="5" t="s">
        <v>5950</v>
      </c>
      <c r="L284" s="5"/>
      <c r="M284" s="5" t="s">
        <v>106</v>
      </c>
      <c r="N284" s="5" t="s">
        <v>106</v>
      </c>
      <c r="O284" s="5" t="s">
        <v>5951</v>
      </c>
      <c r="P284" s="5"/>
      <c r="Q284" s="5" t="s">
        <v>5952</v>
      </c>
    </row>
    <row r="285" spans="2:17" x14ac:dyDescent="0.2">
      <c r="B285" s="5" t="s">
        <v>5906</v>
      </c>
      <c r="C285" s="6" t="s">
        <v>13588</v>
      </c>
      <c r="D285" s="4">
        <v>306</v>
      </c>
      <c r="E285" s="5" t="s">
        <v>32</v>
      </c>
      <c r="F285" s="5" t="s">
        <v>5953</v>
      </c>
      <c r="G285" s="6" t="s">
        <v>14</v>
      </c>
      <c r="H285" s="4">
        <v>183</v>
      </c>
      <c r="I285" s="5" t="s">
        <v>22</v>
      </c>
      <c r="J285" s="5" t="s">
        <v>5954</v>
      </c>
      <c r="K285" s="5" t="s">
        <v>5955</v>
      </c>
      <c r="L285" s="5"/>
      <c r="M285" s="5" t="s">
        <v>106</v>
      </c>
      <c r="N285" s="5" t="s">
        <v>106</v>
      </c>
      <c r="O285" s="5" t="s">
        <v>5956</v>
      </c>
      <c r="P285" s="5"/>
      <c r="Q285" s="5" t="s">
        <v>5957</v>
      </c>
    </row>
    <row r="286" spans="2:17" x14ac:dyDescent="0.2">
      <c r="B286" s="5" t="s">
        <v>5906</v>
      </c>
      <c r="C286" s="6" t="s">
        <v>13588</v>
      </c>
      <c r="D286" s="4">
        <v>312</v>
      </c>
      <c r="E286" s="5" t="s">
        <v>32</v>
      </c>
      <c r="F286" s="5" t="s">
        <v>5907</v>
      </c>
      <c r="G286" s="6" t="s">
        <v>14</v>
      </c>
      <c r="H286" s="4">
        <v>184</v>
      </c>
      <c r="I286" s="5" t="s">
        <v>38</v>
      </c>
      <c r="J286" s="5" t="s">
        <v>5908</v>
      </c>
      <c r="K286" s="5" t="s">
        <v>5909</v>
      </c>
      <c r="L286" s="5"/>
      <c r="M286" s="5" t="s">
        <v>2821</v>
      </c>
      <c r="N286" s="5" t="s">
        <v>5910</v>
      </c>
      <c r="O286" s="5" t="s">
        <v>5911</v>
      </c>
      <c r="P286" s="5"/>
      <c r="Q286" s="5" t="s">
        <v>5912</v>
      </c>
    </row>
    <row r="287" spans="2:17" x14ac:dyDescent="0.2">
      <c r="B287" s="5" t="s">
        <v>5906</v>
      </c>
      <c r="C287" s="6" t="s">
        <v>13588</v>
      </c>
      <c r="D287" s="4">
        <v>313</v>
      </c>
      <c r="E287" s="5" t="s">
        <v>32</v>
      </c>
      <c r="F287" s="5" t="s">
        <v>5913</v>
      </c>
      <c r="G287" s="6" t="s">
        <v>14</v>
      </c>
      <c r="H287" s="4">
        <v>185</v>
      </c>
      <c r="I287" s="5" t="s">
        <v>38</v>
      </c>
      <c r="J287" s="5" t="s">
        <v>5914</v>
      </c>
      <c r="K287" s="5" t="s">
        <v>5915</v>
      </c>
      <c r="L287" s="5"/>
      <c r="M287" s="5" t="s">
        <v>2821</v>
      </c>
      <c r="N287" s="5" t="s">
        <v>5910</v>
      </c>
      <c r="O287" s="5" t="s">
        <v>5916</v>
      </c>
      <c r="P287" s="5"/>
      <c r="Q287" s="5" t="s">
        <v>5917</v>
      </c>
    </row>
    <row r="288" spans="2:17" x14ac:dyDescent="0.2">
      <c r="B288" s="5" t="s">
        <v>5906</v>
      </c>
      <c r="C288" s="6" t="s">
        <v>13588</v>
      </c>
      <c r="D288" s="4">
        <v>314</v>
      </c>
      <c r="E288" s="5" t="s">
        <v>32</v>
      </c>
      <c r="F288" s="5" t="s">
        <v>5918</v>
      </c>
      <c r="G288" s="6" t="s">
        <v>14</v>
      </c>
      <c r="H288" s="4">
        <v>186</v>
      </c>
      <c r="I288" s="5" t="s">
        <v>38</v>
      </c>
      <c r="J288" s="5" t="s">
        <v>5919</v>
      </c>
      <c r="K288" s="5" t="s">
        <v>5915</v>
      </c>
      <c r="L288" s="5"/>
      <c r="M288" s="5" t="s">
        <v>2821</v>
      </c>
      <c r="N288" s="5" t="s">
        <v>5910</v>
      </c>
      <c r="O288" s="5" t="s">
        <v>5920</v>
      </c>
      <c r="P288" s="5"/>
      <c r="Q288" s="5" t="s">
        <v>5921</v>
      </c>
    </row>
    <row r="289" spans="2:17" x14ac:dyDescent="0.2">
      <c r="B289" s="5" t="s">
        <v>5906</v>
      </c>
      <c r="C289" s="6" t="s">
        <v>13588</v>
      </c>
      <c r="D289" s="4">
        <v>315</v>
      </c>
      <c r="E289" s="5" t="s">
        <v>32</v>
      </c>
      <c r="F289" s="5" t="s">
        <v>5922</v>
      </c>
      <c r="G289" s="6" t="s">
        <v>14</v>
      </c>
      <c r="H289" s="4">
        <v>187</v>
      </c>
      <c r="I289" s="5" t="s">
        <v>38</v>
      </c>
      <c r="J289" s="5" t="s">
        <v>5923</v>
      </c>
      <c r="K289" s="5" t="s">
        <v>5909</v>
      </c>
      <c r="L289" s="5" t="s">
        <v>5924</v>
      </c>
      <c r="M289" s="5" t="s">
        <v>2821</v>
      </c>
      <c r="N289" s="5" t="s">
        <v>5910</v>
      </c>
      <c r="O289" s="5" t="s">
        <v>5925</v>
      </c>
      <c r="P289" s="5"/>
      <c r="Q289" s="5" t="s">
        <v>5926</v>
      </c>
    </row>
    <row r="290" spans="2:17" x14ac:dyDescent="0.2">
      <c r="B290" s="5" t="s">
        <v>5906</v>
      </c>
      <c r="C290" s="6" t="s">
        <v>13588</v>
      </c>
      <c r="D290" s="4">
        <v>316</v>
      </c>
      <c r="E290" s="5" t="s">
        <v>32</v>
      </c>
      <c r="F290" s="5" t="s">
        <v>5927</v>
      </c>
      <c r="G290" s="6" t="s">
        <v>14</v>
      </c>
      <c r="H290" s="4">
        <v>188</v>
      </c>
      <c r="I290" s="5" t="s">
        <v>38</v>
      </c>
      <c r="J290" s="5" t="s">
        <v>5928</v>
      </c>
      <c r="K290" s="5" t="s">
        <v>5929</v>
      </c>
      <c r="L290" s="5"/>
      <c r="M290" s="5" t="s">
        <v>2821</v>
      </c>
      <c r="N290" s="5" t="s">
        <v>5910</v>
      </c>
      <c r="O290" s="5" t="s">
        <v>5930</v>
      </c>
      <c r="P290" s="5"/>
      <c r="Q290" s="5" t="s">
        <v>5931</v>
      </c>
    </row>
    <row r="291" spans="2:17" x14ac:dyDescent="0.2">
      <c r="B291" s="5" t="s">
        <v>5963</v>
      </c>
      <c r="C291" s="6" t="s">
        <v>13588</v>
      </c>
      <c r="D291" s="4">
        <v>323</v>
      </c>
      <c r="E291" s="5" t="s">
        <v>15</v>
      </c>
      <c r="F291" s="5" t="s">
        <v>6029</v>
      </c>
      <c r="G291" s="6" t="s">
        <v>14</v>
      </c>
      <c r="H291" s="4">
        <v>189</v>
      </c>
      <c r="I291" s="5"/>
      <c r="J291" s="5" t="s">
        <v>6030</v>
      </c>
      <c r="K291" s="5" t="s">
        <v>5966</v>
      </c>
      <c r="L291" s="5"/>
      <c r="M291" s="5" t="s">
        <v>1464</v>
      </c>
      <c r="N291" s="5" t="s">
        <v>347</v>
      </c>
      <c r="O291" s="5" t="s">
        <v>5965</v>
      </c>
      <c r="P291" s="5"/>
      <c r="Q291" s="5" t="s">
        <v>6031</v>
      </c>
    </row>
    <row r="292" spans="2:17" x14ac:dyDescent="0.2">
      <c r="B292" s="5" t="s">
        <v>5963</v>
      </c>
      <c r="C292" s="6" t="s">
        <v>13588</v>
      </c>
      <c r="D292" s="4">
        <v>324</v>
      </c>
      <c r="E292" s="5" t="s">
        <v>82</v>
      </c>
      <c r="F292" s="5" t="s">
        <v>5997</v>
      </c>
      <c r="G292" s="6" t="s">
        <v>14</v>
      </c>
      <c r="H292" s="4">
        <v>190</v>
      </c>
      <c r="I292" s="5"/>
      <c r="J292" s="5" t="s">
        <v>5998</v>
      </c>
      <c r="K292" s="5" t="s">
        <v>5967</v>
      </c>
      <c r="L292" s="5" t="s">
        <v>5971</v>
      </c>
      <c r="M292" s="5" t="s">
        <v>3608</v>
      </c>
      <c r="N292" s="5" t="s">
        <v>2376</v>
      </c>
      <c r="O292" s="5" t="s">
        <v>5981</v>
      </c>
      <c r="P292" s="5"/>
      <c r="Q292" s="5" t="s">
        <v>5999</v>
      </c>
    </row>
    <row r="293" spans="2:17" x14ac:dyDescent="0.2">
      <c r="B293" s="5" t="s">
        <v>5963</v>
      </c>
      <c r="C293" s="6" t="s">
        <v>13588</v>
      </c>
      <c r="D293" s="4">
        <v>325</v>
      </c>
      <c r="E293" s="5" t="s">
        <v>82</v>
      </c>
      <c r="F293" s="5" t="s">
        <v>5997</v>
      </c>
      <c r="G293" s="6" t="s">
        <v>14</v>
      </c>
      <c r="H293" s="4">
        <v>191</v>
      </c>
      <c r="I293" s="5"/>
      <c r="J293" s="5" t="s">
        <v>6000</v>
      </c>
      <c r="K293" s="5" t="s">
        <v>5966</v>
      </c>
      <c r="L293" s="5" t="s">
        <v>6001</v>
      </c>
      <c r="M293" s="5" t="s">
        <v>3608</v>
      </c>
      <c r="N293" s="5" t="s">
        <v>2376</v>
      </c>
      <c r="O293" s="5" t="s">
        <v>5965</v>
      </c>
      <c r="P293" s="5"/>
      <c r="Q293" s="5" t="s">
        <v>6002</v>
      </c>
    </row>
    <row r="294" spans="2:17" x14ac:dyDescent="0.2">
      <c r="B294" s="5" t="s">
        <v>5963</v>
      </c>
      <c r="C294" s="6" t="s">
        <v>13588</v>
      </c>
      <c r="D294" s="4">
        <v>326</v>
      </c>
      <c r="E294" s="5" t="s">
        <v>82</v>
      </c>
      <c r="F294" s="5" t="s">
        <v>5997</v>
      </c>
      <c r="G294" s="6" t="s">
        <v>14</v>
      </c>
      <c r="H294" s="4">
        <v>192</v>
      </c>
      <c r="I294" s="5"/>
      <c r="J294" s="5" t="s">
        <v>6003</v>
      </c>
      <c r="K294" s="5" t="s">
        <v>5975</v>
      </c>
      <c r="L294" s="5"/>
      <c r="M294" s="5" t="s">
        <v>3608</v>
      </c>
      <c r="N294" s="5" t="s">
        <v>2376</v>
      </c>
      <c r="O294" s="5" t="s">
        <v>5965</v>
      </c>
      <c r="P294" s="5"/>
      <c r="Q294" s="5" t="s">
        <v>6004</v>
      </c>
    </row>
    <row r="295" spans="2:17" x14ac:dyDescent="0.2">
      <c r="B295" s="5" t="s">
        <v>5963</v>
      </c>
      <c r="C295" s="6" t="s">
        <v>13588</v>
      </c>
      <c r="D295" s="4">
        <v>327</v>
      </c>
      <c r="E295" s="5" t="s">
        <v>82</v>
      </c>
      <c r="F295" s="5" t="s">
        <v>5997</v>
      </c>
      <c r="G295" s="6" t="s">
        <v>14</v>
      </c>
      <c r="H295" s="4">
        <v>193</v>
      </c>
      <c r="I295" s="5"/>
      <c r="J295" s="5" t="s">
        <v>6005</v>
      </c>
      <c r="K295" s="5" t="s">
        <v>6006</v>
      </c>
      <c r="L295" s="5"/>
      <c r="M295" s="5" t="s">
        <v>3608</v>
      </c>
      <c r="N295" s="5" t="s">
        <v>2376</v>
      </c>
      <c r="O295" s="5" t="s">
        <v>5981</v>
      </c>
      <c r="P295" s="5"/>
      <c r="Q295" s="5" t="s">
        <v>6007</v>
      </c>
    </row>
    <row r="296" spans="2:17" x14ac:dyDescent="0.2">
      <c r="B296" s="5" t="s">
        <v>5963</v>
      </c>
      <c r="C296" s="6" t="s">
        <v>13588</v>
      </c>
      <c r="D296" s="4">
        <v>328</v>
      </c>
      <c r="E296" s="5" t="s">
        <v>82</v>
      </c>
      <c r="F296" s="5" t="s">
        <v>5997</v>
      </c>
      <c r="G296" s="6" t="s">
        <v>14</v>
      </c>
      <c r="H296" s="4">
        <v>194</v>
      </c>
      <c r="I296" s="5"/>
      <c r="J296" s="5" t="s">
        <v>6008</v>
      </c>
      <c r="K296" s="5"/>
      <c r="L296" s="5" t="s">
        <v>5968</v>
      </c>
      <c r="M296" s="5" t="s">
        <v>3608</v>
      </c>
      <c r="N296" s="5" t="s">
        <v>2376</v>
      </c>
      <c r="O296" s="5" t="s">
        <v>5981</v>
      </c>
      <c r="P296" s="5"/>
      <c r="Q296" s="5" t="s">
        <v>6009</v>
      </c>
    </row>
    <row r="297" spans="2:17" x14ac:dyDescent="0.2">
      <c r="B297" s="5" t="s">
        <v>5963</v>
      </c>
      <c r="C297" s="6" t="s">
        <v>13588</v>
      </c>
      <c r="D297" s="4">
        <v>329</v>
      </c>
      <c r="E297" s="5" t="s">
        <v>82</v>
      </c>
      <c r="F297" s="5" t="s">
        <v>5997</v>
      </c>
      <c r="G297" s="6" t="s">
        <v>14</v>
      </c>
      <c r="H297" s="4">
        <v>195</v>
      </c>
      <c r="I297" s="5"/>
      <c r="J297" s="5" t="s">
        <v>6010</v>
      </c>
      <c r="K297" s="5" t="s">
        <v>6011</v>
      </c>
      <c r="L297" s="5"/>
      <c r="M297" s="5" t="s">
        <v>3608</v>
      </c>
      <c r="N297" s="5" t="s">
        <v>2376</v>
      </c>
      <c r="O297" s="5" t="s">
        <v>5965</v>
      </c>
      <c r="P297" s="5"/>
      <c r="Q297" s="5" t="s">
        <v>6012</v>
      </c>
    </row>
    <row r="298" spans="2:17" x14ac:dyDescent="0.2">
      <c r="B298" s="5" t="s">
        <v>5963</v>
      </c>
      <c r="C298" s="6" t="s">
        <v>13588</v>
      </c>
      <c r="D298" s="4">
        <v>330</v>
      </c>
      <c r="E298" s="5" t="s">
        <v>82</v>
      </c>
      <c r="F298" s="5" t="s">
        <v>5997</v>
      </c>
      <c r="G298" s="6" t="s">
        <v>14</v>
      </c>
      <c r="H298" s="4">
        <v>196</v>
      </c>
      <c r="I298" s="5"/>
      <c r="J298" s="5" t="s">
        <v>6013</v>
      </c>
      <c r="K298" s="5" t="s">
        <v>5972</v>
      </c>
      <c r="L298" s="5" t="s">
        <v>6014</v>
      </c>
      <c r="M298" s="5" t="s">
        <v>3608</v>
      </c>
      <c r="N298" s="5" t="s">
        <v>2376</v>
      </c>
      <c r="O298" s="5" t="s">
        <v>5965</v>
      </c>
      <c r="P298" s="5"/>
      <c r="Q298" s="5" t="s">
        <v>6015</v>
      </c>
    </row>
    <row r="299" spans="2:17" x14ac:dyDescent="0.2">
      <c r="B299" s="5" t="s">
        <v>5963</v>
      </c>
      <c r="C299" s="6" t="s">
        <v>13588</v>
      </c>
      <c r="D299" s="4">
        <v>331</v>
      </c>
      <c r="E299" s="5" t="s">
        <v>82</v>
      </c>
      <c r="F299" s="5" t="s">
        <v>5997</v>
      </c>
      <c r="G299" s="6" t="s">
        <v>14</v>
      </c>
      <c r="H299" s="4">
        <v>197</v>
      </c>
      <c r="I299" s="5"/>
      <c r="J299" s="5" t="s">
        <v>6016</v>
      </c>
      <c r="K299" s="5" t="s">
        <v>5970</v>
      </c>
      <c r="L299" s="5"/>
      <c r="M299" s="5" t="s">
        <v>3608</v>
      </c>
      <c r="N299" s="5" t="s">
        <v>2376</v>
      </c>
      <c r="O299" s="5" t="s">
        <v>5981</v>
      </c>
      <c r="P299" s="5"/>
      <c r="Q299" s="5" t="s">
        <v>6017</v>
      </c>
    </row>
    <row r="300" spans="2:17" x14ac:dyDescent="0.2">
      <c r="B300" s="5" t="s">
        <v>5963</v>
      </c>
      <c r="C300" s="6" t="s">
        <v>13588</v>
      </c>
      <c r="D300" s="4">
        <v>332</v>
      </c>
      <c r="E300" s="5" t="s">
        <v>82</v>
      </c>
      <c r="F300" s="5" t="s">
        <v>5997</v>
      </c>
      <c r="G300" s="6" t="s">
        <v>14</v>
      </c>
      <c r="H300" s="4">
        <v>198</v>
      </c>
      <c r="I300" s="5"/>
      <c r="J300" s="5" t="s">
        <v>6018</v>
      </c>
      <c r="K300" s="5" t="s">
        <v>5964</v>
      </c>
      <c r="L300" s="5"/>
      <c r="M300" s="5" t="s">
        <v>3608</v>
      </c>
      <c r="N300" s="5" t="s">
        <v>2376</v>
      </c>
      <c r="O300" s="5" t="s">
        <v>5965</v>
      </c>
      <c r="P300" s="5"/>
      <c r="Q300" s="5" t="s">
        <v>6019</v>
      </c>
    </row>
    <row r="301" spans="2:17" x14ac:dyDescent="0.2">
      <c r="B301" s="5" t="s">
        <v>5963</v>
      </c>
      <c r="C301" s="6" t="s">
        <v>13588</v>
      </c>
      <c r="D301" s="4">
        <v>333</v>
      </c>
      <c r="E301" s="5" t="s">
        <v>82</v>
      </c>
      <c r="F301" s="5" t="s">
        <v>5997</v>
      </c>
      <c r="G301" s="6" t="s">
        <v>14</v>
      </c>
      <c r="H301" s="4">
        <v>199</v>
      </c>
      <c r="I301" s="5"/>
      <c r="J301" s="5" t="s">
        <v>6020</v>
      </c>
      <c r="K301" s="5"/>
      <c r="L301" s="5" t="s">
        <v>5976</v>
      </c>
      <c r="M301" s="5" t="s">
        <v>3608</v>
      </c>
      <c r="N301" s="5" t="s">
        <v>2376</v>
      </c>
      <c r="O301" s="5" t="s">
        <v>5965</v>
      </c>
      <c r="P301" s="5"/>
      <c r="Q301" s="5" t="s">
        <v>6021</v>
      </c>
    </row>
    <row r="302" spans="2:17" x14ac:dyDescent="0.2">
      <c r="B302" s="5" t="s">
        <v>5963</v>
      </c>
      <c r="C302" s="6" t="s">
        <v>13588</v>
      </c>
      <c r="D302" s="4">
        <v>334</v>
      </c>
      <c r="E302" s="5" t="s">
        <v>82</v>
      </c>
      <c r="F302" s="5" t="s">
        <v>5997</v>
      </c>
      <c r="G302" s="6" t="s">
        <v>14</v>
      </c>
      <c r="H302" s="4">
        <v>200</v>
      </c>
      <c r="I302" s="5"/>
      <c r="J302" s="5" t="s">
        <v>6022</v>
      </c>
      <c r="K302" s="5" t="s">
        <v>6023</v>
      </c>
      <c r="L302" s="5" t="s">
        <v>6024</v>
      </c>
      <c r="M302" s="5" t="s">
        <v>3608</v>
      </c>
      <c r="N302" s="5" t="s">
        <v>2376</v>
      </c>
      <c r="O302" s="5" t="s">
        <v>5965</v>
      </c>
      <c r="P302" s="5"/>
      <c r="Q302" s="5" t="s">
        <v>6025</v>
      </c>
    </row>
    <row r="303" spans="2:17" x14ac:dyDescent="0.2">
      <c r="B303" s="5" t="s">
        <v>5963</v>
      </c>
      <c r="C303" s="6" t="s">
        <v>13588</v>
      </c>
      <c r="D303" s="4">
        <v>335</v>
      </c>
      <c r="E303" s="5" t="s">
        <v>82</v>
      </c>
      <c r="F303" s="5" t="s">
        <v>5997</v>
      </c>
      <c r="G303" s="6" t="s">
        <v>14</v>
      </c>
      <c r="H303" s="4">
        <v>201</v>
      </c>
      <c r="I303" s="5"/>
      <c r="J303" s="5" t="s">
        <v>6026</v>
      </c>
      <c r="K303" s="5" t="s">
        <v>6023</v>
      </c>
      <c r="L303" s="5" t="s">
        <v>6027</v>
      </c>
      <c r="M303" s="5" t="s">
        <v>3608</v>
      </c>
      <c r="N303" s="5" t="s">
        <v>2376</v>
      </c>
      <c r="O303" s="5" t="s">
        <v>5965</v>
      </c>
      <c r="P303" s="5"/>
      <c r="Q303" s="5" t="s">
        <v>6028</v>
      </c>
    </row>
    <row r="304" spans="2:17" x14ac:dyDescent="0.2">
      <c r="B304" s="5" t="s">
        <v>5963</v>
      </c>
      <c r="C304" s="6" t="s">
        <v>13588</v>
      </c>
      <c r="D304" s="4">
        <v>336</v>
      </c>
      <c r="E304" s="5" t="s">
        <v>82</v>
      </c>
      <c r="F304" s="5" t="s">
        <v>5993</v>
      </c>
      <c r="G304" s="6" t="s">
        <v>14</v>
      </c>
      <c r="H304" s="4">
        <v>202</v>
      </c>
      <c r="I304" s="5"/>
      <c r="J304" s="5" t="s">
        <v>5994</v>
      </c>
      <c r="K304" s="5" t="s">
        <v>5995</v>
      </c>
      <c r="L304" s="5"/>
      <c r="M304" s="5" t="s">
        <v>1812</v>
      </c>
      <c r="N304" s="5" t="s">
        <v>1437</v>
      </c>
      <c r="O304" s="5" t="s">
        <v>5969</v>
      </c>
      <c r="P304" s="5"/>
      <c r="Q304" s="5" t="s">
        <v>5996</v>
      </c>
    </row>
    <row r="305" spans="2:17" x14ac:dyDescent="0.2">
      <c r="B305" s="5" t="s">
        <v>5963</v>
      </c>
      <c r="C305" s="6" t="s">
        <v>13588</v>
      </c>
      <c r="D305" s="4">
        <v>337</v>
      </c>
      <c r="E305" s="5" t="s">
        <v>35</v>
      </c>
      <c r="F305" s="5" t="s">
        <v>5990</v>
      </c>
      <c r="G305" s="6" t="s">
        <v>14</v>
      </c>
      <c r="H305" s="4">
        <v>203</v>
      </c>
      <c r="I305" s="5"/>
      <c r="J305" s="5" t="s">
        <v>5991</v>
      </c>
      <c r="K305" s="5" t="s">
        <v>5977</v>
      </c>
      <c r="L305" s="5" t="s">
        <v>5968</v>
      </c>
      <c r="M305" s="5" t="s">
        <v>1415</v>
      </c>
      <c r="N305" s="5" t="s">
        <v>1957</v>
      </c>
      <c r="O305" s="5" t="s">
        <v>5969</v>
      </c>
      <c r="P305" s="5"/>
      <c r="Q305" s="5" t="s">
        <v>5992</v>
      </c>
    </row>
    <row r="306" spans="2:17" x14ac:dyDescent="0.2">
      <c r="B306" s="5" t="s">
        <v>5963</v>
      </c>
      <c r="C306" s="6" t="s">
        <v>13588</v>
      </c>
      <c r="D306" s="4">
        <v>339</v>
      </c>
      <c r="E306" s="5" t="s">
        <v>20</v>
      </c>
      <c r="F306" s="5" t="s">
        <v>5983</v>
      </c>
      <c r="G306" s="6" t="s">
        <v>14</v>
      </c>
      <c r="H306" s="4">
        <v>204</v>
      </c>
      <c r="I306" s="5" t="s">
        <v>22</v>
      </c>
      <c r="J306" s="5" t="s">
        <v>5984</v>
      </c>
      <c r="K306" s="5" t="s">
        <v>5974</v>
      </c>
      <c r="L306" s="5" t="s">
        <v>5985</v>
      </c>
      <c r="M306" s="5" t="s">
        <v>312</v>
      </c>
      <c r="N306" s="5" t="s">
        <v>302</v>
      </c>
      <c r="O306" s="5" t="s">
        <v>5981</v>
      </c>
      <c r="P306" s="5"/>
      <c r="Q306" s="5" t="s">
        <v>5986</v>
      </c>
    </row>
    <row r="307" spans="2:17" x14ac:dyDescent="0.2">
      <c r="B307" s="5" t="s">
        <v>5963</v>
      </c>
      <c r="C307" s="6" t="s">
        <v>13588</v>
      </c>
      <c r="D307" s="4">
        <v>341</v>
      </c>
      <c r="E307" s="5" t="s">
        <v>32</v>
      </c>
      <c r="F307" s="5" t="s">
        <v>6035</v>
      </c>
      <c r="G307" s="6" t="s">
        <v>14</v>
      </c>
      <c r="H307" s="4">
        <v>205</v>
      </c>
      <c r="I307" s="5" t="s">
        <v>22</v>
      </c>
      <c r="J307" s="5" t="s">
        <v>6036</v>
      </c>
      <c r="K307" s="5" t="s">
        <v>5964</v>
      </c>
      <c r="L307" s="5"/>
      <c r="M307" s="5" t="s">
        <v>2116</v>
      </c>
      <c r="N307" s="5" t="s">
        <v>2116</v>
      </c>
      <c r="O307" s="5" t="s">
        <v>5965</v>
      </c>
      <c r="P307" s="5"/>
      <c r="Q307" s="5" t="s">
        <v>6037</v>
      </c>
    </row>
    <row r="308" spans="2:17" x14ac:dyDescent="0.2">
      <c r="B308" s="5" t="s">
        <v>5963</v>
      </c>
      <c r="C308" s="6" t="s">
        <v>13588</v>
      </c>
      <c r="D308" s="4">
        <v>342</v>
      </c>
      <c r="E308" s="5" t="s">
        <v>13</v>
      </c>
      <c r="F308" s="5" t="s">
        <v>6038</v>
      </c>
      <c r="G308" s="6" t="s">
        <v>14</v>
      </c>
      <c r="H308" s="4">
        <v>206</v>
      </c>
      <c r="I308" s="5"/>
      <c r="J308" s="5" t="s">
        <v>6039</v>
      </c>
      <c r="K308" s="5" t="s">
        <v>5977</v>
      </c>
      <c r="L308" s="5" t="s">
        <v>5968</v>
      </c>
      <c r="M308" s="5" t="s">
        <v>2116</v>
      </c>
      <c r="N308" s="5" t="s">
        <v>2116</v>
      </c>
      <c r="O308" s="5" t="s">
        <v>5981</v>
      </c>
      <c r="P308" s="5"/>
      <c r="Q308" s="5" t="s">
        <v>6040</v>
      </c>
    </row>
    <row r="309" spans="2:17" x14ac:dyDescent="0.2">
      <c r="B309" s="5" t="s">
        <v>5963</v>
      </c>
      <c r="C309" s="6" t="s">
        <v>13588</v>
      </c>
      <c r="D309" s="4">
        <v>343</v>
      </c>
      <c r="E309" s="5" t="s">
        <v>35</v>
      </c>
      <c r="F309" s="5" t="s">
        <v>2798</v>
      </c>
      <c r="G309" s="6" t="s">
        <v>14</v>
      </c>
      <c r="H309" s="4">
        <v>207</v>
      </c>
      <c r="I309" s="5"/>
      <c r="J309" s="5" t="s">
        <v>6057</v>
      </c>
      <c r="K309" s="5" t="s">
        <v>5972</v>
      </c>
      <c r="L309" s="5"/>
      <c r="M309" s="5" t="s">
        <v>2262</v>
      </c>
      <c r="N309" s="5" t="s">
        <v>2262</v>
      </c>
      <c r="O309" s="5" t="s">
        <v>5965</v>
      </c>
      <c r="P309" s="5"/>
      <c r="Q309" s="5" t="s">
        <v>6058</v>
      </c>
    </row>
    <row r="310" spans="2:17" x14ac:dyDescent="0.2">
      <c r="B310" s="5" t="s">
        <v>6059</v>
      </c>
      <c r="C310" s="6" t="s">
        <v>13588</v>
      </c>
      <c r="D310" s="4">
        <v>345</v>
      </c>
      <c r="E310" s="5" t="s">
        <v>35</v>
      </c>
      <c r="F310" s="5" t="s">
        <v>6122</v>
      </c>
      <c r="G310" s="6" t="s">
        <v>14</v>
      </c>
      <c r="H310" s="4">
        <v>208</v>
      </c>
      <c r="I310" s="5"/>
      <c r="J310" s="5" t="s">
        <v>6123</v>
      </c>
      <c r="K310" s="5"/>
      <c r="L310" s="5" t="s">
        <v>6124</v>
      </c>
      <c r="M310" s="5" t="s">
        <v>5430</v>
      </c>
      <c r="N310" s="5" t="s">
        <v>5430</v>
      </c>
      <c r="O310" s="5" t="s">
        <v>6063</v>
      </c>
      <c r="P310" s="5"/>
      <c r="Q310" s="5" t="s">
        <v>6125</v>
      </c>
    </row>
    <row r="311" spans="2:17" x14ac:dyDescent="0.2">
      <c r="B311" s="5" t="s">
        <v>6059</v>
      </c>
      <c r="C311" s="6" t="s">
        <v>13588</v>
      </c>
      <c r="D311" s="4">
        <v>346</v>
      </c>
      <c r="E311" s="5" t="s">
        <v>32</v>
      </c>
      <c r="F311" s="5" t="s">
        <v>6111</v>
      </c>
      <c r="G311" s="6" t="s">
        <v>14</v>
      </c>
      <c r="H311" s="4">
        <v>209</v>
      </c>
      <c r="I311" s="5" t="s">
        <v>22</v>
      </c>
      <c r="J311" s="5" t="s">
        <v>6112</v>
      </c>
      <c r="K311" s="5" t="s">
        <v>6083</v>
      </c>
      <c r="L311" s="5"/>
      <c r="M311" s="5" t="s">
        <v>3906</v>
      </c>
      <c r="N311" s="5" t="s">
        <v>3906</v>
      </c>
      <c r="O311" s="5" t="s">
        <v>6063</v>
      </c>
      <c r="P311" s="5"/>
      <c r="Q311" s="5" t="s">
        <v>6113</v>
      </c>
    </row>
    <row r="312" spans="2:17" x14ac:dyDescent="0.2">
      <c r="B312" s="5" t="s">
        <v>6059</v>
      </c>
      <c r="C312" s="6" t="s">
        <v>13588</v>
      </c>
      <c r="D312" s="4">
        <v>347</v>
      </c>
      <c r="E312" s="5" t="s">
        <v>35</v>
      </c>
      <c r="F312" s="5" t="s">
        <v>6103</v>
      </c>
      <c r="G312" s="6" t="s">
        <v>14</v>
      </c>
      <c r="H312" s="4">
        <v>210</v>
      </c>
      <c r="I312" s="5"/>
      <c r="J312" s="5" t="s">
        <v>6104</v>
      </c>
      <c r="K312" s="5" t="s">
        <v>6067</v>
      </c>
      <c r="L312" s="5"/>
      <c r="M312" s="5" t="s">
        <v>3317</v>
      </c>
      <c r="N312" s="5" t="s">
        <v>1844</v>
      </c>
      <c r="O312" s="5" t="s">
        <v>6063</v>
      </c>
      <c r="P312" s="5"/>
      <c r="Q312" s="5" t="s">
        <v>6105</v>
      </c>
    </row>
    <row r="313" spans="2:17" x14ac:dyDescent="0.2">
      <c r="B313" s="5" t="s">
        <v>6059</v>
      </c>
      <c r="C313" s="6" t="s">
        <v>13588</v>
      </c>
      <c r="D313" s="4">
        <v>348</v>
      </c>
      <c r="E313" s="5" t="s">
        <v>35</v>
      </c>
      <c r="F313" s="5" t="s">
        <v>6103</v>
      </c>
      <c r="G313" s="6" t="s">
        <v>14</v>
      </c>
      <c r="H313" s="4">
        <v>211</v>
      </c>
      <c r="I313" s="5"/>
      <c r="J313" s="5" t="s">
        <v>6106</v>
      </c>
      <c r="K313" s="5" t="s">
        <v>6071</v>
      </c>
      <c r="L313" s="5"/>
      <c r="M313" s="5" t="s">
        <v>3317</v>
      </c>
      <c r="N313" s="5" t="s">
        <v>1844</v>
      </c>
      <c r="O313" s="5" t="s">
        <v>6063</v>
      </c>
      <c r="P313" s="5"/>
      <c r="Q313" s="5" t="s">
        <v>6107</v>
      </c>
    </row>
    <row r="314" spans="2:17" x14ac:dyDescent="0.2">
      <c r="B314" s="5" t="s">
        <v>6059</v>
      </c>
      <c r="C314" s="6" t="s">
        <v>13588</v>
      </c>
      <c r="D314" s="4">
        <v>349</v>
      </c>
      <c r="E314" s="5" t="s">
        <v>35</v>
      </c>
      <c r="F314" s="5" t="s">
        <v>6108</v>
      </c>
      <c r="G314" s="6" t="s">
        <v>14</v>
      </c>
      <c r="H314" s="4">
        <v>212</v>
      </c>
      <c r="I314" s="5"/>
      <c r="J314" s="5" t="s">
        <v>6109</v>
      </c>
      <c r="K314" s="5" t="s">
        <v>6098</v>
      </c>
      <c r="L314" s="5"/>
      <c r="M314" s="5" t="s">
        <v>3317</v>
      </c>
      <c r="N314" s="5" t="s">
        <v>1844</v>
      </c>
      <c r="O314" s="5" t="s">
        <v>6063</v>
      </c>
      <c r="P314" s="5"/>
      <c r="Q314" s="5" t="s">
        <v>6110</v>
      </c>
    </row>
    <row r="315" spans="2:17" x14ac:dyDescent="0.2">
      <c r="B315" s="5" t="s">
        <v>6059</v>
      </c>
      <c r="C315" s="6" t="s">
        <v>13588</v>
      </c>
      <c r="D315" s="4">
        <v>350</v>
      </c>
      <c r="E315" s="5" t="s">
        <v>32</v>
      </c>
      <c r="F315" s="5" t="s">
        <v>6100</v>
      </c>
      <c r="G315" s="6" t="s">
        <v>14</v>
      </c>
      <c r="H315" s="4">
        <v>213</v>
      </c>
      <c r="I315" s="5" t="s">
        <v>22</v>
      </c>
      <c r="J315" s="5" t="s">
        <v>6101</v>
      </c>
      <c r="K315" s="5" t="s">
        <v>6083</v>
      </c>
      <c r="L315" s="5"/>
      <c r="M315" s="5" t="s">
        <v>1618</v>
      </c>
      <c r="N315" s="5" t="s">
        <v>1012</v>
      </c>
      <c r="O315" s="5" t="s">
        <v>6063</v>
      </c>
      <c r="P315" s="5"/>
      <c r="Q315" s="5" t="s">
        <v>6102</v>
      </c>
    </row>
    <row r="316" spans="2:17" x14ac:dyDescent="0.2">
      <c r="B316" s="5" t="s">
        <v>6059</v>
      </c>
      <c r="C316" s="6" t="s">
        <v>13588</v>
      </c>
      <c r="D316" s="4">
        <v>351</v>
      </c>
      <c r="E316" s="5" t="s">
        <v>35</v>
      </c>
      <c r="F316" s="5" t="s">
        <v>6096</v>
      </c>
      <c r="G316" s="6" t="s">
        <v>14</v>
      </c>
      <c r="H316" s="4">
        <v>214</v>
      </c>
      <c r="I316" s="5"/>
      <c r="J316" s="5" t="s">
        <v>6097</v>
      </c>
      <c r="K316" s="5" t="s">
        <v>6098</v>
      </c>
      <c r="L316" s="5"/>
      <c r="M316" s="5" t="s">
        <v>193</v>
      </c>
      <c r="N316" s="5" t="s">
        <v>1012</v>
      </c>
      <c r="O316" s="5" t="s">
        <v>6063</v>
      </c>
      <c r="P316" s="5"/>
      <c r="Q316" s="5" t="s">
        <v>6099</v>
      </c>
    </row>
    <row r="317" spans="2:17" x14ac:dyDescent="0.2">
      <c r="B317" s="5" t="s">
        <v>6059</v>
      </c>
      <c r="C317" s="6" t="s">
        <v>13588</v>
      </c>
      <c r="D317" s="4">
        <v>353</v>
      </c>
      <c r="E317" s="5" t="s">
        <v>32</v>
      </c>
      <c r="F317" s="5" t="s">
        <v>6069</v>
      </c>
      <c r="G317" s="6" t="s">
        <v>14</v>
      </c>
      <c r="H317" s="4">
        <v>215</v>
      </c>
      <c r="I317" s="5" t="s">
        <v>22</v>
      </c>
      <c r="J317" s="5" t="s">
        <v>6070</v>
      </c>
      <c r="K317" s="5" t="s">
        <v>6071</v>
      </c>
      <c r="L317" s="5"/>
      <c r="M317" s="5" t="s">
        <v>1384</v>
      </c>
      <c r="N317" s="5" t="s">
        <v>1365</v>
      </c>
      <c r="O317" s="5" t="s">
        <v>6063</v>
      </c>
      <c r="P317" s="5"/>
      <c r="Q317" s="5" t="s">
        <v>6072</v>
      </c>
    </row>
    <row r="318" spans="2:17" x14ac:dyDescent="0.2">
      <c r="B318" s="5" t="s">
        <v>6059</v>
      </c>
      <c r="C318" s="6" t="s">
        <v>13588</v>
      </c>
      <c r="D318" s="4">
        <v>354</v>
      </c>
      <c r="E318" s="5" t="s">
        <v>32</v>
      </c>
      <c r="F318" s="5" t="s">
        <v>6060</v>
      </c>
      <c r="G318" s="6" t="s">
        <v>14</v>
      </c>
      <c r="H318" s="4">
        <v>216</v>
      </c>
      <c r="I318" s="5" t="s">
        <v>22</v>
      </c>
      <c r="J318" s="5" t="s">
        <v>6061</v>
      </c>
      <c r="K318" s="5"/>
      <c r="L318" s="5" t="s">
        <v>6062</v>
      </c>
      <c r="M318" s="5" t="s">
        <v>295</v>
      </c>
      <c r="N318" s="5" t="s">
        <v>295</v>
      </c>
      <c r="O318" s="5" t="s">
        <v>6063</v>
      </c>
      <c r="P318" s="5"/>
      <c r="Q318" s="5" t="s">
        <v>6064</v>
      </c>
    </row>
    <row r="319" spans="2:17" x14ac:dyDescent="0.2">
      <c r="B319" s="5" t="s">
        <v>6126</v>
      </c>
      <c r="C319" s="6" t="s">
        <v>13588</v>
      </c>
      <c r="D319" s="4">
        <v>383</v>
      </c>
      <c r="E319" s="5" t="s">
        <v>32</v>
      </c>
      <c r="F319" s="5" t="s">
        <v>6164</v>
      </c>
      <c r="G319" s="6" t="s">
        <v>14</v>
      </c>
      <c r="H319" s="4">
        <v>217</v>
      </c>
      <c r="I319" s="5" t="s">
        <v>22</v>
      </c>
      <c r="J319" s="5" t="s">
        <v>6165</v>
      </c>
      <c r="K319" s="5" t="s">
        <v>6166</v>
      </c>
      <c r="L319" s="5" t="s">
        <v>6167</v>
      </c>
      <c r="M319" s="5" t="s">
        <v>1436</v>
      </c>
      <c r="N319" s="5" t="s">
        <v>1437</v>
      </c>
      <c r="O319" s="5" t="s">
        <v>6139</v>
      </c>
      <c r="P319" s="5"/>
      <c r="Q319" s="5" t="s">
        <v>6168</v>
      </c>
    </row>
    <row r="320" spans="2:17" x14ac:dyDescent="0.2">
      <c r="B320" s="5" t="s">
        <v>6126</v>
      </c>
      <c r="C320" s="6" t="s">
        <v>13588</v>
      </c>
      <c r="D320" s="4">
        <v>384</v>
      </c>
      <c r="E320" s="5" t="s">
        <v>32</v>
      </c>
      <c r="F320" s="5" t="s">
        <v>6164</v>
      </c>
      <c r="G320" s="6" t="s">
        <v>14</v>
      </c>
      <c r="H320" s="4">
        <v>218</v>
      </c>
      <c r="I320" s="5" t="s">
        <v>22</v>
      </c>
      <c r="J320" s="5" t="s">
        <v>6169</v>
      </c>
      <c r="K320" s="5" t="s">
        <v>6152</v>
      </c>
      <c r="L320" s="5" t="s">
        <v>6170</v>
      </c>
      <c r="M320" s="5" t="s">
        <v>1436</v>
      </c>
      <c r="N320" s="5" t="s">
        <v>1437</v>
      </c>
      <c r="O320" s="5" t="s">
        <v>6130</v>
      </c>
      <c r="P320" s="5"/>
      <c r="Q320" s="5" t="s">
        <v>6171</v>
      </c>
    </row>
    <row r="321" spans="2:17" x14ac:dyDescent="0.2">
      <c r="B321" s="5" t="s">
        <v>6126</v>
      </c>
      <c r="C321" s="6" t="s">
        <v>13588</v>
      </c>
      <c r="D321" s="4">
        <v>385</v>
      </c>
      <c r="E321" s="5" t="s">
        <v>32</v>
      </c>
      <c r="F321" s="5" t="s">
        <v>6164</v>
      </c>
      <c r="G321" s="6" t="s">
        <v>14</v>
      </c>
      <c r="H321" s="4">
        <v>219</v>
      </c>
      <c r="I321" s="5" t="s">
        <v>38</v>
      </c>
      <c r="J321" s="5" t="s">
        <v>6172</v>
      </c>
      <c r="K321" s="5" t="s">
        <v>6173</v>
      </c>
      <c r="L321" s="5" t="s">
        <v>6174</v>
      </c>
      <c r="M321" s="5" t="s">
        <v>1436</v>
      </c>
      <c r="N321" s="5" t="s">
        <v>1437</v>
      </c>
      <c r="O321" s="5" t="s">
        <v>6130</v>
      </c>
      <c r="P321" s="5"/>
      <c r="Q321" s="5" t="s">
        <v>6175</v>
      </c>
    </row>
    <row r="322" spans="2:17" x14ac:dyDescent="0.2">
      <c r="B322" s="5" t="s">
        <v>6126</v>
      </c>
      <c r="C322" s="6" t="s">
        <v>13588</v>
      </c>
      <c r="D322" s="4">
        <v>386</v>
      </c>
      <c r="E322" s="5" t="s">
        <v>32</v>
      </c>
      <c r="F322" s="5" t="s">
        <v>6164</v>
      </c>
      <c r="G322" s="6" t="s">
        <v>14</v>
      </c>
      <c r="H322" s="4">
        <v>220</v>
      </c>
      <c r="I322" s="5" t="s">
        <v>38</v>
      </c>
      <c r="J322" s="5" t="s">
        <v>6176</v>
      </c>
      <c r="K322" s="5" t="s">
        <v>6177</v>
      </c>
      <c r="L322" s="5" t="s">
        <v>6178</v>
      </c>
      <c r="M322" s="5" t="s">
        <v>1436</v>
      </c>
      <c r="N322" s="5" t="s">
        <v>1437</v>
      </c>
      <c r="O322" s="5" t="s">
        <v>6139</v>
      </c>
      <c r="P322" s="5"/>
      <c r="Q322" s="5" t="s">
        <v>6179</v>
      </c>
    </row>
    <row r="323" spans="2:17" x14ac:dyDescent="0.2">
      <c r="B323" s="5" t="s">
        <v>6126</v>
      </c>
      <c r="C323" s="6" t="s">
        <v>13588</v>
      </c>
      <c r="D323" s="4">
        <v>387</v>
      </c>
      <c r="E323" s="5" t="s">
        <v>32</v>
      </c>
      <c r="F323" s="5" t="s">
        <v>6164</v>
      </c>
      <c r="G323" s="6" t="s">
        <v>14</v>
      </c>
      <c r="H323" s="4">
        <v>221</v>
      </c>
      <c r="I323" s="5" t="s">
        <v>38</v>
      </c>
      <c r="J323" s="5" t="s">
        <v>6180</v>
      </c>
      <c r="K323" s="5" t="s">
        <v>6181</v>
      </c>
      <c r="L323" s="5" t="s">
        <v>6182</v>
      </c>
      <c r="M323" s="5" t="s">
        <v>1436</v>
      </c>
      <c r="N323" s="5" t="s">
        <v>1437</v>
      </c>
      <c r="O323" s="5" t="s">
        <v>6130</v>
      </c>
      <c r="P323" s="5" t="s">
        <v>6183</v>
      </c>
      <c r="Q323" s="5" t="s">
        <v>6184</v>
      </c>
    </row>
    <row r="324" spans="2:17" x14ac:dyDescent="0.2">
      <c r="B324" s="5" t="s">
        <v>6126</v>
      </c>
      <c r="C324" s="6" t="s">
        <v>13588</v>
      </c>
      <c r="D324" s="4">
        <v>388</v>
      </c>
      <c r="E324" s="5" t="s">
        <v>32</v>
      </c>
      <c r="F324" s="5" t="s">
        <v>6164</v>
      </c>
      <c r="G324" s="6" t="s">
        <v>14</v>
      </c>
      <c r="H324" s="4">
        <v>222</v>
      </c>
      <c r="I324" s="5" t="s">
        <v>38</v>
      </c>
      <c r="J324" s="5" t="s">
        <v>6185</v>
      </c>
      <c r="K324" s="5" t="s">
        <v>6147</v>
      </c>
      <c r="L324" s="5" t="s">
        <v>6148</v>
      </c>
      <c r="M324" s="5" t="s">
        <v>1436</v>
      </c>
      <c r="N324" s="5" t="s">
        <v>1437</v>
      </c>
      <c r="O324" s="5" t="s">
        <v>6130</v>
      </c>
      <c r="P324" s="5" t="s">
        <v>6186</v>
      </c>
      <c r="Q324" s="5" t="s">
        <v>6187</v>
      </c>
    </row>
    <row r="325" spans="2:17" x14ac:dyDescent="0.2">
      <c r="B325" s="5" t="s">
        <v>6126</v>
      </c>
      <c r="C325" s="6" t="s">
        <v>13588</v>
      </c>
      <c r="D325" s="4">
        <v>389</v>
      </c>
      <c r="E325" s="5" t="s">
        <v>32</v>
      </c>
      <c r="F325" s="5" t="s">
        <v>6164</v>
      </c>
      <c r="G325" s="6" t="s">
        <v>14</v>
      </c>
      <c r="H325" s="4">
        <v>223</v>
      </c>
      <c r="I325" s="5" t="s">
        <v>38</v>
      </c>
      <c r="J325" s="5" t="s">
        <v>6188</v>
      </c>
      <c r="K325" s="5" t="s">
        <v>6189</v>
      </c>
      <c r="L325" s="5" t="s">
        <v>6190</v>
      </c>
      <c r="M325" s="5" t="s">
        <v>1436</v>
      </c>
      <c r="N325" s="5" t="s">
        <v>1437</v>
      </c>
      <c r="O325" s="5" t="s">
        <v>6130</v>
      </c>
      <c r="P325" s="5"/>
      <c r="Q325" s="5" t="s">
        <v>6191</v>
      </c>
    </row>
    <row r="326" spans="2:17" x14ac:dyDescent="0.2">
      <c r="B326" s="5" t="s">
        <v>6126</v>
      </c>
      <c r="C326" s="6" t="s">
        <v>13588</v>
      </c>
      <c r="D326" s="4">
        <v>390</v>
      </c>
      <c r="E326" s="5" t="s">
        <v>32</v>
      </c>
      <c r="F326" s="5" t="s">
        <v>6164</v>
      </c>
      <c r="G326" s="6" t="s">
        <v>14</v>
      </c>
      <c r="H326" s="4">
        <v>224</v>
      </c>
      <c r="I326" s="5" t="s">
        <v>38</v>
      </c>
      <c r="J326" s="5" t="s">
        <v>6192</v>
      </c>
      <c r="K326" s="5" t="s">
        <v>6193</v>
      </c>
      <c r="L326" s="5"/>
      <c r="M326" s="5" t="s">
        <v>1436</v>
      </c>
      <c r="N326" s="5" t="s">
        <v>1437</v>
      </c>
      <c r="O326" s="5" t="s">
        <v>6130</v>
      </c>
      <c r="P326" s="5" t="s">
        <v>6194</v>
      </c>
      <c r="Q326" s="5" t="s">
        <v>6195</v>
      </c>
    </row>
    <row r="327" spans="2:17" x14ac:dyDescent="0.2">
      <c r="B327" s="5" t="s">
        <v>6126</v>
      </c>
      <c r="C327" s="6" t="s">
        <v>13588</v>
      </c>
      <c r="D327" s="4">
        <v>391</v>
      </c>
      <c r="E327" s="5" t="s">
        <v>32</v>
      </c>
      <c r="F327" s="5" t="s">
        <v>6164</v>
      </c>
      <c r="G327" s="6" t="s">
        <v>14</v>
      </c>
      <c r="H327" s="4">
        <v>225</v>
      </c>
      <c r="I327" s="5" t="s">
        <v>38</v>
      </c>
      <c r="J327" s="5" t="s">
        <v>6196</v>
      </c>
      <c r="K327" s="5" t="s">
        <v>6147</v>
      </c>
      <c r="L327" s="5" t="s">
        <v>6148</v>
      </c>
      <c r="M327" s="5" t="s">
        <v>1436</v>
      </c>
      <c r="N327" s="5" t="s">
        <v>1437</v>
      </c>
      <c r="O327" s="5" t="s">
        <v>6130</v>
      </c>
      <c r="P327" s="5" t="s">
        <v>6197</v>
      </c>
      <c r="Q327" s="5" t="s">
        <v>6198</v>
      </c>
    </row>
    <row r="328" spans="2:17" x14ac:dyDescent="0.2">
      <c r="B328" s="5" t="s">
        <v>6126</v>
      </c>
      <c r="C328" s="6" t="s">
        <v>13588</v>
      </c>
      <c r="D328" s="4">
        <v>392</v>
      </c>
      <c r="E328" s="5" t="s">
        <v>32</v>
      </c>
      <c r="F328" s="5" t="s">
        <v>6164</v>
      </c>
      <c r="G328" s="6" t="s">
        <v>14</v>
      </c>
      <c r="H328" s="4">
        <v>226</v>
      </c>
      <c r="I328" s="5" t="s">
        <v>38</v>
      </c>
      <c r="J328" s="5" t="s">
        <v>6196</v>
      </c>
      <c r="K328" s="5" t="s">
        <v>6147</v>
      </c>
      <c r="L328" s="5" t="s">
        <v>6148</v>
      </c>
      <c r="M328" s="5" t="s">
        <v>1436</v>
      </c>
      <c r="N328" s="5" t="s">
        <v>1437</v>
      </c>
      <c r="O328" s="5" t="s">
        <v>6139</v>
      </c>
      <c r="P328" s="5" t="s">
        <v>6199</v>
      </c>
      <c r="Q328" s="5" t="s">
        <v>6200</v>
      </c>
    </row>
    <row r="329" spans="2:17" x14ac:dyDescent="0.2">
      <c r="B329" s="5" t="s">
        <v>6126</v>
      </c>
      <c r="C329" s="6" t="s">
        <v>13588</v>
      </c>
      <c r="D329" s="4">
        <v>393</v>
      </c>
      <c r="E329" s="5" t="s">
        <v>32</v>
      </c>
      <c r="F329" s="5" t="s">
        <v>6164</v>
      </c>
      <c r="G329" s="6" t="s">
        <v>14</v>
      </c>
      <c r="H329" s="4">
        <v>227</v>
      </c>
      <c r="I329" s="5" t="s">
        <v>38</v>
      </c>
      <c r="J329" s="5" t="s">
        <v>6201</v>
      </c>
      <c r="K329" s="5" t="s">
        <v>6202</v>
      </c>
      <c r="L329" s="5" t="s">
        <v>6203</v>
      </c>
      <c r="M329" s="5" t="s">
        <v>1436</v>
      </c>
      <c r="N329" s="5" t="s">
        <v>1437</v>
      </c>
      <c r="O329" s="5" t="s">
        <v>6139</v>
      </c>
      <c r="P329" s="5"/>
      <c r="Q329" s="5" t="s">
        <v>6204</v>
      </c>
    </row>
    <row r="330" spans="2:17" x14ac:dyDescent="0.2">
      <c r="B330" s="5" t="s">
        <v>6126</v>
      </c>
      <c r="C330" s="6" t="s">
        <v>13588</v>
      </c>
      <c r="D330" s="4">
        <v>394</v>
      </c>
      <c r="E330" s="5" t="s">
        <v>32</v>
      </c>
      <c r="F330" s="5" t="s">
        <v>6164</v>
      </c>
      <c r="G330" s="6" t="s">
        <v>14</v>
      </c>
      <c r="H330" s="4">
        <v>228</v>
      </c>
      <c r="I330" s="5" t="s">
        <v>38</v>
      </c>
      <c r="J330" s="5" t="s">
        <v>6205</v>
      </c>
      <c r="K330" s="5" t="s">
        <v>6206</v>
      </c>
      <c r="L330" s="5" t="s">
        <v>6207</v>
      </c>
      <c r="M330" s="5" t="s">
        <v>1436</v>
      </c>
      <c r="N330" s="5" t="s">
        <v>1437</v>
      </c>
      <c r="O330" s="5" t="s">
        <v>6130</v>
      </c>
      <c r="P330" s="5" t="s">
        <v>6208</v>
      </c>
      <c r="Q330" s="5" t="s">
        <v>6209</v>
      </c>
    </row>
    <row r="331" spans="2:17" x14ac:dyDescent="0.2">
      <c r="B331" s="5" t="s">
        <v>6126</v>
      </c>
      <c r="C331" s="6" t="s">
        <v>13588</v>
      </c>
      <c r="D331" s="4">
        <v>395</v>
      </c>
      <c r="E331" s="5" t="s">
        <v>32</v>
      </c>
      <c r="F331" s="5" t="s">
        <v>6135</v>
      </c>
      <c r="G331" s="6" t="s">
        <v>14</v>
      </c>
      <c r="H331" s="4">
        <v>229</v>
      </c>
      <c r="I331" s="5" t="s">
        <v>22</v>
      </c>
      <c r="J331" s="5" t="s">
        <v>6136</v>
      </c>
      <c r="K331" s="5" t="s">
        <v>6137</v>
      </c>
      <c r="L331" s="5" t="s">
        <v>6138</v>
      </c>
      <c r="M331" s="5" t="s">
        <v>1802</v>
      </c>
      <c r="N331" s="5" t="s">
        <v>106</v>
      </c>
      <c r="O331" s="5" t="s">
        <v>6139</v>
      </c>
      <c r="P331" s="5" t="s">
        <v>6140</v>
      </c>
      <c r="Q331" s="5" t="s">
        <v>6141</v>
      </c>
    </row>
    <row r="332" spans="2:17" x14ac:dyDescent="0.2">
      <c r="B332" s="5" t="s">
        <v>6126</v>
      </c>
      <c r="C332" s="6" t="s">
        <v>13588</v>
      </c>
      <c r="D332" s="4">
        <v>396</v>
      </c>
      <c r="E332" s="5" t="s">
        <v>32</v>
      </c>
      <c r="F332" s="5" t="s">
        <v>6135</v>
      </c>
      <c r="G332" s="6" t="s">
        <v>14</v>
      </c>
      <c r="H332" s="4">
        <v>230</v>
      </c>
      <c r="I332" s="5" t="s">
        <v>22</v>
      </c>
      <c r="J332" s="5" t="s">
        <v>6142</v>
      </c>
      <c r="K332" s="5" t="s">
        <v>6143</v>
      </c>
      <c r="L332" s="5" t="s">
        <v>6144</v>
      </c>
      <c r="M332" s="5" t="s">
        <v>1802</v>
      </c>
      <c r="N332" s="5" t="s">
        <v>106</v>
      </c>
      <c r="O332" s="5" t="s">
        <v>6139</v>
      </c>
      <c r="P332" s="5"/>
      <c r="Q332" s="5" t="s">
        <v>6145</v>
      </c>
    </row>
    <row r="333" spans="2:17" x14ac:dyDescent="0.2">
      <c r="B333" s="5" t="s">
        <v>6126</v>
      </c>
      <c r="C333" s="6" t="s">
        <v>13588</v>
      </c>
      <c r="D333" s="4">
        <v>397</v>
      </c>
      <c r="E333" s="5" t="s">
        <v>32</v>
      </c>
      <c r="F333" s="5" t="s">
        <v>6135</v>
      </c>
      <c r="G333" s="6" t="s">
        <v>14</v>
      </c>
      <c r="H333" s="4">
        <v>231</v>
      </c>
      <c r="I333" s="5" t="s">
        <v>38</v>
      </c>
      <c r="J333" s="5" t="s">
        <v>6146</v>
      </c>
      <c r="K333" s="5" t="s">
        <v>6147</v>
      </c>
      <c r="L333" s="5" t="s">
        <v>6148</v>
      </c>
      <c r="M333" s="5" t="s">
        <v>1802</v>
      </c>
      <c r="N333" s="5" t="s">
        <v>106</v>
      </c>
      <c r="O333" s="5" t="s">
        <v>6130</v>
      </c>
      <c r="P333" s="5" t="s">
        <v>6149</v>
      </c>
      <c r="Q333" s="5" t="s">
        <v>6150</v>
      </c>
    </row>
    <row r="334" spans="2:17" x14ac:dyDescent="0.2">
      <c r="B334" s="5" t="s">
        <v>6126</v>
      </c>
      <c r="C334" s="6" t="s">
        <v>13588</v>
      </c>
      <c r="D334" s="4">
        <v>398</v>
      </c>
      <c r="E334" s="5" t="s">
        <v>32</v>
      </c>
      <c r="F334" s="5" t="s">
        <v>6135</v>
      </c>
      <c r="G334" s="6" t="s">
        <v>14</v>
      </c>
      <c r="H334" s="4">
        <v>232</v>
      </c>
      <c r="I334" s="5" t="s">
        <v>38</v>
      </c>
      <c r="J334" s="5" t="s">
        <v>6151</v>
      </c>
      <c r="K334" s="5" t="s">
        <v>6152</v>
      </c>
      <c r="L334" s="5" t="s">
        <v>6153</v>
      </c>
      <c r="M334" s="5" t="s">
        <v>1802</v>
      </c>
      <c r="N334" s="5" t="s">
        <v>106</v>
      </c>
      <c r="O334" s="5" t="s">
        <v>6130</v>
      </c>
      <c r="P334" s="5" t="s">
        <v>6154</v>
      </c>
      <c r="Q334" s="5" t="s">
        <v>6155</v>
      </c>
    </row>
    <row r="335" spans="2:17" x14ac:dyDescent="0.2">
      <c r="B335" s="5" t="s">
        <v>6126</v>
      </c>
      <c r="C335" s="6" t="s">
        <v>13588</v>
      </c>
      <c r="D335" s="4">
        <v>399</v>
      </c>
      <c r="E335" s="5" t="s">
        <v>32</v>
      </c>
      <c r="F335" s="5" t="s">
        <v>6135</v>
      </c>
      <c r="G335" s="6" t="s">
        <v>14</v>
      </c>
      <c r="H335" s="4">
        <v>233</v>
      </c>
      <c r="I335" s="5" t="s">
        <v>38</v>
      </c>
      <c r="J335" s="5" t="s">
        <v>6156</v>
      </c>
      <c r="K335" s="5" t="s">
        <v>6157</v>
      </c>
      <c r="L335" s="5"/>
      <c r="M335" s="5" t="s">
        <v>1802</v>
      </c>
      <c r="N335" s="5" t="s">
        <v>106</v>
      </c>
      <c r="O335" s="5" t="s">
        <v>6139</v>
      </c>
      <c r="P335" s="5" t="s">
        <v>6158</v>
      </c>
      <c r="Q335" s="5" t="s">
        <v>6159</v>
      </c>
    </row>
    <row r="336" spans="2:17" x14ac:dyDescent="0.2">
      <c r="B336" s="5" t="s">
        <v>6126</v>
      </c>
      <c r="C336" s="6" t="s">
        <v>13588</v>
      </c>
      <c r="D336" s="4">
        <v>400</v>
      </c>
      <c r="E336" s="5" t="s">
        <v>32</v>
      </c>
      <c r="F336" s="5" t="s">
        <v>6135</v>
      </c>
      <c r="G336" s="6" t="s">
        <v>14</v>
      </c>
      <c r="H336" s="4">
        <v>234</v>
      </c>
      <c r="I336" s="5" t="s">
        <v>38</v>
      </c>
      <c r="J336" s="5" t="s">
        <v>6160</v>
      </c>
      <c r="K336" s="5" t="s">
        <v>6161</v>
      </c>
      <c r="L336" s="5" t="s">
        <v>6162</v>
      </c>
      <c r="M336" s="5" t="s">
        <v>1802</v>
      </c>
      <c r="N336" s="5" t="s">
        <v>106</v>
      </c>
      <c r="O336" s="5" t="s">
        <v>6130</v>
      </c>
      <c r="P336" s="5"/>
      <c r="Q336" s="5" t="s">
        <v>6163</v>
      </c>
    </row>
    <row r="337" spans="2:17" x14ac:dyDescent="0.2">
      <c r="B337" s="5" t="s">
        <v>6126</v>
      </c>
      <c r="C337" s="6" t="s">
        <v>13588</v>
      </c>
      <c r="D337" s="4">
        <v>401</v>
      </c>
      <c r="E337" s="5" t="s">
        <v>15</v>
      </c>
      <c r="F337" s="5" t="s">
        <v>6132</v>
      </c>
      <c r="G337" s="6" t="s">
        <v>14</v>
      </c>
      <c r="H337" s="4">
        <v>235</v>
      </c>
      <c r="I337" s="5"/>
      <c r="J337" s="5" t="s">
        <v>6133</v>
      </c>
      <c r="K337" s="5" t="s">
        <v>6129</v>
      </c>
      <c r="L337" s="5"/>
      <c r="M337" s="5" t="s">
        <v>312</v>
      </c>
      <c r="N337" s="5" t="s">
        <v>312</v>
      </c>
      <c r="O337" s="5" t="s">
        <v>6130</v>
      </c>
      <c r="P337" s="5"/>
      <c r="Q337" s="5" t="s">
        <v>6134</v>
      </c>
    </row>
    <row r="338" spans="2:17" x14ac:dyDescent="0.2">
      <c r="B338" s="5" t="s">
        <v>6126</v>
      </c>
      <c r="C338" s="6" t="s">
        <v>13588</v>
      </c>
      <c r="D338" s="4">
        <v>402</v>
      </c>
      <c r="E338" s="5" t="s">
        <v>15</v>
      </c>
      <c r="F338" s="5" t="s">
        <v>6127</v>
      </c>
      <c r="G338" s="6" t="s">
        <v>14</v>
      </c>
      <c r="H338" s="4">
        <v>236</v>
      </c>
      <c r="I338" s="5"/>
      <c r="J338" s="5" t="s">
        <v>6128</v>
      </c>
      <c r="K338" s="5" t="s">
        <v>6129</v>
      </c>
      <c r="L338" s="5"/>
      <c r="M338" s="5" t="s">
        <v>301</v>
      </c>
      <c r="N338" s="5" t="s">
        <v>296</v>
      </c>
      <c r="O338" s="5" t="s">
        <v>6130</v>
      </c>
      <c r="P338" s="5"/>
      <c r="Q338" s="5" t="s">
        <v>6131</v>
      </c>
    </row>
    <row r="339" spans="2:17" x14ac:dyDescent="0.2">
      <c r="B339" s="5" t="s">
        <v>6126</v>
      </c>
      <c r="C339" s="6" t="s">
        <v>13588</v>
      </c>
      <c r="D339" s="4">
        <v>403</v>
      </c>
      <c r="E339" s="5" t="s">
        <v>32</v>
      </c>
      <c r="F339" s="5" t="s">
        <v>6229</v>
      </c>
      <c r="G339" s="6" t="s">
        <v>14</v>
      </c>
      <c r="H339" s="4">
        <v>237</v>
      </c>
      <c r="I339" s="5" t="s">
        <v>38</v>
      </c>
      <c r="J339" s="5" t="s">
        <v>6230</v>
      </c>
      <c r="K339" s="5" t="s">
        <v>6231</v>
      </c>
      <c r="L339" s="5"/>
      <c r="M339" s="5" t="s">
        <v>4498</v>
      </c>
      <c r="N339" s="5" t="s">
        <v>122</v>
      </c>
      <c r="O339" s="5" t="s">
        <v>6139</v>
      </c>
      <c r="P339" s="5"/>
      <c r="Q339" s="5" t="s">
        <v>6232</v>
      </c>
    </row>
    <row r="340" spans="2:17" x14ac:dyDescent="0.2">
      <c r="B340" s="5" t="s">
        <v>6126</v>
      </c>
      <c r="C340" s="6" t="s">
        <v>13588</v>
      </c>
      <c r="D340" s="4">
        <v>404</v>
      </c>
      <c r="E340" s="5" t="s">
        <v>32</v>
      </c>
      <c r="F340" s="5" t="s">
        <v>6229</v>
      </c>
      <c r="G340" s="6" t="s">
        <v>14</v>
      </c>
      <c r="H340" s="4">
        <v>238</v>
      </c>
      <c r="I340" s="5" t="s">
        <v>22</v>
      </c>
      <c r="J340" s="5" t="s">
        <v>6233</v>
      </c>
      <c r="K340" s="5" t="s">
        <v>6152</v>
      </c>
      <c r="L340" s="5" t="s">
        <v>6234</v>
      </c>
      <c r="M340" s="5" t="s">
        <v>4498</v>
      </c>
      <c r="N340" s="5" t="s">
        <v>122</v>
      </c>
      <c r="O340" s="5" t="s">
        <v>6130</v>
      </c>
      <c r="P340" s="5"/>
      <c r="Q340" s="5" t="s">
        <v>6235</v>
      </c>
    </row>
    <row r="341" spans="2:17" x14ac:dyDescent="0.2">
      <c r="B341" s="5" t="s">
        <v>6273</v>
      </c>
      <c r="C341" s="6" t="s">
        <v>13588</v>
      </c>
      <c r="D341" s="4">
        <v>405</v>
      </c>
      <c r="E341" s="5" t="s">
        <v>82</v>
      </c>
      <c r="F341" s="5" t="s">
        <v>6288</v>
      </c>
      <c r="G341" s="6" t="s">
        <v>14</v>
      </c>
      <c r="H341" s="4">
        <v>239</v>
      </c>
      <c r="I341" s="5"/>
      <c r="J341" s="5" t="s">
        <v>6289</v>
      </c>
      <c r="K341" s="5" t="s">
        <v>6290</v>
      </c>
      <c r="L341" s="5"/>
      <c r="M341" s="5" t="s">
        <v>648</v>
      </c>
      <c r="N341" s="5" t="s">
        <v>645</v>
      </c>
      <c r="O341" s="5" t="s">
        <v>6291</v>
      </c>
      <c r="P341" s="5"/>
      <c r="Q341" s="5" t="s">
        <v>6292</v>
      </c>
    </row>
    <row r="342" spans="2:17" x14ac:dyDescent="0.2">
      <c r="B342" s="5" t="s">
        <v>6273</v>
      </c>
      <c r="C342" s="6" t="s">
        <v>13588</v>
      </c>
      <c r="D342" s="4">
        <v>407</v>
      </c>
      <c r="E342" s="5" t="s">
        <v>13</v>
      </c>
      <c r="F342" s="5" t="s">
        <v>6279</v>
      </c>
      <c r="G342" s="6" t="s">
        <v>14</v>
      </c>
      <c r="H342" s="4">
        <v>240</v>
      </c>
      <c r="I342" s="5"/>
      <c r="J342" s="5" t="s">
        <v>6280</v>
      </c>
      <c r="K342" s="5" t="s">
        <v>6281</v>
      </c>
      <c r="L342" s="5"/>
      <c r="M342" s="5" t="s">
        <v>295</v>
      </c>
      <c r="N342" s="5" t="s">
        <v>295</v>
      </c>
      <c r="O342" s="5" t="s">
        <v>6282</v>
      </c>
      <c r="P342" s="5"/>
      <c r="Q342" s="5" t="s">
        <v>6283</v>
      </c>
    </row>
    <row r="343" spans="2:17" x14ac:dyDescent="0.2">
      <c r="B343" s="5" t="s">
        <v>6273</v>
      </c>
      <c r="C343" s="6" t="s">
        <v>13588</v>
      </c>
      <c r="D343" s="4">
        <v>410</v>
      </c>
      <c r="E343" s="5" t="s">
        <v>35</v>
      </c>
      <c r="F343" s="5" t="s">
        <v>6308</v>
      </c>
      <c r="G343" s="6" t="s">
        <v>14</v>
      </c>
      <c r="H343" s="4">
        <v>241</v>
      </c>
      <c r="I343" s="5"/>
      <c r="J343" s="5" t="s">
        <v>6309</v>
      </c>
      <c r="K343" s="5" t="s">
        <v>6290</v>
      </c>
      <c r="L343" s="5"/>
      <c r="M343" s="5" t="s">
        <v>260</v>
      </c>
      <c r="N343" s="5" t="s">
        <v>1150</v>
      </c>
      <c r="O343" s="5" t="s">
        <v>6282</v>
      </c>
      <c r="P343" s="5"/>
      <c r="Q343" s="5" t="s">
        <v>6310</v>
      </c>
    </row>
    <row r="344" spans="2:17" x14ac:dyDescent="0.2">
      <c r="B344" s="5" t="s">
        <v>6273</v>
      </c>
      <c r="C344" s="6" t="s">
        <v>13588</v>
      </c>
      <c r="D344" s="4">
        <v>411</v>
      </c>
      <c r="E344" s="5" t="s">
        <v>35</v>
      </c>
      <c r="F344" s="5" t="s">
        <v>6303</v>
      </c>
      <c r="G344" s="6" t="s">
        <v>14</v>
      </c>
      <c r="H344" s="4">
        <v>242</v>
      </c>
      <c r="I344" s="5"/>
      <c r="J344" s="5" t="s">
        <v>6304</v>
      </c>
      <c r="K344" s="5" t="s">
        <v>6290</v>
      </c>
      <c r="L344" s="5"/>
      <c r="M344" s="5" t="s">
        <v>2262</v>
      </c>
      <c r="N344" s="5" t="s">
        <v>256</v>
      </c>
      <c r="O344" s="5" t="s">
        <v>6282</v>
      </c>
      <c r="P344" s="5"/>
      <c r="Q344" s="5" t="s">
        <v>6305</v>
      </c>
    </row>
    <row r="345" spans="2:17" x14ac:dyDescent="0.2">
      <c r="B345" s="5" t="s">
        <v>6273</v>
      </c>
      <c r="C345" s="6" t="s">
        <v>13588</v>
      </c>
      <c r="D345" s="4">
        <v>412</v>
      </c>
      <c r="E345" s="5" t="s">
        <v>35</v>
      </c>
      <c r="F345" s="5" t="s">
        <v>6303</v>
      </c>
      <c r="G345" s="6" t="s">
        <v>14</v>
      </c>
      <c r="H345" s="4">
        <v>243</v>
      </c>
      <c r="I345" s="5"/>
      <c r="J345" s="5" t="s">
        <v>6306</v>
      </c>
      <c r="K345" s="5" t="s">
        <v>6301</v>
      </c>
      <c r="L345" s="5"/>
      <c r="M345" s="5" t="s">
        <v>2262</v>
      </c>
      <c r="N345" s="5" t="s">
        <v>256</v>
      </c>
      <c r="O345" s="5" t="s">
        <v>6282</v>
      </c>
      <c r="P345" s="5"/>
      <c r="Q345" s="5" t="s">
        <v>6307</v>
      </c>
    </row>
    <row r="346" spans="2:17" x14ac:dyDescent="0.2">
      <c r="B346" s="5" t="s">
        <v>6273</v>
      </c>
      <c r="C346" s="6" t="s">
        <v>13588</v>
      </c>
      <c r="D346" s="4">
        <v>413</v>
      </c>
      <c r="E346" s="5" t="s">
        <v>13</v>
      </c>
      <c r="F346" s="5" t="s">
        <v>6297</v>
      </c>
      <c r="G346" s="6" t="s">
        <v>14</v>
      </c>
      <c r="H346" s="4">
        <v>244</v>
      </c>
      <c r="I346" s="5"/>
      <c r="J346" s="5" t="s">
        <v>6298</v>
      </c>
      <c r="K346" s="5" t="s">
        <v>6290</v>
      </c>
      <c r="L346" s="5"/>
      <c r="M346" s="5" t="s">
        <v>251</v>
      </c>
      <c r="N346" s="5" t="s">
        <v>251</v>
      </c>
      <c r="O346" s="5" t="s">
        <v>6282</v>
      </c>
      <c r="P346" s="5"/>
      <c r="Q346" s="5" t="s">
        <v>6299</v>
      </c>
    </row>
    <row r="347" spans="2:17" x14ac:dyDescent="0.2">
      <c r="B347" s="5" t="s">
        <v>6273</v>
      </c>
      <c r="C347" s="6" t="s">
        <v>13588</v>
      </c>
      <c r="D347" s="4">
        <v>414</v>
      </c>
      <c r="E347" s="5" t="s">
        <v>13</v>
      </c>
      <c r="F347" s="5" t="s">
        <v>6297</v>
      </c>
      <c r="G347" s="6" t="s">
        <v>14</v>
      </c>
      <c r="H347" s="4">
        <v>245</v>
      </c>
      <c r="I347" s="5"/>
      <c r="J347" s="5" t="s">
        <v>6300</v>
      </c>
      <c r="K347" s="5" t="s">
        <v>6301</v>
      </c>
      <c r="L347" s="5"/>
      <c r="M347" s="5" t="s">
        <v>251</v>
      </c>
      <c r="N347" s="5" t="s">
        <v>251</v>
      </c>
      <c r="O347" s="5" t="s">
        <v>6282</v>
      </c>
      <c r="P347" s="5"/>
      <c r="Q347" s="5" t="s">
        <v>6302</v>
      </c>
    </row>
    <row r="348" spans="2:17" x14ac:dyDescent="0.2">
      <c r="B348" s="5" t="s">
        <v>6311</v>
      </c>
      <c r="C348" s="6" t="s">
        <v>13588</v>
      </c>
      <c r="D348" s="4">
        <v>416</v>
      </c>
      <c r="E348" s="5" t="s">
        <v>32</v>
      </c>
      <c r="F348" s="5" t="s">
        <v>6326</v>
      </c>
      <c r="G348" s="6" t="s">
        <v>14</v>
      </c>
      <c r="H348" s="4">
        <v>246</v>
      </c>
      <c r="I348" s="5" t="s">
        <v>38</v>
      </c>
      <c r="J348" s="5" t="s">
        <v>6327</v>
      </c>
      <c r="K348" s="5" t="s">
        <v>6328</v>
      </c>
      <c r="L348" s="5"/>
      <c r="M348" s="5" t="s">
        <v>1377</v>
      </c>
      <c r="N348" s="5" t="s">
        <v>331</v>
      </c>
      <c r="O348" s="5" t="s">
        <v>6329</v>
      </c>
      <c r="P348" s="5"/>
      <c r="Q348" s="5" t="s">
        <v>6330</v>
      </c>
    </row>
    <row r="349" spans="2:17" x14ac:dyDescent="0.2">
      <c r="B349" s="5" t="s">
        <v>6311</v>
      </c>
      <c r="C349" s="6" t="s">
        <v>13588</v>
      </c>
      <c r="D349" s="4">
        <v>417</v>
      </c>
      <c r="E349" s="5" t="s">
        <v>32</v>
      </c>
      <c r="F349" s="5" t="s">
        <v>6326</v>
      </c>
      <c r="G349" s="6" t="s">
        <v>14</v>
      </c>
      <c r="H349" s="4">
        <v>247</v>
      </c>
      <c r="I349" s="5" t="s">
        <v>38</v>
      </c>
      <c r="J349" s="5" t="s">
        <v>6331</v>
      </c>
      <c r="K349" s="5" t="s">
        <v>6332</v>
      </c>
      <c r="L349" s="5"/>
      <c r="M349" s="5" t="s">
        <v>1377</v>
      </c>
      <c r="N349" s="5" t="s">
        <v>331</v>
      </c>
      <c r="O349" s="5" t="s">
        <v>6329</v>
      </c>
      <c r="P349" s="5"/>
      <c r="Q349" s="5" t="s">
        <v>6333</v>
      </c>
    </row>
    <row r="350" spans="2:17" x14ac:dyDescent="0.2">
      <c r="B350" s="5" t="s">
        <v>6311</v>
      </c>
      <c r="C350" s="6" t="s">
        <v>13588</v>
      </c>
      <c r="D350" s="4">
        <v>420</v>
      </c>
      <c r="E350" s="5" t="s">
        <v>32</v>
      </c>
      <c r="F350" s="5" t="s">
        <v>6317</v>
      </c>
      <c r="G350" s="6" t="s">
        <v>14</v>
      </c>
      <c r="H350" s="4">
        <v>248</v>
      </c>
      <c r="I350" s="5" t="s">
        <v>38</v>
      </c>
      <c r="J350" s="5" t="s">
        <v>6318</v>
      </c>
      <c r="K350" s="5" t="s">
        <v>6319</v>
      </c>
      <c r="L350" s="5"/>
      <c r="M350" s="5" t="s">
        <v>1269</v>
      </c>
      <c r="N350" s="5" t="s">
        <v>1263</v>
      </c>
      <c r="O350" s="5" t="s">
        <v>6315</v>
      </c>
      <c r="P350" s="5"/>
      <c r="Q350" s="5" t="s">
        <v>6320</v>
      </c>
    </row>
    <row r="351" spans="2:17" x14ac:dyDescent="0.2">
      <c r="B351" s="5" t="s">
        <v>6311</v>
      </c>
      <c r="C351" s="6" t="s">
        <v>13588</v>
      </c>
      <c r="D351" s="4">
        <v>422</v>
      </c>
      <c r="E351" s="5" t="s">
        <v>13</v>
      </c>
      <c r="F351" s="5" t="s">
        <v>6337</v>
      </c>
      <c r="G351" s="6" t="s">
        <v>14</v>
      </c>
      <c r="H351" s="4">
        <v>249</v>
      </c>
      <c r="I351" s="5"/>
      <c r="J351" s="5" t="s">
        <v>6338</v>
      </c>
      <c r="K351" s="5" t="s">
        <v>6335</v>
      </c>
      <c r="L351" s="5"/>
      <c r="M351" s="5" t="s">
        <v>3094</v>
      </c>
      <c r="N351" s="5" t="s">
        <v>3094</v>
      </c>
      <c r="O351" s="5" t="s">
        <v>6329</v>
      </c>
      <c r="P351" s="5"/>
      <c r="Q351" s="5" t="s">
        <v>6339</v>
      </c>
    </row>
    <row r="352" spans="2:17" x14ac:dyDescent="0.2">
      <c r="B352" s="5" t="s">
        <v>6311</v>
      </c>
      <c r="C352" s="6" t="s">
        <v>13588</v>
      </c>
      <c r="D352" s="4">
        <v>423</v>
      </c>
      <c r="E352" s="5" t="s">
        <v>82</v>
      </c>
      <c r="F352" s="5" t="s">
        <v>6350</v>
      </c>
      <c r="G352" s="6" t="s">
        <v>14</v>
      </c>
      <c r="H352" s="4">
        <v>250</v>
      </c>
      <c r="I352" s="5"/>
      <c r="J352" s="5" t="s">
        <v>6355</v>
      </c>
      <c r="K352" s="5" t="s">
        <v>6342</v>
      </c>
      <c r="L352" s="5"/>
      <c r="M352" s="5" t="s">
        <v>2219</v>
      </c>
      <c r="N352" s="5" t="s">
        <v>6353</v>
      </c>
      <c r="O352" s="5" t="s">
        <v>6315</v>
      </c>
      <c r="P352" s="5"/>
      <c r="Q352" s="5" t="s">
        <v>6356</v>
      </c>
    </row>
    <row r="353" spans="2:17" x14ac:dyDescent="0.2">
      <c r="B353" s="5" t="s">
        <v>6311</v>
      </c>
      <c r="C353" s="6" t="s">
        <v>13588</v>
      </c>
      <c r="D353" s="4">
        <v>424</v>
      </c>
      <c r="E353" s="5" t="s">
        <v>82</v>
      </c>
      <c r="F353" s="5" t="s">
        <v>6350</v>
      </c>
      <c r="G353" s="6" t="s">
        <v>14</v>
      </c>
      <c r="H353" s="4">
        <v>251</v>
      </c>
      <c r="I353" s="5"/>
      <c r="J353" s="5" t="s">
        <v>6357</v>
      </c>
      <c r="K353" s="5" t="s">
        <v>6332</v>
      </c>
      <c r="L353" s="5"/>
      <c r="M353" s="5" t="s">
        <v>2219</v>
      </c>
      <c r="N353" s="5" t="s">
        <v>6353</v>
      </c>
      <c r="O353" s="5" t="s">
        <v>6315</v>
      </c>
      <c r="P353" s="5"/>
      <c r="Q353" s="5" t="s">
        <v>6358</v>
      </c>
    </row>
    <row r="354" spans="2:17" x14ac:dyDescent="0.2">
      <c r="B354" s="5" t="s">
        <v>6311</v>
      </c>
      <c r="C354" s="6" t="s">
        <v>13588</v>
      </c>
      <c r="D354" s="4">
        <v>425</v>
      </c>
      <c r="E354" s="5" t="s">
        <v>82</v>
      </c>
      <c r="F354" s="5" t="s">
        <v>6350</v>
      </c>
      <c r="G354" s="6" t="s">
        <v>14</v>
      </c>
      <c r="H354" s="4">
        <v>252</v>
      </c>
      <c r="I354" s="5"/>
      <c r="J354" s="5" t="s">
        <v>6351</v>
      </c>
      <c r="K354" s="5" t="s">
        <v>6352</v>
      </c>
      <c r="L354" s="5"/>
      <c r="M354" s="5" t="s">
        <v>2219</v>
      </c>
      <c r="N354" s="5" t="s">
        <v>6353</v>
      </c>
      <c r="O354" s="5" t="s">
        <v>6329</v>
      </c>
      <c r="P354" s="5"/>
      <c r="Q354" s="5" t="s">
        <v>6354</v>
      </c>
    </row>
    <row r="355" spans="2:17" x14ac:dyDescent="0.2">
      <c r="B355" s="5" t="s">
        <v>6380</v>
      </c>
      <c r="C355" s="6" t="s">
        <v>13588</v>
      </c>
      <c r="D355" s="4">
        <v>434</v>
      </c>
      <c r="E355" s="5" t="s">
        <v>24</v>
      </c>
      <c r="F355" s="5" t="s">
        <v>6459</v>
      </c>
      <c r="G355" s="6" t="s">
        <v>14</v>
      </c>
      <c r="H355" s="4">
        <v>253</v>
      </c>
      <c r="I355" s="5"/>
      <c r="J355" s="5" t="s">
        <v>6460</v>
      </c>
      <c r="K355" s="5" t="s">
        <v>6383</v>
      </c>
      <c r="L355" s="5"/>
      <c r="M355" s="5" t="s">
        <v>3906</v>
      </c>
      <c r="N355" s="5" t="s">
        <v>3906</v>
      </c>
      <c r="O355" s="5" t="s">
        <v>6388</v>
      </c>
      <c r="P355" s="5"/>
      <c r="Q355" s="5" t="s">
        <v>6461</v>
      </c>
    </row>
    <row r="356" spans="2:17" x14ac:dyDescent="0.2">
      <c r="B356" s="5" t="s">
        <v>6380</v>
      </c>
      <c r="C356" s="6" t="s">
        <v>13588</v>
      </c>
      <c r="D356" s="4">
        <v>435</v>
      </c>
      <c r="E356" s="5" t="s">
        <v>32</v>
      </c>
      <c r="F356" s="5" t="s">
        <v>6456</v>
      </c>
      <c r="G356" s="6" t="s">
        <v>14</v>
      </c>
      <c r="H356" s="4">
        <v>254</v>
      </c>
      <c r="I356" s="5" t="s">
        <v>22</v>
      </c>
      <c r="J356" s="5" t="s">
        <v>6457</v>
      </c>
      <c r="K356" s="5" t="s">
        <v>6389</v>
      </c>
      <c r="L356" s="5"/>
      <c r="M356" s="5" t="s">
        <v>193</v>
      </c>
      <c r="N356" s="5" t="s">
        <v>193</v>
      </c>
      <c r="O356" s="5" t="s">
        <v>6390</v>
      </c>
      <c r="P356" s="5"/>
      <c r="Q356" s="5" t="s">
        <v>6458</v>
      </c>
    </row>
    <row r="357" spans="2:17" x14ac:dyDescent="0.2">
      <c r="B357" s="5" t="s">
        <v>6380</v>
      </c>
      <c r="C357" s="6" t="s">
        <v>13588</v>
      </c>
      <c r="D357" s="4">
        <v>441</v>
      </c>
      <c r="E357" s="5" t="s">
        <v>35</v>
      </c>
      <c r="F357" s="5" t="s">
        <v>6418</v>
      </c>
      <c r="G357" s="6" t="s">
        <v>14</v>
      </c>
      <c r="H357" s="4">
        <v>255</v>
      </c>
      <c r="I357" s="5"/>
      <c r="J357" s="5" t="s">
        <v>6419</v>
      </c>
      <c r="K357" s="5" t="s">
        <v>6381</v>
      </c>
      <c r="L357" s="5"/>
      <c r="M357" s="5" t="s">
        <v>1464</v>
      </c>
      <c r="N357" s="5" t="s">
        <v>347</v>
      </c>
      <c r="O357" s="5" t="s">
        <v>6382</v>
      </c>
      <c r="P357" s="5"/>
      <c r="Q357" s="5" t="s">
        <v>6420</v>
      </c>
    </row>
    <row r="358" spans="2:17" x14ac:dyDescent="0.2">
      <c r="B358" s="5" t="s">
        <v>6380</v>
      </c>
      <c r="C358" s="6" t="s">
        <v>13588</v>
      </c>
      <c r="D358" s="4">
        <v>442</v>
      </c>
      <c r="E358" s="5" t="s">
        <v>15</v>
      </c>
      <c r="F358" s="5" t="s">
        <v>6415</v>
      </c>
      <c r="G358" s="6" t="s">
        <v>14</v>
      </c>
      <c r="H358" s="4">
        <v>256</v>
      </c>
      <c r="I358" s="5"/>
      <c r="J358" s="5" t="s">
        <v>6416</v>
      </c>
      <c r="K358" s="5" t="s">
        <v>6386</v>
      </c>
      <c r="L358" s="5"/>
      <c r="M358" s="5" t="s">
        <v>2089</v>
      </c>
      <c r="N358" s="5" t="s">
        <v>2089</v>
      </c>
      <c r="O358" s="5" t="s">
        <v>6384</v>
      </c>
      <c r="P358" s="5"/>
      <c r="Q358" s="5" t="s">
        <v>6417</v>
      </c>
    </row>
    <row r="359" spans="2:17" x14ac:dyDescent="0.2">
      <c r="B359" s="5" t="s">
        <v>6380</v>
      </c>
      <c r="C359" s="6" t="s">
        <v>13588</v>
      </c>
      <c r="D359" s="4">
        <v>447</v>
      </c>
      <c r="E359" s="5" t="s">
        <v>20</v>
      </c>
      <c r="F359" s="5" t="s">
        <v>6397</v>
      </c>
      <c r="G359" s="6" t="s">
        <v>14</v>
      </c>
      <c r="H359" s="4">
        <v>257</v>
      </c>
      <c r="I359" s="5" t="s">
        <v>22</v>
      </c>
      <c r="J359" s="5" t="s">
        <v>6398</v>
      </c>
      <c r="K359" s="5" t="s">
        <v>6383</v>
      </c>
      <c r="L359" s="5"/>
      <c r="M359" s="5" t="s">
        <v>1812</v>
      </c>
      <c r="N359" s="5" t="s">
        <v>1437</v>
      </c>
      <c r="O359" s="5" t="s">
        <v>6382</v>
      </c>
      <c r="P359" s="5"/>
      <c r="Q359" s="5" t="s">
        <v>6399</v>
      </c>
    </row>
    <row r="360" spans="2:17" x14ac:dyDescent="0.2">
      <c r="B360" s="5" t="s">
        <v>6380</v>
      </c>
      <c r="C360" s="6" t="s">
        <v>13588</v>
      </c>
      <c r="D360" s="4">
        <v>448</v>
      </c>
      <c r="E360" s="5" t="s">
        <v>35</v>
      </c>
      <c r="F360" s="5" t="s">
        <v>6395</v>
      </c>
      <c r="G360" s="6" t="s">
        <v>14</v>
      </c>
      <c r="H360" s="4">
        <v>258</v>
      </c>
      <c r="I360" s="5"/>
      <c r="J360" s="5"/>
      <c r="K360" s="5" t="s">
        <v>6383</v>
      </c>
      <c r="L360" s="5"/>
      <c r="M360" s="5" t="s">
        <v>645</v>
      </c>
      <c r="N360" s="5" t="s">
        <v>645</v>
      </c>
      <c r="O360" s="5" t="s">
        <v>6382</v>
      </c>
      <c r="P360" s="5"/>
      <c r="Q360" s="5" t="s">
        <v>6396</v>
      </c>
    </row>
    <row r="361" spans="2:17" x14ac:dyDescent="0.2">
      <c r="B361" s="5" t="s">
        <v>6380</v>
      </c>
      <c r="C361" s="6" t="s">
        <v>13588</v>
      </c>
      <c r="D361" s="4">
        <v>449</v>
      </c>
      <c r="E361" s="5" t="s">
        <v>32</v>
      </c>
      <c r="F361" s="5" t="s">
        <v>6392</v>
      </c>
      <c r="G361" s="6" t="s">
        <v>14</v>
      </c>
      <c r="H361" s="4">
        <v>259</v>
      </c>
      <c r="I361" s="5" t="s">
        <v>22</v>
      </c>
      <c r="J361" s="5" t="s">
        <v>6393</v>
      </c>
      <c r="K361" s="5" t="s">
        <v>6389</v>
      </c>
      <c r="L361" s="5"/>
      <c r="M361" s="5" t="s">
        <v>1269</v>
      </c>
      <c r="N361" s="5" t="s">
        <v>1258</v>
      </c>
      <c r="O361" s="5" t="s">
        <v>6390</v>
      </c>
      <c r="P361" s="5"/>
      <c r="Q361" s="5" t="s">
        <v>6394</v>
      </c>
    </row>
    <row r="362" spans="2:17" x14ac:dyDescent="0.2">
      <c r="B362" s="5" t="s">
        <v>6380</v>
      </c>
      <c r="C362" s="6" t="s">
        <v>13588</v>
      </c>
      <c r="D362" s="4">
        <v>450</v>
      </c>
      <c r="E362" s="5" t="s">
        <v>13</v>
      </c>
      <c r="F362" s="5" t="s">
        <v>6438</v>
      </c>
      <c r="G362" s="6" t="s">
        <v>14</v>
      </c>
      <c r="H362" s="4">
        <v>260</v>
      </c>
      <c r="I362" s="5"/>
      <c r="J362" s="5" t="s">
        <v>6439</v>
      </c>
      <c r="K362" s="5" t="s">
        <v>6383</v>
      </c>
      <c r="L362" s="5"/>
      <c r="M362" s="5" t="s">
        <v>1520</v>
      </c>
      <c r="N362" s="5" t="s">
        <v>2147</v>
      </c>
      <c r="O362" s="5" t="s">
        <v>6388</v>
      </c>
      <c r="P362" s="5"/>
      <c r="Q362" s="5" t="s">
        <v>6440</v>
      </c>
    </row>
    <row r="363" spans="2:17" x14ac:dyDescent="0.2">
      <c r="B363" s="5" t="s">
        <v>6380</v>
      </c>
      <c r="C363" s="6" t="s">
        <v>13588</v>
      </c>
      <c r="D363" s="4">
        <v>451</v>
      </c>
      <c r="E363" s="5" t="s">
        <v>24</v>
      </c>
      <c r="F363" s="5" t="s">
        <v>6430</v>
      </c>
      <c r="G363" s="6" t="s">
        <v>14</v>
      </c>
      <c r="H363" s="4">
        <v>261</v>
      </c>
      <c r="I363" s="5"/>
      <c r="J363" s="5" t="s">
        <v>6431</v>
      </c>
      <c r="K363" s="5" t="s">
        <v>6386</v>
      </c>
      <c r="L363" s="5"/>
      <c r="M363" s="5" t="s">
        <v>399</v>
      </c>
      <c r="N363" s="5" t="s">
        <v>2134</v>
      </c>
      <c r="O363" s="5" t="s">
        <v>6384</v>
      </c>
      <c r="P363" s="5"/>
      <c r="Q363" s="5" t="s">
        <v>6432</v>
      </c>
    </row>
    <row r="364" spans="2:17" x14ac:dyDescent="0.2">
      <c r="B364" s="5" t="s">
        <v>6380</v>
      </c>
      <c r="C364" s="6" t="s">
        <v>13588</v>
      </c>
      <c r="D364" s="4">
        <v>452</v>
      </c>
      <c r="E364" s="5" t="s">
        <v>24</v>
      </c>
      <c r="F364" s="5" t="s">
        <v>6433</v>
      </c>
      <c r="G364" s="6" t="s">
        <v>14</v>
      </c>
      <c r="H364" s="4">
        <v>262</v>
      </c>
      <c r="I364" s="5"/>
      <c r="J364" s="5" t="s">
        <v>6434</v>
      </c>
      <c r="K364" s="5" t="s">
        <v>6386</v>
      </c>
      <c r="L364" s="5"/>
      <c r="M364" s="5" t="s">
        <v>399</v>
      </c>
      <c r="N364" s="5" t="s">
        <v>2134</v>
      </c>
      <c r="O364" s="5" t="s">
        <v>6384</v>
      </c>
      <c r="P364" s="5"/>
      <c r="Q364" s="5" t="s">
        <v>6435</v>
      </c>
    </row>
    <row r="365" spans="2:17" x14ac:dyDescent="0.2">
      <c r="B365" s="5" t="s">
        <v>6380</v>
      </c>
      <c r="C365" s="6" t="s">
        <v>13588</v>
      </c>
      <c r="D365" s="4">
        <v>453</v>
      </c>
      <c r="E365" s="5" t="s">
        <v>35</v>
      </c>
      <c r="F365" s="5" t="s">
        <v>6433</v>
      </c>
      <c r="G365" s="6" t="s">
        <v>14</v>
      </c>
      <c r="H365" s="4">
        <v>263</v>
      </c>
      <c r="I365" s="5"/>
      <c r="J365" s="5" t="s">
        <v>6436</v>
      </c>
      <c r="K365" s="5" t="s">
        <v>6386</v>
      </c>
      <c r="L365" s="5"/>
      <c r="M365" s="5" t="s">
        <v>399</v>
      </c>
      <c r="N365" s="5" t="s">
        <v>2134</v>
      </c>
      <c r="O365" s="5" t="s">
        <v>6384</v>
      </c>
      <c r="P365" s="5"/>
      <c r="Q365" s="5" t="s">
        <v>6437</v>
      </c>
    </row>
    <row r="366" spans="2:17" x14ac:dyDescent="0.2">
      <c r="B366" s="5" t="s">
        <v>6380</v>
      </c>
      <c r="C366" s="6" t="s">
        <v>13588</v>
      </c>
      <c r="D366" s="4">
        <v>454</v>
      </c>
      <c r="E366" s="5" t="s">
        <v>24</v>
      </c>
      <c r="F366" s="5" t="s">
        <v>6465</v>
      </c>
      <c r="G366" s="6" t="s">
        <v>14</v>
      </c>
      <c r="H366" s="4">
        <v>264</v>
      </c>
      <c r="I366" s="5"/>
      <c r="J366" s="5" t="s">
        <v>6466</v>
      </c>
      <c r="K366" s="5" t="s">
        <v>6411</v>
      </c>
      <c r="L366" s="5"/>
      <c r="M366" s="5" t="s">
        <v>1650</v>
      </c>
      <c r="N366" s="5" t="s">
        <v>1650</v>
      </c>
      <c r="O366" s="5" t="s">
        <v>6391</v>
      </c>
      <c r="P366" s="5"/>
      <c r="Q366" s="5" t="s">
        <v>6467</v>
      </c>
    </row>
    <row r="367" spans="2:17" x14ac:dyDescent="0.2">
      <c r="B367" s="5" t="s">
        <v>6380</v>
      </c>
      <c r="C367" s="6" t="s">
        <v>13588</v>
      </c>
      <c r="D367" s="4">
        <v>455</v>
      </c>
      <c r="E367" s="5" t="s">
        <v>20</v>
      </c>
      <c r="F367" s="5" t="s">
        <v>6427</v>
      </c>
      <c r="G367" s="6" t="s">
        <v>14</v>
      </c>
      <c r="H367" s="4">
        <v>265</v>
      </c>
      <c r="I367" s="5" t="s">
        <v>38</v>
      </c>
      <c r="J367" s="5" t="s">
        <v>6428</v>
      </c>
      <c r="K367" s="5" t="s">
        <v>6383</v>
      </c>
      <c r="L367" s="5"/>
      <c r="M367" s="5" t="s">
        <v>127</v>
      </c>
      <c r="N367" s="5" t="s">
        <v>127</v>
      </c>
      <c r="O367" s="5" t="s">
        <v>6388</v>
      </c>
      <c r="P367" s="5"/>
      <c r="Q367" s="5" t="s">
        <v>6429</v>
      </c>
    </row>
    <row r="368" spans="2:17" x14ac:dyDescent="0.2">
      <c r="B368" s="5" t="s">
        <v>6380</v>
      </c>
      <c r="C368" s="6" t="s">
        <v>13588</v>
      </c>
      <c r="D368" s="4">
        <v>456</v>
      </c>
      <c r="E368" s="5" t="s">
        <v>35</v>
      </c>
      <c r="F368" s="5" t="s">
        <v>6471</v>
      </c>
      <c r="G368" s="6" t="s">
        <v>14</v>
      </c>
      <c r="H368" s="4">
        <v>266</v>
      </c>
      <c r="I368" s="5"/>
      <c r="J368" s="5"/>
      <c r="K368" s="5" t="s">
        <v>6386</v>
      </c>
      <c r="L368" s="5"/>
      <c r="M368" s="5" t="s">
        <v>1150</v>
      </c>
      <c r="N368" s="5" t="s">
        <v>1150</v>
      </c>
      <c r="O368" s="5" t="s">
        <v>6384</v>
      </c>
      <c r="P368" s="5"/>
      <c r="Q368" s="5" t="s">
        <v>6472</v>
      </c>
    </row>
    <row r="369" spans="2:17" x14ac:dyDescent="0.2">
      <c r="B369" s="5" t="s">
        <v>6380</v>
      </c>
      <c r="C369" s="6" t="s">
        <v>13588</v>
      </c>
      <c r="D369" s="4">
        <v>457</v>
      </c>
      <c r="E369" s="5" t="s">
        <v>13</v>
      </c>
      <c r="F369" s="5" t="s">
        <v>6424</v>
      </c>
      <c r="G369" s="6" t="s">
        <v>14</v>
      </c>
      <c r="H369" s="4">
        <v>267</v>
      </c>
      <c r="I369" s="5"/>
      <c r="J369" s="5" t="s">
        <v>6425</v>
      </c>
      <c r="K369" s="5" t="s">
        <v>6386</v>
      </c>
      <c r="L369" s="5"/>
      <c r="M369" s="5" t="s">
        <v>366</v>
      </c>
      <c r="N369" s="5" t="s">
        <v>366</v>
      </c>
      <c r="O369" s="5" t="s">
        <v>6384</v>
      </c>
      <c r="P369" s="5"/>
      <c r="Q369" s="5" t="s">
        <v>6426</v>
      </c>
    </row>
    <row r="370" spans="2:17" x14ac:dyDescent="0.2">
      <c r="B370" s="5" t="s">
        <v>6380</v>
      </c>
      <c r="C370" s="6" t="s">
        <v>13588</v>
      </c>
      <c r="D370" s="4">
        <v>458</v>
      </c>
      <c r="E370" s="5" t="s">
        <v>13</v>
      </c>
      <c r="F370" s="5" t="s">
        <v>6421</v>
      </c>
      <c r="G370" s="6" t="s">
        <v>14</v>
      </c>
      <c r="H370" s="4">
        <v>268</v>
      </c>
      <c r="I370" s="5"/>
      <c r="J370" s="5" t="s">
        <v>6422</v>
      </c>
      <c r="K370" s="5" t="s">
        <v>6411</v>
      </c>
      <c r="L370" s="5"/>
      <c r="M370" s="5" t="s">
        <v>351</v>
      </c>
      <c r="N370" s="5" t="s">
        <v>351</v>
      </c>
      <c r="O370" s="5" t="s">
        <v>6391</v>
      </c>
      <c r="P370" s="5"/>
      <c r="Q370" s="5" t="s">
        <v>6423</v>
      </c>
    </row>
    <row r="371" spans="2:17" x14ac:dyDescent="0.2">
      <c r="B371" s="5" t="s">
        <v>6380</v>
      </c>
      <c r="C371" s="6" t="s">
        <v>13588</v>
      </c>
      <c r="D371" s="4">
        <v>459</v>
      </c>
      <c r="E371" s="5" t="s">
        <v>24</v>
      </c>
      <c r="F371" s="5" t="s">
        <v>6462</v>
      </c>
      <c r="G371" s="6" t="s">
        <v>14</v>
      </c>
      <c r="H371" s="4">
        <v>269</v>
      </c>
      <c r="I371" s="5"/>
      <c r="J371" s="5" t="s">
        <v>6463</v>
      </c>
      <c r="K371" s="5" t="s">
        <v>6383</v>
      </c>
      <c r="L371" s="5"/>
      <c r="M371" s="5" t="s">
        <v>2219</v>
      </c>
      <c r="N371" s="5" t="s">
        <v>2219</v>
      </c>
      <c r="O371" s="5" t="s">
        <v>6388</v>
      </c>
      <c r="P371" s="5"/>
      <c r="Q371" s="5" t="s">
        <v>6464</v>
      </c>
    </row>
    <row r="372" spans="2:17" x14ac:dyDescent="0.2">
      <c r="B372" s="5" t="s">
        <v>6473</v>
      </c>
      <c r="C372" s="6" t="s">
        <v>13588</v>
      </c>
      <c r="D372" s="4">
        <v>460</v>
      </c>
      <c r="E372" s="5" t="s">
        <v>32</v>
      </c>
      <c r="F372" s="5" t="s">
        <v>6487</v>
      </c>
      <c r="G372" s="6" t="s">
        <v>14</v>
      </c>
      <c r="H372" s="4">
        <v>270</v>
      </c>
      <c r="I372" s="5" t="s">
        <v>22</v>
      </c>
      <c r="J372" s="5" t="s">
        <v>6488</v>
      </c>
      <c r="K372" s="5" t="s">
        <v>6489</v>
      </c>
      <c r="L372" s="5"/>
      <c r="M372" s="5" t="s">
        <v>1843</v>
      </c>
      <c r="N372" s="5" t="s">
        <v>1844</v>
      </c>
      <c r="O372" s="5" t="s">
        <v>6490</v>
      </c>
      <c r="P372" s="5"/>
      <c r="Q372" s="5" t="s">
        <v>6491</v>
      </c>
    </row>
    <row r="373" spans="2:17" x14ac:dyDescent="0.2">
      <c r="B373" s="5" t="s">
        <v>6473</v>
      </c>
      <c r="C373" s="6" t="s">
        <v>13588</v>
      </c>
      <c r="D373" s="4">
        <v>461</v>
      </c>
      <c r="E373" s="5" t="s">
        <v>32</v>
      </c>
      <c r="F373" s="5" t="s">
        <v>6483</v>
      </c>
      <c r="G373" s="6" t="s">
        <v>14</v>
      </c>
      <c r="H373" s="4">
        <v>271</v>
      </c>
      <c r="I373" s="5" t="s">
        <v>22</v>
      </c>
      <c r="J373" s="5" t="s">
        <v>6484</v>
      </c>
      <c r="K373" s="5" t="s">
        <v>6485</v>
      </c>
      <c r="L373" s="5"/>
      <c r="M373" s="5" t="s">
        <v>312</v>
      </c>
      <c r="N373" s="5" t="s">
        <v>302</v>
      </c>
      <c r="O373" s="5" t="s">
        <v>6474</v>
      </c>
      <c r="P373" s="5"/>
      <c r="Q373" s="5" t="s">
        <v>6486</v>
      </c>
    </row>
    <row r="374" spans="2:17" x14ac:dyDescent="0.2">
      <c r="B374" s="5" t="s">
        <v>6473</v>
      </c>
      <c r="C374" s="6" t="s">
        <v>13588</v>
      </c>
      <c r="D374" s="4">
        <v>462</v>
      </c>
      <c r="E374" s="5" t="s">
        <v>32</v>
      </c>
      <c r="F374" s="5" t="s">
        <v>6476</v>
      </c>
      <c r="G374" s="6" t="s">
        <v>14</v>
      </c>
      <c r="H374" s="4">
        <v>272</v>
      </c>
      <c r="I374" s="5" t="s">
        <v>22</v>
      </c>
      <c r="J374" s="5" t="s">
        <v>6477</v>
      </c>
      <c r="K374" s="5" t="s">
        <v>6478</v>
      </c>
      <c r="L374" s="5"/>
      <c r="M374" s="5" t="s">
        <v>96</v>
      </c>
      <c r="N374" s="5" t="s">
        <v>291</v>
      </c>
      <c r="O374" s="5" t="s">
        <v>6475</v>
      </c>
      <c r="P374" s="5"/>
      <c r="Q374" s="5" t="s">
        <v>6479</v>
      </c>
    </row>
    <row r="375" spans="2:17" x14ac:dyDescent="0.2">
      <c r="B375" s="5" t="s">
        <v>6473</v>
      </c>
      <c r="C375" s="6" t="s">
        <v>13588</v>
      </c>
      <c r="D375" s="4">
        <v>463</v>
      </c>
      <c r="E375" s="5" t="s">
        <v>32</v>
      </c>
      <c r="F375" s="5" t="s">
        <v>6476</v>
      </c>
      <c r="G375" s="6" t="s">
        <v>14</v>
      </c>
      <c r="H375" s="4">
        <v>273</v>
      </c>
      <c r="I375" s="5" t="s">
        <v>22</v>
      </c>
      <c r="J375" s="5" t="s">
        <v>6480</v>
      </c>
      <c r="K375" s="5" t="s">
        <v>6481</v>
      </c>
      <c r="L375" s="5"/>
      <c r="M375" s="5" t="s">
        <v>96</v>
      </c>
      <c r="N375" s="5" t="s">
        <v>291</v>
      </c>
      <c r="O375" s="5" t="s">
        <v>6475</v>
      </c>
      <c r="P375" s="5"/>
      <c r="Q375" s="5" t="s">
        <v>6482</v>
      </c>
    </row>
    <row r="376" spans="2:17" x14ac:dyDescent="0.2">
      <c r="B376" s="5" t="s">
        <v>6473</v>
      </c>
      <c r="C376" s="6" t="s">
        <v>13588</v>
      </c>
      <c r="D376" s="4">
        <v>464</v>
      </c>
      <c r="E376" s="5" t="s">
        <v>15</v>
      </c>
      <c r="F376" s="5" t="s">
        <v>6492</v>
      </c>
      <c r="G376" s="6" t="s">
        <v>14</v>
      </c>
      <c r="H376" s="4">
        <v>274</v>
      </c>
      <c r="I376" s="5"/>
      <c r="J376" s="5" t="s">
        <v>6493</v>
      </c>
      <c r="K376" s="5" t="s">
        <v>6478</v>
      </c>
      <c r="L376" s="5"/>
      <c r="M376" s="5" t="s">
        <v>5234</v>
      </c>
      <c r="N376" s="5" t="s">
        <v>3438</v>
      </c>
      <c r="O376" s="5" t="s">
        <v>6475</v>
      </c>
      <c r="P376" s="5"/>
      <c r="Q376" s="5" t="s">
        <v>6494</v>
      </c>
    </row>
    <row r="377" spans="2:17" x14ac:dyDescent="0.2">
      <c r="B377" s="5" t="s">
        <v>6495</v>
      </c>
      <c r="C377" s="6" t="s">
        <v>13588</v>
      </c>
      <c r="D377" s="4">
        <v>466</v>
      </c>
      <c r="E377" s="5" t="s">
        <v>56</v>
      </c>
      <c r="F377" s="5" t="s">
        <v>6555</v>
      </c>
      <c r="G377" s="6" t="s">
        <v>14</v>
      </c>
      <c r="H377" s="4">
        <v>275</v>
      </c>
      <c r="I377" s="5"/>
      <c r="J377" s="5"/>
      <c r="K377" s="5" t="s">
        <v>6502</v>
      </c>
      <c r="L377" s="5"/>
      <c r="M377" s="5" t="s">
        <v>1899</v>
      </c>
      <c r="N377" s="5" t="s">
        <v>506</v>
      </c>
      <c r="O377" s="5"/>
      <c r="P377" s="5"/>
      <c r="Q377" s="5" t="s">
        <v>6556</v>
      </c>
    </row>
    <row r="378" spans="2:17" x14ac:dyDescent="0.2">
      <c r="B378" s="5" t="s">
        <v>6495</v>
      </c>
      <c r="C378" s="6" t="s">
        <v>13588</v>
      </c>
      <c r="D378" s="4">
        <v>467</v>
      </c>
      <c r="E378" s="5" t="s">
        <v>15</v>
      </c>
      <c r="F378" s="5" t="s">
        <v>6549</v>
      </c>
      <c r="G378" s="6" t="s">
        <v>14</v>
      </c>
      <c r="H378" s="4">
        <v>276</v>
      </c>
      <c r="I378" s="5"/>
      <c r="J378" s="5" t="s">
        <v>6549</v>
      </c>
      <c r="K378" s="5" t="s">
        <v>6525</v>
      </c>
      <c r="L378" s="5" t="s">
        <v>6550</v>
      </c>
      <c r="M378" s="5" t="s">
        <v>193</v>
      </c>
      <c r="N378" s="5" t="s">
        <v>193</v>
      </c>
      <c r="O378" s="5"/>
      <c r="P378" s="5"/>
      <c r="Q378" s="5" t="s">
        <v>6551</v>
      </c>
    </row>
    <row r="379" spans="2:17" x14ac:dyDescent="0.2">
      <c r="B379" s="5" t="s">
        <v>6495</v>
      </c>
      <c r="C379" s="6" t="s">
        <v>13588</v>
      </c>
      <c r="D379" s="4">
        <v>470</v>
      </c>
      <c r="E379" s="5" t="s">
        <v>35</v>
      </c>
      <c r="F379" s="5" t="s">
        <v>6539</v>
      </c>
      <c r="G379" s="6" t="s">
        <v>14</v>
      </c>
      <c r="H379" s="4">
        <v>277</v>
      </c>
      <c r="I379" s="5"/>
      <c r="J379" s="5"/>
      <c r="K379" s="5" t="s">
        <v>6540</v>
      </c>
      <c r="L379" s="5"/>
      <c r="M379" s="5" t="s">
        <v>432</v>
      </c>
      <c r="N379" s="5" t="s">
        <v>1526</v>
      </c>
      <c r="O379" s="5"/>
      <c r="P379" s="5"/>
      <c r="Q379" s="5" t="s">
        <v>6541</v>
      </c>
    </row>
    <row r="380" spans="2:17" x14ac:dyDescent="0.2">
      <c r="B380" s="5" t="s">
        <v>6495</v>
      </c>
      <c r="C380" s="6" t="s">
        <v>13588</v>
      </c>
      <c r="D380" s="4">
        <v>471</v>
      </c>
      <c r="E380" s="5" t="s">
        <v>32</v>
      </c>
      <c r="F380" s="5" t="s">
        <v>6536</v>
      </c>
      <c r="G380" s="6" t="s">
        <v>14</v>
      </c>
      <c r="H380" s="4">
        <v>278</v>
      </c>
      <c r="I380" s="5" t="s">
        <v>22</v>
      </c>
      <c r="J380" s="5" t="s">
        <v>6537</v>
      </c>
      <c r="K380" s="5" t="s">
        <v>6502</v>
      </c>
      <c r="L380" s="5"/>
      <c r="M380" s="5" t="s">
        <v>1464</v>
      </c>
      <c r="N380" s="5" t="s">
        <v>347</v>
      </c>
      <c r="O380" s="5"/>
      <c r="P380" s="5"/>
      <c r="Q380" s="5" t="s">
        <v>6538</v>
      </c>
    </row>
    <row r="381" spans="2:17" x14ac:dyDescent="0.2">
      <c r="B381" s="5" t="s">
        <v>6495</v>
      </c>
      <c r="C381" s="6" t="s">
        <v>13588</v>
      </c>
      <c r="D381" s="4">
        <v>472</v>
      </c>
      <c r="E381" s="5" t="s">
        <v>13</v>
      </c>
      <c r="F381" s="5" t="s">
        <v>6533</v>
      </c>
      <c r="G381" s="6" t="s">
        <v>14</v>
      </c>
      <c r="H381" s="4">
        <v>279</v>
      </c>
      <c r="I381" s="5"/>
      <c r="J381" s="5" t="s">
        <v>6534</v>
      </c>
      <c r="K381" s="5" t="s">
        <v>6502</v>
      </c>
      <c r="L381" s="5"/>
      <c r="M381" s="5" t="s">
        <v>1416</v>
      </c>
      <c r="N381" s="5" t="s">
        <v>1416</v>
      </c>
      <c r="O381" s="5"/>
      <c r="P381" s="5"/>
      <c r="Q381" s="5" t="s">
        <v>6535</v>
      </c>
    </row>
    <row r="382" spans="2:17" x14ac:dyDescent="0.2">
      <c r="B382" s="5" t="s">
        <v>6495</v>
      </c>
      <c r="C382" s="6" t="s">
        <v>13588</v>
      </c>
      <c r="D382" s="4">
        <v>473</v>
      </c>
      <c r="E382" s="5" t="s">
        <v>32</v>
      </c>
      <c r="F382" s="5" t="s">
        <v>6496</v>
      </c>
      <c r="G382" s="6" t="s">
        <v>14</v>
      </c>
      <c r="H382" s="4">
        <v>280</v>
      </c>
      <c r="I382" s="5" t="s">
        <v>38</v>
      </c>
      <c r="J382" s="5" t="s">
        <v>6497</v>
      </c>
      <c r="K382" s="5" t="s">
        <v>6498</v>
      </c>
      <c r="L382" s="5"/>
      <c r="M382" s="5" t="s">
        <v>1365</v>
      </c>
      <c r="N382" s="5" t="s">
        <v>331</v>
      </c>
      <c r="O382" s="5"/>
      <c r="P382" s="5"/>
      <c r="Q382" s="5" t="s">
        <v>6499</v>
      </c>
    </row>
    <row r="383" spans="2:17" x14ac:dyDescent="0.2">
      <c r="B383" s="5" t="s">
        <v>6495</v>
      </c>
      <c r="C383" s="6" t="s">
        <v>13588</v>
      </c>
      <c r="D383" s="4">
        <v>474</v>
      </c>
      <c r="E383" s="5" t="s">
        <v>32</v>
      </c>
      <c r="F383" s="5" t="s">
        <v>6500</v>
      </c>
      <c r="G383" s="6" t="s">
        <v>14</v>
      </c>
      <c r="H383" s="4">
        <v>281</v>
      </c>
      <c r="I383" s="5" t="s">
        <v>38</v>
      </c>
      <c r="J383" s="5" t="s">
        <v>6501</v>
      </c>
      <c r="K383" s="5" t="s">
        <v>6502</v>
      </c>
      <c r="L383" s="5" t="s">
        <v>6503</v>
      </c>
      <c r="M383" s="5" t="s">
        <v>1365</v>
      </c>
      <c r="N383" s="5" t="s">
        <v>331</v>
      </c>
      <c r="O383" s="5"/>
      <c r="P383" s="5"/>
      <c r="Q383" s="5" t="s">
        <v>6504</v>
      </c>
    </row>
    <row r="384" spans="2:17" x14ac:dyDescent="0.2">
      <c r="B384" s="5" t="s">
        <v>6495</v>
      </c>
      <c r="C384" s="6" t="s">
        <v>13588</v>
      </c>
      <c r="D384" s="4">
        <v>475</v>
      </c>
      <c r="E384" s="5" t="s">
        <v>32</v>
      </c>
      <c r="F384" s="5" t="s">
        <v>6496</v>
      </c>
      <c r="G384" s="6" t="s">
        <v>14</v>
      </c>
      <c r="H384" s="4">
        <v>282</v>
      </c>
      <c r="I384" s="5" t="s">
        <v>38</v>
      </c>
      <c r="J384" s="5" t="s">
        <v>6505</v>
      </c>
      <c r="K384" s="5" t="s">
        <v>6506</v>
      </c>
      <c r="L384" s="5" t="s">
        <v>6507</v>
      </c>
      <c r="M384" s="5" t="s">
        <v>1365</v>
      </c>
      <c r="N384" s="5" t="s">
        <v>331</v>
      </c>
      <c r="O384" s="5"/>
      <c r="P384" s="5"/>
      <c r="Q384" s="5" t="s">
        <v>6508</v>
      </c>
    </row>
    <row r="385" spans="2:17" x14ac:dyDescent="0.2">
      <c r="B385" s="5" t="s">
        <v>6495</v>
      </c>
      <c r="C385" s="6" t="s">
        <v>13588</v>
      </c>
      <c r="D385" s="4">
        <v>476</v>
      </c>
      <c r="E385" s="5" t="s">
        <v>32</v>
      </c>
      <c r="F385" s="5" t="s">
        <v>6496</v>
      </c>
      <c r="G385" s="6" t="s">
        <v>14</v>
      </c>
      <c r="H385" s="4">
        <v>283</v>
      </c>
      <c r="I385" s="5" t="s">
        <v>38</v>
      </c>
      <c r="J385" s="5" t="s">
        <v>6509</v>
      </c>
      <c r="K385" s="5" t="s">
        <v>6510</v>
      </c>
      <c r="L385" s="5" t="s">
        <v>6511</v>
      </c>
      <c r="M385" s="5" t="s">
        <v>1365</v>
      </c>
      <c r="N385" s="5" t="s">
        <v>331</v>
      </c>
      <c r="O385" s="5"/>
      <c r="P385" s="5"/>
      <c r="Q385" s="5" t="s">
        <v>6512</v>
      </c>
    </row>
    <row r="386" spans="2:17" x14ac:dyDescent="0.2">
      <c r="B386" s="5" t="s">
        <v>6495</v>
      </c>
      <c r="C386" s="6" t="s">
        <v>13588</v>
      </c>
      <c r="D386" s="4">
        <v>477</v>
      </c>
      <c r="E386" s="5" t="s">
        <v>32</v>
      </c>
      <c r="F386" s="5" t="s">
        <v>6496</v>
      </c>
      <c r="G386" s="6" t="s">
        <v>14</v>
      </c>
      <c r="H386" s="4">
        <v>284</v>
      </c>
      <c r="I386" s="5" t="s">
        <v>38</v>
      </c>
      <c r="J386" s="5" t="s">
        <v>6513</v>
      </c>
      <c r="K386" s="5" t="s">
        <v>6514</v>
      </c>
      <c r="L386" s="5" t="s">
        <v>6515</v>
      </c>
      <c r="M386" s="5" t="s">
        <v>1365</v>
      </c>
      <c r="N386" s="5" t="s">
        <v>331</v>
      </c>
      <c r="O386" s="5"/>
      <c r="P386" s="5"/>
      <c r="Q386" s="5" t="s">
        <v>6516</v>
      </c>
    </row>
    <row r="387" spans="2:17" x14ac:dyDescent="0.2">
      <c r="B387" s="5" t="s">
        <v>6495</v>
      </c>
      <c r="C387" s="6" t="s">
        <v>13588</v>
      </c>
      <c r="D387" s="4">
        <v>478</v>
      </c>
      <c r="E387" s="5" t="s">
        <v>32</v>
      </c>
      <c r="F387" s="5" t="s">
        <v>6496</v>
      </c>
      <c r="G387" s="6" t="s">
        <v>14</v>
      </c>
      <c r="H387" s="4">
        <v>285</v>
      </c>
      <c r="I387" s="5" t="s">
        <v>38</v>
      </c>
      <c r="J387" s="5" t="s">
        <v>6517</v>
      </c>
      <c r="K387" s="5" t="s">
        <v>6502</v>
      </c>
      <c r="L387" s="5" t="s">
        <v>6518</v>
      </c>
      <c r="M387" s="5" t="s">
        <v>1365</v>
      </c>
      <c r="N387" s="5" t="s">
        <v>331</v>
      </c>
      <c r="O387" s="5"/>
      <c r="P387" s="5"/>
      <c r="Q387" s="5" t="s">
        <v>6519</v>
      </c>
    </row>
    <row r="388" spans="2:17" x14ac:dyDescent="0.2">
      <c r="B388" s="5" t="s">
        <v>6495</v>
      </c>
      <c r="C388" s="6" t="s">
        <v>13588</v>
      </c>
      <c r="D388" s="4">
        <v>479</v>
      </c>
      <c r="E388" s="5" t="s">
        <v>32</v>
      </c>
      <c r="F388" s="5" t="s">
        <v>6496</v>
      </c>
      <c r="G388" s="6" t="s">
        <v>14</v>
      </c>
      <c r="H388" s="4">
        <v>286</v>
      </c>
      <c r="I388" s="5" t="s">
        <v>22</v>
      </c>
      <c r="J388" s="5" t="s">
        <v>6520</v>
      </c>
      <c r="K388" s="5" t="s">
        <v>6521</v>
      </c>
      <c r="L388" s="5"/>
      <c r="M388" s="5" t="s">
        <v>1365</v>
      </c>
      <c r="N388" s="5" t="s">
        <v>331</v>
      </c>
      <c r="O388" s="5"/>
      <c r="P388" s="5"/>
      <c r="Q388" s="5" t="s">
        <v>6522</v>
      </c>
    </row>
    <row r="389" spans="2:17" x14ac:dyDescent="0.2">
      <c r="B389" s="5" t="s">
        <v>6495</v>
      </c>
      <c r="C389" s="6" t="s">
        <v>13588</v>
      </c>
      <c r="D389" s="4">
        <v>480</v>
      </c>
      <c r="E389" s="5" t="s">
        <v>32</v>
      </c>
      <c r="F389" s="5" t="s">
        <v>6523</v>
      </c>
      <c r="G389" s="6" t="s">
        <v>14</v>
      </c>
      <c r="H389" s="4">
        <v>287</v>
      </c>
      <c r="I389" s="5" t="s">
        <v>22</v>
      </c>
      <c r="J389" s="5" t="s">
        <v>6524</v>
      </c>
      <c r="K389" s="5" t="s">
        <v>6525</v>
      </c>
      <c r="L389" s="5"/>
      <c r="M389" s="5" t="s">
        <v>1365</v>
      </c>
      <c r="N389" s="5" t="s">
        <v>331</v>
      </c>
      <c r="O389" s="5"/>
      <c r="P389" s="5"/>
      <c r="Q389" s="5" t="s">
        <v>6526</v>
      </c>
    </row>
    <row r="390" spans="2:17" x14ac:dyDescent="0.2">
      <c r="B390" s="5" t="s">
        <v>6495</v>
      </c>
      <c r="C390" s="6" t="s">
        <v>13588</v>
      </c>
      <c r="D390" s="4">
        <v>481</v>
      </c>
      <c r="E390" s="5" t="s">
        <v>32</v>
      </c>
      <c r="F390" s="5" t="s">
        <v>6496</v>
      </c>
      <c r="G390" s="6" t="s">
        <v>14</v>
      </c>
      <c r="H390" s="4">
        <v>288</v>
      </c>
      <c r="I390" s="5" t="s">
        <v>22</v>
      </c>
      <c r="J390" s="5" t="s">
        <v>6527</v>
      </c>
      <c r="K390" s="5" t="s">
        <v>6502</v>
      </c>
      <c r="L390" s="5" t="s">
        <v>6528</v>
      </c>
      <c r="M390" s="5" t="s">
        <v>1365</v>
      </c>
      <c r="N390" s="5" t="s">
        <v>331</v>
      </c>
      <c r="O390" s="5"/>
      <c r="P390" s="5"/>
      <c r="Q390" s="5" t="s">
        <v>6529</v>
      </c>
    </row>
    <row r="391" spans="2:17" x14ac:dyDescent="0.2">
      <c r="B391" s="5" t="s">
        <v>6495</v>
      </c>
      <c r="C391" s="6" t="s">
        <v>13588</v>
      </c>
      <c r="D391" s="4">
        <v>482</v>
      </c>
      <c r="E391" s="5" t="s">
        <v>32</v>
      </c>
      <c r="F391" s="5" t="s">
        <v>6496</v>
      </c>
      <c r="G391" s="6" t="s">
        <v>14</v>
      </c>
      <c r="H391" s="4">
        <v>289</v>
      </c>
      <c r="I391" s="5" t="s">
        <v>22</v>
      </c>
      <c r="J391" s="5" t="s">
        <v>6530</v>
      </c>
      <c r="K391" s="5" t="s">
        <v>6531</v>
      </c>
      <c r="L391" s="5"/>
      <c r="M391" s="5" t="s">
        <v>1365</v>
      </c>
      <c r="N391" s="5" t="s">
        <v>331</v>
      </c>
      <c r="O391" s="5"/>
      <c r="P391" s="5"/>
      <c r="Q391" s="5" t="s">
        <v>6532</v>
      </c>
    </row>
    <row r="392" spans="2:17" x14ac:dyDescent="0.2">
      <c r="B392" s="5" t="s">
        <v>6495</v>
      </c>
      <c r="C392" s="6" t="s">
        <v>13588</v>
      </c>
      <c r="D392" s="4">
        <v>483</v>
      </c>
      <c r="E392" s="5" t="s">
        <v>13</v>
      </c>
      <c r="F392" s="5" t="s">
        <v>6552</v>
      </c>
      <c r="G392" s="6" t="s">
        <v>14</v>
      </c>
      <c r="H392" s="4">
        <v>290</v>
      </c>
      <c r="I392" s="5"/>
      <c r="J392" s="5" t="s">
        <v>6553</v>
      </c>
      <c r="K392" s="5" t="s">
        <v>6502</v>
      </c>
      <c r="L392" s="5"/>
      <c r="M392" s="5" t="s">
        <v>3438</v>
      </c>
      <c r="N392" s="5" t="s">
        <v>3438</v>
      </c>
      <c r="O392" s="5"/>
      <c r="P392" s="5"/>
      <c r="Q392" s="5" t="s">
        <v>6554</v>
      </c>
    </row>
    <row r="393" spans="2:17" x14ac:dyDescent="0.2">
      <c r="B393" s="5" t="s">
        <v>6561</v>
      </c>
      <c r="C393" s="6" t="s">
        <v>13588</v>
      </c>
      <c r="D393" s="4">
        <v>484</v>
      </c>
      <c r="E393" s="5" t="s">
        <v>32</v>
      </c>
      <c r="F393" s="5" t="s">
        <v>6590</v>
      </c>
      <c r="G393" s="6" t="s">
        <v>14</v>
      </c>
      <c r="H393" s="4">
        <v>291</v>
      </c>
      <c r="I393" s="5" t="s">
        <v>22</v>
      </c>
      <c r="J393" s="5" t="s">
        <v>6591</v>
      </c>
      <c r="K393" s="5" t="s">
        <v>6562</v>
      </c>
      <c r="L393" s="5"/>
      <c r="M393" s="5" t="s">
        <v>1618</v>
      </c>
      <c r="N393" s="5" t="s">
        <v>1012</v>
      </c>
      <c r="O393" s="5" t="s">
        <v>6592</v>
      </c>
      <c r="P393" s="5"/>
      <c r="Q393" s="5" t="s">
        <v>6593</v>
      </c>
    </row>
    <row r="394" spans="2:17" x14ac:dyDescent="0.2">
      <c r="B394" s="5" t="s">
        <v>6561</v>
      </c>
      <c r="C394" s="6" t="s">
        <v>13588</v>
      </c>
      <c r="D394" s="4">
        <v>485</v>
      </c>
      <c r="E394" s="5" t="s">
        <v>35</v>
      </c>
      <c r="F394" s="5" t="s">
        <v>6582</v>
      </c>
      <c r="G394" s="6" t="s">
        <v>14</v>
      </c>
      <c r="H394" s="4">
        <v>292</v>
      </c>
      <c r="I394" s="5"/>
      <c r="J394" s="5" t="s">
        <v>6583</v>
      </c>
      <c r="K394" s="5" t="s">
        <v>6568</v>
      </c>
      <c r="L394" s="5"/>
      <c r="M394" s="5" t="s">
        <v>337</v>
      </c>
      <c r="N394" s="5" t="s">
        <v>337</v>
      </c>
      <c r="O394" s="5" t="s">
        <v>6564</v>
      </c>
      <c r="P394" s="5"/>
      <c r="Q394" s="5" t="s">
        <v>6584</v>
      </c>
    </row>
    <row r="395" spans="2:17" x14ac:dyDescent="0.2">
      <c r="B395" s="5" t="s">
        <v>6561</v>
      </c>
      <c r="C395" s="6" t="s">
        <v>13588</v>
      </c>
      <c r="D395" s="4">
        <v>486</v>
      </c>
      <c r="E395" s="5" t="s">
        <v>32</v>
      </c>
      <c r="F395" s="5" t="s">
        <v>6573</v>
      </c>
      <c r="G395" s="6" t="s">
        <v>14</v>
      </c>
      <c r="H395" s="4">
        <v>293</v>
      </c>
      <c r="I395" s="5" t="s">
        <v>22</v>
      </c>
      <c r="J395" s="5" t="s">
        <v>6574</v>
      </c>
      <c r="K395" s="5" t="s">
        <v>6575</v>
      </c>
      <c r="L395" s="5"/>
      <c r="M395" s="5" t="s">
        <v>301</v>
      </c>
      <c r="N395" s="5" t="s">
        <v>296</v>
      </c>
      <c r="O395" s="5" t="s">
        <v>6563</v>
      </c>
      <c r="P395" s="5"/>
      <c r="Q395" s="5" t="s">
        <v>6576</v>
      </c>
    </row>
    <row r="396" spans="2:17" x14ac:dyDescent="0.2">
      <c r="B396" s="5" t="s">
        <v>6561</v>
      </c>
      <c r="C396" s="6" t="s">
        <v>13588</v>
      </c>
      <c r="D396" s="4">
        <v>487</v>
      </c>
      <c r="E396" s="5" t="s">
        <v>32</v>
      </c>
      <c r="F396" s="5" t="s">
        <v>6573</v>
      </c>
      <c r="G396" s="6" t="s">
        <v>14</v>
      </c>
      <c r="H396" s="4">
        <v>294</v>
      </c>
      <c r="I396" s="5" t="s">
        <v>22</v>
      </c>
      <c r="J396" s="5" t="s">
        <v>6577</v>
      </c>
      <c r="K396" s="5" t="s">
        <v>6578</v>
      </c>
      <c r="L396" s="5" t="s">
        <v>6579</v>
      </c>
      <c r="M396" s="5" t="s">
        <v>301</v>
      </c>
      <c r="N396" s="5" t="s">
        <v>296</v>
      </c>
      <c r="O396" s="5" t="s">
        <v>6580</v>
      </c>
      <c r="P396" s="5"/>
      <c r="Q396" s="5" t="s">
        <v>6581</v>
      </c>
    </row>
    <row r="397" spans="2:17" x14ac:dyDescent="0.2">
      <c r="B397" s="5" t="s">
        <v>6561</v>
      </c>
      <c r="C397" s="6" t="s">
        <v>13588</v>
      </c>
      <c r="D397" s="4">
        <v>490</v>
      </c>
      <c r="E397" s="5" t="s">
        <v>13</v>
      </c>
      <c r="F397" s="5" t="s">
        <v>6585</v>
      </c>
      <c r="G397" s="6" t="s">
        <v>14</v>
      </c>
      <c r="H397" s="4">
        <v>295</v>
      </c>
      <c r="I397" s="5"/>
      <c r="J397" s="5" t="s">
        <v>6586</v>
      </c>
      <c r="K397" s="5" t="s">
        <v>6587</v>
      </c>
      <c r="L397" s="5"/>
      <c r="M397" s="5" t="s">
        <v>1835</v>
      </c>
      <c r="N397" s="5" t="s">
        <v>1835</v>
      </c>
      <c r="O397" s="5" t="s">
        <v>6588</v>
      </c>
      <c r="P397" s="5"/>
      <c r="Q397" s="5" t="s">
        <v>6589</v>
      </c>
    </row>
    <row r="398" spans="2:17" x14ac:dyDescent="0.2">
      <c r="B398" s="5" t="s">
        <v>6594</v>
      </c>
      <c r="C398" s="6" t="s">
        <v>13588</v>
      </c>
      <c r="D398" s="4">
        <v>491</v>
      </c>
      <c r="E398" s="5" t="s">
        <v>15</v>
      </c>
      <c r="F398" s="5" t="s">
        <v>6654</v>
      </c>
      <c r="G398" s="6" t="s">
        <v>14</v>
      </c>
      <c r="H398" s="4">
        <v>296</v>
      </c>
      <c r="I398" s="5"/>
      <c r="J398" s="5" t="s">
        <v>6655</v>
      </c>
      <c r="K398" s="5" t="s">
        <v>6656</v>
      </c>
      <c r="L398" s="5" t="s">
        <v>6657</v>
      </c>
      <c r="M398" s="5" t="s">
        <v>1043</v>
      </c>
      <c r="N398" s="5" t="s">
        <v>2729</v>
      </c>
      <c r="O398" s="5" t="s">
        <v>4230</v>
      </c>
      <c r="P398" s="5"/>
      <c r="Q398" s="5" t="s">
        <v>6658</v>
      </c>
    </row>
    <row r="399" spans="2:17" x14ac:dyDescent="0.2">
      <c r="B399" s="5" t="s">
        <v>6594</v>
      </c>
      <c r="C399" s="6" t="s">
        <v>13588</v>
      </c>
      <c r="D399" s="4">
        <v>492</v>
      </c>
      <c r="E399" s="5" t="s">
        <v>15</v>
      </c>
      <c r="F399" s="5" t="s">
        <v>6654</v>
      </c>
      <c r="G399" s="6" t="s">
        <v>14</v>
      </c>
      <c r="H399" s="4">
        <v>297</v>
      </c>
      <c r="I399" s="5"/>
      <c r="J399" s="5" t="s">
        <v>6659</v>
      </c>
      <c r="K399" s="5" t="s">
        <v>6660</v>
      </c>
      <c r="L399" s="5" t="s">
        <v>6661</v>
      </c>
      <c r="M399" s="5" t="s">
        <v>1043</v>
      </c>
      <c r="N399" s="5" t="s">
        <v>2729</v>
      </c>
      <c r="O399" s="5" t="s">
        <v>6662</v>
      </c>
      <c r="P399" s="5"/>
      <c r="Q399" s="5" t="s">
        <v>6663</v>
      </c>
    </row>
    <row r="400" spans="2:17" x14ac:dyDescent="0.2">
      <c r="B400" s="5" t="s">
        <v>6594</v>
      </c>
      <c r="C400" s="6" t="s">
        <v>13588</v>
      </c>
      <c r="D400" s="4">
        <v>493</v>
      </c>
      <c r="E400" s="5" t="s">
        <v>15</v>
      </c>
      <c r="F400" s="5" t="s">
        <v>6654</v>
      </c>
      <c r="G400" s="6" t="s">
        <v>14</v>
      </c>
      <c r="H400" s="4">
        <v>298</v>
      </c>
      <c r="I400" s="5"/>
      <c r="J400" s="5" t="s">
        <v>6664</v>
      </c>
      <c r="K400" s="5" t="s">
        <v>6660</v>
      </c>
      <c r="L400" s="5" t="s">
        <v>6665</v>
      </c>
      <c r="M400" s="5" t="s">
        <v>1043</v>
      </c>
      <c r="N400" s="5" t="s">
        <v>2729</v>
      </c>
      <c r="O400" s="5" t="s">
        <v>6666</v>
      </c>
      <c r="P400" s="5"/>
      <c r="Q400" s="5" t="s">
        <v>6667</v>
      </c>
    </row>
    <row r="401" spans="2:17" x14ac:dyDescent="0.2">
      <c r="B401" s="5" t="s">
        <v>6594</v>
      </c>
      <c r="C401" s="6" t="s">
        <v>13588</v>
      </c>
      <c r="D401" s="4">
        <v>494</v>
      </c>
      <c r="E401" s="5" t="s">
        <v>15</v>
      </c>
      <c r="F401" s="5" t="s">
        <v>6668</v>
      </c>
      <c r="G401" s="6" t="s">
        <v>14</v>
      </c>
      <c r="H401" s="4">
        <v>299</v>
      </c>
      <c r="I401" s="5"/>
      <c r="J401" s="5" t="s">
        <v>6669</v>
      </c>
      <c r="K401" s="5" t="s">
        <v>6641</v>
      </c>
      <c r="L401" s="5"/>
      <c r="M401" s="5" t="s">
        <v>1043</v>
      </c>
      <c r="N401" s="5" t="s">
        <v>2729</v>
      </c>
      <c r="O401" s="5" t="s">
        <v>6670</v>
      </c>
      <c r="P401" s="5"/>
      <c r="Q401" s="5" t="s">
        <v>6671</v>
      </c>
    </row>
    <row r="402" spans="2:17" x14ac:dyDescent="0.2">
      <c r="B402" s="5" t="s">
        <v>6594</v>
      </c>
      <c r="C402" s="6" t="s">
        <v>13588</v>
      </c>
      <c r="D402" s="4">
        <v>495</v>
      </c>
      <c r="E402" s="5" t="s">
        <v>15</v>
      </c>
      <c r="F402" s="5" t="s">
        <v>6654</v>
      </c>
      <c r="G402" s="6" t="s">
        <v>14</v>
      </c>
      <c r="H402" s="4">
        <v>300</v>
      </c>
      <c r="I402" s="5"/>
      <c r="J402" s="5" t="s">
        <v>6672</v>
      </c>
      <c r="K402" s="5" t="s">
        <v>6673</v>
      </c>
      <c r="L402" s="5"/>
      <c r="M402" s="5" t="s">
        <v>1043</v>
      </c>
      <c r="N402" s="5" t="s">
        <v>2729</v>
      </c>
      <c r="O402" s="5" t="s">
        <v>6674</v>
      </c>
      <c r="P402" s="5"/>
      <c r="Q402" s="5" t="s">
        <v>6675</v>
      </c>
    </row>
    <row r="403" spans="2:17" x14ac:dyDescent="0.2">
      <c r="B403" s="5" t="s">
        <v>6594</v>
      </c>
      <c r="C403" s="6" t="s">
        <v>13588</v>
      </c>
      <c r="D403" s="4">
        <v>496</v>
      </c>
      <c r="E403" s="5" t="s">
        <v>15</v>
      </c>
      <c r="F403" s="5" t="s">
        <v>6668</v>
      </c>
      <c r="G403" s="6" t="s">
        <v>14</v>
      </c>
      <c r="H403" s="4">
        <v>301</v>
      </c>
      <c r="I403" s="5"/>
      <c r="J403" s="5" t="s">
        <v>6676</v>
      </c>
      <c r="K403" s="5" t="s">
        <v>6677</v>
      </c>
      <c r="L403" s="5"/>
      <c r="M403" s="5" t="s">
        <v>1043</v>
      </c>
      <c r="N403" s="5" t="s">
        <v>2729</v>
      </c>
      <c r="O403" s="5" t="s">
        <v>6674</v>
      </c>
      <c r="P403" s="5"/>
      <c r="Q403" s="5" t="s">
        <v>6678</v>
      </c>
    </row>
    <row r="404" spans="2:17" x14ac:dyDescent="0.2">
      <c r="B404" s="5" t="s">
        <v>6594</v>
      </c>
      <c r="C404" s="6" t="s">
        <v>13588</v>
      </c>
      <c r="D404" s="4">
        <v>497</v>
      </c>
      <c r="E404" s="5" t="s">
        <v>15</v>
      </c>
      <c r="F404" s="5" t="s">
        <v>6668</v>
      </c>
      <c r="G404" s="6" t="s">
        <v>14</v>
      </c>
      <c r="H404" s="4">
        <v>302</v>
      </c>
      <c r="I404" s="5"/>
      <c r="J404" s="5" t="s">
        <v>6679</v>
      </c>
      <c r="K404" s="5" t="s">
        <v>6680</v>
      </c>
      <c r="L404" s="5"/>
      <c r="M404" s="5" t="s">
        <v>1043</v>
      </c>
      <c r="N404" s="5" t="s">
        <v>2729</v>
      </c>
      <c r="O404" s="5" t="s">
        <v>6681</v>
      </c>
      <c r="P404" s="5"/>
      <c r="Q404" s="5" t="s">
        <v>6682</v>
      </c>
    </row>
    <row r="405" spans="2:17" x14ac:dyDescent="0.2">
      <c r="B405" s="5" t="s">
        <v>6594</v>
      </c>
      <c r="C405" s="6" t="s">
        <v>13588</v>
      </c>
      <c r="D405" s="4">
        <v>499</v>
      </c>
      <c r="E405" s="5" t="s">
        <v>32</v>
      </c>
      <c r="F405" s="5" t="s">
        <v>6633</v>
      </c>
      <c r="G405" s="6" t="s">
        <v>14</v>
      </c>
      <c r="H405" s="4">
        <v>303</v>
      </c>
      <c r="I405" s="5" t="s">
        <v>22</v>
      </c>
      <c r="J405" s="5" t="s">
        <v>6634</v>
      </c>
      <c r="K405" s="5" t="s">
        <v>6635</v>
      </c>
      <c r="L405" s="5" t="s">
        <v>6636</v>
      </c>
      <c r="M405" s="5" t="s">
        <v>1750</v>
      </c>
      <c r="N405" s="5" t="s">
        <v>1751</v>
      </c>
      <c r="O405" s="5" t="s">
        <v>6637</v>
      </c>
      <c r="P405" s="5"/>
      <c r="Q405" s="5" t="s">
        <v>6638</v>
      </c>
    </row>
    <row r="406" spans="2:17" x14ac:dyDescent="0.2">
      <c r="B406" s="5" t="s">
        <v>6594</v>
      </c>
      <c r="C406" s="6" t="s">
        <v>13588</v>
      </c>
      <c r="D406" s="4">
        <v>500</v>
      </c>
      <c r="E406" s="5" t="s">
        <v>32</v>
      </c>
      <c r="F406" s="5" t="s">
        <v>6627</v>
      </c>
      <c r="G406" s="6" t="s">
        <v>14</v>
      </c>
      <c r="H406" s="4">
        <v>304</v>
      </c>
      <c r="I406" s="5" t="s">
        <v>38</v>
      </c>
      <c r="J406" s="5" t="s">
        <v>6628</v>
      </c>
      <c r="K406" s="5" t="s">
        <v>6629</v>
      </c>
      <c r="L406" s="5" t="s">
        <v>6630</v>
      </c>
      <c r="M406" s="5" t="s">
        <v>1262</v>
      </c>
      <c r="N406" s="5" t="s">
        <v>1263</v>
      </c>
      <c r="O406" s="5" t="s">
        <v>6631</v>
      </c>
      <c r="P406" s="5"/>
      <c r="Q406" s="5" t="s">
        <v>6632</v>
      </c>
    </row>
    <row r="407" spans="2:17" x14ac:dyDescent="0.2">
      <c r="B407" s="5" t="s">
        <v>6594</v>
      </c>
      <c r="C407" s="6" t="s">
        <v>13588</v>
      </c>
      <c r="D407" s="4">
        <v>501</v>
      </c>
      <c r="E407" s="5" t="s">
        <v>15</v>
      </c>
      <c r="F407" s="5" t="s">
        <v>6606</v>
      </c>
      <c r="G407" s="6" t="s">
        <v>14</v>
      </c>
      <c r="H407" s="4">
        <v>305</v>
      </c>
      <c r="I407" s="5"/>
      <c r="J407" s="5" t="s">
        <v>6607</v>
      </c>
      <c r="K407" s="5" t="s">
        <v>6608</v>
      </c>
      <c r="L407" s="5" t="s">
        <v>6609</v>
      </c>
      <c r="M407" s="5" t="s">
        <v>548</v>
      </c>
      <c r="N407" s="5" t="s">
        <v>2827</v>
      </c>
      <c r="O407" s="5" t="s">
        <v>6610</v>
      </c>
      <c r="P407" s="5"/>
      <c r="Q407" s="5" t="s">
        <v>6611</v>
      </c>
    </row>
    <row r="408" spans="2:17" x14ac:dyDescent="0.2">
      <c r="B408" s="5" t="s">
        <v>6594</v>
      </c>
      <c r="C408" s="6" t="s">
        <v>13588</v>
      </c>
      <c r="D408" s="4">
        <v>502</v>
      </c>
      <c r="E408" s="5" t="s">
        <v>15</v>
      </c>
      <c r="F408" s="5" t="s">
        <v>6606</v>
      </c>
      <c r="G408" s="6" t="s">
        <v>14</v>
      </c>
      <c r="H408" s="4">
        <v>306</v>
      </c>
      <c r="I408" s="5"/>
      <c r="J408" s="5" t="s">
        <v>6612</v>
      </c>
      <c r="K408" s="5" t="s">
        <v>6613</v>
      </c>
      <c r="L408" s="5" t="s">
        <v>6614</v>
      </c>
      <c r="M408" s="5" t="s">
        <v>548</v>
      </c>
      <c r="N408" s="5" t="s">
        <v>2827</v>
      </c>
      <c r="O408" s="5" t="s">
        <v>6615</v>
      </c>
      <c r="P408" s="5"/>
      <c r="Q408" s="5" t="s">
        <v>6616</v>
      </c>
    </row>
    <row r="409" spans="2:17" x14ac:dyDescent="0.2">
      <c r="B409" s="5" t="s">
        <v>6594</v>
      </c>
      <c r="C409" s="6" t="s">
        <v>13588</v>
      </c>
      <c r="D409" s="4">
        <v>503</v>
      </c>
      <c r="E409" s="5" t="s">
        <v>15</v>
      </c>
      <c r="F409" s="5" t="s">
        <v>6606</v>
      </c>
      <c r="G409" s="6" t="s">
        <v>14</v>
      </c>
      <c r="H409" s="4">
        <v>307</v>
      </c>
      <c r="I409" s="5"/>
      <c r="J409" s="5" t="s">
        <v>6617</v>
      </c>
      <c r="K409" s="5" t="s">
        <v>6618</v>
      </c>
      <c r="L409" s="5" t="s">
        <v>6619</v>
      </c>
      <c r="M409" s="5" t="s">
        <v>548</v>
      </c>
      <c r="N409" s="5" t="s">
        <v>2827</v>
      </c>
      <c r="O409" s="5" t="s">
        <v>6620</v>
      </c>
      <c r="P409" s="5"/>
      <c r="Q409" s="5" t="s">
        <v>6621</v>
      </c>
    </row>
    <row r="410" spans="2:17" x14ac:dyDescent="0.2">
      <c r="B410" s="5" t="s">
        <v>6594</v>
      </c>
      <c r="C410" s="6" t="s">
        <v>13588</v>
      </c>
      <c r="D410" s="4">
        <v>504</v>
      </c>
      <c r="E410" s="5" t="s">
        <v>15</v>
      </c>
      <c r="F410" s="5" t="s">
        <v>6606</v>
      </c>
      <c r="G410" s="6" t="s">
        <v>14</v>
      </c>
      <c r="H410" s="4">
        <v>308</v>
      </c>
      <c r="I410" s="5"/>
      <c r="J410" s="5" t="s">
        <v>6622</v>
      </c>
      <c r="K410" s="5" t="s">
        <v>6623</v>
      </c>
      <c r="L410" s="5" t="s">
        <v>6624</v>
      </c>
      <c r="M410" s="5" t="s">
        <v>548</v>
      </c>
      <c r="N410" s="5" t="s">
        <v>2827</v>
      </c>
      <c r="O410" s="5" t="s">
        <v>6625</v>
      </c>
      <c r="P410" s="5"/>
      <c r="Q410" s="5" t="s">
        <v>6626</v>
      </c>
    </row>
    <row r="411" spans="2:17" x14ac:dyDescent="0.2">
      <c r="B411" s="5" t="s">
        <v>6594</v>
      </c>
      <c r="C411" s="6" t="s">
        <v>13588</v>
      </c>
      <c r="D411" s="4">
        <v>506</v>
      </c>
      <c r="E411" s="5" t="s">
        <v>32</v>
      </c>
      <c r="F411" s="5" t="s">
        <v>6595</v>
      </c>
      <c r="G411" s="6" t="s">
        <v>14</v>
      </c>
      <c r="H411" s="4">
        <v>309</v>
      </c>
      <c r="I411" s="5" t="s">
        <v>22</v>
      </c>
      <c r="J411" s="5" t="s">
        <v>6596</v>
      </c>
      <c r="K411" s="5" t="s">
        <v>6597</v>
      </c>
      <c r="L411" s="5" t="s">
        <v>6598</v>
      </c>
      <c r="M411" s="5" t="s">
        <v>1218</v>
      </c>
      <c r="N411" s="5" t="s">
        <v>1723</v>
      </c>
      <c r="O411" s="5" t="s">
        <v>6599</v>
      </c>
      <c r="P411" s="5"/>
      <c r="Q411" s="5" t="s">
        <v>6600</v>
      </c>
    </row>
    <row r="412" spans="2:17" x14ac:dyDescent="0.2">
      <c r="B412" s="5" t="s">
        <v>6594</v>
      </c>
      <c r="C412" s="6" t="s">
        <v>13588</v>
      </c>
      <c r="D412" s="4">
        <v>507</v>
      </c>
      <c r="E412" s="5" t="s">
        <v>32</v>
      </c>
      <c r="F412" s="5" t="s">
        <v>6595</v>
      </c>
      <c r="G412" s="6" t="s">
        <v>14</v>
      </c>
      <c r="H412" s="4">
        <v>310</v>
      </c>
      <c r="I412" s="5" t="s">
        <v>22</v>
      </c>
      <c r="J412" s="5" t="s">
        <v>6601</v>
      </c>
      <c r="K412" s="5" t="s">
        <v>6602</v>
      </c>
      <c r="L412" s="5" t="s">
        <v>6603</v>
      </c>
      <c r="M412" s="5" t="s">
        <v>1218</v>
      </c>
      <c r="N412" s="5" t="s">
        <v>1723</v>
      </c>
      <c r="O412" s="5" t="s">
        <v>6604</v>
      </c>
      <c r="P412" s="5"/>
      <c r="Q412" s="5" t="s">
        <v>6605</v>
      </c>
    </row>
    <row r="413" spans="2:17" x14ac:dyDescent="0.2">
      <c r="B413" s="5" t="s">
        <v>6594</v>
      </c>
      <c r="C413" s="6" t="s">
        <v>13588</v>
      </c>
      <c r="D413" s="4">
        <v>508</v>
      </c>
      <c r="E413" s="5" t="s">
        <v>35</v>
      </c>
      <c r="F413" s="5" t="s">
        <v>6683</v>
      </c>
      <c r="G413" s="6" t="s">
        <v>14</v>
      </c>
      <c r="H413" s="4">
        <v>311</v>
      </c>
      <c r="I413" s="5"/>
      <c r="J413" s="5" t="s">
        <v>6684</v>
      </c>
      <c r="K413" s="5" t="s">
        <v>6641</v>
      </c>
      <c r="L413" s="5"/>
      <c r="M413" s="5" t="s">
        <v>3537</v>
      </c>
      <c r="N413" s="5" t="s">
        <v>523</v>
      </c>
      <c r="O413" s="5" t="s">
        <v>6599</v>
      </c>
      <c r="P413" s="5"/>
      <c r="Q413" s="5" t="s">
        <v>6685</v>
      </c>
    </row>
    <row r="414" spans="2:17" x14ac:dyDescent="0.2">
      <c r="B414" s="5" t="s">
        <v>6686</v>
      </c>
      <c r="C414" s="6" t="s">
        <v>13588</v>
      </c>
      <c r="D414" s="4">
        <v>516</v>
      </c>
      <c r="E414" s="5" t="s">
        <v>32</v>
      </c>
      <c r="F414" s="5" t="s">
        <v>6772</v>
      </c>
      <c r="G414" s="6" t="s">
        <v>14</v>
      </c>
      <c r="H414" s="4">
        <v>312</v>
      </c>
      <c r="I414" s="5" t="s">
        <v>22</v>
      </c>
      <c r="J414" s="5" t="s">
        <v>6773</v>
      </c>
      <c r="K414" s="5" t="s">
        <v>6705</v>
      </c>
      <c r="L414" s="5"/>
      <c r="M414" s="5" t="s">
        <v>3317</v>
      </c>
      <c r="N414" s="5" t="s">
        <v>1844</v>
      </c>
      <c r="O414" s="5" t="s">
        <v>6690</v>
      </c>
      <c r="P414" s="5"/>
      <c r="Q414" s="5" t="s">
        <v>6774</v>
      </c>
    </row>
    <row r="415" spans="2:17" x14ac:dyDescent="0.2">
      <c r="B415" s="5" t="s">
        <v>6686</v>
      </c>
      <c r="C415" s="6" t="s">
        <v>13588</v>
      </c>
      <c r="D415" s="4">
        <v>517</v>
      </c>
      <c r="E415" s="5" t="s">
        <v>82</v>
      </c>
      <c r="F415" s="5" t="s">
        <v>6768</v>
      </c>
      <c r="G415" s="6" t="s">
        <v>14</v>
      </c>
      <c r="H415" s="4">
        <v>313</v>
      </c>
      <c r="I415" s="5"/>
      <c r="J415" s="5" t="s">
        <v>6769</v>
      </c>
      <c r="K415" s="5" t="s">
        <v>6770</v>
      </c>
      <c r="L415" s="5"/>
      <c r="M415" s="5" t="s">
        <v>1844</v>
      </c>
      <c r="N415" s="5" t="s">
        <v>1844</v>
      </c>
      <c r="O415" s="5" t="s">
        <v>6690</v>
      </c>
      <c r="P415" s="5"/>
      <c r="Q415" s="5" t="s">
        <v>6771</v>
      </c>
    </row>
    <row r="416" spans="2:17" x14ac:dyDescent="0.2">
      <c r="B416" s="5" t="s">
        <v>6686</v>
      </c>
      <c r="C416" s="6" t="s">
        <v>13588</v>
      </c>
      <c r="D416" s="4">
        <v>518</v>
      </c>
      <c r="E416" s="5" t="s">
        <v>82</v>
      </c>
      <c r="F416" s="5" t="s">
        <v>6765</v>
      </c>
      <c r="G416" s="6" t="s">
        <v>14</v>
      </c>
      <c r="H416" s="4">
        <v>314</v>
      </c>
      <c r="I416" s="5"/>
      <c r="J416" s="5" t="s">
        <v>6766</v>
      </c>
      <c r="K416" s="5" t="s">
        <v>6689</v>
      </c>
      <c r="L416" s="5"/>
      <c r="M416" s="5" t="s">
        <v>1618</v>
      </c>
      <c r="N416" s="5" t="s">
        <v>1012</v>
      </c>
      <c r="O416" s="5" t="s">
        <v>6709</v>
      </c>
      <c r="P416" s="5"/>
      <c r="Q416" s="5" t="s">
        <v>6767</v>
      </c>
    </row>
    <row r="417" spans="2:17" x14ac:dyDescent="0.2">
      <c r="B417" s="5" t="s">
        <v>6686</v>
      </c>
      <c r="C417" s="6" t="s">
        <v>13588</v>
      </c>
      <c r="D417" s="4">
        <v>519</v>
      </c>
      <c r="E417" s="5" t="s">
        <v>24</v>
      </c>
      <c r="F417" s="5" t="s">
        <v>6756</v>
      </c>
      <c r="G417" s="6" t="s">
        <v>14</v>
      </c>
      <c r="H417" s="4">
        <v>315</v>
      </c>
      <c r="I417" s="5"/>
      <c r="J417" s="5" t="s">
        <v>6757</v>
      </c>
      <c r="K417" s="5" t="s">
        <v>6698</v>
      </c>
      <c r="L417" s="5"/>
      <c r="M417" s="5" t="s">
        <v>185</v>
      </c>
      <c r="N417" s="5" t="s">
        <v>185</v>
      </c>
      <c r="O417" s="5" t="s">
        <v>6690</v>
      </c>
      <c r="P417" s="5"/>
      <c r="Q417" s="5" t="s">
        <v>6758</v>
      </c>
    </row>
    <row r="418" spans="2:17" x14ac:dyDescent="0.2">
      <c r="B418" s="5" t="s">
        <v>6686</v>
      </c>
      <c r="C418" s="6" t="s">
        <v>13588</v>
      </c>
      <c r="D418" s="4">
        <v>527</v>
      </c>
      <c r="E418" s="5" t="s">
        <v>32</v>
      </c>
      <c r="F418" s="5" t="s">
        <v>6711</v>
      </c>
      <c r="G418" s="6" t="s">
        <v>14</v>
      </c>
      <c r="H418" s="4">
        <v>316</v>
      </c>
      <c r="I418" s="5" t="s">
        <v>22</v>
      </c>
      <c r="J418" s="5" t="s">
        <v>6712</v>
      </c>
      <c r="K418" s="5" t="s">
        <v>6713</v>
      </c>
      <c r="L418" s="5"/>
      <c r="M418" s="5" t="s">
        <v>112</v>
      </c>
      <c r="N418" s="5" t="s">
        <v>337</v>
      </c>
      <c r="O418" s="5" t="s">
        <v>6709</v>
      </c>
      <c r="P418" s="5"/>
      <c r="Q418" s="5" t="s">
        <v>6714</v>
      </c>
    </row>
    <row r="419" spans="2:17" x14ac:dyDescent="0.2">
      <c r="B419" s="5" t="s">
        <v>6686</v>
      </c>
      <c r="C419" s="6" t="s">
        <v>13588</v>
      </c>
      <c r="D419" s="4">
        <v>528</v>
      </c>
      <c r="E419" s="5" t="s">
        <v>32</v>
      </c>
      <c r="F419" s="5" t="s">
        <v>6692</v>
      </c>
      <c r="G419" s="6" t="s">
        <v>14</v>
      </c>
      <c r="H419" s="4">
        <v>317</v>
      </c>
      <c r="I419" s="5" t="s">
        <v>22</v>
      </c>
      <c r="J419" s="5" t="s">
        <v>6697</v>
      </c>
      <c r="K419" s="5" t="s">
        <v>6698</v>
      </c>
      <c r="L419" s="5"/>
      <c r="M419" s="5" t="s">
        <v>148</v>
      </c>
      <c r="N419" s="5" t="s">
        <v>1415</v>
      </c>
      <c r="O419" s="5" t="s">
        <v>6699</v>
      </c>
      <c r="P419" s="5"/>
      <c r="Q419" s="5" t="s">
        <v>6700</v>
      </c>
    </row>
    <row r="420" spans="2:17" x14ac:dyDescent="0.2">
      <c r="B420" s="5" t="s">
        <v>6686</v>
      </c>
      <c r="C420" s="6" t="s">
        <v>13588</v>
      </c>
      <c r="D420" s="4">
        <v>529</v>
      </c>
      <c r="E420" s="5" t="s">
        <v>32</v>
      </c>
      <c r="F420" s="5" t="s">
        <v>6692</v>
      </c>
      <c r="G420" s="6" t="s">
        <v>14</v>
      </c>
      <c r="H420" s="4">
        <v>318</v>
      </c>
      <c r="I420" s="5" t="s">
        <v>22</v>
      </c>
      <c r="J420" s="5" t="s">
        <v>6701</v>
      </c>
      <c r="K420" s="5" t="s">
        <v>6698</v>
      </c>
      <c r="L420" s="5" t="s">
        <v>6702</v>
      </c>
      <c r="M420" s="5" t="s">
        <v>148</v>
      </c>
      <c r="N420" s="5" t="s">
        <v>1415</v>
      </c>
      <c r="O420" s="5" t="s">
        <v>6690</v>
      </c>
      <c r="P420" s="5"/>
      <c r="Q420" s="5" t="s">
        <v>6703</v>
      </c>
    </row>
    <row r="421" spans="2:17" x14ac:dyDescent="0.2">
      <c r="B421" s="5" t="s">
        <v>6686</v>
      </c>
      <c r="C421" s="6" t="s">
        <v>13588</v>
      </c>
      <c r="D421" s="4">
        <v>530</v>
      </c>
      <c r="E421" s="5" t="s">
        <v>32</v>
      </c>
      <c r="F421" s="5" t="s">
        <v>6692</v>
      </c>
      <c r="G421" s="6" t="s">
        <v>14</v>
      </c>
      <c r="H421" s="4">
        <v>319</v>
      </c>
      <c r="I421" s="5" t="s">
        <v>22</v>
      </c>
      <c r="J421" s="5" t="s">
        <v>6693</v>
      </c>
      <c r="K421" s="5" t="s">
        <v>6694</v>
      </c>
      <c r="L421" s="5"/>
      <c r="M421" s="5" t="s">
        <v>1415</v>
      </c>
      <c r="N421" s="5" t="s">
        <v>1415</v>
      </c>
      <c r="O421" s="5" t="s">
        <v>6695</v>
      </c>
      <c r="P421" s="5"/>
      <c r="Q421" s="5" t="s">
        <v>6696</v>
      </c>
    </row>
    <row r="422" spans="2:17" x14ac:dyDescent="0.2">
      <c r="B422" s="5" t="s">
        <v>6686</v>
      </c>
      <c r="C422" s="6" t="s">
        <v>13588</v>
      </c>
      <c r="D422" s="4">
        <v>531</v>
      </c>
      <c r="E422" s="5" t="s">
        <v>32</v>
      </c>
      <c r="F422" s="5" t="s">
        <v>6692</v>
      </c>
      <c r="G422" s="6" t="s">
        <v>14</v>
      </c>
      <c r="H422" s="4">
        <v>320</v>
      </c>
      <c r="I422" s="5" t="s">
        <v>22</v>
      </c>
      <c r="J422" s="5" t="s">
        <v>6704</v>
      </c>
      <c r="K422" s="5" t="s">
        <v>6705</v>
      </c>
      <c r="L422" s="5"/>
      <c r="M422" s="5" t="s">
        <v>148</v>
      </c>
      <c r="N422" s="5" t="s">
        <v>1415</v>
      </c>
      <c r="O422" s="5" t="s">
        <v>6706</v>
      </c>
      <c r="P422" s="5"/>
      <c r="Q422" s="5" t="s">
        <v>6707</v>
      </c>
    </row>
    <row r="423" spans="2:17" x14ac:dyDescent="0.2">
      <c r="B423" s="5" t="s">
        <v>6686</v>
      </c>
      <c r="C423" s="6" t="s">
        <v>13588</v>
      </c>
      <c r="D423" s="4">
        <v>532</v>
      </c>
      <c r="E423" s="5" t="s">
        <v>32</v>
      </c>
      <c r="F423" s="5" t="s">
        <v>6692</v>
      </c>
      <c r="G423" s="6" t="s">
        <v>14</v>
      </c>
      <c r="H423" s="4">
        <v>321</v>
      </c>
      <c r="I423" s="5" t="s">
        <v>22</v>
      </c>
      <c r="J423" s="5" t="s">
        <v>6708</v>
      </c>
      <c r="K423" s="5" t="s">
        <v>6705</v>
      </c>
      <c r="L423" s="5"/>
      <c r="M423" s="5" t="s">
        <v>148</v>
      </c>
      <c r="N423" s="5" t="s">
        <v>1415</v>
      </c>
      <c r="O423" s="5" t="s">
        <v>6709</v>
      </c>
      <c r="P423" s="5"/>
      <c r="Q423" s="5" t="s">
        <v>6710</v>
      </c>
    </row>
    <row r="424" spans="2:17" x14ac:dyDescent="0.2">
      <c r="B424" s="5" t="s">
        <v>6686</v>
      </c>
      <c r="C424" s="6" t="s">
        <v>13588</v>
      </c>
      <c r="D424" s="4">
        <v>533</v>
      </c>
      <c r="E424" s="5" t="s">
        <v>32</v>
      </c>
      <c r="F424" s="5" t="s">
        <v>6687</v>
      </c>
      <c r="G424" s="6" t="s">
        <v>14</v>
      </c>
      <c r="H424" s="4">
        <v>322</v>
      </c>
      <c r="I424" s="5" t="s">
        <v>22</v>
      </c>
      <c r="J424" s="5" t="s">
        <v>6688</v>
      </c>
      <c r="K424" s="5" t="s">
        <v>6689</v>
      </c>
      <c r="L424" s="5"/>
      <c r="M424" s="5" t="s">
        <v>1377</v>
      </c>
      <c r="N424" s="5" t="s">
        <v>1365</v>
      </c>
      <c r="O424" s="5" t="s">
        <v>6690</v>
      </c>
      <c r="P424" s="5"/>
      <c r="Q424" s="5" t="s">
        <v>6691</v>
      </c>
    </row>
    <row r="425" spans="2:17" x14ac:dyDescent="0.2">
      <c r="B425" s="5" t="s">
        <v>6806</v>
      </c>
      <c r="C425" s="6" t="s">
        <v>13588</v>
      </c>
      <c r="D425" s="4">
        <v>546</v>
      </c>
      <c r="E425" s="5" t="s">
        <v>24</v>
      </c>
      <c r="F425" s="5" t="s">
        <v>6851</v>
      </c>
      <c r="G425" s="6" t="s">
        <v>14</v>
      </c>
      <c r="H425" s="4">
        <v>323</v>
      </c>
      <c r="I425" s="5"/>
      <c r="J425" s="5" t="s">
        <v>6852</v>
      </c>
      <c r="K425" s="5" t="s">
        <v>6853</v>
      </c>
      <c r="L425" s="5"/>
      <c r="M425" s="5" t="s">
        <v>938</v>
      </c>
      <c r="N425" s="5" t="s">
        <v>461</v>
      </c>
      <c r="O425" s="5" t="s">
        <v>6811</v>
      </c>
      <c r="P425" s="5"/>
      <c r="Q425" s="5" t="s">
        <v>6854</v>
      </c>
    </row>
    <row r="426" spans="2:17" x14ac:dyDescent="0.2">
      <c r="B426" s="5" t="s">
        <v>6806</v>
      </c>
      <c r="C426" s="6" t="s">
        <v>13588</v>
      </c>
      <c r="D426" s="4">
        <v>547</v>
      </c>
      <c r="E426" s="5" t="s">
        <v>32</v>
      </c>
      <c r="F426" s="5" t="s">
        <v>6842</v>
      </c>
      <c r="G426" s="6" t="s">
        <v>14</v>
      </c>
      <c r="H426" s="4">
        <v>324</v>
      </c>
      <c r="I426" s="5" t="s">
        <v>22</v>
      </c>
      <c r="J426" s="5" t="s">
        <v>6843</v>
      </c>
      <c r="K426" s="5"/>
      <c r="L426" s="5" t="s">
        <v>6840</v>
      </c>
      <c r="M426" s="5" t="s">
        <v>1436</v>
      </c>
      <c r="N426" s="5" t="s">
        <v>1437</v>
      </c>
      <c r="O426" s="5" t="s">
        <v>6811</v>
      </c>
      <c r="P426" s="5"/>
      <c r="Q426" s="5" t="s">
        <v>6844</v>
      </c>
    </row>
    <row r="427" spans="2:17" x14ac:dyDescent="0.2">
      <c r="B427" s="5" t="s">
        <v>6806</v>
      </c>
      <c r="C427" s="6" t="s">
        <v>13588</v>
      </c>
      <c r="D427" s="4">
        <v>548</v>
      </c>
      <c r="E427" s="5" t="s">
        <v>32</v>
      </c>
      <c r="F427" s="5" t="s">
        <v>6842</v>
      </c>
      <c r="G427" s="6" t="s">
        <v>14</v>
      </c>
      <c r="H427" s="4">
        <v>325</v>
      </c>
      <c r="I427" s="5" t="s">
        <v>38</v>
      </c>
      <c r="J427" s="5" t="s">
        <v>6845</v>
      </c>
      <c r="K427" s="5" t="s">
        <v>6817</v>
      </c>
      <c r="L427" s="5"/>
      <c r="M427" s="5" t="s">
        <v>1436</v>
      </c>
      <c r="N427" s="5" t="s">
        <v>1437</v>
      </c>
      <c r="O427" s="5" t="s">
        <v>6811</v>
      </c>
      <c r="P427" s="5"/>
      <c r="Q427" s="5" t="s">
        <v>6846</v>
      </c>
    </row>
    <row r="428" spans="2:17" x14ac:dyDescent="0.2">
      <c r="B428" s="5" t="s">
        <v>6806</v>
      </c>
      <c r="C428" s="6" t="s">
        <v>13588</v>
      </c>
      <c r="D428" s="4">
        <v>549</v>
      </c>
      <c r="E428" s="5" t="s">
        <v>32</v>
      </c>
      <c r="F428" s="5" t="s">
        <v>6842</v>
      </c>
      <c r="G428" s="6" t="s">
        <v>14</v>
      </c>
      <c r="H428" s="4">
        <v>326</v>
      </c>
      <c r="I428" s="5" t="s">
        <v>38</v>
      </c>
      <c r="J428" s="5" t="s">
        <v>6847</v>
      </c>
      <c r="K428" s="5" t="s">
        <v>6810</v>
      </c>
      <c r="L428" s="5"/>
      <c r="M428" s="5" t="s">
        <v>1436</v>
      </c>
      <c r="N428" s="5" t="s">
        <v>1437</v>
      </c>
      <c r="O428" s="5" t="s">
        <v>6811</v>
      </c>
      <c r="P428" s="5"/>
      <c r="Q428" s="5" t="s">
        <v>6848</v>
      </c>
    </row>
    <row r="429" spans="2:17" x14ac:dyDescent="0.2">
      <c r="B429" s="5" t="s">
        <v>6806</v>
      </c>
      <c r="C429" s="6" t="s">
        <v>13588</v>
      </c>
      <c r="D429" s="4">
        <v>550</v>
      </c>
      <c r="E429" s="5" t="s">
        <v>32</v>
      </c>
      <c r="F429" s="5" t="s">
        <v>6842</v>
      </c>
      <c r="G429" s="6" t="s">
        <v>14</v>
      </c>
      <c r="H429" s="4">
        <v>327</v>
      </c>
      <c r="I429" s="5" t="s">
        <v>38</v>
      </c>
      <c r="J429" s="5" t="s">
        <v>6849</v>
      </c>
      <c r="K429" s="5" t="s">
        <v>6820</v>
      </c>
      <c r="L429" s="5"/>
      <c r="M429" s="5" t="s">
        <v>1436</v>
      </c>
      <c r="N429" s="5" t="s">
        <v>1437</v>
      </c>
      <c r="O429" s="5" t="s">
        <v>6811</v>
      </c>
      <c r="P429" s="5"/>
      <c r="Q429" s="5" t="s">
        <v>6850</v>
      </c>
    </row>
    <row r="430" spans="2:17" x14ac:dyDescent="0.2">
      <c r="B430" s="5" t="s">
        <v>6806</v>
      </c>
      <c r="C430" s="6" t="s">
        <v>13588</v>
      </c>
      <c r="D430" s="4">
        <v>551</v>
      </c>
      <c r="E430" s="5" t="s">
        <v>32</v>
      </c>
      <c r="F430" s="5" t="s">
        <v>6827</v>
      </c>
      <c r="G430" s="6" t="s">
        <v>14</v>
      </c>
      <c r="H430" s="4">
        <v>328</v>
      </c>
      <c r="I430" s="5" t="s">
        <v>38</v>
      </c>
      <c r="J430" s="5" t="s">
        <v>6828</v>
      </c>
      <c r="K430" s="5" t="s">
        <v>6829</v>
      </c>
      <c r="L430" s="5"/>
      <c r="M430" s="5" t="s">
        <v>1802</v>
      </c>
      <c r="N430" s="5" t="s">
        <v>337</v>
      </c>
      <c r="O430" s="5" t="s">
        <v>6811</v>
      </c>
      <c r="P430" s="5"/>
      <c r="Q430" s="5" t="s">
        <v>6830</v>
      </c>
    </row>
    <row r="431" spans="2:17" x14ac:dyDescent="0.2">
      <c r="B431" s="5" t="s">
        <v>6806</v>
      </c>
      <c r="C431" s="6" t="s">
        <v>13588</v>
      </c>
      <c r="D431" s="4">
        <v>552</v>
      </c>
      <c r="E431" s="5" t="s">
        <v>32</v>
      </c>
      <c r="F431" s="5" t="s">
        <v>6827</v>
      </c>
      <c r="G431" s="6" t="s">
        <v>14</v>
      </c>
      <c r="H431" s="4">
        <v>329</v>
      </c>
      <c r="I431" s="5" t="s">
        <v>38</v>
      </c>
      <c r="J431" s="5" t="s">
        <v>6831</v>
      </c>
      <c r="K431" s="5"/>
      <c r="L431" s="5" t="s">
        <v>6832</v>
      </c>
      <c r="M431" s="5" t="s">
        <v>1802</v>
      </c>
      <c r="N431" s="5" t="s">
        <v>337</v>
      </c>
      <c r="O431" s="5" t="s">
        <v>6811</v>
      </c>
      <c r="P431" s="5"/>
      <c r="Q431" s="5" t="s">
        <v>6833</v>
      </c>
    </row>
    <row r="432" spans="2:17" x14ac:dyDescent="0.2">
      <c r="B432" s="5" t="s">
        <v>6806</v>
      </c>
      <c r="C432" s="6" t="s">
        <v>13588</v>
      </c>
      <c r="D432" s="4">
        <v>553</v>
      </c>
      <c r="E432" s="5" t="s">
        <v>32</v>
      </c>
      <c r="F432" s="5" t="s">
        <v>6827</v>
      </c>
      <c r="G432" s="6" t="s">
        <v>14</v>
      </c>
      <c r="H432" s="4">
        <v>330</v>
      </c>
      <c r="I432" s="5" t="s">
        <v>38</v>
      </c>
      <c r="J432" s="5" t="s">
        <v>6834</v>
      </c>
      <c r="K432" s="5"/>
      <c r="L432" s="5" t="s">
        <v>6825</v>
      </c>
      <c r="M432" s="5" t="s">
        <v>1802</v>
      </c>
      <c r="N432" s="5" t="s">
        <v>337</v>
      </c>
      <c r="O432" s="5" t="s">
        <v>6811</v>
      </c>
      <c r="P432" s="5"/>
      <c r="Q432" s="5" t="s">
        <v>6835</v>
      </c>
    </row>
    <row r="433" spans="2:17" x14ac:dyDescent="0.2">
      <c r="B433" s="5" t="s">
        <v>6806</v>
      </c>
      <c r="C433" s="6" t="s">
        <v>13588</v>
      </c>
      <c r="D433" s="4">
        <v>554</v>
      </c>
      <c r="E433" s="5" t="s">
        <v>32</v>
      </c>
      <c r="F433" s="5" t="s">
        <v>6827</v>
      </c>
      <c r="G433" s="6" t="s">
        <v>14</v>
      </c>
      <c r="H433" s="4">
        <v>331</v>
      </c>
      <c r="I433" s="5" t="s">
        <v>38</v>
      </c>
      <c r="J433" s="5" t="s">
        <v>6836</v>
      </c>
      <c r="K433" s="5" t="s">
        <v>6837</v>
      </c>
      <c r="L433" s="5"/>
      <c r="M433" s="5" t="s">
        <v>1802</v>
      </c>
      <c r="N433" s="5" t="s">
        <v>337</v>
      </c>
      <c r="O433" s="5" t="s">
        <v>6807</v>
      </c>
      <c r="P433" s="5"/>
      <c r="Q433" s="5" t="s">
        <v>6838</v>
      </c>
    </row>
    <row r="434" spans="2:17" x14ac:dyDescent="0.2">
      <c r="B434" s="5" t="s">
        <v>6806</v>
      </c>
      <c r="C434" s="6" t="s">
        <v>13588</v>
      </c>
      <c r="D434" s="4">
        <v>555</v>
      </c>
      <c r="E434" s="5" t="s">
        <v>32</v>
      </c>
      <c r="F434" s="5" t="s">
        <v>6827</v>
      </c>
      <c r="G434" s="6" t="s">
        <v>14</v>
      </c>
      <c r="H434" s="4">
        <v>332</v>
      </c>
      <c r="I434" s="5" t="s">
        <v>22</v>
      </c>
      <c r="J434" s="5" t="s">
        <v>6839</v>
      </c>
      <c r="K434" s="5"/>
      <c r="L434" s="5" t="s">
        <v>6840</v>
      </c>
      <c r="M434" s="5" t="s">
        <v>1802</v>
      </c>
      <c r="N434" s="5" t="s">
        <v>337</v>
      </c>
      <c r="O434" s="5" t="s">
        <v>6811</v>
      </c>
      <c r="P434" s="5"/>
      <c r="Q434" s="5" t="s">
        <v>6841</v>
      </c>
    </row>
    <row r="435" spans="2:17" x14ac:dyDescent="0.2">
      <c r="B435" s="5" t="s">
        <v>6806</v>
      </c>
      <c r="C435" s="6" t="s">
        <v>13588</v>
      </c>
      <c r="D435" s="4">
        <v>556</v>
      </c>
      <c r="E435" s="5" t="s">
        <v>32</v>
      </c>
      <c r="F435" s="5" t="s">
        <v>6822</v>
      </c>
      <c r="G435" s="6" t="s">
        <v>14</v>
      </c>
      <c r="H435" s="4">
        <v>333</v>
      </c>
      <c r="I435" s="5" t="s">
        <v>38</v>
      </c>
      <c r="J435" s="5" t="s">
        <v>6823</v>
      </c>
      <c r="K435" s="5" t="s">
        <v>6824</v>
      </c>
      <c r="L435" s="5" t="s">
        <v>6825</v>
      </c>
      <c r="M435" s="5" t="s">
        <v>1236</v>
      </c>
      <c r="N435" s="5" t="s">
        <v>1222</v>
      </c>
      <c r="O435" s="5" t="s">
        <v>6807</v>
      </c>
      <c r="P435" s="5"/>
      <c r="Q435" s="5" t="s">
        <v>6826</v>
      </c>
    </row>
    <row r="436" spans="2:17" x14ac:dyDescent="0.2">
      <c r="B436" s="5" t="s">
        <v>6806</v>
      </c>
      <c r="C436" s="6" t="s">
        <v>13588</v>
      </c>
      <c r="D436" s="4">
        <v>557</v>
      </c>
      <c r="E436" s="5" t="s">
        <v>32</v>
      </c>
      <c r="F436" s="5" t="s">
        <v>6808</v>
      </c>
      <c r="G436" s="6" t="s">
        <v>14</v>
      </c>
      <c r="H436" s="4">
        <v>334</v>
      </c>
      <c r="I436" s="5" t="s">
        <v>38</v>
      </c>
      <c r="J436" s="5" t="s">
        <v>6809</v>
      </c>
      <c r="K436" s="5" t="s">
        <v>6810</v>
      </c>
      <c r="L436" s="5"/>
      <c r="M436" s="5" t="s">
        <v>1723</v>
      </c>
      <c r="N436" s="5" t="s">
        <v>1723</v>
      </c>
      <c r="O436" s="5" t="s">
        <v>6811</v>
      </c>
      <c r="P436" s="5"/>
      <c r="Q436" s="5" t="s">
        <v>6812</v>
      </c>
    </row>
    <row r="437" spans="2:17" x14ac:dyDescent="0.2">
      <c r="B437" s="5" t="s">
        <v>6806</v>
      </c>
      <c r="C437" s="6" t="s">
        <v>13588</v>
      </c>
      <c r="D437" s="4">
        <v>558</v>
      </c>
      <c r="E437" s="5" t="s">
        <v>32</v>
      </c>
      <c r="F437" s="5" t="s">
        <v>6808</v>
      </c>
      <c r="G437" s="6" t="s">
        <v>14</v>
      </c>
      <c r="H437" s="4">
        <v>335</v>
      </c>
      <c r="I437" s="5" t="s">
        <v>38</v>
      </c>
      <c r="J437" s="5" t="s">
        <v>6813</v>
      </c>
      <c r="K437" s="5" t="s">
        <v>6814</v>
      </c>
      <c r="L437" s="5"/>
      <c r="M437" s="5" t="s">
        <v>1723</v>
      </c>
      <c r="N437" s="5" t="s">
        <v>1723</v>
      </c>
      <c r="O437" s="5" t="s">
        <v>6811</v>
      </c>
      <c r="P437" s="5"/>
      <c r="Q437" s="5" t="s">
        <v>6815</v>
      </c>
    </row>
    <row r="438" spans="2:17" x14ac:dyDescent="0.2">
      <c r="B438" s="5" t="s">
        <v>6806</v>
      </c>
      <c r="C438" s="6" t="s">
        <v>13588</v>
      </c>
      <c r="D438" s="4">
        <v>559</v>
      </c>
      <c r="E438" s="5" t="s">
        <v>32</v>
      </c>
      <c r="F438" s="5" t="s">
        <v>6808</v>
      </c>
      <c r="G438" s="6" t="s">
        <v>14</v>
      </c>
      <c r="H438" s="4">
        <v>336</v>
      </c>
      <c r="I438" s="5" t="s">
        <v>38</v>
      </c>
      <c r="J438" s="5" t="s">
        <v>6816</v>
      </c>
      <c r="K438" s="5" t="s">
        <v>6817</v>
      </c>
      <c r="L438" s="5"/>
      <c r="M438" s="5" t="s">
        <v>1723</v>
      </c>
      <c r="N438" s="5" t="s">
        <v>1723</v>
      </c>
      <c r="O438" s="5" t="s">
        <v>6811</v>
      </c>
      <c r="P438" s="5"/>
      <c r="Q438" s="5" t="s">
        <v>6818</v>
      </c>
    </row>
    <row r="439" spans="2:17" x14ac:dyDescent="0.2">
      <c r="B439" s="5" t="s">
        <v>6806</v>
      </c>
      <c r="C439" s="6" t="s">
        <v>13588</v>
      </c>
      <c r="D439" s="4">
        <v>560</v>
      </c>
      <c r="E439" s="5" t="s">
        <v>32</v>
      </c>
      <c r="F439" s="5" t="s">
        <v>6808</v>
      </c>
      <c r="G439" s="6" t="s">
        <v>14</v>
      </c>
      <c r="H439" s="4">
        <v>337</v>
      </c>
      <c r="I439" s="5" t="s">
        <v>38</v>
      </c>
      <c r="J439" s="5" t="s">
        <v>6819</v>
      </c>
      <c r="K439" s="5" t="s">
        <v>6820</v>
      </c>
      <c r="L439" s="5"/>
      <c r="M439" s="5" t="s">
        <v>1723</v>
      </c>
      <c r="N439" s="5" t="s">
        <v>1723</v>
      </c>
      <c r="O439" s="5" t="s">
        <v>6811</v>
      </c>
      <c r="P439" s="5"/>
      <c r="Q439" s="5" t="s">
        <v>6821</v>
      </c>
    </row>
    <row r="440" spans="2:17" x14ac:dyDescent="0.2">
      <c r="B440" s="5" t="s">
        <v>6894</v>
      </c>
      <c r="C440" s="6" t="s">
        <v>13588</v>
      </c>
      <c r="D440" s="4">
        <v>571</v>
      </c>
      <c r="E440" s="5" t="s">
        <v>32</v>
      </c>
      <c r="F440" s="5" t="s">
        <v>6914</v>
      </c>
      <c r="G440" s="6" t="s">
        <v>14</v>
      </c>
      <c r="H440" s="4">
        <v>338</v>
      </c>
      <c r="I440" s="5" t="s">
        <v>22</v>
      </c>
      <c r="J440" s="5" t="s">
        <v>6915</v>
      </c>
      <c r="K440" s="5" t="s">
        <v>6916</v>
      </c>
      <c r="L440" s="5"/>
      <c r="M440" s="5" t="s">
        <v>3362</v>
      </c>
      <c r="N440" s="5" t="s">
        <v>3355</v>
      </c>
      <c r="O440" s="5" t="s">
        <v>6895</v>
      </c>
      <c r="P440" s="5"/>
      <c r="Q440" s="5" t="s">
        <v>6917</v>
      </c>
    </row>
    <row r="441" spans="2:17" x14ac:dyDescent="0.2">
      <c r="B441" s="5" t="s">
        <v>6894</v>
      </c>
      <c r="C441" s="6" t="s">
        <v>13588</v>
      </c>
      <c r="D441" s="4">
        <v>573</v>
      </c>
      <c r="E441" s="5" t="s">
        <v>13</v>
      </c>
      <c r="F441" s="5" t="s">
        <v>6907</v>
      </c>
      <c r="G441" s="6" t="s">
        <v>14</v>
      </c>
      <c r="H441" s="4">
        <v>339</v>
      </c>
      <c r="I441" s="5"/>
      <c r="J441" s="5" t="s">
        <v>6908</v>
      </c>
      <c r="K441" s="5" t="s">
        <v>6909</v>
      </c>
      <c r="L441" s="5"/>
      <c r="M441" s="5" t="s">
        <v>1437</v>
      </c>
      <c r="N441" s="5" t="s">
        <v>1437</v>
      </c>
      <c r="O441" s="5" t="s">
        <v>6895</v>
      </c>
      <c r="P441" s="5"/>
      <c r="Q441" s="5" t="s">
        <v>6910</v>
      </c>
    </row>
    <row r="442" spans="2:17" x14ac:dyDescent="0.2">
      <c r="B442" s="5" t="s">
        <v>6894</v>
      </c>
      <c r="C442" s="6" t="s">
        <v>13588</v>
      </c>
      <c r="D442" s="4">
        <v>574</v>
      </c>
      <c r="E442" s="5" t="s">
        <v>35</v>
      </c>
      <c r="F442" s="5" t="s">
        <v>6904</v>
      </c>
      <c r="G442" s="6" t="s">
        <v>14</v>
      </c>
      <c r="H442" s="4">
        <v>340</v>
      </c>
      <c r="I442" s="5"/>
      <c r="J442" s="5" t="s">
        <v>6905</v>
      </c>
      <c r="K442" s="5" t="s">
        <v>6902</v>
      </c>
      <c r="L442" s="5"/>
      <c r="M442" s="5" t="s">
        <v>1377</v>
      </c>
      <c r="N442" s="5" t="s">
        <v>1365</v>
      </c>
      <c r="O442" s="5" t="s">
        <v>6895</v>
      </c>
      <c r="P442" s="5"/>
      <c r="Q442" s="5" t="s">
        <v>6906</v>
      </c>
    </row>
    <row r="443" spans="2:17" x14ac:dyDescent="0.2">
      <c r="B443" s="5" t="s">
        <v>6894</v>
      </c>
      <c r="C443" s="6" t="s">
        <v>13588</v>
      </c>
      <c r="D443" s="4">
        <v>575</v>
      </c>
      <c r="E443" s="5" t="s">
        <v>35</v>
      </c>
      <c r="F443" s="5" t="s">
        <v>6901</v>
      </c>
      <c r="G443" s="6" t="s">
        <v>14</v>
      </c>
      <c r="H443" s="4">
        <v>341</v>
      </c>
      <c r="I443" s="5"/>
      <c r="J443" s="5"/>
      <c r="K443" s="5" t="s">
        <v>6902</v>
      </c>
      <c r="L443" s="5"/>
      <c r="M443" s="5" t="s">
        <v>301</v>
      </c>
      <c r="N443" s="5" t="s">
        <v>301</v>
      </c>
      <c r="O443" s="5" t="s">
        <v>6895</v>
      </c>
      <c r="P443" s="5"/>
      <c r="Q443" s="5" t="s">
        <v>6903</v>
      </c>
    </row>
    <row r="444" spans="2:17" x14ac:dyDescent="0.2">
      <c r="B444" s="5" t="s">
        <v>6894</v>
      </c>
      <c r="C444" s="6" t="s">
        <v>13588</v>
      </c>
      <c r="D444" s="4">
        <v>576</v>
      </c>
      <c r="E444" s="5" t="s">
        <v>35</v>
      </c>
      <c r="F444" s="5" t="s">
        <v>6897</v>
      </c>
      <c r="G444" s="6" t="s">
        <v>14</v>
      </c>
      <c r="H444" s="4">
        <v>342</v>
      </c>
      <c r="I444" s="5"/>
      <c r="J444" s="5" t="s">
        <v>6898</v>
      </c>
      <c r="K444" s="5" t="s">
        <v>6899</v>
      </c>
      <c r="L444" s="5"/>
      <c r="M444" s="5" t="s">
        <v>283</v>
      </c>
      <c r="N444" s="5" t="s">
        <v>283</v>
      </c>
      <c r="O444" s="5" t="s">
        <v>6895</v>
      </c>
      <c r="P444" s="5"/>
      <c r="Q444" s="5" t="s">
        <v>6900</v>
      </c>
    </row>
    <row r="445" spans="2:17" x14ac:dyDescent="0.2">
      <c r="B445" s="5" t="s">
        <v>6894</v>
      </c>
      <c r="C445" s="6" t="s">
        <v>13588</v>
      </c>
      <c r="D445" s="4">
        <v>577</v>
      </c>
      <c r="E445" s="5" t="s">
        <v>35</v>
      </c>
      <c r="F445" s="5" t="s">
        <v>6308</v>
      </c>
      <c r="G445" s="6" t="s">
        <v>14</v>
      </c>
      <c r="H445" s="4">
        <v>343</v>
      </c>
      <c r="I445" s="5"/>
      <c r="J445" s="5" t="s">
        <v>6928</v>
      </c>
      <c r="K445" s="5" t="s">
        <v>6926</v>
      </c>
      <c r="L445" s="5"/>
      <c r="M445" s="5" t="s">
        <v>260</v>
      </c>
      <c r="N445" s="5" t="s">
        <v>1150</v>
      </c>
      <c r="O445" s="5" t="s">
        <v>6895</v>
      </c>
      <c r="P445" s="5"/>
      <c r="Q445" s="5" t="s">
        <v>6929</v>
      </c>
    </row>
    <row r="446" spans="2:17" x14ac:dyDescent="0.2">
      <c r="B446" s="5" t="s">
        <v>6894</v>
      </c>
      <c r="C446" s="6" t="s">
        <v>13588</v>
      </c>
      <c r="D446" s="4">
        <v>578</v>
      </c>
      <c r="E446" s="5" t="s">
        <v>35</v>
      </c>
      <c r="F446" s="5" t="s">
        <v>6308</v>
      </c>
      <c r="G446" s="6" t="s">
        <v>14</v>
      </c>
      <c r="H446" s="4">
        <v>344</v>
      </c>
      <c r="I446" s="5"/>
      <c r="J446" s="5" t="s">
        <v>6925</v>
      </c>
      <c r="K446" s="5" t="s">
        <v>6926</v>
      </c>
      <c r="L446" s="5"/>
      <c r="M446" s="5" t="s">
        <v>261</v>
      </c>
      <c r="N446" s="5" t="s">
        <v>1150</v>
      </c>
      <c r="O446" s="5" t="s">
        <v>6895</v>
      </c>
      <c r="P446" s="5"/>
      <c r="Q446" s="5" t="s">
        <v>6927</v>
      </c>
    </row>
    <row r="447" spans="2:17" x14ac:dyDescent="0.2">
      <c r="B447" s="5" t="s">
        <v>6894</v>
      </c>
      <c r="C447" s="6" t="s">
        <v>13588</v>
      </c>
      <c r="D447" s="4">
        <v>579</v>
      </c>
      <c r="E447" s="5" t="s">
        <v>35</v>
      </c>
      <c r="F447" s="5" t="s">
        <v>6918</v>
      </c>
      <c r="G447" s="6" t="s">
        <v>14</v>
      </c>
      <c r="H447" s="4">
        <v>345</v>
      </c>
      <c r="I447" s="5"/>
      <c r="J447" s="5"/>
      <c r="K447" s="5" t="s">
        <v>6919</v>
      </c>
      <c r="L447" s="5"/>
      <c r="M447" s="5" t="s">
        <v>490</v>
      </c>
      <c r="N447" s="5" t="s">
        <v>490</v>
      </c>
      <c r="O447" s="5" t="s">
        <v>6920</v>
      </c>
      <c r="P447" s="5"/>
      <c r="Q447" s="5" t="s">
        <v>6921</v>
      </c>
    </row>
    <row r="448" spans="2:17" x14ac:dyDescent="0.2">
      <c r="B448" s="5" t="s">
        <v>6930</v>
      </c>
      <c r="C448" s="6" t="s">
        <v>13588</v>
      </c>
      <c r="D448" s="4">
        <v>581</v>
      </c>
      <c r="E448" s="5" t="s">
        <v>32</v>
      </c>
      <c r="F448" s="5" t="s">
        <v>6963</v>
      </c>
      <c r="G448" s="6" t="s">
        <v>14</v>
      </c>
      <c r="H448" s="4">
        <v>346</v>
      </c>
      <c r="I448" s="5" t="s">
        <v>22</v>
      </c>
      <c r="J448" s="5" t="s">
        <v>6969</v>
      </c>
      <c r="K448" s="5" t="s">
        <v>6970</v>
      </c>
      <c r="L448" s="5"/>
      <c r="M448" s="5" t="s">
        <v>3362</v>
      </c>
      <c r="N448" s="5" t="s">
        <v>3355</v>
      </c>
      <c r="O448" s="5" t="s">
        <v>6948</v>
      </c>
      <c r="P448" s="5"/>
      <c r="Q448" s="5" t="s">
        <v>1486</v>
      </c>
    </row>
    <row r="449" spans="2:17" x14ac:dyDescent="0.2">
      <c r="B449" s="5" t="s">
        <v>6930</v>
      </c>
      <c r="C449" s="6" t="s">
        <v>13588</v>
      </c>
      <c r="D449" s="4">
        <v>582</v>
      </c>
      <c r="E449" s="5" t="s">
        <v>32</v>
      </c>
      <c r="F449" s="5" t="s">
        <v>6963</v>
      </c>
      <c r="G449" s="6" t="s">
        <v>14</v>
      </c>
      <c r="H449" s="4">
        <v>347</v>
      </c>
      <c r="I449" s="5" t="s">
        <v>22</v>
      </c>
      <c r="J449" s="5" t="s">
        <v>6971</v>
      </c>
      <c r="K449" s="5" t="s">
        <v>6972</v>
      </c>
      <c r="L449" s="5"/>
      <c r="M449" s="5" t="s">
        <v>3362</v>
      </c>
      <c r="N449" s="5" t="s">
        <v>3355</v>
      </c>
      <c r="O449" s="5" t="s">
        <v>6934</v>
      </c>
      <c r="P449" s="5"/>
      <c r="Q449" s="5" t="s">
        <v>1489</v>
      </c>
    </row>
    <row r="450" spans="2:17" x14ac:dyDescent="0.2">
      <c r="B450" s="5" t="s">
        <v>6930</v>
      </c>
      <c r="C450" s="6" t="s">
        <v>13588</v>
      </c>
      <c r="D450" s="4">
        <v>583</v>
      </c>
      <c r="E450" s="5" t="s">
        <v>32</v>
      </c>
      <c r="F450" s="5" t="s">
        <v>6963</v>
      </c>
      <c r="G450" s="6" t="s">
        <v>14</v>
      </c>
      <c r="H450" s="4">
        <v>348</v>
      </c>
      <c r="I450" s="5" t="s">
        <v>22</v>
      </c>
      <c r="J450" s="5" t="s">
        <v>6973</v>
      </c>
      <c r="K450" s="5" t="s">
        <v>6972</v>
      </c>
      <c r="L450" s="5"/>
      <c r="M450" s="5" t="s">
        <v>3362</v>
      </c>
      <c r="N450" s="5" t="s">
        <v>3355</v>
      </c>
      <c r="O450" s="5" t="s">
        <v>6934</v>
      </c>
      <c r="P450" s="5"/>
      <c r="Q450" s="5" t="s">
        <v>6974</v>
      </c>
    </row>
    <row r="451" spans="2:17" x14ac:dyDescent="0.2">
      <c r="B451" s="5" t="s">
        <v>6930</v>
      </c>
      <c r="C451" s="6" t="s">
        <v>13588</v>
      </c>
      <c r="D451" s="4">
        <v>584</v>
      </c>
      <c r="E451" s="5" t="s">
        <v>32</v>
      </c>
      <c r="F451" s="5" t="s">
        <v>6963</v>
      </c>
      <c r="G451" s="6" t="s">
        <v>14</v>
      </c>
      <c r="H451" s="4">
        <v>349</v>
      </c>
      <c r="I451" s="5" t="s">
        <v>22</v>
      </c>
      <c r="J451" s="5" t="s">
        <v>6975</v>
      </c>
      <c r="K451" s="5" t="s">
        <v>6976</v>
      </c>
      <c r="L451" s="5"/>
      <c r="M451" s="5" t="s">
        <v>3362</v>
      </c>
      <c r="N451" s="5" t="s">
        <v>3355</v>
      </c>
      <c r="O451" s="5" t="s">
        <v>6934</v>
      </c>
      <c r="P451" s="5"/>
      <c r="Q451" s="5" t="s">
        <v>6977</v>
      </c>
    </row>
    <row r="452" spans="2:17" x14ac:dyDescent="0.2">
      <c r="B452" s="5" t="s">
        <v>6930</v>
      </c>
      <c r="C452" s="6" t="s">
        <v>13588</v>
      </c>
      <c r="D452" s="4">
        <v>585</v>
      </c>
      <c r="E452" s="5" t="s">
        <v>32</v>
      </c>
      <c r="F452" s="5" t="s">
        <v>6963</v>
      </c>
      <c r="G452" s="6" t="s">
        <v>14</v>
      </c>
      <c r="H452" s="4">
        <v>350</v>
      </c>
      <c r="I452" s="5" t="s">
        <v>22</v>
      </c>
      <c r="J452" s="5" t="s">
        <v>6978</v>
      </c>
      <c r="K452" s="5" t="s">
        <v>6958</v>
      </c>
      <c r="L452" s="5"/>
      <c r="M452" s="5" t="s">
        <v>3362</v>
      </c>
      <c r="N452" s="5" t="s">
        <v>3355</v>
      </c>
      <c r="O452" s="5" t="s">
        <v>6934</v>
      </c>
      <c r="P452" s="5"/>
      <c r="Q452" s="5" t="s">
        <v>6979</v>
      </c>
    </row>
    <row r="453" spans="2:17" x14ac:dyDescent="0.2">
      <c r="B453" s="5" t="s">
        <v>6930</v>
      </c>
      <c r="C453" s="6" t="s">
        <v>13588</v>
      </c>
      <c r="D453" s="4">
        <v>586</v>
      </c>
      <c r="E453" s="5" t="s">
        <v>32</v>
      </c>
      <c r="F453" s="5" t="s">
        <v>6963</v>
      </c>
      <c r="G453" s="6" t="s">
        <v>14</v>
      </c>
      <c r="H453" s="4">
        <v>351</v>
      </c>
      <c r="I453" s="5" t="s">
        <v>22</v>
      </c>
      <c r="J453" s="5" t="s">
        <v>6980</v>
      </c>
      <c r="K453" s="5" t="s">
        <v>6981</v>
      </c>
      <c r="L453" s="5"/>
      <c r="M453" s="5" t="s">
        <v>3362</v>
      </c>
      <c r="N453" s="5" t="s">
        <v>3355</v>
      </c>
      <c r="O453" s="5" t="s">
        <v>6934</v>
      </c>
      <c r="P453" s="5"/>
      <c r="Q453" s="5" t="s">
        <v>6982</v>
      </c>
    </row>
    <row r="454" spans="2:17" x14ac:dyDescent="0.2">
      <c r="B454" s="5" t="s">
        <v>6930</v>
      </c>
      <c r="C454" s="6" t="s">
        <v>13588</v>
      </c>
      <c r="D454" s="4">
        <v>587</v>
      </c>
      <c r="E454" s="5" t="s">
        <v>32</v>
      </c>
      <c r="F454" s="5" t="s">
        <v>6963</v>
      </c>
      <c r="G454" s="6" t="s">
        <v>14</v>
      </c>
      <c r="H454" s="4">
        <v>352</v>
      </c>
      <c r="I454" s="5" t="s">
        <v>22</v>
      </c>
      <c r="J454" s="5" t="s">
        <v>6964</v>
      </c>
      <c r="K454" s="5" t="s">
        <v>6965</v>
      </c>
      <c r="L454" s="5"/>
      <c r="M454" s="5" t="s">
        <v>3362</v>
      </c>
      <c r="N454" s="5" t="s">
        <v>3355</v>
      </c>
      <c r="O454" s="5" t="s">
        <v>6934</v>
      </c>
      <c r="P454" s="5"/>
      <c r="Q454" s="5" t="s">
        <v>6966</v>
      </c>
    </row>
    <row r="455" spans="2:17" x14ac:dyDescent="0.2">
      <c r="B455" s="5" t="s">
        <v>6930</v>
      </c>
      <c r="C455" s="6" t="s">
        <v>13588</v>
      </c>
      <c r="D455" s="4">
        <v>588</v>
      </c>
      <c r="E455" s="5" t="s">
        <v>32</v>
      </c>
      <c r="F455" s="5" t="s">
        <v>6963</v>
      </c>
      <c r="G455" s="6" t="s">
        <v>14</v>
      </c>
      <c r="H455" s="4">
        <v>353</v>
      </c>
      <c r="I455" s="5" t="s">
        <v>22</v>
      </c>
      <c r="J455" s="5" t="s">
        <v>6967</v>
      </c>
      <c r="K455" s="5" t="s">
        <v>6965</v>
      </c>
      <c r="L455" s="5"/>
      <c r="M455" s="5" t="s">
        <v>3362</v>
      </c>
      <c r="N455" s="5" t="s">
        <v>3355</v>
      </c>
      <c r="O455" s="5" t="s">
        <v>6934</v>
      </c>
      <c r="P455" s="5"/>
      <c r="Q455" s="5" t="s">
        <v>6968</v>
      </c>
    </row>
    <row r="456" spans="2:17" x14ac:dyDescent="0.2">
      <c r="B456" s="5" t="s">
        <v>6930</v>
      </c>
      <c r="C456" s="6" t="s">
        <v>13588</v>
      </c>
      <c r="D456" s="4">
        <v>589</v>
      </c>
      <c r="E456" s="5" t="s">
        <v>32</v>
      </c>
      <c r="F456" s="5" t="s">
        <v>6960</v>
      </c>
      <c r="G456" s="6" t="s">
        <v>14</v>
      </c>
      <c r="H456" s="4">
        <v>354</v>
      </c>
      <c r="I456" s="5" t="s">
        <v>22</v>
      </c>
      <c r="J456" s="5" t="s">
        <v>6961</v>
      </c>
      <c r="K456" s="5" t="s">
        <v>6947</v>
      </c>
      <c r="L456" s="5"/>
      <c r="M456" s="5" t="s">
        <v>3317</v>
      </c>
      <c r="N456" s="5" t="s">
        <v>3317</v>
      </c>
      <c r="O456" s="5" t="s">
        <v>6948</v>
      </c>
      <c r="P456" s="5"/>
      <c r="Q456" s="5" t="s">
        <v>6962</v>
      </c>
    </row>
    <row r="457" spans="2:17" x14ac:dyDescent="0.2">
      <c r="B457" s="5" t="s">
        <v>6930</v>
      </c>
      <c r="C457" s="6" t="s">
        <v>13588</v>
      </c>
      <c r="D457" s="4">
        <v>593</v>
      </c>
      <c r="E457" s="5" t="s">
        <v>32</v>
      </c>
      <c r="F457" s="5" t="s">
        <v>6940</v>
      </c>
      <c r="G457" s="6" t="s">
        <v>14</v>
      </c>
      <c r="H457" s="4">
        <v>355</v>
      </c>
      <c r="I457" s="5" t="s">
        <v>22</v>
      </c>
      <c r="J457" s="5" t="s">
        <v>6941</v>
      </c>
      <c r="K457" s="5" t="s">
        <v>6933</v>
      </c>
      <c r="L457" s="5"/>
      <c r="M457" s="5" t="s">
        <v>296</v>
      </c>
      <c r="N457" s="5" t="s">
        <v>296</v>
      </c>
      <c r="O457" s="5" t="s">
        <v>6934</v>
      </c>
      <c r="P457" s="5"/>
      <c r="Q457" s="5" t="s">
        <v>6942</v>
      </c>
    </row>
    <row r="458" spans="2:17" x14ac:dyDescent="0.2">
      <c r="B458" s="5" t="s">
        <v>6930</v>
      </c>
      <c r="C458" s="6" t="s">
        <v>13588</v>
      </c>
      <c r="D458" s="4">
        <v>594</v>
      </c>
      <c r="E458" s="5" t="s">
        <v>32</v>
      </c>
      <c r="F458" s="5" t="s">
        <v>6940</v>
      </c>
      <c r="G458" s="6" t="s">
        <v>14</v>
      </c>
      <c r="H458" s="4">
        <v>356</v>
      </c>
      <c r="I458" s="5" t="s">
        <v>22</v>
      </c>
      <c r="J458" s="5" t="s">
        <v>6943</v>
      </c>
      <c r="K458" s="5" t="s">
        <v>6937</v>
      </c>
      <c r="L458" s="5"/>
      <c r="M458" s="5" t="s">
        <v>296</v>
      </c>
      <c r="N458" s="5" t="s">
        <v>296</v>
      </c>
      <c r="O458" s="5" t="s">
        <v>6938</v>
      </c>
      <c r="P458" s="5"/>
      <c r="Q458" s="5" t="s">
        <v>6944</v>
      </c>
    </row>
    <row r="459" spans="2:17" x14ac:dyDescent="0.2">
      <c r="B459" s="5" t="s">
        <v>6930</v>
      </c>
      <c r="C459" s="6" t="s">
        <v>13588</v>
      </c>
      <c r="D459" s="4">
        <v>595</v>
      </c>
      <c r="E459" s="5" t="s">
        <v>32</v>
      </c>
      <c r="F459" s="5" t="s">
        <v>6931</v>
      </c>
      <c r="G459" s="6" t="s">
        <v>14</v>
      </c>
      <c r="H459" s="4">
        <v>357</v>
      </c>
      <c r="I459" s="5" t="s">
        <v>22</v>
      </c>
      <c r="J459" s="5" t="s">
        <v>6932</v>
      </c>
      <c r="K459" s="5" t="s">
        <v>6933</v>
      </c>
      <c r="L459" s="5"/>
      <c r="M459" s="5" t="s">
        <v>302</v>
      </c>
      <c r="N459" s="5" t="s">
        <v>302</v>
      </c>
      <c r="O459" s="5" t="s">
        <v>6934</v>
      </c>
      <c r="P459" s="5"/>
      <c r="Q459" s="5" t="s">
        <v>6935</v>
      </c>
    </row>
    <row r="460" spans="2:17" x14ac:dyDescent="0.2">
      <c r="B460" s="5" t="s">
        <v>6930</v>
      </c>
      <c r="C460" s="6" t="s">
        <v>13588</v>
      </c>
      <c r="D460" s="4">
        <v>596</v>
      </c>
      <c r="E460" s="5" t="s">
        <v>32</v>
      </c>
      <c r="F460" s="5" t="s">
        <v>6931</v>
      </c>
      <c r="G460" s="6" t="s">
        <v>14</v>
      </c>
      <c r="H460" s="4">
        <v>358</v>
      </c>
      <c r="I460" s="5" t="s">
        <v>22</v>
      </c>
      <c r="J460" s="5" t="s">
        <v>6936</v>
      </c>
      <c r="K460" s="5" t="s">
        <v>6937</v>
      </c>
      <c r="L460" s="5"/>
      <c r="M460" s="5" t="s">
        <v>302</v>
      </c>
      <c r="N460" s="5" t="s">
        <v>302</v>
      </c>
      <c r="O460" s="5" t="s">
        <v>6938</v>
      </c>
      <c r="P460" s="5"/>
      <c r="Q460" s="5" t="s">
        <v>6939</v>
      </c>
    </row>
    <row r="461" spans="2:17" x14ac:dyDescent="0.2">
      <c r="B461" s="5" t="s">
        <v>6987</v>
      </c>
      <c r="C461" s="6" t="s">
        <v>13588</v>
      </c>
      <c r="D461" s="4">
        <v>601</v>
      </c>
      <c r="E461" s="5" t="s">
        <v>32</v>
      </c>
      <c r="F461" s="5" t="s">
        <v>7003</v>
      </c>
      <c r="G461" s="6" t="s">
        <v>14</v>
      </c>
      <c r="H461" s="4">
        <v>359</v>
      </c>
      <c r="I461" s="5" t="s">
        <v>22</v>
      </c>
      <c r="J461" s="5" t="s">
        <v>7004</v>
      </c>
      <c r="K461" s="5" t="s">
        <v>6995</v>
      </c>
      <c r="L461" s="5"/>
      <c r="M461" s="5" t="s">
        <v>301</v>
      </c>
      <c r="N461" s="5" t="s">
        <v>302</v>
      </c>
      <c r="O461" s="5" t="s">
        <v>6996</v>
      </c>
      <c r="P461" s="5"/>
      <c r="Q461" s="5" t="s">
        <v>7005</v>
      </c>
    </row>
    <row r="462" spans="2:17" x14ac:dyDescent="0.2">
      <c r="B462" s="5" t="s">
        <v>7016</v>
      </c>
      <c r="C462" s="6" t="s">
        <v>13588</v>
      </c>
      <c r="D462" s="4">
        <v>608</v>
      </c>
      <c r="E462" s="5" t="s">
        <v>15</v>
      </c>
      <c r="F462" s="5" t="s">
        <v>7017</v>
      </c>
      <c r="G462" s="6" t="s">
        <v>14</v>
      </c>
      <c r="H462" s="4">
        <v>360</v>
      </c>
      <c r="I462" s="5"/>
      <c r="J462" s="5" t="s">
        <v>7018</v>
      </c>
      <c r="K462" s="5" t="s">
        <v>7019</v>
      </c>
      <c r="L462" s="5"/>
      <c r="M462" s="5" t="s">
        <v>359</v>
      </c>
      <c r="N462" s="5" t="s">
        <v>351</v>
      </c>
      <c r="O462" s="5"/>
      <c r="P462" s="5"/>
      <c r="Q462" s="5" t="s">
        <v>7020</v>
      </c>
    </row>
    <row r="463" spans="2:17" x14ac:dyDescent="0.2">
      <c r="B463" s="5" t="s">
        <v>7030</v>
      </c>
      <c r="C463" s="6" t="s">
        <v>13588</v>
      </c>
      <c r="D463" s="4">
        <v>611</v>
      </c>
      <c r="E463" s="5" t="s">
        <v>32</v>
      </c>
      <c r="F463" s="5" t="s">
        <v>7036</v>
      </c>
      <c r="G463" s="6" t="s">
        <v>14</v>
      </c>
      <c r="H463" s="4">
        <v>361</v>
      </c>
      <c r="I463" s="5" t="s">
        <v>22</v>
      </c>
      <c r="J463" s="5" t="s">
        <v>7037</v>
      </c>
      <c r="K463" s="5" t="s">
        <v>7031</v>
      </c>
      <c r="L463" s="5" t="s">
        <v>1707</v>
      </c>
      <c r="M463" s="5" t="s">
        <v>648</v>
      </c>
      <c r="N463" s="5" t="s">
        <v>1416</v>
      </c>
      <c r="O463" s="5" t="s">
        <v>7034</v>
      </c>
      <c r="P463" s="5"/>
      <c r="Q463" s="5" t="s">
        <v>7038</v>
      </c>
    </row>
    <row r="464" spans="2:17" x14ac:dyDescent="0.2">
      <c r="B464" s="5" t="s">
        <v>7030</v>
      </c>
      <c r="C464" s="6" t="s">
        <v>13588</v>
      </c>
      <c r="D464" s="4">
        <v>612</v>
      </c>
      <c r="E464" s="5" t="s">
        <v>32</v>
      </c>
      <c r="F464" s="5" t="s">
        <v>7036</v>
      </c>
      <c r="G464" s="6" t="s">
        <v>14</v>
      </c>
      <c r="H464" s="4">
        <v>362</v>
      </c>
      <c r="I464" s="5" t="s">
        <v>38</v>
      </c>
      <c r="J464" s="5" t="s">
        <v>7039</v>
      </c>
      <c r="K464" s="5" t="s">
        <v>7040</v>
      </c>
      <c r="L464" s="5" t="s">
        <v>7041</v>
      </c>
      <c r="M464" s="5" t="s">
        <v>648</v>
      </c>
      <c r="N464" s="5" t="s">
        <v>1416</v>
      </c>
      <c r="O464" s="5" t="s">
        <v>7042</v>
      </c>
      <c r="P464" s="5"/>
      <c r="Q464" s="5" t="s">
        <v>7043</v>
      </c>
    </row>
    <row r="465" spans="2:17" x14ac:dyDescent="0.2">
      <c r="B465" s="5" t="s">
        <v>7050</v>
      </c>
      <c r="C465" s="6" t="s">
        <v>13588</v>
      </c>
      <c r="D465" s="4">
        <v>613</v>
      </c>
      <c r="E465" s="5" t="s">
        <v>35</v>
      </c>
      <c r="F465" s="5" t="s">
        <v>7133</v>
      </c>
      <c r="G465" s="6" t="s">
        <v>14</v>
      </c>
      <c r="H465" s="4">
        <v>363</v>
      </c>
      <c r="I465" s="5"/>
      <c r="J465" s="5" t="s">
        <v>7134</v>
      </c>
      <c r="K465" s="5" t="s">
        <v>7052</v>
      </c>
      <c r="L465" s="5"/>
      <c r="M465" s="5" t="s">
        <v>506</v>
      </c>
      <c r="N465" s="5" t="s">
        <v>2421</v>
      </c>
      <c r="O465" s="5"/>
      <c r="P465" s="5"/>
      <c r="Q465" s="5" t="s">
        <v>7135</v>
      </c>
    </row>
    <row r="466" spans="2:17" x14ac:dyDescent="0.2">
      <c r="B466" s="5" t="s">
        <v>7050</v>
      </c>
      <c r="C466" s="6" t="s">
        <v>13588</v>
      </c>
      <c r="D466" s="4">
        <v>614</v>
      </c>
      <c r="E466" s="5" t="s">
        <v>32</v>
      </c>
      <c r="F466" s="5" t="s">
        <v>7124</v>
      </c>
      <c r="G466" s="6" t="s">
        <v>14</v>
      </c>
      <c r="H466" s="4">
        <v>364</v>
      </c>
      <c r="I466" s="5" t="s">
        <v>22</v>
      </c>
      <c r="J466" s="5" t="s">
        <v>7125</v>
      </c>
      <c r="K466" s="5" t="s">
        <v>7126</v>
      </c>
      <c r="L466" s="5"/>
      <c r="M466" s="5" t="s">
        <v>2198</v>
      </c>
      <c r="N466" s="5" t="s">
        <v>1634</v>
      </c>
      <c r="O466" s="5"/>
      <c r="P466" s="5"/>
      <c r="Q466" s="5" t="s">
        <v>7127</v>
      </c>
    </row>
    <row r="467" spans="2:17" x14ac:dyDescent="0.2">
      <c r="B467" s="5" t="s">
        <v>7050</v>
      </c>
      <c r="C467" s="6" t="s">
        <v>13588</v>
      </c>
      <c r="D467" s="4">
        <v>615</v>
      </c>
      <c r="E467" s="5" t="s">
        <v>32</v>
      </c>
      <c r="F467" s="5" t="s">
        <v>7124</v>
      </c>
      <c r="G467" s="6" t="s">
        <v>14</v>
      </c>
      <c r="H467" s="4">
        <v>365</v>
      </c>
      <c r="I467" s="5" t="s">
        <v>22</v>
      </c>
      <c r="J467" s="5" t="s">
        <v>7128</v>
      </c>
      <c r="K467" s="5" t="s">
        <v>7129</v>
      </c>
      <c r="L467" s="5"/>
      <c r="M467" s="5" t="s">
        <v>2198</v>
      </c>
      <c r="N467" s="5" t="s">
        <v>1634</v>
      </c>
      <c r="O467" s="5"/>
      <c r="P467" s="5"/>
      <c r="Q467" s="5" t="s">
        <v>7130</v>
      </c>
    </row>
    <row r="468" spans="2:17" x14ac:dyDescent="0.2">
      <c r="B468" s="5" t="s">
        <v>7050</v>
      </c>
      <c r="C468" s="6" t="s">
        <v>13588</v>
      </c>
      <c r="D468" s="4">
        <v>616</v>
      </c>
      <c r="E468" s="5" t="s">
        <v>32</v>
      </c>
      <c r="F468" s="5" t="s">
        <v>7124</v>
      </c>
      <c r="G468" s="6" t="s">
        <v>14</v>
      </c>
      <c r="H468" s="4">
        <v>366</v>
      </c>
      <c r="I468" s="5" t="s">
        <v>22</v>
      </c>
      <c r="J468" s="5" t="s">
        <v>7131</v>
      </c>
      <c r="K468" s="5" t="s">
        <v>7102</v>
      </c>
      <c r="L468" s="5"/>
      <c r="M468" s="5" t="s">
        <v>2198</v>
      </c>
      <c r="N468" s="5" t="s">
        <v>1634</v>
      </c>
      <c r="O468" s="5"/>
      <c r="P468" s="5"/>
      <c r="Q468" s="5" t="s">
        <v>7132</v>
      </c>
    </row>
    <row r="469" spans="2:17" x14ac:dyDescent="0.2">
      <c r="B469" s="5" t="s">
        <v>7050</v>
      </c>
      <c r="C469" s="6" t="s">
        <v>13588</v>
      </c>
      <c r="D469" s="4">
        <v>617</v>
      </c>
      <c r="E469" s="5" t="s">
        <v>35</v>
      </c>
      <c r="F469" s="5" t="s">
        <v>7121</v>
      </c>
      <c r="G469" s="6" t="s">
        <v>14</v>
      </c>
      <c r="H469" s="4">
        <v>367</v>
      </c>
      <c r="I469" s="5"/>
      <c r="J469" s="5" t="s">
        <v>7122</v>
      </c>
      <c r="K469" s="5" t="s">
        <v>7052</v>
      </c>
      <c r="L469" s="5"/>
      <c r="M469" s="5" t="s">
        <v>938</v>
      </c>
      <c r="N469" s="5" t="s">
        <v>2708</v>
      </c>
      <c r="O469" s="5"/>
      <c r="P469" s="5"/>
      <c r="Q469" s="5" t="s">
        <v>7123</v>
      </c>
    </row>
    <row r="470" spans="2:17" x14ac:dyDescent="0.2">
      <c r="B470" s="5" t="s">
        <v>7050</v>
      </c>
      <c r="C470" s="6" t="s">
        <v>13588</v>
      </c>
      <c r="D470" s="4">
        <v>620</v>
      </c>
      <c r="E470" s="5" t="s">
        <v>35</v>
      </c>
      <c r="F470" s="5" t="s">
        <v>7104</v>
      </c>
      <c r="G470" s="6" t="s">
        <v>14</v>
      </c>
      <c r="H470" s="4">
        <v>368</v>
      </c>
      <c r="I470" s="5"/>
      <c r="J470" s="5" t="s">
        <v>7105</v>
      </c>
      <c r="K470" s="5" t="s">
        <v>7106</v>
      </c>
      <c r="L470" s="5"/>
      <c r="M470" s="5" t="s">
        <v>2376</v>
      </c>
      <c r="N470" s="5" t="s">
        <v>2376</v>
      </c>
      <c r="O470" s="5"/>
      <c r="P470" s="5"/>
      <c r="Q470" s="5" t="s">
        <v>7107</v>
      </c>
    </row>
    <row r="471" spans="2:17" x14ac:dyDescent="0.2">
      <c r="B471" s="5" t="s">
        <v>7050</v>
      </c>
      <c r="C471" s="6" t="s">
        <v>13588</v>
      </c>
      <c r="D471" s="4">
        <v>621</v>
      </c>
      <c r="E471" s="5" t="s">
        <v>32</v>
      </c>
      <c r="F471" s="5" t="s">
        <v>2001</v>
      </c>
      <c r="G471" s="6" t="s">
        <v>14</v>
      </c>
      <c r="H471" s="4">
        <v>369</v>
      </c>
      <c r="I471" s="5" t="s">
        <v>22</v>
      </c>
      <c r="J471" s="5" t="s">
        <v>7101</v>
      </c>
      <c r="K471" s="5" t="s">
        <v>7102</v>
      </c>
      <c r="L471" s="5"/>
      <c r="M471" s="5" t="s">
        <v>1802</v>
      </c>
      <c r="N471" s="5" t="s">
        <v>337</v>
      </c>
      <c r="O471" s="5"/>
      <c r="P471" s="5"/>
      <c r="Q471" s="5" t="s">
        <v>7103</v>
      </c>
    </row>
    <row r="472" spans="2:17" x14ac:dyDescent="0.2">
      <c r="B472" s="5" t="s">
        <v>7050</v>
      </c>
      <c r="C472" s="6" t="s">
        <v>13588</v>
      </c>
      <c r="D472" s="4">
        <v>626</v>
      </c>
      <c r="E472" s="5" t="s">
        <v>32</v>
      </c>
      <c r="F472" s="5" t="s">
        <v>7086</v>
      </c>
      <c r="G472" s="6" t="s">
        <v>14</v>
      </c>
      <c r="H472" s="4">
        <v>370</v>
      </c>
      <c r="I472" s="5" t="s">
        <v>38</v>
      </c>
      <c r="J472" s="5" t="s">
        <v>7087</v>
      </c>
      <c r="K472" s="5" t="s">
        <v>7051</v>
      </c>
      <c r="L472" s="5" t="s">
        <v>7072</v>
      </c>
      <c r="M472" s="5" t="s">
        <v>1269</v>
      </c>
      <c r="N472" s="5" t="s">
        <v>1263</v>
      </c>
      <c r="O472" s="5"/>
      <c r="P472" s="5"/>
      <c r="Q472" s="5" t="s">
        <v>7088</v>
      </c>
    </row>
    <row r="473" spans="2:17" x14ac:dyDescent="0.2">
      <c r="B473" s="5" t="s">
        <v>7050</v>
      </c>
      <c r="C473" s="6" t="s">
        <v>13588</v>
      </c>
      <c r="D473" s="4">
        <v>627</v>
      </c>
      <c r="E473" s="5" t="s">
        <v>13</v>
      </c>
      <c r="F473" s="5" t="s">
        <v>7078</v>
      </c>
      <c r="G473" s="6" t="s">
        <v>14</v>
      </c>
      <c r="H473" s="4">
        <v>371</v>
      </c>
      <c r="I473" s="5"/>
      <c r="J473" s="5" t="s">
        <v>7079</v>
      </c>
      <c r="K473" s="5" t="s">
        <v>7056</v>
      </c>
      <c r="L473" s="5"/>
      <c r="M473" s="5" t="s">
        <v>1230</v>
      </c>
      <c r="N473" s="5" t="s">
        <v>1230</v>
      </c>
      <c r="O473" s="5"/>
      <c r="P473" s="5"/>
      <c r="Q473" s="5" t="s">
        <v>7080</v>
      </c>
    </row>
    <row r="474" spans="2:17" x14ac:dyDescent="0.2">
      <c r="B474" s="5" t="s">
        <v>7050</v>
      </c>
      <c r="C474" s="6" t="s">
        <v>13588</v>
      </c>
      <c r="D474" s="4">
        <v>628</v>
      </c>
      <c r="E474" s="5" t="s">
        <v>82</v>
      </c>
      <c r="F474" s="5" t="s">
        <v>7081</v>
      </c>
      <c r="G474" s="6" t="s">
        <v>14</v>
      </c>
      <c r="H474" s="4">
        <v>372</v>
      </c>
      <c r="I474" s="5"/>
      <c r="J474" s="5" t="s">
        <v>7082</v>
      </c>
      <c r="K474" s="5" t="s">
        <v>7057</v>
      </c>
      <c r="L474" s="5"/>
      <c r="M474" s="5" t="s">
        <v>1230</v>
      </c>
      <c r="N474" s="5" t="s">
        <v>1222</v>
      </c>
      <c r="O474" s="5"/>
      <c r="P474" s="5"/>
      <c r="Q474" s="5" t="s">
        <v>7083</v>
      </c>
    </row>
    <row r="475" spans="2:17" x14ac:dyDescent="0.2">
      <c r="B475" s="5" t="s">
        <v>7050</v>
      </c>
      <c r="C475" s="6" t="s">
        <v>13588</v>
      </c>
      <c r="D475" s="4">
        <v>629</v>
      </c>
      <c r="E475" s="5" t="s">
        <v>82</v>
      </c>
      <c r="F475" s="5" t="s">
        <v>7081</v>
      </c>
      <c r="G475" s="6" t="s">
        <v>14</v>
      </c>
      <c r="H475" s="4">
        <v>373</v>
      </c>
      <c r="I475" s="5"/>
      <c r="J475" s="5" t="s">
        <v>7084</v>
      </c>
      <c r="K475" s="5" t="s">
        <v>7063</v>
      </c>
      <c r="L475" s="5"/>
      <c r="M475" s="5" t="s">
        <v>1230</v>
      </c>
      <c r="N475" s="5" t="s">
        <v>1222</v>
      </c>
      <c r="O475" s="5"/>
      <c r="P475" s="5"/>
      <c r="Q475" s="5" t="s">
        <v>7085</v>
      </c>
    </row>
    <row r="476" spans="2:17" x14ac:dyDescent="0.2">
      <c r="B476" s="5" t="s">
        <v>7050</v>
      </c>
      <c r="C476" s="6" t="s">
        <v>13588</v>
      </c>
      <c r="D476" s="4">
        <v>630</v>
      </c>
      <c r="E476" s="5" t="s">
        <v>56</v>
      </c>
      <c r="F476" s="5" t="s">
        <v>7074</v>
      </c>
      <c r="G476" s="6" t="s">
        <v>14</v>
      </c>
      <c r="H476" s="4">
        <v>374</v>
      </c>
      <c r="I476" s="5"/>
      <c r="J476" s="5" t="s">
        <v>7075</v>
      </c>
      <c r="K476" s="5" t="s">
        <v>7060</v>
      </c>
      <c r="L476" s="5"/>
      <c r="M476" s="5" t="s">
        <v>1222</v>
      </c>
      <c r="N476" s="5" t="s">
        <v>7076</v>
      </c>
      <c r="O476" s="5"/>
      <c r="P476" s="5"/>
      <c r="Q476" s="5" t="s">
        <v>7077</v>
      </c>
    </row>
    <row r="477" spans="2:17" x14ac:dyDescent="0.2">
      <c r="B477" s="5" t="s">
        <v>7050</v>
      </c>
      <c r="C477" s="6" t="s">
        <v>13588</v>
      </c>
      <c r="D477" s="4">
        <v>631</v>
      </c>
      <c r="E477" s="5" t="s">
        <v>32</v>
      </c>
      <c r="F477" s="5" t="s">
        <v>7058</v>
      </c>
      <c r="G477" s="6" t="s">
        <v>14</v>
      </c>
      <c r="H477" s="4">
        <v>375</v>
      </c>
      <c r="I477" s="5" t="s">
        <v>22</v>
      </c>
      <c r="J477" s="5" t="s">
        <v>7059</v>
      </c>
      <c r="K477" s="5" t="s">
        <v>7060</v>
      </c>
      <c r="L477" s="5"/>
      <c r="M477" s="5" t="s">
        <v>1218</v>
      </c>
      <c r="N477" s="5" t="s">
        <v>1723</v>
      </c>
      <c r="O477" s="5"/>
      <c r="P477" s="5"/>
      <c r="Q477" s="5" t="s">
        <v>7061</v>
      </c>
    </row>
    <row r="478" spans="2:17" x14ac:dyDescent="0.2">
      <c r="B478" s="5" t="s">
        <v>7050</v>
      </c>
      <c r="C478" s="6" t="s">
        <v>13588</v>
      </c>
      <c r="D478" s="4">
        <v>632</v>
      </c>
      <c r="E478" s="5" t="s">
        <v>32</v>
      </c>
      <c r="F478" s="5" t="s">
        <v>1719</v>
      </c>
      <c r="G478" s="6" t="s">
        <v>14</v>
      </c>
      <c r="H478" s="4">
        <v>376</v>
      </c>
      <c r="I478" s="5" t="s">
        <v>22</v>
      </c>
      <c r="J478" s="5" t="s">
        <v>7062</v>
      </c>
      <c r="K478" s="5" t="s">
        <v>7063</v>
      </c>
      <c r="L478" s="5"/>
      <c r="M478" s="5" t="s">
        <v>1218</v>
      </c>
      <c r="N478" s="5" t="s">
        <v>1723</v>
      </c>
      <c r="O478" s="5"/>
      <c r="P478" s="5"/>
      <c r="Q478" s="5" t="s">
        <v>7064</v>
      </c>
    </row>
    <row r="479" spans="2:17" x14ac:dyDescent="0.2">
      <c r="B479" s="5" t="s">
        <v>7050</v>
      </c>
      <c r="C479" s="6" t="s">
        <v>13588</v>
      </c>
      <c r="D479" s="4">
        <v>633</v>
      </c>
      <c r="E479" s="5" t="s">
        <v>32</v>
      </c>
      <c r="F479" s="5" t="s">
        <v>1719</v>
      </c>
      <c r="G479" s="6" t="s">
        <v>14</v>
      </c>
      <c r="H479" s="4">
        <v>377</v>
      </c>
      <c r="I479" s="5" t="s">
        <v>22</v>
      </c>
      <c r="J479" s="5" t="s">
        <v>7065</v>
      </c>
      <c r="K479" s="5" t="s">
        <v>7066</v>
      </c>
      <c r="L479" s="5"/>
      <c r="M479" s="5" t="s">
        <v>1218</v>
      </c>
      <c r="N479" s="5" t="s">
        <v>1723</v>
      </c>
      <c r="O479" s="5"/>
      <c r="P479" s="5"/>
      <c r="Q479" s="5" t="s">
        <v>7067</v>
      </c>
    </row>
    <row r="480" spans="2:17" x14ac:dyDescent="0.2">
      <c r="B480" s="5" t="s">
        <v>7050</v>
      </c>
      <c r="C480" s="6" t="s">
        <v>13588</v>
      </c>
      <c r="D480" s="4">
        <v>634</v>
      </c>
      <c r="E480" s="5" t="s">
        <v>32</v>
      </c>
      <c r="F480" s="5" t="s">
        <v>1719</v>
      </c>
      <c r="G480" s="6" t="s">
        <v>14</v>
      </c>
      <c r="H480" s="4">
        <v>378</v>
      </c>
      <c r="I480" s="5" t="s">
        <v>38</v>
      </c>
      <c r="J480" s="5" t="s">
        <v>7068</v>
      </c>
      <c r="K480" s="5" t="s">
        <v>7069</v>
      </c>
      <c r="L480" s="5"/>
      <c r="M480" s="5" t="s">
        <v>1218</v>
      </c>
      <c r="N480" s="5" t="s">
        <v>1723</v>
      </c>
      <c r="O480" s="5"/>
      <c r="P480" s="5"/>
      <c r="Q480" s="5" t="s">
        <v>7070</v>
      </c>
    </row>
    <row r="481" spans="2:17" x14ac:dyDescent="0.2">
      <c r="B481" s="5" t="s">
        <v>7050</v>
      </c>
      <c r="C481" s="6" t="s">
        <v>13588</v>
      </c>
      <c r="D481" s="4">
        <v>635</v>
      </c>
      <c r="E481" s="5" t="s">
        <v>32</v>
      </c>
      <c r="F481" s="5" t="s">
        <v>1719</v>
      </c>
      <c r="G481" s="6" t="s">
        <v>14</v>
      </c>
      <c r="H481" s="4">
        <v>379</v>
      </c>
      <c r="I481" s="5" t="s">
        <v>22</v>
      </c>
      <c r="J481" s="5" t="s">
        <v>7071</v>
      </c>
      <c r="K481" s="5"/>
      <c r="L481" s="5" t="s">
        <v>7072</v>
      </c>
      <c r="M481" s="5" t="s">
        <v>1218</v>
      </c>
      <c r="N481" s="5" t="s">
        <v>1723</v>
      </c>
      <c r="O481" s="5"/>
      <c r="P481" s="5"/>
      <c r="Q481" s="5" t="s">
        <v>7073</v>
      </c>
    </row>
    <row r="482" spans="2:17" x14ac:dyDescent="0.2">
      <c r="B482" s="5" t="s">
        <v>7050</v>
      </c>
      <c r="C482" s="6" t="s">
        <v>13588</v>
      </c>
      <c r="D482" s="4">
        <v>636</v>
      </c>
      <c r="E482" s="5" t="s">
        <v>24</v>
      </c>
      <c r="F482" s="5" t="s">
        <v>7139</v>
      </c>
      <c r="G482" s="6" t="s">
        <v>14</v>
      </c>
      <c r="H482" s="4">
        <v>380</v>
      </c>
      <c r="I482" s="5"/>
      <c r="J482" s="5" t="s">
        <v>7140</v>
      </c>
      <c r="K482" s="5" t="s">
        <v>7141</v>
      </c>
      <c r="L482" s="5"/>
      <c r="M482" s="5" t="s">
        <v>260</v>
      </c>
      <c r="N482" s="5" t="s">
        <v>260</v>
      </c>
      <c r="O482" s="5"/>
      <c r="P482" s="5"/>
      <c r="Q482" s="5" t="s">
        <v>7142</v>
      </c>
    </row>
    <row r="483" spans="2:17" x14ac:dyDescent="0.2">
      <c r="B483" s="5" t="s">
        <v>7050</v>
      </c>
      <c r="C483" s="6" t="s">
        <v>13588</v>
      </c>
      <c r="D483" s="4">
        <v>637</v>
      </c>
      <c r="E483" s="5" t="s">
        <v>24</v>
      </c>
      <c r="F483" s="5" t="s">
        <v>3798</v>
      </c>
      <c r="G483" s="6" t="s">
        <v>14</v>
      </c>
      <c r="H483" s="4">
        <v>381</v>
      </c>
      <c r="I483" s="5"/>
      <c r="J483" s="5" t="s">
        <v>7136</v>
      </c>
      <c r="K483" s="5" t="s">
        <v>7137</v>
      </c>
      <c r="L483" s="5"/>
      <c r="M483" s="5" t="s">
        <v>261</v>
      </c>
      <c r="N483" s="5" t="s">
        <v>1150</v>
      </c>
      <c r="O483" s="5"/>
      <c r="P483" s="5"/>
      <c r="Q483" s="5" t="s">
        <v>7138</v>
      </c>
    </row>
    <row r="484" spans="2:17" x14ac:dyDescent="0.2">
      <c r="B484" s="5" t="s">
        <v>7050</v>
      </c>
      <c r="C484" s="6" t="s">
        <v>13588</v>
      </c>
      <c r="D484" s="4">
        <v>638</v>
      </c>
      <c r="E484" s="5" t="s">
        <v>32</v>
      </c>
      <c r="F484" s="5" t="s">
        <v>7143</v>
      </c>
      <c r="G484" s="6" t="s">
        <v>14</v>
      </c>
      <c r="H484" s="4">
        <v>382</v>
      </c>
      <c r="I484" s="5" t="s">
        <v>22</v>
      </c>
      <c r="J484" s="5" t="s">
        <v>7144</v>
      </c>
      <c r="K484" s="5" t="s">
        <v>7129</v>
      </c>
      <c r="L484" s="5"/>
      <c r="M484" s="5" t="s">
        <v>2756</v>
      </c>
      <c r="N484" s="5" t="s">
        <v>2116</v>
      </c>
      <c r="O484" s="5"/>
      <c r="P484" s="5"/>
      <c r="Q484" s="5" t="s">
        <v>7145</v>
      </c>
    </row>
    <row r="485" spans="2:17" x14ac:dyDescent="0.2">
      <c r="B485" s="5" t="s">
        <v>7050</v>
      </c>
      <c r="C485" s="6" t="s">
        <v>13588</v>
      </c>
      <c r="D485" s="4">
        <v>639</v>
      </c>
      <c r="E485" s="5" t="s">
        <v>35</v>
      </c>
      <c r="F485" s="5" t="s">
        <v>7111</v>
      </c>
      <c r="G485" s="6" t="s">
        <v>14</v>
      </c>
      <c r="H485" s="4">
        <v>383</v>
      </c>
      <c r="I485" s="5"/>
      <c r="J485" s="5" t="s">
        <v>7112</v>
      </c>
      <c r="K485" s="5" t="s">
        <v>7055</v>
      </c>
      <c r="L485" s="5"/>
      <c r="M485" s="5" t="s">
        <v>122</v>
      </c>
      <c r="N485" s="5" t="s">
        <v>122</v>
      </c>
      <c r="O485" s="5"/>
      <c r="P485" s="5"/>
      <c r="Q485" s="5" t="s">
        <v>7113</v>
      </c>
    </row>
    <row r="486" spans="2:17" x14ac:dyDescent="0.2">
      <c r="B486" s="5" t="s">
        <v>7050</v>
      </c>
      <c r="C486" s="6" t="s">
        <v>13588</v>
      </c>
      <c r="D486" s="4">
        <v>640</v>
      </c>
      <c r="E486" s="5" t="s">
        <v>32</v>
      </c>
      <c r="F486" s="5" t="s">
        <v>7108</v>
      </c>
      <c r="G486" s="6" t="s">
        <v>14</v>
      </c>
      <c r="H486" s="4">
        <v>384</v>
      </c>
      <c r="I486" s="5" t="s">
        <v>22</v>
      </c>
      <c r="J486" s="5" t="s">
        <v>7109</v>
      </c>
      <c r="K486" s="5" t="s">
        <v>7102</v>
      </c>
      <c r="L486" s="5"/>
      <c r="M486" s="5" t="s">
        <v>122</v>
      </c>
      <c r="N486" s="5" t="s">
        <v>366</v>
      </c>
      <c r="O486" s="5"/>
      <c r="P486" s="5"/>
      <c r="Q486" s="5" t="s">
        <v>7110</v>
      </c>
    </row>
    <row r="487" spans="2:17" x14ac:dyDescent="0.2">
      <c r="B487" s="5" t="s">
        <v>7146</v>
      </c>
      <c r="C487" s="6" t="s">
        <v>13588</v>
      </c>
      <c r="D487" s="4">
        <v>643</v>
      </c>
      <c r="E487" s="5" t="s">
        <v>32</v>
      </c>
      <c r="F487" s="5" t="s">
        <v>7147</v>
      </c>
      <c r="G487" s="6" t="s">
        <v>14</v>
      </c>
      <c r="H487" s="4">
        <v>385</v>
      </c>
      <c r="I487" s="5" t="s">
        <v>38</v>
      </c>
      <c r="J487" s="5" t="s">
        <v>7148</v>
      </c>
      <c r="K487" s="5" t="s">
        <v>7149</v>
      </c>
      <c r="L487" s="5" t="s">
        <v>7150</v>
      </c>
      <c r="M487" s="5" t="s">
        <v>573</v>
      </c>
      <c r="N487" s="5" t="s">
        <v>1258</v>
      </c>
      <c r="O487" s="5" t="s">
        <v>7151</v>
      </c>
      <c r="P487" s="5"/>
      <c r="Q487" s="5" t="s">
        <v>7152</v>
      </c>
    </row>
    <row r="488" spans="2:17" x14ac:dyDescent="0.2">
      <c r="B488" s="5" t="s">
        <v>7162</v>
      </c>
      <c r="C488" s="6" t="s">
        <v>13588</v>
      </c>
      <c r="D488" s="4">
        <v>645</v>
      </c>
      <c r="E488" s="5" t="s">
        <v>35</v>
      </c>
      <c r="F488" s="5" t="s">
        <v>7172</v>
      </c>
      <c r="G488" s="6" t="s">
        <v>14</v>
      </c>
      <c r="H488" s="4">
        <v>386</v>
      </c>
      <c r="I488" s="5"/>
      <c r="J488" s="5" t="s">
        <v>7173</v>
      </c>
      <c r="K488" s="5" t="s">
        <v>7174</v>
      </c>
      <c r="L488" s="5"/>
      <c r="M488" s="5" t="s">
        <v>1384</v>
      </c>
      <c r="N488" s="5" t="s">
        <v>1377</v>
      </c>
      <c r="O488" s="5" t="s">
        <v>7166</v>
      </c>
      <c r="P488" s="5"/>
      <c r="Q488" s="5" t="s">
        <v>7175</v>
      </c>
    </row>
    <row r="489" spans="2:17" x14ac:dyDescent="0.2">
      <c r="B489" s="5" t="s">
        <v>7162</v>
      </c>
      <c r="C489" s="6" t="s">
        <v>13588</v>
      </c>
      <c r="D489" s="4">
        <v>646</v>
      </c>
      <c r="E489" s="5" t="s">
        <v>32</v>
      </c>
      <c r="F489" s="5" t="s">
        <v>7168</v>
      </c>
      <c r="G489" s="6" t="s">
        <v>14</v>
      </c>
      <c r="H489" s="4">
        <v>387</v>
      </c>
      <c r="I489" s="5" t="s">
        <v>22</v>
      </c>
      <c r="J489" s="5" t="s">
        <v>7169</v>
      </c>
      <c r="K489" s="5" t="s">
        <v>7170</v>
      </c>
      <c r="L489" s="5"/>
      <c r="M489" s="5" t="s">
        <v>301</v>
      </c>
      <c r="N489" s="5" t="s">
        <v>302</v>
      </c>
      <c r="O489" s="5" t="s">
        <v>7166</v>
      </c>
      <c r="P489" s="5"/>
      <c r="Q489" s="5" t="s">
        <v>7171</v>
      </c>
    </row>
    <row r="490" spans="2:17" x14ac:dyDescent="0.2">
      <c r="B490" s="5" t="s">
        <v>7162</v>
      </c>
      <c r="C490" s="6" t="s">
        <v>13588</v>
      </c>
      <c r="D490" s="4">
        <v>647</v>
      </c>
      <c r="E490" s="5" t="s">
        <v>13</v>
      </c>
      <c r="F490" s="5" t="s">
        <v>7163</v>
      </c>
      <c r="G490" s="6" t="s">
        <v>14</v>
      </c>
      <c r="H490" s="4">
        <v>388</v>
      </c>
      <c r="I490" s="5"/>
      <c r="J490" s="5" t="s">
        <v>7164</v>
      </c>
      <c r="K490" s="5" t="s">
        <v>7165</v>
      </c>
      <c r="L490" s="5"/>
      <c r="M490" s="5" t="s">
        <v>1269</v>
      </c>
      <c r="N490" s="5" t="s">
        <v>1269</v>
      </c>
      <c r="O490" s="5" t="s">
        <v>7166</v>
      </c>
      <c r="P490" s="5"/>
      <c r="Q490" s="5" t="s">
        <v>7167</v>
      </c>
    </row>
    <row r="491" spans="2:17" x14ac:dyDescent="0.2">
      <c r="B491" s="5" t="s">
        <v>7162</v>
      </c>
      <c r="C491" s="6" t="s">
        <v>13588</v>
      </c>
      <c r="D491" s="4">
        <v>648</v>
      </c>
      <c r="E491" s="5" t="s">
        <v>32</v>
      </c>
      <c r="F491" s="5" t="s">
        <v>7176</v>
      </c>
      <c r="G491" s="6" t="s">
        <v>14</v>
      </c>
      <c r="H491" s="4">
        <v>389</v>
      </c>
      <c r="I491" s="5" t="s">
        <v>22</v>
      </c>
      <c r="J491" s="5" t="s">
        <v>7180</v>
      </c>
      <c r="K491" s="5" t="s">
        <v>7165</v>
      </c>
      <c r="L491" s="5"/>
      <c r="M491" s="5" t="s">
        <v>399</v>
      </c>
      <c r="N491" s="5" t="s">
        <v>2134</v>
      </c>
      <c r="O491" s="5" t="s">
        <v>7166</v>
      </c>
      <c r="P491" s="5"/>
      <c r="Q491" s="5" t="s">
        <v>7181</v>
      </c>
    </row>
    <row r="492" spans="2:17" x14ac:dyDescent="0.2">
      <c r="B492" s="5" t="s">
        <v>7162</v>
      </c>
      <c r="C492" s="6" t="s">
        <v>13588</v>
      </c>
      <c r="D492" s="4">
        <v>649</v>
      </c>
      <c r="E492" s="5" t="s">
        <v>32</v>
      </c>
      <c r="F492" s="5" t="s">
        <v>7176</v>
      </c>
      <c r="G492" s="6" t="s">
        <v>14</v>
      </c>
      <c r="H492" s="4">
        <v>390</v>
      </c>
      <c r="I492" s="5" t="s">
        <v>22</v>
      </c>
      <c r="J492" s="5" t="s">
        <v>7182</v>
      </c>
      <c r="K492" s="5" t="s">
        <v>7183</v>
      </c>
      <c r="L492" s="5"/>
      <c r="M492" s="5" t="s">
        <v>399</v>
      </c>
      <c r="N492" s="5" t="s">
        <v>2134</v>
      </c>
      <c r="O492" s="5" t="s">
        <v>7166</v>
      </c>
      <c r="P492" s="5"/>
      <c r="Q492" s="5" t="s">
        <v>7184</v>
      </c>
    </row>
    <row r="493" spans="2:17" x14ac:dyDescent="0.2">
      <c r="B493" s="5" t="s">
        <v>7162</v>
      </c>
      <c r="C493" s="6" t="s">
        <v>13588</v>
      </c>
      <c r="D493" s="4">
        <v>650</v>
      </c>
      <c r="E493" s="5" t="s">
        <v>32</v>
      </c>
      <c r="F493" s="5" t="s">
        <v>7176</v>
      </c>
      <c r="G493" s="6" t="s">
        <v>14</v>
      </c>
      <c r="H493" s="4">
        <v>391</v>
      </c>
      <c r="I493" s="5" t="s">
        <v>22</v>
      </c>
      <c r="J493" s="5" t="s">
        <v>7177</v>
      </c>
      <c r="K493" s="5" t="s">
        <v>7178</v>
      </c>
      <c r="L493" s="5"/>
      <c r="M493" s="5" t="s">
        <v>399</v>
      </c>
      <c r="N493" s="5" t="s">
        <v>2134</v>
      </c>
      <c r="O493" s="5" t="s">
        <v>7166</v>
      </c>
      <c r="P493" s="5"/>
      <c r="Q493" s="5" t="s">
        <v>7179</v>
      </c>
    </row>
    <row r="494" spans="2:17" x14ac:dyDescent="0.2">
      <c r="B494" s="5" t="s">
        <v>7188</v>
      </c>
      <c r="C494" s="6" t="s">
        <v>13588</v>
      </c>
      <c r="D494" s="4">
        <v>651</v>
      </c>
      <c r="E494" s="5" t="s">
        <v>32</v>
      </c>
      <c r="F494" s="5" t="s">
        <v>7225</v>
      </c>
      <c r="G494" s="6" t="s">
        <v>14</v>
      </c>
      <c r="H494" s="4">
        <v>392</v>
      </c>
      <c r="I494" s="5" t="s">
        <v>38</v>
      </c>
      <c r="J494" s="5" t="s">
        <v>7226</v>
      </c>
      <c r="K494" s="5" t="s">
        <v>7227</v>
      </c>
      <c r="L494" s="5"/>
      <c r="M494" s="5" t="s">
        <v>96</v>
      </c>
      <c r="N494" s="5" t="s">
        <v>291</v>
      </c>
      <c r="O494" s="5" t="s">
        <v>7228</v>
      </c>
      <c r="P494" s="5"/>
      <c r="Q494" s="5" t="s">
        <v>7229</v>
      </c>
    </row>
    <row r="495" spans="2:17" x14ac:dyDescent="0.2">
      <c r="B495" s="5" t="s">
        <v>7188</v>
      </c>
      <c r="C495" s="6" t="s">
        <v>13588</v>
      </c>
      <c r="D495" s="4">
        <v>652</v>
      </c>
      <c r="E495" s="5" t="s">
        <v>32</v>
      </c>
      <c r="F495" s="5" t="s">
        <v>7225</v>
      </c>
      <c r="G495" s="6" t="s">
        <v>14</v>
      </c>
      <c r="H495" s="4">
        <v>393</v>
      </c>
      <c r="I495" s="5" t="s">
        <v>22</v>
      </c>
      <c r="J495" s="5" t="s">
        <v>7230</v>
      </c>
      <c r="K495" s="5" t="s">
        <v>7231</v>
      </c>
      <c r="L495" s="5" t="s">
        <v>7232</v>
      </c>
      <c r="M495" s="5" t="s">
        <v>96</v>
      </c>
      <c r="N495" s="5" t="s">
        <v>291</v>
      </c>
      <c r="O495" s="5" t="s">
        <v>7191</v>
      </c>
      <c r="P495" s="5"/>
      <c r="Q495" s="5" t="s">
        <v>7233</v>
      </c>
    </row>
    <row r="496" spans="2:17" x14ac:dyDescent="0.2">
      <c r="B496" s="5" t="s">
        <v>7240</v>
      </c>
      <c r="C496" s="6" t="s">
        <v>13588</v>
      </c>
      <c r="D496" s="4">
        <v>665</v>
      </c>
      <c r="E496" s="5" t="s">
        <v>15</v>
      </c>
      <c r="F496" s="5" t="s">
        <v>7307</v>
      </c>
      <c r="G496" s="6" t="s">
        <v>14</v>
      </c>
      <c r="H496" s="4">
        <v>394</v>
      </c>
      <c r="I496" s="5"/>
      <c r="J496" s="5" t="s">
        <v>7308</v>
      </c>
      <c r="K496" s="5" t="s">
        <v>7299</v>
      </c>
      <c r="L496" s="5"/>
      <c r="M496" s="5" t="s">
        <v>1043</v>
      </c>
      <c r="N496" s="5" t="s">
        <v>2729</v>
      </c>
      <c r="O496" s="5"/>
      <c r="P496" s="5"/>
      <c r="Q496" s="5" t="s">
        <v>7309</v>
      </c>
    </row>
    <row r="497" spans="2:17" x14ac:dyDescent="0.2">
      <c r="B497" s="5" t="s">
        <v>7240</v>
      </c>
      <c r="C497" s="6" t="s">
        <v>13588</v>
      </c>
      <c r="D497" s="4">
        <v>666</v>
      </c>
      <c r="E497" s="5" t="s">
        <v>15</v>
      </c>
      <c r="F497" s="5" t="s">
        <v>2726</v>
      </c>
      <c r="G497" s="6" t="s">
        <v>14</v>
      </c>
      <c r="H497" s="4">
        <v>395</v>
      </c>
      <c r="I497" s="5"/>
      <c r="J497" s="5" t="s">
        <v>7310</v>
      </c>
      <c r="K497" s="5" t="s">
        <v>7243</v>
      </c>
      <c r="L497" s="5"/>
      <c r="M497" s="5" t="s">
        <v>1043</v>
      </c>
      <c r="N497" s="5" t="s">
        <v>2729</v>
      </c>
      <c r="O497" s="5"/>
      <c r="P497" s="5"/>
      <c r="Q497" s="5" t="s">
        <v>7311</v>
      </c>
    </row>
    <row r="498" spans="2:17" x14ac:dyDescent="0.2">
      <c r="B498" s="5" t="s">
        <v>7240</v>
      </c>
      <c r="C498" s="6" t="s">
        <v>13588</v>
      </c>
      <c r="D498" s="4">
        <v>667</v>
      </c>
      <c r="E498" s="5" t="s">
        <v>13</v>
      </c>
      <c r="F498" s="5" t="s">
        <v>7290</v>
      </c>
      <c r="G498" s="6" t="s">
        <v>14</v>
      </c>
      <c r="H498" s="4">
        <v>396</v>
      </c>
      <c r="I498" s="5"/>
      <c r="J498" s="5" t="s">
        <v>7291</v>
      </c>
      <c r="K498" s="5" t="s">
        <v>7242</v>
      </c>
      <c r="L498" s="5"/>
      <c r="M498" s="5" t="s">
        <v>342</v>
      </c>
      <c r="N498" s="5" t="s">
        <v>342</v>
      </c>
      <c r="O498" s="5"/>
      <c r="P498" s="5"/>
      <c r="Q498" s="5" t="s">
        <v>7292</v>
      </c>
    </row>
    <row r="499" spans="2:17" x14ac:dyDescent="0.2">
      <c r="B499" s="5" t="s">
        <v>7240</v>
      </c>
      <c r="C499" s="6" t="s">
        <v>13588</v>
      </c>
      <c r="D499" s="4">
        <v>668</v>
      </c>
      <c r="E499" s="5" t="s">
        <v>13</v>
      </c>
      <c r="F499" s="5" t="s">
        <v>7277</v>
      </c>
      <c r="G499" s="6" t="s">
        <v>14</v>
      </c>
      <c r="H499" s="4">
        <v>397</v>
      </c>
      <c r="I499" s="5"/>
      <c r="J499" s="5" t="s">
        <v>7278</v>
      </c>
      <c r="K499" s="5" t="s">
        <v>7279</v>
      </c>
      <c r="L499" s="5"/>
      <c r="M499" s="5" t="s">
        <v>2376</v>
      </c>
      <c r="N499" s="5" t="s">
        <v>2376</v>
      </c>
      <c r="O499" s="5"/>
      <c r="P499" s="5"/>
      <c r="Q499" s="5" t="s">
        <v>7280</v>
      </c>
    </row>
    <row r="500" spans="2:17" x14ac:dyDescent="0.2">
      <c r="B500" s="5" t="s">
        <v>7240</v>
      </c>
      <c r="C500" s="6" t="s">
        <v>13588</v>
      </c>
      <c r="D500" s="4">
        <v>669</v>
      </c>
      <c r="E500" s="5" t="s">
        <v>32</v>
      </c>
      <c r="F500" s="5" t="s">
        <v>7281</v>
      </c>
      <c r="G500" s="6" t="s">
        <v>14</v>
      </c>
      <c r="H500" s="4">
        <v>398</v>
      </c>
      <c r="I500" s="5" t="s">
        <v>22</v>
      </c>
      <c r="J500" s="5" t="s">
        <v>7282</v>
      </c>
      <c r="K500" s="5" t="s">
        <v>7260</v>
      </c>
      <c r="L500" s="5"/>
      <c r="M500" s="5" t="s">
        <v>1436</v>
      </c>
      <c r="N500" s="5" t="s">
        <v>1437</v>
      </c>
      <c r="O500" s="5"/>
      <c r="P500" s="5"/>
      <c r="Q500" s="5" t="s">
        <v>7283</v>
      </c>
    </row>
    <row r="501" spans="2:17" x14ac:dyDescent="0.2">
      <c r="B501" s="5" t="s">
        <v>7240</v>
      </c>
      <c r="C501" s="6" t="s">
        <v>13588</v>
      </c>
      <c r="D501" s="4">
        <v>670</v>
      </c>
      <c r="E501" s="5" t="s">
        <v>32</v>
      </c>
      <c r="F501" s="5" t="s">
        <v>7284</v>
      </c>
      <c r="G501" s="6" t="s">
        <v>14</v>
      </c>
      <c r="H501" s="4">
        <v>399</v>
      </c>
      <c r="I501" s="5" t="s">
        <v>38</v>
      </c>
      <c r="J501" s="5" t="s">
        <v>7285</v>
      </c>
      <c r="K501" s="5" t="s">
        <v>7286</v>
      </c>
      <c r="L501" s="5"/>
      <c r="M501" s="5" t="s">
        <v>1436</v>
      </c>
      <c r="N501" s="5" t="s">
        <v>1437</v>
      </c>
      <c r="O501" s="5"/>
      <c r="P501" s="5"/>
      <c r="Q501" s="5" t="s">
        <v>7287</v>
      </c>
    </row>
    <row r="502" spans="2:17" x14ac:dyDescent="0.2">
      <c r="B502" s="5" t="s">
        <v>7240</v>
      </c>
      <c r="C502" s="6" t="s">
        <v>13588</v>
      </c>
      <c r="D502" s="4">
        <v>671</v>
      </c>
      <c r="E502" s="5" t="s">
        <v>32</v>
      </c>
      <c r="F502" s="5" t="s">
        <v>7281</v>
      </c>
      <c r="G502" s="6" t="s">
        <v>14</v>
      </c>
      <c r="H502" s="4">
        <v>400</v>
      </c>
      <c r="I502" s="5" t="s">
        <v>38</v>
      </c>
      <c r="J502" s="5" t="s">
        <v>7288</v>
      </c>
      <c r="K502" s="5" t="s">
        <v>7242</v>
      </c>
      <c r="L502" s="5"/>
      <c r="M502" s="5" t="s">
        <v>1436</v>
      </c>
      <c r="N502" s="5" t="s">
        <v>1437</v>
      </c>
      <c r="O502" s="5"/>
      <c r="P502" s="5"/>
      <c r="Q502" s="5" t="s">
        <v>7289</v>
      </c>
    </row>
    <row r="503" spans="2:17" x14ac:dyDescent="0.2">
      <c r="B503" s="5" t="s">
        <v>7240</v>
      </c>
      <c r="C503" s="6" t="s">
        <v>13588</v>
      </c>
      <c r="D503" s="4">
        <v>672</v>
      </c>
      <c r="E503" s="5" t="s">
        <v>13</v>
      </c>
      <c r="F503" s="5" t="s">
        <v>7256</v>
      </c>
      <c r="G503" s="6" t="s">
        <v>14</v>
      </c>
      <c r="H503" s="4">
        <v>401</v>
      </c>
      <c r="I503" s="5"/>
      <c r="J503" s="5" t="s">
        <v>7259</v>
      </c>
      <c r="K503" s="5" t="s">
        <v>7260</v>
      </c>
      <c r="L503" s="5"/>
      <c r="M503" s="5" t="s">
        <v>1750</v>
      </c>
      <c r="N503" s="5" t="s">
        <v>1442</v>
      </c>
      <c r="O503" s="5"/>
      <c r="P503" s="5"/>
      <c r="Q503" s="5" t="s">
        <v>7261</v>
      </c>
    </row>
    <row r="504" spans="2:17" x14ac:dyDescent="0.2">
      <c r="B504" s="5" t="s">
        <v>7240</v>
      </c>
      <c r="C504" s="6" t="s">
        <v>13588</v>
      </c>
      <c r="D504" s="4">
        <v>674</v>
      </c>
      <c r="E504" s="5" t="s">
        <v>15</v>
      </c>
      <c r="F504" s="5" t="s">
        <v>7265</v>
      </c>
      <c r="G504" s="6" t="s">
        <v>14</v>
      </c>
      <c r="H504" s="4">
        <v>402</v>
      </c>
      <c r="I504" s="5"/>
      <c r="J504" s="5" t="s">
        <v>7266</v>
      </c>
      <c r="K504" s="5" t="s">
        <v>7263</v>
      </c>
      <c r="L504" s="5"/>
      <c r="M504" s="5" t="s">
        <v>1377</v>
      </c>
      <c r="N504" s="5" t="s">
        <v>1377</v>
      </c>
      <c r="O504" s="5" t="s">
        <v>7244</v>
      </c>
      <c r="P504" s="5"/>
      <c r="Q504" s="5" t="s">
        <v>7267</v>
      </c>
    </row>
    <row r="505" spans="2:17" x14ac:dyDescent="0.2">
      <c r="B505" s="5" t="s">
        <v>7240</v>
      </c>
      <c r="C505" s="6" t="s">
        <v>13588</v>
      </c>
      <c r="D505" s="4">
        <v>675</v>
      </c>
      <c r="E505" s="5" t="s">
        <v>32</v>
      </c>
      <c r="F505" s="5" t="s">
        <v>7312</v>
      </c>
      <c r="G505" s="6" t="s">
        <v>14</v>
      </c>
      <c r="H505" s="4">
        <v>403</v>
      </c>
      <c r="I505" s="5" t="s">
        <v>38</v>
      </c>
      <c r="J505" s="5" t="s">
        <v>7313</v>
      </c>
      <c r="K505" s="5" t="s">
        <v>7241</v>
      </c>
      <c r="L505" s="5"/>
      <c r="M505" s="5" t="s">
        <v>1658</v>
      </c>
      <c r="N505" s="5" t="s">
        <v>1385</v>
      </c>
      <c r="O505" s="5"/>
      <c r="P505" s="5"/>
      <c r="Q505" s="5" t="s">
        <v>7314</v>
      </c>
    </row>
    <row r="506" spans="2:17" x14ac:dyDescent="0.2">
      <c r="B506" s="5" t="s">
        <v>7240</v>
      </c>
      <c r="C506" s="6" t="s">
        <v>13588</v>
      </c>
      <c r="D506" s="4">
        <v>676</v>
      </c>
      <c r="E506" s="5" t="s">
        <v>13</v>
      </c>
      <c r="F506" s="5" t="s">
        <v>7256</v>
      </c>
      <c r="G506" s="6" t="s">
        <v>14</v>
      </c>
      <c r="H506" s="4">
        <v>404</v>
      </c>
      <c r="I506" s="5"/>
      <c r="J506" s="5" t="s">
        <v>7257</v>
      </c>
      <c r="K506" s="5" t="s">
        <v>7242</v>
      </c>
      <c r="L506" s="5"/>
      <c r="M506" s="5" t="s">
        <v>1750</v>
      </c>
      <c r="N506" s="5" t="s">
        <v>1750</v>
      </c>
      <c r="O506" s="5"/>
      <c r="P506" s="5"/>
      <c r="Q506" s="5" t="s">
        <v>7258</v>
      </c>
    </row>
    <row r="507" spans="2:17" x14ac:dyDescent="0.2">
      <c r="B507" s="5" t="s">
        <v>7240</v>
      </c>
      <c r="C507" s="6" t="s">
        <v>13588</v>
      </c>
      <c r="D507" s="4">
        <v>677</v>
      </c>
      <c r="E507" s="5" t="s">
        <v>13</v>
      </c>
      <c r="F507" s="5" t="s">
        <v>7256</v>
      </c>
      <c r="G507" s="6" t="s">
        <v>14</v>
      </c>
      <c r="H507" s="4">
        <v>405</v>
      </c>
      <c r="I507" s="5"/>
      <c r="J507" s="5" t="s">
        <v>7262</v>
      </c>
      <c r="K507" s="5" t="s">
        <v>7263</v>
      </c>
      <c r="L507" s="5"/>
      <c r="M507" s="5" t="s">
        <v>1750</v>
      </c>
      <c r="N507" s="5" t="s">
        <v>1750</v>
      </c>
      <c r="O507" s="5"/>
      <c r="P507" s="5"/>
      <c r="Q507" s="5" t="s">
        <v>7264</v>
      </c>
    </row>
    <row r="508" spans="2:17" x14ac:dyDescent="0.2">
      <c r="B508" s="5" t="s">
        <v>7240</v>
      </c>
      <c r="C508" s="6" t="s">
        <v>13588</v>
      </c>
      <c r="D508" s="4">
        <v>682</v>
      </c>
      <c r="E508" s="5" t="s">
        <v>82</v>
      </c>
      <c r="F508" s="5" t="s">
        <v>7247</v>
      </c>
      <c r="G508" s="6" t="s">
        <v>14</v>
      </c>
      <c r="H508" s="4">
        <v>406</v>
      </c>
      <c r="I508" s="5"/>
      <c r="J508" s="5" t="s">
        <v>7250</v>
      </c>
      <c r="K508" s="5" t="s">
        <v>7243</v>
      </c>
      <c r="L508" s="5" t="s">
        <v>7251</v>
      </c>
      <c r="M508" s="5" t="s">
        <v>1715</v>
      </c>
      <c r="N508" s="5" t="s">
        <v>1715</v>
      </c>
      <c r="O508" s="5" t="s">
        <v>7244</v>
      </c>
      <c r="P508" s="5"/>
      <c r="Q508" s="5" t="s">
        <v>7252</v>
      </c>
    </row>
    <row r="509" spans="2:17" x14ac:dyDescent="0.2">
      <c r="B509" s="5" t="s">
        <v>7240</v>
      </c>
      <c r="C509" s="6" t="s">
        <v>13588</v>
      </c>
      <c r="D509" s="4">
        <v>683</v>
      </c>
      <c r="E509" s="5" t="s">
        <v>82</v>
      </c>
      <c r="F509" s="5" t="s">
        <v>7247</v>
      </c>
      <c r="G509" s="6" t="s">
        <v>14</v>
      </c>
      <c r="H509" s="4">
        <v>407</v>
      </c>
      <c r="I509" s="5"/>
      <c r="J509" s="5" t="s">
        <v>7248</v>
      </c>
      <c r="K509" s="5" t="s">
        <v>7245</v>
      </c>
      <c r="L509" s="5"/>
      <c r="M509" s="5" t="s">
        <v>1715</v>
      </c>
      <c r="N509" s="5" t="s">
        <v>1715</v>
      </c>
      <c r="O509" s="5" t="s">
        <v>7244</v>
      </c>
      <c r="P509" s="5"/>
      <c r="Q509" s="5" t="s">
        <v>7249</v>
      </c>
    </row>
    <row r="510" spans="2:17" x14ac:dyDescent="0.2">
      <c r="B510" s="5" t="s">
        <v>7240</v>
      </c>
      <c r="C510" s="6" t="s">
        <v>13588</v>
      </c>
      <c r="D510" s="4">
        <v>684</v>
      </c>
      <c r="E510" s="5" t="s">
        <v>32</v>
      </c>
      <c r="F510" s="5" t="s">
        <v>7312</v>
      </c>
      <c r="G510" s="6" t="s">
        <v>14</v>
      </c>
      <c r="H510" s="4">
        <v>408</v>
      </c>
      <c r="I510" s="5" t="s">
        <v>38</v>
      </c>
      <c r="J510" s="5" t="s">
        <v>7315</v>
      </c>
      <c r="K510" s="5" t="s">
        <v>7241</v>
      </c>
      <c r="L510" s="5"/>
      <c r="M510" s="5" t="s">
        <v>1658</v>
      </c>
      <c r="N510" s="5" t="s">
        <v>496</v>
      </c>
      <c r="O510" s="5"/>
      <c r="P510" s="5"/>
      <c r="Q510" s="5" t="s">
        <v>7316</v>
      </c>
    </row>
    <row r="511" spans="2:17" x14ac:dyDescent="0.2">
      <c r="B511" s="5" t="s">
        <v>7240</v>
      </c>
      <c r="C511" s="6" t="s">
        <v>13588</v>
      </c>
      <c r="D511" s="4">
        <v>685</v>
      </c>
      <c r="E511" s="5" t="s">
        <v>32</v>
      </c>
      <c r="F511" s="5" t="s">
        <v>7312</v>
      </c>
      <c r="G511" s="6" t="s">
        <v>14</v>
      </c>
      <c r="H511" s="4">
        <v>409</v>
      </c>
      <c r="I511" s="5" t="s">
        <v>38</v>
      </c>
      <c r="J511" s="5" t="s">
        <v>7317</v>
      </c>
      <c r="K511" s="5" t="s">
        <v>7242</v>
      </c>
      <c r="L511" s="5"/>
      <c r="M511" s="5" t="s">
        <v>1658</v>
      </c>
      <c r="N511" s="5" t="s">
        <v>496</v>
      </c>
      <c r="O511" s="5"/>
      <c r="P511" s="5"/>
      <c r="Q511" s="5" t="s">
        <v>7318</v>
      </c>
    </row>
    <row r="512" spans="2:17" x14ac:dyDescent="0.2">
      <c r="B512" s="5" t="s">
        <v>7240</v>
      </c>
      <c r="C512" s="6" t="s">
        <v>13588</v>
      </c>
      <c r="D512" s="4">
        <v>686</v>
      </c>
      <c r="E512" s="5" t="s">
        <v>32</v>
      </c>
      <c r="F512" s="5" t="s">
        <v>7297</v>
      </c>
      <c r="G512" s="6" t="s">
        <v>14</v>
      </c>
      <c r="H512" s="4">
        <v>410</v>
      </c>
      <c r="I512" s="5" t="s">
        <v>38</v>
      </c>
      <c r="J512" s="5" t="s">
        <v>7298</v>
      </c>
      <c r="K512" s="5" t="s">
        <v>7299</v>
      </c>
      <c r="L512" s="5"/>
      <c r="M512" s="5" t="s">
        <v>122</v>
      </c>
      <c r="N512" s="5" t="s">
        <v>366</v>
      </c>
      <c r="O512" s="5"/>
      <c r="P512" s="5"/>
      <c r="Q512" s="5" t="s">
        <v>7300</v>
      </c>
    </row>
    <row r="513" spans="2:17" x14ac:dyDescent="0.2">
      <c r="B513" s="5" t="s">
        <v>7240</v>
      </c>
      <c r="C513" s="6" t="s">
        <v>13588</v>
      </c>
      <c r="D513" s="4">
        <v>688</v>
      </c>
      <c r="E513" s="5" t="s">
        <v>32</v>
      </c>
      <c r="F513" s="5" t="s">
        <v>7293</v>
      </c>
      <c r="G513" s="6" t="s">
        <v>14</v>
      </c>
      <c r="H513" s="4">
        <v>411</v>
      </c>
      <c r="I513" s="5" t="s">
        <v>38</v>
      </c>
      <c r="J513" s="5" t="s">
        <v>7294</v>
      </c>
      <c r="K513" s="5" t="s">
        <v>7295</v>
      </c>
      <c r="L513" s="5"/>
      <c r="M513" s="5" t="s">
        <v>3094</v>
      </c>
      <c r="N513" s="5" t="s">
        <v>351</v>
      </c>
      <c r="O513" s="5"/>
      <c r="P513" s="5"/>
      <c r="Q513" s="5" t="s">
        <v>7296</v>
      </c>
    </row>
    <row r="514" spans="2:17" x14ac:dyDescent="0.2">
      <c r="B514" s="5" t="s">
        <v>7319</v>
      </c>
      <c r="C514" s="6" t="s">
        <v>13588</v>
      </c>
      <c r="D514" s="4">
        <v>689</v>
      </c>
      <c r="E514" s="5" t="s">
        <v>15</v>
      </c>
      <c r="F514" s="5" t="s">
        <v>7405</v>
      </c>
      <c r="G514" s="6" t="s">
        <v>14</v>
      </c>
      <c r="H514" s="4">
        <v>412</v>
      </c>
      <c r="I514" s="5"/>
      <c r="J514" s="5" t="s">
        <v>7406</v>
      </c>
      <c r="K514" s="5" t="s">
        <v>7407</v>
      </c>
      <c r="L514" s="5"/>
      <c r="M514" s="5" t="s">
        <v>3487</v>
      </c>
      <c r="N514" s="5" t="s">
        <v>3487</v>
      </c>
      <c r="O514" s="5" t="s">
        <v>7347</v>
      </c>
      <c r="P514" s="5"/>
      <c r="Q514" s="5" t="s">
        <v>7408</v>
      </c>
    </row>
    <row r="515" spans="2:17" x14ac:dyDescent="0.2">
      <c r="B515" s="5" t="s">
        <v>7319</v>
      </c>
      <c r="C515" s="6" t="s">
        <v>13588</v>
      </c>
      <c r="D515" s="4">
        <v>690</v>
      </c>
      <c r="E515" s="5" t="s">
        <v>15</v>
      </c>
      <c r="F515" s="5" t="s">
        <v>7397</v>
      </c>
      <c r="G515" s="6" t="s">
        <v>14</v>
      </c>
      <c r="H515" s="4">
        <v>413</v>
      </c>
      <c r="I515" s="5"/>
      <c r="J515" s="5" t="s">
        <v>7398</v>
      </c>
      <c r="K515" s="5" t="s">
        <v>7399</v>
      </c>
      <c r="L515" s="5" t="s">
        <v>7400</v>
      </c>
      <c r="M515" s="5" t="s">
        <v>1672</v>
      </c>
      <c r="N515" s="5" t="s">
        <v>1899</v>
      </c>
      <c r="O515" s="5" t="s">
        <v>7328</v>
      </c>
      <c r="P515" s="5"/>
      <c r="Q515" s="5" t="s">
        <v>7401</v>
      </c>
    </row>
    <row r="516" spans="2:17" x14ac:dyDescent="0.2">
      <c r="B516" s="5" t="s">
        <v>7319</v>
      </c>
      <c r="C516" s="6" t="s">
        <v>13588</v>
      </c>
      <c r="D516" s="4">
        <v>691</v>
      </c>
      <c r="E516" s="5" t="s">
        <v>15</v>
      </c>
      <c r="F516" s="5" t="s">
        <v>7397</v>
      </c>
      <c r="G516" s="6" t="s">
        <v>14</v>
      </c>
      <c r="H516" s="4">
        <v>414</v>
      </c>
      <c r="I516" s="5"/>
      <c r="J516" s="5" t="s">
        <v>7402</v>
      </c>
      <c r="K516" s="5" t="s">
        <v>7399</v>
      </c>
      <c r="L516" s="5" t="s">
        <v>7403</v>
      </c>
      <c r="M516" s="5" t="s">
        <v>1672</v>
      </c>
      <c r="N516" s="5" t="s">
        <v>1899</v>
      </c>
      <c r="O516" s="5" t="s">
        <v>7328</v>
      </c>
      <c r="P516" s="5"/>
      <c r="Q516" s="5" t="s">
        <v>7404</v>
      </c>
    </row>
    <row r="517" spans="2:17" x14ac:dyDescent="0.2">
      <c r="B517" s="5" t="s">
        <v>7319</v>
      </c>
      <c r="C517" s="6" t="s">
        <v>13588</v>
      </c>
      <c r="D517" s="4">
        <v>694</v>
      </c>
      <c r="E517" s="5" t="s">
        <v>24</v>
      </c>
      <c r="F517" s="5" t="s">
        <v>7367</v>
      </c>
      <c r="G517" s="6" t="s">
        <v>14</v>
      </c>
      <c r="H517" s="4">
        <v>415</v>
      </c>
      <c r="I517" s="5"/>
      <c r="J517" s="5" t="s">
        <v>7368</v>
      </c>
      <c r="K517" s="5" t="s">
        <v>7326</v>
      </c>
      <c r="L517" s="5"/>
      <c r="M517" s="5" t="s">
        <v>1436</v>
      </c>
      <c r="N517" s="5" t="s">
        <v>1437</v>
      </c>
      <c r="O517" s="5" t="s">
        <v>7347</v>
      </c>
      <c r="P517" s="5"/>
      <c r="Q517" s="5" t="s">
        <v>7369</v>
      </c>
    </row>
    <row r="518" spans="2:17" x14ac:dyDescent="0.2">
      <c r="B518" s="5" t="s">
        <v>7319</v>
      </c>
      <c r="C518" s="6" t="s">
        <v>13588</v>
      </c>
      <c r="D518" s="4">
        <v>698</v>
      </c>
      <c r="E518" s="5" t="s">
        <v>32</v>
      </c>
      <c r="F518" s="5" t="s">
        <v>7330</v>
      </c>
      <c r="G518" s="6" t="s">
        <v>14</v>
      </c>
      <c r="H518" s="4">
        <v>416</v>
      </c>
      <c r="I518" s="5" t="s">
        <v>22</v>
      </c>
      <c r="J518" s="5" t="s">
        <v>7331</v>
      </c>
      <c r="K518" s="5" t="s">
        <v>7325</v>
      </c>
      <c r="L518" s="5"/>
      <c r="M518" s="5" t="s">
        <v>573</v>
      </c>
      <c r="N518" s="5" t="s">
        <v>1258</v>
      </c>
      <c r="O518" s="5" t="s">
        <v>7332</v>
      </c>
      <c r="P518" s="5"/>
      <c r="Q518" s="5" t="s">
        <v>7333</v>
      </c>
    </row>
    <row r="519" spans="2:17" x14ac:dyDescent="0.2">
      <c r="B519" s="5" t="s">
        <v>7319</v>
      </c>
      <c r="C519" s="6" t="s">
        <v>13588</v>
      </c>
      <c r="D519" s="4">
        <v>699</v>
      </c>
      <c r="E519" s="5" t="s">
        <v>32</v>
      </c>
      <c r="F519" s="5" t="s">
        <v>7330</v>
      </c>
      <c r="G519" s="6" t="s">
        <v>14</v>
      </c>
      <c r="H519" s="4">
        <v>417</v>
      </c>
      <c r="I519" s="5" t="s">
        <v>38</v>
      </c>
      <c r="J519" s="5" t="s">
        <v>7334</v>
      </c>
      <c r="K519" s="5" t="s">
        <v>7322</v>
      </c>
      <c r="L519" s="5" t="s">
        <v>7335</v>
      </c>
      <c r="M519" s="5" t="s">
        <v>573</v>
      </c>
      <c r="N519" s="5" t="s">
        <v>1258</v>
      </c>
      <c r="O519" s="5" t="s">
        <v>7332</v>
      </c>
      <c r="P519" s="5"/>
      <c r="Q519" s="5" t="s">
        <v>7336</v>
      </c>
    </row>
    <row r="520" spans="2:17" x14ac:dyDescent="0.2">
      <c r="B520" s="5" t="s">
        <v>7319</v>
      </c>
      <c r="C520" s="6" t="s">
        <v>13588</v>
      </c>
      <c r="D520" s="4">
        <v>700</v>
      </c>
      <c r="E520" s="5" t="s">
        <v>32</v>
      </c>
      <c r="F520" s="5" t="s">
        <v>7330</v>
      </c>
      <c r="G520" s="6" t="s">
        <v>14</v>
      </c>
      <c r="H520" s="4">
        <v>418</v>
      </c>
      <c r="I520" s="5" t="s">
        <v>38</v>
      </c>
      <c r="J520" s="5" t="s">
        <v>7337</v>
      </c>
      <c r="K520" s="5" t="s">
        <v>7338</v>
      </c>
      <c r="L520" s="5"/>
      <c r="M520" s="5" t="s">
        <v>573</v>
      </c>
      <c r="N520" s="5" t="s">
        <v>1258</v>
      </c>
      <c r="O520" s="5" t="s">
        <v>7332</v>
      </c>
      <c r="P520" s="5"/>
      <c r="Q520" s="5" t="s">
        <v>7339</v>
      </c>
    </row>
    <row r="521" spans="2:17" x14ac:dyDescent="0.2">
      <c r="B521" s="5" t="s">
        <v>7319</v>
      </c>
      <c r="C521" s="6" t="s">
        <v>13588</v>
      </c>
      <c r="D521" s="4">
        <v>701</v>
      </c>
      <c r="E521" s="5" t="s">
        <v>32</v>
      </c>
      <c r="F521" s="5" t="s">
        <v>7330</v>
      </c>
      <c r="G521" s="6" t="s">
        <v>14</v>
      </c>
      <c r="H521" s="4">
        <v>419</v>
      </c>
      <c r="I521" s="5" t="s">
        <v>22</v>
      </c>
      <c r="J521" s="5" t="s">
        <v>7340</v>
      </c>
      <c r="K521" s="5" t="s">
        <v>7321</v>
      </c>
      <c r="L521" s="5" t="s">
        <v>7341</v>
      </c>
      <c r="M521" s="5" t="s">
        <v>573</v>
      </c>
      <c r="N521" s="5" t="s">
        <v>1258</v>
      </c>
      <c r="O521" s="5" t="s">
        <v>7332</v>
      </c>
      <c r="P521" s="5"/>
      <c r="Q521" s="5" t="s">
        <v>7342</v>
      </c>
    </row>
    <row r="522" spans="2:17" x14ac:dyDescent="0.2">
      <c r="B522" s="5" t="s">
        <v>7319</v>
      </c>
      <c r="C522" s="6" t="s">
        <v>13588</v>
      </c>
      <c r="D522" s="4">
        <v>702</v>
      </c>
      <c r="E522" s="5" t="s">
        <v>32</v>
      </c>
      <c r="F522" s="5" t="s">
        <v>7343</v>
      </c>
      <c r="G522" s="6" t="s">
        <v>14</v>
      </c>
      <c r="H522" s="4">
        <v>420</v>
      </c>
      <c r="I522" s="5" t="s">
        <v>38</v>
      </c>
      <c r="J522" s="5" t="s">
        <v>7344</v>
      </c>
      <c r="K522" s="5" t="s">
        <v>7345</v>
      </c>
      <c r="L522" s="5" t="s">
        <v>7346</v>
      </c>
      <c r="M522" s="5" t="s">
        <v>573</v>
      </c>
      <c r="N522" s="5" t="s">
        <v>1258</v>
      </c>
      <c r="O522" s="5" t="s">
        <v>7347</v>
      </c>
      <c r="P522" s="5"/>
      <c r="Q522" s="5" t="s">
        <v>7348</v>
      </c>
    </row>
    <row r="523" spans="2:17" x14ac:dyDescent="0.2">
      <c r="B523" s="5" t="s">
        <v>7319</v>
      </c>
      <c r="C523" s="6" t="s">
        <v>13588</v>
      </c>
      <c r="D523" s="4">
        <v>703</v>
      </c>
      <c r="E523" s="5" t="s">
        <v>32</v>
      </c>
      <c r="F523" s="5" t="s">
        <v>7330</v>
      </c>
      <c r="G523" s="6" t="s">
        <v>14</v>
      </c>
      <c r="H523" s="4">
        <v>421</v>
      </c>
      <c r="I523" s="5" t="s">
        <v>38</v>
      </c>
      <c r="J523" s="5" t="s">
        <v>7349</v>
      </c>
      <c r="K523" s="5" t="s">
        <v>7327</v>
      </c>
      <c r="L523" s="5" t="s">
        <v>7350</v>
      </c>
      <c r="M523" s="5" t="s">
        <v>573</v>
      </c>
      <c r="N523" s="5" t="s">
        <v>1258</v>
      </c>
      <c r="O523" s="5" t="s">
        <v>7347</v>
      </c>
      <c r="P523" s="5"/>
      <c r="Q523" s="5" t="s">
        <v>7351</v>
      </c>
    </row>
    <row r="524" spans="2:17" x14ac:dyDescent="0.2">
      <c r="B524" s="5" t="s">
        <v>7319</v>
      </c>
      <c r="C524" s="6" t="s">
        <v>13588</v>
      </c>
      <c r="D524" s="4">
        <v>704</v>
      </c>
      <c r="E524" s="5" t="s">
        <v>32</v>
      </c>
      <c r="F524" s="5" t="s">
        <v>7330</v>
      </c>
      <c r="G524" s="6" t="s">
        <v>14</v>
      </c>
      <c r="H524" s="4">
        <v>422</v>
      </c>
      <c r="I524" s="5" t="s">
        <v>38</v>
      </c>
      <c r="J524" s="5" t="s">
        <v>7352</v>
      </c>
      <c r="K524" s="5" t="s">
        <v>7353</v>
      </c>
      <c r="L524" s="5" t="s">
        <v>7354</v>
      </c>
      <c r="M524" s="5" t="s">
        <v>573</v>
      </c>
      <c r="N524" s="5" t="s">
        <v>1258</v>
      </c>
      <c r="O524" s="5" t="s">
        <v>7347</v>
      </c>
      <c r="P524" s="5"/>
      <c r="Q524" s="5" t="s">
        <v>7355</v>
      </c>
    </row>
    <row r="525" spans="2:17" x14ac:dyDescent="0.2">
      <c r="B525" s="5" t="s">
        <v>7319</v>
      </c>
      <c r="C525" s="6" t="s">
        <v>13588</v>
      </c>
      <c r="D525" s="4">
        <v>705</v>
      </c>
      <c r="E525" s="5" t="s">
        <v>35</v>
      </c>
      <c r="F525" s="5" t="s">
        <v>7382</v>
      </c>
      <c r="G525" s="6" t="s">
        <v>14</v>
      </c>
      <c r="H525" s="4">
        <v>423</v>
      </c>
      <c r="I525" s="5"/>
      <c r="J525" s="5"/>
      <c r="K525" s="5" t="s">
        <v>7325</v>
      </c>
      <c r="L525" s="5"/>
      <c r="M525" s="5" t="s">
        <v>399</v>
      </c>
      <c r="N525" s="5" t="s">
        <v>2134</v>
      </c>
      <c r="O525" s="5" t="s">
        <v>7332</v>
      </c>
      <c r="P525" s="5"/>
      <c r="Q525" s="5" t="s">
        <v>7383</v>
      </c>
    </row>
    <row r="526" spans="2:17" x14ac:dyDescent="0.2">
      <c r="B526" s="5" t="s">
        <v>7319</v>
      </c>
      <c r="C526" s="6" t="s">
        <v>13588</v>
      </c>
      <c r="D526" s="4">
        <v>706</v>
      </c>
      <c r="E526" s="5" t="s">
        <v>35</v>
      </c>
      <c r="F526" s="5" t="s">
        <v>7382</v>
      </c>
      <c r="G526" s="6" t="s">
        <v>14</v>
      </c>
      <c r="H526" s="4">
        <v>424</v>
      </c>
      <c r="I526" s="5"/>
      <c r="J526" s="5"/>
      <c r="K526" s="5" t="s">
        <v>7322</v>
      </c>
      <c r="L526" s="5"/>
      <c r="M526" s="5" t="s">
        <v>399</v>
      </c>
      <c r="N526" s="5" t="s">
        <v>2134</v>
      </c>
      <c r="O526" s="5" t="s">
        <v>7332</v>
      </c>
      <c r="P526" s="5"/>
      <c r="Q526" s="5" t="s">
        <v>7384</v>
      </c>
    </row>
    <row r="527" spans="2:17" x14ac:dyDescent="0.2">
      <c r="B527" s="5" t="s">
        <v>7409</v>
      </c>
      <c r="C527" s="6" t="s">
        <v>13588</v>
      </c>
      <c r="D527" s="4">
        <v>712</v>
      </c>
      <c r="E527" s="5" t="s">
        <v>13</v>
      </c>
      <c r="F527" s="5" t="s">
        <v>7433</v>
      </c>
      <c r="G527" s="6" t="s">
        <v>14</v>
      </c>
      <c r="H527" s="4">
        <v>425</v>
      </c>
      <c r="I527" s="5"/>
      <c r="J527" s="5" t="s">
        <v>7434</v>
      </c>
      <c r="K527" s="5" t="s">
        <v>7419</v>
      </c>
      <c r="L527" s="5"/>
      <c r="M527" s="5" t="s">
        <v>204</v>
      </c>
      <c r="N527" s="5" t="s">
        <v>204</v>
      </c>
      <c r="O527" s="5" t="s">
        <v>7412</v>
      </c>
      <c r="P527" s="5"/>
      <c r="Q527" s="5" t="s">
        <v>7435</v>
      </c>
    </row>
    <row r="528" spans="2:17" x14ac:dyDescent="0.2">
      <c r="B528" s="5" t="s">
        <v>7409</v>
      </c>
      <c r="C528" s="6" t="s">
        <v>13588</v>
      </c>
      <c r="D528" s="4">
        <v>714</v>
      </c>
      <c r="E528" s="5" t="s">
        <v>32</v>
      </c>
      <c r="F528" s="5" t="s">
        <v>7425</v>
      </c>
      <c r="G528" s="6" t="s">
        <v>14</v>
      </c>
      <c r="H528" s="4">
        <v>426</v>
      </c>
      <c r="I528" s="5" t="s">
        <v>22</v>
      </c>
      <c r="J528" s="5" t="s">
        <v>7426</v>
      </c>
      <c r="K528" s="5" t="s">
        <v>7410</v>
      </c>
      <c r="L528" s="5" t="s">
        <v>7411</v>
      </c>
      <c r="M528" s="5" t="s">
        <v>301</v>
      </c>
      <c r="N528" s="5" t="s">
        <v>296</v>
      </c>
      <c r="O528" s="5" t="s">
        <v>7427</v>
      </c>
      <c r="P528" s="5"/>
      <c r="Q528" s="5" t="s">
        <v>7428</v>
      </c>
    </row>
    <row r="529" spans="2:17" x14ac:dyDescent="0.2">
      <c r="B529" s="5" t="s">
        <v>7409</v>
      </c>
      <c r="C529" s="6" t="s">
        <v>13588</v>
      </c>
      <c r="D529" s="4">
        <v>716</v>
      </c>
      <c r="E529" s="5" t="s">
        <v>32</v>
      </c>
      <c r="F529" s="5" t="s">
        <v>7414</v>
      </c>
      <c r="G529" s="6" t="s">
        <v>14</v>
      </c>
      <c r="H529" s="4">
        <v>427</v>
      </c>
      <c r="I529" s="5" t="s">
        <v>22</v>
      </c>
      <c r="J529" s="5" t="s">
        <v>7415</v>
      </c>
      <c r="K529" s="5" t="s">
        <v>7413</v>
      </c>
      <c r="L529" s="5"/>
      <c r="M529" s="5" t="s">
        <v>1201</v>
      </c>
      <c r="N529" s="5" t="s">
        <v>1208</v>
      </c>
      <c r="O529" s="5" t="s">
        <v>7412</v>
      </c>
      <c r="P529" s="5"/>
      <c r="Q529" s="5" t="s">
        <v>7416</v>
      </c>
    </row>
    <row r="530" spans="2:17" x14ac:dyDescent="0.2">
      <c r="B530" s="5" t="s">
        <v>7409</v>
      </c>
      <c r="C530" s="6" t="s">
        <v>13588</v>
      </c>
      <c r="D530" s="4">
        <v>717</v>
      </c>
      <c r="E530" s="5" t="s">
        <v>20</v>
      </c>
      <c r="F530" s="5" t="s">
        <v>7417</v>
      </c>
      <c r="G530" s="6" t="s">
        <v>14</v>
      </c>
      <c r="H530" s="4">
        <v>428</v>
      </c>
      <c r="I530" s="5" t="s">
        <v>22</v>
      </c>
      <c r="J530" s="5" t="s">
        <v>7418</v>
      </c>
      <c r="K530" s="5" t="s">
        <v>7419</v>
      </c>
      <c r="L530" s="5"/>
      <c r="M530" s="5" t="s">
        <v>1269</v>
      </c>
      <c r="N530" s="5" t="s">
        <v>6991</v>
      </c>
      <c r="O530" s="5" t="s">
        <v>7412</v>
      </c>
      <c r="P530" s="5"/>
      <c r="Q530" s="5" t="s">
        <v>7420</v>
      </c>
    </row>
    <row r="531" spans="2:17" x14ac:dyDescent="0.2">
      <c r="B531" s="5" t="s">
        <v>7459</v>
      </c>
      <c r="C531" s="6" t="s">
        <v>13588</v>
      </c>
      <c r="D531" s="4">
        <v>724</v>
      </c>
      <c r="E531" s="5" t="s">
        <v>24</v>
      </c>
      <c r="F531" s="5" t="s">
        <v>7466</v>
      </c>
      <c r="G531" s="6" t="s">
        <v>14</v>
      </c>
      <c r="H531" s="4">
        <v>429</v>
      </c>
      <c r="I531" s="5"/>
      <c r="J531" s="5" t="s">
        <v>7467</v>
      </c>
      <c r="K531" s="5" t="s">
        <v>7468</v>
      </c>
      <c r="L531" s="5"/>
      <c r="M531" s="5" t="s">
        <v>1384</v>
      </c>
      <c r="N531" s="5" t="s">
        <v>1258</v>
      </c>
      <c r="O531" s="5" t="s">
        <v>7460</v>
      </c>
      <c r="P531" s="5"/>
      <c r="Q531" s="5" t="s">
        <v>7469</v>
      </c>
    </row>
    <row r="532" spans="2:17" x14ac:dyDescent="0.2">
      <c r="B532" s="5" t="s">
        <v>7474</v>
      </c>
      <c r="C532" s="6" t="s">
        <v>13588</v>
      </c>
      <c r="D532" s="4">
        <v>734</v>
      </c>
      <c r="E532" s="5" t="s">
        <v>32</v>
      </c>
      <c r="F532" s="5" t="s">
        <v>7503</v>
      </c>
      <c r="G532" s="6" t="s">
        <v>14</v>
      </c>
      <c r="H532" s="4">
        <v>430</v>
      </c>
      <c r="I532" s="5" t="s">
        <v>22</v>
      </c>
      <c r="J532" s="5" t="s">
        <v>7504</v>
      </c>
      <c r="K532" s="5" t="s">
        <v>7497</v>
      </c>
      <c r="L532" s="5"/>
      <c r="M532" s="5" t="s">
        <v>645</v>
      </c>
      <c r="N532" s="5" t="s">
        <v>1416</v>
      </c>
      <c r="O532" s="5" t="s">
        <v>7480</v>
      </c>
      <c r="P532" s="5"/>
      <c r="Q532" s="5" t="s">
        <v>7505</v>
      </c>
    </row>
    <row r="533" spans="2:17" x14ac:dyDescent="0.2">
      <c r="B533" s="5" t="s">
        <v>7474</v>
      </c>
      <c r="C533" s="6" t="s">
        <v>13588</v>
      </c>
      <c r="D533" s="4">
        <v>736</v>
      </c>
      <c r="E533" s="5" t="s">
        <v>20</v>
      </c>
      <c r="F533" s="5" t="s">
        <v>7499</v>
      </c>
      <c r="G533" s="6" t="s">
        <v>14</v>
      </c>
      <c r="H533" s="4">
        <v>431</v>
      </c>
      <c r="I533" s="5" t="s">
        <v>22</v>
      </c>
      <c r="J533" s="5" t="s">
        <v>7500</v>
      </c>
      <c r="K533" s="5" t="s">
        <v>7501</v>
      </c>
      <c r="L533" s="5"/>
      <c r="M533" s="5" t="s">
        <v>1384</v>
      </c>
      <c r="N533" s="5" t="s">
        <v>1385</v>
      </c>
      <c r="O533" s="5" t="s">
        <v>7476</v>
      </c>
      <c r="P533" s="5"/>
      <c r="Q533" s="5" t="s">
        <v>7502</v>
      </c>
    </row>
    <row r="534" spans="2:17" x14ac:dyDescent="0.2">
      <c r="B534" s="5" t="s">
        <v>7474</v>
      </c>
      <c r="C534" s="6" t="s">
        <v>13588</v>
      </c>
      <c r="D534" s="4">
        <v>737</v>
      </c>
      <c r="E534" s="5" t="s">
        <v>32</v>
      </c>
      <c r="F534" s="5" t="s">
        <v>7493</v>
      </c>
      <c r="G534" s="6" t="s">
        <v>14</v>
      </c>
      <c r="H534" s="4">
        <v>432</v>
      </c>
      <c r="I534" s="5" t="s">
        <v>22</v>
      </c>
      <c r="J534" s="5" t="s">
        <v>7484</v>
      </c>
      <c r="K534" s="5" t="s">
        <v>7481</v>
      </c>
      <c r="L534" s="5"/>
      <c r="M534" s="5" t="s">
        <v>301</v>
      </c>
      <c r="N534" s="5" t="s">
        <v>296</v>
      </c>
      <c r="O534" s="5" t="s">
        <v>7480</v>
      </c>
      <c r="P534" s="5"/>
      <c r="Q534" s="5" t="s">
        <v>7494</v>
      </c>
    </row>
    <row r="535" spans="2:17" x14ac:dyDescent="0.2">
      <c r="B535" s="5" t="s">
        <v>7474</v>
      </c>
      <c r="C535" s="6" t="s">
        <v>13588</v>
      </c>
      <c r="D535" s="4">
        <v>738</v>
      </c>
      <c r="E535" s="5" t="s">
        <v>13</v>
      </c>
      <c r="F535" s="5" t="s">
        <v>7487</v>
      </c>
      <c r="G535" s="6" t="s">
        <v>14</v>
      </c>
      <c r="H535" s="4">
        <v>433</v>
      </c>
      <c r="I535" s="5" t="s">
        <v>22</v>
      </c>
      <c r="J535" s="5" t="s">
        <v>7488</v>
      </c>
      <c r="K535" s="5" t="s">
        <v>7475</v>
      </c>
      <c r="L535" s="5"/>
      <c r="M535" s="5" t="s">
        <v>96</v>
      </c>
      <c r="N535" s="5" t="s">
        <v>96</v>
      </c>
      <c r="O535" s="5" t="s">
        <v>7476</v>
      </c>
      <c r="P535" s="5"/>
      <c r="Q535" s="5" t="s">
        <v>7489</v>
      </c>
    </row>
    <row r="536" spans="2:17" x14ac:dyDescent="0.2">
      <c r="B536" s="5" t="s">
        <v>7474</v>
      </c>
      <c r="C536" s="6" t="s">
        <v>13588</v>
      </c>
      <c r="D536" s="4">
        <v>739</v>
      </c>
      <c r="E536" s="5" t="s">
        <v>32</v>
      </c>
      <c r="F536" s="5" t="s">
        <v>7483</v>
      </c>
      <c r="G536" s="6" t="s">
        <v>14</v>
      </c>
      <c r="H536" s="4">
        <v>434</v>
      </c>
      <c r="I536" s="5" t="s">
        <v>22</v>
      </c>
      <c r="J536" s="5" t="s">
        <v>7484</v>
      </c>
      <c r="K536" s="5" t="s">
        <v>7485</v>
      </c>
      <c r="L536" s="5"/>
      <c r="M536" s="5" t="s">
        <v>96</v>
      </c>
      <c r="N536" s="5" t="s">
        <v>97</v>
      </c>
      <c r="O536" s="5" t="s">
        <v>7480</v>
      </c>
      <c r="P536" s="5"/>
      <c r="Q536" s="5" t="s">
        <v>7486</v>
      </c>
    </row>
    <row r="537" spans="2:17" x14ac:dyDescent="0.2">
      <c r="B537" s="5" t="s">
        <v>7525</v>
      </c>
      <c r="C537" s="6" t="s">
        <v>13588</v>
      </c>
      <c r="D537" s="4">
        <v>741</v>
      </c>
      <c r="E537" s="5" t="s">
        <v>32</v>
      </c>
      <c r="F537" s="5" t="s">
        <v>6963</v>
      </c>
      <c r="G537" s="6" t="s">
        <v>14</v>
      </c>
      <c r="H537" s="4">
        <v>435</v>
      </c>
      <c r="I537" s="5" t="s">
        <v>22</v>
      </c>
      <c r="J537" s="5" t="s">
        <v>7537</v>
      </c>
      <c r="K537" s="5" t="s">
        <v>7527</v>
      </c>
      <c r="L537" s="5"/>
      <c r="M537" s="5" t="s">
        <v>3362</v>
      </c>
      <c r="N537" s="5" t="s">
        <v>3355</v>
      </c>
      <c r="O537" s="5" t="s">
        <v>7526</v>
      </c>
      <c r="P537" s="5"/>
      <c r="Q537" s="5" t="s">
        <v>7538</v>
      </c>
    </row>
    <row r="538" spans="2:17" x14ac:dyDescent="0.2">
      <c r="B538" s="5" t="s">
        <v>7525</v>
      </c>
      <c r="C538" s="6" t="s">
        <v>13588</v>
      </c>
      <c r="D538" s="4">
        <v>744</v>
      </c>
      <c r="E538" s="5" t="s">
        <v>35</v>
      </c>
      <c r="F538" s="5" t="s">
        <v>7532</v>
      </c>
      <c r="G538" s="6" t="s">
        <v>14</v>
      </c>
      <c r="H538" s="4">
        <v>436</v>
      </c>
      <c r="I538" s="5"/>
      <c r="J538" s="5"/>
      <c r="K538" s="5" t="s">
        <v>7527</v>
      </c>
      <c r="L538" s="5"/>
      <c r="M538" s="5" t="s">
        <v>1437</v>
      </c>
      <c r="N538" s="5" t="s">
        <v>1437</v>
      </c>
      <c r="O538" s="5" t="s">
        <v>7526</v>
      </c>
      <c r="P538" s="5"/>
      <c r="Q538" s="5" t="s">
        <v>7533</v>
      </c>
    </row>
    <row r="539" spans="2:17" x14ac:dyDescent="0.2">
      <c r="B539" s="5" t="s">
        <v>7525</v>
      </c>
      <c r="C539" s="6" t="s">
        <v>13588</v>
      </c>
      <c r="D539" s="4">
        <v>745</v>
      </c>
      <c r="E539" s="5" t="s">
        <v>35</v>
      </c>
      <c r="F539" s="5" t="s">
        <v>7530</v>
      </c>
      <c r="G539" s="6" t="s">
        <v>14</v>
      </c>
      <c r="H539" s="4">
        <v>437</v>
      </c>
      <c r="I539" s="5"/>
      <c r="J539" s="5"/>
      <c r="K539" s="5" t="s">
        <v>7527</v>
      </c>
      <c r="L539" s="5"/>
      <c r="M539" s="5" t="s">
        <v>112</v>
      </c>
      <c r="N539" s="5" t="s">
        <v>112</v>
      </c>
      <c r="O539" s="5" t="s">
        <v>7526</v>
      </c>
      <c r="P539" s="5"/>
      <c r="Q539" s="5" t="s">
        <v>7531</v>
      </c>
    </row>
    <row r="540" spans="2:17" x14ac:dyDescent="0.2">
      <c r="B540" s="5" t="s">
        <v>7539</v>
      </c>
      <c r="C540" s="6" t="s">
        <v>13588</v>
      </c>
      <c r="D540" s="4">
        <v>747</v>
      </c>
      <c r="E540" s="5" t="s">
        <v>32</v>
      </c>
      <c r="F540" s="5" t="s">
        <v>7611</v>
      </c>
      <c r="G540" s="6" t="s">
        <v>14</v>
      </c>
      <c r="H540" s="4">
        <v>438</v>
      </c>
      <c r="I540" s="5" t="s">
        <v>22</v>
      </c>
      <c r="J540" s="5" t="s">
        <v>7612</v>
      </c>
      <c r="K540" s="5"/>
      <c r="L540" s="5" t="s">
        <v>7605</v>
      </c>
      <c r="M540" s="5" t="s">
        <v>3362</v>
      </c>
      <c r="N540" s="5" t="s">
        <v>3355</v>
      </c>
      <c r="O540" s="5" t="s">
        <v>7541</v>
      </c>
      <c r="P540" s="5"/>
      <c r="Q540" s="5" t="s">
        <v>7613</v>
      </c>
    </row>
    <row r="541" spans="2:17" x14ac:dyDescent="0.2">
      <c r="B541" s="5" t="s">
        <v>7539</v>
      </c>
      <c r="C541" s="6" t="s">
        <v>13588</v>
      </c>
      <c r="D541" s="4">
        <v>748</v>
      </c>
      <c r="E541" s="5" t="s">
        <v>13</v>
      </c>
      <c r="F541" s="5" t="s">
        <v>7607</v>
      </c>
      <c r="G541" s="6" t="s">
        <v>14</v>
      </c>
      <c r="H541" s="4">
        <v>439</v>
      </c>
      <c r="I541" s="5"/>
      <c r="J541" s="5" t="s">
        <v>7608</v>
      </c>
      <c r="K541" s="5"/>
      <c r="L541" s="5" t="s">
        <v>7609</v>
      </c>
      <c r="M541" s="5" t="s">
        <v>480</v>
      </c>
      <c r="N541" s="5" t="s">
        <v>480</v>
      </c>
      <c r="O541" s="5"/>
      <c r="P541" s="5"/>
      <c r="Q541" s="5" t="s">
        <v>7610</v>
      </c>
    </row>
    <row r="542" spans="2:17" x14ac:dyDescent="0.2">
      <c r="B542" s="5" t="s">
        <v>7539</v>
      </c>
      <c r="C542" s="6" t="s">
        <v>13588</v>
      </c>
      <c r="D542" s="4">
        <v>751</v>
      </c>
      <c r="E542" s="5" t="s">
        <v>32</v>
      </c>
      <c r="F542" s="5" t="s">
        <v>7596</v>
      </c>
      <c r="G542" s="6" t="s">
        <v>14</v>
      </c>
      <c r="H542" s="4">
        <v>440</v>
      </c>
      <c r="I542" s="5" t="s">
        <v>22</v>
      </c>
      <c r="J542" s="5" t="s">
        <v>7546</v>
      </c>
      <c r="K542" s="5" t="s">
        <v>7597</v>
      </c>
      <c r="L542" s="5"/>
      <c r="M542" s="5" t="s">
        <v>347</v>
      </c>
      <c r="N542" s="5" t="s">
        <v>2089</v>
      </c>
      <c r="O542" s="5" t="s">
        <v>7548</v>
      </c>
      <c r="P542" s="5"/>
      <c r="Q542" s="5" t="s">
        <v>7598</v>
      </c>
    </row>
    <row r="543" spans="2:17" x14ac:dyDescent="0.2">
      <c r="B543" s="5" t="s">
        <v>7539</v>
      </c>
      <c r="C543" s="6" t="s">
        <v>13588</v>
      </c>
      <c r="D543" s="4">
        <v>752</v>
      </c>
      <c r="E543" s="5" t="s">
        <v>13</v>
      </c>
      <c r="F543" s="5" t="s">
        <v>7594</v>
      </c>
      <c r="G543" s="6" t="s">
        <v>14</v>
      </c>
      <c r="H543" s="4">
        <v>441</v>
      </c>
      <c r="I543" s="5"/>
      <c r="J543" s="5"/>
      <c r="K543" s="5" t="s">
        <v>7542</v>
      </c>
      <c r="L543" s="5"/>
      <c r="M543" s="5" t="s">
        <v>2074</v>
      </c>
      <c r="N543" s="5" t="s">
        <v>2074</v>
      </c>
      <c r="O543" s="5" t="s">
        <v>7541</v>
      </c>
      <c r="P543" s="5"/>
      <c r="Q543" s="5" t="s">
        <v>7595</v>
      </c>
    </row>
    <row r="544" spans="2:17" x14ac:dyDescent="0.2">
      <c r="B544" s="5" t="s">
        <v>7539</v>
      </c>
      <c r="C544" s="6" t="s">
        <v>13588</v>
      </c>
      <c r="D544" s="4">
        <v>754</v>
      </c>
      <c r="E544" s="5" t="s">
        <v>20</v>
      </c>
      <c r="F544" s="5" t="s">
        <v>7578</v>
      </c>
      <c r="G544" s="6" t="s">
        <v>14</v>
      </c>
      <c r="H544" s="4">
        <v>442</v>
      </c>
      <c r="I544" s="5" t="s">
        <v>22</v>
      </c>
      <c r="J544" s="5" t="s">
        <v>7579</v>
      </c>
      <c r="K544" s="5" t="s">
        <v>7551</v>
      </c>
      <c r="L544" s="5"/>
      <c r="M544" s="5" t="s">
        <v>1377</v>
      </c>
      <c r="N544" s="5" t="s">
        <v>1365</v>
      </c>
      <c r="O544" s="5" t="s">
        <v>7548</v>
      </c>
      <c r="P544" s="5"/>
      <c r="Q544" s="5" t="s">
        <v>7580</v>
      </c>
    </row>
    <row r="545" spans="2:17" x14ac:dyDescent="0.2">
      <c r="B545" s="5" t="s">
        <v>7539</v>
      </c>
      <c r="C545" s="6" t="s">
        <v>13588</v>
      </c>
      <c r="D545" s="4">
        <v>755</v>
      </c>
      <c r="E545" s="5" t="s">
        <v>32</v>
      </c>
      <c r="F545" s="5" t="s">
        <v>7584</v>
      </c>
      <c r="G545" s="6" t="s">
        <v>14</v>
      </c>
      <c r="H545" s="4">
        <v>443</v>
      </c>
      <c r="I545" s="5" t="s">
        <v>22</v>
      </c>
      <c r="J545" s="5" t="s">
        <v>7585</v>
      </c>
      <c r="K545" s="5" t="s">
        <v>7586</v>
      </c>
      <c r="L545" s="5" t="s">
        <v>7587</v>
      </c>
      <c r="M545" s="5" t="s">
        <v>1384</v>
      </c>
      <c r="N545" s="5" t="s">
        <v>331</v>
      </c>
      <c r="O545" s="5" t="s">
        <v>7547</v>
      </c>
      <c r="P545" s="5"/>
      <c r="Q545" s="5" t="s">
        <v>7588</v>
      </c>
    </row>
    <row r="546" spans="2:17" x14ac:dyDescent="0.2">
      <c r="B546" s="5" t="s">
        <v>7539</v>
      </c>
      <c r="C546" s="6" t="s">
        <v>13588</v>
      </c>
      <c r="D546" s="4">
        <v>756</v>
      </c>
      <c r="E546" s="5" t="s">
        <v>32</v>
      </c>
      <c r="F546" s="5" t="s">
        <v>7584</v>
      </c>
      <c r="G546" s="6" t="s">
        <v>14</v>
      </c>
      <c r="H546" s="4">
        <v>444</v>
      </c>
      <c r="I546" s="5" t="s">
        <v>22</v>
      </c>
      <c r="J546" s="5" t="s">
        <v>7589</v>
      </c>
      <c r="K546" s="5" t="s">
        <v>7590</v>
      </c>
      <c r="L546" s="5" t="s">
        <v>7591</v>
      </c>
      <c r="M546" s="5" t="s">
        <v>1384</v>
      </c>
      <c r="N546" s="5" t="s">
        <v>1385</v>
      </c>
      <c r="O546" s="5" t="s">
        <v>7592</v>
      </c>
      <c r="P546" s="5"/>
      <c r="Q546" s="5" t="s">
        <v>7593</v>
      </c>
    </row>
    <row r="547" spans="2:17" x14ac:dyDescent="0.2">
      <c r="B547" s="5" t="s">
        <v>7539</v>
      </c>
      <c r="C547" s="6" t="s">
        <v>13588</v>
      </c>
      <c r="D547" s="4">
        <v>757</v>
      </c>
      <c r="E547" s="5" t="s">
        <v>32</v>
      </c>
      <c r="F547" s="5" t="s">
        <v>7575</v>
      </c>
      <c r="G547" s="6" t="s">
        <v>14</v>
      </c>
      <c r="H547" s="4">
        <v>445</v>
      </c>
      <c r="I547" s="5" t="s">
        <v>22</v>
      </c>
      <c r="J547" s="5" t="s">
        <v>7576</v>
      </c>
      <c r="K547" s="5" t="s">
        <v>7544</v>
      </c>
      <c r="L547" s="5"/>
      <c r="M547" s="5" t="s">
        <v>301</v>
      </c>
      <c r="N547" s="5" t="s">
        <v>301</v>
      </c>
      <c r="O547" s="5" t="s">
        <v>7540</v>
      </c>
      <c r="P547" s="5"/>
      <c r="Q547" s="5" t="s">
        <v>7577</v>
      </c>
    </row>
    <row r="548" spans="2:17" x14ac:dyDescent="0.2">
      <c r="B548" s="5" t="s">
        <v>7539</v>
      </c>
      <c r="C548" s="6" t="s">
        <v>13588</v>
      </c>
      <c r="D548" s="4">
        <v>763</v>
      </c>
      <c r="E548" s="5" t="s">
        <v>13</v>
      </c>
      <c r="F548" s="5" t="s">
        <v>7553</v>
      </c>
      <c r="G548" s="6" t="s">
        <v>14</v>
      </c>
      <c r="H548" s="4">
        <v>446</v>
      </c>
      <c r="I548" s="5"/>
      <c r="J548" s="5" t="s">
        <v>7554</v>
      </c>
      <c r="K548" s="5"/>
      <c r="L548" s="5" t="s">
        <v>7555</v>
      </c>
      <c r="M548" s="5" t="s">
        <v>2811</v>
      </c>
      <c r="N548" s="5" t="s">
        <v>2811</v>
      </c>
      <c r="O548" s="5" t="s">
        <v>7540</v>
      </c>
      <c r="P548" s="5"/>
      <c r="Q548" s="5" t="s">
        <v>7556</v>
      </c>
    </row>
    <row r="549" spans="2:17" x14ac:dyDescent="0.2">
      <c r="B549" s="5" t="s">
        <v>7539</v>
      </c>
      <c r="C549" s="6" t="s">
        <v>13588</v>
      </c>
      <c r="D549" s="4">
        <v>764</v>
      </c>
      <c r="E549" s="5" t="s">
        <v>13</v>
      </c>
      <c r="F549" s="5" t="s">
        <v>7553</v>
      </c>
      <c r="G549" s="6" t="s">
        <v>14</v>
      </c>
      <c r="H549" s="4">
        <v>447</v>
      </c>
      <c r="I549" s="5"/>
      <c r="J549" s="5" t="s">
        <v>7557</v>
      </c>
      <c r="K549" s="5"/>
      <c r="L549" s="5" t="s">
        <v>7558</v>
      </c>
      <c r="M549" s="5" t="s">
        <v>2811</v>
      </c>
      <c r="N549" s="5" t="s">
        <v>2811</v>
      </c>
      <c r="O549" s="5" t="s">
        <v>7540</v>
      </c>
      <c r="P549" s="5"/>
      <c r="Q549" s="5" t="s">
        <v>7559</v>
      </c>
    </row>
    <row r="550" spans="2:17" x14ac:dyDescent="0.2">
      <c r="B550" s="5" t="s">
        <v>7618</v>
      </c>
      <c r="C550" s="6" t="s">
        <v>13588</v>
      </c>
      <c r="D550" s="4">
        <v>766</v>
      </c>
      <c r="E550" s="5" t="s">
        <v>15</v>
      </c>
      <c r="F550" s="5" t="s">
        <v>7619</v>
      </c>
      <c r="G550" s="6" t="s">
        <v>14</v>
      </c>
      <c r="H550" s="4">
        <v>448</v>
      </c>
      <c r="I550" s="5"/>
      <c r="J550" s="5" t="s">
        <v>7620</v>
      </c>
      <c r="K550" s="5" t="s">
        <v>7621</v>
      </c>
      <c r="L550" s="5"/>
      <c r="M550" s="5" t="s">
        <v>1715</v>
      </c>
      <c r="N550" s="5" t="s">
        <v>1208</v>
      </c>
      <c r="O550" s="5"/>
      <c r="P550" s="5"/>
      <c r="Q550" s="5" t="s">
        <v>7622</v>
      </c>
    </row>
    <row r="551" spans="2:17" x14ac:dyDescent="0.2">
      <c r="B551" s="5" t="s">
        <v>7623</v>
      </c>
      <c r="C551" s="6" t="s">
        <v>13588</v>
      </c>
      <c r="D551" s="4">
        <v>767</v>
      </c>
      <c r="E551" s="5" t="s">
        <v>20</v>
      </c>
      <c r="F551" s="5" t="s">
        <v>7629</v>
      </c>
      <c r="G551" s="6" t="s">
        <v>14</v>
      </c>
      <c r="H551" s="4">
        <v>449</v>
      </c>
      <c r="I551" s="5" t="s">
        <v>22</v>
      </c>
      <c r="J551" s="5" t="s">
        <v>7630</v>
      </c>
      <c r="K551" s="5" t="s">
        <v>7624</v>
      </c>
      <c r="L551" s="5"/>
      <c r="M551" s="5" t="s">
        <v>1230</v>
      </c>
      <c r="N551" s="5" t="s">
        <v>1222</v>
      </c>
      <c r="O551" s="5" t="s">
        <v>7631</v>
      </c>
      <c r="P551" s="5"/>
      <c r="Q551" s="5" t="s">
        <v>7632</v>
      </c>
    </row>
    <row r="552" spans="2:17" x14ac:dyDescent="0.2">
      <c r="B552" s="5" t="s">
        <v>7623</v>
      </c>
      <c r="C552" s="6" t="s">
        <v>13588</v>
      </c>
      <c r="D552" s="4">
        <v>768</v>
      </c>
      <c r="E552" s="5" t="s">
        <v>15</v>
      </c>
      <c r="F552" s="5" t="s">
        <v>7626</v>
      </c>
      <c r="G552" s="6" t="s">
        <v>14</v>
      </c>
      <c r="H552" s="4">
        <v>450</v>
      </c>
      <c r="I552" s="5"/>
      <c r="J552" s="5" t="s">
        <v>7627</v>
      </c>
      <c r="K552" s="5" t="s">
        <v>7624</v>
      </c>
      <c r="L552" s="5"/>
      <c r="M552" s="5" t="s">
        <v>1200</v>
      </c>
      <c r="N552" s="5" t="s">
        <v>1200</v>
      </c>
      <c r="O552" s="5" t="s">
        <v>7625</v>
      </c>
      <c r="P552" s="5"/>
      <c r="Q552" s="5" t="s">
        <v>7628</v>
      </c>
    </row>
    <row r="553" spans="2:17" x14ac:dyDescent="0.2">
      <c r="B553" s="5" t="s">
        <v>7633</v>
      </c>
      <c r="C553" s="6" t="s">
        <v>13588</v>
      </c>
      <c r="D553" s="4">
        <v>769</v>
      </c>
      <c r="E553" s="5" t="s">
        <v>20</v>
      </c>
      <c r="F553" s="5" t="s">
        <v>7634</v>
      </c>
      <c r="G553" s="6" t="s">
        <v>14</v>
      </c>
      <c r="H553" s="4">
        <v>451</v>
      </c>
      <c r="I553" s="5" t="s">
        <v>22</v>
      </c>
      <c r="J553" s="5" t="s">
        <v>7635</v>
      </c>
      <c r="K553" s="5" t="s">
        <v>7636</v>
      </c>
      <c r="L553" s="5"/>
      <c r="M553" s="5" t="s">
        <v>1230</v>
      </c>
      <c r="N553" s="5" t="s">
        <v>1222</v>
      </c>
      <c r="O553" s="5" t="s">
        <v>7637</v>
      </c>
      <c r="P553" s="5"/>
      <c r="Q553" s="5" t="s">
        <v>7638</v>
      </c>
    </row>
    <row r="554" spans="2:17" x14ac:dyDescent="0.2">
      <c r="B554" s="5" t="s">
        <v>7639</v>
      </c>
      <c r="C554" s="6" t="s">
        <v>13588</v>
      </c>
      <c r="D554" s="4">
        <v>771</v>
      </c>
      <c r="E554" s="5" t="s">
        <v>32</v>
      </c>
      <c r="F554" s="5" t="s">
        <v>7669</v>
      </c>
      <c r="G554" s="6" t="s">
        <v>14</v>
      </c>
      <c r="H554" s="4">
        <v>452</v>
      </c>
      <c r="I554" s="5" t="s">
        <v>38</v>
      </c>
      <c r="J554" s="5" t="s">
        <v>7670</v>
      </c>
      <c r="K554" s="5" t="s">
        <v>7666</v>
      </c>
      <c r="L554" s="5" t="s">
        <v>7667</v>
      </c>
      <c r="M554" s="5" t="s">
        <v>2863</v>
      </c>
      <c r="N554" s="5" t="s">
        <v>1247</v>
      </c>
      <c r="O554" s="5" t="s">
        <v>7640</v>
      </c>
      <c r="P554" s="5" t="s">
        <v>7671</v>
      </c>
      <c r="Q554" s="5" t="s">
        <v>7672</v>
      </c>
    </row>
    <row r="555" spans="2:17" x14ac:dyDescent="0.2">
      <c r="B555" s="5" t="s">
        <v>7639</v>
      </c>
      <c r="C555" s="6" t="s">
        <v>13588</v>
      </c>
      <c r="D555" s="4">
        <v>772</v>
      </c>
      <c r="E555" s="5" t="s">
        <v>20</v>
      </c>
      <c r="F555" s="5" t="s">
        <v>7664</v>
      </c>
      <c r="G555" s="6" t="s">
        <v>14</v>
      </c>
      <c r="H555" s="4">
        <v>453</v>
      </c>
      <c r="I555" s="5" t="s">
        <v>22</v>
      </c>
      <c r="J555" s="5" t="s">
        <v>7665</v>
      </c>
      <c r="K555" s="5" t="s">
        <v>7666</v>
      </c>
      <c r="L555" s="5" t="s">
        <v>7667</v>
      </c>
      <c r="M555" s="5" t="s">
        <v>1230</v>
      </c>
      <c r="N555" s="5" t="s">
        <v>1222</v>
      </c>
      <c r="O555" s="5" t="s">
        <v>7640</v>
      </c>
      <c r="P555" s="5"/>
      <c r="Q555" s="5" t="s">
        <v>7668</v>
      </c>
    </row>
    <row r="556" spans="2:17" x14ac:dyDescent="0.2">
      <c r="B556" s="5" t="s">
        <v>7639</v>
      </c>
      <c r="C556" s="6" t="s">
        <v>13588</v>
      </c>
      <c r="D556" s="4">
        <v>773</v>
      </c>
      <c r="E556" s="5" t="s">
        <v>32</v>
      </c>
      <c r="F556" s="5" t="s">
        <v>1719</v>
      </c>
      <c r="G556" s="6" t="s">
        <v>14</v>
      </c>
      <c r="H556" s="4">
        <v>454</v>
      </c>
      <c r="I556" s="5" t="s">
        <v>22</v>
      </c>
      <c r="J556" s="5" t="s">
        <v>7645</v>
      </c>
      <c r="K556" s="5" t="s">
        <v>7641</v>
      </c>
      <c r="L556" s="5" t="s">
        <v>7646</v>
      </c>
      <c r="M556" s="5" t="s">
        <v>1218</v>
      </c>
      <c r="N556" s="5" t="s">
        <v>1723</v>
      </c>
      <c r="O556" s="5" t="s">
        <v>7640</v>
      </c>
      <c r="P556" s="5" t="s">
        <v>7647</v>
      </c>
      <c r="Q556" s="5" t="s">
        <v>7648</v>
      </c>
    </row>
    <row r="557" spans="2:17" x14ac:dyDescent="0.2">
      <c r="B557" s="5" t="s">
        <v>7639</v>
      </c>
      <c r="C557" s="6" t="s">
        <v>13588</v>
      </c>
      <c r="D557" s="4">
        <v>774</v>
      </c>
      <c r="E557" s="5" t="s">
        <v>32</v>
      </c>
      <c r="F557" s="5" t="s">
        <v>1719</v>
      </c>
      <c r="G557" s="6" t="s">
        <v>14</v>
      </c>
      <c r="H557" s="4">
        <v>455</v>
      </c>
      <c r="I557" s="5" t="s">
        <v>22</v>
      </c>
      <c r="J557" s="5" t="s">
        <v>7649</v>
      </c>
      <c r="K557" s="5" t="s">
        <v>7650</v>
      </c>
      <c r="L557" s="5" t="s">
        <v>7642</v>
      </c>
      <c r="M557" s="5" t="s">
        <v>1218</v>
      </c>
      <c r="N557" s="5" t="s">
        <v>1723</v>
      </c>
      <c r="O557" s="5" t="s">
        <v>7644</v>
      </c>
      <c r="P557" s="5" t="s">
        <v>7651</v>
      </c>
      <c r="Q557" s="5" t="s">
        <v>7652</v>
      </c>
    </row>
    <row r="558" spans="2:17" x14ac:dyDescent="0.2">
      <c r="B558" s="5" t="s">
        <v>7639</v>
      </c>
      <c r="C558" s="6" t="s">
        <v>13588</v>
      </c>
      <c r="D558" s="4">
        <v>775</v>
      </c>
      <c r="E558" s="5" t="s">
        <v>32</v>
      </c>
      <c r="F558" s="5" t="s">
        <v>1719</v>
      </c>
      <c r="G558" s="6" t="s">
        <v>14</v>
      </c>
      <c r="H558" s="4">
        <v>456</v>
      </c>
      <c r="I558" s="5" t="s">
        <v>22</v>
      </c>
      <c r="J558" s="5" t="s">
        <v>7653</v>
      </c>
      <c r="K558" s="5" t="s">
        <v>7654</v>
      </c>
      <c r="L558" s="5" t="s">
        <v>7655</v>
      </c>
      <c r="M558" s="5" t="s">
        <v>1218</v>
      </c>
      <c r="N558" s="5" t="s">
        <v>1723</v>
      </c>
      <c r="O558" s="5" t="s">
        <v>7643</v>
      </c>
      <c r="P558" s="5" t="s">
        <v>7656</v>
      </c>
      <c r="Q558" s="5" t="s">
        <v>7657</v>
      </c>
    </row>
    <row r="559" spans="2:17" x14ac:dyDescent="0.2">
      <c r="B559" s="5" t="s">
        <v>7639</v>
      </c>
      <c r="C559" s="6" t="s">
        <v>13588</v>
      </c>
      <c r="D559" s="4">
        <v>776</v>
      </c>
      <c r="E559" s="5" t="s">
        <v>32</v>
      </c>
      <c r="F559" s="5" t="s">
        <v>1719</v>
      </c>
      <c r="G559" s="6" t="s">
        <v>14</v>
      </c>
      <c r="H559" s="4">
        <v>457</v>
      </c>
      <c r="I559" s="5" t="s">
        <v>38</v>
      </c>
      <c r="J559" s="5" t="s">
        <v>7658</v>
      </c>
      <c r="K559" s="5" t="s">
        <v>7659</v>
      </c>
      <c r="L559" s="5" t="s">
        <v>7660</v>
      </c>
      <c r="M559" s="5" t="s">
        <v>1218</v>
      </c>
      <c r="N559" s="5" t="s">
        <v>1723</v>
      </c>
      <c r="O559" s="5" t="s">
        <v>7661</v>
      </c>
      <c r="P559" s="5" t="s">
        <v>7662</v>
      </c>
      <c r="Q559" s="5" t="s">
        <v>7663</v>
      </c>
    </row>
    <row r="560" spans="2:17" x14ac:dyDescent="0.2">
      <c r="B560" s="5" t="s">
        <v>6126</v>
      </c>
      <c r="C560" s="6" t="s">
        <v>13588</v>
      </c>
      <c r="D560" s="4">
        <v>375</v>
      </c>
      <c r="E560" s="5" t="s">
        <v>20</v>
      </c>
      <c r="F560" s="5" t="s">
        <v>6236</v>
      </c>
      <c r="G560" s="6" t="s">
        <v>36</v>
      </c>
      <c r="H560" s="4"/>
      <c r="I560" s="5" t="s">
        <v>22</v>
      </c>
      <c r="J560" s="5" t="s">
        <v>6237</v>
      </c>
      <c r="K560" s="5" t="s">
        <v>6238</v>
      </c>
      <c r="L560" s="5"/>
      <c r="M560" s="5" t="s">
        <v>4373</v>
      </c>
      <c r="N560" s="5" t="s">
        <v>417</v>
      </c>
      <c r="O560" s="5" t="s">
        <v>6239</v>
      </c>
      <c r="P560" s="5"/>
      <c r="Q560" s="5" t="s">
        <v>6240</v>
      </c>
    </row>
    <row r="561" spans="2:17" x14ac:dyDescent="0.2">
      <c r="B561" s="5" t="s">
        <v>6126</v>
      </c>
      <c r="C561" s="6" t="s">
        <v>13588</v>
      </c>
      <c r="D561" s="4">
        <v>376</v>
      </c>
      <c r="E561" s="5" t="s">
        <v>20</v>
      </c>
      <c r="F561" s="5" t="s">
        <v>6236</v>
      </c>
      <c r="G561" s="6" t="s">
        <v>36</v>
      </c>
      <c r="H561" s="4"/>
      <c r="I561" s="5" t="s">
        <v>38</v>
      </c>
      <c r="J561" s="5" t="s">
        <v>6241</v>
      </c>
      <c r="K561" s="5" t="s">
        <v>6238</v>
      </c>
      <c r="L561" s="5"/>
      <c r="M561" s="5" t="s">
        <v>4373</v>
      </c>
      <c r="N561" s="5" t="s">
        <v>417</v>
      </c>
      <c r="O561" s="5" t="s">
        <v>6239</v>
      </c>
      <c r="P561" s="5"/>
      <c r="Q561" s="5" t="s">
        <v>6242</v>
      </c>
    </row>
    <row r="562" spans="2:17" x14ac:dyDescent="0.2">
      <c r="B562" s="5" t="s">
        <v>4643</v>
      </c>
      <c r="C562" s="6" t="s">
        <v>13588</v>
      </c>
      <c r="D562" s="4">
        <v>217</v>
      </c>
      <c r="E562" s="5" t="s">
        <v>35</v>
      </c>
      <c r="F562" s="5" t="s">
        <v>4667</v>
      </c>
      <c r="G562" s="6" t="s">
        <v>47</v>
      </c>
      <c r="H562" s="4"/>
      <c r="I562" s="5"/>
      <c r="J562" s="5" t="s">
        <v>4667</v>
      </c>
      <c r="K562" s="5" t="s">
        <v>4645</v>
      </c>
      <c r="L562" s="5"/>
      <c r="M562" s="5" t="s">
        <v>3043</v>
      </c>
      <c r="N562" s="5" t="s">
        <v>1821</v>
      </c>
      <c r="O562" s="5" t="s">
        <v>4668</v>
      </c>
      <c r="P562" s="5"/>
      <c r="Q562" s="5" t="s">
        <v>4669</v>
      </c>
    </row>
    <row r="563" spans="2:17" x14ac:dyDescent="0.2">
      <c r="B563" s="5" t="s">
        <v>4944</v>
      </c>
      <c r="C563" s="6" t="s">
        <v>13588</v>
      </c>
      <c r="D563" s="4">
        <v>298</v>
      </c>
      <c r="E563" s="5" t="s">
        <v>20</v>
      </c>
      <c r="F563" s="5" t="s">
        <v>4968</v>
      </c>
      <c r="G563" s="6" t="s">
        <v>47</v>
      </c>
      <c r="H563" s="4"/>
      <c r="I563" s="5" t="s">
        <v>22</v>
      </c>
      <c r="J563" s="5" t="s">
        <v>4969</v>
      </c>
      <c r="K563" s="5" t="s">
        <v>4954</v>
      </c>
      <c r="L563" s="5"/>
      <c r="M563" s="5" t="s">
        <v>4970</v>
      </c>
      <c r="N563" s="5" t="s">
        <v>4971</v>
      </c>
      <c r="O563" s="5" t="s">
        <v>4948</v>
      </c>
      <c r="P563" s="5"/>
      <c r="Q563" s="5" t="s">
        <v>4972</v>
      </c>
    </row>
    <row r="564" spans="2:17" x14ac:dyDescent="0.2">
      <c r="B564" s="5" t="s">
        <v>6359</v>
      </c>
      <c r="C564" s="6" t="s">
        <v>13588</v>
      </c>
      <c r="D564" s="4">
        <v>429</v>
      </c>
      <c r="E564" s="5" t="s">
        <v>20</v>
      </c>
      <c r="F564" s="5" t="s">
        <v>6360</v>
      </c>
      <c r="G564" s="6" t="s">
        <v>47</v>
      </c>
      <c r="H564" s="4"/>
      <c r="I564" s="5" t="s">
        <v>22</v>
      </c>
      <c r="J564" s="5" t="s">
        <v>6361</v>
      </c>
      <c r="K564" s="5" t="s">
        <v>6362</v>
      </c>
      <c r="L564" s="5"/>
      <c r="M564" s="5" t="s">
        <v>336</v>
      </c>
      <c r="N564" s="5" t="s">
        <v>337</v>
      </c>
      <c r="O564" s="5" t="s">
        <v>6363</v>
      </c>
      <c r="P564" s="5"/>
      <c r="Q564" s="5" t="s">
        <v>6364</v>
      </c>
    </row>
    <row r="565" spans="2:17" x14ac:dyDescent="0.2">
      <c r="B565" s="5" t="s">
        <v>6359</v>
      </c>
      <c r="C565" s="6" t="s">
        <v>13588</v>
      </c>
      <c r="D565" s="4">
        <v>430</v>
      </c>
      <c r="E565" s="5" t="s">
        <v>20</v>
      </c>
      <c r="F565" s="5" t="s">
        <v>6360</v>
      </c>
      <c r="G565" s="6" t="s">
        <v>47</v>
      </c>
      <c r="H565" s="4"/>
      <c r="I565" s="5" t="s">
        <v>22</v>
      </c>
      <c r="J565" s="5" t="s">
        <v>6365</v>
      </c>
      <c r="K565" s="5" t="s">
        <v>6366</v>
      </c>
      <c r="L565" s="5" t="s">
        <v>6367</v>
      </c>
      <c r="M565" s="5" t="s">
        <v>336</v>
      </c>
      <c r="N565" s="5" t="s">
        <v>337</v>
      </c>
      <c r="O565" s="5" t="s">
        <v>6363</v>
      </c>
      <c r="P565" s="5"/>
      <c r="Q565" s="5" t="s">
        <v>6368</v>
      </c>
    </row>
    <row r="566" spans="2:17" x14ac:dyDescent="0.2">
      <c r="B566" s="5" t="s">
        <v>6359</v>
      </c>
      <c r="C566" s="6" t="s">
        <v>13588</v>
      </c>
      <c r="D566" s="4">
        <v>431</v>
      </c>
      <c r="E566" s="5" t="s">
        <v>20</v>
      </c>
      <c r="F566" s="5" t="s">
        <v>6360</v>
      </c>
      <c r="G566" s="6" t="s">
        <v>47</v>
      </c>
      <c r="H566" s="4"/>
      <c r="I566" s="5" t="s">
        <v>22</v>
      </c>
      <c r="J566" s="5" t="s">
        <v>6369</v>
      </c>
      <c r="K566" s="5" t="s">
        <v>6370</v>
      </c>
      <c r="L566" s="5"/>
      <c r="M566" s="5" t="s">
        <v>336</v>
      </c>
      <c r="N566" s="5" t="s">
        <v>337</v>
      </c>
      <c r="O566" s="5" t="s">
        <v>6363</v>
      </c>
      <c r="P566" s="5" t="s">
        <v>6371</v>
      </c>
      <c r="Q566" s="5" t="s">
        <v>6372</v>
      </c>
    </row>
    <row r="567" spans="2:17" x14ac:dyDescent="0.2">
      <c r="B567" s="5" t="s">
        <v>6359</v>
      </c>
      <c r="C567" s="6" t="s">
        <v>13588</v>
      </c>
      <c r="D567" s="4">
        <v>432</v>
      </c>
      <c r="E567" s="5" t="s">
        <v>20</v>
      </c>
      <c r="F567" s="5" t="s">
        <v>6373</v>
      </c>
      <c r="G567" s="6" t="s">
        <v>47</v>
      </c>
      <c r="H567" s="4"/>
      <c r="I567" s="5" t="s">
        <v>22</v>
      </c>
      <c r="J567" s="5" t="s">
        <v>6374</v>
      </c>
      <c r="K567" s="5" t="s">
        <v>6375</v>
      </c>
      <c r="L567" s="5"/>
      <c r="M567" s="5" t="s">
        <v>336</v>
      </c>
      <c r="N567" s="5" t="s">
        <v>337</v>
      </c>
      <c r="O567" s="5" t="s">
        <v>6363</v>
      </c>
      <c r="P567" s="5"/>
      <c r="Q567" s="5" t="s">
        <v>159</v>
      </c>
    </row>
    <row r="568" spans="2:17" x14ac:dyDescent="0.2">
      <c r="B568" s="5" t="s">
        <v>6380</v>
      </c>
      <c r="C568" s="6" t="s">
        <v>13588</v>
      </c>
      <c r="D568" s="4">
        <v>436</v>
      </c>
      <c r="E568" s="5" t="s">
        <v>13</v>
      </c>
      <c r="F568" s="5" t="s">
        <v>6452</v>
      </c>
      <c r="G568" s="6" t="s">
        <v>47</v>
      </c>
      <c r="H568" s="4"/>
      <c r="I568" s="5"/>
      <c r="J568" s="5" t="s">
        <v>6453</v>
      </c>
      <c r="K568" s="5" t="s">
        <v>6454</v>
      </c>
      <c r="L568" s="5"/>
      <c r="M568" s="5" t="s">
        <v>1012</v>
      </c>
      <c r="N568" s="5" t="s">
        <v>1012</v>
      </c>
      <c r="O568" s="5" t="s">
        <v>6390</v>
      </c>
      <c r="P568" s="5"/>
      <c r="Q568" s="5" t="s">
        <v>6455</v>
      </c>
    </row>
    <row r="569" spans="2:17" x14ac:dyDescent="0.2">
      <c r="B569" s="5" t="s">
        <v>6380</v>
      </c>
      <c r="C569" s="6" t="s">
        <v>13588</v>
      </c>
      <c r="D569" s="4">
        <v>437</v>
      </c>
      <c r="E569" s="5" t="s">
        <v>20</v>
      </c>
      <c r="F569" s="5" t="s">
        <v>6441</v>
      </c>
      <c r="G569" s="6" t="s">
        <v>47</v>
      </c>
      <c r="H569" s="4"/>
      <c r="I569" s="5" t="s">
        <v>22</v>
      </c>
      <c r="J569" s="5" t="s">
        <v>6442</v>
      </c>
      <c r="K569" s="5" t="s">
        <v>6383</v>
      </c>
      <c r="L569" s="5"/>
      <c r="M569" s="5" t="s">
        <v>179</v>
      </c>
      <c r="N569" s="5" t="s">
        <v>179</v>
      </c>
      <c r="O569" s="5" t="s">
        <v>6382</v>
      </c>
      <c r="P569" s="5"/>
      <c r="Q569" s="5" t="s">
        <v>6443</v>
      </c>
    </row>
    <row r="570" spans="2:17" x14ac:dyDescent="0.2">
      <c r="B570" s="5" t="s">
        <v>6380</v>
      </c>
      <c r="C570" s="6" t="s">
        <v>13588</v>
      </c>
      <c r="D570" s="4">
        <v>438</v>
      </c>
      <c r="E570" s="5" t="s">
        <v>20</v>
      </c>
      <c r="F570" s="5" t="s">
        <v>6441</v>
      </c>
      <c r="G570" s="6" t="s">
        <v>47</v>
      </c>
      <c r="H570" s="4"/>
      <c r="I570" s="5" t="s">
        <v>22</v>
      </c>
      <c r="J570" s="5" t="s">
        <v>6444</v>
      </c>
      <c r="K570" s="5" t="s">
        <v>6381</v>
      </c>
      <c r="L570" s="5"/>
      <c r="M570" s="5" t="s">
        <v>179</v>
      </c>
      <c r="N570" s="5" t="s">
        <v>179</v>
      </c>
      <c r="O570" s="5" t="s">
        <v>6382</v>
      </c>
      <c r="P570" s="5"/>
      <c r="Q570" s="5" t="s">
        <v>6445</v>
      </c>
    </row>
    <row r="571" spans="2:17" x14ac:dyDescent="0.2">
      <c r="B571" s="5" t="s">
        <v>6380</v>
      </c>
      <c r="C571" s="6" t="s">
        <v>13588</v>
      </c>
      <c r="D571" s="4">
        <v>439</v>
      </c>
      <c r="E571" s="5" t="s">
        <v>20</v>
      </c>
      <c r="F571" s="5" t="s">
        <v>6441</v>
      </c>
      <c r="G571" s="6" t="s">
        <v>47</v>
      </c>
      <c r="H571" s="4"/>
      <c r="I571" s="5" t="s">
        <v>38</v>
      </c>
      <c r="J571" s="5" t="s">
        <v>6446</v>
      </c>
      <c r="K571" s="5" t="s">
        <v>6385</v>
      </c>
      <c r="L571" s="5"/>
      <c r="M571" s="5" t="s">
        <v>179</v>
      </c>
      <c r="N571" s="5" t="s">
        <v>179</v>
      </c>
      <c r="O571" s="5" t="s">
        <v>6382</v>
      </c>
      <c r="P571" s="5"/>
      <c r="Q571" s="5" t="s">
        <v>6447</v>
      </c>
    </row>
    <row r="572" spans="2:17" x14ac:dyDescent="0.2">
      <c r="B572" s="5" t="s">
        <v>6380</v>
      </c>
      <c r="C572" s="6" t="s">
        <v>13588</v>
      </c>
      <c r="D572" s="4">
        <v>440</v>
      </c>
      <c r="E572" s="5" t="s">
        <v>35</v>
      </c>
      <c r="F572" s="5" t="s">
        <v>6441</v>
      </c>
      <c r="G572" s="6" t="s">
        <v>47</v>
      </c>
      <c r="H572" s="4"/>
      <c r="I572" s="5"/>
      <c r="J572" s="5" t="s">
        <v>6448</v>
      </c>
      <c r="K572" s="5" t="s">
        <v>6449</v>
      </c>
      <c r="L572" s="5" t="s">
        <v>6450</v>
      </c>
      <c r="M572" s="5" t="s">
        <v>179</v>
      </c>
      <c r="N572" s="5" t="s">
        <v>179</v>
      </c>
      <c r="O572" s="5" t="s">
        <v>6382</v>
      </c>
      <c r="P572" s="5"/>
      <c r="Q572" s="5" t="s">
        <v>6451</v>
      </c>
    </row>
    <row r="573" spans="2:17" x14ac:dyDescent="0.2">
      <c r="B573" s="5" t="s">
        <v>6855</v>
      </c>
      <c r="C573" s="6" t="s">
        <v>13588</v>
      </c>
      <c r="D573" s="4">
        <v>561</v>
      </c>
      <c r="E573" s="5" t="s">
        <v>24</v>
      </c>
      <c r="F573" s="5" t="s">
        <v>6856</v>
      </c>
      <c r="G573" s="6" t="s">
        <v>47</v>
      </c>
      <c r="H573" s="4"/>
      <c r="I573" s="5"/>
      <c r="J573" s="5" t="s">
        <v>6857</v>
      </c>
      <c r="K573" s="5" t="s">
        <v>6858</v>
      </c>
      <c r="L573" s="5" t="s">
        <v>6859</v>
      </c>
      <c r="M573" s="5" t="s">
        <v>4765</v>
      </c>
      <c r="N573" s="5" t="s">
        <v>4765</v>
      </c>
      <c r="O573" s="5" t="s">
        <v>6860</v>
      </c>
      <c r="P573" s="5"/>
      <c r="Q573" s="5" t="s">
        <v>6861</v>
      </c>
    </row>
    <row r="574" spans="2:17" x14ac:dyDescent="0.2">
      <c r="B574" s="5" t="s">
        <v>6894</v>
      </c>
      <c r="C574" s="6" t="s">
        <v>13588</v>
      </c>
      <c r="D574" s="4">
        <v>570</v>
      </c>
      <c r="E574" s="5" t="s">
        <v>20</v>
      </c>
      <c r="F574" s="5" t="s">
        <v>6922</v>
      </c>
      <c r="G574" s="6" t="s">
        <v>47</v>
      </c>
      <c r="H574" s="4"/>
      <c r="I574" s="5" t="s">
        <v>22</v>
      </c>
      <c r="J574" s="5" t="s">
        <v>6923</v>
      </c>
      <c r="K574" s="5" t="s">
        <v>6896</v>
      </c>
      <c r="L574" s="5"/>
      <c r="M574" s="5" t="s">
        <v>229</v>
      </c>
      <c r="N574" s="5" t="s">
        <v>230</v>
      </c>
      <c r="O574" s="5" t="s">
        <v>6895</v>
      </c>
      <c r="P574" s="5"/>
      <c r="Q574" s="5" t="s">
        <v>6924</v>
      </c>
    </row>
    <row r="575" spans="2:17" x14ac:dyDescent="0.2">
      <c r="B575" s="5" t="s">
        <v>7474</v>
      </c>
      <c r="C575" s="6" t="s">
        <v>13588</v>
      </c>
      <c r="D575" s="4">
        <v>727</v>
      </c>
      <c r="E575" s="5" t="s">
        <v>20</v>
      </c>
      <c r="F575" s="5" t="s">
        <v>7522</v>
      </c>
      <c r="G575" s="6" t="s">
        <v>47</v>
      </c>
      <c r="H575" s="4"/>
      <c r="I575" s="5" t="s">
        <v>22</v>
      </c>
      <c r="J575" s="5" t="s">
        <v>7523</v>
      </c>
      <c r="K575" s="5" t="s">
        <v>7477</v>
      </c>
      <c r="L575" s="5"/>
      <c r="M575" s="5" t="s">
        <v>185</v>
      </c>
      <c r="N575" s="5" t="s">
        <v>179</v>
      </c>
      <c r="O575" s="5" t="s">
        <v>7480</v>
      </c>
      <c r="P575" s="5"/>
      <c r="Q575" s="5" t="s">
        <v>7524</v>
      </c>
    </row>
    <row r="576" spans="2:17" x14ac:dyDescent="0.2">
      <c r="B576" s="5" t="s">
        <v>7539</v>
      </c>
      <c r="C576" s="6" t="s">
        <v>13588</v>
      </c>
      <c r="D576" s="4">
        <v>746</v>
      </c>
      <c r="E576" s="5" t="s">
        <v>20</v>
      </c>
      <c r="F576" s="5" t="s">
        <v>7614</v>
      </c>
      <c r="G576" s="6" t="s">
        <v>47</v>
      </c>
      <c r="H576" s="4"/>
      <c r="I576" s="5" t="s">
        <v>22</v>
      </c>
      <c r="J576" s="5" t="s">
        <v>7615</v>
      </c>
      <c r="K576" s="5" t="s">
        <v>7616</v>
      </c>
      <c r="L576" s="5"/>
      <c r="M576" s="5" t="s">
        <v>5430</v>
      </c>
      <c r="N576" s="5" t="s">
        <v>506</v>
      </c>
      <c r="O576" s="5"/>
      <c r="P576" s="5"/>
      <c r="Q576" s="5" t="s">
        <v>7617</v>
      </c>
    </row>
    <row r="577" spans="2:17" x14ac:dyDescent="0.2">
      <c r="B577" s="5" t="s">
        <v>7539</v>
      </c>
      <c r="C577" s="6" t="s">
        <v>13588</v>
      </c>
      <c r="D577" s="4">
        <v>753</v>
      </c>
      <c r="E577" s="5" t="s">
        <v>13</v>
      </c>
      <c r="F577" s="5" t="s">
        <v>7581</v>
      </c>
      <c r="G577" s="6" t="s">
        <v>47</v>
      </c>
      <c r="H577" s="4"/>
      <c r="I577" s="5"/>
      <c r="J577" s="5" t="s">
        <v>7582</v>
      </c>
      <c r="K577" s="5" t="s">
        <v>7544</v>
      </c>
      <c r="L577" s="5"/>
      <c r="M577" s="5" t="s">
        <v>1377</v>
      </c>
      <c r="N577" s="5" t="s">
        <v>1377</v>
      </c>
      <c r="O577" s="5" t="s">
        <v>7540</v>
      </c>
      <c r="P577" s="5"/>
      <c r="Q577" s="5" t="s">
        <v>7583</v>
      </c>
    </row>
    <row r="578" spans="2:17" x14ac:dyDescent="0.2">
      <c r="B578" s="5" t="s">
        <v>7016</v>
      </c>
      <c r="C578" s="6" t="s">
        <v>13588</v>
      </c>
      <c r="D578" s="4">
        <v>607</v>
      </c>
      <c r="E578" s="5" t="s">
        <v>20</v>
      </c>
      <c r="F578" s="5" t="s">
        <v>7021</v>
      </c>
      <c r="G578" s="6" t="s">
        <v>643</v>
      </c>
      <c r="H578" s="4"/>
      <c r="I578" s="5" t="s">
        <v>22</v>
      </c>
      <c r="J578" s="5" t="s">
        <v>7022</v>
      </c>
      <c r="K578" s="5" t="s">
        <v>7023</v>
      </c>
      <c r="L578" s="5"/>
      <c r="M578" s="5" t="s">
        <v>3182</v>
      </c>
      <c r="N578" s="5" t="s">
        <v>4184</v>
      </c>
      <c r="O578" s="5"/>
      <c r="P578" s="5"/>
      <c r="Q578" s="5" t="s">
        <v>7024</v>
      </c>
    </row>
    <row r="579" spans="2:17" x14ac:dyDescent="0.2">
      <c r="B579" s="5" t="s">
        <v>6311</v>
      </c>
      <c r="C579" s="6" t="s">
        <v>13588</v>
      </c>
      <c r="D579" s="4">
        <v>418</v>
      </c>
      <c r="E579" s="5" t="s">
        <v>20</v>
      </c>
      <c r="F579" s="5" t="s">
        <v>6347</v>
      </c>
      <c r="G579" s="6" t="s">
        <v>524</v>
      </c>
      <c r="H579" s="4"/>
      <c r="I579" s="5" t="s">
        <v>38</v>
      </c>
      <c r="J579" s="5" t="s">
        <v>6348</v>
      </c>
      <c r="K579" s="5" t="s">
        <v>6332</v>
      </c>
      <c r="L579" s="5"/>
      <c r="M579" s="5" t="s">
        <v>920</v>
      </c>
      <c r="N579" s="5" t="s">
        <v>1385</v>
      </c>
      <c r="O579" s="5" t="s">
        <v>6329</v>
      </c>
      <c r="P579" s="5"/>
      <c r="Q579" s="5" t="s">
        <v>6349</v>
      </c>
    </row>
    <row r="580" spans="2:17" x14ac:dyDescent="0.2">
      <c r="B580" s="5" t="s">
        <v>6686</v>
      </c>
      <c r="C580" s="6" t="s">
        <v>13588</v>
      </c>
      <c r="D580" s="4">
        <v>524</v>
      </c>
      <c r="E580" s="5" t="s">
        <v>35</v>
      </c>
      <c r="F580" s="5" t="s">
        <v>6743</v>
      </c>
      <c r="G580" s="6" t="s">
        <v>524</v>
      </c>
      <c r="H580" s="4"/>
      <c r="I580" s="5"/>
      <c r="J580" s="5" t="s">
        <v>6744</v>
      </c>
      <c r="K580" s="5" t="s">
        <v>6698</v>
      </c>
      <c r="L580" s="5"/>
      <c r="M580" s="5" t="s">
        <v>921</v>
      </c>
      <c r="N580" s="5" t="s">
        <v>921</v>
      </c>
      <c r="O580" s="5" t="s">
        <v>6690</v>
      </c>
      <c r="P580" s="5"/>
      <c r="Q580" s="5" t="s">
        <v>6745</v>
      </c>
    </row>
    <row r="581" spans="2:17" x14ac:dyDescent="0.2">
      <c r="B581" s="5" t="s">
        <v>7436</v>
      </c>
      <c r="C581" s="6" t="s">
        <v>13588</v>
      </c>
      <c r="D581" s="4">
        <v>723</v>
      </c>
      <c r="E581" s="5" t="s">
        <v>20</v>
      </c>
      <c r="F581" s="5" t="s">
        <v>7439</v>
      </c>
      <c r="G581" s="6" t="s">
        <v>524</v>
      </c>
      <c r="H581" s="4"/>
      <c r="I581" s="5" t="s">
        <v>22</v>
      </c>
      <c r="J581" s="5" t="s">
        <v>5740</v>
      </c>
      <c r="K581" s="5" t="s">
        <v>7440</v>
      </c>
      <c r="L581" s="5" t="s">
        <v>7441</v>
      </c>
      <c r="M581" s="5" t="s">
        <v>1230</v>
      </c>
      <c r="N581" s="5" t="s">
        <v>1222</v>
      </c>
      <c r="O581" s="5" t="s">
        <v>7442</v>
      </c>
      <c r="P581" s="5"/>
      <c r="Q581" s="5" t="s">
        <v>7443</v>
      </c>
    </row>
    <row r="582" spans="2:17" x14ac:dyDescent="0.2">
      <c r="B582" s="5" t="s">
        <v>6311</v>
      </c>
      <c r="C582" s="6" t="s">
        <v>13588</v>
      </c>
      <c r="D582" s="4">
        <v>426</v>
      </c>
      <c r="E582" s="5" t="s">
        <v>15</v>
      </c>
      <c r="F582" s="5" t="s">
        <v>6344</v>
      </c>
      <c r="G582" s="6" t="s">
        <v>73</v>
      </c>
      <c r="H582" s="4"/>
      <c r="I582" s="5"/>
      <c r="J582" s="5" t="s">
        <v>6344</v>
      </c>
      <c r="K582" s="5" t="s">
        <v>6345</v>
      </c>
      <c r="L582" s="5"/>
      <c r="M582" s="5" t="s">
        <v>127</v>
      </c>
      <c r="N582" s="5" t="s">
        <v>352</v>
      </c>
      <c r="O582" s="5" t="s">
        <v>6329</v>
      </c>
      <c r="P582" s="5"/>
      <c r="Q582" s="5" t="s">
        <v>6346</v>
      </c>
    </row>
    <row r="583" spans="2:17" x14ac:dyDescent="0.2">
      <c r="B583" s="5" t="s">
        <v>6311</v>
      </c>
      <c r="C583" s="6" t="s">
        <v>13588</v>
      </c>
      <c r="D583" s="4">
        <v>427</v>
      </c>
      <c r="E583" s="5" t="s">
        <v>15</v>
      </c>
      <c r="F583" s="5" t="s">
        <v>6340</v>
      </c>
      <c r="G583" s="6" t="s">
        <v>73</v>
      </c>
      <c r="H583" s="4"/>
      <c r="I583" s="5"/>
      <c r="J583" s="5" t="s">
        <v>6341</v>
      </c>
      <c r="K583" s="5" t="s">
        <v>6342</v>
      </c>
      <c r="L583" s="5"/>
      <c r="M583" s="5" t="s">
        <v>127</v>
      </c>
      <c r="N583" s="5" t="s">
        <v>352</v>
      </c>
      <c r="O583" s="5" t="s">
        <v>6329</v>
      </c>
      <c r="P583" s="5"/>
      <c r="Q583" s="5" t="s">
        <v>6343</v>
      </c>
    </row>
    <row r="584" spans="2:17" x14ac:dyDescent="0.2">
      <c r="B584" s="5" t="s">
        <v>4377</v>
      </c>
      <c r="C584" s="6" t="s">
        <v>13588</v>
      </c>
      <c r="D584" s="4">
        <v>148</v>
      </c>
      <c r="E584" s="5" t="s">
        <v>20</v>
      </c>
      <c r="F584" s="5" t="s">
        <v>4503</v>
      </c>
      <c r="G584" s="6" t="s">
        <v>45</v>
      </c>
      <c r="H584" s="4"/>
      <c r="I584" s="5" t="s">
        <v>38</v>
      </c>
      <c r="J584" s="5" t="s">
        <v>4504</v>
      </c>
      <c r="K584" s="5" t="s">
        <v>4505</v>
      </c>
      <c r="L584" s="5" t="s">
        <v>4506</v>
      </c>
      <c r="M584" s="5" t="s">
        <v>4507</v>
      </c>
      <c r="N584" s="5" t="s">
        <v>422</v>
      </c>
      <c r="O584" s="5" t="s">
        <v>4391</v>
      </c>
      <c r="P584" s="5"/>
      <c r="Q584" s="5" t="s">
        <v>4508</v>
      </c>
    </row>
    <row r="585" spans="2:17" x14ac:dyDescent="0.2">
      <c r="B585" s="5" t="s">
        <v>4377</v>
      </c>
      <c r="C585" s="6" t="s">
        <v>13588</v>
      </c>
      <c r="D585" s="4">
        <v>149</v>
      </c>
      <c r="E585" s="5" t="s">
        <v>20</v>
      </c>
      <c r="F585" s="5" t="s">
        <v>4500</v>
      </c>
      <c r="G585" s="6" t="s">
        <v>25</v>
      </c>
      <c r="H585" s="4"/>
      <c r="I585" s="5" t="s">
        <v>22</v>
      </c>
      <c r="J585" s="5" t="s">
        <v>4501</v>
      </c>
      <c r="K585" s="5" t="s">
        <v>4380</v>
      </c>
      <c r="L585" s="5"/>
      <c r="M585" s="5" t="s">
        <v>422</v>
      </c>
      <c r="N585" s="5" t="s">
        <v>422</v>
      </c>
      <c r="O585" s="5" t="s">
        <v>4382</v>
      </c>
      <c r="P585" s="5"/>
      <c r="Q585" s="5" t="s">
        <v>4502</v>
      </c>
    </row>
    <row r="586" spans="2:17" x14ac:dyDescent="0.2">
      <c r="B586" s="5" t="s">
        <v>6359</v>
      </c>
      <c r="C586" s="6" t="s">
        <v>13588</v>
      </c>
      <c r="D586" s="4">
        <v>428</v>
      </c>
      <c r="E586" s="5" t="s">
        <v>20</v>
      </c>
      <c r="F586" s="5" t="s">
        <v>6376</v>
      </c>
      <c r="G586" s="6" t="s">
        <v>25</v>
      </c>
      <c r="H586" s="4"/>
      <c r="I586" s="5" t="s">
        <v>22</v>
      </c>
      <c r="J586" s="5" t="s">
        <v>6377</v>
      </c>
      <c r="K586" s="5" t="s">
        <v>6378</v>
      </c>
      <c r="L586" s="5"/>
      <c r="M586" s="5" t="s">
        <v>5226</v>
      </c>
      <c r="N586" s="5" t="s">
        <v>1642</v>
      </c>
      <c r="O586" s="5" t="s">
        <v>6363</v>
      </c>
      <c r="P586" s="5"/>
      <c r="Q586" s="5" t="s">
        <v>6379</v>
      </c>
    </row>
    <row r="587" spans="2:17" x14ac:dyDescent="0.2">
      <c r="B587" s="5" t="s">
        <v>3834</v>
      </c>
      <c r="C587" s="6" t="s">
        <v>13588</v>
      </c>
      <c r="D587" s="4">
        <v>10</v>
      </c>
      <c r="E587" s="5" t="s">
        <v>20</v>
      </c>
      <c r="F587" s="5" t="s">
        <v>3900</v>
      </c>
      <c r="G587" s="6" t="s">
        <v>39</v>
      </c>
      <c r="H587" s="4"/>
      <c r="I587" s="5" t="s">
        <v>38</v>
      </c>
      <c r="J587" s="5" t="s">
        <v>3901</v>
      </c>
      <c r="K587" s="5" t="s">
        <v>3902</v>
      </c>
      <c r="L587" s="5"/>
      <c r="M587" s="5" t="s">
        <v>1626</v>
      </c>
      <c r="N587" s="5" t="s">
        <v>1012</v>
      </c>
      <c r="O587" s="5" t="s">
        <v>3838</v>
      </c>
      <c r="P587" s="5"/>
      <c r="Q587" s="5" t="s">
        <v>3903</v>
      </c>
    </row>
    <row r="588" spans="2:17" x14ac:dyDescent="0.2">
      <c r="B588" s="5" t="s">
        <v>3834</v>
      </c>
      <c r="C588" s="6" t="s">
        <v>13588</v>
      </c>
      <c r="D588" s="4">
        <v>11</v>
      </c>
      <c r="E588" s="5" t="s">
        <v>13</v>
      </c>
      <c r="F588" s="5" t="s">
        <v>3896</v>
      </c>
      <c r="G588" s="6" t="s">
        <v>39</v>
      </c>
      <c r="H588" s="4"/>
      <c r="I588" s="5"/>
      <c r="J588" s="5" t="s">
        <v>3897</v>
      </c>
      <c r="K588" s="5" t="s">
        <v>3842</v>
      </c>
      <c r="L588" s="5" t="s">
        <v>3898</v>
      </c>
      <c r="M588" s="5" t="s">
        <v>185</v>
      </c>
      <c r="N588" s="5" t="s">
        <v>185</v>
      </c>
      <c r="O588" s="5" t="s">
        <v>3838</v>
      </c>
      <c r="P588" s="5"/>
      <c r="Q588" s="5" t="s">
        <v>3899</v>
      </c>
    </row>
    <row r="589" spans="2:17" x14ac:dyDescent="0.2">
      <c r="B589" s="5" t="s">
        <v>4146</v>
      </c>
      <c r="C589" s="6" t="s">
        <v>13588</v>
      </c>
      <c r="D589" s="4">
        <v>90</v>
      </c>
      <c r="E589" s="5" t="s">
        <v>20</v>
      </c>
      <c r="F589" s="5" t="s">
        <v>4182</v>
      </c>
      <c r="G589" s="6" t="s">
        <v>39</v>
      </c>
      <c r="H589" s="4"/>
      <c r="I589" s="5" t="s">
        <v>22</v>
      </c>
      <c r="J589" s="5" t="s">
        <v>4183</v>
      </c>
      <c r="K589" s="5" t="s">
        <v>4166</v>
      </c>
      <c r="L589" s="5"/>
      <c r="M589" s="5" t="s">
        <v>4184</v>
      </c>
      <c r="N589" s="5" t="s">
        <v>1530</v>
      </c>
      <c r="O589" s="5" t="s">
        <v>4148</v>
      </c>
      <c r="P589" s="5"/>
      <c r="Q589" s="5" t="s">
        <v>4185</v>
      </c>
    </row>
    <row r="590" spans="2:17" x14ac:dyDescent="0.2">
      <c r="B590" s="5" t="s">
        <v>4231</v>
      </c>
      <c r="C590" s="6" t="s">
        <v>13588</v>
      </c>
      <c r="D590" s="4">
        <v>113</v>
      </c>
      <c r="E590" s="5" t="s">
        <v>20</v>
      </c>
      <c r="F590" s="5" t="s">
        <v>4232</v>
      </c>
      <c r="G590" s="6" t="s">
        <v>39</v>
      </c>
      <c r="H590" s="4"/>
      <c r="I590" s="5" t="s">
        <v>22</v>
      </c>
      <c r="J590" s="5" t="s">
        <v>4233</v>
      </c>
      <c r="K590" s="5" t="s">
        <v>4234</v>
      </c>
      <c r="L590" s="5" t="s">
        <v>4235</v>
      </c>
      <c r="M590" s="5" t="s">
        <v>804</v>
      </c>
      <c r="N590" s="5" t="s">
        <v>2089</v>
      </c>
      <c r="O590" s="5" t="s">
        <v>4236</v>
      </c>
      <c r="P590" s="5"/>
      <c r="Q590" s="5" t="s">
        <v>4237</v>
      </c>
    </row>
    <row r="591" spans="2:17" x14ac:dyDescent="0.2">
      <c r="B591" s="5" t="s">
        <v>4751</v>
      </c>
      <c r="C591" s="6" t="s">
        <v>13588</v>
      </c>
      <c r="D591" s="4">
        <v>249</v>
      </c>
      <c r="E591" s="5" t="s">
        <v>13</v>
      </c>
      <c r="F591" s="5" t="s">
        <v>4767</v>
      </c>
      <c r="G591" s="6" t="s">
        <v>39</v>
      </c>
      <c r="H591" s="4"/>
      <c r="I591" s="5" t="s">
        <v>38</v>
      </c>
      <c r="J591" s="5" t="s">
        <v>4767</v>
      </c>
      <c r="K591" s="5" t="s">
        <v>4764</v>
      </c>
      <c r="L591" s="5"/>
      <c r="M591" s="5" t="s">
        <v>1437</v>
      </c>
      <c r="N591" s="5" t="s">
        <v>1442</v>
      </c>
      <c r="O591" s="5" t="s">
        <v>4760</v>
      </c>
      <c r="P591" s="5"/>
      <c r="Q591" s="5" t="s">
        <v>4768</v>
      </c>
    </row>
    <row r="592" spans="2:17" x14ac:dyDescent="0.2">
      <c r="B592" s="5" t="s">
        <v>4751</v>
      </c>
      <c r="C592" s="6" t="s">
        <v>13588</v>
      </c>
      <c r="D592" s="4">
        <v>252</v>
      </c>
      <c r="E592" s="5" t="s">
        <v>15</v>
      </c>
      <c r="F592" s="5" t="s">
        <v>4752</v>
      </c>
      <c r="G592" s="6" t="s">
        <v>39</v>
      </c>
      <c r="H592" s="4"/>
      <c r="I592" s="5"/>
      <c r="J592" s="5" t="s">
        <v>4753</v>
      </c>
      <c r="K592" s="5" t="s">
        <v>4754</v>
      </c>
      <c r="L592" s="5"/>
      <c r="M592" s="5" t="s">
        <v>3998</v>
      </c>
      <c r="N592" s="5" t="s">
        <v>3998</v>
      </c>
      <c r="O592" s="5" t="s">
        <v>4755</v>
      </c>
      <c r="P592" s="5"/>
      <c r="Q592" s="5" t="s">
        <v>4756</v>
      </c>
    </row>
    <row r="593" spans="2:17" x14ac:dyDescent="0.2">
      <c r="B593" s="5" t="s">
        <v>4894</v>
      </c>
      <c r="C593" s="6" t="s">
        <v>13588</v>
      </c>
      <c r="D593" s="4">
        <v>286</v>
      </c>
      <c r="E593" s="5" t="s">
        <v>20</v>
      </c>
      <c r="F593" s="5" t="s">
        <v>4914</v>
      </c>
      <c r="G593" s="6" t="s">
        <v>39</v>
      </c>
      <c r="H593" s="4"/>
      <c r="I593" s="5" t="s">
        <v>22</v>
      </c>
      <c r="J593" s="5" t="s">
        <v>4915</v>
      </c>
      <c r="K593" s="5" t="s">
        <v>4916</v>
      </c>
      <c r="L593" s="5"/>
      <c r="M593" s="5" t="s">
        <v>341</v>
      </c>
      <c r="N593" s="5" t="s">
        <v>3043</v>
      </c>
      <c r="O593" s="5" t="s">
        <v>4895</v>
      </c>
      <c r="P593" s="5"/>
      <c r="Q593" s="5" t="s">
        <v>4917</v>
      </c>
    </row>
    <row r="594" spans="2:17" x14ac:dyDescent="0.2">
      <c r="B594" s="5" t="s">
        <v>6059</v>
      </c>
      <c r="C594" s="6" t="s">
        <v>13588</v>
      </c>
      <c r="D594" s="4">
        <v>355</v>
      </c>
      <c r="E594" s="5" t="s">
        <v>35</v>
      </c>
      <c r="F594" s="5" t="s">
        <v>6065</v>
      </c>
      <c r="G594" s="6" t="s">
        <v>39</v>
      </c>
      <c r="H594" s="4"/>
      <c r="I594" s="5"/>
      <c r="J594" s="5" t="s">
        <v>6066</v>
      </c>
      <c r="K594" s="5" t="s">
        <v>6067</v>
      </c>
      <c r="L594" s="5"/>
      <c r="M594" s="5" t="s">
        <v>1365</v>
      </c>
      <c r="N594" s="5" t="s">
        <v>302</v>
      </c>
      <c r="O594" s="5" t="s">
        <v>6063</v>
      </c>
      <c r="P594" s="5"/>
      <c r="Q594" s="5" t="s">
        <v>6068</v>
      </c>
    </row>
    <row r="595" spans="2:17" x14ac:dyDescent="0.2">
      <c r="B595" s="5" t="s">
        <v>6126</v>
      </c>
      <c r="C595" s="6" t="s">
        <v>13588</v>
      </c>
      <c r="D595" s="4">
        <v>365</v>
      </c>
      <c r="E595" s="5" t="s">
        <v>20</v>
      </c>
      <c r="F595" s="5" t="s">
        <v>6254</v>
      </c>
      <c r="G595" s="6" t="s">
        <v>39</v>
      </c>
      <c r="H595" s="4"/>
      <c r="I595" s="5" t="s">
        <v>38</v>
      </c>
      <c r="J595" s="5" t="s">
        <v>6255</v>
      </c>
      <c r="K595" s="5" t="s">
        <v>6152</v>
      </c>
      <c r="L595" s="5"/>
      <c r="M595" s="5" t="s">
        <v>1899</v>
      </c>
      <c r="N595" s="5" t="s">
        <v>2421</v>
      </c>
      <c r="O595" s="5" t="s">
        <v>6139</v>
      </c>
      <c r="P595" s="5"/>
      <c r="Q595" s="5" t="s">
        <v>6256</v>
      </c>
    </row>
    <row r="596" spans="2:17" x14ac:dyDescent="0.2">
      <c r="B596" s="5" t="s">
        <v>6126</v>
      </c>
      <c r="C596" s="6" t="s">
        <v>13588</v>
      </c>
      <c r="D596" s="4">
        <v>366</v>
      </c>
      <c r="E596" s="5" t="s">
        <v>20</v>
      </c>
      <c r="F596" s="5" t="s">
        <v>6254</v>
      </c>
      <c r="G596" s="6" t="s">
        <v>39</v>
      </c>
      <c r="H596" s="4"/>
      <c r="I596" s="5" t="s">
        <v>38</v>
      </c>
      <c r="J596" s="5" t="s">
        <v>6257</v>
      </c>
      <c r="K596" s="5" t="s">
        <v>6258</v>
      </c>
      <c r="L596" s="5"/>
      <c r="M596" s="5" t="s">
        <v>1899</v>
      </c>
      <c r="N596" s="5" t="s">
        <v>2421</v>
      </c>
      <c r="O596" s="5" t="s">
        <v>6130</v>
      </c>
      <c r="P596" s="5"/>
      <c r="Q596" s="5" t="s">
        <v>6259</v>
      </c>
    </row>
    <row r="597" spans="2:17" x14ac:dyDescent="0.2">
      <c r="B597" s="5" t="s">
        <v>6126</v>
      </c>
      <c r="C597" s="6" t="s">
        <v>13588</v>
      </c>
      <c r="D597" s="4">
        <v>367</v>
      </c>
      <c r="E597" s="5" t="s">
        <v>20</v>
      </c>
      <c r="F597" s="5" t="s">
        <v>6254</v>
      </c>
      <c r="G597" s="6" t="s">
        <v>39</v>
      </c>
      <c r="H597" s="4"/>
      <c r="I597" s="5" t="s">
        <v>38</v>
      </c>
      <c r="J597" s="5" t="s">
        <v>6260</v>
      </c>
      <c r="K597" s="5" t="s">
        <v>6231</v>
      </c>
      <c r="L597" s="5" t="s">
        <v>6261</v>
      </c>
      <c r="M597" s="5" t="s">
        <v>1899</v>
      </c>
      <c r="N597" s="5" t="s">
        <v>2421</v>
      </c>
      <c r="O597" s="5" t="s">
        <v>6139</v>
      </c>
      <c r="P597" s="5"/>
      <c r="Q597" s="5" t="s">
        <v>6262</v>
      </c>
    </row>
    <row r="598" spans="2:17" x14ac:dyDescent="0.2">
      <c r="B598" s="5" t="s">
        <v>6126</v>
      </c>
      <c r="C598" s="6" t="s">
        <v>13588</v>
      </c>
      <c r="D598" s="4">
        <v>368</v>
      </c>
      <c r="E598" s="5" t="s">
        <v>20</v>
      </c>
      <c r="F598" s="5" t="s">
        <v>6254</v>
      </c>
      <c r="G598" s="6" t="s">
        <v>39</v>
      </c>
      <c r="H598" s="4"/>
      <c r="I598" s="5" t="s">
        <v>38</v>
      </c>
      <c r="J598" s="5" t="s">
        <v>6263</v>
      </c>
      <c r="K598" s="5" t="s">
        <v>6152</v>
      </c>
      <c r="L598" s="5" t="s">
        <v>6264</v>
      </c>
      <c r="M598" s="5" t="s">
        <v>1899</v>
      </c>
      <c r="N598" s="5" t="s">
        <v>2421</v>
      </c>
      <c r="O598" s="5" t="s">
        <v>6130</v>
      </c>
      <c r="P598" s="5"/>
      <c r="Q598" s="5" t="s">
        <v>6265</v>
      </c>
    </row>
    <row r="599" spans="2:17" x14ac:dyDescent="0.2">
      <c r="B599" s="5" t="s">
        <v>6126</v>
      </c>
      <c r="C599" s="6" t="s">
        <v>13588</v>
      </c>
      <c r="D599" s="4">
        <v>369</v>
      </c>
      <c r="E599" s="5" t="s">
        <v>20</v>
      </c>
      <c r="F599" s="5" t="s">
        <v>6254</v>
      </c>
      <c r="G599" s="6" t="s">
        <v>39</v>
      </c>
      <c r="H599" s="4"/>
      <c r="I599" s="5" t="s">
        <v>38</v>
      </c>
      <c r="J599" s="5" t="s">
        <v>6266</v>
      </c>
      <c r="K599" s="5" t="s">
        <v>6177</v>
      </c>
      <c r="L599" s="5" t="s">
        <v>6267</v>
      </c>
      <c r="M599" s="5" t="s">
        <v>1899</v>
      </c>
      <c r="N599" s="5" t="s">
        <v>2421</v>
      </c>
      <c r="O599" s="5" t="s">
        <v>6139</v>
      </c>
      <c r="P599" s="5"/>
      <c r="Q599" s="5" t="s">
        <v>6268</v>
      </c>
    </row>
    <row r="600" spans="2:17" x14ac:dyDescent="0.2">
      <c r="B600" s="5" t="s">
        <v>6126</v>
      </c>
      <c r="C600" s="6" t="s">
        <v>13588</v>
      </c>
      <c r="D600" s="4">
        <v>370</v>
      </c>
      <c r="E600" s="5" t="s">
        <v>20</v>
      </c>
      <c r="F600" s="5" t="s">
        <v>6269</v>
      </c>
      <c r="G600" s="6" t="s">
        <v>39</v>
      </c>
      <c r="H600" s="4"/>
      <c r="I600" s="5" t="s">
        <v>38</v>
      </c>
      <c r="J600" s="5" t="s">
        <v>6270</v>
      </c>
      <c r="K600" s="5" t="s">
        <v>6177</v>
      </c>
      <c r="L600" s="5" t="s">
        <v>6271</v>
      </c>
      <c r="M600" s="5" t="s">
        <v>1899</v>
      </c>
      <c r="N600" s="5" t="s">
        <v>2421</v>
      </c>
      <c r="O600" s="5" t="s">
        <v>6139</v>
      </c>
      <c r="P600" s="5"/>
      <c r="Q600" s="5" t="s">
        <v>6272</v>
      </c>
    </row>
    <row r="601" spans="2:17" x14ac:dyDescent="0.2">
      <c r="B601" s="5" t="s">
        <v>6126</v>
      </c>
      <c r="C601" s="6" t="s">
        <v>13588</v>
      </c>
      <c r="D601" s="4">
        <v>372</v>
      </c>
      <c r="E601" s="5" t="s">
        <v>20</v>
      </c>
      <c r="F601" s="5" t="s">
        <v>6243</v>
      </c>
      <c r="G601" s="6" t="s">
        <v>39</v>
      </c>
      <c r="H601" s="4"/>
      <c r="I601" s="5" t="s">
        <v>38</v>
      </c>
      <c r="J601" s="5" t="s">
        <v>6244</v>
      </c>
      <c r="K601" s="5" t="s">
        <v>6152</v>
      </c>
      <c r="L601" s="5" t="s">
        <v>6245</v>
      </c>
      <c r="M601" s="5" t="s">
        <v>433</v>
      </c>
      <c r="N601" s="5" t="s">
        <v>1544</v>
      </c>
      <c r="O601" s="5" t="s">
        <v>6139</v>
      </c>
      <c r="P601" s="5"/>
      <c r="Q601" s="5" t="s">
        <v>6246</v>
      </c>
    </row>
    <row r="602" spans="2:17" x14ac:dyDescent="0.2">
      <c r="B602" s="5" t="s">
        <v>6126</v>
      </c>
      <c r="C602" s="6" t="s">
        <v>13588</v>
      </c>
      <c r="D602" s="4">
        <v>373</v>
      </c>
      <c r="E602" s="5" t="s">
        <v>20</v>
      </c>
      <c r="F602" s="5" t="s">
        <v>6243</v>
      </c>
      <c r="G602" s="6" t="s">
        <v>39</v>
      </c>
      <c r="H602" s="4"/>
      <c r="I602" s="5" t="s">
        <v>38</v>
      </c>
      <c r="J602" s="5" t="s">
        <v>6247</v>
      </c>
      <c r="K602" s="5" t="s">
        <v>6231</v>
      </c>
      <c r="L602" s="5"/>
      <c r="M602" s="5" t="s">
        <v>433</v>
      </c>
      <c r="N602" s="5" t="s">
        <v>1544</v>
      </c>
      <c r="O602" s="5" t="s">
        <v>6130</v>
      </c>
      <c r="P602" s="5"/>
      <c r="Q602" s="5" t="s">
        <v>6248</v>
      </c>
    </row>
    <row r="603" spans="2:17" x14ac:dyDescent="0.2">
      <c r="B603" s="5" t="s">
        <v>6126</v>
      </c>
      <c r="C603" s="6" t="s">
        <v>13588</v>
      </c>
      <c r="D603" s="4">
        <v>374</v>
      </c>
      <c r="E603" s="5" t="s">
        <v>20</v>
      </c>
      <c r="F603" s="5" t="s">
        <v>6243</v>
      </c>
      <c r="G603" s="6" t="s">
        <v>39</v>
      </c>
      <c r="H603" s="4"/>
      <c r="I603" s="5" t="s">
        <v>38</v>
      </c>
      <c r="J603" s="5" t="s">
        <v>6249</v>
      </c>
      <c r="K603" s="5" t="s">
        <v>6147</v>
      </c>
      <c r="L603" s="5" t="s">
        <v>6250</v>
      </c>
      <c r="M603" s="5" t="s">
        <v>433</v>
      </c>
      <c r="N603" s="5" t="s">
        <v>1544</v>
      </c>
      <c r="O603" s="5" t="s">
        <v>6139</v>
      </c>
      <c r="P603" s="5"/>
      <c r="Q603" s="5" t="s">
        <v>6251</v>
      </c>
    </row>
    <row r="604" spans="2:17" x14ac:dyDescent="0.2">
      <c r="B604" s="5" t="s">
        <v>6273</v>
      </c>
      <c r="C604" s="6" t="s">
        <v>13588</v>
      </c>
      <c r="D604" s="4">
        <v>406</v>
      </c>
      <c r="E604" s="5" t="s">
        <v>20</v>
      </c>
      <c r="F604" s="5" t="s">
        <v>6284</v>
      </c>
      <c r="G604" s="6" t="s">
        <v>39</v>
      </c>
      <c r="H604" s="4"/>
      <c r="I604" s="5" t="s">
        <v>22</v>
      </c>
      <c r="J604" s="5" t="s">
        <v>6285</v>
      </c>
      <c r="K604" s="5" t="s">
        <v>6286</v>
      </c>
      <c r="L604" s="5"/>
      <c r="M604" s="5" t="s">
        <v>1377</v>
      </c>
      <c r="N604" s="5" t="s">
        <v>331</v>
      </c>
      <c r="O604" s="5" t="s">
        <v>6282</v>
      </c>
      <c r="P604" s="5"/>
      <c r="Q604" s="5" t="s">
        <v>6287</v>
      </c>
    </row>
    <row r="605" spans="2:17" x14ac:dyDescent="0.2">
      <c r="B605" s="5" t="s">
        <v>6273</v>
      </c>
      <c r="C605" s="6" t="s">
        <v>13588</v>
      </c>
      <c r="D605" s="4">
        <v>408</v>
      </c>
      <c r="E605" s="5" t="s">
        <v>20</v>
      </c>
      <c r="F605" s="5" t="s">
        <v>6274</v>
      </c>
      <c r="G605" s="6" t="s">
        <v>39</v>
      </c>
      <c r="H605" s="4"/>
      <c r="I605" s="5" t="s">
        <v>22</v>
      </c>
      <c r="J605" s="5" t="s">
        <v>6275</v>
      </c>
      <c r="K605" s="5" t="s">
        <v>6276</v>
      </c>
      <c r="L605" s="5"/>
      <c r="M605" s="5" t="s">
        <v>1251</v>
      </c>
      <c r="N605" s="5" t="s">
        <v>1247</v>
      </c>
      <c r="O605" s="5" t="s">
        <v>6277</v>
      </c>
      <c r="P605" s="5"/>
      <c r="Q605" s="5" t="s">
        <v>6278</v>
      </c>
    </row>
    <row r="606" spans="2:17" x14ac:dyDescent="0.2">
      <c r="B606" s="5" t="s">
        <v>6311</v>
      </c>
      <c r="C606" s="6" t="s">
        <v>13588</v>
      </c>
      <c r="D606" s="4">
        <v>419</v>
      </c>
      <c r="E606" s="5" t="s">
        <v>15</v>
      </c>
      <c r="F606" s="5" t="s">
        <v>6312</v>
      </c>
      <c r="G606" s="6" t="s">
        <v>39</v>
      </c>
      <c r="H606" s="4"/>
      <c r="I606" s="5"/>
      <c r="J606" s="5" t="s">
        <v>6313</v>
      </c>
      <c r="K606" s="5" t="s">
        <v>6314</v>
      </c>
      <c r="L606" s="5"/>
      <c r="M606" s="5" t="s">
        <v>1262</v>
      </c>
      <c r="N606" s="5" t="s">
        <v>1263</v>
      </c>
      <c r="O606" s="5" t="s">
        <v>6315</v>
      </c>
      <c r="P606" s="5"/>
      <c r="Q606" s="5" t="s">
        <v>6316</v>
      </c>
    </row>
    <row r="607" spans="2:17" x14ac:dyDescent="0.2">
      <c r="B607" s="5" t="s">
        <v>6311</v>
      </c>
      <c r="C607" s="6" t="s">
        <v>13588</v>
      </c>
      <c r="D607" s="4">
        <v>421</v>
      </c>
      <c r="E607" s="5" t="s">
        <v>15</v>
      </c>
      <c r="F607" s="5" t="s">
        <v>6321</v>
      </c>
      <c r="G607" s="6" t="s">
        <v>39</v>
      </c>
      <c r="H607" s="4"/>
      <c r="I607" s="5"/>
      <c r="J607" s="5" t="s">
        <v>6322</v>
      </c>
      <c r="K607" s="5" t="s">
        <v>6323</v>
      </c>
      <c r="L607" s="5"/>
      <c r="M607" s="5" t="s">
        <v>573</v>
      </c>
      <c r="N607" s="5" t="s">
        <v>6324</v>
      </c>
      <c r="O607" s="5" t="s">
        <v>6315</v>
      </c>
      <c r="P607" s="5"/>
      <c r="Q607" s="5" t="s">
        <v>6325</v>
      </c>
    </row>
    <row r="608" spans="2:17" x14ac:dyDescent="0.2">
      <c r="B608" s="5" t="s">
        <v>6380</v>
      </c>
      <c r="C608" s="6" t="s">
        <v>13588</v>
      </c>
      <c r="D608" s="4">
        <v>433</v>
      </c>
      <c r="E608" s="5" t="s">
        <v>24</v>
      </c>
      <c r="F608" s="5" t="s">
        <v>6468</v>
      </c>
      <c r="G608" s="6" t="s">
        <v>39</v>
      </c>
      <c r="H608" s="4"/>
      <c r="I608" s="5"/>
      <c r="J608" s="5" t="s">
        <v>6469</v>
      </c>
      <c r="K608" s="5" t="s">
        <v>6387</v>
      </c>
      <c r="L608" s="5"/>
      <c r="M608" s="5" t="s">
        <v>241</v>
      </c>
      <c r="N608" s="5" t="s">
        <v>241</v>
      </c>
      <c r="O608" s="5" t="s">
        <v>6391</v>
      </c>
      <c r="P608" s="5"/>
      <c r="Q608" s="5" t="s">
        <v>6470</v>
      </c>
    </row>
    <row r="609" spans="2:17" x14ac:dyDescent="0.2">
      <c r="B609" s="5" t="s">
        <v>6686</v>
      </c>
      <c r="C609" s="6" t="s">
        <v>13588</v>
      </c>
      <c r="D609" s="4">
        <v>522</v>
      </c>
      <c r="E609" s="5" t="s">
        <v>82</v>
      </c>
      <c r="F609" s="5" t="s">
        <v>6750</v>
      </c>
      <c r="G609" s="6" t="s">
        <v>39</v>
      </c>
      <c r="H609" s="4"/>
      <c r="I609" s="5"/>
      <c r="J609" s="5" t="s">
        <v>6751</v>
      </c>
      <c r="K609" s="5" t="s">
        <v>6698</v>
      </c>
      <c r="L609" s="5"/>
      <c r="M609" s="5" t="s">
        <v>174</v>
      </c>
      <c r="N609" s="5" t="s">
        <v>1592</v>
      </c>
      <c r="O609" s="5" t="s">
        <v>6690</v>
      </c>
      <c r="P609" s="5"/>
      <c r="Q609" s="5" t="s">
        <v>6752</v>
      </c>
    </row>
    <row r="610" spans="2:17" x14ac:dyDescent="0.2">
      <c r="B610" s="5" t="s">
        <v>6862</v>
      </c>
      <c r="C610" s="6" t="s">
        <v>13588</v>
      </c>
      <c r="D610" s="4">
        <v>566</v>
      </c>
      <c r="E610" s="5" t="s">
        <v>20</v>
      </c>
      <c r="F610" s="5" t="s">
        <v>6863</v>
      </c>
      <c r="G610" s="6" t="s">
        <v>39</v>
      </c>
      <c r="H610" s="4"/>
      <c r="I610" s="5" t="s">
        <v>22</v>
      </c>
      <c r="J610" s="5" t="s">
        <v>6864</v>
      </c>
      <c r="K610" s="5" t="s">
        <v>6865</v>
      </c>
      <c r="L610" s="5"/>
      <c r="M610" s="5" t="s">
        <v>422</v>
      </c>
      <c r="N610" s="5" t="s">
        <v>423</v>
      </c>
      <c r="O610" s="5" t="s">
        <v>6866</v>
      </c>
      <c r="P610" s="5"/>
      <c r="Q610" s="5" t="s">
        <v>6867</v>
      </c>
    </row>
    <row r="611" spans="2:17" x14ac:dyDescent="0.2">
      <c r="B611" s="5" t="s">
        <v>6862</v>
      </c>
      <c r="C611" s="6" t="s">
        <v>13588</v>
      </c>
      <c r="D611" s="4">
        <v>567</v>
      </c>
      <c r="E611" s="5" t="s">
        <v>20</v>
      </c>
      <c r="F611" s="5" t="s">
        <v>6863</v>
      </c>
      <c r="G611" s="6" t="s">
        <v>39</v>
      </c>
      <c r="H611" s="4"/>
      <c r="I611" s="5" t="s">
        <v>22</v>
      </c>
      <c r="J611" s="5" t="s">
        <v>6868</v>
      </c>
      <c r="K611" s="5" t="s">
        <v>6869</v>
      </c>
      <c r="L611" s="5" t="s">
        <v>6870</v>
      </c>
      <c r="M611" s="5" t="s">
        <v>422</v>
      </c>
      <c r="N611" s="5" t="s">
        <v>423</v>
      </c>
      <c r="O611" s="5" t="s">
        <v>6866</v>
      </c>
      <c r="P611" s="5"/>
      <c r="Q611" s="5" t="s">
        <v>6871</v>
      </c>
    </row>
    <row r="612" spans="2:17" x14ac:dyDescent="0.2">
      <c r="B612" s="5" t="s">
        <v>6862</v>
      </c>
      <c r="C612" s="6" t="s">
        <v>13588</v>
      </c>
      <c r="D612" s="4">
        <v>568</v>
      </c>
      <c r="E612" s="5" t="s">
        <v>20</v>
      </c>
      <c r="F612" s="5" t="s">
        <v>6863</v>
      </c>
      <c r="G612" s="6" t="s">
        <v>39</v>
      </c>
      <c r="H612" s="4"/>
      <c r="I612" s="5" t="s">
        <v>22</v>
      </c>
      <c r="J612" s="5" t="s">
        <v>6872</v>
      </c>
      <c r="K612" s="5" t="s">
        <v>6873</v>
      </c>
      <c r="L612" s="5"/>
      <c r="M612" s="5" t="s">
        <v>422</v>
      </c>
      <c r="N612" s="5" t="s">
        <v>423</v>
      </c>
      <c r="O612" s="5" t="s">
        <v>6866</v>
      </c>
      <c r="P612" s="5"/>
      <c r="Q612" s="5" t="s">
        <v>6874</v>
      </c>
    </row>
    <row r="613" spans="2:17" x14ac:dyDescent="0.2">
      <c r="B613" s="5" t="s">
        <v>6862</v>
      </c>
      <c r="C613" s="6" t="s">
        <v>13588</v>
      </c>
      <c r="D613" s="4">
        <v>569</v>
      </c>
      <c r="E613" s="5" t="s">
        <v>20</v>
      </c>
      <c r="F613" s="5" t="s">
        <v>6863</v>
      </c>
      <c r="G613" s="6" t="s">
        <v>39</v>
      </c>
      <c r="H613" s="4"/>
      <c r="I613" s="5" t="s">
        <v>22</v>
      </c>
      <c r="J613" s="5" t="s">
        <v>6872</v>
      </c>
      <c r="K613" s="5" t="s">
        <v>6875</v>
      </c>
      <c r="L613" s="5"/>
      <c r="M613" s="5" t="s">
        <v>422</v>
      </c>
      <c r="N613" s="5" t="s">
        <v>423</v>
      </c>
      <c r="O613" s="5" t="s">
        <v>6866</v>
      </c>
      <c r="P613" s="5"/>
      <c r="Q613" s="5" t="s">
        <v>6876</v>
      </c>
    </row>
    <row r="614" spans="2:17" x14ac:dyDescent="0.2">
      <c r="B614" s="5" t="s">
        <v>6894</v>
      </c>
      <c r="C614" s="6" t="s">
        <v>13588</v>
      </c>
      <c r="D614" s="4">
        <v>572</v>
      </c>
      <c r="E614" s="5" t="s">
        <v>20</v>
      </c>
      <c r="F614" s="5" t="s">
        <v>6911</v>
      </c>
      <c r="G614" s="6" t="s">
        <v>39</v>
      </c>
      <c r="H614" s="4"/>
      <c r="I614" s="5" t="s">
        <v>22</v>
      </c>
      <c r="J614" s="5" t="s">
        <v>6912</v>
      </c>
      <c r="K614" s="5" t="s">
        <v>6902</v>
      </c>
      <c r="L614" s="5"/>
      <c r="M614" s="5" t="s">
        <v>432</v>
      </c>
      <c r="N614" s="5" t="s">
        <v>433</v>
      </c>
      <c r="O614" s="5" t="s">
        <v>6895</v>
      </c>
      <c r="P614" s="5"/>
      <c r="Q614" s="5" t="s">
        <v>6913</v>
      </c>
    </row>
    <row r="615" spans="2:17" x14ac:dyDescent="0.2">
      <c r="B615" s="5" t="s">
        <v>6930</v>
      </c>
      <c r="C615" s="6" t="s">
        <v>13588</v>
      </c>
      <c r="D615" s="4">
        <v>590</v>
      </c>
      <c r="E615" s="5" t="s">
        <v>20</v>
      </c>
      <c r="F615" s="5" t="s">
        <v>3219</v>
      </c>
      <c r="G615" s="6" t="s">
        <v>39</v>
      </c>
      <c r="H615" s="4"/>
      <c r="I615" s="5" t="s">
        <v>22</v>
      </c>
      <c r="J615" s="5" t="s">
        <v>6957</v>
      </c>
      <c r="K615" s="5" t="s">
        <v>6958</v>
      </c>
      <c r="L615" s="5"/>
      <c r="M615" s="5" t="s">
        <v>157</v>
      </c>
      <c r="N615" s="5" t="s">
        <v>457</v>
      </c>
      <c r="O615" s="5" t="s">
        <v>6934</v>
      </c>
      <c r="P615" s="5"/>
      <c r="Q615" s="5" t="s">
        <v>6959</v>
      </c>
    </row>
    <row r="616" spans="2:17" x14ac:dyDescent="0.2">
      <c r="B616" s="5" t="s">
        <v>6930</v>
      </c>
      <c r="C616" s="6" t="s">
        <v>13588</v>
      </c>
      <c r="D616" s="4">
        <v>591</v>
      </c>
      <c r="E616" s="5" t="s">
        <v>20</v>
      </c>
      <c r="F616" s="5" t="s">
        <v>6953</v>
      </c>
      <c r="G616" s="6" t="s">
        <v>39</v>
      </c>
      <c r="H616" s="4"/>
      <c r="I616" s="5" t="s">
        <v>22</v>
      </c>
      <c r="J616" s="5" t="s">
        <v>6954</v>
      </c>
      <c r="K616" s="5" t="s">
        <v>6955</v>
      </c>
      <c r="L616" s="5"/>
      <c r="M616" s="5" t="s">
        <v>137</v>
      </c>
      <c r="N616" s="5" t="s">
        <v>138</v>
      </c>
      <c r="O616" s="5" t="s">
        <v>6934</v>
      </c>
      <c r="P616" s="5"/>
      <c r="Q616" s="5" t="s">
        <v>6956</v>
      </c>
    </row>
    <row r="617" spans="2:17" x14ac:dyDescent="0.2">
      <c r="B617" s="5" t="s">
        <v>6987</v>
      </c>
      <c r="C617" s="6" t="s">
        <v>13588</v>
      </c>
      <c r="D617" s="4">
        <v>602</v>
      </c>
      <c r="E617" s="5" t="s">
        <v>20</v>
      </c>
      <c r="F617" s="5" t="s">
        <v>6998</v>
      </c>
      <c r="G617" s="6" t="s">
        <v>39</v>
      </c>
      <c r="H617" s="4"/>
      <c r="I617" s="5" t="s">
        <v>22</v>
      </c>
      <c r="J617" s="5" t="s">
        <v>6999</v>
      </c>
      <c r="K617" s="5" t="s">
        <v>7000</v>
      </c>
      <c r="L617" s="5"/>
      <c r="M617" s="5" t="s">
        <v>296</v>
      </c>
      <c r="N617" s="5" t="s">
        <v>302</v>
      </c>
      <c r="O617" s="5" t="s">
        <v>7001</v>
      </c>
      <c r="P617" s="5"/>
      <c r="Q617" s="5" t="s">
        <v>7002</v>
      </c>
    </row>
    <row r="618" spans="2:17" x14ac:dyDescent="0.2">
      <c r="B618" s="5" t="s">
        <v>7319</v>
      </c>
      <c r="C618" s="6" t="s">
        <v>13588</v>
      </c>
      <c r="D618" s="4">
        <v>707</v>
      </c>
      <c r="E618" s="5" t="s">
        <v>15</v>
      </c>
      <c r="F618" s="5" t="s">
        <v>7389</v>
      </c>
      <c r="G618" s="6" t="s">
        <v>39</v>
      </c>
      <c r="H618" s="4"/>
      <c r="I618" s="5"/>
      <c r="J618" s="5" t="s">
        <v>7390</v>
      </c>
      <c r="K618" s="5" t="s">
        <v>7323</v>
      </c>
      <c r="L618" s="5" t="s">
        <v>7391</v>
      </c>
      <c r="M618" s="5" t="s">
        <v>1073</v>
      </c>
      <c r="N618" s="5" t="s">
        <v>2236</v>
      </c>
      <c r="O618" s="5" t="s">
        <v>7347</v>
      </c>
      <c r="P618" s="5"/>
      <c r="Q618" s="5" t="s">
        <v>7392</v>
      </c>
    </row>
    <row r="619" spans="2:17" x14ac:dyDescent="0.2">
      <c r="B619" s="5" t="s">
        <v>7409</v>
      </c>
      <c r="C619" s="6" t="s">
        <v>13588</v>
      </c>
      <c r="D619" s="4">
        <v>713</v>
      </c>
      <c r="E619" s="5" t="s">
        <v>20</v>
      </c>
      <c r="F619" s="5" t="s">
        <v>7429</v>
      </c>
      <c r="G619" s="6" t="s">
        <v>39</v>
      </c>
      <c r="H619" s="4"/>
      <c r="I619" s="5" t="s">
        <v>22</v>
      </c>
      <c r="J619" s="5" t="s">
        <v>7430</v>
      </c>
      <c r="K619" s="5" t="s">
        <v>7419</v>
      </c>
      <c r="L619" s="5" t="s">
        <v>7431</v>
      </c>
      <c r="M619" s="5" t="s">
        <v>804</v>
      </c>
      <c r="N619" s="5" t="s">
        <v>2083</v>
      </c>
      <c r="O619" s="5" t="s">
        <v>7412</v>
      </c>
      <c r="P619" s="5"/>
      <c r="Q619" s="5" t="s">
        <v>7432</v>
      </c>
    </row>
    <row r="620" spans="2:17" x14ac:dyDescent="0.2">
      <c r="B620" s="5" t="s">
        <v>7474</v>
      </c>
      <c r="C620" s="6" t="s">
        <v>13588</v>
      </c>
      <c r="D620" s="4">
        <v>735</v>
      </c>
      <c r="E620" s="5" t="s">
        <v>20</v>
      </c>
      <c r="F620" s="5" t="s">
        <v>7495</v>
      </c>
      <c r="G620" s="6" t="s">
        <v>39</v>
      </c>
      <c r="H620" s="4"/>
      <c r="I620" s="5" t="s">
        <v>22</v>
      </c>
      <c r="J620" s="5" t="s">
        <v>7496</v>
      </c>
      <c r="K620" s="5" t="s">
        <v>7497</v>
      </c>
      <c r="L620" s="5"/>
      <c r="M620" s="5" t="s">
        <v>1377</v>
      </c>
      <c r="N620" s="5" t="s">
        <v>331</v>
      </c>
      <c r="O620" s="5" t="s">
        <v>7480</v>
      </c>
      <c r="P620" s="5"/>
      <c r="Q620" s="5" t="s">
        <v>7498</v>
      </c>
    </row>
    <row r="621" spans="2:17" x14ac:dyDescent="0.2">
      <c r="B621" s="5" t="s">
        <v>7539</v>
      </c>
      <c r="C621" s="6" t="s">
        <v>13588</v>
      </c>
      <c r="D621" s="4">
        <v>750</v>
      </c>
      <c r="E621" s="5" t="s">
        <v>20</v>
      </c>
      <c r="F621" s="5" t="s">
        <v>7599</v>
      </c>
      <c r="G621" s="6" t="s">
        <v>39</v>
      </c>
      <c r="H621" s="4"/>
      <c r="I621" s="5" t="s">
        <v>22</v>
      </c>
      <c r="J621" s="5" t="s">
        <v>7600</v>
      </c>
      <c r="K621" s="5" t="s">
        <v>7545</v>
      </c>
      <c r="L621" s="5" t="s">
        <v>7601</v>
      </c>
      <c r="M621" s="5" t="s">
        <v>4184</v>
      </c>
      <c r="N621" s="5" t="s">
        <v>1530</v>
      </c>
      <c r="O621" s="5"/>
      <c r="P621" s="5"/>
      <c r="Q621" s="5" t="s">
        <v>7602</v>
      </c>
    </row>
    <row r="622" spans="2:17" x14ac:dyDescent="0.2">
      <c r="B622" s="5" t="s">
        <v>7639</v>
      </c>
      <c r="C622" s="6" t="s">
        <v>13588</v>
      </c>
      <c r="D622" s="4">
        <v>770</v>
      </c>
      <c r="E622" s="5" t="s">
        <v>13</v>
      </c>
      <c r="F622" s="5" t="s">
        <v>7673</v>
      </c>
      <c r="G622" s="6" t="s">
        <v>39</v>
      </c>
      <c r="H622" s="4"/>
      <c r="I622" s="5"/>
      <c r="J622" s="5" t="s">
        <v>7674</v>
      </c>
      <c r="K622" s="5" t="s">
        <v>7675</v>
      </c>
      <c r="L622" s="5"/>
      <c r="M622" s="5" t="s">
        <v>1751</v>
      </c>
      <c r="N622" s="5" t="s">
        <v>1751</v>
      </c>
      <c r="O622" s="5" t="s">
        <v>7661</v>
      </c>
      <c r="P622" s="5"/>
      <c r="Q622" s="5" t="s">
        <v>7676</v>
      </c>
    </row>
    <row r="623" spans="2:17" x14ac:dyDescent="0.2">
      <c r="B623" s="5" t="s">
        <v>3810</v>
      </c>
      <c r="C623" s="6" t="s">
        <v>13588</v>
      </c>
      <c r="D623" s="4">
        <v>3</v>
      </c>
      <c r="E623" s="5" t="s">
        <v>20</v>
      </c>
      <c r="F623" s="5" t="s">
        <v>3824</v>
      </c>
      <c r="G623" s="6" t="s">
        <v>18</v>
      </c>
      <c r="H623" s="4"/>
      <c r="I623" s="5" t="s">
        <v>22</v>
      </c>
      <c r="J623" s="5" t="s">
        <v>3821</v>
      </c>
      <c r="K623" s="5" t="s">
        <v>3822</v>
      </c>
      <c r="L623" s="5"/>
      <c r="M623" s="5" t="s">
        <v>920</v>
      </c>
      <c r="N623" s="5" t="s">
        <v>411</v>
      </c>
      <c r="O623" s="5"/>
      <c r="P623" s="5"/>
      <c r="Q623" s="5" t="s">
        <v>3825</v>
      </c>
    </row>
    <row r="624" spans="2:17" x14ac:dyDescent="0.2">
      <c r="B624" s="5" t="s">
        <v>3834</v>
      </c>
      <c r="C624" s="6" t="s">
        <v>13588</v>
      </c>
      <c r="D624" s="4">
        <v>8</v>
      </c>
      <c r="E624" s="5" t="s">
        <v>20</v>
      </c>
      <c r="F624" s="5" t="s">
        <v>3908</v>
      </c>
      <c r="G624" s="6" t="s">
        <v>18</v>
      </c>
      <c r="H624" s="4"/>
      <c r="I624" s="5" t="s">
        <v>22</v>
      </c>
      <c r="J624" s="5" t="s">
        <v>3909</v>
      </c>
      <c r="K624" s="5" t="s">
        <v>3868</v>
      </c>
      <c r="L624" s="5"/>
      <c r="M624" s="5" t="s">
        <v>1899</v>
      </c>
      <c r="N624" s="5" t="s">
        <v>2421</v>
      </c>
      <c r="O624" s="5" t="s">
        <v>3838</v>
      </c>
      <c r="P624" s="5"/>
      <c r="Q624" s="5" t="s">
        <v>3910</v>
      </c>
    </row>
    <row r="625" spans="2:17" x14ac:dyDescent="0.2">
      <c r="B625" s="5" t="s">
        <v>3834</v>
      </c>
      <c r="C625" s="6" t="s">
        <v>13588</v>
      </c>
      <c r="D625" s="4">
        <v>13</v>
      </c>
      <c r="E625" s="5" t="s">
        <v>20</v>
      </c>
      <c r="F625" s="5" t="s">
        <v>3886</v>
      </c>
      <c r="G625" s="6" t="s">
        <v>18</v>
      </c>
      <c r="H625" s="4"/>
      <c r="I625" s="5" t="s">
        <v>38</v>
      </c>
      <c r="J625" s="5" t="s">
        <v>3887</v>
      </c>
      <c r="K625" s="5" t="s">
        <v>3888</v>
      </c>
      <c r="L625" s="5"/>
      <c r="M625" s="5" t="s">
        <v>2708</v>
      </c>
      <c r="N625" s="5" t="s">
        <v>174</v>
      </c>
      <c r="O625" s="5" t="s">
        <v>3838</v>
      </c>
      <c r="P625" s="5"/>
      <c r="Q625" s="5" t="s">
        <v>3889</v>
      </c>
    </row>
    <row r="626" spans="2:17" x14ac:dyDescent="0.2">
      <c r="B626" s="5" t="s">
        <v>3834</v>
      </c>
      <c r="C626" s="6" t="s">
        <v>13588</v>
      </c>
      <c r="D626" s="4">
        <v>20</v>
      </c>
      <c r="E626" s="5" t="s">
        <v>13</v>
      </c>
      <c r="F626" s="5" t="s">
        <v>3855</v>
      </c>
      <c r="G626" s="6" t="s">
        <v>18</v>
      </c>
      <c r="H626" s="4"/>
      <c r="I626" s="5"/>
      <c r="J626" s="5" t="s">
        <v>3856</v>
      </c>
      <c r="K626" s="5" t="s">
        <v>3842</v>
      </c>
      <c r="L626" s="5"/>
      <c r="M626" s="5" t="s">
        <v>2891</v>
      </c>
      <c r="N626" s="5" t="s">
        <v>2891</v>
      </c>
      <c r="O626" s="5" t="s">
        <v>3843</v>
      </c>
      <c r="P626" s="5"/>
      <c r="Q626" s="5" t="s">
        <v>3857</v>
      </c>
    </row>
    <row r="627" spans="2:17" x14ac:dyDescent="0.2">
      <c r="B627" s="5" t="s">
        <v>3834</v>
      </c>
      <c r="C627" s="6" t="s">
        <v>13588</v>
      </c>
      <c r="D627" s="4">
        <v>21</v>
      </c>
      <c r="E627" s="5" t="s">
        <v>82</v>
      </c>
      <c r="F627" s="5" t="s">
        <v>3840</v>
      </c>
      <c r="G627" s="6" t="s">
        <v>18</v>
      </c>
      <c r="H627" s="4"/>
      <c r="I627" s="5"/>
      <c r="J627" s="5" t="s">
        <v>3841</v>
      </c>
      <c r="K627" s="5" t="s">
        <v>3842</v>
      </c>
      <c r="L627" s="5"/>
      <c r="M627" s="5" t="s">
        <v>1269</v>
      </c>
      <c r="N627" s="5" t="s">
        <v>1262</v>
      </c>
      <c r="O627" s="5" t="s">
        <v>3843</v>
      </c>
      <c r="P627" s="5"/>
      <c r="Q627" s="5" t="s">
        <v>3844</v>
      </c>
    </row>
    <row r="628" spans="2:17" x14ac:dyDescent="0.2">
      <c r="B628" s="5" t="s">
        <v>3834</v>
      </c>
      <c r="C628" s="6" t="s">
        <v>13588</v>
      </c>
      <c r="D628" s="4">
        <v>27</v>
      </c>
      <c r="E628" s="5" t="s">
        <v>15</v>
      </c>
      <c r="F628" s="5" t="s">
        <v>3911</v>
      </c>
      <c r="G628" s="6" t="s">
        <v>18</v>
      </c>
      <c r="H628" s="4"/>
      <c r="I628" s="5"/>
      <c r="J628" s="5" t="s">
        <v>3912</v>
      </c>
      <c r="K628" s="5" t="s">
        <v>3842</v>
      </c>
      <c r="L628" s="5" t="s">
        <v>3913</v>
      </c>
      <c r="M628" s="5" t="s">
        <v>529</v>
      </c>
      <c r="N628" s="5" t="s">
        <v>529</v>
      </c>
      <c r="O628" s="5" t="s">
        <v>3914</v>
      </c>
      <c r="P628" s="5"/>
      <c r="Q628" s="5" t="s">
        <v>3915</v>
      </c>
    </row>
    <row r="629" spans="2:17" x14ac:dyDescent="0.2">
      <c r="B629" s="5" t="s">
        <v>3916</v>
      </c>
      <c r="C629" s="6" t="s">
        <v>13588</v>
      </c>
      <c r="D629" s="4">
        <v>34</v>
      </c>
      <c r="E629" s="5" t="s">
        <v>20</v>
      </c>
      <c r="F629" s="5" t="s">
        <v>3941</v>
      </c>
      <c r="G629" s="6" t="s">
        <v>18</v>
      </c>
      <c r="H629" s="4"/>
      <c r="I629" s="5" t="s">
        <v>22</v>
      </c>
      <c r="J629" s="5" t="s">
        <v>3942</v>
      </c>
      <c r="K629" s="5" t="s">
        <v>3917</v>
      </c>
      <c r="L629" s="5"/>
      <c r="M629" s="5" t="s">
        <v>3943</v>
      </c>
      <c r="N629" s="5" t="s">
        <v>261</v>
      </c>
      <c r="O629" s="5" t="s">
        <v>3918</v>
      </c>
      <c r="P629" s="5"/>
      <c r="Q629" s="5" t="s">
        <v>3944</v>
      </c>
    </row>
    <row r="630" spans="2:17" x14ac:dyDescent="0.2">
      <c r="B630" s="5" t="s">
        <v>4100</v>
      </c>
      <c r="C630" s="6" t="s">
        <v>13588</v>
      </c>
      <c r="D630" s="4">
        <v>81</v>
      </c>
      <c r="E630" s="5" t="s">
        <v>20</v>
      </c>
      <c r="F630" s="5" t="s">
        <v>4124</v>
      </c>
      <c r="G630" s="6" t="s">
        <v>18</v>
      </c>
      <c r="H630" s="4"/>
      <c r="I630" s="5" t="s">
        <v>22</v>
      </c>
      <c r="J630" s="5" t="s">
        <v>4125</v>
      </c>
      <c r="K630" s="5" t="s">
        <v>4126</v>
      </c>
      <c r="L630" s="5"/>
      <c r="M630" s="5" t="s">
        <v>2598</v>
      </c>
      <c r="N630" s="5" t="s">
        <v>106</v>
      </c>
      <c r="O630" s="5" t="s">
        <v>4104</v>
      </c>
      <c r="P630" s="5"/>
      <c r="Q630" s="5" t="s">
        <v>4127</v>
      </c>
    </row>
    <row r="631" spans="2:17" x14ac:dyDescent="0.2">
      <c r="B631" s="5" t="s">
        <v>4100</v>
      </c>
      <c r="C631" s="6" t="s">
        <v>13588</v>
      </c>
      <c r="D631" s="4">
        <v>82</v>
      </c>
      <c r="E631" s="5" t="s">
        <v>20</v>
      </c>
      <c r="F631" s="5" t="s">
        <v>4124</v>
      </c>
      <c r="G631" s="6" t="s">
        <v>18</v>
      </c>
      <c r="H631" s="4"/>
      <c r="I631" s="5" t="s">
        <v>22</v>
      </c>
      <c r="J631" s="5" t="s">
        <v>4128</v>
      </c>
      <c r="K631" s="5" t="s">
        <v>4103</v>
      </c>
      <c r="L631" s="5"/>
      <c r="M631" s="5" t="s">
        <v>2598</v>
      </c>
      <c r="N631" s="5" t="s">
        <v>106</v>
      </c>
      <c r="O631" s="5" t="s">
        <v>4104</v>
      </c>
      <c r="P631" s="5"/>
      <c r="Q631" s="5" t="s">
        <v>4129</v>
      </c>
    </row>
    <row r="632" spans="2:17" x14ac:dyDescent="0.2">
      <c r="B632" s="5" t="s">
        <v>4140</v>
      </c>
      <c r="C632" s="6" t="s">
        <v>13588</v>
      </c>
      <c r="D632" s="4">
        <v>88</v>
      </c>
      <c r="E632" s="5" t="s">
        <v>20</v>
      </c>
      <c r="F632" s="5" t="s">
        <v>4141</v>
      </c>
      <c r="G632" s="6" t="s">
        <v>18</v>
      </c>
      <c r="H632" s="4"/>
      <c r="I632" s="5" t="s">
        <v>22</v>
      </c>
      <c r="J632" s="5" t="s">
        <v>4142</v>
      </c>
      <c r="K632" s="5" t="s">
        <v>4143</v>
      </c>
      <c r="L632" s="5"/>
      <c r="M632" s="5" t="s">
        <v>2598</v>
      </c>
      <c r="N632" s="5" t="s">
        <v>106</v>
      </c>
      <c r="O632" s="5" t="s">
        <v>4144</v>
      </c>
      <c r="P632" s="5"/>
      <c r="Q632" s="5" t="s">
        <v>4145</v>
      </c>
    </row>
    <row r="633" spans="2:17" x14ac:dyDescent="0.2">
      <c r="B633" s="5" t="s">
        <v>4231</v>
      </c>
      <c r="C633" s="6" t="s">
        <v>13588</v>
      </c>
      <c r="D633" s="4">
        <v>110</v>
      </c>
      <c r="E633" s="5" t="s">
        <v>20</v>
      </c>
      <c r="F633" s="5" t="s">
        <v>4267</v>
      </c>
      <c r="G633" s="6" t="s">
        <v>18</v>
      </c>
      <c r="H633" s="4"/>
      <c r="I633" s="5" t="s">
        <v>22</v>
      </c>
      <c r="J633" s="5" t="s">
        <v>4268</v>
      </c>
      <c r="K633" s="5" t="s">
        <v>4234</v>
      </c>
      <c r="L633" s="5" t="s">
        <v>4269</v>
      </c>
      <c r="M633" s="5" t="s">
        <v>4270</v>
      </c>
      <c r="N633" s="5" t="s">
        <v>4271</v>
      </c>
      <c r="O633" s="5" t="s">
        <v>4236</v>
      </c>
      <c r="P633" s="5"/>
      <c r="Q633" s="5" t="s">
        <v>4272</v>
      </c>
    </row>
    <row r="634" spans="2:17" x14ac:dyDescent="0.2">
      <c r="B634" s="5" t="s">
        <v>4317</v>
      </c>
      <c r="C634" s="6" t="s">
        <v>13588</v>
      </c>
      <c r="D634" s="4">
        <v>135</v>
      </c>
      <c r="E634" s="5" t="s">
        <v>20</v>
      </c>
      <c r="F634" s="5" t="s">
        <v>4335</v>
      </c>
      <c r="G634" s="6" t="s">
        <v>18</v>
      </c>
      <c r="H634" s="4"/>
      <c r="I634" s="5" t="s">
        <v>22</v>
      </c>
      <c r="J634" s="5" t="s">
        <v>4336</v>
      </c>
      <c r="K634" s="5" t="s">
        <v>4332</v>
      </c>
      <c r="L634" s="5"/>
      <c r="M634" s="5" t="s">
        <v>1343</v>
      </c>
      <c r="N634" s="5" t="s">
        <v>291</v>
      </c>
      <c r="O634" s="5" t="s">
        <v>4333</v>
      </c>
      <c r="P634" s="5"/>
      <c r="Q634" s="5" t="s">
        <v>4337</v>
      </c>
    </row>
    <row r="635" spans="2:17" x14ac:dyDescent="0.2">
      <c r="B635" s="5" t="s">
        <v>4317</v>
      </c>
      <c r="C635" s="6" t="s">
        <v>13588</v>
      </c>
      <c r="D635" s="4">
        <v>136</v>
      </c>
      <c r="E635" s="5" t="s">
        <v>20</v>
      </c>
      <c r="F635" s="5" t="s">
        <v>4330</v>
      </c>
      <c r="G635" s="6" t="s">
        <v>18</v>
      </c>
      <c r="H635" s="4"/>
      <c r="I635" s="5" t="s">
        <v>22</v>
      </c>
      <c r="J635" s="5" t="s">
        <v>4331</v>
      </c>
      <c r="K635" s="5" t="s">
        <v>4332</v>
      </c>
      <c r="L635" s="5"/>
      <c r="M635" s="5" t="s">
        <v>1343</v>
      </c>
      <c r="N635" s="5" t="s">
        <v>291</v>
      </c>
      <c r="O635" s="5" t="s">
        <v>4333</v>
      </c>
      <c r="P635" s="5"/>
      <c r="Q635" s="5" t="s">
        <v>4334</v>
      </c>
    </row>
    <row r="636" spans="2:17" x14ac:dyDescent="0.2">
      <c r="B636" s="5" t="s">
        <v>4357</v>
      </c>
      <c r="C636" s="6" t="s">
        <v>13588</v>
      </c>
      <c r="D636" s="4">
        <v>141</v>
      </c>
      <c r="E636" s="5" t="s">
        <v>20</v>
      </c>
      <c r="F636" s="5" t="s">
        <v>4371</v>
      </c>
      <c r="G636" s="6" t="s">
        <v>18</v>
      </c>
      <c r="H636" s="4"/>
      <c r="I636" s="5" t="s">
        <v>22</v>
      </c>
      <c r="J636" s="5" t="s">
        <v>4372</v>
      </c>
      <c r="K636" s="5" t="s">
        <v>4369</v>
      </c>
      <c r="L636" s="5" t="s">
        <v>4370</v>
      </c>
      <c r="M636" s="5" t="s">
        <v>428</v>
      </c>
      <c r="N636" s="5" t="s">
        <v>4373</v>
      </c>
      <c r="O636" s="5" t="s">
        <v>4361</v>
      </c>
      <c r="P636" s="5"/>
      <c r="Q636" s="5" t="s">
        <v>4374</v>
      </c>
    </row>
    <row r="637" spans="2:17" x14ac:dyDescent="0.2">
      <c r="B637" s="5" t="s">
        <v>4565</v>
      </c>
      <c r="C637" s="6" t="s">
        <v>13588</v>
      </c>
      <c r="D637" s="4">
        <v>201</v>
      </c>
      <c r="E637" s="5" t="s">
        <v>20</v>
      </c>
      <c r="F637" s="5" t="s">
        <v>4593</v>
      </c>
      <c r="G637" s="6" t="s">
        <v>18</v>
      </c>
      <c r="H637" s="4"/>
      <c r="I637" s="5" t="s">
        <v>38</v>
      </c>
      <c r="J637" s="5" t="s">
        <v>4594</v>
      </c>
      <c r="K637" s="5" t="s">
        <v>4595</v>
      </c>
      <c r="L637" s="5" t="s">
        <v>4596</v>
      </c>
      <c r="M637" s="5" t="s">
        <v>3053</v>
      </c>
      <c r="N637" s="5" t="s">
        <v>342</v>
      </c>
      <c r="O637" s="5" t="s">
        <v>4597</v>
      </c>
      <c r="P637" s="5"/>
      <c r="Q637" s="5" t="s">
        <v>4598</v>
      </c>
    </row>
    <row r="638" spans="2:17" x14ac:dyDescent="0.2">
      <c r="B638" s="5" t="s">
        <v>4565</v>
      </c>
      <c r="C638" s="6" t="s">
        <v>13588</v>
      </c>
      <c r="D638" s="4">
        <v>208</v>
      </c>
      <c r="E638" s="5" t="s">
        <v>20</v>
      </c>
      <c r="F638" s="5" t="s">
        <v>4626</v>
      </c>
      <c r="G638" s="6" t="s">
        <v>18</v>
      </c>
      <c r="H638" s="4"/>
      <c r="I638" s="5" t="s">
        <v>38</v>
      </c>
      <c r="J638" s="5" t="s">
        <v>2234</v>
      </c>
      <c r="K638" s="5" t="s">
        <v>4627</v>
      </c>
      <c r="L638" s="5" t="s">
        <v>4628</v>
      </c>
      <c r="M638" s="5" t="s">
        <v>1074</v>
      </c>
      <c r="N638" s="5" t="s">
        <v>2236</v>
      </c>
      <c r="O638" s="5" t="s">
        <v>4597</v>
      </c>
      <c r="P638" s="5"/>
      <c r="Q638" s="5" t="s">
        <v>4629</v>
      </c>
    </row>
    <row r="639" spans="2:17" x14ac:dyDescent="0.2">
      <c r="B639" s="5" t="s">
        <v>4565</v>
      </c>
      <c r="C639" s="6" t="s">
        <v>13588</v>
      </c>
      <c r="D639" s="4">
        <v>209</v>
      </c>
      <c r="E639" s="5" t="s">
        <v>20</v>
      </c>
      <c r="F639" s="5" t="s">
        <v>4626</v>
      </c>
      <c r="G639" s="6" t="s">
        <v>18</v>
      </c>
      <c r="H639" s="4"/>
      <c r="I639" s="5" t="s">
        <v>38</v>
      </c>
      <c r="J639" s="5" t="s">
        <v>4630</v>
      </c>
      <c r="K639" s="5" t="s">
        <v>4631</v>
      </c>
      <c r="L639" s="5" t="s">
        <v>4632</v>
      </c>
      <c r="M639" s="5" t="s">
        <v>1074</v>
      </c>
      <c r="N639" s="5" t="s">
        <v>2236</v>
      </c>
      <c r="O639" s="5" t="s">
        <v>4633</v>
      </c>
      <c r="P639" s="5"/>
      <c r="Q639" s="5" t="s">
        <v>4634</v>
      </c>
    </row>
    <row r="640" spans="2:17" x14ac:dyDescent="0.2">
      <c r="B640" s="5" t="s">
        <v>4565</v>
      </c>
      <c r="C640" s="6" t="s">
        <v>13588</v>
      </c>
      <c r="D640" s="4">
        <v>210</v>
      </c>
      <c r="E640" s="5" t="s">
        <v>20</v>
      </c>
      <c r="F640" s="5" t="s">
        <v>4626</v>
      </c>
      <c r="G640" s="6" t="s">
        <v>18</v>
      </c>
      <c r="H640" s="4"/>
      <c r="I640" s="5" t="s">
        <v>38</v>
      </c>
      <c r="J640" s="5" t="s">
        <v>2238</v>
      </c>
      <c r="K640" s="5" t="s">
        <v>4631</v>
      </c>
      <c r="L640" s="5" t="s">
        <v>4635</v>
      </c>
      <c r="M640" s="5" t="s">
        <v>1074</v>
      </c>
      <c r="N640" s="5" t="s">
        <v>2236</v>
      </c>
      <c r="O640" s="5" t="s">
        <v>4633</v>
      </c>
      <c r="P640" s="5"/>
      <c r="Q640" s="5" t="s">
        <v>4636</v>
      </c>
    </row>
    <row r="641" spans="2:17" x14ac:dyDescent="0.2">
      <c r="B641" s="5" t="s">
        <v>4565</v>
      </c>
      <c r="C641" s="6" t="s">
        <v>13588</v>
      </c>
      <c r="D641" s="4">
        <v>214</v>
      </c>
      <c r="E641" s="5" t="s">
        <v>24</v>
      </c>
      <c r="F641" s="5" t="s">
        <v>4604</v>
      </c>
      <c r="G641" s="6" t="s">
        <v>18</v>
      </c>
      <c r="H641" s="4"/>
      <c r="I641" s="5"/>
      <c r="J641" s="5" t="s">
        <v>4605</v>
      </c>
      <c r="K641" s="5" t="s">
        <v>4566</v>
      </c>
      <c r="L641" s="5"/>
      <c r="M641" s="5" t="s">
        <v>366</v>
      </c>
      <c r="N641" s="5" t="s">
        <v>2662</v>
      </c>
      <c r="O641" s="5" t="s">
        <v>4567</v>
      </c>
      <c r="P641" s="5"/>
      <c r="Q641" s="5" t="s">
        <v>4606</v>
      </c>
    </row>
    <row r="642" spans="2:17" x14ac:dyDescent="0.2">
      <c r="B642" s="5" t="s">
        <v>4674</v>
      </c>
      <c r="C642" s="6" t="s">
        <v>13588</v>
      </c>
      <c r="D642" s="4">
        <v>229</v>
      </c>
      <c r="E642" s="5" t="s">
        <v>20</v>
      </c>
      <c r="F642" s="5" t="s">
        <v>4692</v>
      </c>
      <c r="G642" s="6" t="s">
        <v>18</v>
      </c>
      <c r="H642" s="4"/>
      <c r="I642" s="5" t="s">
        <v>22</v>
      </c>
      <c r="J642" s="5" t="s">
        <v>4693</v>
      </c>
      <c r="K642" s="5" t="s">
        <v>4694</v>
      </c>
      <c r="L642" s="5"/>
      <c r="M642" s="5" t="s">
        <v>1957</v>
      </c>
      <c r="N642" s="5" t="s">
        <v>2473</v>
      </c>
      <c r="O642" s="5" t="s">
        <v>4676</v>
      </c>
      <c r="P642" s="5"/>
      <c r="Q642" s="5" t="s">
        <v>4695</v>
      </c>
    </row>
    <row r="643" spans="2:17" x14ac:dyDescent="0.2">
      <c r="B643" s="5" t="s">
        <v>4726</v>
      </c>
      <c r="C643" s="6" t="s">
        <v>13588</v>
      </c>
      <c r="D643" s="4">
        <v>241</v>
      </c>
      <c r="E643" s="5" t="s">
        <v>13</v>
      </c>
      <c r="F643" s="5" t="s">
        <v>4748</v>
      </c>
      <c r="G643" s="6" t="s">
        <v>18</v>
      </c>
      <c r="H643" s="4"/>
      <c r="I643" s="5"/>
      <c r="J643" s="5"/>
      <c r="K643" s="5" t="s">
        <v>4749</v>
      </c>
      <c r="L643" s="5"/>
      <c r="M643" s="5" t="s">
        <v>1525</v>
      </c>
      <c r="N643" s="5" t="s">
        <v>1525</v>
      </c>
      <c r="O643" s="5" t="s">
        <v>4728</v>
      </c>
      <c r="P643" s="5"/>
      <c r="Q643" s="5" t="s">
        <v>4750</v>
      </c>
    </row>
    <row r="644" spans="2:17" x14ac:dyDescent="0.2">
      <c r="B644" s="5" t="s">
        <v>4726</v>
      </c>
      <c r="C644" s="6" t="s">
        <v>13588</v>
      </c>
      <c r="D644" s="4">
        <v>244</v>
      </c>
      <c r="E644" s="5" t="s">
        <v>20</v>
      </c>
      <c r="F644" s="5" t="s">
        <v>4744</v>
      </c>
      <c r="G644" s="6" t="s">
        <v>18</v>
      </c>
      <c r="H644" s="4"/>
      <c r="I644" s="5" t="s">
        <v>38</v>
      </c>
      <c r="J644" s="5" t="s">
        <v>4745</v>
      </c>
      <c r="K644" s="5" t="s">
        <v>4746</v>
      </c>
      <c r="L644" s="5"/>
      <c r="M644" s="5" t="s">
        <v>1525</v>
      </c>
      <c r="N644" s="5" t="s">
        <v>1520</v>
      </c>
      <c r="O644" s="5" t="s">
        <v>4728</v>
      </c>
      <c r="P644" s="5"/>
      <c r="Q644" s="5" t="s">
        <v>4747</v>
      </c>
    </row>
    <row r="645" spans="2:17" x14ac:dyDescent="0.2">
      <c r="B645" s="5" t="s">
        <v>4944</v>
      </c>
      <c r="C645" s="6" t="s">
        <v>13588</v>
      </c>
      <c r="D645" s="4">
        <v>300</v>
      </c>
      <c r="E645" s="5" t="s">
        <v>20</v>
      </c>
      <c r="F645" s="5" t="s">
        <v>4962</v>
      </c>
      <c r="G645" s="6" t="s">
        <v>18</v>
      </c>
      <c r="H645" s="4"/>
      <c r="I645" s="5" t="s">
        <v>38</v>
      </c>
      <c r="J645" s="5" t="s">
        <v>4963</v>
      </c>
      <c r="K645" s="5" t="s">
        <v>2280</v>
      </c>
      <c r="L645" s="5"/>
      <c r="M645" s="5" t="s">
        <v>312</v>
      </c>
      <c r="N645" s="5" t="s">
        <v>312</v>
      </c>
      <c r="O645" s="5" t="s">
        <v>4946</v>
      </c>
      <c r="P645" s="5"/>
      <c r="Q645" s="5" t="s">
        <v>4964</v>
      </c>
    </row>
    <row r="646" spans="2:17" x14ac:dyDescent="0.2">
      <c r="B646" s="5" t="s">
        <v>4944</v>
      </c>
      <c r="C646" s="6" t="s">
        <v>13588</v>
      </c>
      <c r="D646" s="4">
        <v>302</v>
      </c>
      <c r="E646" s="5" t="s">
        <v>20</v>
      </c>
      <c r="F646" s="5" t="s">
        <v>4956</v>
      </c>
      <c r="G646" s="6" t="s">
        <v>18</v>
      </c>
      <c r="H646" s="4"/>
      <c r="I646" s="5" t="s">
        <v>38</v>
      </c>
      <c r="J646" s="5" t="s">
        <v>4957</v>
      </c>
      <c r="K646" s="5" t="s">
        <v>4954</v>
      </c>
      <c r="L646" s="5"/>
      <c r="M646" s="5" t="s">
        <v>1263</v>
      </c>
      <c r="N646" s="5" t="s">
        <v>1915</v>
      </c>
      <c r="O646" s="5" t="s">
        <v>4948</v>
      </c>
      <c r="P646" s="5"/>
      <c r="Q646" s="5" t="s">
        <v>4958</v>
      </c>
    </row>
    <row r="647" spans="2:17" x14ac:dyDescent="0.2">
      <c r="B647" s="5" t="s">
        <v>6495</v>
      </c>
      <c r="C647" s="6" t="s">
        <v>13588</v>
      </c>
      <c r="D647" s="4">
        <v>465</v>
      </c>
      <c r="E647" s="5" t="s">
        <v>35</v>
      </c>
      <c r="F647" s="5" t="s">
        <v>6557</v>
      </c>
      <c r="G647" s="6" t="s">
        <v>18</v>
      </c>
      <c r="H647" s="4"/>
      <c r="I647" s="5"/>
      <c r="J647" s="5"/>
      <c r="K647" s="5" t="s">
        <v>6521</v>
      </c>
      <c r="L647" s="5"/>
      <c r="M647" s="5" t="s">
        <v>6558</v>
      </c>
      <c r="N647" s="5" t="s">
        <v>6559</v>
      </c>
      <c r="O647" s="5"/>
      <c r="P647" s="5"/>
      <c r="Q647" s="5" t="s">
        <v>6560</v>
      </c>
    </row>
    <row r="648" spans="2:17" x14ac:dyDescent="0.2">
      <c r="B648" s="5" t="s">
        <v>6686</v>
      </c>
      <c r="C648" s="6" t="s">
        <v>13588</v>
      </c>
      <c r="D648" s="4">
        <v>523</v>
      </c>
      <c r="E648" s="5" t="s">
        <v>82</v>
      </c>
      <c r="F648" s="5" t="s">
        <v>6753</v>
      </c>
      <c r="G648" s="6" t="s">
        <v>18</v>
      </c>
      <c r="H648" s="4"/>
      <c r="I648" s="5"/>
      <c r="J648" s="5" t="s">
        <v>6754</v>
      </c>
      <c r="K648" s="5" t="s">
        <v>6694</v>
      </c>
      <c r="L648" s="5"/>
      <c r="M648" s="5" t="s">
        <v>2708</v>
      </c>
      <c r="N648" s="5" t="s">
        <v>1592</v>
      </c>
      <c r="O648" s="5" t="s">
        <v>6690</v>
      </c>
      <c r="P648" s="5"/>
      <c r="Q648" s="5" t="s">
        <v>6755</v>
      </c>
    </row>
    <row r="649" spans="2:17" x14ac:dyDescent="0.2">
      <c r="B649" s="5" t="s">
        <v>6686</v>
      </c>
      <c r="C649" s="6" t="s">
        <v>13588</v>
      </c>
      <c r="D649" s="4">
        <v>541</v>
      </c>
      <c r="E649" s="5" t="s">
        <v>20</v>
      </c>
      <c r="F649" s="5" t="s">
        <v>6791</v>
      </c>
      <c r="G649" s="6" t="s">
        <v>18</v>
      </c>
      <c r="H649" s="4"/>
      <c r="I649" s="5" t="s">
        <v>22</v>
      </c>
      <c r="J649" s="5" t="s">
        <v>6792</v>
      </c>
      <c r="K649" s="5" t="s">
        <v>6733</v>
      </c>
      <c r="L649" s="5"/>
      <c r="M649" s="5" t="s">
        <v>224</v>
      </c>
      <c r="N649" s="5" t="s">
        <v>2411</v>
      </c>
      <c r="O649" s="5" t="s">
        <v>6695</v>
      </c>
      <c r="P649" s="5"/>
      <c r="Q649" s="5" t="s">
        <v>6793</v>
      </c>
    </row>
    <row r="650" spans="2:17" x14ac:dyDescent="0.2">
      <c r="B650" s="5" t="s">
        <v>6862</v>
      </c>
      <c r="C650" s="6" t="s">
        <v>13588</v>
      </c>
      <c r="D650" s="4">
        <v>563</v>
      </c>
      <c r="E650" s="5" t="s">
        <v>20</v>
      </c>
      <c r="F650" s="5" t="s">
        <v>6877</v>
      </c>
      <c r="G650" s="6" t="s">
        <v>18</v>
      </c>
      <c r="H650" s="4"/>
      <c r="I650" s="5" t="s">
        <v>38</v>
      </c>
      <c r="J650" s="5" t="s">
        <v>6878</v>
      </c>
      <c r="K650" s="5" t="s">
        <v>6879</v>
      </c>
      <c r="L650" s="5"/>
      <c r="M650" s="5" t="s">
        <v>6880</v>
      </c>
      <c r="N650" s="5" t="s">
        <v>1057</v>
      </c>
      <c r="O650" s="5" t="s">
        <v>6866</v>
      </c>
      <c r="P650" s="5"/>
      <c r="Q650" s="5" t="s">
        <v>6881</v>
      </c>
    </row>
    <row r="651" spans="2:17" x14ac:dyDescent="0.2">
      <c r="B651" s="5" t="s">
        <v>6862</v>
      </c>
      <c r="C651" s="6" t="s">
        <v>13588</v>
      </c>
      <c r="D651" s="4">
        <v>564</v>
      </c>
      <c r="E651" s="5" t="s">
        <v>20</v>
      </c>
      <c r="F651" s="5" t="s">
        <v>6877</v>
      </c>
      <c r="G651" s="6" t="s">
        <v>18</v>
      </c>
      <c r="H651" s="4"/>
      <c r="I651" s="5" t="s">
        <v>38</v>
      </c>
      <c r="J651" s="5" t="s">
        <v>6882</v>
      </c>
      <c r="K651" s="5" t="s">
        <v>6875</v>
      </c>
      <c r="L651" s="5"/>
      <c r="M651" s="5" t="s">
        <v>6880</v>
      </c>
      <c r="N651" s="5" t="s">
        <v>1057</v>
      </c>
      <c r="O651" s="5" t="s">
        <v>6866</v>
      </c>
      <c r="P651" s="5"/>
      <c r="Q651" s="5" t="s">
        <v>6883</v>
      </c>
    </row>
    <row r="652" spans="2:17" x14ac:dyDescent="0.2">
      <c r="B652" s="5" t="s">
        <v>6862</v>
      </c>
      <c r="C652" s="6" t="s">
        <v>13588</v>
      </c>
      <c r="D652" s="4">
        <v>565</v>
      </c>
      <c r="E652" s="5" t="s">
        <v>20</v>
      </c>
      <c r="F652" s="5" t="s">
        <v>6877</v>
      </c>
      <c r="G652" s="6" t="s">
        <v>18</v>
      </c>
      <c r="H652" s="4"/>
      <c r="I652" s="5" t="s">
        <v>38</v>
      </c>
      <c r="J652" s="5" t="s">
        <v>6884</v>
      </c>
      <c r="K652" s="5" t="s">
        <v>6885</v>
      </c>
      <c r="L652" s="5" t="s">
        <v>6886</v>
      </c>
      <c r="M652" s="5" t="s">
        <v>6880</v>
      </c>
      <c r="N652" s="5" t="s">
        <v>1057</v>
      </c>
      <c r="O652" s="5" t="s">
        <v>6866</v>
      </c>
      <c r="P652" s="5"/>
      <c r="Q652" s="5" t="s">
        <v>6887</v>
      </c>
    </row>
    <row r="653" spans="2:17" x14ac:dyDescent="0.2">
      <c r="B653" s="5" t="s">
        <v>7050</v>
      </c>
      <c r="C653" s="6" t="s">
        <v>13588</v>
      </c>
      <c r="D653" s="4">
        <v>618</v>
      </c>
      <c r="E653" s="5" t="s">
        <v>20</v>
      </c>
      <c r="F653" s="5" t="s">
        <v>7114</v>
      </c>
      <c r="G653" s="6" t="s">
        <v>18</v>
      </c>
      <c r="H653" s="4"/>
      <c r="I653" s="5" t="s">
        <v>22</v>
      </c>
      <c r="J653" s="5" t="s">
        <v>7115</v>
      </c>
      <c r="K653" s="5" t="s">
        <v>7116</v>
      </c>
      <c r="L653" s="5"/>
      <c r="M653" s="5" t="s">
        <v>443</v>
      </c>
      <c r="N653" s="5" t="s">
        <v>153</v>
      </c>
      <c r="O653" s="5"/>
      <c r="P653" s="5"/>
      <c r="Q653" s="5" t="s">
        <v>7117</v>
      </c>
    </row>
    <row r="654" spans="2:17" x14ac:dyDescent="0.2">
      <c r="B654" s="5" t="s">
        <v>7050</v>
      </c>
      <c r="C654" s="6" t="s">
        <v>13588</v>
      </c>
      <c r="D654" s="4">
        <v>619</v>
      </c>
      <c r="E654" s="5" t="s">
        <v>20</v>
      </c>
      <c r="F654" s="5" t="s">
        <v>7114</v>
      </c>
      <c r="G654" s="6" t="s">
        <v>18</v>
      </c>
      <c r="H654" s="4"/>
      <c r="I654" s="5" t="s">
        <v>38</v>
      </c>
      <c r="J654" s="5" t="s">
        <v>7118</v>
      </c>
      <c r="K654" s="5" t="s">
        <v>7119</v>
      </c>
      <c r="L654" s="5"/>
      <c r="M654" s="5" t="s">
        <v>443</v>
      </c>
      <c r="N654" s="5" t="s">
        <v>153</v>
      </c>
      <c r="O654" s="5"/>
      <c r="P654" s="5"/>
      <c r="Q654" s="5" t="s">
        <v>7120</v>
      </c>
    </row>
    <row r="655" spans="2:17" x14ac:dyDescent="0.2">
      <c r="B655" s="5" t="s">
        <v>7050</v>
      </c>
      <c r="C655" s="6" t="s">
        <v>13588</v>
      </c>
      <c r="D655" s="4">
        <v>623</v>
      </c>
      <c r="E655" s="5" t="s">
        <v>20</v>
      </c>
      <c r="F655" s="5" t="s">
        <v>7095</v>
      </c>
      <c r="G655" s="6" t="s">
        <v>18</v>
      </c>
      <c r="H655" s="4"/>
      <c r="I655" s="5" t="s">
        <v>38</v>
      </c>
      <c r="J655" s="5" t="s">
        <v>7096</v>
      </c>
      <c r="K655" s="5" t="s">
        <v>7051</v>
      </c>
      <c r="L655" s="5"/>
      <c r="M655" s="5" t="s">
        <v>1377</v>
      </c>
      <c r="N655" s="5" t="s">
        <v>1385</v>
      </c>
      <c r="O655" s="5"/>
      <c r="P655" s="5"/>
      <c r="Q655" s="5" t="s">
        <v>7097</v>
      </c>
    </row>
    <row r="656" spans="2:17" x14ac:dyDescent="0.2">
      <c r="B656" s="5" t="s">
        <v>7050</v>
      </c>
      <c r="C656" s="6" t="s">
        <v>13588</v>
      </c>
      <c r="D656" s="4">
        <v>624</v>
      </c>
      <c r="E656" s="5" t="s">
        <v>20</v>
      </c>
      <c r="F656" s="5" t="s">
        <v>7095</v>
      </c>
      <c r="G656" s="6" t="s">
        <v>18</v>
      </c>
      <c r="H656" s="4"/>
      <c r="I656" s="5" t="s">
        <v>38</v>
      </c>
      <c r="J656" s="5" t="s">
        <v>7098</v>
      </c>
      <c r="K656" s="5" t="s">
        <v>7099</v>
      </c>
      <c r="L656" s="5"/>
      <c r="M656" s="5" t="s">
        <v>1377</v>
      </c>
      <c r="N656" s="5" t="s">
        <v>1385</v>
      </c>
      <c r="O656" s="5"/>
      <c r="P656" s="5"/>
      <c r="Q656" s="5" t="s">
        <v>7100</v>
      </c>
    </row>
    <row r="657" spans="2:17" x14ac:dyDescent="0.2">
      <c r="B657" s="5" t="s">
        <v>7188</v>
      </c>
      <c r="C657" s="6" t="s">
        <v>13588</v>
      </c>
      <c r="D657" s="4">
        <v>653</v>
      </c>
      <c r="E657" s="5" t="s">
        <v>20</v>
      </c>
      <c r="F657" s="5" t="s">
        <v>7194</v>
      </c>
      <c r="G657" s="6" t="s">
        <v>18</v>
      </c>
      <c r="H657" s="4"/>
      <c r="I657" s="5" t="s">
        <v>38</v>
      </c>
      <c r="J657" s="5" t="s">
        <v>7195</v>
      </c>
      <c r="K657" s="5" t="s">
        <v>7196</v>
      </c>
      <c r="L657" s="5" t="s">
        <v>7197</v>
      </c>
      <c r="M657" s="5" t="s">
        <v>1207</v>
      </c>
      <c r="N657" s="5" t="s">
        <v>1208</v>
      </c>
      <c r="O657" s="5" t="s">
        <v>7192</v>
      </c>
      <c r="P657" s="5"/>
      <c r="Q657" s="5" t="s">
        <v>7198</v>
      </c>
    </row>
    <row r="658" spans="2:17" x14ac:dyDescent="0.2">
      <c r="B658" s="5" t="s">
        <v>7188</v>
      </c>
      <c r="C658" s="6" t="s">
        <v>13588</v>
      </c>
      <c r="D658" s="4">
        <v>654</v>
      </c>
      <c r="E658" s="5" t="s">
        <v>20</v>
      </c>
      <c r="F658" s="5" t="s">
        <v>7194</v>
      </c>
      <c r="G658" s="6" t="s">
        <v>18</v>
      </c>
      <c r="H658" s="4"/>
      <c r="I658" s="5" t="s">
        <v>38</v>
      </c>
      <c r="J658" s="5" t="s">
        <v>7199</v>
      </c>
      <c r="K658" s="5" t="s">
        <v>7200</v>
      </c>
      <c r="L658" s="5"/>
      <c r="M658" s="5" t="s">
        <v>1207</v>
      </c>
      <c r="N658" s="5" t="s">
        <v>1208</v>
      </c>
      <c r="O658" s="5" t="s">
        <v>7190</v>
      </c>
      <c r="P658" s="5"/>
      <c r="Q658" s="5" t="s">
        <v>7201</v>
      </c>
    </row>
    <row r="659" spans="2:17" x14ac:dyDescent="0.2">
      <c r="B659" s="5" t="s">
        <v>7188</v>
      </c>
      <c r="C659" s="6" t="s">
        <v>13588</v>
      </c>
      <c r="D659" s="4">
        <v>655</v>
      </c>
      <c r="E659" s="5" t="s">
        <v>20</v>
      </c>
      <c r="F659" s="5" t="s">
        <v>7194</v>
      </c>
      <c r="G659" s="6" t="s">
        <v>18</v>
      </c>
      <c r="H659" s="4"/>
      <c r="I659" s="5" t="s">
        <v>38</v>
      </c>
      <c r="J659" s="5" t="s">
        <v>7202</v>
      </c>
      <c r="K659" s="5" t="s">
        <v>7203</v>
      </c>
      <c r="L659" s="5"/>
      <c r="M659" s="5" t="s">
        <v>1207</v>
      </c>
      <c r="N659" s="5" t="s">
        <v>1208</v>
      </c>
      <c r="O659" s="5" t="s">
        <v>7190</v>
      </c>
      <c r="P659" s="5"/>
      <c r="Q659" s="5" t="s">
        <v>7204</v>
      </c>
    </row>
    <row r="660" spans="2:17" x14ac:dyDescent="0.2">
      <c r="B660" s="5" t="s">
        <v>7188</v>
      </c>
      <c r="C660" s="6" t="s">
        <v>13588</v>
      </c>
      <c r="D660" s="4">
        <v>656</v>
      </c>
      <c r="E660" s="5" t="s">
        <v>20</v>
      </c>
      <c r="F660" s="5" t="s">
        <v>7194</v>
      </c>
      <c r="G660" s="6" t="s">
        <v>18</v>
      </c>
      <c r="H660" s="4"/>
      <c r="I660" s="5" t="s">
        <v>22</v>
      </c>
      <c r="J660" s="5" t="s">
        <v>7205</v>
      </c>
      <c r="K660" s="5" t="s">
        <v>7206</v>
      </c>
      <c r="L660" s="5"/>
      <c r="M660" s="5" t="s">
        <v>1207</v>
      </c>
      <c r="N660" s="5" t="s">
        <v>1208</v>
      </c>
      <c r="O660" s="5" t="s">
        <v>7190</v>
      </c>
      <c r="P660" s="5"/>
      <c r="Q660" s="5" t="s">
        <v>7207</v>
      </c>
    </row>
    <row r="661" spans="2:17" x14ac:dyDescent="0.2">
      <c r="B661" s="5" t="s">
        <v>7188</v>
      </c>
      <c r="C661" s="6" t="s">
        <v>13588</v>
      </c>
      <c r="D661" s="4">
        <v>657</v>
      </c>
      <c r="E661" s="5" t="s">
        <v>20</v>
      </c>
      <c r="F661" s="5" t="s">
        <v>7194</v>
      </c>
      <c r="G661" s="6" t="s">
        <v>18</v>
      </c>
      <c r="H661" s="4"/>
      <c r="I661" s="5" t="s">
        <v>38</v>
      </c>
      <c r="J661" s="5" t="s">
        <v>7208</v>
      </c>
      <c r="K661" s="5" t="s">
        <v>7209</v>
      </c>
      <c r="L661" s="5"/>
      <c r="M661" s="5" t="s">
        <v>1207</v>
      </c>
      <c r="N661" s="5" t="s">
        <v>1208</v>
      </c>
      <c r="O661" s="5" t="s">
        <v>7190</v>
      </c>
      <c r="P661" s="5"/>
      <c r="Q661" s="5" t="s">
        <v>7210</v>
      </c>
    </row>
    <row r="662" spans="2:17" x14ac:dyDescent="0.2">
      <c r="B662" s="5" t="s">
        <v>7188</v>
      </c>
      <c r="C662" s="6" t="s">
        <v>13588</v>
      </c>
      <c r="D662" s="4">
        <v>658</v>
      </c>
      <c r="E662" s="5" t="s">
        <v>20</v>
      </c>
      <c r="F662" s="5" t="s">
        <v>7194</v>
      </c>
      <c r="G662" s="6" t="s">
        <v>18</v>
      </c>
      <c r="H662" s="4"/>
      <c r="I662" s="5" t="s">
        <v>38</v>
      </c>
      <c r="J662" s="5" t="s">
        <v>7211</v>
      </c>
      <c r="K662" s="5" t="s">
        <v>7189</v>
      </c>
      <c r="L662" s="5" t="s">
        <v>7212</v>
      </c>
      <c r="M662" s="5" t="s">
        <v>1207</v>
      </c>
      <c r="N662" s="5" t="s">
        <v>1208</v>
      </c>
      <c r="O662" s="5" t="s">
        <v>7190</v>
      </c>
      <c r="P662" s="5"/>
      <c r="Q662" s="5" t="s">
        <v>7213</v>
      </c>
    </row>
    <row r="663" spans="2:17" x14ac:dyDescent="0.2">
      <c r="B663" s="5" t="s">
        <v>7188</v>
      </c>
      <c r="C663" s="6" t="s">
        <v>13588</v>
      </c>
      <c r="D663" s="4">
        <v>659</v>
      </c>
      <c r="E663" s="5" t="s">
        <v>20</v>
      </c>
      <c r="F663" s="5" t="s">
        <v>7194</v>
      </c>
      <c r="G663" s="6" t="s">
        <v>18</v>
      </c>
      <c r="H663" s="4"/>
      <c r="I663" s="5" t="s">
        <v>38</v>
      </c>
      <c r="J663" s="5" t="s">
        <v>7214</v>
      </c>
      <c r="K663" s="5" t="s">
        <v>7215</v>
      </c>
      <c r="L663" s="5"/>
      <c r="M663" s="5" t="s">
        <v>1207</v>
      </c>
      <c r="N663" s="5" t="s">
        <v>1208</v>
      </c>
      <c r="O663" s="5" t="s">
        <v>7190</v>
      </c>
      <c r="P663" s="5"/>
      <c r="Q663" s="5" t="s">
        <v>7216</v>
      </c>
    </row>
    <row r="664" spans="2:17" x14ac:dyDescent="0.2">
      <c r="B664" s="5" t="s">
        <v>7188</v>
      </c>
      <c r="C664" s="6" t="s">
        <v>13588</v>
      </c>
      <c r="D664" s="4">
        <v>660</v>
      </c>
      <c r="E664" s="5" t="s">
        <v>20</v>
      </c>
      <c r="F664" s="5" t="s">
        <v>7194</v>
      </c>
      <c r="G664" s="6" t="s">
        <v>18</v>
      </c>
      <c r="H664" s="4"/>
      <c r="I664" s="5" t="s">
        <v>38</v>
      </c>
      <c r="J664" s="5" t="s">
        <v>7217</v>
      </c>
      <c r="K664" s="5" t="s">
        <v>7193</v>
      </c>
      <c r="L664" s="5"/>
      <c r="M664" s="5" t="s">
        <v>1207</v>
      </c>
      <c r="N664" s="5" t="s">
        <v>1208</v>
      </c>
      <c r="O664" s="5" t="s">
        <v>7190</v>
      </c>
      <c r="P664" s="5"/>
      <c r="Q664" s="5" t="s">
        <v>7218</v>
      </c>
    </row>
    <row r="665" spans="2:17" x14ac:dyDescent="0.2">
      <c r="B665" s="5" t="s">
        <v>7188</v>
      </c>
      <c r="C665" s="6" t="s">
        <v>13588</v>
      </c>
      <c r="D665" s="4">
        <v>661</v>
      </c>
      <c r="E665" s="5" t="s">
        <v>20</v>
      </c>
      <c r="F665" s="5" t="s">
        <v>7194</v>
      </c>
      <c r="G665" s="6" t="s">
        <v>18</v>
      </c>
      <c r="H665" s="4"/>
      <c r="I665" s="5" t="s">
        <v>38</v>
      </c>
      <c r="J665" s="5" t="s">
        <v>7219</v>
      </c>
      <c r="K665" s="5" t="s">
        <v>7209</v>
      </c>
      <c r="L665" s="5" t="s">
        <v>7220</v>
      </c>
      <c r="M665" s="5" t="s">
        <v>1207</v>
      </c>
      <c r="N665" s="5" t="s">
        <v>1208</v>
      </c>
      <c r="O665" s="5" t="s">
        <v>7190</v>
      </c>
      <c r="P665" s="5"/>
      <c r="Q665" s="5" t="s">
        <v>7221</v>
      </c>
    </row>
    <row r="666" spans="2:17" x14ac:dyDescent="0.2">
      <c r="B666" s="5" t="s">
        <v>7188</v>
      </c>
      <c r="C666" s="6" t="s">
        <v>13588</v>
      </c>
      <c r="D666" s="4">
        <v>662</v>
      </c>
      <c r="E666" s="5" t="s">
        <v>20</v>
      </c>
      <c r="F666" s="5" t="s">
        <v>7194</v>
      </c>
      <c r="G666" s="6" t="s">
        <v>18</v>
      </c>
      <c r="H666" s="4"/>
      <c r="I666" s="5" t="s">
        <v>38</v>
      </c>
      <c r="J666" s="5" t="s">
        <v>7222</v>
      </c>
      <c r="K666" s="5" t="s">
        <v>7193</v>
      </c>
      <c r="L666" s="5" t="s">
        <v>7223</v>
      </c>
      <c r="M666" s="5" t="s">
        <v>1207</v>
      </c>
      <c r="N666" s="5" t="s">
        <v>1208</v>
      </c>
      <c r="O666" s="5" t="s">
        <v>7190</v>
      </c>
      <c r="P666" s="5"/>
      <c r="Q666" s="5" t="s">
        <v>7224</v>
      </c>
    </row>
    <row r="667" spans="2:17" x14ac:dyDescent="0.2">
      <c r="B667" s="5" t="s">
        <v>7319</v>
      </c>
      <c r="C667" s="6" t="s">
        <v>13588</v>
      </c>
      <c r="D667" s="4">
        <v>697</v>
      </c>
      <c r="E667" s="5" t="s">
        <v>20</v>
      </c>
      <c r="F667" s="5" t="s">
        <v>7356</v>
      </c>
      <c r="G667" s="6" t="s">
        <v>18</v>
      </c>
      <c r="H667" s="4"/>
      <c r="I667" s="5" t="s">
        <v>38</v>
      </c>
      <c r="J667" s="5" t="s">
        <v>7357</v>
      </c>
      <c r="K667" s="5" t="s">
        <v>7324</v>
      </c>
      <c r="L667" s="5" t="s">
        <v>7358</v>
      </c>
      <c r="M667" s="5" t="s">
        <v>1736</v>
      </c>
      <c r="N667" s="5" t="s">
        <v>1269</v>
      </c>
      <c r="O667" s="5" t="s">
        <v>7332</v>
      </c>
      <c r="P667" s="5"/>
      <c r="Q667" s="5" t="s">
        <v>7359</v>
      </c>
    </row>
    <row r="668" spans="2:17" x14ac:dyDescent="0.2">
      <c r="B668" s="5" t="s">
        <v>7436</v>
      </c>
      <c r="C668" s="6" t="s">
        <v>13588</v>
      </c>
      <c r="D668" s="4">
        <v>720</v>
      </c>
      <c r="E668" s="5" t="s">
        <v>20</v>
      </c>
      <c r="F668" s="5" t="s">
        <v>578</v>
      </c>
      <c r="G668" s="6" t="s">
        <v>18</v>
      </c>
      <c r="H668" s="4"/>
      <c r="I668" s="5" t="s">
        <v>22</v>
      </c>
      <c r="J668" s="5" t="s">
        <v>5820</v>
      </c>
      <c r="K668" s="5" t="s">
        <v>7444</v>
      </c>
      <c r="L668" s="5" t="s">
        <v>7445</v>
      </c>
      <c r="M668" s="5" t="s">
        <v>1343</v>
      </c>
      <c r="N668" s="5" t="s">
        <v>291</v>
      </c>
      <c r="O668" s="5" t="s">
        <v>7438</v>
      </c>
      <c r="P668" s="5"/>
      <c r="Q668" s="5" t="s">
        <v>7446</v>
      </c>
    </row>
    <row r="669" spans="2:17" x14ac:dyDescent="0.2">
      <c r="B669" s="5" t="s">
        <v>7436</v>
      </c>
      <c r="C669" s="6" t="s">
        <v>13588</v>
      </c>
      <c r="D669" s="4">
        <v>721</v>
      </c>
      <c r="E669" s="5" t="s">
        <v>20</v>
      </c>
      <c r="F669" s="5" t="s">
        <v>578</v>
      </c>
      <c r="G669" s="6" t="s">
        <v>18</v>
      </c>
      <c r="H669" s="4"/>
      <c r="I669" s="5" t="s">
        <v>22</v>
      </c>
      <c r="J669" s="5" t="s">
        <v>7447</v>
      </c>
      <c r="K669" s="5" t="s">
        <v>7437</v>
      </c>
      <c r="L669" s="5" t="s">
        <v>7448</v>
      </c>
      <c r="M669" s="5" t="s">
        <v>1343</v>
      </c>
      <c r="N669" s="5" t="s">
        <v>291</v>
      </c>
      <c r="O669" s="5" t="s">
        <v>7438</v>
      </c>
      <c r="P669" s="5"/>
      <c r="Q669" s="5" t="s">
        <v>7449</v>
      </c>
    </row>
    <row r="670" spans="2:17" x14ac:dyDescent="0.2">
      <c r="B670" s="5" t="s">
        <v>7436</v>
      </c>
      <c r="C670" s="6" t="s">
        <v>13588</v>
      </c>
      <c r="D670" s="4">
        <v>722</v>
      </c>
      <c r="E670" s="5" t="s">
        <v>20</v>
      </c>
      <c r="F670" s="5" t="s">
        <v>578</v>
      </c>
      <c r="G670" s="6" t="s">
        <v>18</v>
      </c>
      <c r="H670" s="4"/>
      <c r="I670" s="5" t="s">
        <v>22</v>
      </c>
      <c r="J670" s="5" t="s">
        <v>7450</v>
      </c>
      <c r="K670" s="5" t="s">
        <v>7451</v>
      </c>
      <c r="L670" s="5" t="s">
        <v>7448</v>
      </c>
      <c r="M670" s="5" t="s">
        <v>1343</v>
      </c>
      <c r="N670" s="5" t="s">
        <v>291</v>
      </c>
      <c r="O670" s="5" t="s">
        <v>7438</v>
      </c>
      <c r="P670" s="5"/>
      <c r="Q670" s="5" t="s">
        <v>7452</v>
      </c>
    </row>
    <row r="671" spans="2:17" x14ac:dyDescent="0.2">
      <c r="B671" s="5" t="s">
        <v>6686</v>
      </c>
      <c r="C671" s="6" t="s">
        <v>13588</v>
      </c>
      <c r="D671" s="4">
        <v>534</v>
      </c>
      <c r="E671" s="5" t="s">
        <v>20</v>
      </c>
      <c r="F671" s="5" t="s">
        <v>6739</v>
      </c>
      <c r="G671" s="6" t="s">
        <v>81</v>
      </c>
      <c r="H671" s="4"/>
      <c r="I671" s="5" t="s">
        <v>22</v>
      </c>
      <c r="J671" s="5" t="s">
        <v>6740</v>
      </c>
      <c r="K671" s="5" t="s">
        <v>6689</v>
      </c>
      <c r="L671" s="5" t="s">
        <v>6741</v>
      </c>
      <c r="M671" s="5" t="s">
        <v>1525</v>
      </c>
      <c r="N671" s="5" t="s">
        <v>2147</v>
      </c>
      <c r="O671" s="5" t="s">
        <v>6690</v>
      </c>
      <c r="P671" s="5"/>
      <c r="Q671" s="5" t="s">
        <v>6742</v>
      </c>
    </row>
    <row r="672" spans="2:17" x14ac:dyDescent="0.2">
      <c r="B672" s="5" t="s">
        <v>3810</v>
      </c>
      <c r="C672" s="6" t="s">
        <v>13588</v>
      </c>
      <c r="D672" s="4">
        <v>5</v>
      </c>
      <c r="E672" s="5" t="s">
        <v>15</v>
      </c>
      <c r="F672" s="5" t="s">
        <v>3811</v>
      </c>
      <c r="G672" s="6" t="s">
        <v>19</v>
      </c>
      <c r="H672" s="4"/>
      <c r="I672" s="5"/>
      <c r="J672" s="5" t="s">
        <v>3812</v>
      </c>
      <c r="K672" s="5" t="s">
        <v>3813</v>
      </c>
      <c r="L672" s="5"/>
      <c r="M672" s="5" t="s">
        <v>1230</v>
      </c>
      <c r="N672" s="5" t="s">
        <v>1226</v>
      </c>
      <c r="O672" s="5"/>
      <c r="P672" s="5"/>
      <c r="Q672" s="5" t="s">
        <v>3814</v>
      </c>
    </row>
    <row r="673" spans="2:17" x14ac:dyDescent="0.2">
      <c r="B673" s="5" t="s">
        <v>3916</v>
      </c>
      <c r="C673" s="6" t="s">
        <v>13588</v>
      </c>
      <c r="D673" s="4">
        <v>36</v>
      </c>
      <c r="E673" s="5" t="s">
        <v>20</v>
      </c>
      <c r="F673" s="5" t="s">
        <v>3927</v>
      </c>
      <c r="G673" s="6" t="s">
        <v>19</v>
      </c>
      <c r="H673" s="4"/>
      <c r="I673" s="5" t="s">
        <v>22</v>
      </c>
      <c r="J673" s="5" t="s">
        <v>3928</v>
      </c>
      <c r="K673" s="5" t="s">
        <v>3919</v>
      </c>
      <c r="L673" s="5"/>
      <c r="M673" s="5" t="s">
        <v>359</v>
      </c>
      <c r="N673" s="5" t="s">
        <v>352</v>
      </c>
      <c r="O673" s="5" t="s">
        <v>3918</v>
      </c>
      <c r="P673" s="5"/>
      <c r="Q673" s="5" t="s">
        <v>3929</v>
      </c>
    </row>
    <row r="674" spans="2:17" x14ac:dyDescent="0.2">
      <c r="B674" s="5" t="s">
        <v>3916</v>
      </c>
      <c r="C674" s="6" t="s">
        <v>13588</v>
      </c>
      <c r="D674" s="4">
        <v>37</v>
      </c>
      <c r="E674" s="5" t="s">
        <v>13</v>
      </c>
      <c r="F674" s="5" t="s">
        <v>3927</v>
      </c>
      <c r="G674" s="6" t="s">
        <v>19</v>
      </c>
      <c r="H674" s="4"/>
      <c r="I674" s="5"/>
      <c r="J674" s="5" t="s">
        <v>3930</v>
      </c>
      <c r="K674" s="5" t="s">
        <v>3919</v>
      </c>
      <c r="L674" s="5"/>
      <c r="M674" s="5" t="s">
        <v>359</v>
      </c>
      <c r="N674" s="5" t="s">
        <v>352</v>
      </c>
      <c r="O674" s="5" t="s">
        <v>3918</v>
      </c>
      <c r="P674" s="5"/>
      <c r="Q674" s="5" t="s">
        <v>3931</v>
      </c>
    </row>
    <row r="675" spans="2:17" x14ac:dyDescent="0.2">
      <c r="B675" s="5" t="s">
        <v>4777</v>
      </c>
      <c r="C675" s="6" t="s">
        <v>13588</v>
      </c>
      <c r="D675" s="4">
        <v>270</v>
      </c>
      <c r="E675" s="5" t="s">
        <v>24</v>
      </c>
      <c r="F675" s="5" t="s">
        <v>4783</v>
      </c>
      <c r="G675" s="6" t="s">
        <v>19</v>
      </c>
      <c r="H675" s="4"/>
      <c r="I675" s="5"/>
      <c r="J675" s="5" t="s">
        <v>4783</v>
      </c>
      <c r="K675" s="5" t="s">
        <v>4784</v>
      </c>
      <c r="L675" s="5"/>
      <c r="M675" s="5" t="s">
        <v>548</v>
      </c>
      <c r="N675" s="5" t="s">
        <v>548</v>
      </c>
      <c r="O675" s="5" t="s">
        <v>4781</v>
      </c>
      <c r="P675" s="5"/>
      <c r="Q675" s="5" t="s">
        <v>4785</v>
      </c>
    </row>
    <row r="676" spans="2:17" x14ac:dyDescent="0.2">
      <c r="B676" s="5" t="s">
        <v>5963</v>
      </c>
      <c r="C676" s="6" t="s">
        <v>13588</v>
      </c>
      <c r="D676" s="4">
        <v>321</v>
      </c>
      <c r="E676" s="5" t="s">
        <v>20</v>
      </c>
      <c r="F676" s="5" t="s">
        <v>6049</v>
      </c>
      <c r="G676" s="6" t="s">
        <v>19</v>
      </c>
      <c r="H676" s="4"/>
      <c r="I676" s="5" t="s">
        <v>22</v>
      </c>
      <c r="J676" s="5" t="s">
        <v>6050</v>
      </c>
      <c r="K676" s="5" t="s">
        <v>5966</v>
      </c>
      <c r="L676" s="5" t="s">
        <v>6001</v>
      </c>
      <c r="M676" s="5" t="s">
        <v>170</v>
      </c>
      <c r="N676" s="5" t="s">
        <v>153</v>
      </c>
      <c r="O676" s="5" t="s">
        <v>5965</v>
      </c>
      <c r="P676" s="5"/>
      <c r="Q676" s="5" t="s">
        <v>6051</v>
      </c>
    </row>
    <row r="677" spans="2:17" x14ac:dyDescent="0.2">
      <c r="B677" s="5" t="s">
        <v>5963</v>
      </c>
      <c r="C677" s="6" t="s">
        <v>13588</v>
      </c>
      <c r="D677" s="4">
        <v>338</v>
      </c>
      <c r="E677" s="5" t="s">
        <v>20</v>
      </c>
      <c r="F677" s="5" t="s">
        <v>5987</v>
      </c>
      <c r="G677" s="6" t="s">
        <v>19</v>
      </c>
      <c r="H677" s="4"/>
      <c r="I677" s="5" t="s">
        <v>38</v>
      </c>
      <c r="J677" s="5" t="s">
        <v>5988</v>
      </c>
      <c r="K677" s="5" t="s">
        <v>5970</v>
      </c>
      <c r="L677" s="5"/>
      <c r="M677" s="5" t="s">
        <v>330</v>
      </c>
      <c r="N677" s="5" t="s">
        <v>331</v>
      </c>
      <c r="O677" s="5" t="s">
        <v>5981</v>
      </c>
      <c r="P677" s="5"/>
      <c r="Q677" s="5" t="s">
        <v>5989</v>
      </c>
    </row>
    <row r="678" spans="2:17" x14ac:dyDescent="0.2">
      <c r="B678" s="5" t="s">
        <v>6686</v>
      </c>
      <c r="C678" s="6" t="s">
        <v>13588</v>
      </c>
      <c r="D678" s="4">
        <v>511</v>
      </c>
      <c r="E678" s="5" t="s">
        <v>24</v>
      </c>
      <c r="F678" s="5" t="s">
        <v>6799</v>
      </c>
      <c r="G678" s="6" t="s">
        <v>19</v>
      </c>
      <c r="H678" s="4"/>
      <c r="I678" s="5"/>
      <c r="J678" s="5" t="s">
        <v>6800</v>
      </c>
      <c r="K678" s="5" t="s">
        <v>6694</v>
      </c>
      <c r="L678" s="5"/>
      <c r="M678" s="5" t="s">
        <v>240</v>
      </c>
      <c r="N678" s="5" t="s">
        <v>240</v>
      </c>
      <c r="O678" s="5" t="s">
        <v>6690</v>
      </c>
      <c r="P678" s="5"/>
      <c r="Q678" s="5" t="s">
        <v>6801</v>
      </c>
    </row>
    <row r="679" spans="2:17" x14ac:dyDescent="0.2">
      <c r="B679" s="5" t="s">
        <v>7050</v>
      </c>
      <c r="C679" s="6" t="s">
        <v>13588</v>
      </c>
      <c r="D679" s="4">
        <v>622</v>
      </c>
      <c r="E679" s="5" t="s">
        <v>20</v>
      </c>
      <c r="F679" s="5" t="s">
        <v>7092</v>
      </c>
      <c r="G679" s="6" t="s">
        <v>19</v>
      </c>
      <c r="H679" s="4"/>
      <c r="I679" s="5" t="s">
        <v>22</v>
      </c>
      <c r="J679" s="5" t="s">
        <v>7093</v>
      </c>
      <c r="K679" s="5" t="s">
        <v>7052</v>
      </c>
      <c r="L679" s="5"/>
      <c r="M679" s="5" t="s">
        <v>1377</v>
      </c>
      <c r="N679" s="5" t="s">
        <v>1385</v>
      </c>
      <c r="O679" s="5"/>
      <c r="P679" s="5"/>
      <c r="Q679" s="5" t="s">
        <v>7094</v>
      </c>
    </row>
    <row r="680" spans="2:17" x14ac:dyDescent="0.2">
      <c r="B680" s="5" t="s">
        <v>7319</v>
      </c>
      <c r="C680" s="6" t="s">
        <v>13588</v>
      </c>
      <c r="D680" s="4">
        <v>692</v>
      </c>
      <c r="E680" s="5" t="s">
        <v>13</v>
      </c>
      <c r="F680" s="5" t="s">
        <v>7393</v>
      </c>
      <c r="G680" s="6" t="s">
        <v>19</v>
      </c>
      <c r="H680" s="4"/>
      <c r="I680" s="5"/>
      <c r="J680" s="5" t="s">
        <v>7394</v>
      </c>
      <c r="K680" s="5" t="s">
        <v>7323</v>
      </c>
      <c r="L680" s="5"/>
      <c r="M680" s="5" t="s">
        <v>7395</v>
      </c>
      <c r="N680" s="5" t="s">
        <v>7395</v>
      </c>
      <c r="O680" s="5" t="s">
        <v>7347</v>
      </c>
      <c r="P680" s="5"/>
      <c r="Q680" s="5" t="s">
        <v>7396</v>
      </c>
    </row>
    <row r="681" spans="2:17" x14ac:dyDescent="0.2">
      <c r="B681" s="5" t="s">
        <v>4273</v>
      </c>
      <c r="C681" s="6" t="s">
        <v>13588</v>
      </c>
      <c r="D681" s="4">
        <v>119</v>
      </c>
      <c r="E681" s="5" t="s">
        <v>20</v>
      </c>
      <c r="F681" s="5" t="s">
        <v>4306</v>
      </c>
      <c r="G681" s="6" t="s">
        <v>68</v>
      </c>
      <c r="H681" s="4"/>
      <c r="I681" s="5" t="s">
        <v>38</v>
      </c>
      <c r="J681" s="5" t="s">
        <v>4307</v>
      </c>
      <c r="K681" s="5"/>
      <c r="L681" s="5" t="s">
        <v>4290</v>
      </c>
      <c r="M681" s="5" t="s">
        <v>3662</v>
      </c>
      <c r="N681" s="5" t="s">
        <v>1544</v>
      </c>
      <c r="O681" s="5"/>
      <c r="P681" s="5"/>
      <c r="Q681" s="5" t="s">
        <v>4308</v>
      </c>
    </row>
    <row r="682" spans="2:17" x14ac:dyDescent="0.2">
      <c r="B682" s="5" t="s">
        <v>4643</v>
      </c>
      <c r="C682" s="6" t="s">
        <v>13588</v>
      </c>
      <c r="D682" s="4">
        <v>216</v>
      </c>
      <c r="E682" s="5" t="s">
        <v>20</v>
      </c>
      <c r="F682" s="5" t="s">
        <v>4670</v>
      </c>
      <c r="G682" s="6" t="s">
        <v>68</v>
      </c>
      <c r="H682" s="4"/>
      <c r="I682" s="5" t="s">
        <v>38</v>
      </c>
      <c r="J682" s="5" t="s">
        <v>4671</v>
      </c>
      <c r="K682" s="5" t="s">
        <v>4672</v>
      </c>
      <c r="L682" s="5"/>
      <c r="M682" s="5" t="s">
        <v>193</v>
      </c>
      <c r="N682" s="5" t="s">
        <v>468</v>
      </c>
      <c r="O682" s="5" t="s">
        <v>4648</v>
      </c>
      <c r="P682" s="5"/>
      <c r="Q682" s="5" t="s">
        <v>4673</v>
      </c>
    </row>
    <row r="683" spans="2:17" x14ac:dyDescent="0.2">
      <c r="B683" s="5" t="s">
        <v>6495</v>
      </c>
      <c r="C683" s="6" t="s">
        <v>13588</v>
      </c>
      <c r="D683" s="4">
        <v>468</v>
      </c>
      <c r="E683" s="5" t="s">
        <v>20</v>
      </c>
      <c r="F683" s="5" t="s">
        <v>6546</v>
      </c>
      <c r="G683" s="6" t="s">
        <v>68</v>
      </c>
      <c r="H683" s="4"/>
      <c r="I683" s="5" t="s">
        <v>38</v>
      </c>
      <c r="J683" s="5" t="s">
        <v>6547</v>
      </c>
      <c r="K683" s="5" t="s">
        <v>6525</v>
      </c>
      <c r="L683" s="5"/>
      <c r="M683" s="5" t="s">
        <v>193</v>
      </c>
      <c r="N683" s="5" t="s">
        <v>468</v>
      </c>
      <c r="O683" s="5"/>
      <c r="P683" s="5"/>
      <c r="Q683" s="5" t="s">
        <v>6548</v>
      </c>
    </row>
    <row r="684" spans="2:17" x14ac:dyDescent="0.2">
      <c r="B684" s="5" t="s">
        <v>4273</v>
      </c>
      <c r="C684" s="6" t="s">
        <v>13588</v>
      </c>
      <c r="D684" s="4">
        <v>121</v>
      </c>
      <c r="E684" s="5" t="s">
        <v>15</v>
      </c>
      <c r="F684" s="5" t="s">
        <v>4304</v>
      </c>
      <c r="G684" s="6" t="s">
        <v>53</v>
      </c>
      <c r="H684" s="4"/>
      <c r="I684" s="5"/>
      <c r="J684" s="5" t="s">
        <v>4305</v>
      </c>
      <c r="K684" s="5"/>
      <c r="L684" s="5" t="s">
        <v>4290</v>
      </c>
      <c r="M684" s="5" t="s">
        <v>648</v>
      </c>
      <c r="N684" s="5" t="s">
        <v>331</v>
      </c>
      <c r="O684" s="5"/>
      <c r="P684" s="5"/>
      <c r="Q684" s="5" t="s">
        <v>710</v>
      </c>
    </row>
    <row r="685" spans="2:17" x14ac:dyDescent="0.2">
      <c r="B685" s="5" t="s">
        <v>6594</v>
      </c>
      <c r="C685" s="6" t="s">
        <v>13588</v>
      </c>
      <c r="D685" s="4">
        <v>498</v>
      </c>
      <c r="E685" s="5" t="s">
        <v>20</v>
      </c>
      <c r="F685" s="5" t="s">
        <v>6649</v>
      </c>
      <c r="G685" s="6" t="s">
        <v>53</v>
      </c>
      <c r="H685" s="4"/>
      <c r="I685" s="5" t="s">
        <v>38</v>
      </c>
      <c r="J685" s="5" t="s">
        <v>6650</v>
      </c>
      <c r="K685" s="5" t="s">
        <v>6646</v>
      </c>
      <c r="L685" s="5" t="s">
        <v>6651</v>
      </c>
      <c r="M685" s="5" t="s">
        <v>3662</v>
      </c>
      <c r="N685" s="5" t="s">
        <v>433</v>
      </c>
      <c r="O685" s="5" t="s">
        <v>6652</v>
      </c>
      <c r="P685" s="5"/>
      <c r="Q685" s="5" t="s">
        <v>6653</v>
      </c>
    </row>
    <row r="686" spans="2:17" x14ac:dyDescent="0.2">
      <c r="B686" s="5" t="s">
        <v>7240</v>
      </c>
      <c r="C686" s="6" t="s">
        <v>13588</v>
      </c>
      <c r="D686" s="4">
        <v>680</v>
      </c>
      <c r="E686" s="5" t="s">
        <v>20</v>
      </c>
      <c r="F686" s="5" t="s">
        <v>7253</v>
      </c>
      <c r="G686" s="6" t="s">
        <v>49</v>
      </c>
      <c r="H686" s="4"/>
      <c r="I686" s="5" t="s">
        <v>22</v>
      </c>
      <c r="J686" s="5" t="s">
        <v>7254</v>
      </c>
      <c r="K686" s="5" t="s">
        <v>7242</v>
      </c>
      <c r="L686" s="5"/>
      <c r="M686" s="5" t="s">
        <v>1262</v>
      </c>
      <c r="N686" s="5" t="s">
        <v>6324</v>
      </c>
      <c r="O686" s="5"/>
      <c r="P686" s="5"/>
      <c r="Q686" s="5" t="s">
        <v>7255</v>
      </c>
    </row>
    <row r="687" spans="2:17" x14ac:dyDescent="0.2">
      <c r="B687" s="5" t="s">
        <v>4100</v>
      </c>
      <c r="C687" s="6" t="s">
        <v>13588</v>
      </c>
      <c r="D687" s="4">
        <v>78</v>
      </c>
      <c r="E687" s="5" t="s">
        <v>82</v>
      </c>
      <c r="F687" s="5" t="s">
        <v>4138</v>
      </c>
      <c r="G687" s="6" t="s">
        <v>16</v>
      </c>
      <c r="H687" s="4"/>
      <c r="I687" s="5"/>
      <c r="J687" s="5" t="s">
        <v>4128</v>
      </c>
      <c r="K687" s="5" t="s">
        <v>4103</v>
      </c>
      <c r="L687" s="5"/>
      <c r="M687" s="5" t="s">
        <v>1626</v>
      </c>
      <c r="N687" s="5" t="s">
        <v>193</v>
      </c>
      <c r="O687" s="5" t="s">
        <v>4104</v>
      </c>
      <c r="P687" s="5"/>
      <c r="Q687" s="5" t="s">
        <v>4139</v>
      </c>
    </row>
    <row r="688" spans="2:17" x14ac:dyDescent="0.2">
      <c r="B688" s="5" t="s">
        <v>4317</v>
      </c>
      <c r="C688" s="6" t="s">
        <v>13588</v>
      </c>
      <c r="D688" s="4">
        <v>131</v>
      </c>
      <c r="E688" s="5" t="s">
        <v>20</v>
      </c>
      <c r="F688" s="5" t="s">
        <v>4348</v>
      </c>
      <c r="G688" s="6" t="s">
        <v>16</v>
      </c>
      <c r="H688" s="4"/>
      <c r="I688" s="5" t="s">
        <v>22</v>
      </c>
      <c r="J688" s="5" t="s">
        <v>4349</v>
      </c>
      <c r="K688" s="5" t="s">
        <v>4350</v>
      </c>
      <c r="L688" s="5"/>
      <c r="M688" s="5" t="s">
        <v>4184</v>
      </c>
      <c r="N688" s="5" t="s">
        <v>138</v>
      </c>
      <c r="O688" s="5" t="s">
        <v>4341</v>
      </c>
      <c r="P688" s="5"/>
      <c r="Q688" s="5" t="s">
        <v>4351</v>
      </c>
    </row>
    <row r="689" spans="2:17" x14ac:dyDescent="0.2">
      <c r="B689" s="5" t="s">
        <v>4777</v>
      </c>
      <c r="C689" s="6" t="s">
        <v>13588</v>
      </c>
      <c r="D689" s="4">
        <v>265</v>
      </c>
      <c r="E689" s="5" t="s">
        <v>24</v>
      </c>
      <c r="F689" s="5" t="s">
        <v>4786</v>
      </c>
      <c r="G689" s="6" t="s">
        <v>16</v>
      </c>
      <c r="H689" s="4"/>
      <c r="I689" s="5"/>
      <c r="J689" s="5" t="s">
        <v>4786</v>
      </c>
      <c r="K689" s="5" t="s">
        <v>4784</v>
      </c>
      <c r="L689" s="5"/>
      <c r="M689" s="5" t="s">
        <v>296</v>
      </c>
      <c r="N689" s="5" t="s">
        <v>296</v>
      </c>
      <c r="O689" s="5" t="s">
        <v>4781</v>
      </c>
      <c r="P689" s="5"/>
      <c r="Q689" s="5" t="s">
        <v>4799</v>
      </c>
    </row>
    <row r="690" spans="2:17" x14ac:dyDescent="0.2">
      <c r="B690" s="5" t="s">
        <v>4777</v>
      </c>
      <c r="C690" s="6" t="s">
        <v>13588</v>
      </c>
      <c r="D690" s="4">
        <v>266</v>
      </c>
      <c r="E690" s="5" t="s">
        <v>24</v>
      </c>
      <c r="F690" s="5" t="s">
        <v>4786</v>
      </c>
      <c r="G690" s="6" t="s">
        <v>16</v>
      </c>
      <c r="H690" s="4"/>
      <c r="I690" s="5"/>
      <c r="J690" s="5" t="s">
        <v>4786</v>
      </c>
      <c r="K690" s="5" t="s">
        <v>4784</v>
      </c>
      <c r="L690" s="5"/>
      <c r="M690" s="5" t="s">
        <v>1251</v>
      </c>
      <c r="N690" s="5" t="s">
        <v>1251</v>
      </c>
      <c r="O690" s="5" t="s">
        <v>4781</v>
      </c>
      <c r="P690" s="5"/>
      <c r="Q690" s="5" t="s">
        <v>4787</v>
      </c>
    </row>
    <row r="691" spans="2:17" x14ac:dyDescent="0.2">
      <c r="B691" s="5" t="s">
        <v>4777</v>
      </c>
      <c r="C691" s="6" t="s">
        <v>13588</v>
      </c>
      <c r="D691" s="4">
        <v>273</v>
      </c>
      <c r="E691" s="5" t="s">
        <v>24</v>
      </c>
      <c r="F691" s="5" t="s">
        <v>4778</v>
      </c>
      <c r="G691" s="6" t="s">
        <v>16</v>
      </c>
      <c r="H691" s="4"/>
      <c r="I691" s="5"/>
      <c r="J691" s="5" t="s">
        <v>4779</v>
      </c>
      <c r="K691" s="5" t="s">
        <v>4780</v>
      </c>
      <c r="L691" s="5"/>
      <c r="M691" s="5" t="s">
        <v>1715</v>
      </c>
      <c r="N691" s="5" t="s">
        <v>1715</v>
      </c>
      <c r="O691" s="5" t="s">
        <v>4781</v>
      </c>
      <c r="P691" s="5"/>
      <c r="Q691" s="5" t="s">
        <v>4782</v>
      </c>
    </row>
    <row r="692" spans="2:17" x14ac:dyDescent="0.2">
      <c r="B692" s="5" t="s">
        <v>4777</v>
      </c>
      <c r="C692" s="6" t="s">
        <v>13588</v>
      </c>
      <c r="D692" s="4">
        <v>275</v>
      </c>
      <c r="E692" s="5" t="s">
        <v>20</v>
      </c>
      <c r="F692" s="5" t="s">
        <v>4832</v>
      </c>
      <c r="G692" s="6" t="s">
        <v>16</v>
      </c>
      <c r="H692" s="4"/>
      <c r="I692" s="5" t="s">
        <v>38</v>
      </c>
      <c r="J692" s="5" t="s">
        <v>4833</v>
      </c>
      <c r="K692" s="5" t="s">
        <v>4825</v>
      </c>
      <c r="L692" s="5"/>
      <c r="M692" s="5" t="s">
        <v>3422</v>
      </c>
      <c r="N692" s="5" t="s">
        <v>485</v>
      </c>
      <c r="O692" s="5" t="s">
        <v>4781</v>
      </c>
      <c r="P692" s="5"/>
      <c r="Q692" s="5" t="s">
        <v>4834</v>
      </c>
    </row>
    <row r="693" spans="2:17" x14ac:dyDescent="0.2">
      <c r="B693" s="5" t="s">
        <v>5906</v>
      </c>
      <c r="C693" s="6" t="s">
        <v>13588</v>
      </c>
      <c r="D693" s="4">
        <v>308</v>
      </c>
      <c r="E693" s="5" t="s">
        <v>20</v>
      </c>
      <c r="F693" s="5" t="s">
        <v>5941</v>
      </c>
      <c r="G693" s="6" t="s">
        <v>16</v>
      </c>
      <c r="H693" s="4"/>
      <c r="I693" s="5" t="s">
        <v>38</v>
      </c>
      <c r="J693" s="5" t="s">
        <v>5942</v>
      </c>
      <c r="K693" s="5" t="s">
        <v>5943</v>
      </c>
      <c r="L693" s="5"/>
      <c r="M693" s="5" t="s">
        <v>295</v>
      </c>
      <c r="N693" s="5" t="s">
        <v>302</v>
      </c>
      <c r="O693" s="5" t="s">
        <v>5920</v>
      </c>
      <c r="P693" s="5"/>
      <c r="Q693" s="5" t="s">
        <v>5944</v>
      </c>
    </row>
    <row r="694" spans="2:17" x14ac:dyDescent="0.2">
      <c r="B694" s="5" t="s">
        <v>5906</v>
      </c>
      <c r="C694" s="6" t="s">
        <v>13588</v>
      </c>
      <c r="D694" s="4">
        <v>309</v>
      </c>
      <c r="E694" s="5" t="s">
        <v>20</v>
      </c>
      <c r="F694" s="5" t="s">
        <v>5932</v>
      </c>
      <c r="G694" s="6" t="s">
        <v>16</v>
      </c>
      <c r="H694" s="4"/>
      <c r="I694" s="5" t="s">
        <v>38</v>
      </c>
      <c r="J694" s="5" t="s">
        <v>5933</v>
      </c>
      <c r="K694" s="5" t="s">
        <v>5934</v>
      </c>
      <c r="L694" s="5"/>
      <c r="M694" s="5" t="s">
        <v>302</v>
      </c>
      <c r="N694" s="5" t="s">
        <v>307</v>
      </c>
      <c r="O694" s="5" t="s">
        <v>5935</v>
      </c>
      <c r="P694" s="5"/>
      <c r="Q694" s="5" t="s">
        <v>5936</v>
      </c>
    </row>
    <row r="695" spans="2:17" x14ac:dyDescent="0.2">
      <c r="B695" s="5" t="s">
        <v>5906</v>
      </c>
      <c r="C695" s="6" t="s">
        <v>13588</v>
      </c>
      <c r="D695" s="4">
        <v>310</v>
      </c>
      <c r="E695" s="5" t="s">
        <v>20</v>
      </c>
      <c r="F695" s="5" t="s">
        <v>5932</v>
      </c>
      <c r="G695" s="6" t="s">
        <v>16</v>
      </c>
      <c r="H695" s="4"/>
      <c r="I695" s="5" t="s">
        <v>38</v>
      </c>
      <c r="J695" s="5" t="s">
        <v>5945</v>
      </c>
      <c r="K695" s="5" t="s">
        <v>5946</v>
      </c>
      <c r="L695" s="5"/>
      <c r="M695" s="5" t="s">
        <v>295</v>
      </c>
      <c r="N695" s="5" t="s">
        <v>307</v>
      </c>
      <c r="O695" s="5" t="s">
        <v>5930</v>
      </c>
      <c r="P695" s="5"/>
      <c r="Q695" s="5" t="s">
        <v>5947</v>
      </c>
    </row>
    <row r="696" spans="2:17" x14ac:dyDescent="0.2">
      <c r="B696" s="5" t="s">
        <v>5906</v>
      </c>
      <c r="C696" s="6" t="s">
        <v>13588</v>
      </c>
      <c r="D696" s="4">
        <v>311</v>
      </c>
      <c r="E696" s="5" t="s">
        <v>20</v>
      </c>
      <c r="F696" s="5" t="s">
        <v>5932</v>
      </c>
      <c r="G696" s="6" t="s">
        <v>16</v>
      </c>
      <c r="H696" s="4"/>
      <c r="I696" s="5" t="s">
        <v>38</v>
      </c>
      <c r="J696" s="5" t="s">
        <v>5937</v>
      </c>
      <c r="K696" s="5" t="s">
        <v>5938</v>
      </c>
      <c r="L696" s="5" t="s">
        <v>5939</v>
      </c>
      <c r="M696" s="5" t="s">
        <v>296</v>
      </c>
      <c r="N696" s="5" t="s">
        <v>307</v>
      </c>
      <c r="O696" s="5" t="s">
        <v>5916</v>
      </c>
      <c r="P696" s="5"/>
      <c r="Q696" s="5" t="s">
        <v>5940</v>
      </c>
    </row>
    <row r="697" spans="2:17" x14ac:dyDescent="0.2">
      <c r="B697" s="5" t="s">
        <v>6126</v>
      </c>
      <c r="C697" s="6" t="s">
        <v>13588</v>
      </c>
      <c r="D697" s="4">
        <v>371</v>
      </c>
      <c r="E697" s="5" t="s">
        <v>20</v>
      </c>
      <c r="F697" s="5" t="s">
        <v>6252</v>
      </c>
      <c r="G697" s="6" t="s">
        <v>16</v>
      </c>
      <c r="H697" s="4"/>
      <c r="I697" s="5" t="s">
        <v>22</v>
      </c>
      <c r="J697" s="5" t="s">
        <v>6237</v>
      </c>
      <c r="K697" s="5" t="s">
        <v>6238</v>
      </c>
      <c r="L697" s="5"/>
      <c r="M697" s="5" t="s">
        <v>443</v>
      </c>
      <c r="N697" s="5" t="s">
        <v>157</v>
      </c>
      <c r="O697" s="5" t="s">
        <v>6239</v>
      </c>
      <c r="P697" s="5"/>
      <c r="Q697" s="5" t="s">
        <v>6253</v>
      </c>
    </row>
    <row r="698" spans="2:17" x14ac:dyDescent="0.2">
      <c r="B698" s="5" t="s">
        <v>6380</v>
      </c>
      <c r="C698" s="6" t="s">
        <v>13588</v>
      </c>
      <c r="D698" s="4">
        <v>444</v>
      </c>
      <c r="E698" s="5" t="s">
        <v>20</v>
      </c>
      <c r="F698" s="5" t="s">
        <v>6406</v>
      </c>
      <c r="G698" s="6" t="s">
        <v>16</v>
      </c>
      <c r="H698" s="4"/>
      <c r="I698" s="5" t="s">
        <v>22</v>
      </c>
      <c r="J698" s="5" t="s">
        <v>6407</v>
      </c>
      <c r="K698" s="5" t="s">
        <v>6381</v>
      </c>
      <c r="L698" s="5"/>
      <c r="M698" s="5" t="s">
        <v>1447</v>
      </c>
      <c r="N698" s="5" t="s">
        <v>4970</v>
      </c>
      <c r="O698" s="5" t="s">
        <v>6382</v>
      </c>
      <c r="P698" s="5"/>
      <c r="Q698" s="5" t="s">
        <v>6408</v>
      </c>
    </row>
    <row r="699" spans="2:17" x14ac:dyDescent="0.2">
      <c r="B699" s="5" t="s">
        <v>6686</v>
      </c>
      <c r="C699" s="6" t="s">
        <v>13588</v>
      </c>
      <c r="D699" s="4">
        <v>521</v>
      </c>
      <c r="E699" s="5" t="s">
        <v>20</v>
      </c>
      <c r="F699" s="5" t="s">
        <v>6759</v>
      </c>
      <c r="G699" s="6" t="s">
        <v>16</v>
      </c>
      <c r="H699" s="4"/>
      <c r="I699" s="5" t="s">
        <v>22</v>
      </c>
      <c r="J699" s="5" t="s">
        <v>6760</v>
      </c>
      <c r="K699" s="5" t="s">
        <v>6705</v>
      </c>
      <c r="L699" s="5"/>
      <c r="M699" s="5" t="s">
        <v>468</v>
      </c>
      <c r="N699" s="5" t="s">
        <v>465</v>
      </c>
      <c r="O699" s="5" t="s">
        <v>6709</v>
      </c>
      <c r="P699" s="5"/>
      <c r="Q699" s="5" t="s">
        <v>6761</v>
      </c>
    </row>
    <row r="700" spans="2:17" x14ac:dyDescent="0.2">
      <c r="B700" s="5" t="s">
        <v>6987</v>
      </c>
      <c r="C700" s="6" t="s">
        <v>13588</v>
      </c>
      <c r="D700" s="4">
        <v>599</v>
      </c>
      <c r="E700" s="5" t="s">
        <v>20</v>
      </c>
      <c r="F700" s="5" t="s">
        <v>7009</v>
      </c>
      <c r="G700" s="6" t="s">
        <v>16</v>
      </c>
      <c r="H700" s="4"/>
      <c r="I700" s="5" t="s">
        <v>22</v>
      </c>
      <c r="J700" s="5" t="s">
        <v>7010</v>
      </c>
      <c r="K700" s="5" t="s">
        <v>7011</v>
      </c>
      <c r="L700" s="5"/>
      <c r="M700" s="5" t="s">
        <v>804</v>
      </c>
      <c r="N700" s="5" t="s">
        <v>2089</v>
      </c>
      <c r="O700" s="5" t="s">
        <v>6996</v>
      </c>
      <c r="P700" s="5"/>
      <c r="Q700" s="5" t="s">
        <v>7012</v>
      </c>
    </row>
    <row r="701" spans="2:17" x14ac:dyDescent="0.2">
      <c r="B701" s="5" t="s">
        <v>7474</v>
      </c>
      <c r="C701" s="6" t="s">
        <v>13588</v>
      </c>
      <c r="D701" s="4">
        <v>728</v>
      </c>
      <c r="E701" s="5" t="s">
        <v>20</v>
      </c>
      <c r="F701" s="5" t="s">
        <v>7516</v>
      </c>
      <c r="G701" s="6" t="s">
        <v>16</v>
      </c>
      <c r="H701" s="4"/>
      <c r="I701" s="5" t="s">
        <v>22</v>
      </c>
      <c r="J701" s="5" t="s">
        <v>7517</v>
      </c>
      <c r="K701" s="5" t="s">
        <v>7477</v>
      </c>
      <c r="L701" s="5"/>
      <c r="M701" s="5" t="s">
        <v>433</v>
      </c>
      <c r="N701" s="5" t="s">
        <v>1544</v>
      </c>
      <c r="O701" s="5" t="s">
        <v>7480</v>
      </c>
      <c r="P701" s="5"/>
      <c r="Q701" s="5" t="s">
        <v>7518</v>
      </c>
    </row>
    <row r="702" spans="2:17" x14ac:dyDescent="0.2">
      <c r="B702" s="5" t="s">
        <v>7474</v>
      </c>
      <c r="C702" s="6" t="s">
        <v>13588</v>
      </c>
      <c r="D702" s="4">
        <v>729</v>
      </c>
      <c r="E702" s="5" t="s">
        <v>15</v>
      </c>
      <c r="F702" s="5" t="s">
        <v>7519</v>
      </c>
      <c r="G702" s="6" t="s">
        <v>16</v>
      </c>
      <c r="H702" s="4"/>
      <c r="I702" s="5"/>
      <c r="J702" s="5" t="s">
        <v>7520</v>
      </c>
      <c r="K702" s="5" t="s">
        <v>7477</v>
      </c>
      <c r="L702" s="5"/>
      <c r="M702" s="5" t="s">
        <v>433</v>
      </c>
      <c r="N702" s="5" t="s">
        <v>1544</v>
      </c>
      <c r="O702" s="5" t="s">
        <v>7480</v>
      </c>
      <c r="P702" s="5"/>
      <c r="Q702" s="5" t="s">
        <v>7521</v>
      </c>
    </row>
    <row r="703" spans="2:17" x14ac:dyDescent="0.2">
      <c r="B703" s="5" t="s">
        <v>7016</v>
      </c>
      <c r="C703" s="6" t="s">
        <v>13588</v>
      </c>
      <c r="D703" s="4">
        <v>605</v>
      </c>
      <c r="E703" s="5" t="s">
        <v>20</v>
      </c>
      <c r="F703" s="5" t="s">
        <v>3799</v>
      </c>
      <c r="G703" s="6" t="s">
        <v>65</v>
      </c>
      <c r="H703" s="4"/>
      <c r="I703" s="5" t="s">
        <v>22</v>
      </c>
      <c r="J703" s="5" t="s">
        <v>7025</v>
      </c>
      <c r="K703" s="5" t="s">
        <v>7026</v>
      </c>
      <c r="L703" s="5"/>
      <c r="M703" s="5" t="s">
        <v>3893</v>
      </c>
      <c r="N703" s="5" t="s">
        <v>461</v>
      </c>
      <c r="O703" s="5"/>
      <c r="P703" s="5"/>
      <c r="Q703" s="5" t="s">
        <v>7027</v>
      </c>
    </row>
    <row r="704" spans="2:17" x14ac:dyDescent="0.2">
      <c r="B704" s="5" t="s">
        <v>7016</v>
      </c>
      <c r="C704" s="6" t="s">
        <v>13588</v>
      </c>
      <c r="D704" s="4">
        <v>606</v>
      </c>
      <c r="E704" s="5" t="s">
        <v>20</v>
      </c>
      <c r="F704" s="5" t="s">
        <v>3799</v>
      </c>
      <c r="G704" s="6" t="s">
        <v>65</v>
      </c>
      <c r="H704" s="4"/>
      <c r="I704" s="5" t="s">
        <v>22</v>
      </c>
      <c r="J704" s="5" t="s">
        <v>7028</v>
      </c>
      <c r="K704" s="5" t="s">
        <v>7026</v>
      </c>
      <c r="L704" s="5"/>
      <c r="M704" s="5" t="s">
        <v>3893</v>
      </c>
      <c r="N704" s="5" t="s">
        <v>461</v>
      </c>
      <c r="O704" s="5"/>
      <c r="P704" s="5"/>
      <c r="Q704" s="5" t="s">
        <v>7029</v>
      </c>
    </row>
    <row r="705" spans="2:17" x14ac:dyDescent="0.2">
      <c r="B705" s="5" t="s">
        <v>7319</v>
      </c>
      <c r="C705" s="6" t="s">
        <v>13588</v>
      </c>
      <c r="D705" s="4">
        <v>695</v>
      </c>
      <c r="E705" s="5" t="s">
        <v>20</v>
      </c>
      <c r="F705" s="5" t="s">
        <v>7360</v>
      </c>
      <c r="G705" s="6" t="s">
        <v>65</v>
      </c>
      <c r="H705" s="4"/>
      <c r="I705" s="5" t="s">
        <v>22</v>
      </c>
      <c r="J705" s="5" t="s">
        <v>7361</v>
      </c>
      <c r="K705" s="5" t="s">
        <v>7362</v>
      </c>
      <c r="L705" s="5"/>
      <c r="M705" s="5" t="s">
        <v>1436</v>
      </c>
      <c r="N705" s="5" t="s">
        <v>1802</v>
      </c>
      <c r="O705" s="5" t="s">
        <v>7320</v>
      </c>
      <c r="P705" s="5"/>
      <c r="Q705" s="5" t="s">
        <v>7363</v>
      </c>
    </row>
    <row r="706" spans="2:17" x14ac:dyDescent="0.2">
      <c r="B706" s="5" t="s">
        <v>7319</v>
      </c>
      <c r="C706" s="6" t="s">
        <v>13588</v>
      </c>
      <c r="D706" s="4">
        <v>696</v>
      </c>
      <c r="E706" s="5" t="s">
        <v>20</v>
      </c>
      <c r="F706" s="5" t="s">
        <v>7360</v>
      </c>
      <c r="G706" s="6" t="s">
        <v>65</v>
      </c>
      <c r="H706" s="4"/>
      <c r="I706" s="5" t="s">
        <v>38</v>
      </c>
      <c r="J706" s="5" t="s">
        <v>7364</v>
      </c>
      <c r="K706" s="5" t="s">
        <v>7324</v>
      </c>
      <c r="L706" s="5" t="s">
        <v>7365</v>
      </c>
      <c r="M706" s="5" t="s">
        <v>1436</v>
      </c>
      <c r="N706" s="5" t="s">
        <v>1802</v>
      </c>
      <c r="O706" s="5" t="s">
        <v>7332</v>
      </c>
      <c r="P706" s="5"/>
      <c r="Q706" s="5" t="s">
        <v>7366</v>
      </c>
    </row>
    <row r="707" spans="2:17" x14ac:dyDescent="0.2">
      <c r="B707" s="5" t="s">
        <v>7319</v>
      </c>
      <c r="C707" s="6" t="s">
        <v>13588</v>
      </c>
      <c r="D707" s="4">
        <v>708</v>
      </c>
      <c r="E707" s="5" t="s">
        <v>20</v>
      </c>
      <c r="F707" s="5" t="s">
        <v>7360</v>
      </c>
      <c r="G707" s="6" t="s">
        <v>65</v>
      </c>
      <c r="H707" s="4"/>
      <c r="I707" s="5" t="s">
        <v>38</v>
      </c>
      <c r="J707" s="5" t="s">
        <v>7370</v>
      </c>
      <c r="K707" s="5" t="s">
        <v>7321</v>
      </c>
      <c r="L707" s="5" t="s">
        <v>7371</v>
      </c>
      <c r="M707" s="5" t="s">
        <v>362</v>
      </c>
      <c r="N707" s="5" t="s">
        <v>352</v>
      </c>
      <c r="O707" s="5" t="s">
        <v>7332</v>
      </c>
      <c r="P707" s="5"/>
      <c r="Q707" s="5" t="s">
        <v>7372</v>
      </c>
    </row>
    <row r="708" spans="2:17" x14ac:dyDescent="0.2">
      <c r="B708" s="5" t="s">
        <v>7319</v>
      </c>
      <c r="C708" s="6" t="s">
        <v>13588</v>
      </c>
      <c r="D708" s="4">
        <v>709</v>
      </c>
      <c r="E708" s="5" t="s">
        <v>20</v>
      </c>
      <c r="F708" s="5" t="s">
        <v>7360</v>
      </c>
      <c r="G708" s="6" t="s">
        <v>65</v>
      </c>
      <c r="H708" s="4"/>
      <c r="I708" s="5" t="s">
        <v>38</v>
      </c>
      <c r="J708" s="5" t="s">
        <v>7373</v>
      </c>
      <c r="K708" s="5" t="s">
        <v>7329</v>
      </c>
      <c r="L708" s="5" t="s">
        <v>7374</v>
      </c>
      <c r="M708" s="5" t="s">
        <v>362</v>
      </c>
      <c r="N708" s="5" t="s">
        <v>352</v>
      </c>
      <c r="O708" s="5" t="s">
        <v>7320</v>
      </c>
      <c r="P708" s="5"/>
      <c r="Q708" s="5" t="s">
        <v>7375</v>
      </c>
    </row>
    <row r="709" spans="2:17" x14ac:dyDescent="0.2">
      <c r="B709" s="5" t="s">
        <v>7319</v>
      </c>
      <c r="C709" s="6" t="s">
        <v>13588</v>
      </c>
      <c r="D709" s="4">
        <v>710</v>
      </c>
      <c r="E709" s="5" t="s">
        <v>20</v>
      </c>
      <c r="F709" s="5" t="s">
        <v>7360</v>
      </c>
      <c r="G709" s="6" t="s">
        <v>65</v>
      </c>
      <c r="H709" s="4"/>
      <c r="I709" s="5" t="s">
        <v>38</v>
      </c>
      <c r="J709" s="5" t="s">
        <v>7376</v>
      </c>
      <c r="K709" s="5" t="s">
        <v>7329</v>
      </c>
      <c r="L709" s="5" t="s">
        <v>7377</v>
      </c>
      <c r="M709" s="5" t="s">
        <v>362</v>
      </c>
      <c r="N709" s="5" t="s">
        <v>352</v>
      </c>
      <c r="O709" s="5" t="s">
        <v>7320</v>
      </c>
      <c r="P709" s="5"/>
      <c r="Q709" s="5" t="s">
        <v>7378</v>
      </c>
    </row>
    <row r="710" spans="2:17" x14ac:dyDescent="0.2">
      <c r="B710" s="5" t="s">
        <v>7319</v>
      </c>
      <c r="C710" s="6" t="s">
        <v>13588</v>
      </c>
      <c r="D710" s="4">
        <v>711</v>
      </c>
      <c r="E710" s="5" t="s">
        <v>20</v>
      </c>
      <c r="F710" s="5" t="s">
        <v>7360</v>
      </c>
      <c r="G710" s="6" t="s">
        <v>65</v>
      </c>
      <c r="H710" s="4"/>
      <c r="I710" s="5" t="s">
        <v>38</v>
      </c>
      <c r="J710" s="5" t="s">
        <v>7379</v>
      </c>
      <c r="K710" s="5" t="s">
        <v>7329</v>
      </c>
      <c r="L710" s="5" t="s">
        <v>7380</v>
      </c>
      <c r="M710" s="5" t="s">
        <v>362</v>
      </c>
      <c r="N710" s="5" t="s">
        <v>352</v>
      </c>
      <c r="O710" s="5" t="s">
        <v>7320</v>
      </c>
      <c r="P710" s="5"/>
      <c r="Q710" s="5" t="s">
        <v>7381</v>
      </c>
    </row>
    <row r="711" spans="2:17" x14ac:dyDescent="0.2">
      <c r="B711" s="5" t="s">
        <v>7436</v>
      </c>
      <c r="C711" s="6" t="s">
        <v>13588</v>
      </c>
      <c r="D711" s="4">
        <v>718</v>
      </c>
      <c r="E711" s="5" t="s">
        <v>20</v>
      </c>
      <c r="F711" s="5" t="s">
        <v>7453</v>
      </c>
      <c r="G711" s="6" t="s">
        <v>65</v>
      </c>
      <c r="H711" s="4"/>
      <c r="I711" s="5" t="s">
        <v>22</v>
      </c>
      <c r="J711" s="5" t="s">
        <v>7454</v>
      </c>
      <c r="K711" s="5" t="s">
        <v>7437</v>
      </c>
      <c r="L711" s="5" t="s">
        <v>7455</v>
      </c>
      <c r="M711" s="5" t="s">
        <v>3662</v>
      </c>
      <c r="N711" s="5" t="s">
        <v>1544</v>
      </c>
      <c r="O711" s="5" t="s">
        <v>7438</v>
      </c>
      <c r="P711" s="5"/>
      <c r="Q711" s="5" t="s">
        <v>7456</v>
      </c>
    </row>
    <row r="712" spans="2:17" x14ac:dyDescent="0.2">
      <c r="B712" s="5" t="s">
        <v>7436</v>
      </c>
      <c r="C712" s="6" t="s">
        <v>13588</v>
      </c>
      <c r="D712" s="4">
        <v>719</v>
      </c>
      <c r="E712" s="5" t="s">
        <v>20</v>
      </c>
      <c r="F712" s="5" t="s">
        <v>7453</v>
      </c>
      <c r="G712" s="6" t="s">
        <v>65</v>
      </c>
      <c r="H712" s="4"/>
      <c r="I712" s="5" t="s">
        <v>22</v>
      </c>
      <c r="J712" s="5" t="s">
        <v>7457</v>
      </c>
      <c r="K712" s="5" t="s">
        <v>7437</v>
      </c>
      <c r="L712" s="5" t="s">
        <v>7448</v>
      </c>
      <c r="M712" s="5" t="s">
        <v>3662</v>
      </c>
      <c r="N712" s="5" t="s">
        <v>1544</v>
      </c>
      <c r="O712" s="5" t="s">
        <v>7438</v>
      </c>
      <c r="P712" s="5"/>
      <c r="Q712" s="5" t="s">
        <v>7458</v>
      </c>
    </row>
    <row r="713" spans="2:17" x14ac:dyDescent="0.2">
      <c r="B713" s="5" t="s">
        <v>4643</v>
      </c>
      <c r="C713" s="6" t="s">
        <v>13588</v>
      </c>
      <c r="D713" s="4">
        <v>219</v>
      </c>
      <c r="E713" s="5" t="s">
        <v>20</v>
      </c>
      <c r="F713" s="5" t="s">
        <v>4658</v>
      </c>
      <c r="G713" s="6" t="s">
        <v>40</v>
      </c>
      <c r="H713" s="4"/>
      <c r="I713" s="5" t="s">
        <v>38</v>
      </c>
      <c r="J713" s="5" t="s">
        <v>4662</v>
      </c>
      <c r="K713" s="5" t="s">
        <v>4645</v>
      </c>
      <c r="L713" s="5"/>
      <c r="M713" s="5" t="s">
        <v>312</v>
      </c>
      <c r="N713" s="5" t="s">
        <v>296</v>
      </c>
      <c r="O713" s="5" t="s">
        <v>4646</v>
      </c>
      <c r="P713" s="5"/>
      <c r="Q713" s="5" t="s">
        <v>4663</v>
      </c>
    </row>
    <row r="714" spans="2:17" x14ac:dyDescent="0.2">
      <c r="B714" s="5" t="s">
        <v>4643</v>
      </c>
      <c r="C714" s="6" t="s">
        <v>13588</v>
      </c>
      <c r="D714" s="4">
        <v>220</v>
      </c>
      <c r="E714" s="5" t="s">
        <v>20</v>
      </c>
      <c r="F714" s="5" t="s">
        <v>4658</v>
      </c>
      <c r="G714" s="6" t="s">
        <v>40</v>
      </c>
      <c r="H714" s="4"/>
      <c r="I714" s="5" t="s">
        <v>38</v>
      </c>
      <c r="J714" s="5" t="s">
        <v>4664</v>
      </c>
      <c r="K714" s="5" t="s">
        <v>4665</v>
      </c>
      <c r="L714" s="5"/>
      <c r="M714" s="5" t="s">
        <v>312</v>
      </c>
      <c r="N714" s="5" t="s">
        <v>296</v>
      </c>
      <c r="O714" s="5" t="s">
        <v>4666</v>
      </c>
      <c r="P714" s="5"/>
      <c r="Q714" s="5" t="s">
        <v>4663</v>
      </c>
    </row>
    <row r="715" spans="2:17" x14ac:dyDescent="0.2">
      <c r="B715" s="5" t="s">
        <v>4643</v>
      </c>
      <c r="C715" s="6" t="s">
        <v>13588</v>
      </c>
      <c r="D715" s="4">
        <v>221</v>
      </c>
      <c r="E715" s="5" t="s">
        <v>20</v>
      </c>
      <c r="F715" s="5" t="s">
        <v>4658</v>
      </c>
      <c r="G715" s="6" t="s">
        <v>40</v>
      </c>
      <c r="H715" s="4"/>
      <c r="I715" s="5" t="s">
        <v>22</v>
      </c>
      <c r="J715" s="5" t="s">
        <v>4659</v>
      </c>
      <c r="K715" s="5" t="s">
        <v>4660</v>
      </c>
      <c r="L715" s="5"/>
      <c r="M715" s="5" t="s">
        <v>312</v>
      </c>
      <c r="N715" s="5" t="s">
        <v>296</v>
      </c>
      <c r="O715" s="5" t="s">
        <v>4644</v>
      </c>
      <c r="P715" s="5"/>
      <c r="Q715" s="5" t="s">
        <v>4661</v>
      </c>
    </row>
    <row r="716" spans="2:17" x14ac:dyDescent="0.2">
      <c r="B716" s="5" t="s">
        <v>4777</v>
      </c>
      <c r="C716" s="6" t="s">
        <v>13588</v>
      </c>
      <c r="D716" s="4">
        <v>258</v>
      </c>
      <c r="E716" s="5" t="s">
        <v>20</v>
      </c>
      <c r="F716" s="5" t="s">
        <v>4813</v>
      </c>
      <c r="G716" s="6" t="s">
        <v>40</v>
      </c>
      <c r="H716" s="4"/>
      <c r="I716" s="5" t="s">
        <v>22</v>
      </c>
      <c r="J716" s="5" t="s">
        <v>4811</v>
      </c>
      <c r="K716" s="5" t="s">
        <v>4808</v>
      </c>
      <c r="L716" s="5"/>
      <c r="M716" s="5" t="s">
        <v>346</v>
      </c>
      <c r="N716" s="5" t="s">
        <v>346</v>
      </c>
      <c r="O716" s="5" t="s">
        <v>4781</v>
      </c>
      <c r="P716" s="5"/>
      <c r="Q716" s="5" t="s">
        <v>4814</v>
      </c>
    </row>
    <row r="717" spans="2:17" x14ac:dyDescent="0.2">
      <c r="B717" s="5" t="s">
        <v>6561</v>
      </c>
      <c r="C717" s="6" t="s">
        <v>13588</v>
      </c>
      <c r="D717" s="4">
        <v>489</v>
      </c>
      <c r="E717" s="5" t="s">
        <v>35</v>
      </c>
      <c r="F717" s="5" t="s">
        <v>6566</v>
      </c>
      <c r="G717" s="6" t="s">
        <v>40</v>
      </c>
      <c r="H717" s="4"/>
      <c r="I717" s="5"/>
      <c r="J717" s="5" t="s">
        <v>6567</v>
      </c>
      <c r="K717" s="5" t="s">
        <v>6568</v>
      </c>
      <c r="L717" s="5"/>
      <c r="M717" s="5" t="s">
        <v>548</v>
      </c>
      <c r="N717" s="5" t="s">
        <v>1723</v>
      </c>
      <c r="O717" s="5" t="s">
        <v>6565</v>
      </c>
      <c r="P717" s="5"/>
      <c r="Q717" s="5" t="s">
        <v>5692</v>
      </c>
    </row>
    <row r="718" spans="2:17" x14ac:dyDescent="0.2">
      <c r="B718" s="5" t="s">
        <v>6594</v>
      </c>
      <c r="C718" s="6" t="s">
        <v>13588</v>
      </c>
      <c r="D718" s="4">
        <v>509</v>
      </c>
      <c r="E718" s="5" t="s">
        <v>20</v>
      </c>
      <c r="F718" s="5" t="s">
        <v>6639</v>
      </c>
      <c r="G718" s="6" t="s">
        <v>40</v>
      </c>
      <c r="H718" s="4"/>
      <c r="I718" s="5" t="s">
        <v>22</v>
      </c>
      <c r="J718" s="5" t="s">
        <v>6640</v>
      </c>
      <c r="K718" s="5" t="s">
        <v>6641</v>
      </c>
      <c r="L718" s="5"/>
      <c r="M718" s="5" t="s">
        <v>366</v>
      </c>
      <c r="N718" s="5" t="s">
        <v>366</v>
      </c>
      <c r="O718" s="5" t="s">
        <v>6642</v>
      </c>
      <c r="P718" s="5"/>
      <c r="Q718" s="5" t="s">
        <v>6643</v>
      </c>
    </row>
    <row r="719" spans="2:17" x14ac:dyDescent="0.2">
      <c r="B719" s="5" t="s">
        <v>6686</v>
      </c>
      <c r="C719" s="6" t="s">
        <v>13588</v>
      </c>
      <c r="D719" s="4">
        <v>535</v>
      </c>
      <c r="E719" s="5" t="s">
        <v>20</v>
      </c>
      <c r="F719" s="5" t="s">
        <v>6722</v>
      </c>
      <c r="G719" s="6" t="s">
        <v>40</v>
      </c>
      <c r="H719" s="4"/>
      <c r="I719" s="5" t="s">
        <v>22</v>
      </c>
      <c r="J719" s="5" t="s">
        <v>6723</v>
      </c>
      <c r="K719" s="5" t="s">
        <v>6698</v>
      </c>
      <c r="L719" s="5"/>
      <c r="M719" s="5" t="s">
        <v>399</v>
      </c>
      <c r="N719" s="5" t="s">
        <v>6724</v>
      </c>
      <c r="O719" s="5" t="s">
        <v>6695</v>
      </c>
      <c r="P719" s="5"/>
      <c r="Q719" s="5" t="s">
        <v>6725</v>
      </c>
    </row>
    <row r="720" spans="2:17" x14ac:dyDescent="0.2">
      <c r="B720" s="5" t="s">
        <v>6686</v>
      </c>
      <c r="C720" s="6" t="s">
        <v>13588</v>
      </c>
      <c r="D720" s="4">
        <v>536</v>
      </c>
      <c r="E720" s="5" t="s">
        <v>20</v>
      </c>
      <c r="F720" s="5" t="s">
        <v>6722</v>
      </c>
      <c r="G720" s="6" t="s">
        <v>40</v>
      </c>
      <c r="H720" s="4"/>
      <c r="I720" s="5" t="s">
        <v>22</v>
      </c>
      <c r="J720" s="5" t="s">
        <v>6726</v>
      </c>
      <c r="K720" s="5" t="s">
        <v>6698</v>
      </c>
      <c r="L720" s="5"/>
      <c r="M720" s="5" t="s">
        <v>399</v>
      </c>
      <c r="N720" s="5" t="s">
        <v>6724</v>
      </c>
      <c r="O720" s="5" t="s">
        <v>6690</v>
      </c>
      <c r="P720" s="5"/>
      <c r="Q720" s="5" t="s">
        <v>6727</v>
      </c>
    </row>
    <row r="721" spans="2:17" x14ac:dyDescent="0.2">
      <c r="B721" s="5" t="s">
        <v>6686</v>
      </c>
      <c r="C721" s="6" t="s">
        <v>13588</v>
      </c>
      <c r="D721" s="4">
        <v>537</v>
      </c>
      <c r="E721" s="5" t="s">
        <v>20</v>
      </c>
      <c r="F721" s="5" t="s">
        <v>6722</v>
      </c>
      <c r="G721" s="6" t="s">
        <v>40</v>
      </c>
      <c r="H721" s="4"/>
      <c r="I721" s="5" t="s">
        <v>22</v>
      </c>
      <c r="J721" s="5" t="s">
        <v>6728</v>
      </c>
      <c r="K721" s="5" t="s">
        <v>6729</v>
      </c>
      <c r="L721" s="5"/>
      <c r="M721" s="5" t="s">
        <v>399</v>
      </c>
      <c r="N721" s="5" t="s">
        <v>6724</v>
      </c>
      <c r="O721" s="5" t="s">
        <v>6695</v>
      </c>
      <c r="P721" s="5"/>
      <c r="Q721" s="5" t="s">
        <v>6730</v>
      </c>
    </row>
    <row r="722" spans="2:17" x14ac:dyDescent="0.2">
      <c r="B722" s="5" t="s">
        <v>6686</v>
      </c>
      <c r="C722" s="6" t="s">
        <v>13588</v>
      </c>
      <c r="D722" s="4">
        <v>538</v>
      </c>
      <c r="E722" s="5" t="s">
        <v>20</v>
      </c>
      <c r="F722" s="5" t="s">
        <v>6731</v>
      </c>
      <c r="G722" s="6" t="s">
        <v>40</v>
      </c>
      <c r="H722" s="4"/>
      <c r="I722" s="5" t="s">
        <v>22</v>
      </c>
      <c r="J722" s="5" t="s">
        <v>6732</v>
      </c>
      <c r="K722" s="5" t="s">
        <v>6733</v>
      </c>
      <c r="L722" s="5"/>
      <c r="M722" s="5" t="s">
        <v>399</v>
      </c>
      <c r="N722" s="5" t="s">
        <v>6724</v>
      </c>
      <c r="O722" s="5" t="s">
        <v>6695</v>
      </c>
      <c r="P722" s="5"/>
      <c r="Q722" s="5" t="s">
        <v>6734</v>
      </c>
    </row>
    <row r="723" spans="2:17" x14ac:dyDescent="0.2">
      <c r="B723" s="5" t="s">
        <v>6686</v>
      </c>
      <c r="C723" s="6" t="s">
        <v>13588</v>
      </c>
      <c r="D723" s="4">
        <v>539</v>
      </c>
      <c r="E723" s="5" t="s">
        <v>20</v>
      </c>
      <c r="F723" s="5" t="s">
        <v>6722</v>
      </c>
      <c r="G723" s="6" t="s">
        <v>40</v>
      </c>
      <c r="H723" s="4"/>
      <c r="I723" s="5" t="s">
        <v>22</v>
      </c>
      <c r="J723" s="5" t="s">
        <v>6735</v>
      </c>
      <c r="K723" s="5" t="s">
        <v>6720</v>
      </c>
      <c r="L723" s="5"/>
      <c r="M723" s="5" t="s">
        <v>399</v>
      </c>
      <c r="N723" s="5" t="s">
        <v>6724</v>
      </c>
      <c r="O723" s="5" t="s">
        <v>6690</v>
      </c>
      <c r="P723" s="5"/>
      <c r="Q723" s="5" t="s">
        <v>6736</v>
      </c>
    </row>
    <row r="724" spans="2:17" x14ac:dyDescent="0.2">
      <c r="B724" s="5" t="s">
        <v>6686</v>
      </c>
      <c r="C724" s="6" t="s">
        <v>13588</v>
      </c>
      <c r="D724" s="4">
        <v>540</v>
      </c>
      <c r="E724" s="5" t="s">
        <v>20</v>
      </c>
      <c r="F724" s="5" t="s">
        <v>6722</v>
      </c>
      <c r="G724" s="6" t="s">
        <v>40</v>
      </c>
      <c r="H724" s="4"/>
      <c r="I724" s="5" t="s">
        <v>22</v>
      </c>
      <c r="J724" s="5" t="s">
        <v>6737</v>
      </c>
      <c r="K724" s="5" t="s">
        <v>6705</v>
      </c>
      <c r="L724" s="5"/>
      <c r="M724" s="5" t="s">
        <v>399</v>
      </c>
      <c r="N724" s="5" t="s">
        <v>6724</v>
      </c>
      <c r="O724" s="5" t="s">
        <v>6690</v>
      </c>
      <c r="P724" s="5"/>
      <c r="Q724" s="5" t="s">
        <v>6738</v>
      </c>
    </row>
    <row r="725" spans="2:17" x14ac:dyDescent="0.2">
      <c r="B725" s="5" t="s">
        <v>6987</v>
      </c>
      <c r="C725" s="6" t="s">
        <v>13588</v>
      </c>
      <c r="D725" s="4">
        <v>603</v>
      </c>
      <c r="E725" s="5" t="s">
        <v>20</v>
      </c>
      <c r="F725" s="5" t="s">
        <v>6994</v>
      </c>
      <c r="G725" s="6" t="s">
        <v>40</v>
      </c>
      <c r="H725" s="4"/>
      <c r="I725" s="5" t="s">
        <v>22</v>
      </c>
      <c r="J725" s="5" t="s">
        <v>6994</v>
      </c>
      <c r="K725" s="5" t="s">
        <v>6995</v>
      </c>
      <c r="L725" s="5"/>
      <c r="M725" s="5" t="s">
        <v>1269</v>
      </c>
      <c r="N725" s="5" t="s">
        <v>1258</v>
      </c>
      <c r="O725" s="5" t="s">
        <v>6996</v>
      </c>
      <c r="P725" s="5"/>
      <c r="Q725" s="5" t="s">
        <v>6997</v>
      </c>
    </row>
    <row r="726" spans="2:17" x14ac:dyDescent="0.2">
      <c r="B726" s="5" t="s">
        <v>7146</v>
      </c>
      <c r="C726" s="6" t="s">
        <v>13588</v>
      </c>
      <c r="D726" s="4">
        <v>642</v>
      </c>
      <c r="E726" s="5" t="s">
        <v>20</v>
      </c>
      <c r="F726" s="5" t="s">
        <v>7153</v>
      </c>
      <c r="G726" s="6" t="s">
        <v>40</v>
      </c>
      <c r="H726" s="4"/>
      <c r="I726" s="5" t="s">
        <v>38</v>
      </c>
      <c r="J726" s="5" t="s">
        <v>7154</v>
      </c>
      <c r="K726" s="5" t="s">
        <v>7155</v>
      </c>
      <c r="L726" s="5"/>
      <c r="M726" s="5" t="s">
        <v>312</v>
      </c>
      <c r="N726" s="5" t="s">
        <v>296</v>
      </c>
      <c r="O726" s="5" t="s">
        <v>7151</v>
      </c>
      <c r="P726" s="5"/>
      <c r="Q726" s="5" t="s">
        <v>7156</v>
      </c>
    </row>
    <row r="727" spans="2:17" x14ac:dyDescent="0.2">
      <c r="B727" s="5" t="s">
        <v>7525</v>
      </c>
      <c r="C727" s="6" t="s">
        <v>13588</v>
      </c>
      <c r="D727" s="4">
        <v>743</v>
      </c>
      <c r="E727" s="5" t="s">
        <v>20</v>
      </c>
      <c r="F727" s="5" t="s">
        <v>7534</v>
      </c>
      <c r="G727" s="6" t="s">
        <v>40</v>
      </c>
      <c r="H727" s="4"/>
      <c r="I727" s="5" t="s">
        <v>22</v>
      </c>
      <c r="J727" s="5" t="s">
        <v>7534</v>
      </c>
      <c r="K727" s="5" t="s">
        <v>7529</v>
      </c>
      <c r="L727" s="5"/>
      <c r="M727" s="5" t="s">
        <v>147</v>
      </c>
      <c r="N727" s="5" t="s">
        <v>428</v>
      </c>
      <c r="O727" s="5" t="s">
        <v>7528</v>
      </c>
      <c r="P727" s="5"/>
      <c r="Q727" s="5" t="s">
        <v>7535</v>
      </c>
    </row>
    <row r="728" spans="2:17" x14ac:dyDescent="0.2">
      <c r="B728" s="5" t="s">
        <v>7539</v>
      </c>
      <c r="C728" s="6" t="s">
        <v>13588</v>
      </c>
      <c r="D728" s="4">
        <v>760</v>
      </c>
      <c r="E728" s="5" t="s">
        <v>20</v>
      </c>
      <c r="F728" s="5" t="s">
        <v>7560</v>
      </c>
      <c r="G728" s="6" t="s">
        <v>40</v>
      </c>
      <c r="H728" s="4"/>
      <c r="I728" s="5" t="s">
        <v>22</v>
      </c>
      <c r="J728" s="5" t="s">
        <v>7561</v>
      </c>
      <c r="K728" s="5"/>
      <c r="L728" s="5" t="s">
        <v>7562</v>
      </c>
      <c r="M728" s="5" t="s">
        <v>2821</v>
      </c>
      <c r="N728" s="5" t="s">
        <v>1723</v>
      </c>
      <c r="O728" s="5" t="s">
        <v>7548</v>
      </c>
      <c r="P728" s="5"/>
      <c r="Q728" s="5" t="s">
        <v>7563</v>
      </c>
    </row>
    <row r="729" spans="2:17" x14ac:dyDescent="0.2">
      <c r="B729" s="5" t="s">
        <v>7539</v>
      </c>
      <c r="C729" s="6" t="s">
        <v>13588</v>
      </c>
      <c r="D729" s="4">
        <v>761</v>
      </c>
      <c r="E729" s="5" t="s">
        <v>20</v>
      </c>
      <c r="F729" s="5" t="s">
        <v>7560</v>
      </c>
      <c r="G729" s="6" t="s">
        <v>40</v>
      </c>
      <c r="H729" s="4"/>
      <c r="I729" s="5" t="s">
        <v>22</v>
      </c>
      <c r="J729" s="5" t="s">
        <v>7564</v>
      </c>
      <c r="K729" s="5" t="s">
        <v>7551</v>
      </c>
      <c r="L729" s="5"/>
      <c r="M729" s="5" t="s">
        <v>2821</v>
      </c>
      <c r="N729" s="5" t="s">
        <v>1723</v>
      </c>
      <c r="O729" s="5" t="s">
        <v>7548</v>
      </c>
      <c r="P729" s="5"/>
      <c r="Q729" s="5" t="s">
        <v>7565</v>
      </c>
    </row>
    <row r="730" spans="2:17" x14ac:dyDescent="0.2">
      <c r="B730" s="5" t="s">
        <v>4317</v>
      </c>
      <c r="C730" s="6" t="s">
        <v>13588</v>
      </c>
      <c r="D730" s="4">
        <v>132</v>
      </c>
      <c r="E730" s="5" t="s">
        <v>20</v>
      </c>
      <c r="F730" s="5" t="s">
        <v>4343</v>
      </c>
      <c r="G730" s="6" t="s">
        <v>26</v>
      </c>
      <c r="H730" s="4"/>
      <c r="I730" s="5" t="s">
        <v>22</v>
      </c>
      <c r="J730" s="5" t="s">
        <v>4344</v>
      </c>
      <c r="K730" s="5" t="s">
        <v>4332</v>
      </c>
      <c r="L730" s="5"/>
      <c r="M730" s="5" t="s">
        <v>3043</v>
      </c>
      <c r="N730" s="5" t="s">
        <v>1821</v>
      </c>
      <c r="O730" s="5" t="s">
        <v>4333</v>
      </c>
      <c r="P730" s="5"/>
      <c r="Q730" s="5" t="s">
        <v>4345</v>
      </c>
    </row>
    <row r="731" spans="2:17" x14ac:dyDescent="0.2">
      <c r="B731" s="5" t="s">
        <v>4317</v>
      </c>
      <c r="C731" s="6" t="s">
        <v>13588</v>
      </c>
      <c r="D731" s="4">
        <v>133</v>
      </c>
      <c r="E731" s="5" t="s">
        <v>20</v>
      </c>
      <c r="F731" s="5" t="s">
        <v>4343</v>
      </c>
      <c r="G731" s="6" t="s">
        <v>26</v>
      </c>
      <c r="H731" s="4"/>
      <c r="I731" s="5" t="s">
        <v>22</v>
      </c>
      <c r="J731" s="5" t="s">
        <v>4346</v>
      </c>
      <c r="K731" s="5" t="s">
        <v>4332</v>
      </c>
      <c r="L731" s="5"/>
      <c r="M731" s="5" t="s">
        <v>3043</v>
      </c>
      <c r="N731" s="5" t="s">
        <v>1821</v>
      </c>
      <c r="O731" s="5" t="s">
        <v>4333</v>
      </c>
      <c r="P731" s="5"/>
      <c r="Q731" s="5" t="s">
        <v>4347</v>
      </c>
    </row>
    <row r="732" spans="2:17" x14ac:dyDescent="0.2">
      <c r="B732" s="5" t="s">
        <v>4894</v>
      </c>
      <c r="C732" s="6" t="s">
        <v>13588</v>
      </c>
      <c r="D732" s="4">
        <v>288</v>
      </c>
      <c r="E732" s="5" t="s">
        <v>20</v>
      </c>
      <c r="F732" s="5" t="s">
        <v>4899</v>
      </c>
      <c r="G732" s="6" t="s">
        <v>26</v>
      </c>
      <c r="H732" s="4"/>
      <c r="I732" s="5" t="s">
        <v>22</v>
      </c>
      <c r="J732" s="5" t="s">
        <v>4903</v>
      </c>
      <c r="K732" s="5" t="s">
        <v>4898</v>
      </c>
      <c r="L732" s="5"/>
      <c r="M732" s="5" t="s">
        <v>2555</v>
      </c>
      <c r="N732" s="5" t="s">
        <v>1230</v>
      </c>
      <c r="O732" s="5" t="s">
        <v>4895</v>
      </c>
      <c r="P732" s="5"/>
      <c r="Q732" s="5" t="s">
        <v>4904</v>
      </c>
    </row>
    <row r="733" spans="2:17" x14ac:dyDescent="0.2">
      <c r="B733" s="5" t="s">
        <v>4894</v>
      </c>
      <c r="C733" s="6" t="s">
        <v>13588</v>
      </c>
      <c r="D733" s="4">
        <v>289</v>
      </c>
      <c r="E733" s="5" t="s">
        <v>20</v>
      </c>
      <c r="F733" s="5" t="s">
        <v>4899</v>
      </c>
      <c r="G733" s="6" t="s">
        <v>26</v>
      </c>
      <c r="H733" s="4"/>
      <c r="I733" s="5" t="s">
        <v>22</v>
      </c>
      <c r="J733" s="5" t="s">
        <v>4905</v>
      </c>
      <c r="K733" s="5" t="s">
        <v>4898</v>
      </c>
      <c r="L733" s="5"/>
      <c r="M733" s="5" t="s">
        <v>2555</v>
      </c>
      <c r="N733" s="5" t="s">
        <v>1230</v>
      </c>
      <c r="O733" s="5" t="s">
        <v>4895</v>
      </c>
      <c r="P733" s="5"/>
      <c r="Q733" s="5" t="s">
        <v>4906</v>
      </c>
    </row>
    <row r="734" spans="2:17" x14ac:dyDescent="0.2">
      <c r="B734" s="5" t="s">
        <v>4894</v>
      </c>
      <c r="C734" s="6" t="s">
        <v>13588</v>
      </c>
      <c r="D734" s="4">
        <v>290</v>
      </c>
      <c r="E734" s="5" t="s">
        <v>20</v>
      </c>
      <c r="F734" s="5" t="s">
        <v>4899</v>
      </c>
      <c r="G734" s="6" t="s">
        <v>26</v>
      </c>
      <c r="H734" s="4"/>
      <c r="I734" s="5" t="s">
        <v>22</v>
      </c>
      <c r="J734" s="5" t="s">
        <v>4907</v>
      </c>
      <c r="K734" s="5" t="s">
        <v>4908</v>
      </c>
      <c r="L734" s="5" t="s">
        <v>4909</v>
      </c>
      <c r="M734" s="5" t="s">
        <v>2555</v>
      </c>
      <c r="N734" s="5" t="s">
        <v>1230</v>
      </c>
      <c r="O734" s="5" t="s">
        <v>4895</v>
      </c>
      <c r="P734" s="5"/>
      <c r="Q734" s="5" t="s">
        <v>4910</v>
      </c>
    </row>
    <row r="735" spans="2:17" x14ac:dyDescent="0.2">
      <c r="B735" s="5" t="s">
        <v>4894</v>
      </c>
      <c r="C735" s="6" t="s">
        <v>13588</v>
      </c>
      <c r="D735" s="4">
        <v>291</v>
      </c>
      <c r="E735" s="5" t="s">
        <v>20</v>
      </c>
      <c r="F735" s="5" t="s">
        <v>4899</v>
      </c>
      <c r="G735" s="6" t="s">
        <v>26</v>
      </c>
      <c r="H735" s="4"/>
      <c r="I735" s="5" t="s">
        <v>22</v>
      </c>
      <c r="J735" s="5" t="s">
        <v>4900</v>
      </c>
      <c r="K735" s="5" t="s">
        <v>4896</v>
      </c>
      <c r="L735" s="5" t="s">
        <v>4901</v>
      </c>
      <c r="M735" s="5" t="s">
        <v>2555</v>
      </c>
      <c r="N735" s="5" t="s">
        <v>1230</v>
      </c>
      <c r="O735" s="5" t="s">
        <v>4895</v>
      </c>
      <c r="P735" s="5"/>
      <c r="Q735" s="5" t="s">
        <v>4902</v>
      </c>
    </row>
    <row r="736" spans="2:17" x14ac:dyDescent="0.2">
      <c r="B736" s="5" t="s">
        <v>6686</v>
      </c>
      <c r="C736" s="6" t="s">
        <v>13588</v>
      </c>
      <c r="D736" s="4">
        <v>543</v>
      </c>
      <c r="E736" s="5" t="s">
        <v>35</v>
      </c>
      <c r="F736" s="5" t="s">
        <v>6788</v>
      </c>
      <c r="G736" s="6" t="s">
        <v>26</v>
      </c>
      <c r="H736" s="4"/>
      <c r="I736" s="5"/>
      <c r="J736" s="5" t="s">
        <v>6789</v>
      </c>
      <c r="K736" s="5" t="s">
        <v>6733</v>
      </c>
      <c r="L736" s="5"/>
      <c r="M736" s="5" t="s">
        <v>1658</v>
      </c>
      <c r="N736" s="5" t="s">
        <v>1651</v>
      </c>
      <c r="O736" s="5" t="s">
        <v>6695</v>
      </c>
      <c r="P736" s="5"/>
      <c r="Q736" s="5" t="s">
        <v>6790</v>
      </c>
    </row>
    <row r="737" spans="2:17" x14ac:dyDescent="0.2">
      <c r="B737" s="5" t="s">
        <v>6686</v>
      </c>
      <c r="C737" s="6" t="s">
        <v>13588</v>
      </c>
      <c r="D737" s="4">
        <v>544</v>
      </c>
      <c r="E737" s="5" t="s">
        <v>82</v>
      </c>
      <c r="F737" s="5" t="s">
        <v>6718</v>
      </c>
      <c r="G737" s="6" t="s">
        <v>26</v>
      </c>
      <c r="H737" s="4"/>
      <c r="I737" s="5"/>
      <c r="J737" s="5" t="s">
        <v>6719</v>
      </c>
      <c r="K737" s="5" t="s">
        <v>6720</v>
      </c>
      <c r="L737" s="5"/>
      <c r="M737" s="5" t="s">
        <v>4498</v>
      </c>
      <c r="N737" s="5" t="s">
        <v>4498</v>
      </c>
      <c r="O737" s="5" t="s">
        <v>6695</v>
      </c>
      <c r="P737" s="5"/>
      <c r="Q737" s="5" t="s">
        <v>6721</v>
      </c>
    </row>
    <row r="738" spans="2:17" x14ac:dyDescent="0.2">
      <c r="B738" s="5" t="s">
        <v>6987</v>
      </c>
      <c r="C738" s="6" t="s">
        <v>13588</v>
      </c>
      <c r="D738" s="4">
        <v>598</v>
      </c>
      <c r="E738" s="5" t="s">
        <v>13</v>
      </c>
      <c r="F738" s="5" t="s">
        <v>7013</v>
      </c>
      <c r="G738" s="6" t="s">
        <v>26</v>
      </c>
      <c r="H738" s="4"/>
      <c r="I738" s="5"/>
      <c r="J738" s="5" t="s">
        <v>7014</v>
      </c>
      <c r="K738" s="5" t="s">
        <v>6990</v>
      </c>
      <c r="L738" s="5"/>
      <c r="M738" s="5" t="s">
        <v>432</v>
      </c>
      <c r="N738" s="5" t="s">
        <v>1544</v>
      </c>
      <c r="O738" s="5" t="s">
        <v>6992</v>
      </c>
      <c r="P738" s="5"/>
      <c r="Q738" s="5" t="s">
        <v>7015</v>
      </c>
    </row>
    <row r="739" spans="2:17" x14ac:dyDescent="0.2">
      <c r="B739" s="5" t="s">
        <v>7459</v>
      </c>
      <c r="C739" s="6" t="s">
        <v>13588</v>
      </c>
      <c r="D739" s="4">
        <v>725</v>
      </c>
      <c r="E739" s="5" t="s">
        <v>20</v>
      </c>
      <c r="F739" s="5" t="s">
        <v>7461</v>
      </c>
      <c r="G739" s="6" t="s">
        <v>26</v>
      </c>
      <c r="H739" s="4"/>
      <c r="I739" s="5" t="s">
        <v>22</v>
      </c>
      <c r="J739" s="5" t="s">
        <v>7462</v>
      </c>
      <c r="K739" s="5" t="s">
        <v>7463</v>
      </c>
      <c r="L739" s="5"/>
      <c r="M739" s="5" t="s">
        <v>2863</v>
      </c>
      <c r="N739" s="5" t="s">
        <v>2863</v>
      </c>
      <c r="O739" s="5" t="s">
        <v>7464</v>
      </c>
      <c r="P739" s="5"/>
      <c r="Q739" s="5" t="s">
        <v>7465</v>
      </c>
    </row>
    <row r="740" spans="2:17" x14ac:dyDescent="0.2">
      <c r="B740" s="5" t="s">
        <v>4674</v>
      </c>
      <c r="C740" s="6" t="s">
        <v>13588</v>
      </c>
      <c r="D740" s="4">
        <v>224</v>
      </c>
      <c r="E740" s="5" t="s">
        <v>20</v>
      </c>
      <c r="F740" s="5" t="s">
        <v>4718</v>
      </c>
      <c r="G740" s="6" t="s">
        <v>72</v>
      </c>
      <c r="H740" s="4"/>
      <c r="I740" s="5" t="s">
        <v>22</v>
      </c>
      <c r="J740" s="5" t="s">
        <v>4719</v>
      </c>
      <c r="K740" s="5" t="s">
        <v>4708</v>
      </c>
      <c r="L740" s="5"/>
      <c r="M740" s="5" t="s">
        <v>197</v>
      </c>
      <c r="N740" s="5" t="s">
        <v>1012</v>
      </c>
      <c r="O740" s="5" t="s">
        <v>4676</v>
      </c>
      <c r="P740" s="5"/>
      <c r="Q740" s="5" t="s">
        <v>4720</v>
      </c>
    </row>
    <row r="741" spans="2:17" x14ac:dyDescent="0.2">
      <c r="B741" s="5" t="s">
        <v>4674</v>
      </c>
      <c r="C741" s="6" t="s">
        <v>13588</v>
      </c>
      <c r="D741" s="4">
        <v>225</v>
      </c>
      <c r="E741" s="5" t="s">
        <v>20</v>
      </c>
      <c r="F741" s="5" t="s">
        <v>4718</v>
      </c>
      <c r="G741" s="6" t="s">
        <v>72</v>
      </c>
      <c r="H741" s="4"/>
      <c r="I741" s="5" t="s">
        <v>22</v>
      </c>
      <c r="J741" s="5" t="s">
        <v>4713</v>
      </c>
      <c r="K741" s="5" t="s">
        <v>4675</v>
      </c>
      <c r="L741" s="5"/>
      <c r="M741" s="5" t="s">
        <v>197</v>
      </c>
      <c r="N741" s="5" t="s">
        <v>1012</v>
      </c>
      <c r="O741" s="5" t="s">
        <v>4676</v>
      </c>
      <c r="P741" s="5"/>
      <c r="Q741" s="5" t="s">
        <v>4721</v>
      </c>
    </row>
    <row r="742" spans="2:17" x14ac:dyDescent="0.2">
      <c r="B742" s="5" t="s">
        <v>4674</v>
      </c>
      <c r="C742" s="6" t="s">
        <v>13588</v>
      </c>
      <c r="D742" s="4">
        <v>226</v>
      </c>
      <c r="E742" s="5" t="s">
        <v>20</v>
      </c>
      <c r="F742" s="5" t="s">
        <v>4718</v>
      </c>
      <c r="G742" s="6" t="s">
        <v>72</v>
      </c>
      <c r="H742" s="4"/>
      <c r="I742" s="5" t="s">
        <v>22</v>
      </c>
      <c r="J742" s="5" t="s">
        <v>4722</v>
      </c>
      <c r="K742" s="5" t="s">
        <v>4716</v>
      </c>
      <c r="L742" s="5"/>
      <c r="M742" s="5" t="s">
        <v>197</v>
      </c>
      <c r="N742" s="5" t="s">
        <v>1012</v>
      </c>
      <c r="O742" s="5" t="s">
        <v>4676</v>
      </c>
      <c r="P742" s="5"/>
      <c r="Q742" s="5" t="s">
        <v>4723</v>
      </c>
    </row>
    <row r="743" spans="2:17" x14ac:dyDescent="0.2">
      <c r="B743" s="5" t="s">
        <v>3834</v>
      </c>
      <c r="C743" s="6" t="s">
        <v>13588</v>
      </c>
      <c r="D743" s="4">
        <v>14</v>
      </c>
      <c r="E743" s="5" t="s">
        <v>20</v>
      </c>
      <c r="F743" s="5" t="s">
        <v>3882</v>
      </c>
      <c r="G743" s="6" t="s">
        <v>44</v>
      </c>
      <c r="H743" s="4"/>
      <c r="I743" s="5" t="s">
        <v>38</v>
      </c>
      <c r="J743" s="5" t="s">
        <v>3883</v>
      </c>
      <c r="K743" s="5" t="s">
        <v>3884</v>
      </c>
      <c r="L743" s="5"/>
      <c r="M743" s="5" t="s">
        <v>412</v>
      </c>
      <c r="N743" s="5" t="s">
        <v>138</v>
      </c>
      <c r="O743" s="5" t="s">
        <v>3838</v>
      </c>
      <c r="P743" s="5"/>
      <c r="Q743" s="5" t="s">
        <v>3885</v>
      </c>
    </row>
    <row r="744" spans="2:17" x14ac:dyDescent="0.2">
      <c r="B744" s="5" t="s">
        <v>4317</v>
      </c>
      <c r="C744" s="6" t="s">
        <v>13588</v>
      </c>
      <c r="D744" s="4">
        <v>130</v>
      </c>
      <c r="E744" s="5" t="s">
        <v>20</v>
      </c>
      <c r="F744" s="5" t="s">
        <v>988</v>
      </c>
      <c r="G744" s="6" t="s">
        <v>44</v>
      </c>
      <c r="H744" s="4"/>
      <c r="I744" s="5" t="s">
        <v>22</v>
      </c>
      <c r="J744" s="5" t="s">
        <v>4352</v>
      </c>
      <c r="K744" s="5" t="s">
        <v>4353</v>
      </c>
      <c r="L744" s="5" t="s">
        <v>4354</v>
      </c>
      <c r="M744" s="5" t="s">
        <v>3455</v>
      </c>
      <c r="N744" s="5" t="s">
        <v>4355</v>
      </c>
      <c r="O744" s="5" t="s">
        <v>4333</v>
      </c>
      <c r="P744" s="5"/>
      <c r="Q744" s="5" t="s">
        <v>4356</v>
      </c>
    </row>
    <row r="745" spans="2:17" x14ac:dyDescent="0.2">
      <c r="B745" s="5" t="s">
        <v>4377</v>
      </c>
      <c r="C745" s="6" t="s">
        <v>13588</v>
      </c>
      <c r="D745" s="4">
        <v>146</v>
      </c>
      <c r="E745" s="5" t="s">
        <v>20</v>
      </c>
      <c r="F745" s="5" t="s">
        <v>4453</v>
      </c>
      <c r="G745" s="6" t="s">
        <v>44</v>
      </c>
      <c r="H745" s="4"/>
      <c r="I745" s="5" t="s">
        <v>38</v>
      </c>
      <c r="J745" s="5" t="s">
        <v>4509</v>
      </c>
      <c r="K745" s="5" t="s">
        <v>4510</v>
      </c>
      <c r="L745" s="5"/>
      <c r="M745" s="5" t="s">
        <v>170</v>
      </c>
      <c r="N745" s="5" t="s">
        <v>157</v>
      </c>
      <c r="O745" s="5" t="s">
        <v>4391</v>
      </c>
      <c r="P745" s="5"/>
      <c r="Q745" s="5" t="s">
        <v>4511</v>
      </c>
    </row>
    <row r="746" spans="2:17" x14ac:dyDescent="0.2">
      <c r="B746" s="5" t="s">
        <v>4377</v>
      </c>
      <c r="C746" s="6" t="s">
        <v>13588</v>
      </c>
      <c r="D746" s="4">
        <v>147</v>
      </c>
      <c r="E746" s="5" t="s">
        <v>20</v>
      </c>
      <c r="F746" s="5" t="s">
        <v>4453</v>
      </c>
      <c r="G746" s="6" t="s">
        <v>44</v>
      </c>
      <c r="H746" s="4"/>
      <c r="I746" s="5" t="s">
        <v>38</v>
      </c>
      <c r="J746" s="5" t="s">
        <v>4512</v>
      </c>
      <c r="K746" s="5" t="s">
        <v>4513</v>
      </c>
      <c r="L746" s="5"/>
      <c r="M746" s="5" t="s">
        <v>170</v>
      </c>
      <c r="N746" s="5" t="s">
        <v>157</v>
      </c>
      <c r="O746" s="5" t="s">
        <v>4391</v>
      </c>
      <c r="P746" s="5"/>
      <c r="Q746" s="5" t="s">
        <v>4514</v>
      </c>
    </row>
    <row r="747" spans="2:17" x14ac:dyDescent="0.2">
      <c r="B747" s="5" t="s">
        <v>4377</v>
      </c>
      <c r="C747" s="6" t="s">
        <v>13588</v>
      </c>
      <c r="D747" s="4">
        <v>169</v>
      </c>
      <c r="E747" s="5" t="s">
        <v>20</v>
      </c>
      <c r="F747" s="5" t="s">
        <v>4453</v>
      </c>
      <c r="G747" s="6" t="s">
        <v>44</v>
      </c>
      <c r="H747" s="4"/>
      <c r="I747" s="5" t="s">
        <v>38</v>
      </c>
      <c r="J747" s="5" t="s">
        <v>4454</v>
      </c>
      <c r="K747" s="5" t="s">
        <v>4455</v>
      </c>
      <c r="L747" s="5" t="s">
        <v>4451</v>
      </c>
      <c r="M747" s="5" t="s">
        <v>1269</v>
      </c>
      <c r="N747" s="5" t="s">
        <v>1263</v>
      </c>
      <c r="O747" s="5" t="s">
        <v>4391</v>
      </c>
      <c r="P747" s="5"/>
      <c r="Q747" s="5" t="s">
        <v>4456</v>
      </c>
    </row>
    <row r="748" spans="2:17" x14ac:dyDescent="0.2">
      <c r="B748" s="5" t="s">
        <v>4777</v>
      </c>
      <c r="C748" s="6" t="s">
        <v>13588</v>
      </c>
      <c r="D748" s="4">
        <v>254</v>
      </c>
      <c r="E748" s="5" t="s">
        <v>20</v>
      </c>
      <c r="F748" s="5" t="s">
        <v>4827</v>
      </c>
      <c r="G748" s="6" t="s">
        <v>44</v>
      </c>
      <c r="H748" s="4"/>
      <c r="I748" s="5" t="s">
        <v>22</v>
      </c>
      <c r="J748" s="5" t="s">
        <v>4828</v>
      </c>
      <c r="K748" s="5" t="s">
        <v>4829</v>
      </c>
      <c r="L748" s="5"/>
      <c r="M748" s="5" t="s">
        <v>1548</v>
      </c>
      <c r="N748" s="5" t="s">
        <v>1544</v>
      </c>
      <c r="O748" s="5" t="s">
        <v>4830</v>
      </c>
      <c r="P748" s="5"/>
      <c r="Q748" s="5" t="s">
        <v>4831</v>
      </c>
    </row>
    <row r="749" spans="2:17" x14ac:dyDescent="0.2">
      <c r="B749" s="5" t="s">
        <v>6380</v>
      </c>
      <c r="C749" s="6" t="s">
        <v>13588</v>
      </c>
      <c r="D749" s="4">
        <v>443</v>
      </c>
      <c r="E749" s="5" t="s">
        <v>20</v>
      </c>
      <c r="F749" s="5" t="s">
        <v>6409</v>
      </c>
      <c r="G749" s="6" t="s">
        <v>44</v>
      </c>
      <c r="H749" s="4"/>
      <c r="I749" s="5" t="s">
        <v>38</v>
      </c>
      <c r="J749" s="5" t="s">
        <v>6410</v>
      </c>
      <c r="K749" s="5" t="s">
        <v>6411</v>
      </c>
      <c r="L749" s="5" t="s">
        <v>6412</v>
      </c>
      <c r="M749" s="5" t="s">
        <v>2083</v>
      </c>
      <c r="N749" s="5" t="s">
        <v>2074</v>
      </c>
      <c r="O749" s="5" t="s">
        <v>6413</v>
      </c>
      <c r="P749" s="5"/>
      <c r="Q749" s="5" t="s">
        <v>6414</v>
      </c>
    </row>
    <row r="750" spans="2:17" x14ac:dyDescent="0.2">
      <c r="B750" s="5" t="s">
        <v>6686</v>
      </c>
      <c r="C750" s="6" t="s">
        <v>13588</v>
      </c>
      <c r="D750" s="4">
        <v>515</v>
      </c>
      <c r="E750" s="5" t="s">
        <v>82</v>
      </c>
      <c r="F750" s="5" t="s">
        <v>6775</v>
      </c>
      <c r="G750" s="6" t="s">
        <v>44</v>
      </c>
      <c r="H750" s="4"/>
      <c r="I750" s="5"/>
      <c r="J750" s="5" t="s">
        <v>6776</v>
      </c>
      <c r="K750" s="5" t="s">
        <v>6777</v>
      </c>
      <c r="L750" s="5"/>
      <c r="M750" s="5" t="s">
        <v>2198</v>
      </c>
      <c r="N750" s="5" t="s">
        <v>2198</v>
      </c>
      <c r="O750" s="5" t="s">
        <v>6695</v>
      </c>
      <c r="P750" s="5"/>
      <c r="Q750" s="5" t="s">
        <v>6778</v>
      </c>
    </row>
    <row r="751" spans="2:17" x14ac:dyDescent="0.2">
      <c r="B751" s="5" t="s">
        <v>7050</v>
      </c>
      <c r="C751" s="6" t="s">
        <v>13588</v>
      </c>
      <c r="D751" s="4">
        <v>625</v>
      </c>
      <c r="E751" s="5" t="s">
        <v>35</v>
      </c>
      <c r="F751" s="5" t="s">
        <v>7089</v>
      </c>
      <c r="G751" s="6" t="s">
        <v>44</v>
      </c>
      <c r="H751" s="4"/>
      <c r="I751" s="5"/>
      <c r="J751" s="5" t="s">
        <v>7090</v>
      </c>
      <c r="K751" s="5" t="s">
        <v>7053</v>
      </c>
      <c r="L751" s="5"/>
      <c r="M751" s="5" t="s">
        <v>291</v>
      </c>
      <c r="N751" s="5" t="s">
        <v>284</v>
      </c>
      <c r="O751" s="5"/>
      <c r="P751" s="5"/>
      <c r="Q751" s="5" t="s">
        <v>7091</v>
      </c>
    </row>
    <row r="752" spans="2:17" x14ac:dyDescent="0.2">
      <c r="B752" s="5" t="s">
        <v>7474</v>
      </c>
      <c r="C752" s="6" t="s">
        <v>13588</v>
      </c>
      <c r="D752" s="4">
        <v>730</v>
      </c>
      <c r="E752" s="5" t="s">
        <v>20</v>
      </c>
      <c r="F752" s="5" t="s">
        <v>7513</v>
      </c>
      <c r="G752" s="6" t="s">
        <v>44</v>
      </c>
      <c r="H752" s="4"/>
      <c r="I752" s="5" t="s">
        <v>22</v>
      </c>
      <c r="J752" s="5" t="s">
        <v>7514</v>
      </c>
      <c r="K752" s="5" t="s">
        <v>7475</v>
      </c>
      <c r="L752" s="5"/>
      <c r="M752" s="5" t="s">
        <v>359</v>
      </c>
      <c r="N752" s="5" t="s">
        <v>1832</v>
      </c>
      <c r="O752" s="5" t="s">
        <v>7476</v>
      </c>
      <c r="P752" s="5"/>
      <c r="Q752" s="5" t="s">
        <v>7515</v>
      </c>
    </row>
    <row r="753" spans="2:17" x14ac:dyDescent="0.2">
      <c r="B753" s="5" t="s">
        <v>7474</v>
      </c>
      <c r="C753" s="6" t="s">
        <v>13588</v>
      </c>
      <c r="D753" s="4">
        <v>731</v>
      </c>
      <c r="E753" s="5" t="s">
        <v>20</v>
      </c>
      <c r="F753" s="5" t="s">
        <v>7506</v>
      </c>
      <c r="G753" s="6" t="s">
        <v>44</v>
      </c>
      <c r="H753" s="4"/>
      <c r="I753" s="5" t="s">
        <v>22</v>
      </c>
      <c r="J753" s="5" t="s">
        <v>7507</v>
      </c>
      <c r="K753" s="5" t="s">
        <v>7482</v>
      </c>
      <c r="L753" s="5"/>
      <c r="M753" s="5" t="s">
        <v>2083</v>
      </c>
      <c r="N753" s="5" t="s">
        <v>2074</v>
      </c>
      <c r="O753" s="5" t="s">
        <v>7478</v>
      </c>
      <c r="P753" s="5"/>
      <c r="Q753" s="5" t="s">
        <v>7508</v>
      </c>
    </row>
    <row r="754" spans="2:17" x14ac:dyDescent="0.2">
      <c r="B754" s="5" t="s">
        <v>7474</v>
      </c>
      <c r="C754" s="6" t="s">
        <v>13588</v>
      </c>
      <c r="D754" s="4">
        <v>732</v>
      </c>
      <c r="E754" s="5" t="s">
        <v>20</v>
      </c>
      <c r="F754" s="5" t="s">
        <v>7509</v>
      </c>
      <c r="G754" s="6" t="s">
        <v>44</v>
      </c>
      <c r="H754" s="4"/>
      <c r="I754" s="5" t="s">
        <v>22</v>
      </c>
      <c r="J754" s="5" t="s">
        <v>7507</v>
      </c>
      <c r="K754" s="5" t="s">
        <v>7482</v>
      </c>
      <c r="L754" s="5"/>
      <c r="M754" s="5" t="s">
        <v>2083</v>
      </c>
      <c r="N754" s="5" t="s">
        <v>2074</v>
      </c>
      <c r="O754" s="5" t="s">
        <v>7478</v>
      </c>
      <c r="P754" s="5"/>
      <c r="Q754" s="5" t="s">
        <v>7510</v>
      </c>
    </row>
    <row r="755" spans="2:17" x14ac:dyDescent="0.2">
      <c r="B755" s="5" t="s">
        <v>7474</v>
      </c>
      <c r="C755" s="6" t="s">
        <v>13588</v>
      </c>
      <c r="D755" s="4">
        <v>733</v>
      </c>
      <c r="E755" s="5" t="s">
        <v>20</v>
      </c>
      <c r="F755" s="5" t="s">
        <v>7509</v>
      </c>
      <c r="G755" s="6" t="s">
        <v>44</v>
      </c>
      <c r="H755" s="4"/>
      <c r="I755" s="5" t="s">
        <v>22</v>
      </c>
      <c r="J755" s="5" t="s">
        <v>7511</v>
      </c>
      <c r="K755" s="5" t="s">
        <v>7482</v>
      </c>
      <c r="L755" s="5"/>
      <c r="M755" s="5" t="s">
        <v>2083</v>
      </c>
      <c r="N755" s="5" t="s">
        <v>2074</v>
      </c>
      <c r="O755" s="5" t="s">
        <v>7478</v>
      </c>
      <c r="P755" s="5"/>
      <c r="Q755" s="5" t="s">
        <v>7512</v>
      </c>
    </row>
    <row r="756" spans="2:17" x14ac:dyDescent="0.2">
      <c r="B756" s="5" t="s">
        <v>4777</v>
      </c>
      <c r="C756" s="6" t="s">
        <v>13588</v>
      </c>
      <c r="D756" s="4">
        <v>262</v>
      </c>
      <c r="E756" s="5" t="s">
        <v>24</v>
      </c>
      <c r="F756" s="5" t="s">
        <v>4786</v>
      </c>
      <c r="G756" s="6" t="s">
        <v>543</v>
      </c>
      <c r="H756" s="4"/>
      <c r="I756" s="5"/>
      <c r="J756" s="5" t="s">
        <v>4786</v>
      </c>
      <c r="K756" s="5" t="s">
        <v>4784</v>
      </c>
      <c r="L756" s="5"/>
      <c r="M756" s="5" t="s">
        <v>645</v>
      </c>
      <c r="N756" s="5" t="s">
        <v>645</v>
      </c>
      <c r="O756" s="5" t="s">
        <v>4781</v>
      </c>
      <c r="P756" s="5"/>
      <c r="Q756" s="5" t="s">
        <v>4804</v>
      </c>
    </row>
    <row r="757" spans="2:17" x14ac:dyDescent="0.2">
      <c r="B757" s="5" t="s">
        <v>7319</v>
      </c>
      <c r="C757" s="6" t="s">
        <v>13588</v>
      </c>
      <c r="D757" s="4">
        <v>693</v>
      </c>
      <c r="E757" s="5" t="s">
        <v>20</v>
      </c>
      <c r="F757" s="5" t="s">
        <v>7385</v>
      </c>
      <c r="G757" s="6" t="s">
        <v>543</v>
      </c>
      <c r="H757" s="4"/>
      <c r="I757" s="5" t="s">
        <v>38</v>
      </c>
      <c r="J757" s="5" t="s">
        <v>7386</v>
      </c>
      <c r="K757" s="5" t="s">
        <v>7324</v>
      </c>
      <c r="L757" s="5" t="s">
        <v>7387</v>
      </c>
      <c r="M757" s="5" t="s">
        <v>4373</v>
      </c>
      <c r="N757" s="5" t="s">
        <v>921</v>
      </c>
      <c r="O757" s="5" t="s">
        <v>7332</v>
      </c>
      <c r="P757" s="5"/>
      <c r="Q757" s="5" t="s">
        <v>7388</v>
      </c>
    </row>
    <row r="758" spans="2:17" x14ac:dyDescent="0.2">
      <c r="B758" s="5" t="s">
        <v>4565</v>
      </c>
      <c r="C758" s="6" t="s">
        <v>13588</v>
      </c>
      <c r="D758" s="4">
        <v>204</v>
      </c>
      <c r="E758" s="5" t="s">
        <v>24</v>
      </c>
      <c r="F758" s="5" t="s">
        <v>4582</v>
      </c>
      <c r="G758" s="6" t="s">
        <v>277</v>
      </c>
      <c r="H758" s="4"/>
      <c r="I758" s="5"/>
      <c r="J758" s="5" t="s">
        <v>4583</v>
      </c>
      <c r="K758" s="5" t="s">
        <v>4566</v>
      </c>
      <c r="L758" s="5"/>
      <c r="M758" s="5" t="s">
        <v>336</v>
      </c>
      <c r="N758" s="5" t="s">
        <v>1416</v>
      </c>
      <c r="O758" s="5" t="s">
        <v>4567</v>
      </c>
      <c r="P758" s="5"/>
      <c r="Q758" s="5" t="s">
        <v>4584</v>
      </c>
    </row>
    <row r="759" spans="2:17" x14ac:dyDescent="0.2">
      <c r="B759" s="5" t="s">
        <v>6561</v>
      </c>
      <c r="C759" s="6" t="s">
        <v>13588</v>
      </c>
      <c r="D759" s="4">
        <v>488</v>
      </c>
      <c r="E759" s="5" t="s">
        <v>20</v>
      </c>
      <c r="F759" s="5" t="s">
        <v>6569</v>
      </c>
      <c r="G759" s="6" t="s">
        <v>277</v>
      </c>
      <c r="H759" s="4"/>
      <c r="I759" s="5" t="s">
        <v>22</v>
      </c>
      <c r="J759" s="5" t="s">
        <v>6570</v>
      </c>
      <c r="K759" s="5" t="s">
        <v>6571</v>
      </c>
      <c r="L759" s="5"/>
      <c r="M759" s="5" t="s">
        <v>1343</v>
      </c>
      <c r="N759" s="5" t="s">
        <v>284</v>
      </c>
      <c r="O759" s="5" t="s">
        <v>6565</v>
      </c>
      <c r="P759" s="5"/>
      <c r="Q759" s="5" t="s">
        <v>6572</v>
      </c>
    </row>
    <row r="760" spans="2:17" x14ac:dyDescent="0.2">
      <c r="B760" s="5" t="s">
        <v>7474</v>
      </c>
      <c r="C760" s="6" t="s">
        <v>13588</v>
      </c>
      <c r="D760" s="4">
        <v>740</v>
      </c>
      <c r="E760" s="5" t="s">
        <v>20</v>
      </c>
      <c r="F760" s="5" t="s">
        <v>7490</v>
      </c>
      <c r="G760" s="6" t="s">
        <v>277</v>
      </c>
      <c r="H760" s="4"/>
      <c r="I760" s="5" t="s">
        <v>22</v>
      </c>
      <c r="J760" s="5" t="s">
        <v>7491</v>
      </c>
      <c r="K760" s="5" t="s">
        <v>7479</v>
      </c>
      <c r="L760" s="5"/>
      <c r="M760" s="5" t="s">
        <v>1343</v>
      </c>
      <c r="N760" s="5" t="s">
        <v>284</v>
      </c>
      <c r="O760" s="5" t="s">
        <v>7476</v>
      </c>
      <c r="P760" s="5"/>
      <c r="Q760" s="5" t="s">
        <v>7492</v>
      </c>
    </row>
    <row r="761" spans="2:17" x14ac:dyDescent="0.2">
      <c r="B761" s="5" t="s">
        <v>4777</v>
      </c>
      <c r="C761" s="6" t="s">
        <v>13588</v>
      </c>
      <c r="D761" s="4">
        <v>256</v>
      </c>
      <c r="E761" s="5" t="s">
        <v>20</v>
      </c>
      <c r="F761" s="5" t="s">
        <v>4818</v>
      </c>
      <c r="G761" s="6" t="s">
        <v>1007</v>
      </c>
      <c r="H761" s="4"/>
      <c r="I761" s="5" t="s">
        <v>22</v>
      </c>
      <c r="J761" s="5" t="s">
        <v>4819</v>
      </c>
      <c r="K761" s="5" t="s">
        <v>4780</v>
      </c>
      <c r="L761" s="5"/>
      <c r="M761" s="5" t="s">
        <v>411</v>
      </c>
      <c r="N761" s="5" t="s">
        <v>138</v>
      </c>
      <c r="O761" s="5" t="s">
        <v>4781</v>
      </c>
      <c r="P761" s="5"/>
      <c r="Q761" s="5" t="s">
        <v>4820</v>
      </c>
    </row>
    <row r="762" spans="2:17" x14ac:dyDescent="0.2">
      <c r="B762" s="5" t="s">
        <v>4777</v>
      </c>
      <c r="C762" s="6" t="s">
        <v>13588</v>
      </c>
      <c r="D762" s="4">
        <v>257</v>
      </c>
      <c r="E762" s="5" t="s">
        <v>20</v>
      </c>
      <c r="F762" s="5" t="s">
        <v>4818</v>
      </c>
      <c r="G762" s="6" t="s">
        <v>1007</v>
      </c>
      <c r="H762" s="4"/>
      <c r="I762" s="5" t="s">
        <v>22</v>
      </c>
      <c r="J762" s="5" t="s">
        <v>4821</v>
      </c>
      <c r="K762" s="5" t="s">
        <v>4784</v>
      </c>
      <c r="L762" s="5"/>
      <c r="M762" s="5" t="s">
        <v>411</v>
      </c>
      <c r="N762" s="5" t="s">
        <v>138</v>
      </c>
      <c r="O762" s="5" t="s">
        <v>4781</v>
      </c>
      <c r="P762" s="5"/>
      <c r="Q762" s="5" t="s">
        <v>4822</v>
      </c>
    </row>
    <row r="763" spans="2:17" x14ac:dyDescent="0.2">
      <c r="B763" s="5" t="s">
        <v>4777</v>
      </c>
      <c r="C763" s="6" t="s">
        <v>13588</v>
      </c>
      <c r="D763" s="4">
        <v>255</v>
      </c>
      <c r="E763" s="5" t="s">
        <v>13</v>
      </c>
      <c r="F763" s="5" t="s">
        <v>4823</v>
      </c>
      <c r="G763" s="6" t="s">
        <v>274</v>
      </c>
      <c r="H763" s="4"/>
      <c r="I763" s="5"/>
      <c r="J763" s="5" t="s">
        <v>4824</v>
      </c>
      <c r="K763" s="5" t="s">
        <v>4825</v>
      </c>
      <c r="L763" s="5"/>
      <c r="M763" s="5" t="s">
        <v>426</v>
      </c>
      <c r="N763" s="5" t="s">
        <v>426</v>
      </c>
      <c r="O763" s="5" t="s">
        <v>4781</v>
      </c>
      <c r="P763" s="5"/>
      <c r="Q763" s="5" t="s">
        <v>4826</v>
      </c>
    </row>
    <row r="764" spans="2:17" x14ac:dyDescent="0.2">
      <c r="B764" s="5" t="s">
        <v>6495</v>
      </c>
      <c r="C764" s="6" t="s">
        <v>13588</v>
      </c>
      <c r="D764" s="4">
        <v>469</v>
      </c>
      <c r="E764" s="5" t="s">
        <v>6542</v>
      </c>
      <c r="F764" s="5" t="s">
        <v>6543</v>
      </c>
      <c r="G764" s="6" t="s">
        <v>274</v>
      </c>
      <c r="H764" s="4"/>
      <c r="I764" s="5"/>
      <c r="J764" s="5" t="s">
        <v>6544</v>
      </c>
      <c r="K764" s="5" t="s">
        <v>6525</v>
      </c>
      <c r="L764" s="5"/>
      <c r="M764" s="5" t="s">
        <v>468</v>
      </c>
      <c r="N764" s="5" t="s">
        <v>465</v>
      </c>
      <c r="O764" s="5"/>
      <c r="P764" s="5"/>
      <c r="Q764" s="5" t="s">
        <v>6545</v>
      </c>
    </row>
    <row r="765" spans="2:17" x14ac:dyDescent="0.2">
      <c r="B765" s="5" t="s">
        <v>6686</v>
      </c>
      <c r="C765" s="6" t="s">
        <v>13588</v>
      </c>
      <c r="D765" s="4">
        <v>520</v>
      </c>
      <c r="E765" s="5" t="s">
        <v>82</v>
      </c>
      <c r="F765" s="5" t="s">
        <v>6762</v>
      </c>
      <c r="G765" s="6" t="s">
        <v>274</v>
      </c>
      <c r="H765" s="4"/>
      <c r="I765" s="5"/>
      <c r="J765" s="5" t="s">
        <v>6763</v>
      </c>
      <c r="K765" s="5" t="s">
        <v>6694</v>
      </c>
      <c r="L765" s="5"/>
      <c r="M765" s="5" t="s">
        <v>468</v>
      </c>
      <c r="N765" s="5" t="s">
        <v>465</v>
      </c>
      <c r="O765" s="5" t="s">
        <v>6690</v>
      </c>
      <c r="P765" s="5"/>
      <c r="Q765" s="5" t="s">
        <v>6764</v>
      </c>
    </row>
    <row r="766" spans="2:17" x14ac:dyDescent="0.2">
      <c r="B766" s="5" t="s">
        <v>7162</v>
      </c>
      <c r="C766" s="6" t="s">
        <v>13588</v>
      </c>
      <c r="D766" s="4">
        <v>644</v>
      </c>
      <c r="E766" s="5" t="s">
        <v>20</v>
      </c>
      <c r="F766" s="5" t="s">
        <v>7185</v>
      </c>
      <c r="G766" s="6" t="s">
        <v>274</v>
      </c>
      <c r="H766" s="4"/>
      <c r="I766" s="5" t="s">
        <v>22</v>
      </c>
      <c r="J766" s="5" t="s">
        <v>7186</v>
      </c>
      <c r="K766" s="5" t="s">
        <v>7178</v>
      </c>
      <c r="L766" s="5"/>
      <c r="M766" s="5" t="s">
        <v>468</v>
      </c>
      <c r="N766" s="5" t="s">
        <v>465</v>
      </c>
      <c r="O766" s="5" t="s">
        <v>7166</v>
      </c>
      <c r="P766" s="5"/>
      <c r="Q766" s="5" t="s">
        <v>7187</v>
      </c>
    </row>
    <row r="767" spans="2:17" x14ac:dyDescent="0.2">
      <c r="B767" s="5" t="s">
        <v>7539</v>
      </c>
      <c r="C767" s="6" t="s">
        <v>13588</v>
      </c>
      <c r="D767" s="4">
        <v>749</v>
      </c>
      <c r="E767" s="5" t="s">
        <v>20</v>
      </c>
      <c r="F767" s="5" t="s">
        <v>7603</v>
      </c>
      <c r="G767" s="6" t="s">
        <v>274</v>
      </c>
      <c r="H767" s="4"/>
      <c r="I767" s="5" t="s">
        <v>22</v>
      </c>
      <c r="J767" s="5" t="s">
        <v>7604</v>
      </c>
      <c r="K767" s="5"/>
      <c r="L767" s="5" t="s">
        <v>7605</v>
      </c>
      <c r="M767" s="5" t="s">
        <v>468</v>
      </c>
      <c r="N767" s="5" t="s">
        <v>465</v>
      </c>
      <c r="O767" s="5"/>
      <c r="P767" s="5"/>
      <c r="Q767" s="5" t="s">
        <v>7606</v>
      </c>
    </row>
    <row r="768" spans="2:17" x14ac:dyDescent="0.2">
      <c r="B768" s="5" t="s">
        <v>5963</v>
      </c>
      <c r="C768" s="6" t="s">
        <v>13588</v>
      </c>
      <c r="D768" s="4">
        <v>340</v>
      </c>
      <c r="E768" s="5" t="s">
        <v>20</v>
      </c>
      <c r="F768" s="5" t="s">
        <v>5978</v>
      </c>
      <c r="G768" s="6" t="s">
        <v>1163</v>
      </c>
      <c r="H768" s="4"/>
      <c r="I768" s="5" t="s">
        <v>22</v>
      </c>
      <c r="J768" s="5" t="s">
        <v>5979</v>
      </c>
      <c r="K768" s="5" t="s">
        <v>5974</v>
      </c>
      <c r="L768" s="5" t="s">
        <v>5980</v>
      </c>
      <c r="M768" s="5" t="s">
        <v>573</v>
      </c>
      <c r="N768" s="5" t="s">
        <v>1258</v>
      </c>
      <c r="O768" s="5" t="s">
        <v>5981</v>
      </c>
      <c r="P768" s="5"/>
      <c r="Q768" s="5" t="s">
        <v>5982</v>
      </c>
    </row>
    <row r="769" spans="2:17" x14ac:dyDescent="0.2">
      <c r="B769" s="5" t="s">
        <v>6311</v>
      </c>
      <c r="C769" s="6" t="s">
        <v>13588</v>
      </c>
      <c r="D769" s="4">
        <v>415</v>
      </c>
      <c r="E769" s="5" t="s">
        <v>35</v>
      </c>
      <c r="F769" s="5" t="s">
        <v>6334</v>
      </c>
      <c r="G769" s="6" t="s">
        <v>1163</v>
      </c>
      <c r="H769" s="4"/>
      <c r="I769" s="5"/>
      <c r="J769" s="5" t="s">
        <v>6334</v>
      </c>
      <c r="K769" s="5" t="s">
        <v>6335</v>
      </c>
      <c r="L769" s="5"/>
      <c r="M769" s="5" t="s">
        <v>118</v>
      </c>
      <c r="N769" s="5" t="s">
        <v>4971</v>
      </c>
      <c r="O769" s="5" t="s">
        <v>6315</v>
      </c>
      <c r="P769" s="5"/>
      <c r="Q769" s="5" t="s">
        <v>6336</v>
      </c>
    </row>
    <row r="770" spans="2:17" x14ac:dyDescent="0.2">
      <c r="B770" s="5" t="s">
        <v>3810</v>
      </c>
      <c r="C770" s="6" t="s">
        <v>13588</v>
      </c>
      <c r="D770" s="4">
        <v>4</v>
      </c>
      <c r="E770" s="5" t="s">
        <v>20</v>
      </c>
      <c r="F770" s="5" t="s">
        <v>3815</v>
      </c>
      <c r="G770" s="6" t="s">
        <v>21</v>
      </c>
      <c r="H770" s="4"/>
      <c r="I770" s="5" t="s">
        <v>22</v>
      </c>
      <c r="J770" s="5" t="s">
        <v>3816</v>
      </c>
      <c r="K770" s="5" t="s">
        <v>3817</v>
      </c>
      <c r="L770" s="5"/>
      <c r="M770" s="5" t="s">
        <v>1269</v>
      </c>
      <c r="N770" s="5" t="s">
        <v>1263</v>
      </c>
      <c r="O770" s="5" t="s">
        <v>3818</v>
      </c>
      <c r="P770" s="5"/>
      <c r="Q770" s="5" t="s">
        <v>3819</v>
      </c>
    </row>
    <row r="771" spans="2:17" x14ac:dyDescent="0.2">
      <c r="B771" s="5" t="s">
        <v>3810</v>
      </c>
      <c r="C771" s="6" t="s">
        <v>13588</v>
      </c>
      <c r="D771" s="4">
        <v>7</v>
      </c>
      <c r="E771" s="5" t="s">
        <v>13</v>
      </c>
      <c r="F771" s="5" t="s">
        <v>3820</v>
      </c>
      <c r="G771" s="6" t="s">
        <v>21</v>
      </c>
      <c r="H771" s="4"/>
      <c r="I771" s="5"/>
      <c r="J771" s="5" t="s">
        <v>3821</v>
      </c>
      <c r="K771" s="5" t="s">
        <v>3822</v>
      </c>
      <c r="L771" s="5"/>
      <c r="M771" s="5" t="s">
        <v>131</v>
      </c>
      <c r="N771" s="5" t="s">
        <v>131</v>
      </c>
      <c r="O771" s="5"/>
      <c r="P771" s="5"/>
      <c r="Q771" s="5" t="s">
        <v>3823</v>
      </c>
    </row>
    <row r="772" spans="2:17" x14ac:dyDescent="0.2">
      <c r="B772" s="5" t="s">
        <v>4751</v>
      </c>
      <c r="C772" s="6" t="s">
        <v>13588</v>
      </c>
      <c r="D772" s="4">
        <v>247</v>
      </c>
      <c r="E772" s="5" t="s">
        <v>20</v>
      </c>
      <c r="F772" s="5" t="s">
        <v>4769</v>
      </c>
      <c r="G772" s="6" t="s">
        <v>21</v>
      </c>
      <c r="H772" s="4"/>
      <c r="I772" s="5" t="s">
        <v>38</v>
      </c>
      <c r="J772" s="5" t="s">
        <v>4770</v>
      </c>
      <c r="K772" s="5" t="s">
        <v>4771</v>
      </c>
      <c r="L772" s="5"/>
      <c r="M772" s="5" t="s">
        <v>270</v>
      </c>
      <c r="N772" s="5" t="s">
        <v>1668</v>
      </c>
      <c r="O772" s="5" t="s">
        <v>4772</v>
      </c>
      <c r="P772" s="5"/>
      <c r="Q772" s="5" t="s">
        <v>4773</v>
      </c>
    </row>
    <row r="773" spans="2:17" x14ac:dyDescent="0.2">
      <c r="B773" s="5" t="s">
        <v>4751</v>
      </c>
      <c r="C773" s="6" t="s">
        <v>13588</v>
      </c>
      <c r="D773" s="4">
        <v>248</v>
      </c>
      <c r="E773" s="5" t="s">
        <v>20</v>
      </c>
      <c r="F773" s="5" t="s">
        <v>4769</v>
      </c>
      <c r="G773" s="6" t="s">
        <v>21</v>
      </c>
      <c r="H773" s="4"/>
      <c r="I773" s="5" t="s">
        <v>38</v>
      </c>
      <c r="J773" s="5" t="s">
        <v>4774</v>
      </c>
      <c r="K773" s="5" t="s">
        <v>4775</v>
      </c>
      <c r="L773" s="5"/>
      <c r="M773" s="5" t="s">
        <v>270</v>
      </c>
      <c r="N773" s="5" t="s">
        <v>1668</v>
      </c>
      <c r="O773" s="5" t="s">
        <v>4772</v>
      </c>
      <c r="P773" s="5"/>
      <c r="Q773" s="5" t="s">
        <v>4776</v>
      </c>
    </row>
    <row r="774" spans="2:17" x14ac:dyDescent="0.2">
      <c r="B774" s="5" t="s">
        <v>5906</v>
      </c>
      <c r="C774" s="6" t="s">
        <v>13588</v>
      </c>
      <c r="D774" s="4">
        <v>307</v>
      </c>
      <c r="E774" s="5" t="s">
        <v>20</v>
      </c>
      <c r="F774" s="5" t="s">
        <v>5958</v>
      </c>
      <c r="G774" s="6" t="s">
        <v>21</v>
      </c>
      <c r="H774" s="4"/>
      <c r="I774" s="5" t="s">
        <v>22</v>
      </c>
      <c r="J774" s="5" t="s">
        <v>5959</v>
      </c>
      <c r="K774" s="5" t="s">
        <v>5960</v>
      </c>
      <c r="L774" s="5"/>
      <c r="M774" s="5" t="s">
        <v>215</v>
      </c>
      <c r="N774" s="5" t="s">
        <v>1365</v>
      </c>
      <c r="O774" s="5" t="s">
        <v>5961</v>
      </c>
      <c r="P774" s="5"/>
      <c r="Q774" s="5" t="s">
        <v>5962</v>
      </c>
    </row>
    <row r="775" spans="2:17" x14ac:dyDescent="0.2">
      <c r="B775" s="5" t="s">
        <v>5963</v>
      </c>
      <c r="C775" s="6" t="s">
        <v>13588</v>
      </c>
      <c r="D775" s="4">
        <v>319</v>
      </c>
      <c r="E775" s="5" t="s">
        <v>20</v>
      </c>
      <c r="F775" s="5" t="s">
        <v>6044</v>
      </c>
      <c r="G775" s="6" t="s">
        <v>21</v>
      </c>
      <c r="H775" s="4"/>
      <c r="I775" s="5" t="s">
        <v>22</v>
      </c>
      <c r="J775" s="5" t="s">
        <v>6045</v>
      </c>
      <c r="K775" s="5" t="s">
        <v>6006</v>
      </c>
      <c r="L775" s="5"/>
      <c r="M775" s="5" t="s">
        <v>157</v>
      </c>
      <c r="N775" s="5" t="s">
        <v>437</v>
      </c>
      <c r="O775" s="5" t="s">
        <v>5981</v>
      </c>
      <c r="P775" s="5"/>
      <c r="Q775" s="5" t="s">
        <v>6046</v>
      </c>
    </row>
    <row r="776" spans="2:17" x14ac:dyDescent="0.2">
      <c r="B776" s="5" t="s">
        <v>5963</v>
      </c>
      <c r="C776" s="6" t="s">
        <v>13588</v>
      </c>
      <c r="D776" s="4">
        <v>320</v>
      </c>
      <c r="E776" s="5" t="s">
        <v>20</v>
      </c>
      <c r="F776" s="5" t="s">
        <v>6044</v>
      </c>
      <c r="G776" s="6" t="s">
        <v>21</v>
      </c>
      <c r="H776" s="4"/>
      <c r="I776" s="5" t="s">
        <v>22</v>
      </c>
      <c r="J776" s="5" t="s">
        <v>6047</v>
      </c>
      <c r="K776" s="5" t="s">
        <v>5973</v>
      </c>
      <c r="L776" s="5"/>
      <c r="M776" s="5" t="s">
        <v>157</v>
      </c>
      <c r="N776" s="5" t="s">
        <v>437</v>
      </c>
      <c r="O776" s="5" t="s">
        <v>5965</v>
      </c>
      <c r="P776" s="5"/>
      <c r="Q776" s="5" t="s">
        <v>6048</v>
      </c>
    </row>
    <row r="777" spans="2:17" x14ac:dyDescent="0.2">
      <c r="B777" s="5" t="s">
        <v>6930</v>
      </c>
      <c r="C777" s="6" t="s">
        <v>13588</v>
      </c>
      <c r="D777" s="4">
        <v>580</v>
      </c>
      <c r="E777" s="5" t="s">
        <v>13</v>
      </c>
      <c r="F777" s="5" t="s">
        <v>6983</v>
      </c>
      <c r="G777" s="6" t="s">
        <v>21</v>
      </c>
      <c r="H777" s="4"/>
      <c r="I777" s="5"/>
      <c r="J777" s="5" t="s">
        <v>6983</v>
      </c>
      <c r="K777" s="5" t="s">
        <v>6984</v>
      </c>
      <c r="L777" s="5" t="s">
        <v>6985</v>
      </c>
      <c r="M777" s="5" t="s">
        <v>1690</v>
      </c>
      <c r="N777" s="5" t="s">
        <v>1690</v>
      </c>
      <c r="O777" s="5" t="s">
        <v>6934</v>
      </c>
      <c r="P777" s="5"/>
      <c r="Q777" s="5" t="s">
        <v>6986</v>
      </c>
    </row>
    <row r="778" spans="2:17" x14ac:dyDescent="0.2">
      <c r="B778" s="5" t="s">
        <v>5451</v>
      </c>
      <c r="C778" s="6" t="s">
        <v>13589</v>
      </c>
      <c r="D778" s="4">
        <v>148</v>
      </c>
      <c r="E778" s="5" t="s">
        <v>15</v>
      </c>
      <c r="F778" s="5" t="s">
        <v>5542</v>
      </c>
      <c r="G778" s="6" t="s">
        <v>41</v>
      </c>
      <c r="H778" s="4"/>
      <c r="I778" s="5"/>
      <c r="J778" s="5" t="s">
        <v>5543</v>
      </c>
      <c r="K778" s="5" t="s">
        <v>5000</v>
      </c>
      <c r="L778" s="5"/>
      <c r="M778" s="5" t="s">
        <v>342</v>
      </c>
      <c r="N778" s="5" t="s">
        <v>1821</v>
      </c>
      <c r="O778" s="5" t="s">
        <v>5452</v>
      </c>
      <c r="P778" s="5"/>
      <c r="Q778" s="5" t="s">
        <v>5544</v>
      </c>
    </row>
    <row r="779" spans="2:17" x14ac:dyDescent="0.2">
      <c r="B779" s="5" t="s">
        <v>5451</v>
      </c>
      <c r="C779" s="6" t="s">
        <v>13589</v>
      </c>
      <c r="D779" s="4">
        <v>149</v>
      </c>
      <c r="E779" s="5" t="s">
        <v>15</v>
      </c>
      <c r="F779" s="5" t="s">
        <v>5542</v>
      </c>
      <c r="G779" s="6" t="s">
        <v>41</v>
      </c>
      <c r="H779" s="4"/>
      <c r="I779" s="5"/>
      <c r="J779" s="5" t="s">
        <v>5545</v>
      </c>
      <c r="K779" s="5" t="s">
        <v>5000</v>
      </c>
      <c r="L779" s="5"/>
      <c r="M779" s="5" t="s">
        <v>342</v>
      </c>
      <c r="N779" s="5" t="s">
        <v>1821</v>
      </c>
      <c r="O779" s="5" t="s">
        <v>5452</v>
      </c>
      <c r="P779" s="5"/>
      <c r="Q779" s="5" t="s">
        <v>5546</v>
      </c>
    </row>
    <row r="780" spans="2:17" x14ac:dyDescent="0.2">
      <c r="B780" s="5" t="s">
        <v>8364</v>
      </c>
      <c r="C780" s="6" t="s">
        <v>13589</v>
      </c>
      <c r="D780" s="4">
        <v>337</v>
      </c>
      <c r="E780" s="5" t="s">
        <v>20</v>
      </c>
      <c r="F780" s="5" t="s">
        <v>8554</v>
      </c>
      <c r="G780" s="6" t="s">
        <v>41</v>
      </c>
      <c r="H780" s="4"/>
      <c r="I780" s="5" t="s">
        <v>22</v>
      </c>
      <c r="J780" s="5" t="s">
        <v>8555</v>
      </c>
      <c r="K780" s="5" t="s">
        <v>8556</v>
      </c>
      <c r="L780" s="5"/>
      <c r="M780" s="5" t="s">
        <v>1634</v>
      </c>
      <c r="N780" s="5" t="s">
        <v>1882</v>
      </c>
      <c r="O780" s="5" t="s">
        <v>8381</v>
      </c>
      <c r="P780" s="5"/>
      <c r="Q780" s="5" t="s">
        <v>8557</v>
      </c>
    </row>
    <row r="781" spans="2:17" x14ac:dyDescent="0.2">
      <c r="B781" s="5" t="s">
        <v>8364</v>
      </c>
      <c r="C781" s="6" t="s">
        <v>13589</v>
      </c>
      <c r="D781" s="4">
        <v>359</v>
      </c>
      <c r="E781" s="5" t="s">
        <v>20</v>
      </c>
      <c r="F781" s="5" t="s">
        <v>8486</v>
      </c>
      <c r="G781" s="6" t="s">
        <v>41</v>
      </c>
      <c r="H781" s="4"/>
      <c r="I781" s="5" t="s">
        <v>22</v>
      </c>
      <c r="J781" s="5" t="s">
        <v>8487</v>
      </c>
      <c r="K781" s="5" t="s">
        <v>8488</v>
      </c>
      <c r="L781" s="5"/>
      <c r="M781" s="5" t="s">
        <v>921</v>
      </c>
      <c r="N781" s="5" t="s">
        <v>921</v>
      </c>
      <c r="O781" s="5" t="s">
        <v>8372</v>
      </c>
      <c r="P781" s="5"/>
      <c r="Q781" s="5" t="s">
        <v>8489</v>
      </c>
    </row>
    <row r="782" spans="2:17" x14ac:dyDescent="0.2">
      <c r="B782" s="5" t="s">
        <v>8683</v>
      </c>
      <c r="C782" s="6" t="s">
        <v>13589</v>
      </c>
      <c r="D782" s="4">
        <v>448</v>
      </c>
      <c r="E782" s="5" t="s">
        <v>13</v>
      </c>
      <c r="F782" s="5" t="s">
        <v>8903</v>
      </c>
      <c r="G782" s="6" t="s">
        <v>41</v>
      </c>
      <c r="H782" s="4"/>
      <c r="I782" s="5"/>
      <c r="J782" s="5" t="s">
        <v>8904</v>
      </c>
      <c r="K782" s="5" t="s">
        <v>8687</v>
      </c>
      <c r="L782" s="5"/>
      <c r="M782" s="5" t="s">
        <v>163</v>
      </c>
      <c r="N782" s="5" t="s">
        <v>163</v>
      </c>
      <c r="O782" s="5" t="s">
        <v>5683</v>
      </c>
      <c r="P782" s="5"/>
      <c r="Q782" s="5" t="s">
        <v>8905</v>
      </c>
    </row>
    <row r="783" spans="2:17" x14ac:dyDescent="0.2">
      <c r="B783" s="5" t="s">
        <v>8683</v>
      </c>
      <c r="C783" s="6" t="s">
        <v>13589</v>
      </c>
      <c r="D783" s="4">
        <v>477</v>
      </c>
      <c r="E783" s="5" t="s">
        <v>20</v>
      </c>
      <c r="F783" s="5" t="s">
        <v>8817</v>
      </c>
      <c r="G783" s="6" t="s">
        <v>41</v>
      </c>
      <c r="H783" s="4"/>
      <c r="I783" s="5" t="s">
        <v>38</v>
      </c>
      <c r="J783" s="5" t="s">
        <v>8818</v>
      </c>
      <c r="K783" s="5" t="s">
        <v>8819</v>
      </c>
      <c r="L783" s="5" t="s">
        <v>8820</v>
      </c>
      <c r="M783" s="5" t="s">
        <v>411</v>
      </c>
      <c r="N783" s="5" t="s">
        <v>1530</v>
      </c>
      <c r="O783" s="5" t="s">
        <v>5684</v>
      </c>
      <c r="P783" s="5"/>
      <c r="Q783" s="5" t="s">
        <v>8821</v>
      </c>
    </row>
    <row r="784" spans="2:17" x14ac:dyDescent="0.2">
      <c r="B784" s="5" t="s">
        <v>8683</v>
      </c>
      <c r="C784" s="6" t="s">
        <v>13589</v>
      </c>
      <c r="D784" s="4">
        <v>478</v>
      </c>
      <c r="E784" s="5" t="s">
        <v>20</v>
      </c>
      <c r="F784" s="5" t="s">
        <v>8822</v>
      </c>
      <c r="G784" s="6" t="s">
        <v>41</v>
      </c>
      <c r="H784" s="4"/>
      <c r="I784" s="5" t="s">
        <v>22</v>
      </c>
      <c r="J784" s="5" t="s">
        <v>8823</v>
      </c>
      <c r="K784" s="5" t="s">
        <v>8793</v>
      </c>
      <c r="L784" s="5" t="s">
        <v>8824</v>
      </c>
      <c r="M784" s="5" t="s">
        <v>411</v>
      </c>
      <c r="N784" s="5" t="s">
        <v>1530</v>
      </c>
      <c r="O784" s="5" t="s">
        <v>5684</v>
      </c>
      <c r="P784" s="5"/>
      <c r="Q784" s="5" t="s">
        <v>8825</v>
      </c>
    </row>
    <row r="785" spans="2:17" x14ac:dyDescent="0.2">
      <c r="B785" s="5" t="s">
        <v>8683</v>
      </c>
      <c r="C785" s="6" t="s">
        <v>13589</v>
      </c>
      <c r="D785" s="4">
        <v>479</v>
      </c>
      <c r="E785" s="5" t="s">
        <v>20</v>
      </c>
      <c r="F785" s="5" t="s">
        <v>8822</v>
      </c>
      <c r="G785" s="6" t="s">
        <v>41</v>
      </c>
      <c r="H785" s="4"/>
      <c r="I785" s="5" t="s">
        <v>22</v>
      </c>
      <c r="J785" s="5" t="s">
        <v>8826</v>
      </c>
      <c r="K785" s="5" t="s">
        <v>8793</v>
      </c>
      <c r="L785" s="5"/>
      <c r="M785" s="5" t="s">
        <v>411</v>
      </c>
      <c r="N785" s="5" t="s">
        <v>1530</v>
      </c>
      <c r="O785" s="5" t="s">
        <v>5684</v>
      </c>
      <c r="P785" s="5"/>
      <c r="Q785" s="5" t="s">
        <v>8827</v>
      </c>
    </row>
    <row r="786" spans="2:17" x14ac:dyDescent="0.2">
      <c r="B786" s="5" t="s">
        <v>8683</v>
      </c>
      <c r="C786" s="6" t="s">
        <v>13589</v>
      </c>
      <c r="D786" s="4">
        <v>480</v>
      </c>
      <c r="E786" s="5" t="s">
        <v>20</v>
      </c>
      <c r="F786" s="5" t="s">
        <v>8822</v>
      </c>
      <c r="G786" s="6" t="s">
        <v>41</v>
      </c>
      <c r="H786" s="4"/>
      <c r="I786" s="5" t="s">
        <v>22</v>
      </c>
      <c r="J786" s="5" t="s">
        <v>8828</v>
      </c>
      <c r="K786" s="5" t="s">
        <v>8793</v>
      </c>
      <c r="L786" s="5"/>
      <c r="M786" s="5" t="s">
        <v>411</v>
      </c>
      <c r="N786" s="5" t="s">
        <v>1530</v>
      </c>
      <c r="O786" s="5" t="s">
        <v>5684</v>
      </c>
      <c r="P786" s="5"/>
      <c r="Q786" s="5" t="s">
        <v>8829</v>
      </c>
    </row>
    <row r="787" spans="2:17" x14ac:dyDescent="0.2">
      <c r="B787" s="5" t="s">
        <v>8683</v>
      </c>
      <c r="C787" s="6" t="s">
        <v>13589</v>
      </c>
      <c r="D787" s="4">
        <v>481</v>
      </c>
      <c r="E787" s="5" t="s">
        <v>20</v>
      </c>
      <c r="F787" s="5" t="s">
        <v>8822</v>
      </c>
      <c r="G787" s="6" t="s">
        <v>41</v>
      </c>
      <c r="H787" s="4"/>
      <c r="I787" s="5" t="s">
        <v>22</v>
      </c>
      <c r="J787" s="5" t="s">
        <v>8830</v>
      </c>
      <c r="K787" s="5" t="s">
        <v>8793</v>
      </c>
      <c r="L787" s="5"/>
      <c r="M787" s="5" t="s">
        <v>411</v>
      </c>
      <c r="N787" s="5" t="s">
        <v>1530</v>
      </c>
      <c r="O787" s="5" t="s">
        <v>5684</v>
      </c>
      <c r="P787" s="5"/>
      <c r="Q787" s="5" t="s">
        <v>8831</v>
      </c>
    </row>
    <row r="788" spans="2:17" x14ac:dyDescent="0.2">
      <c r="B788" s="5" t="s">
        <v>8683</v>
      </c>
      <c r="C788" s="6" t="s">
        <v>13589</v>
      </c>
      <c r="D788" s="4">
        <v>482</v>
      </c>
      <c r="E788" s="5" t="s">
        <v>20</v>
      </c>
      <c r="F788" s="5" t="s">
        <v>8822</v>
      </c>
      <c r="G788" s="6" t="s">
        <v>41</v>
      </c>
      <c r="H788" s="4"/>
      <c r="I788" s="5" t="s">
        <v>38</v>
      </c>
      <c r="J788" s="5" t="s">
        <v>8832</v>
      </c>
      <c r="K788" s="5" t="s">
        <v>8793</v>
      </c>
      <c r="L788" s="5"/>
      <c r="M788" s="5" t="s">
        <v>411</v>
      </c>
      <c r="N788" s="5" t="s">
        <v>1530</v>
      </c>
      <c r="O788" s="5" t="s">
        <v>5684</v>
      </c>
      <c r="P788" s="5"/>
      <c r="Q788" s="5" t="s">
        <v>8833</v>
      </c>
    </row>
    <row r="789" spans="2:17" x14ac:dyDescent="0.2">
      <c r="B789" s="5" t="s">
        <v>8683</v>
      </c>
      <c r="C789" s="6" t="s">
        <v>13589</v>
      </c>
      <c r="D789" s="4">
        <v>483</v>
      </c>
      <c r="E789" s="5" t="s">
        <v>20</v>
      </c>
      <c r="F789" s="5" t="s">
        <v>8822</v>
      </c>
      <c r="G789" s="6" t="s">
        <v>41</v>
      </c>
      <c r="H789" s="4"/>
      <c r="I789" s="5" t="s">
        <v>22</v>
      </c>
      <c r="J789" s="5" t="s">
        <v>8834</v>
      </c>
      <c r="K789" s="5" t="s">
        <v>8793</v>
      </c>
      <c r="L789" s="5"/>
      <c r="M789" s="5" t="s">
        <v>411</v>
      </c>
      <c r="N789" s="5" t="s">
        <v>1530</v>
      </c>
      <c r="O789" s="5" t="s">
        <v>5684</v>
      </c>
      <c r="P789" s="5"/>
      <c r="Q789" s="5" t="s">
        <v>8835</v>
      </c>
    </row>
    <row r="790" spans="2:17" x14ac:dyDescent="0.2">
      <c r="B790" s="5" t="s">
        <v>8683</v>
      </c>
      <c r="C790" s="6" t="s">
        <v>13589</v>
      </c>
      <c r="D790" s="4">
        <v>484</v>
      </c>
      <c r="E790" s="5" t="s">
        <v>20</v>
      </c>
      <c r="F790" s="5" t="s">
        <v>8822</v>
      </c>
      <c r="G790" s="6" t="s">
        <v>41</v>
      </c>
      <c r="H790" s="4"/>
      <c r="I790" s="5" t="s">
        <v>22</v>
      </c>
      <c r="J790" s="5" t="s">
        <v>8836</v>
      </c>
      <c r="K790" s="5" t="s">
        <v>8793</v>
      </c>
      <c r="L790" s="5" t="s">
        <v>8837</v>
      </c>
      <c r="M790" s="5" t="s">
        <v>411</v>
      </c>
      <c r="N790" s="5" t="s">
        <v>1530</v>
      </c>
      <c r="O790" s="5" t="s">
        <v>5684</v>
      </c>
      <c r="P790" s="5"/>
      <c r="Q790" s="5" t="s">
        <v>8838</v>
      </c>
    </row>
    <row r="791" spans="2:17" x14ac:dyDescent="0.2">
      <c r="B791" s="5" t="s">
        <v>8683</v>
      </c>
      <c r="C791" s="6" t="s">
        <v>13589</v>
      </c>
      <c r="D791" s="4">
        <v>485</v>
      </c>
      <c r="E791" s="5" t="s">
        <v>20</v>
      </c>
      <c r="F791" s="5" t="s">
        <v>8822</v>
      </c>
      <c r="G791" s="6" t="s">
        <v>41</v>
      </c>
      <c r="H791" s="4"/>
      <c r="I791" s="5" t="s">
        <v>38</v>
      </c>
      <c r="J791" s="5" t="s">
        <v>8839</v>
      </c>
      <c r="K791" s="5" t="s">
        <v>8793</v>
      </c>
      <c r="L791" s="5"/>
      <c r="M791" s="5" t="s">
        <v>411</v>
      </c>
      <c r="N791" s="5" t="s">
        <v>1530</v>
      </c>
      <c r="O791" s="5" t="s">
        <v>5684</v>
      </c>
      <c r="P791" s="5"/>
      <c r="Q791" s="5" t="s">
        <v>8840</v>
      </c>
    </row>
    <row r="792" spans="2:17" x14ac:dyDescent="0.2">
      <c r="B792" s="5" t="s">
        <v>8683</v>
      </c>
      <c r="C792" s="6" t="s">
        <v>13589</v>
      </c>
      <c r="D792" s="4">
        <v>486</v>
      </c>
      <c r="E792" s="5" t="s">
        <v>20</v>
      </c>
      <c r="F792" s="5" t="s">
        <v>8822</v>
      </c>
      <c r="G792" s="6" t="s">
        <v>41</v>
      </c>
      <c r="H792" s="4"/>
      <c r="I792" s="5" t="s">
        <v>38</v>
      </c>
      <c r="J792" s="5" t="s">
        <v>8841</v>
      </c>
      <c r="K792" s="5" t="s">
        <v>8793</v>
      </c>
      <c r="L792" s="5"/>
      <c r="M792" s="5" t="s">
        <v>411</v>
      </c>
      <c r="N792" s="5" t="s">
        <v>1530</v>
      </c>
      <c r="O792" s="5" t="s">
        <v>5684</v>
      </c>
      <c r="P792" s="5"/>
      <c r="Q792" s="5" t="s">
        <v>8842</v>
      </c>
    </row>
    <row r="793" spans="2:17" x14ac:dyDescent="0.2">
      <c r="B793" s="5" t="s">
        <v>9008</v>
      </c>
      <c r="C793" s="6" t="s">
        <v>13589</v>
      </c>
      <c r="D793" s="4">
        <v>570</v>
      </c>
      <c r="E793" s="5" t="s">
        <v>20</v>
      </c>
      <c r="F793" s="5" t="s">
        <v>9524</v>
      </c>
      <c r="G793" s="6" t="s">
        <v>41</v>
      </c>
      <c r="H793" s="4"/>
      <c r="I793" s="5" t="s">
        <v>22</v>
      </c>
      <c r="J793" s="5" t="s">
        <v>9525</v>
      </c>
      <c r="K793" s="5" t="s">
        <v>9178</v>
      </c>
      <c r="L793" s="5"/>
      <c r="M793" s="5" t="s">
        <v>1699</v>
      </c>
      <c r="N793" s="5" t="s">
        <v>9526</v>
      </c>
      <c r="O793" s="5" t="s">
        <v>9012</v>
      </c>
      <c r="P793" s="5"/>
      <c r="Q793" s="5" t="s">
        <v>9527</v>
      </c>
    </row>
    <row r="794" spans="2:17" x14ac:dyDescent="0.2">
      <c r="B794" s="5" t="s">
        <v>9008</v>
      </c>
      <c r="C794" s="6" t="s">
        <v>13589</v>
      </c>
      <c r="D794" s="4">
        <v>606</v>
      </c>
      <c r="E794" s="5" t="s">
        <v>13</v>
      </c>
      <c r="F794" s="5" t="s">
        <v>9357</v>
      </c>
      <c r="G794" s="6" t="s">
        <v>41</v>
      </c>
      <c r="H794" s="4"/>
      <c r="I794" s="5"/>
      <c r="J794" s="5" t="s">
        <v>9358</v>
      </c>
      <c r="K794" s="5" t="s">
        <v>9018</v>
      </c>
      <c r="L794" s="5"/>
      <c r="M794" s="5" t="s">
        <v>422</v>
      </c>
      <c r="N794" s="5" t="s">
        <v>422</v>
      </c>
      <c r="O794" s="5" t="s">
        <v>9019</v>
      </c>
      <c r="P794" s="5"/>
      <c r="Q794" s="5" t="s">
        <v>9359</v>
      </c>
    </row>
    <row r="795" spans="2:17" x14ac:dyDescent="0.2">
      <c r="B795" s="5" t="s">
        <v>9008</v>
      </c>
      <c r="C795" s="6" t="s">
        <v>13589</v>
      </c>
      <c r="D795" s="4">
        <v>608</v>
      </c>
      <c r="E795" s="5" t="s">
        <v>20</v>
      </c>
      <c r="F795" s="5" t="s">
        <v>9342</v>
      </c>
      <c r="G795" s="6" t="s">
        <v>41</v>
      </c>
      <c r="H795" s="4"/>
      <c r="I795" s="5" t="s">
        <v>22</v>
      </c>
      <c r="J795" s="5" t="s">
        <v>9351</v>
      </c>
      <c r="K795" s="5" t="s">
        <v>9321</v>
      </c>
      <c r="L795" s="5"/>
      <c r="M795" s="5" t="s">
        <v>920</v>
      </c>
      <c r="N795" s="5" t="s">
        <v>3162</v>
      </c>
      <c r="O795" s="5" t="s">
        <v>9012</v>
      </c>
      <c r="P795" s="5"/>
      <c r="Q795" s="5" t="s">
        <v>9352</v>
      </c>
    </row>
    <row r="796" spans="2:17" x14ac:dyDescent="0.2">
      <c r="B796" s="5" t="s">
        <v>9008</v>
      </c>
      <c r="C796" s="6" t="s">
        <v>13589</v>
      </c>
      <c r="D796" s="4">
        <v>609</v>
      </c>
      <c r="E796" s="5" t="s">
        <v>20</v>
      </c>
      <c r="F796" s="5" t="s">
        <v>9342</v>
      </c>
      <c r="G796" s="6" t="s">
        <v>41</v>
      </c>
      <c r="H796" s="4"/>
      <c r="I796" s="5" t="s">
        <v>22</v>
      </c>
      <c r="J796" s="5" t="s">
        <v>9343</v>
      </c>
      <c r="K796" s="5" t="s">
        <v>9163</v>
      </c>
      <c r="L796" s="5"/>
      <c r="M796" s="5" t="s">
        <v>920</v>
      </c>
      <c r="N796" s="5" t="s">
        <v>417</v>
      </c>
      <c r="O796" s="5" t="s">
        <v>9012</v>
      </c>
      <c r="P796" s="5"/>
      <c r="Q796" s="5" t="s">
        <v>9344</v>
      </c>
    </row>
    <row r="797" spans="2:17" x14ac:dyDescent="0.2">
      <c r="B797" s="5" t="s">
        <v>9008</v>
      </c>
      <c r="C797" s="6" t="s">
        <v>13589</v>
      </c>
      <c r="D797" s="4">
        <v>610</v>
      </c>
      <c r="E797" s="5" t="s">
        <v>20</v>
      </c>
      <c r="F797" s="5" t="s">
        <v>9342</v>
      </c>
      <c r="G797" s="6" t="s">
        <v>41</v>
      </c>
      <c r="H797" s="4"/>
      <c r="I797" s="5" t="s">
        <v>22</v>
      </c>
      <c r="J797" s="5" t="s">
        <v>9345</v>
      </c>
      <c r="K797" s="5" t="s">
        <v>9346</v>
      </c>
      <c r="L797" s="5"/>
      <c r="M797" s="5" t="s">
        <v>920</v>
      </c>
      <c r="N797" s="5" t="s">
        <v>417</v>
      </c>
      <c r="O797" s="5" t="s">
        <v>9012</v>
      </c>
      <c r="P797" s="5"/>
      <c r="Q797" s="5" t="s">
        <v>9347</v>
      </c>
    </row>
    <row r="798" spans="2:17" x14ac:dyDescent="0.2">
      <c r="B798" s="5" t="s">
        <v>9008</v>
      </c>
      <c r="C798" s="6" t="s">
        <v>13589</v>
      </c>
      <c r="D798" s="4">
        <v>611</v>
      </c>
      <c r="E798" s="5" t="s">
        <v>20</v>
      </c>
      <c r="F798" s="5" t="s">
        <v>9342</v>
      </c>
      <c r="G798" s="6" t="s">
        <v>41</v>
      </c>
      <c r="H798" s="4"/>
      <c r="I798" s="5" t="s">
        <v>22</v>
      </c>
      <c r="J798" s="5" t="s">
        <v>9348</v>
      </c>
      <c r="K798" s="5" t="s">
        <v>9011</v>
      </c>
      <c r="L798" s="5"/>
      <c r="M798" s="5" t="s">
        <v>920</v>
      </c>
      <c r="N798" s="5" t="s">
        <v>417</v>
      </c>
      <c r="O798" s="5" t="s">
        <v>9012</v>
      </c>
      <c r="P798" s="5"/>
      <c r="Q798" s="5" t="s">
        <v>9349</v>
      </c>
    </row>
    <row r="799" spans="2:17" x14ac:dyDescent="0.2">
      <c r="B799" s="5" t="s">
        <v>9008</v>
      </c>
      <c r="C799" s="6" t="s">
        <v>13589</v>
      </c>
      <c r="D799" s="4">
        <v>612</v>
      </c>
      <c r="E799" s="5" t="s">
        <v>20</v>
      </c>
      <c r="F799" s="5" t="s">
        <v>9342</v>
      </c>
      <c r="G799" s="6" t="s">
        <v>41</v>
      </c>
      <c r="H799" s="4"/>
      <c r="I799" s="5" t="s">
        <v>22</v>
      </c>
      <c r="J799" s="5" t="s">
        <v>9350</v>
      </c>
      <c r="K799" s="5" t="s">
        <v>9202</v>
      </c>
      <c r="L799" s="5"/>
      <c r="M799" s="5" t="s">
        <v>920</v>
      </c>
      <c r="N799" s="5" t="s">
        <v>417</v>
      </c>
      <c r="O799" s="5" t="s">
        <v>9012</v>
      </c>
      <c r="P799" s="5"/>
      <c r="Q799" s="5" t="s">
        <v>9349</v>
      </c>
    </row>
    <row r="800" spans="2:17" x14ac:dyDescent="0.2">
      <c r="B800" s="5" t="s">
        <v>9008</v>
      </c>
      <c r="C800" s="6" t="s">
        <v>13589</v>
      </c>
      <c r="D800" s="4">
        <v>624</v>
      </c>
      <c r="E800" s="5" t="s">
        <v>20</v>
      </c>
      <c r="F800" s="5" t="s">
        <v>9260</v>
      </c>
      <c r="G800" s="6" t="s">
        <v>41</v>
      </c>
      <c r="H800" s="4"/>
      <c r="I800" s="5" t="s">
        <v>22</v>
      </c>
      <c r="J800" s="5" t="s">
        <v>9261</v>
      </c>
      <c r="K800" s="5" t="s">
        <v>4977</v>
      </c>
      <c r="L800" s="5"/>
      <c r="M800" s="5" t="s">
        <v>1447</v>
      </c>
      <c r="N800" s="5" t="s">
        <v>1448</v>
      </c>
      <c r="O800" s="5" t="s">
        <v>9030</v>
      </c>
      <c r="P800" s="5"/>
      <c r="Q800" s="5" t="s">
        <v>9262</v>
      </c>
    </row>
    <row r="801" spans="2:17" x14ac:dyDescent="0.2">
      <c r="B801" s="5" t="s">
        <v>9008</v>
      </c>
      <c r="C801" s="6" t="s">
        <v>13589</v>
      </c>
      <c r="D801" s="4">
        <v>625</v>
      </c>
      <c r="E801" s="5" t="s">
        <v>15</v>
      </c>
      <c r="F801" s="5" t="s">
        <v>9271</v>
      </c>
      <c r="G801" s="6" t="s">
        <v>41</v>
      </c>
      <c r="H801" s="4"/>
      <c r="I801" s="5"/>
      <c r="J801" s="5" t="s">
        <v>9272</v>
      </c>
      <c r="K801" s="5" t="s">
        <v>9273</v>
      </c>
      <c r="L801" s="5"/>
      <c r="M801" s="5" t="s">
        <v>341</v>
      </c>
      <c r="N801" s="5" t="s">
        <v>1448</v>
      </c>
      <c r="O801" s="5" t="s">
        <v>9030</v>
      </c>
      <c r="P801" s="5"/>
      <c r="Q801" s="5" t="s">
        <v>9274</v>
      </c>
    </row>
    <row r="802" spans="2:17" x14ac:dyDescent="0.2">
      <c r="B802" s="5" t="s">
        <v>9008</v>
      </c>
      <c r="C802" s="6" t="s">
        <v>13589</v>
      </c>
      <c r="D802" s="4">
        <v>626</v>
      </c>
      <c r="E802" s="5" t="s">
        <v>15</v>
      </c>
      <c r="F802" s="5" t="s">
        <v>9271</v>
      </c>
      <c r="G802" s="6" t="s">
        <v>41</v>
      </c>
      <c r="H802" s="4"/>
      <c r="I802" s="5"/>
      <c r="J802" s="5" t="s">
        <v>9275</v>
      </c>
      <c r="K802" s="5" t="s">
        <v>9049</v>
      </c>
      <c r="L802" s="5"/>
      <c r="M802" s="5" t="s">
        <v>341</v>
      </c>
      <c r="N802" s="5" t="s">
        <v>1448</v>
      </c>
      <c r="O802" s="5" t="s">
        <v>9045</v>
      </c>
      <c r="P802" s="5"/>
      <c r="Q802" s="5" t="s">
        <v>9276</v>
      </c>
    </row>
    <row r="803" spans="2:17" x14ac:dyDescent="0.2">
      <c r="B803" s="5" t="s">
        <v>9008</v>
      </c>
      <c r="C803" s="6" t="s">
        <v>13589</v>
      </c>
      <c r="D803" s="4">
        <v>633</v>
      </c>
      <c r="E803" s="5" t="s">
        <v>13</v>
      </c>
      <c r="F803" s="5" t="s">
        <v>9243</v>
      </c>
      <c r="G803" s="6" t="s">
        <v>41</v>
      </c>
      <c r="H803" s="4"/>
      <c r="I803" s="5"/>
      <c r="J803" s="5" t="s">
        <v>9244</v>
      </c>
      <c r="K803" s="5" t="s">
        <v>9215</v>
      </c>
      <c r="L803" s="5"/>
      <c r="M803" s="5" t="s">
        <v>1802</v>
      </c>
      <c r="N803" s="5" t="s">
        <v>1957</v>
      </c>
      <c r="O803" s="5" t="s">
        <v>9010</v>
      </c>
      <c r="P803" s="5"/>
      <c r="Q803" s="5" t="s">
        <v>9245</v>
      </c>
    </row>
    <row r="804" spans="2:17" x14ac:dyDescent="0.2">
      <c r="B804" s="5" t="s">
        <v>9008</v>
      </c>
      <c r="C804" s="6" t="s">
        <v>13589</v>
      </c>
      <c r="D804" s="4">
        <v>696</v>
      </c>
      <c r="E804" s="5" t="s">
        <v>15</v>
      </c>
      <c r="F804" s="5" t="s">
        <v>9486</v>
      </c>
      <c r="G804" s="6" t="s">
        <v>41</v>
      </c>
      <c r="H804" s="4"/>
      <c r="I804" s="5"/>
      <c r="J804" s="5" t="s">
        <v>9487</v>
      </c>
      <c r="K804" s="5" t="s">
        <v>9488</v>
      </c>
      <c r="L804" s="5"/>
      <c r="M804" s="5" t="s">
        <v>1082</v>
      </c>
      <c r="N804" s="5" t="s">
        <v>224</v>
      </c>
      <c r="O804" s="5" t="s">
        <v>9019</v>
      </c>
      <c r="P804" s="5"/>
      <c r="Q804" s="5" t="s">
        <v>9489</v>
      </c>
    </row>
    <row r="805" spans="2:17" x14ac:dyDescent="0.2">
      <c r="B805" s="5" t="s">
        <v>9008</v>
      </c>
      <c r="C805" s="6" t="s">
        <v>13589</v>
      </c>
      <c r="D805" s="4">
        <v>697</v>
      </c>
      <c r="E805" s="5" t="s">
        <v>15</v>
      </c>
      <c r="F805" s="5" t="s">
        <v>9490</v>
      </c>
      <c r="G805" s="6" t="s">
        <v>41</v>
      </c>
      <c r="H805" s="4"/>
      <c r="I805" s="5"/>
      <c r="J805" s="5" t="s">
        <v>9491</v>
      </c>
      <c r="K805" s="5" t="s">
        <v>9018</v>
      </c>
      <c r="L805" s="5"/>
      <c r="M805" s="5" t="s">
        <v>1086</v>
      </c>
      <c r="N805" s="5" t="s">
        <v>224</v>
      </c>
      <c r="O805" s="5" t="s">
        <v>9019</v>
      </c>
      <c r="P805" s="5"/>
      <c r="Q805" s="5" t="s">
        <v>9492</v>
      </c>
    </row>
    <row r="806" spans="2:17" x14ac:dyDescent="0.2">
      <c r="B806" s="5" t="s">
        <v>9008</v>
      </c>
      <c r="C806" s="6" t="s">
        <v>13589</v>
      </c>
      <c r="D806" s="4">
        <v>719</v>
      </c>
      <c r="E806" s="5" t="s">
        <v>15</v>
      </c>
      <c r="F806" s="5" t="s">
        <v>9490</v>
      </c>
      <c r="G806" s="6" t="s">
        <v>41</v>
      </c>
      <c r="H806" s="4"/>
      <c r="I806" s="5"/>
      <c r="J806" s="5" t="s">
        <v>9498</v>
      </c>
      <c r="K806" s="5" t="s">
        <v>9499</v>
      </c>
      <c r="L806" s="5"/>
      <c r="M806" s="5" t="s">
        <v>3455</v>
      </c>
      <c r="N806" s="5" t="s">
        <v>496</v>
      </c>
      <c r="O806" s="5" t="s">
        <v>9019</v>
      </c>
      <c r="P806" s="5"/>
      <c r="Q806" s="5" t="s">
        <v>9500</v>
      </c>
    </row>
    <row r="807" spans="2:17" x14ac:dyDescent="0.2">
      <c r="B807" s="5" t="s">
        <v>9008</v>
      </c>
      <c r="C807" s="6" t="s">
        <v>13589</v>
      </c>
      <c r="D807" s="4">
        <v>734</v>
      </c>
      <c r="E807" s="5" t="s">
        <v>15</v>
      </c>
      <c r="F807" s="5" t="s">
        <v>9530</v>
      </c>
      <c r="G807" s="6" t="s">
        <v>41</v>
      </c>
      <c r="H807" s="4"/>
      <c r="I807" s="5"/>
      <c r="J807" s="5" t="s">
        <v>9361</v>
      </c>
      <c r="K807" s="5" t="s">
        <v>3793</v>
      </c>
      <c r="L807" s="5"/>
      <c r="M807" s="5" t="s">
        <v>2262</v>
      </c>
      <c r="N807" s="5" t="s">
        <v>251</v>
      </c>
      <c r="O807" s="5" t="s">
        <v>9045</v>
      </c>
      <c r="P807" s="5"/>
      <c r="Q807" s="5" t="s">
        <v>9531</v>
      </c>
    </row>
    <row r="808" spans="2:17" x14ac:dyDescent="0.2">
      <c r="B808" s="5" t="s">
        <v>9550</v>
      </c>
      <c r="C808" s="6" t="s">
        <v>13589</v>
      </c>
      <c r="D808" s="4">
        <v>752</v>
      </c>
      <c r="E808" s="5" t="s">
        <v>20</v>
      </c>
      <c r="F808" s="5" t="s">
        <v>10078</v>
      </c>
      <c r="G808" s="6" t="s">
        <v>41</v>
      </c>
      <c r="H808" s="4"/>
      <c r="I808" s="5" t="s">
        <v>22</v>
      </c>
      <c r="J808" s="5" t="s">
        <v>10079</v>
      </c>
      <c r="K808" s="5" t="s">
        <v>3794</v>
      </c>
      <c r="L808" s="5"/>
      <c r="M808" s="5" t="s">
        <v>1668</v>
      </c>
      <c r="N808" s="5" t="s">
        <v>2421</v>
      </c>
      <c r="O808" s="5" t="s">
        <v>3795</v>
      </c>
      <c r="P808" s="5"/>
      <c r="Q808" s="5" t="s">
        <v>10080</v>
      </c>
    </row>
    <row r="809" spans="2:17" x14ac:dyDescent="0.2">
      <c r="B809" s="5" t="s">
        <v>9550</v>
      </c>
      <c r="C809" s="6" t="s">
        <v>13589</v>
      </c>
      <c r="D809" s="4">
        <v>766</v>
      </c>
      <c r="E809" s="5" t="s">
        <v>24</v>
      </c>
      <c r="F809" s="5" t="s">
        <v>10004</v>
      </c>
      <c r="G809" s="6" t="s">
        <v>41</v>
      </c>
      <c r="H809" s="4"/>
      <c r="I809" s="5"/>
      <c r="J809" s="5" t="s">
        <v>9886</v>
      </c>
      <c r="K809" s="5" t="s">
        <v>23</v>
      </c>
      <c r="L809" s="5"/>
      <c r="M809" s="5" t="s">
        <v>2415</v>
      </c>
      <c r="N809" s="5" t="s">
        <v>1642</v>
      </c>
      <c r="O809" s="5" t="s">
        <v>9553</v>
      </c>
      <c r="P809" s="5"/>
      <c r="Q809" s="5" t="s">
        <v>10005</v>
      </c>
    </row>
    <row r="810" spans="2:17" x14ac:dyDescent="0.2">
      <c r="B810" s="5" t="s">
        <v>9550</v>
      </c>
      <c r="C810" s="6" t="s">
        <v>13589</v>
      </c>
      <c r="D810" s="4">
        <v>781</v>
      </c>
      <c r="E810" s="5" t="s">
        <v>24</v>
      </c>
      <c r="F810" s="5" t="s">
        <v>9949</v>
      </c>
      <c r="G810" s="6" t="s">
        <v>41</v>
      </c>
      <c r="H810" s="4"/>
      <c r="I810" s="5"/>
      <c r="J810" s="5" t="s">
        <v>9950</v>
      </c>
      <c r="K810" s="5" t="s">
        <v>8189</v>
      </c>
      <c r="L810" s="5"/>
      <c r="M810" s="5" t="s">
        <v>468</v>
      </c>
      <c r="N810" s="5" t="s">
        <v>465</v>
      </c>
      <c r="O810" s="5" t="s">
        <v>9585</v>
      </c>
      <c r="P810" s="5"/>
      <c r="Q810" s="5" t="s">
        <v>9951</v>
      </c>
    </row>
    <row r="811" spans="2:17" x14ac:dyDescent="0.2">
      <c r="B811" s="5" t="s">
        <v>9550</v>
      </c>
      <c r="C811" s="6" t="s">
        <v>13589</v>
      </c>
      <c r="D811" s="4">
        <v>783</v>
      </c>
      <c r="E811" s="5" t="s">
        <v>24</v>
      </c>
      <c r="F811" s="5" t="s">
        <v>9952</v>
      </c>
      <c r="G811" s="6" t="s">
        <v>41</v>
      </c>
      <c r="H811" s="4"/>
      <c r="I811" s="5"/>
      <c r="J811" s="5" t="s">
        <v>9953</v>
      </c>
      <c r="K811" s="5" t="s">
        <v>8189</v>
      </c>
      <c r="L811" s="5"/>
      <c r="M811" s="5" t="s">
        <v>468</v>
      </c>
      <c r="N811" s="5" t="s">
        <v>465</v>
      </c>
      <c r="O811" s="5" t="s">
        <v>9585</v>
      </c>
      <c r="P811" s="5"/>
      <c r="Q811" s="5" t="s">
        <v>9954</v>
      </c>
    </row>
    <row r="812" spans="2:17" x14ac:dyDescent="0.2">
      <c r="B812" s="5" t="s">
        <v>9550</v>
      </c>
      <c r="C812" s="6" t="s">
        <v>13589</v>
      </c>
      <c r="D812" s="4">
        <v>918</v>
      </c>
      <c r="E812" s="5" t="s">
        <v>24</v>
      </c>
      <c r="F812" s="5" t="s">
        <v>9831</v>
      </c>
      <c r="G812" s="6" t="s">
        <v>41</v>
      </c>
      <c r="H812" s="4"/>
      <c r="I812" s="5"/>
      <c r="J812" s="5" t="s">
        <v>9832</v>
      </c>
      <c r="K812" s="5" t="s">
        <v>9608</v>
      </c>
      <c r="L812" s="5"/>
      <c r="M812" s="5" t="s">
        <v>843</v>
      </c>
      <c r="N812" s="5" t="s">
        <v>1835</v>
      </c>
      <c r="O812" s="5" t="s">
        <v>3795</v>
      </c>
      <c r="P812" s="5"/>
      <c r="Q812" s="5" t="s">
        <v>9833</v>
      </c>
    </row>
    <row r="813" spans="2:17" x14ac:dyDescent="0.2">
      <c r="B813" s="5" t="s">
        <v>10685</v>
      </c>
      <c r="C813" s="6" t="s">
        <v>13589</v>
      </c>
      <c r="D813" s="4">
        <v>1143</v>
      </c>
      <c r="E813" s="5" t="s">
        <v>20</v>
      </c>
      <c r="F813" s="5" t="s">
        <v>10956</v>
      </c>
      <c r="G813" s="6" t="s">
        <v>41</v>
      </c>
      <c r="H813" s="4"/>
      <c r="I813" s="5" t="s">
        <v>22</v>
      </c>
      <c r="J813" s="5" t="s">
        <v>10957</v>
      </c>
      <c r="K813" s="5" t="s">
        <v>10694</v>
      </c>
      <c r="L813" s="5"/>
      <c r="M813" s="5" t="s">
        <v>10958</v>
      </c>
      <c r="N813" s="5" t="s">
        <v>4970</v>
      </c>
      <c r="O813" s="5" t="s">
        <v>10695</v>
      </c>
      <c r="P813" s="5"/>
      <c r="Q813" s="5" t="s">
        <v>10959</v>
      </c>
    </row>
    <row r="814" spans="2:17" x14ac:dyDescent="0.2">
      <c r="B814" s="5" t="s">
        <v>10685</v>
      </c>
      <c r="C814" s="6" t="s">
        <v>13589</v>
      </c>
      <c r="D814" s="4">
        <v>1145</v>
      </c>
      <c r="E814" s="5" t="s">
        <v>20</v>
      </c>
      <c r="F814" s="5" t="s">
        <v>10952</v>
      </c>
      <c r="G814" s="6" t="s">
        <v>41</v>
      </c>
      <c r="H814" s="4"/>
      <c r="I814" s="5" t="s">
        <v>22</v>
      </c>
      <c r="J814" s="5" t="s">
        <v>10953</v>
      </c>
      <c r="K814" s="5" t="s">
        <v>10954</v>
      </c>
      <c r="L814" s="5"/>
      <c r="M814" s="5" t="s">
        <v>118</v>
      </c>
      <c r="N814" s="5" t="s">
        <v>4971</v>
      </c>
      <c r="O814" s="5" t="s">
        <v>10692</v>
      </c>
      <c r="P814" s="5"/>
      <c r="Q814" s="5" t="s">
        <v>10955</v>
      </c>
    </row>
    <row r="815" spans="2:17" x14ac:dyDescent="0.2">
      <c r="B815" s="5" t="s">
        <v>13091</v>
      </c>
      <c r="C815" s="6" t="s">
        <v>13589</v>
      </c>
      <c r="D815" s="4">
        <v>1838</v>
      </c>
      <c r="E815" s="5" t="s">
        <v>20</v>
      </c>
      <c r="F815" s="5" t="s">
        <v>13187</v>
      </c>
      <c r="G815" s="6" t="s">
        <v>41</v>
      </c>
      <c r="H815" s="4"/>
      <c r="I815" s="5" t="s">
        <v>22</v>
      </c>
      <c r="J815" s="5" t="s">
        <v>13188</v>
      </c>
      <c r="K815" s="5" t="s">
        <v>13189</v>
      </c>
      <c r="L815" s="5"/>
      <c r="M815" s="5" t="s">
        <v>1928</v>
      </c>
      <c r="N815" s="5" t="s">
        <v>4765</v>
      </c>
      <c r="O815" s="5" t="s">
        <v>13098</v>
      </c>
      <c r="P815" s="5"/>
      <c r="Q815" s="5" t="s">
        <v>13190</v>
      </c>
    </row>
    <row r="816" spans="2:17" x14ac:dyDescent="0.2">
      <c r="B816" s="5" t="s">
        <v>13091</v>
      </c>
      <c r="C816" s="6" t="s">
        <v>13589</v>
      </c>
      <c r="D816" s="4">
        <v>1839</v>
      </c>
      <c r="E816" s="5" t="s">
        <v>20</v>
      </c>
      <c r="F816" s="5" t="s">
        <v>13191</v>
      </c>
      <c r="G816" s="6" t="s">
        <v>41</v>
      </c>
      <c r="H816" s="4"/>
      <c r="I816" s="5" t="s">
        <v>38</v>
      </c>
      <c r="J816" s="5" t="s">
        <v>13192</v>
      </c>
      <c r="K816" s="5" t="s">
        <v>13193</v>
      </c>
      <c r="L816" s="5"/>
      <c r="M816" s="5" t="s">
        <v>1928</v>
      </c>
      <c r="N816" s="5" t="s">
        <v>4765</v>
      </c>
      <c r="O816" s="5" t="s">
        <v>13098</v>
      </c>
      <c r="P816" s="5"/>
      <c r="Q816" s="5" t="s">
        <v>11090</v>
      </c>
    </row>
    <row r="817" spans="2:17" x14ac:dyDescent="0.2">
      <c r="B817" s="5" t="s">
        <v>5154</v>
      </c>
      <c r="C817" s="6" t="s">
        <v>13589</v>
      </c>
      <c r="D817" s="4">
        <v>38</v>
      </c>
      <c r="E817" s="5" t="s">
        <v>20</v>
      </c>
      <c r="F817" s="5" t="s">
        <v>5219</v>
      </c>
      <c r="G817" s="6" t="s">
        <v>34</v>
      </c>
      <c r="H817" s="4"/>
      <c r="I817" s="5" t="s">
        <v>22</v>
      </c>
      <c r="J817" s="5" t="s">
        <v>276</v>
      </c>
      <c r="K817" s="5" t="s">
        <v>5180</v>
      </c>
      <c r="L817" s="5"/>
      <c r="M817" s="5" t="s">
        <v>432</v>
      </c>
      <c r="N817" s="5" t="s">
        <v>2089</v>
      </c>
      <c r="O817" s="5" t="s">
        <v>5029</v>
      </c>
      <c r="P817" s="5"/>
      <c r="Q817" s="5" t="s">
        <v>5220</v>
      </c>
    </row>
    <row r="818" spans="2:17" x14ac:dyDescent="0.2">
      <c r="B818" s="5" t="s">
        <v>8683</v>
      </c>
      <c r="C818" s="6" t="s">
        <v>13589</v>
      </c>
      <c r="D818" s="4">
        <v>434</v>
      </c>
      <c r="E818" s="5" t="s">
        <v>24</v>
      </c>
      <c r="F818" s="5" t="s">
        <v>8983</v>
      </c>
      <c r="G818" s="6" t="s">
        <v>34</v>
      </c>
      <c r="H818" s="4"/>
      <c r="I818" s="5"/>
      <c r="J818" s="5" t="s">
        <v>8984</v>
      </c>
      <c r="K818" s="5" t="s">
        <v>8985</v>
      </c>
      <c r="L818" s="5"/>
      <c r="M818" s="5" t="s">
        <v>4878</v>
      </c>
      <c r="N818" s="5" t="s">
        <v>6891</v>
      </c>
      <c r="O818" s="5" t="s">
        <v>5698</v>
      </c>
      <c r="P818" s="5"/>
      <c r="Q818" s="5" t="s">
        <v>8986</v>
      </c>
    </row>
    <row r="819" spans="2:17" x14ac:dyDescent="0.2">
      <c r="B819" s="5" t="s">
        <v>8683</v>
      </c>
      <c r="C819" s="6" t="s">
        <v>13589</v>
      </c>
      <c r="D819" s="4">
        <v>435</v>
      </c>
      <c r="E819" s="5" t="s">
        <v>24</v>
      </c>
      <c r="F819" s="5" t="s">
        <v>8983</v>
      </c>
      <c r="G819" s="6" t="s">
        <v>34</v>
      </c>
      <c r="H819" s="4"/>
      <c r="I819" s="5"/>
      <c r="J819" s="5" t="s">
        <v>8987</v>
      </c>
      <c r="K819" s="5" t="s">
        <v>8687</v>
      </c>
      <c r="L819" s="5"/>
      <c r="M819" s="5" t="s">
        <v>4878</v>
      </c>
      <c r="N819" s="5" t="s">
        <v>6891</v>
      </c>
      <c r="O819" s="5" t="s">
        <v>5711</v>
      </c>
      <c r="P819" s="5"/>
      <c r="Q819" s="5" t="s">
        <v>8988</v>
      </c>
    </row>
    <row r="820" spans="2:17" x14ac:dyDescent="0.2">
      <c r="B820" s="5" t="s">
        <v>9008</v>
      </c>
      <c r="C820" s="6" t="s">
        <v>13589</v>
      </c>
      <c r="D820" s="4">
        <v>691</v>
      </c>
      <c r="E820" s="5" t="s">
        <v>15</v>
      </c>
      <c r="F820" s="5" t="s">
        <v>9474</v>
      </c>
      <c r="G820" s="6" t="s">
        <v>34</v>
      </c>
      <c r="H820" s="4"/>
      <c r="I820" s="5"/>
      <c r="J820" s="5" t="s">
        <v>9475</v>
      </c>
      <c r="K820" s="5" t="s">
        <v>9046</v>
      </c>
      <c r="L820" s="5"/>
      <c r="M820" s="5" t="s">
        <v>1073</v>
      </c>
      <c r="N820" s="5" t="s">
        <v>2236</v>
      </c>
      <c r="O820" s="5" t="s">
        <v>9020</v>
      </c>
      <c r="P820" s="5"/>
      <c r="Q820" s="5" t="s">
        <v>9476</v>
      </c>
    </row>
    <row r="821" spans="2:17" x14ac:dyDescent="0.2">
      <c r="B821" s="5" t="s">
        <v>9008</v>
      </c>
      <c r="C821" s="6" t="s">
        <v>13589</v>
      </c>
      <c r="D821" s="4">
        <v>692</v>
      </c>
      <c r="E821" s="5" t="s">
        <v>56</v>
      </c>
      <c r="F821" s="5" t="s">
        <v>9463</v>
      </c>
      <c r="G821" s="6" t="s">
        <v>34</v>
      </c>
      <c r="H821" s="4"/>
      <c r="I821" s="5"/>
      <c r="J821" s="5" t="s">
        <v>9464</v>
      </c>
      <c r="K821" s="5" t="s">
        <v>9046</v>
      </c>
      <c r="L821" s="5"/>
      <c r="M821" s="5" t="s">
        <v>3438</v>
      </c>
      <c r="N821" s="5" t="s">
        <v>3438</v>
      </c>
      <c r="O821" s="5" t="s">
        <v>9020</v>
      </c>
      <c r="P821" s="5"/>
      <c r="Q821" s="5" t="s">
        <v>9465</v>
      </c>
    </row>
    <row r="822" spans="2:17" x14ac:dyDescent="0.2">
      <c r="B822" s="5" t="s">
        <v>9008</v>
      </c>
      <c r="C822" s="6" t="s">
        <v>13589</v>
      </c>
      <c r="D822" s="4">
        <v>698</v>
      </c>
      <c r="E822" s="5" t="s">
        <v>20</v>
      </c>
      <c r="F822" s="5" t="s">
        <v>9470</v>
      </c>
      <c r="G822" s="6" t="s">
        <v>34</v>
      </c>
      <c r="H822" s="4"/>
      <c r="I822" s="5" t="s">
        <v>22</v>
      </c>
      <c r="J822" s="5" t="s">
        <v>9471</v>
      </c>
      <c r="K822" s="5" t="s">
        <v>9472</v>
      </c>
      <c r="L822" s="5"/>
      <c r="M822" s="5" t="s">
        <v>1073</v>
      </c>
      <c r="N822" s="5" t="s">
        <v>224</v>
      </c>
      <c r="O822" s="5" t="s">
        <v>9019</v>
      </c>
      <c r="P822" s="5"/>
      <c r="Q822" s="5" t="s">
        <v>9473</v>
      </c>
    </row>
    <row r="823" spans="2:17" x14ac:dyDescent="0.2">
      <c r="B823" s="5" t="s">
        <v>9550</v>
      </c>
      <c r="C823" s="6" t="s">
        <v>13589</v>
      </c>
      <c r="D823" s="4">
        <v>744</v>
      </c>
      <c r="E823" s="5" t="s">
        <v>15</v>
      </c>
      <c r="F823" s="5" t="s">
        <v>10098</v>
      </c>
      <c r="G823" s="6" t="s">
        <v>34</v>
      </c>
      <c r="H823" s="4"/>
      <c r="I823" s="5"/>
      <c r="J823" s="5" t="s">
        <v>9881</v>
      </c>
      <c r="K823" s="5" t="s">
        <v>9561</v>
      </c>
      <c r="L823" s="5"/>
      <c r="M823" s="5" t="s">
        <v>3498</v>
      </c>
      <c r="N823" s="5" t="s">
        <v>1108</v>
      </c>
      <c r="O823" s="5" t="s">
        <v>9557</v>
      </c>
      <c r="P823" s="5"/>
      <c r="Q823" s="5" t="s">
        <v>10099</v>
      </c>
    </row>
    <row r="824" spans="2:17" x14ac:dyDescent="0.2">
      <c r="B824" s="5" t="s">
        <v>9550</v>
      </c>
      <c r="C824" s="6" t="s">
        <v>13589</v>
      </c>
      <c r="D824" s="4">
        <v>745</v>
      </c>
      <c r="E824" s="5" t="s">
        <v>15</v>
      </c>
      <c r="F824" s="5" t="s">
        <v>10098</v>
      </c>
      <c r="G824" s="6" t="s">
        <v>34</v>
      </c>
      <c r="H824" s="4"/>
      <c r="I824" s="5"/>
      <c r="J824" s="5" t="s">
        <v>10100</v>
      </c>
      <c r="K824" s="5" t="s">
        <v>9573</v>
      </c>
      <c r="L824" s="5"/>
      <c r="M824" s="5" t="s">
        <v>3498</v>
      </c>
      <c r="N824" s="5" t="s">
        <v>1108</v>
      </c>
      <c r="O824" s="5" t="s">
        <v>9557</v>
      </c>
      <c r="P824" s="5"/>
      <c r="Q824" s="5" t="s">
        <v>10101</v>
      </c>
    </row>
    <row r="825" spans="2:17" x14ac:dyDescent="0.2">
      <c r="B825" s="5" t="s">
        <v>9550</v>
      </c>
      <c r="C825" s="6" t="s">
        <v>13589</v>
      </c>
      <c r="D825" s="4">
        <v>761</v>
      </c>
      <c r="E825" s="5" t="s">
        <v>24</v>
      </c>
      <c r="F825" s="5" t="s">
        <v>10006</v>
      </c>
      <c r="G825" s="6" t="s">
        <v>34</v>
      </c>
      <c r="H825" s="4"/>
      <c r="I825" s="5"/>
      <c r="J825" s="5" t="s">
        <v>10007</v>
      </c>
      <c r="K825" s="5" t="s">
        <v>9866</v>
      </c>
      <c r="L825" s="5"/>
      <c r="M825" s="5" t="s">
        <v>1893</v>
      </c>
      <c r="N825" s="5" t="s">
        <v>2415</v>
      </c>
      <c r="O825" s="5" t="s">
        <v>5014</v>
      </c>
      <c r="P825" s="5"/>
      <c r="Q825" s="5" t="s">
        <v>10008</v>
      </c>
    </row>
    <row r="826" spans="2:17" x14ac:dyDescent="0.2">
      <c r="B826" s="5" t="s">
        <v>10194</v>
      </c>
      <c r="C826" s="6" t="s">
        <v>13589</v>
      </c>
      <c r="D826" s="4">
        <v>1006</v>
      </c>
      <c r="E826" s="5" t="s">
        <v>20</v>
      </c>
      <c r="F826" s="5" t="s">
        <v>10435</v>
      </c>
      <c r="G826" s="6" t="s">
        <v>34</v>
      </c>
      <c r="H826" s="4"/>
      <c r="I826" s="5" t="s">
        <v>22</v>
      </c>
      <c r="J826" s="5" t="s">
        <v>10436</v>
      </c>
      <c r="K826" s="5" t="s">
        <v>10273</v>
      </c>
      <c r="L826" s="5"/>
      <c r="M826" s="5" t="s">
        <v>1751</v>
      </c>
      <c r="N826" s="5" t="s">
        <v>1929</v>
      </c>
      <c r="O826" s="5" t="s">
        <v>10274</v>
      </c>
      <c r="P826" s="5"/>
      <c r="Q826" s="5" t="s">
        <v>10439</v>
      </c>
    </row>
    <row r="827" spans="2:17" x14ac:dyDescent="0.2">
      <c r="B827" s="5" t="s">
        <v>10194</v>
      </c>
      <c r="C827" s="6" t="s">
        <v>13589</v>
      </c>
      <c r="D827" s="4">
        <v>1007</v>
      </c>
      <c r="E827" s="5" t="s">
        <v>20</v>
      </c>
      <c r="F827" s="5" t="s">
        <v>10435</v>
      </c>
      <c r="G827" s="6" t="s">
        <v>34</v>
      </c>
      <c r="H827" s="4"/>
      <c r="I827" s="5" t="s">
        <v>22</v>
      </c>
      <c r="J827" s="5" t="s">
        <v>10436</v>
      </c>
      <c r="K827" s="5" t="s">
        <v>10437</v>
      </c>
      <c r="L827" s="5"/>
      <c r="M827" s="5" t="s">
        <v>4765</v>
      </c>
      <c r="N827" s="5" t="s">
        <v>1929</v>
      </c>
      <c r="O827" s="5" t="s">
        <v>10210</v>
      </c>
      <c r="P827" s="5"/>
      <c r="Q827" s="5" t="s">
        <v>10438</v>
      </c>
    </row>
    <row r="828" spans="2:17" x14ac:dyDescent="0.2">
      <c r="B828" s="5" t="s">
        <v>10194</v>
      </c>
      <c r="C828" s="6" t="s">
        <v>13589</v>
      </c>
      <c r="D828" s="4">
        <v>1008</v>
      </c>
      <c r="E828" s="5" t="s">
        <v>20</v>
      </c>
      <c r="F828" s="5" t="s">
        <v>10435</v>
      </c>
      <c r="G828" s="6" t="s">
        <v>34</v>
      </c>
      <c r="H828" s="4"/>
      <c r="I828" s="5" t="s">
        <v>22</v>
      </c>
      <c r="J828" s="5" t="s">
        <v>10436</v>
      </c>
      <c r="K828" s="5" t="s">
        <v>10437</v>
      </c>
      <c r="L828" s="5"/>
      <c r="M828" s="5" t="s">
        <v>1751</v>
      </c>
      <c r="N828" s="5" t="s">
        <v>1929</v>
      </c>
      <c r="O828" s="5" t="s">
        <v>10196</v>
      </c>
      <c r="P828" s="5"/>
      <c r="Q828" s="5" t="s">
        <v>10440</v>
      </c>
    </row>
    <row r="829" spans="2:17" x14ac:dyDescent="0.2">
      <c r="B829" s="5" t="s">
        <v>10685</v>
      </c>
      <c r="C829" s="6" t="s">
        <v>13589</v>
      </c>
      <c r="D829" s="4">
        <v>1158</v>
      </c>
      <c r="E829" s="5" t="s">
        <v>20</v>
      </c>
      <c r="F829" s="5" t="s">
        <v>10890</v>
      </c>
      <c r="G829" s="6" t="s">
        <v>34</v>
      </c>
      <c r="H829" s="4"/>
      <c r="I829" s="5" t="s">
        <v>38</v>
      </c>
      <c r="J829" s="5" t="s">
        <v>10861</v>
      </c>
      <c r="K829" s="5" t="s">
        <v>10806</v>
      </c>
      <c r="L829" s="5"/>
      <c r="M829" s="5" t="s">
        <v>96</v>
      </c>
      <c r="N829" s="5" t="s">
        <v>284</v>
      </c>
      <c r="O829" s="5" t="s">
        <v>10739</v>
      </c>
      <c r="P829" s="5"/>
      <c r="Q829" s="5" t="s">
        <v>10891</v>
      </c>
    </row>
    <row r="830" spans="2:17" x14ac:dyDescent="0.2">
      <c r="B830" s="5" t="s">
        <v>10685</v>
      </c>
      <c r="C830" s="6" t="s">
        <v>13589</v>
      </c>
      <c r="D830" s="4">
        <v>1160</v>
      </c>
      <c r="E830" s="5" t="s">
        <v>56</v>
      </c>
      <c r="F830" s="5" t="s">
        <v>10902</v>
      </c>
      <c r="G830" s="6" t="s">
        <v>34</v>
      </c>
      <c r="H830" s="4"/>
      <c r="I830" s="5"/>
      <c r="J830" s="5" t="s">
        <v>10903</v>
      </c>
      <c r="K830" s="5" t="s">
        <v>10904</v>
      </c>
      <c r="L830" s="5"/>
      <c r="M830" s="5" t="s">
        <v>96</v>
      </c>
      <c r="N830" s="5" t="s">
        <v>284</v>
      </c>
      <c r="O830" s="5" t="s">
        <v>10789</v>
      </c>
      <c r="P830" s="5"/>
      <c r="Q830" s="5" t="s">
        <v>10905</v>
      </c>
    </row>
    <row r="831" spans="2:17" x14ac:dyDescent="0.2">
      <c r="B831" s="5" t="s">
        <v>10685</v>
      </c>
      <c r="C831" s="6" t="s">
        <v>13589</v>
      </c>
      <c r="D831" s="4">
        <v>1161</v>
      </c>
      <c r="E831" s="5" t="s">
        <v>20</v>
      </c>
      <c r="F831" s="5" t="s">
        <v>4469</v>
      </c>
      <c r="G831" s="6" t="s">
        <v>34</v>
      </c>
      <c r="H831" s="4"/>
      <c r="I831" s="5" t="s">
        <v>38</v>
      </c>
      <c r="J831" s="5" t="s">
        <v>10879</v>
      </c>
      <c r="K831" s="5" t="s">
        <v>10880</v>
      </c>
      <c r="L831" s="5"/>
      <c r="M831" s="5" t="s">
        <v>96</v>
      </c>
      <c r="N831" s="5" t="s">
        <v>284</v>
      </c>
      <c r="O831" s="5" t="s">
        <v>10789</v>
      </c>
      <c r="P831" s="5"/>
      <c r="Q831" s="5" t="s">
        <v>10881</v>
      </c>
    </row>
    <row r="832" spans="2:17" x14ac:dyDescent="0.2">
      <c r="B832" s="5" t="s">
        <v>10685</v>
      </c>
      <c r="C832" s="6" t="s">
        <v>13589</v>
      </c>
      <c r="D832" s="4">
        <v>1162</v>
      </c>
      <c r="E832" s="5" t="s">
        <v>20</v>
      </c>
      <c r="F832" s="5" t="s">
        <v>4469</v>
      </c>
      <c r="G832" s="6" t="s">
        <v>34</v>
      </c>
      <c r="H832" s="4"/>
      <c r="I832" s="5" t="s">
        <v>22</v>
      </c>
      <c r="J832" s="5" t="s">
        <v>10882</v>
      </c>
      <c r="K832" s="5" t="s">
        <v>4982</v>
      </c>
      <c r="L832" s="5"/>
      <c r="M832" s="5" t="s">
        <v>96</v>
      </c>
      <c r="N832" s="5" t="s">
        <v>284</v>
      </c>
      <c r="O832" s="5" t="s">
        <v>10789</v>
      </c>
      <c r="P832" s="5"/>
      <c r="Q832" s="5" t="s">
        <v>10883</v>
      </c>
    </row>
    <row r="833" spans="2:17" x14ac:dyDescent="0.2">
      <c r="B833" s="5" t="s">
        <v>10685</v>
      </c>
      <c r="C833" s="6" t="s">
        <v>13589</v>
      </c>
      <c r="D833" s="4">
        <v>1163</v>
      </c>
      <c r="E833" s="5" t="s">
        <v>20</v>
      </c>
      <c r="F833" s="5" t="s">
        <v>4469</v>
      </c>
      <c r="G833" s="6" t="s">
        <v>34</v>
      </c>
      <c r="H833" s="4"/>
      <c r="I833" s="5" t="s">
        <v>38</v>
      </c>
      <c r="J833" s="5" t="s">
        <v>10884</v>
      </c>
      <c r="K833" s="5" t="s">
        <v>10885</v>
      </c>
      <c r="L833" s="5"/>
      <c r="M833" s="5" t="s">
        <v>96</v>
      </c>
      <c r="N833" s="5" t="s">
        <v>284</v>
      </c>
      <c r="O833" s="5" t="s">
        <v>10701</v>
      </c>
      <c r="P833" s="5"/>
      <c r="Q833" s="5" t="s">
        <v>10886</v>
      </c>
    </row>
    <row r="834" spans="2:17" x14ac:dyDescent="0.2">
      <c r="B834" s="5" t="s">
        <v>10685</v>
      </c>
      <c r="C834" s="6" t="s">
        <v>13589</v>
      </c>
      <c r="D834" s="4">
        <v>1164</v>
      </c>
      <c r="E834" s="5" t="s">
        <v>20</v>
      </c>
      <c r="F834" s="5" t="s">
        <v>4469</v>
      </c>
      <c r="G834" s="6" t="s">
        <v>34</v>
      </c>
      <c r="H834" s="4"/>
      <c r="I834" s="5" t="s">
        <v>38</v>
      </c>
      <c r="J834" s="5" t="s">
        <v>10887</v>
      </c>
      <c r="K834" s="5" t="s">
        <v>10888</v>
      </c>
      <c r="L834" s="5"/>
      <c r="M834" s="5" t="s">
        <v>96</v>
      </c>
      <c r="N834" s="5" t="s">
        <v>284</v>
      </c>
      <c r="O834" s="5" t="s">
        <v>10701</v>
      </c>
      <c r="P834" s="5"/>
      <c r="Q834" s="5" t="s">
        <v>10889</v>
      </c>
    </row>
    <row r="835" spans="2:17" x14ac:dyDescent="0.2">
      <c r="B835" s="5" t="s">
        <v>10685</v>
      </c>
      <c r="C835" s="6" t="s">
        <v>13589</v>
      </c>
      <c r="D835" s="4">
        <v>1167</v>
      </c>
      <c r="E835" s="5" t="s">
        <v>20</v>
      </c>
      <c r="F835" s="5" t="s">
        <v>10892</v>
      </c>
      <c r="G835" s="6" t="s">
        <v>34</v>
      </c>
      <c r="H835" s="4"/>
      <c r="I835" s="5" t="s">
        <v>22</v>
      </c>
      <c r="J835" s="5" t="s">
        <v>10893</v>
      </c>
      <c r="K835" s="5" t="s">
        <v>10894</v>
      </c>
      <c r="L835" s="5"/>
      <c r="M835" s="5" t="s">
        <v>96</v>
      </c>
      <c r="N835" s="5" t="s">
        <v>284</v>
      </c>
      <c r="O835" s="5" t="s">
        <v>10704</v>
      </c>
      <c r="P835" s="5"/>
      <c r="Q835" s="5" t="s">
        <v>10895</v>
      </c>
    </row>
    <row r="836" spans="2:17" x14ac:dyDescent="0.2">
      <c r="B836" s="5" t="s">
        <v>10685</v>
      </c>
      <c r="C836" s="6" t="s">
        <v>13589</v>
      </c>
      <c r="D836" s="4">
        <v>1191</v>
      </c>
      <c r="E836" s="5" t="s">
        <v>20</v>
      </c>
      <c r="F836" s="5" t="s">
        <v>10804</v>
      </c>
      <c r="G836" s="6" t="s">
        <v>34</v>
      </c>
      <c r="H836" s="4"/>
      <c r="I836" s="5" t="s">
        <v>38</v>
      </c>
      <c r="J836" s="5" t="s">
        <v>10805</v>
      </c>
      <c r="K836" s="5" t="s">
        <v>10806</v>
      </c>
      <c r="L836" s="5"/>
      <c r="M836" s="5" t="s">
        <v>2304</v>
      </c>
      <c r="N836" s="5" t="s">
        <v>1247</v>
      </c>
      <c r="O836" s="5" t="s">
        <v>10807</v>
      </c>
      <c r="P836" s="5"/>
      <c r="Q836" s="5" t="s">
        <v>10808</v>
      </c>
    </row>
    <row r="837" spans="2:17" x14ac:dyDescent="0.2">
      <c r="B837" s="5" t="s">
        <v>11377</v>
      </c>
      <c r="C837" s="6" t="s">
        <v>13589</v>
      </c>
      <c r="D837" s="4">
        <v>1413</v>
      </c>
      <c r="E837" s="5" t="s">
        <v>20</v>
      </c>
      <c r="F837" s="5" t="s">
        <v>11606</v>
      </c>
      <c r="G837" s="6" t="s">
        <v>34</v>
      </c>
      <c r="H837" s="4"/>
      <c r="I837" s="5" t="s">
        <v>22</v>
      </c>
      <c r="J837" s="5" t="s">
        <v>11607</v>
      </c>
      <c r="K837" s="5" t="s">
        <v>11461</v>
      </c>
      <c r="L837" s="5" t="s">
        <v>11608</v>
      </c>
      <c r="M837" s="5" t="s">
        <v>843</v>
      </c>
      <c r="N837" s="5" t="s">
        <v>1835</v>
      </c>
      <c r="O837" s="5" t="s">
        <v>11380</v>
      </c>
      <c r="P837" s="5"/>
      <c r="Q837" s="5" t="s">
        <v>11609</v>
      </c>
    </row>
    <row r="838" spans="2:17" x14ac:dyDescent="0.2">
      <c r="B838" s="5" t="s">
        <v>11377</v>
      </c>
      <c r="C838" s="6" t="s">
        <v>13589</v>
      </c>
      <c r="D838" s="4">
        <v>1414</v>
      </c>
      <c r="E838" s="5" t="s">
        <v>20</v>
      </c>
      <c r="F838" s="5" t="s">
        <v>11606</v>
      </c>
      <c r="G838" s="6" t="s">
        <v>34</v>
      </c>
      <c r="H838" s="4"/>
      <c r="I838" s="5" t="s">
        <v>22</v>
      </c>
      <c r="J838" s="5" t="s">
        <v>11610</v>
      </c>
      <c r="K838" s="5" t="s">
        <v>11611</v>
      </c>
      <c r="L838" s="5" t="s">
        <v>11612</v>
      </c>
      <c r="M838" s="5" t="s">
        <v>843</v>
      </c>
      <c r="N838" s="5" t="s">
        <v>1835</v>
      </c>
      <c r="O838" s="5" t="s">
        <v>11380</v>
      </c>
      <c r="P838" s="5"/>
      <c r="Q838" s="5" t="s">
        <v>11613</v>
      </c>
    </row>
    <row r="839" spans="2:17" x14ac:dyDescent="0.2">
      <c r="B839" s="5" t="s">
        <v>11775</v>
      </c>
      <c r="C839" s="6" t="s">
        <v>13589</v>
      </c>
      <c r="D839" s="4">
        <v>1482</v>
      </c>
      <c r="E839" s="5" t="s">
        <v>20</v>
      </c>
      <c r="F839" s="5" t="s">
        <v>12061</v>
      </c>
      <c r="G839" s="6" t="s">
        <v>34</v>
      </c>
      <c r="H839" s="4"/>
      <c r="I839" s="5" t="s">
        <v>38</v>
      </c>
      <c r="J839" s="5" t="s">
        <v>12062</v>
      </c>
      <c r="K839" s="5" t="s">
        <v>11849</v>
      </c>
      <c r="L839" s="5" t="s">
        <v>12063</v>
      </c>
      <c r="M839" s="5" t="s">
        <v>312</v>
      </c>
      <c r="N839" s="5" t="s">
        <v>302</v>
      </c>
      <c r="O839" s="5" t="s">
        <v>11780</v>
      </c>
      <c r="P839" s="5"/>
      <c r="Q839" s="5" t="s">
        <v>12064</v>
      </c>
    </row>
    <row r="840" spans="2:17" x14ac:dyDescent="0.2">
      <c r="B840" s="5" t="s">
        <v>11775</v>
      </c>
      <c r="C840" s="6" t="s">
        <v>13589</v>
      </c>
      <c r="D840" s="4">
        <v>1483</v>
      </c>
      <c r="E840" s="5" t="s">
        <v>20</v>
      </c>
      <c r="F840" s="5" t="s">
        <v>12065</v>
      </c>
      <c r="G840" s="6" t="s">
        <v>34</v>
      </c>
      <c r="H840" s="4"/>
      <c r="I840" s="5" t="s">
        <v>38</v>
      </c>
      <c r="J840" s="5" t="s">
        <v>12066</v>
      </c>
      <c r="K840" s="5" t="s">
        <v>11844</v>
      </c>
      <c r="L840" s="5" t="s">
        <v>12067</v>
      </c>
      <c r="M840" s="5" t="s">
        <v>312</v>
      </c>
      <c r="N840" s="5" t="s">
        <v>302</v>
      </c>
      <c r="O840" s="5" t="s">
        <v>11780</v>
      </c>
      <c r="P840" s="5"/>
      <c r="Q840" s="5" t="s">
        <v>12068</v>
      </c>
    </row>
    <row r="841" spans="2:17" x14ac:dyDescent="0.2">
      <c r="B841" s="5" t="s">
        <v>11775</v>
      </c>
      <c r="C841" s="6" t="s">
        <v>13589</v>
      </c>
      <c r="D841" s="4">
        <v>1484</v>
      </c>
      <c r="E841" s="5" t="s">
        <v>20</v>
      </c>
      <c r="F841" s="5" t="s">
        <v>12065</v>
      </c>
      <c r="G841" s="6" t="s">
        <v>34</v>
      </c>
      <c r="H841" s="4"/>
      <c r="I841" s="5" t="s">
        <v>22</v>
      </c>
      <c r="J841" s="5" t="s">
        <v>12069</v>
      </c>
      <c r="K841" s="5" t="s">
        <v>12070</v>
      </c>
      <c r="L841" s="5" t="s">
        <v>12071</v>
      </c>
      <c r="M841" s="5" t="s">
        <v>312</v>
      </c>
      <c r="N841" s="5" t="s">
        <v>302</v>
      </c>
      <c r="O841" s="5" t="s">
        <v>11780</v>
      </c>
      <c r="P841" s="5"/>
      <c r="Q841" s="5" t="s">
        <v>12072</v>
      </c>
    </row>
    <row r="842" spans="2:17" x14ac:dyDescent="0.2">
      <c r="B842" s="5" t="s">
        <v>11775</v>
      </c>
      <c r="C842" s="6" t="s">
        <v>13589</v>
      </c>
      <c r="D842" s="4">
        <v>1485</v>
      </c>
      <c r="E842" s="5" t="s">
        <v>20</v>
      </c>
      <c r="F842" s="5" t="s">
        <v>12065</v>
      </c>
      <c r="G842" s="6" t="s">
        <v>34</v>
      </c>
      <c r="H842" s="4"/>
      <c r="I842" s="5" t="s">
        <v>22</v>
      </c>
      <c r="J842" s="5" t="s">
        <v>12073</v>
      </c>
      <c r="K842" s="5" t="s">
        <v>11844</v>
      </c>
      <c r="L842" s="5" t="s">
        <v>12074</v>
      </c>
      <c r="M842" s="5" t="s">
        <v>312</v>
      </c>
      <c r="N842" s="5" t="s">
        <v>302</v>
      </c>
      <c r="O842" s="5" t="s">
        <v>11780</v>
      </c>
      <c r="P842" s="5"/>
      <c r="Q842" s="5" t="s">
        <v>12075</v>
      </c>
    </row>
    <row r="843" spans="2:17" x14ac:dyDescent="0.2">
      <c r="B843" s="5" t="s">
        <v>11775</v>
      </c>
      <c r="C843" s="6" t="s">
        <v>13589</v>
      </c>
      <c r="D843" s="4">
        <v>1488</v>
      </c>
      <c r="E843" s="5" t="s">
        <v>20</v>
      </c>
      <c r="F843" s="5" t="s">
        <v>12061</v>
      </c>
      <c r="G843" s="6" t="s">
        <v>34</v>
      </c>
      <c r="H843" s="4"/>
      <c r="I843" s="5" t="s">
        <v>22</v>
      </c>
      <c r="J843" s="5" t="s">
        <v>12079</v>
      </c>
      <c r="K843" s="5" t="s">
        <v>11792</v>
      </c>
      <c r="L843" s="5" t="s">
        <v>12080</v>
      </c>
      <c r="M843" s="5" t="s">
        <v>312</v>
      </c>
      <c r="N843" s="5" t="s">
        <v>302</v>
      </c>
      <c r="O843" s="5" t="s">
        <v>11780</v>
      </c>
      <c r="P843" s="5"/>
      <c r="Q843" s="5" t="s">
        <v>12081</v>
      </c>
    </row>
    <row r="844" spans="2:17" x14ac:dyDescent="0.2">
      <c r="B844" s="5" t="s">
        <v>11775</v>
      </c>
      <c r="C844" s="6" t="s">
        <v>13589</v>
      </c>
      <c r="D844" s="4">
        <v>1573</v>
      </c>
      <c r="E844" s="5" t="s">
        <v>20</v>
      </c>
      <c r="F844" s="5" t="s">
        <v>12212</v>
      </c>
      <c r="G844" s="6" t="s">
        <v>34</v>
      </c>
      <c r="H844" s="4"/>
      <c r="I844" s="5" t="s">
        <v>22</v>
      </c>
      <c r="J844" s="5" t="s">
        <v>12213</v>
      </c>
      <c r="K844" s="5" t="s">
        <v>12214</v>
      </c>
      <c r="L844" s="5"/>
      <c r="M844" s="5" t="s">
        <v>11618</v>
      </c>
      <c r="N844" s="5" t="s">
        <v>5052</v>
      </c>
      <c r="O844" s="5" t="s">
        <v>11782</v>
      </c>
      <c r="P844" s="5"/>
      <c r="Q844" s="5" t="s">
        <v>12215</v>
      </c>
    </row>
    <row r="845" spans="2:17" x14ac:dyDescent="0.2">
      <c r="B845" s="5" t="s">
        <v>13091</v>
      </c>
      <c r="C845" s="6" t="s">
        <v>13589</v>
      </c>
      <c r="D845" s="4">
        <v>1828</v>
      </c>
      <c r="E845" s="5" t="s">
        <v>20</v>
      </c>
      <c r="F845" s="5" t="s">
        <v>13221</v>
      </c>
      <c r="G845" s="6" t="s">
        <v>34</v>
      </c>
      <c r="H845" s="4"/>
      <c r="I845" s="5" t="s">
        <v>22</v>
      </c>
      <c r="J845" s="5" t="s">
        <v>13222</v>
      </c>
      <c r="K845" s="5" t="s">
        <v>13182</v>
      </c>
      <c r="L845" s="5" t="s">
        <v>13196</v>
      </c>
      <c r="M845" s="5" t="s">
        <v>2074</v>
      </c>
      <c r="N845" s="5" t="s">
        <v>1821</v>
      </c>
      <c r="O845" s="5" t="s">
        <v>13098</v>
      </c>
      <c r="P845" s="5"/>
      <c r="Q845" s="5" t="s">
        <v>13223</v>
      </c>
    </row>
    <row r="846" spans="2:17" x14ac:dyDescent="0.2">
      <c r="B846" s="5" t="s">
        <v>13091</v>
      </c>
      <c r="C846" s="6" t="s">
        <v>13589</v>
      </c>
      <c r="D846" s="4">
        <v>1840</v>
      </c>
      <c r="E846" s="5" t="s">
        <v>20</v>
      </c>
      <c r="F846" s="5" t="s">
        <v>13184</v>
      </c>
      <c r="G846" s="6" t="s">
        <v>34</v>
      </c>
      <c r="H846" s="4"/>
      <c r="I846" s="5" t="s">
        <v>38</v>
      </c>
      <c r="J846" s="5" t="s">
        <v>13185</v>
      </c>
      <c r="K846" s="5" t="s">
        <v>13178</v>
      </c>
      <c r="L846" s="5"/>
      <c r="M846" s="5" t="s">
        <v>4765</v>
      </c>
      <c r="N846" s="5" t="s">
        <v>5833</v>
      </c>
      <c r="O846" s="5" t="s">
        <v>13098</v>
      </c>
      <c r="P846" s="5"/>
      <c r="Q846" s="5" t="s">
        <v>13186</v>
      </c>
    </row>
    <row r="847" spans="2:17" x14ac:dyDescent="0.2">
      <c r="B847" s="5" t="s">
        <v>13091</v>
      </c>
      <c r="C847" s="6" t="s">
        <v>13589</v>
      </c>
      <c r="D847" s="4">
        <v>1841</v>
      </c>
      <c r="E847" s="5" t="s">
        <v>20</v>
      </c>
      <c r="F847" s="5" t="s">
        <v>13176</v>
      </c>
      <c r="G847" s="6" t="s">
        <v>34</v>
      </c>
      <c r="H847" s="4"/>
      <c r="I847" s="5" t="s">
        <v>38</v>
      </c>
      <c r="J847" s="5" t="s">
        <v>13177</v>
      </c>
      <c r="K847" s="5" t="s">
        <v>13178</v>
      </c>
      <c r="L847" s="5"/>
      <c r="M847" s="5" t="s">
        <v>96</v>
      </c>
      <c r="N847" s="5" t="s">
        <v>96</v>
      </c>
      <c r="O847" s="5" t="s">
        <v>13098</v>
      </c>
      <c r="P847" s="5"/>
      <c r="Q847" s="5" t="s">
        <v>13179</v>
      </c>
    </row>
    <row r="848" spans="2:17" x14ac:dyDescent="0.2">
      <c r="B848" s="5" t="s">
        <v>13091</v>
      </c>
      <c r="C848" s="6" t="s">
        <v>13589</v>
      </c>
      <c r="D848" s="4">
        <v>1842</v>
      </c>
      <c r="E848" s="5" t="s">
        <v>20</v>
      </c>
      <c r="F848" s="5" t="s">
        <v>13171</v>
      </c>
      <c r="G848" s="6" t="s">
        <v>34</v>
      </c>
      <c r="H848" s="4"/>
      <c r="I848" s="5" t="s">
        <v>38</v>
      </c>
      <c r="J848" s="5" t="s">
        <v>13174</v>
      </c>
      <c r="K848" s="5" t="s">
        <v>13101</v>
      </c>
      <c r="L848" s="5"/>
      <c r="M848" s="5" t="s">
        <v>96</v>
      </c>
      <c r="N848" s="5" t="s">
        <v>284</v>
      </c>
      <c r="O848" s="5" t="s">
        <v>13098</v>
      </c>
      <c r="P848" s="5"/>
      <c r="Q848" s="5" t="s">
        <v>13175</v>
      </c>
    </row>
    <row r="849" spans="2:17" x14ac:dyDescent="0.2">
      <c r="B849" s="5" t="s">
        <v>13091</v>
      </c>
      <c r="C849" s="6" t="s">
        <v>13589</v>
      </c>
      <c r="D849" s="4">
        <v>1843</v>
      </c>
      <c r="E849" s="5" t="s">
        <v>20</v>
      </c>
      <c r="F849" s="5" t="s">
        <v>13180</v>
      </c>
      <c r="G849" s="6" t="s">
        <v>34</v>
      </c>
      <c r="H849" s="4"/>
      <c r="I849" s="5" t="s">
        <v>22</v>
      </c>
      <c r="J849" s="5" t="s">
        <v>13181</v>
      </c>
      <c r="K849" s="5" t="s">
        <v>13182</v>
      </c>
      <c r="L849" s="5"/>
      <c r="M849" s="5" t="s">
        <v>96</v>
      </c>
      <c r="N849" s="5" t="s">
        <v>284</v>
      </c>
      <c r="O849" s="5" t="s">
        <v>13098</v>
      </c>
      <c r="P849" s="5"/>
      <c r="Q849" s="5" t="s">
        <v>13183</v>
      </c>
    </row>
    <row r="850" spans="2:17" x14ac:dyDescent="0.2">
      <c r="B850" s="5" t="s">
        <v>13091</v>
      </c>
      <c r="C850" s="6" t="s">
        <v>13589</v>
      </c>
      <c r="D850" s="4">
        <v>1845</v>
      </c>
      <c r="E850" s="5" t="s">
        <v>20</v>
      </c>
      <c r="F850" s="5" t="s">
        <v>13171</v>
      </c>
      <c r="G850" s="6" t="s">
        <v>34</v>
      </c>
      <c r="H850" s="4"/>
      <c r="I850" s="5" t="s">
        <v>22</v>
      </c>
      <c r="J850" s="5" t="s">
        <v>13172</v>
      </c>
      <c r="K850" s="5" t="s">
        <v>13101</v>
      </c>
      <c r="L850" s="5"/>
      <c r="M850" s="5" t="s">
        <v>2891</v>
      </c>
      <c r="N850" s="5" t="s">
        <v>1262</v>
      </c>
      <c r="O850" s="5" t="s">
        <v>13098</v>
      </c>
      <c r="P850" s="5"/>
      <c r="Q850" s="5" t="s">
        <v>13173</v>
      </c>
    </row>
    <row r="851" spans="2:17" x14ac:dyDescent="0.2">
      <c r="B851" s="5" t="s">
        <v>5036</v>
      </c>
      <c r="C851" s="6" t="s">
        <v>13589</v>
      </c>
      <c r="D851" s="4">
        <v>4</v>
      </c>
      <c r="E851" s="5" t="s">
        <v>20</v>
      </c>
      <c r="F851" s="5" t="s">
        <v>5096</v>
      </c>
      <c r="G851" s="6" t="s">
        <v>51</v>
      </c>
      <c r="H851" s="4"/>
      <c r="I851" s="5" t="s">
        <v>22</v>
      </c>
      <c r="J851" s="5" t="s">
        <v>5064</v>
      </c>
      <c r="K851" s="5" t="s">
        <v>4990</v>
      </c>
      <c r="L851" s="5"/>
      <c r="M851" s="5" t="s">
        <v>211</v>
      </c>
      <c r="N851" s="5" t="s">
        <v>207</v>
      </c>
      <c r="O851" s="5" t="s">
        <v>4991</v>
      </c>
      <c r="P851" s="5"/>
      <c r="Q851" s="5" t="s">
        <v>5097</v>
      </c>
    </row>
    <row r="852" spans="2:17" x14ac:dyDescent="0.2">
      <c r="B852" s="5" t="s">
        <v>8364</v>
      </c>
      <c r="C852" s="6" t="s">
        <v>13589</v>
      </c>
      <c r="D852" s="4">
        <v>330</v>
      </c>
      <c r="E852" s="5" t="s">
        <v>32</v>
      </c>
      <c r="F852" s="5" t="s">
        <v>8521</v>
      </c>
      <c r="G852" s="6" t="s">
        <v>51</v>
      </c>
      <c r="H852" s="4"/>
      <c r="I852" s="5" t="s">
        <v>38</v>
      </c>
      <c r="J852" s="5" t="s">
        <v>8522</v>
      </c>
      <c r="K852" s="5"/>
      <c r="L852" s="5"/>
      <c r="M852" s="5" t="s">
        <v>3542</v>
      </c>
      <c r="N852" s="5" t="s">
        <v>480</v>
      </c>
      <c r="O852" s="5"/>
      <c r="P852" s="5"/>
      <c r="Q852" s="5" t="s">
        <v>8475</v>
      </c>
    </row>
    <row r="853" spans="2:17" x14ac:dyDescent="0.2">
      <c r="B853" s="5" t="s">
        <v>8364</v>
      </c>
      <c r="C853" s="6" t="s">
        <v>13589</v>
      </c>
      <c r="D853" s="4">
        <v>331</v>
      </c>
      <c r="E853" s="5" t="s">
        <v>32</v>
      </c>
      <c r="F853" s="5" t="s">
        <v>8521</v>
      </c>
      <c r="G853" s="6" t="s">
        <v>51</v>
      </c>
      <c r="H853" s="4"/>
      <c r="I853" s="5" t="s">
        <v>38</v>
      </c>
      <c r="J853" s="5" t="s">
        <v>8522</v>
      </c>
      <c r="K853" s="5"/>
      <c r="L853" s="5"/>
      <c r="M853" s="5" t="s">
        <v>3542</v>
      </c>
      <c r="N853" s="5" t="s">
        <v>480</v>
      </c>
      <c r="O853" s="5"/>
      <c r="P853" s="5"/>
      <c r="Q853" s="5" t="s">
        <v>8477</v>
      </c>
    </row>
    <row r="854" spans="2:17" x14ac:dyDescent="0.2">
      <c r="B854" s="5" t="s">
        <v>8364</v>
      </c>
      <c r="C854" s="6" t="s">
        <v>13589</v>
      </c>
      <c r="D854" s="4">
        <v>332</v>
      </c>
      <c r="E854" s="5" t="s">
        <v>32</v>
      </c>
      <c r="F854" s="5" t="s">
        <v>8521</v>
      </c>
      <c r="G854" s="6" t="s">
        <v>51</v>
      </c>
      <c r="H854" s="4"/>
      <c r="I854" s="5" t="s">
        <v>38</v>
      </c>
      <c r="J854" s="5" t="s">
        <v>8522</v>
      </c>
      <c r="K854" s="5"/>
      <c r="L854" s="5"/>
      <c r="M854" s="5" t="s">
        <v>3542</v>
      </c>
      <c r="N854" s="5" t="s">
        <v>480</v>
      </c>
      <c r="O854" s="5"/>
      <c r="P854" s="5"/>
      <c r="Q854" s="5" t="s">
        <v>8478</v>
      </c>
    </row>
    <row r="855" spans="2:17" x14ac:dyDescent="0.2">
      <c r="B855" s="5" t="s">
        <v>8364</v>
      </c>
      <c r="C855" s="6" t="s">
        <v>13589</v>
      </c>
      <c r="D855" s="4">
        <v>349</v>
      </c>
      <c r="E855" s="5" t="s">
        <v>32</v>
      </c>
      <c r="F855" s="5" t="s">
        <v>8521</v>
      </c>
      <c r="G855" s="6" t="s">
        <v>51</v>
      </c>
      <c r="H855" s="4"/>
      <c r="I855" s="5" t="s">
        <v>38</v>
      </c>
      <c r="J855" s="5" t="s">
        <v>8522</v>
      </c>
      <c r="K855" s="5"/>
      <c r="L855" s="5"/>
      <c r="M855" s="5" t="s">
        <v>432</v>
      </c>
      <c r="N855" s="5" t="s">
        <v>1544</v>
      </c>
      <c r="O855" s="5"/>
      <c r="P855" s="5"/>
      <c r="Q855" s="5" t="s">
        <v>8524</v>
      </c>
    </row>
    <row r="856" spans="2:17" x14ac:dyDescent="0.2">
      <c r="B856" s="5" t="s">
        <v>8364</v>
      </c>
      <c r="C856" s="6" t="s">
        <v>13589</v>
      </c>
      <c r="D856" s="4">
        <v>350</v>
      </c>
      <c r="E856" s="5" t="s">
        <v>20</v>
      </c>
      <c r="F856" s="5" t="s">
        <v>8521</v>
      </c>
      <c r="G856" s="6" t="s">
        <v>51</v>
      </c>
      <c r="H856" s="4"/>
      <c r="I856" s="5" t="s">
        <v>22</v>
      </c>
      <c r="J856" s="5" t="s">
        <v>8522</v>
      </c>
      <c r="K856" s="5" t="s">
        <v>8517</v>
      </c>
      <c r="L856" s="5"/>
      <c r="M856" s="5" t="s">
        <v>432</v>
      </c>
      <c r="N856" s="5" t="s">
        <v>1544</v>
      </c>
      <c r="O856" s="5" t="s">
        <v>8368</v>
      </c>
      <c r="P856" s="5"/>
      <c r="Q856" s="5" t="s">
        <v>8523</v>
      </c>
    </row>
    <row r="857" spans="2:17" x14ac:dyDescent="0.2">
      <c r="B857" s="5" t="s">
        <v>8364</v>
      </c>
      <c r="C857" s="6" t="s">
        <v>13589</v>
      </c>
      <c r="D857" s="4">
        <v>352</v>
      </c>
      <c r="E857" s="5" t="s">
        <v>20</v>
      </c>
      <c r="F857" s="5" t="s">
        <v>8506</v>
      </c>
      <c r="G857" s="6" t="s">
        <v>51</v>
      </c>
      <c r="H857" s="4"/>
      <c r="I857" s="5" t="s">
        <v>22</v>
      </c>
      <c r="J857" s="5" t="s">
        <v>8507</v>
      </c>
      <c r="K857" s="5" t="s">
        <v>8481</v>
      </c>
      <c r="L857" s="5"/>
      <c r="M857" s="5" t="s">
        <v>5076</v>
      </c>
      <c r="N857" s="5" t="s">
        <v>4373</v>
      </c>
      <c r="O857" s="5" t="s">
        <v>8372</v>
      </c>
      <c r="P857" s="5"/>
      <c r="Q857" s="5" t="s">
        <v>8508</v>
      </c>
    </row>
    <row r="858" spans="2:17" x14ac:dyDescent="0.2">
      <c r="B858" s="5" t="s">
        <v>8364</v>
      </c>
      <c r="C858" s="6" t="s">
        <v>13589</v>
      </c>
      <c r="D858" s="4">
        <v>353</v>
      </c>
      <c r="E858" s="5" t="s">
        <v>20</v>
      </c>
      <c r="F858" s="5" t="s">
        <v>8509</v>
      </c>
      <c r="G858" s="6" t="s">
        <v>51</v>
      </c>
      <c r="H858" s="4"/>
      <c r="I858" s="5" t="s">
        <v>38</v>
      </c>
      <c r="J858" s="5" t="s">
        <v>8510</v>
      </c>
      <c r="K858" s="5" t="s">
        <v>8498</v>
      </c>
      <c r="L858" s="5"/>
      <c r="M858" s="5" t="s">
        <v>5076</v>
      </c>
      <c r="N858" s="5" t="s">
        <v>4373</v>
      </c>
      <c r="O858" s="5" t="s">
        <v>8368</v>
      </c>
      <c r="P858" s="5"/>
      <c r="Q858" s="5" t="s">
        <v>8511</v>
      </c>
    </row>
    <row r="859" spans="2:17" x14ac:dyDescent="0.2">
      <c r="B859" s="5" t="s">
        <v>8364</v>
      </c>
      <c r="C859" s="6" t="s">
        <v>13589</v>
      </c>
      <c r="D859" s="4">
        <v>354</v>
      </c>
      <c r="E859" s="5" t="s">
        <v>20</v>
      </c>
      <c r="F859" s="5" t="s">
        <v>8509</v>
      </c>
      <c r="G859" s="6" t="s">
        <v>51</v>
      </c>
      <c r="H859" s="4"/>
      <c r="I859" s="5" t="s">
        <v>22</v>
      </c>
      <c r="J859" s="5" t="s">
        <v>8512</v>
      </c>
      <c r="K859" s="5" t="s">
        <v>8498</v>
      </c>
      <c r="L859" s="5"/>
      <c r="M859" s="5" t="s">
        <v>5076</v>
      </c>
      <c r="N859" s="5" t="s">
        <v>4373</v>
      </c>
      <c r="O859" s="5" t="s">
        <v>8513</v>
      </c>
      <c r="P859" s="5"/>
      <c r="Q859" s="5" t="s">
        <v>8514</v>
      </c>
    </row>
    <row r="860" spans="2:17" x14ac:dyDescent="0.2">
      <c r="B860" s="5" t="s">
        <v>8364</v>
      </c>
      <c r="C860" s="6" t="s">
        <v>13589</v>
      </c>
      <c r="D860" s="4">
        <v>355</v>
      </c>
      <c r="E860" s="5" t="s">
        <v>20</v>
      </c>
      <c r="F860" s="5" t="s">
        <v>8515</v>
      </c>
      <c r="G860" s="6" t="s">
        <v>51</v>
      </c>
      <c r="H860" s="4"/>
      <c r="I860" s="5" t="s">
        <v>22</v>
      </c>
      <c r="J860" s="5" t="s">
        <v>8516</v>
      </c>
      <c r="K860" s="5" t="s">
        <v>8517</v>
      </c>
      <c r="L860" s="5"/>
      <c r="M860" s="5" t="s">
        <v>5076</v>
      </c>
      <c r="N860" s="5" t="s">
        <v>4373</v>
      </c>
      <c r="O860" s="5" t="s">
        <v>8513</v>
      </c>
      <c r="P860" s="5"/>
      <c r="Q860" s="5" t="s">
        <v>8518</v>
      </c>
    </row>
    <row r="861" spans="2:17" x14ac:dyDescent="0.2">
      <c r="B861" s="5" t="s">
        <v>8364</v>
      </c>
      <c r="C861" s="6" t="s">
        <v>13589</v>
      </c>
      <c r="D861" s="4">
        <v>356</v>
      </c>
      <c r="E861" s="5" t="s">
        <v>20</v>
      </c>
      <c r="F861" s="5" t="s">
        <v>8515</v>
      </c>
      <c r="G861" s="6" t="s">
        <v>51</v>
      </c>
      <c r="H861" s="4"/>
      <c r="I861" s="5" t="s">
        <v>22</v>
      </c>
      <c r="J861" s="5" t="s">
        <v>8519</v>
      </c>
      <c r="K861" s="5" t="s">
        <v>8517</v>
      </c>
      <c r="L861" s="5"/>
      <c r="M861" s="5" t="s">
        <v>5076</v>
      </c>
      <c r="N861" s="5" t="s">
        <v>4373</v>
      </c>
      <c r="O861" s="5" t="s">
        <v>8513</v>
      </c>
      <c r="P861" s="5"/>
      <c r="Q861" s="5" t="s">
        <v>8520</v>
      </c>
    </row>
    <row r="862" spans="2:17" x14ac:dyDescent="0.2">
      <c r="B862" s="5" t="s">
        <v>8683</v>
      </c>
      <c r="C862" s="6" t="s">
        <v>13589</v>
      </c>
      <c r="D862" s="4">
        <v>544</v>
      </c>
      <c r="E862" s="5" t="s">
        <v>20</v>
      </c>
      <c r="F862" s="5" t="s">
        <v>8701</v>
      </c>
      <c r="G862" s="6" t="s">
        <v>51</v>
      </c>
      <c r="H862" s="4"/>
      <c r="I862" s="5" t="s">
        <v>38</v>
      </c>
      <c r="J862" s="5" t="s">
        <v>8702</v>
      </c>
      <c r="K862" s="5" t="s">
        <v>8703</v>
      </c>
      <c r="L862" s="5"/>
      <c r="M862" s="5" t="s">
        <v>2856</v>
      </c>
      <c r="N862" s="5" t="s">
        <v>2856</v>
      </c>
      <c r="O862" s="5" t="s">
        <v>5683</v>
      </c>
      <c r="P862" s="5"/>
      <c r="Q862" s="5" t="s">
        <v>8704</v>
      </c>
    </row>
    <row r="863" spans="2:17" x14ac:dyDescent="0.2">
      <c r="B863" s="5" t="s">
        <v>9008</v>
      </c>
      <c r="C863" s="6" t="s">
        <v>13589</v>
      </c>
      <c r="D863" s="4">
        <v>569</v>
      </c>
      <c r="E863" s="5" t="s">
        <v>20</v>
      </c>
      <c r="F863" s="5" t="s">
        <v>9528</v>
      </c>
      <c r="G863" s="6" t="s">
        <v>51</v>
      </c>
      <c r="H863" s="4"/>
      <c r="I863" s="5" t="s">
        <v>22</v>
      </c>
      <c r="J863" s="5" t="s">
        <v>9361</v>
      </c>
      <c r="K863" s="5" t="s">
        <v>3793</v>
      </c>
      <c r="L863" s="5"/>
      <c r="M863" s="5" t="s">
        <v>6558</v>
      </c>
      <c r="N863" s="5" t="s">
        <v>6559</v>
      </c>
      <c r="O863" s="5" t="s">
        <v>9045</v>
      </c>
      <c r="P863" s="5"/>
      <c r="Q863" s="5" t="s">
        <v>9529</v>
      </c>
    </row>
    <row r="864" spans="2:17" x14ac:dyDescent="0.2">
      <c r="B864" s="5" t="s">
        <v>9550</v>
      </c>
      <c r="C864" s="6" t="s">
        <v>13589</v>
      </c>
      <c r="D864" s="4">
        <v>804</v>
      </c>
      <c r="E864" s="5" t="s">
        <v>20</v>
      </c>
      <c r="F864" s="5" t="s">
        <v>9891</v>
      </c>
      <c r="G864" s="6" t="s">
        <v>51</v>
      </c>
      <c r="H864" s="4"/>
      <c r="I864" s="5" t="s">
        <v>22</v>
      </c>
      <c r="J864" s="5" t="s">
        <v>9901</v>
      </c>
      <c r="K864" s="5" t="s">
        <v>9584</v>
      </c>
      <c r="L864" s="5"/>
      <c r="M864" s="5" t="s">
        <v>5076</v>
      </c>
      <c r="N864" s="5" t="s">
        <v>4373</v>
      </c>
      <c r="O864" s="5" t="s">
        <v>9582</v>
      </c>
      <c r="P864" s="5"/>
      <c r="Q864" s="5" t="s">
        <v>9902</v>
      </c>
    </row>
    <row r="865" spans="2:17" x14ac:dyDescent="0.2">
      <c r="B865" s="5" t="s">
        <v>9550</v>
      </c>
      <c r="C865" s="6" t="s">
        <v>13589</v>
      </c>
      <c r="D865" s="4">
        <v>805</v>
      </c>
      <c r="E865" s="5" t="s">
        <v>20</v>
      </c>
      <c r="F865" s="5" t="s">
        <v>9891</v>
      </c>
      <c r="G865" s="6" t="s">
        <v>51</v>
      </c>
      <c r="H865" s="4"/>
      <c r="I865" s="5" t="s">
        <v>22</v>
      </c>
      <c r="J865" s="5" t="s">
        <v>9899</v>
      </c>
      <c r="K865" s="5"/>
      <c r="L865" s="5" t="s">
        <v>57</v>
      </c>
      <c r="M865" s="5" t="s">
        <v>5076</v>
      </c>
      <c r="N865" s="5" t="s">
        <v>4373</v>
      </c>
      <c r="O865" s="5" t="s">
        <v>9582</v>
      </c>
      <c r="P865" s="5"/>
      <c r="Q865" s="5" t="s">
        <v>9900</v>
      </c>
    </row>
    <row r="866" spans="2:17" x14ac:dyDescent="0.2">
      <c r="B866" s="5" t="s">
        <v>9550</v>
      </c>
      <c r="C866" s="6" t="s">
        <v>13589</v>
      </c>
      <c r="D866" s="4">
        <v>806</v>
      </c>
      <c r="E866" s="5" t="s">
        <v>32</v>
      </c>
      <c r="F866" s="5" t="s">
        <v>9891</v>
      </c>
      <c r="G866" s="6" t="s">
        <v>51</v>
      </c>
      <c r="H866" s="4"/>
      <c r="I866" s="5" t="s">
        <v>22</v>
      </c>
      <c r="J866" s="5" t="s">
        <v>9892</v>
      </c>
      <c r="K866" s="5" t="s">
        <v>30</v>
      </c>
      <c r="L866" s="5"/>
      <c r="M866" s="5" t="s">
        <v>428</v>
      </c>
      <c r="N866" s="5" t="s">
        <v>4373</v>
      </c>
      <c r="O866" s="5" t="s">
        <v>9582</v>
      </c>
      <c r="P866" s="5"/>
      <c r="Q866" s="5" t="s">
        <v>9893</v>
      </c>
    </row>
    <row r="867" spans="2:17" x14ac:dyDescent="0.2">
      <c r="B867" s="5" t="s">
        <v>9550</v>
      </c>
      <c r="C867" s="6" t="s">
        <v>13589</v>
      </c>
      <c r="D867" s="4">
        <v>807</v>
      </c>
      <c r="E867" s="5" t="s">
        <v>20</v>
      </c>
      <c r="F867" s="5" t="s">
        <v>9891</v>
      </c>
      <c r="G867" s="6" t="s">
        <v>51</v>
      </c>
      <c r="H867" s="4"/>
      <c r="I867" s="5" t="s">
        <v>22</v>
      </c>
      <c r="J867" s="5" t="s">
        <v>9903</v>
      </c>
      <c r="K867" s="5" t="s">
        <v>9598</v>
      </c>
      <c r="L867" s="5"/>
      <c r="M867" s="5" t="s">
        <v>5076</v>
      </c>
      <c r="N867" s="5" t="s">
        <v>4373</v>
      </c>
      <c r="O867" s="5" t="s">
        <v>9582</v>
      </c>
      <c r="P867" s="5"/>
      <c r="Q867" s="5" t="s">
        <v>9904</v>
      </c>
    </row>
    <row r="868" spans="2:17" x14ac:dyDescent="0.2">
      <c r="B868" s="5" t="s">
        <v>9550</v>
      </c>
      <c r="C868" s="6" t="s">
        <v>13589</v>
      </c>
      <c r="D868" s="4">
        <v>868</v>
      </c>
      <c r="E868" s="5" t="s">
        <v>20</v>
      </c>
      <c r="F868" s="5" t="s">
        <v>9669</v>
      </c>
      <c r="G868" s="6" t="s">
        <v>51</v>
      </c>
      <c r="H868" s="4"/>
      <c r="I868" s="5" t="s">
        <v>22</v>
      </c>
      <c r="J868" s="5" t="s">
        <v>9672</v>
      </c>
      <c r="K868" s="5" t="s">
        <v>9673</v>
      </c>
      <c r="L868" s="5"/>
      <c r="M868" s="5" t="s">
        <v>2304</v>
      </c>
      <c r="N868" s="5" t="s">
        <v>1247</v>
      </c>
      <c r="O868" s="5" t="s">
        <v>3795</v>
      </c>
      <c r="P868" s="5"/>
      <c r="Q868" s="5" t="s">
        <v>9674</v>
      </c>
    </row>
    <row r="869" spans="2:17" x14ac:dyDescent="0.2">
      <c r="B869" s="5" t="s">
        <v>9550</v>
      </c>
      <c r="C869" s="6" t="s">
        <v>13589</v>
      </c>
      <c r="D869" s="4">
        <v>869</v>
      </c>
      <c r="E869" s="5" t="s">
        <v>20</v>
      </c>
      <c r="F869" s="5" t="s">
        <v>9665</v>
      </c>
      <c r="G869" s="6" t="s">
        <v>51</v>
      </c>
      <c r="H869" s="4"/>
      <c r="I869" s="5" t="s">
        <v>22</v>
      </c>
      <c r="J869" s="5" t="s">
        <v>9666</v>
      </c>
      <c r="K869" s="5" t="s">
        <v>9595</v>
      </c>
      <c r="L869" s="5"/>
      <c r="M869" s="5" t="s">
        <v>2304</v>
      </c>
      <c r="N869" s="5" t="s">
        <v>1247</v>
      </c>
      <c r="O869" s="5" t="s">
        <v>3795</v>
      </c>
      <c r="P869" s="5"/>
      <c r="Q869" s="5" t="s">
        <v>9667</v>
      </c>
    </row>
    <row r="870" spans="2:17" x14ac:dyDescent="0.2">
      <c r="B870" s="5" t="s">
        <v>9550</v>
      </c>
      <c r="C870" s="6" t="s">
        <v>13589</v>
      </c>
      <c r="D870" s="4">
        <v>871</v>
      </c>
      <c r="E870" s="5" t="s">
        <v>20</v>
      </c>
      <c r="F870" s="5" t="s">
        <v>9669</v>
      </c>
      <c r="G870" s="6" t="s">
        <v>51</v>
      </c>
      <c r="H870" s="4"/>
      <c r="I870" s="5" t="s">
        <v>22</v>
      </c>
      <c r="J870" s="5" t="s">
        <v>9670</v>
      </c>
      <c r="K870" s="5" t="s">
        <v>9590</v>
      </c>
      <c r="L870" s="5"/>
      <c r="M870" s="5" t="s">
        <v>2304</v>
      </c>
      <c r="N870" s="5" t="s">
        <v>1247</v>
      </c>
      <c r="O870" s="5" t="s">
        <v>3795</v>
      </c>
      <c r="P870" s="5"/>
      <c r="Q870" s="5" t="s">
        <v>9671</v>
      </c>
    </row>
    <row r="871" spans="2:17" x14ac:dyDescent="0.2">
      <c r="B871" s="5" t="s">
        <v>9550</v>
      </c>
      <c r="C871" s="6" t="s">
        <v>13589</v>
      </c>
      <c r="D871" s="4">
        <v>873</v>
      </c>
      <c r="E871" s="5" t="s">
        <v>20</v>
      </c>
      <c r="F871" s="5" t="s">
        <v>9665</v>
      </c>
      <c r="G871" s="6" t="s">
        <v>51</v>
      </c>
      <c r="H871" s="4"/>
      <c r="I871" s="5" t="s">
        <v>22</v>
      </c>
      <c r="J871" s="5" t="s">
        <v>61</v>
      </c>
      <c r="K871" s="5" t="s">
        <v>50</v>
      </c>
      <c r="L871" s="5"/>
      <c r="M871" s="5" t="s">
        <v>2304</v>
      </c>
      <c r="N871" s="5" t="s">
        <v>1247</v>
      </c>
      <c r="O871" s="5" t="s">
        <v>3795</v>
      </c>
      <c r="P871" s="5"/>
      <c r="Q871" s="5" t="s">
        <v>9668</v>
      </c>
    </row>
    <row r="872" spans="2:17" x14ac:dyDescent="0.2">
      <c r="B872" s="5" t="s">
        <v>12409</v>
      </c>
      <c r="C872" s="6" t="s">
        <v>13589</v>
      </c>
      <c r="D872" s="4">
        <v>1617</v>
      </c>
      <c r="E872" s="5" t="s">
        <v>82</v>
      </c>
      <c r="F872" s="5" t="s">
        <v>13051</v>
      </c>
      <c r="G872" s="6" t="s">
        <v>51</v>
      </c>
      <c r="H872" s="4"/>
      <c r="I872" s="5"/>
      <c r="J872" s="5" t="s">
        <v>13052</v>
      </c>
      <c r="K872" s="5" t="s">
        <v>13053</v>
      </c>
      <c r="L872" s="5" t="s">
        <v>13054</v>
      </c>
      <c r="M872" s="5" t="s">
        <v>1672</v>
      </c>
      <c r="N872" s="5" t="s">
        <v>2421</v>
      </c>
      <c r="O872" s="5" t="s">
        <v>12459</v>
      </c>
      <c r="P872" s="5" t="s">
        <v>13055</v>
      </c>
      <c r="Q872" s="5" t="s">
        <v>13056</v>
      </c>
    </row>
    <row r="873" spans="2:17" x14ac:dyDescent="0.2">
      <c r="B873" s="5" t="s">
        <v>12409</v>
      </c>
      <c r="C873" s="6" t="s">
        <v>13589</v>
      </c>
      <c r="D873" s="4">
        <v>1618</v>
      </c>
      <c r="E873" s="5" t="s">
        <v>82</v>
      </c>
      <c r="F873" s="5" t="s">
        <v>13051</v>
      </c>
      <c r="G873" s="6" t="s">
        <v>51</v>
      </c>
      <c r="H873" s="4"/>
      <c r="I873" s="5"/>
      <c r="J873" s="5" t="s">
        <v>13057</v>
      </c>
      <c r="K873" s="5" t="s">
        <v>13058</v>
      </c>
      <c r="L873" s="5" t="s">
        <v>13059</v>
      </c>
      <c r="M873" s="5" t="s">
        <v>1672</v>
      </c>
      <c r="N873" s="5" t="s">
        <v>2421</v>
      </c>
      <c r="O873" s="5" t="s">
        <v>12459</v>
      </c>
      <c r="P873" s="5"/>
      <c r="Q873" s="5" t="s">
        <v>13060</v>
      </c>
    </row>
    <row r="874" spans="2:17" x14ac:dyDescent="0.2">
      <c r="B874" s="5" t="s">
        <v>12409</v>
      </c>
      <c r="C874" s="6" t="s">
        <v>13589</v>
      </c>
      <c r="D874" s="4">
        <v>1776</v>
      </c>
      <c r="E874" s="5" t="s">
        <v>20</v>
      </c>
      <c r="F874" s="5" t="s">
        <v>13014</v>
      </c>
      <c r="G874" s="6" t="s">
        <v>51</v>
      </c>
      <c r="H874" s="4"/>
      <c r="I874" s="5" t="s">
        <v>22</v>
      </c>
      <c r="J874" s="5" t="s">
        <v>13027</v>
      </c>
      <c r="K874" s="5" t="s">
        <v>75</v>
      </c>
      <c r="L874" s="5" t="s">
        <v>13028</v>
      </c>
      <c r="M874" s="5" t="s">
        <v>495</v>
      </c>
      <c r="N874" s="5" t="s">
        <v>496</v>
      </c>
      <c r="O874" s="5" t="s">
        <v>12413</v>
      </c>
      <c r="P874" s="5"/>
      <c r="Q874" s="5" t="s">
        <v>13029</v>
      </c>
    </row>
    <row r="875" spans="2:17" x14ac:dyDescent="0.2">
      <c r="B875" s="5" t="s">
        <v>12409</v>
      </c>
      <c r="C875" s="6" t="s">
        <v>13589</v>
      </c>
      <c r="D875" s="4">
        <v>1777</v>
      </c>
      <c r="E875" s="5" t="s">
        <v>20</v>
      </c>
      <c r="F875" s="5" t="s">
        <v>13014</v>
      </c>
      <c r="G875" s="6" t="s">
        <v>51</v>
      </c>
      <c r="H875" s="4"/>
      <c r="I875" s="5" t="s">
        <v>22</v>
      </c>
      <c r="J875" s="5" t="s">
        <v>13030</v>
      </c>
      <c r="K875" s="5" t="s">
        <v>75</v>
      </c>
      <c r="L875" s="5" t="s">
        <v>13031</v>
      </c>
      <c r="M875" s="5" t="s">
        <v>495</v>
      </c>
      <c r="N875" s="5" t="s">
        <v>496</v>
      </c>
      <c r="O875" s="5" t="s">
        <v>12413</v>
      </c>
      <c r="P875" s="5"/>
      <c r="Q875" s="5" t="s">
        <v>13032</v>
      </c>
    </row>
    <row r="876" spans="2:17" x14ac:dyDescent="0.2">
      <c r="B876" s="5" t="s">
        <v>13091</v>
      </c>
      <c r="C876" s="6" t="s">
        <v>13589</v>
      </c>
      <c r="D876" s="4">
        <v>1800</v>
      </c>
      <c r="E876" s="5" t="s">
        <v>20</v>
      </c>
      <c r="F876" s="5" t="s">
        <v>13289</v>
      </c>
      <c r="G876" s="6" t="s">
        <v>51</v>
      </c>
      <c r="H876" s="4"/>
      <c r="I876" s="5" t="s">
        <v>38</v>
      </c>
      <c r="J876" s="5" t="s">
        <v>13293</v>
      </c>
      <c r="K876" s="5" t="s">
        <v>13291</v>
      </c>
      <c r="L876" s="5"/>
      <c r="M876" s="5" t="s">
        <v>1893</v>
      </c>
      <c r="N876" s="5" t="s">
        <v>1894</v>
      </c>
      <c r="O876" s="5" t="s">
        <v>13098</v>
      </c>
      <c r="P876" s="5"/>
      <c r="Q876" s="5" t="s">
        <v>13292</v>
      </c>
    </row>
    <row r="877" spans="2:17" x14ac:dyDescent="0.2">
      <c r="B877" s="5" t="s">
        <v>13091</v>
      </c>
      <c r="C877" s="6" t="s">
        <v>13589</v>
      </c>
      <c r="D877" s="4">
        <v>1801</v>
      </c>
      <c r="E877" s="5" t="s">
        <v>20</v>
      </c>
      <c r="F877" s="5" t="s">
        <v>13289</v>
      </c>
      <c r="G877" s="6" t="s">
        <v>51</v>
      </c>
      <c r="H877" s="4"/>
      <c r="I877" s="5" t="s">
        <v>38</v>
      </c>
      <c r="J877" s="5" t="s">
        <v>13290</v>
      </c>
      <c r="K877" s="5" t="s">
        <v>13291</v>
      </c>
      <c r="L877" s="5"/>
      <c r="M877" s="5" t="s">
        <v>1893</v>
      </c>
      <c r="N877" s="5" t="s">
        <v>2415</v>
      </c>
      <c r="O877" s="5" t="s">
        <v>13098</v>
      </c>
      <c r="P877" s="5"/>
      <c r="Q877" s="5" t="s">
        <v>13292</v>
      </c>
    </row>
    <row r="878" spans="2:17" x14ac:dyDescent="0.2">
      <c r="B878" s="5" t="s">
        <v>13091</v>
      </c>
      <c r="C878" s="6" t="s">
        <v>13589</v>
      </c>
      <c r="D878" s="4">
        <v>1802</v>
      </c>
      <c r="E878" s="5" t="s">
        <v>20</v>
      </c>
      <c r="F878" s="5" t="s">
        <v>13294</v>
      </c>
      <c r="G878" s="6" t="s">
        <v>51</v>
      </c>
      <c r="H878" s="4"/>
      <c r="I878" s="5" t="s">
        <v>22</v>
      </c>
      <c r="J878" s="5" t="s">
        <v>13295</v>
      </c>
      <c r="K878" s="5" t="s">
        <v>13296</v>
      </c>
      <c r="L878" s="5"/>
      <c r="M878" s="5" t="s">
        <v>1893</v>
      </c>
      <c r="N878" s="5" t="s">
        <v>2415</v>
      </c>
      <c r="O878" s="5" t="s">
        <v>13098</v>
      </c>
      <c r="P878" s="5"/>
      <c r="Q878" s="5" t="s">
        <v>13297</v>
      </c>
    </row>
    <row r="879" spans="2:17" x14ac:dyDescent="0.2">
      <c r="B879" s="5" t="s">
        <v>13091</v>
      </c>
      <c r="C879" s="6" t="s">
        <v>13589</v>
      </c>
      <c r="D879" s="4">
        <v>1803</v>
      </c>
      <c r="E879" s="5" t="s">
        <v>20</v>
      </c>
      <c r="F879" s="5" t="s">
        <v>13294</v>
      </c>
      <c r="G879" s="6" t="s">
        <v>51</v>
      </c>
      <c r="H879" s="4"/>
      <c r="I879" s="5" t="s">
        <v>22</v>
      </c>
      <c r="J879" s="5" t="s">
        <v>13298</v>
      </c>
      <c r="K879" s="5" t="s">
        <v>13101</v>
      </c>
      <c r="L879" s="5"/>
      <c r="M879" s="5" t="s">
        <v>1893</v>
      </c>
      <c r="N879" s="5" t="s">
        <v>2415</v>
      </c>
      <c r="O879" s="5" t="s">
        <v>13098</v>
      </c>
      <c r="P879" s="5"/>
      <c r="Q879" s="5" t="s">
        <v>13299</v>
      </c>
    </row>
    <row r="880" spans="2:17" x14ac:dyDescent="0.2">
      <c r="B880" s="5" t="s">
        <v>5154</v>
      </c>
      <c r="C880" s="6" t="s">
        <v>13589</v>
      </c>
      <c r="D880" s="4">
        <v>56</v>
      </c>
      <c r="E880" s="5" t="s">
        <v>20</v>
      </c>
      <c r="F880" s="5" t="s">
        <v>539</v>
      </c>
      <c r="G880" s="6" t="s">
        <v>59</v>
      </c>
      <c r="H880" s="4"/>
      <c r="I880" s="5" t="s">
        <v>22</v>
      </c>
      <c r="J880" s="5" t="s">
        <v>5229</v>
      </c>
      <c r="K880" s="5" t="s">
        <v>5230</v>
      </c>
      <c r="L880" s="5"/>
      <c r="M880" s="5" t="s">
        <v>495</v>
      </c>
      <c r="N880" s="5" t="s">
        <v>496</v>
      </c>
      <c r="O880" s="5" t="s">
        <v>5023</v>
      </c>
      <c r="P880" s="5"/>
      <c r="Q880" s="5" t="s">
        <v>5231</v>
      </c>
    </row>
    <row r="881" spans="2:17" x14ac:dyDescent="0.2">
      <c r="B881" s="5" t="s">
        <v>5246</v>
      </c>
      <c r="C881" s="6" t="s">
        <v>13589</v>
      </c>
      <c r="D881" s="4">
        <v>100</v>
      </c>
      <c r="E881" s="5" t="s">
        <v>20</v>
      </c>
      <c r="F881" s="5" t="s">
        <v>5290</v>
      </c>
      <c r="G881" s="6" t="s">
        <v>59</v>
      </c>
      <c r="H881" s="4"/>
      <c r="I881" s="5" t="s">
        <v>22</v>
      </c>
      <c r="J881" s="5" t="s">
        <v>5291</v>
      </c>
      <c r="K881" s="5" t="s">
        <v>5261</v>
      </c>
      <c r="L881" s="5"/>
      <c r="M881" s="5" t="s">
        <v>4373</v>
      </c>
      <c r="N881" s="5" t="s">
        <v>921</v>
      </c>
      <c r="O881" s="5" t="s">
        <v>5011</v>
      </c>
      <c r="P881" s="5"/>
      <c r="Q881" s="5" t="s">
        <v>5292</v>
      </c>
    </row>
    <row r="882" spans="2:17" x14ac:dyDescent="0.2">
      <c r="B882" s="5" t="s">
        <v>5246</v>
      </c>
      <c r="C882" s="6" t="s">
        <v>13589</v>
      </c>
      <c r="D882" s="4">
        <v>101</v>
      </c>
      <c r="E882" s="5" t="s">
        <v>20</v>
      </c>
      <c r="F882" s="5" t="s">
        <v>5293</v>
      </c>
      <c r="G882" s="6" t="s">
        <v>59</v>
      </c>
      <c r="H882" s="4"/>
      <c r="I882" s="5" t="s">
        <v>22</v>
      </c>
      <c r="J882" s="5" t="s">
        <v>5294</v>
      </c>
      <c r="K882" s="5" t="s">
        <v>5007</v>
      </c>
      <c r="L882" s="5" t="s">
        <v>5262</v>
      </c>
      <c r="M882" s="5" t="s">
        <v>4373</v>
      </c>
      <c r="N882" s="5" t="s">
        <v>921</v>
      </c>
      <c r="O882" s="5" t="s">
        <v>5011</v>
      </c>
      <c r="P882" s="5"/>
      <c r="Q882" s="5" t="s">
        <v>5295</v>
      </c>
    </row>
    <row r="883" spans="2:17" x14ac:dyDescent="0.2">
      <c r="B883" s="5" t="s">
        <v>8190</v>
      </c>
      <c r="C883" s="6" t="s">
        <v>13589</v>
      </c>
      <c r="D883" s="4">
        <v>313</v>
      </c>
      <c r="E883" s="5" t="s">
        <v>35</v>
      </c>
      <c r="F883" s="5" t="s">
        <v>491</v>
      </c>
      <c r="G883" s="6" t="s">
        <v>59</v>
      </c>
      <c r="H883" s="4"/>
      <c r="I883" s="5"/>
      <c r="J883" s="5" t="s">
        <v>8334</v>
      </c>
      <c r="K883" s="5" t="s">
        <v>8335</v>
      </c>
      <c r="L883" s="5"/>
      <c r="M883" s="5" t="s">
        <v>495</v>
      </c>
      <c r="N883" s="5" t="s">
        <v>496</v>
      </c>
      <c r="O883" s="5" t="s">
        <v>8194</v>
      </c>
      <c r="P883" s="5"/>
      <c r="Q883" s="5" t="s">
        <v>8336</v>
      </c>
    </row>
    <row r="884" spans="2:17" x14ac:dyDescent="0.2">
      <c r="B884" s="5" t="s">
        <v>9550</v>
      </c>
      <c r="C884" s="6" t="s">
        <v>13589</v>
      </c>
      <c r="D884" s="4">
        <v>764</v>
      </c>
      <c r="E884" s="5" t="s">
        <v>20</v>
      </c>
      <c r="F884" s="5" t="s">
        <v>9940</v>
      </c>
      <c r="G884" s="6" t="s">
        <v>59</v>
      </c>
      <c r="H884" s="4"/>
      <c r="I884" s="5" t="s">
        <v>22</v>
      </c>
      <c r="J884" s="5" t="s">
        <v>9990</v>
      </c>
      <c r="K884" s="5" t="s">
        <v>9564</v>
      </c>
      <c r="L884" s="5"/>
      <c r="M884" s="5" t="s">
        <v>5226</v>
      </c>
      <c r="N884" s="5" t="s">
        <v>5226</v>
      </c>
      <c r="O884" s="5" t="s">
        <v>9552</v>
      </c>
      <c r="P884" s="5"/>
      <c r="Q884" s="5" t="s">
        <v>9991</v>
      </c>
    </row>
    <row r="885" spans="2:17" x14ac:dyDescent="0.2">
      <c r="B885" s="5" t="s">
        <v>9550</v>
      </c>
      <c r="C885" s="6" t="s">
        <v>13589</v>
      </c>
      <c r="D885" s="4">
        <v>785</v>
      </c>
      <c r="E885" s="5" t="s">
        <v>20</v>
      </c>
      <c r="F885" s="5" t="s">
        <v>9940</v>
      </c>
      <c r="G885" s="6" t="s">
        <v>59</v>
      </c>
      <c r="H885" s="4"/>
      <c r="I885" s="5" t="s">
        <v>22</v>
      </c>
      <c r="J885" s="5" t="s">
        <v>9941</v>
      </c>
      <c r="K885" s="5" t="s">
        <v>17</v>
      </c>
      <c r="L885" s="5"/>
      <c r="M885" s="5" t="s">
        <v>938</v>
      </c>
      <c r="N885" s="5" t="s">
        <v>461</v>
      </c>
      <c r="O885" s="5" t="s">
        <v>9552</v>
      </c>
      <c r="P885" s="5"/>
      <c r="Q885" s="5" t="s">
        <v>9942</v>
      </c>
    </row>
    <row r="886" spans="2:17" x14ac:dyDescent="0.2">
      <c r="B886" s="5" t="s">
        <v>10685</v>
      </c>
      <c r="C886" s="6" t="s">
        <v>13589</v>
      </c>
      <c r="D886" s="4">
        <v>1233</v>
      </c>
      <c r="E886" s="5" t="s">
        <v>56</v>
      </c>
      <c r="F886" s="5" t="s">
        <v>10988</v>
      </c>
      <c r="G886" s="6" t="s">
        <v>59</v>
      </c>
      <c r="H886" s="4"/>
      <c r="I886" s="5"/>
      <c r="J886" s="5" t="s">
        <v>4981</v>
      </c>
      <c r="K886" s="5" t="s">
        <v>10989</v>
      </c>
      <c r="L886" s="5"/>
      <c r="M886" s="5" t="s">
        <v>359</v>
      </c>
      <c r="N886" s="5" t="s">
        <v>352</v>
      </c>
      <c r="O886" s="5" t="s">
        <v>10695</v>
      </c>
      <c r="P886" s="5"/>
      <c r="Q886" s="5" t="s">
        <v>10990</v>
      </c>
    </row>
    <row r="887" spans="2:17" x14ac:dyDescent="0.2">
      <c r="B887" s="5" t="s">
        <v>11377</v>
      </c>
      <c r="C887" s="6" t="s">
        <v>13589</v>
      </c>
      <c r="D887" s="4">
        <v>1335</v>
      </c>
      <c r="E887" s="5" t="s">
        <v>20</v>
      </c>
      <c r="F887" s="5" t="s">
        <v>11718</v>
      </c>
      <c r="G887" s="6" t="s">
        <v>59</v>
      </c>
      <c r="H887" s="4"/>
      <c r="I887" s="5" t="s">
        <v>38</v>
      </c>
      <c r="J887" s="5" t="s">
        <v>11719</v>
      </c>
      <c r="K887" s="5" t="s">
        <v>11385</v>
      </c>
      <c r="L887" s="5" t="s">
        <v>11720</v>
      </c>
      <c r="M887" s="5" t="s">
        <v>3763</v>
      </c>
      <c r="N887" s="5" t="s">
        <v>5102</v>
      </c>
      <c r="O887" s="5" t="s">
        <v>11378</v>
      </c>
      <c r="P887" s="5"/>
      <c r="Q887" s="5" t="s">
        <v>11721</v>
      </c>
    </row>
    <row r="888" spans="2:17" x14ac:dyDescent="0.2">
      <c r="B888" s="5" t="s">
        <v>11377</v>
      </c>
      <c r="C888" s="6" t="s">
        <v>13589</v>
      </c>
      <c r="D888" s="4">
        <v>1336</v>
      </c>
      <c r="E888" s="5" t="s">
        <v>20</v>
      </c>
      <c r="F888" s="5" t="s">
        <v>11714</v>
      </c>
      <c r="G888" s="6" t="s">
        <v>59</v>
      </c>
      <c r="H888" s="4"/>
      <c r="I888" s="5" t="s">
        <v>38</v>
      </c>
      <c r="J888" s="5" t="s">
        <v>11715</v>
      </c>
      <c r="K888" s="5" t="s">
        <v>11395</v>
      </c>
      <c r="L888" s="5" t="s">
        <v>11716</v>
      </c>
      <c r="M888" s="5" t="s">
        <v>480</v>
      </c>
      <c r="N888" s="5" t="s">
        <v>5102</v>
      </c>
      <c r="O888" s="5" t="s">
        <v>11378</v>
      </c>
      <c r="P888" s="5"/>
      <c r="Q888" s="5" t="s">
        <v>11717</v>
      </c>
    </row>
    <row r="889" spans="2:17" x14ac:dyDescent="0.2">
      <c r="B889" s="5" t="s">
        <v>11377</v>
      </c>
      <c r="C889" s="6" t="s">
        <v>13589</v>
      </c>
      <c r="D889" s="4">
        <v>1358</v>
      </c>
      <c r="E889" s="5" t="s">
        <v>20</v>
      </c>
      <c r="F889" s="5" t="s">
        <v>11636</v>
      </c>
      <c r="G889" s="6" t="s">
        <v>59</v>
      </c>
      <c r="H889" s="4"/>
      <c r="I889" s="5" t="s">
        <v>38</v>
      </c>
      <c r="J889" s="5" t="s">
        <v>11637</v>
      </c>
      <c r="K889" s="5" t="s">
        <v>11638</v>
      </c>
      <c r="L889" s="5"/>
      <c r="M889" s="5" t="s">
        <v>4184</v>
      </c>
      <c r="N889" s="5" t="s">
        <v>1530</v>
      </c>
      <c r="O889" s="5" t="s">
        <v>11378</v>
      </c>
      <c r="P889" s="5"/>
      <c r="Q889" s="5" t="s">
        <v>11639</v>
      </c>
    </row>
    <row r="890" spans="2:17" x14ac:dyDescent="0.2">
      <c r="B890" s="5" t="s">
        <v>11377</v>
      </c>
      <c r="C890" s="6" t="s">
        <v>13589</v>
      </c>
      <c r="D890" s="4">
        <v>1359</v>
      </c>
      <c r="E890" s="5" t="s">
        <v>20</v>
      </c>
      <c r="F890" s="5" t="s">
        <v>11630</v>
      </c>
      <c r="G890" s="6" t="s">
        <v>59</v>
      </c>
      <c r="H890" s="4"/>
      <c r="I890" s="5" t="s">
        <v>38</v>
      </c>
      <c r="J890" s="5" t="s">
        <v>11631</v>
      </c>
      <c r="K890" s="5" t="s">
        <v>11407</v>
      </c>
      <c r="L890" s="5"/>
      <c r="M890" s="5" t="s">
        <v>4184</v>
      </c>
      <c r="N890" s="5" t="s">
        <v>1530</v>
      </c>
      <c r="O890" s="5" t="s">
        <v>11380</v>
      </c>
      <c r="P890" s="5"/>
      <c r="Q890" s="5" t="s">
        <v>11632</v>
      </c>
    </row>
    <row r="891" spans="2:17" x14ac:dyDescent="0.2">
      <c r="B891" s="5" t="s">
        <v>11377</v>
      </c>
      <c r="C891" s="6" t="s">
        <v>13589</v>
      </c>
      <c r="D891" s="4">
        <v>1360</v>
      </c>
      <c r="E891" s="5" t="s">
        <v>20</v>
      </c>
      <c r="F891" s="5" t="s">
        <v>11630</v>
      </c>
      <c r="G891" s="6" t="s">
        <v>59</v>
      </c>
      <c r="H891" s="4"/>
      <c r="I891" s="5" t="s">
        <v>22</v>
      </c>
      <c r="J891" s="5" t="s">
        <v>11633</v>
      </c>
      <c r="K891" s="5" t="s">
        <v>11634</v>
      </c>
      <c r="L891" s="5"/>
      <c r="M891" s="5" t="s">
        <v>4184</v>
      </c>
      <c r="N891" s="5" t="s">
        <v>1530</v>
      </c>
      <c r="O891" s="5" t="s">
        <v>11380</v>
      </c>
      <c r="P891" s="5"/>
      <c r="Q891" s="5" t="s">
        <v>11635</v>
      </c>
    </row>
    <row r="892" spans="2:17" x14ac:dyDescent="0.2">
      <c r="B892" s="5" t="s">
        <v>12409</v>
      </c>
      <c r="C892" s="6" t="s">
        <v>13589</v>
      </c>
      <c r="D892" s="4">
        <v>1773</v>
      </c>
      <c r="E892" s="5" t="s">
        <v>20</v>
      </c>
      <c r="F892" s="5" t="s">
        <v>13014</v>
      </c>
      <c r="G892" s="6" t="s">
        <v>59</v>
      </c>
      <c r="H892" s="4"/>
      <c r="I892" s="5" t="s">
        <v>38</v>
      </c>
      <c r="J892" s="5" t="s">
        <v>12534</v>
      </c>
      <c r="K892" s="5" t="s">
        <v>13015</v>
      </c>
      <c r="L892" s="5" t="s">
        <v>13016</v>
      </c>
      <c r="M892" s="5" t="s">
        <v>495</v>
      </c>
      <c r="N892" s="5" t="s">
        <v>496</v>
      </c>
      <c r="O892" s="5" t="s">
        <v>12414</v>
      </c>
      <c r="P892" s="5"/>
      <c r="Q892" s="5" t="s">
        <v>13017</v>
      </c>
    </row>
    <row r="893" spans="2:17" x14ac:dyDescent="0.2">
      <c r="B893" s="5" t="s">
        <v>12409</v>
      </c>
      <c r="C893" s="6" t="s">
        <v>13589</v>
      </c>
      <c r="D893" s="4">
        <v>1774</v>
      </c>
      <c r="E893" s="5" t="s">
        <v>20</v>
      </c>
      <c r="F893" s="5" t="s">
        <v>13014</v>
      </c>
      <c r="G893" s="6" t="s">
        <v>59</v>
      </c>
      <c r="H893" s="4"/>
      <c r="I893" s="5" t="s">
        <v>22</v>
      </c>
      <c r="J893" s="5" t="s">
        <v>13018</v>
      </c>
      <c r="K893" s="5" t="s">
        <v>13019</v>
      </c>
      <c r="L893" s="5" t="s">
        <v>13020</v>
      </c>
      <c r="M893" s="5" t="s">
        <v>495</v>
      </c>
      <c r="N893" s="5" t="s">
        <v>496</v>
      </c>
      <c r="O893" s="5" t="s">
        <v>12411</v>
      </c>
      <c r="P893" s="5" t="s">
        <v>13021</v>
      </c>
      <c r="Q893" s="5" t="s">
        <v>13022</v>
      </c>
    </row>
    <row r="894" spans="2:17" x14ac:dyDescent="0.2">
      <c r="B894" s="5" t="s">
        <v>12409</v>
      </c>
      <c r="C894" s="6" t="s">
        <v>13589</v>
      </c>
      <c r="D894" s="4">
        <v>1775</v>
      </c>
      <c r="E894" s="5" t="s">
        <v>20</v>
      </c>
      <c r="F894" s="5" t="s">
        <v>13014</v>
      </c>
      <c r="G894" s="6" t="s">
        <v>59</v>
      </c>
      <c r="H894" s="4"/>
      <c r="I894" s="5" t="s">
        <v>22</v>
      </c>
      <c r="J894" s="5" t="s">
        <v>13023</v>
      </c>
      <c r="K894" s="5" t="s">
        <v>13024</v>
      </c>
      <c r="L894" s="5" t="s">
        <v>13025</v>
      </c>
      <c r="M894" s="5" t="s">
        <v>495</v>
      </c>
      <c r="N894" s="5" t="s">
        <v>496</v>
      </c>
      <c r="O894" s="5" t="s">
        <v>12414</v>
      </c>
      <c r="P894" s="5"/>
      <c r="Q894" s="5" t="s">
        <v>13026</v>
      </c>
    </row>
    <row r="895" spans="2:17" x14ac:dyDescent="0.2">
      <c r="B895" s="5" t="s">
        <v>8190</v>
      </c>
      <c r="C895" s="6" t="s">
        <v>13589</v>
      </c>
      <c r="D895" s="4">
        <v>304</v>
      </c>
      <c r="E895" s="5" t="s">
        <v>24</v>
      </c>
      <c r="F895" s="5" t="s">
        <v>8341</v>
      </c>
      <c r="G895" s="6" t="s">
        <v>86</v>
      </c>
      <c r="H895" s="4"/>
      <c r="I895" s="5"/>
      <c r="J895" s="5" t="s">
        <v>8342</v>
      </c>
      <c r="K895" s="5" t="s">
        <v>8343</v>
      </c>
      <c r="L895" s="5" t="s">
        <v>8344</v>
      </c>
      <c r="M895" s="5" t="s">
        <v>5234</v>
      </c>
      <c r="N895" s="5" t="s">
        <v>224</v>
      </c>
      <c r="O895" s="5" t="s">
        <v>8194</v>
      </c>
      <c r="P895" s="5"/>
      <c r="Q895" s="5" t="s">
        <v>8345</v>
      </c>
    </row>
    <row r="896" spans="2:17" x14ac:dyDescent="0.2">
      <c r="B896" s="5" t="s">
        <v>9008</v>
      </c>
      <c r="C896" s="6" t="s">
        <v>13589</v>
      </c>
      <c r="D896" s="4">
        <v>682</v>
      </c>
      <c r="E896" s="5" t="s">
        <v>20</v>
      </c>
      <c r="F896" s="5" t="s">
        <v>9332</v>
      </c>
      <c r="G896" s="6" t="s">
        <v>86</v>
      </c>
      <c r="H896" s="4"/>
      <c r="I896" s="5" t="s">
        <v>38</v>
      </c>
      <c r="J896" s="5" t="s">
        <v>9333</v>
      </c>
      <c r="K896" s="5" t="s">
        <v>9334</v>
      </c>
      <c r="L896" s="5"/>
      <c r="M896" s="5" t="s">
        <v>1530</v>
      </c>
      <c r="N896" s="5" t="s">
        <v>2147</v>
      </c>
      <c r="O896" s="5" t="s">
        <v>9020</v>
      </c>
      <c r="P896" s="5"/>
      <c r="Q896" s="5" t="s">
        <v>9335</v>
      </c>
    </row>
    <row r="897" spans="2:17" x14ac:dyDescent="0.2">
      <c r="B897" s="5" t="s">
        <v>11775</v>
      </c>
      <c r="C897" s="6" t="s">
        <v>13589</v>
      </c>
      <c r="D897" s="4">
        <v>1477</v>
      </c>
      <c r="E897" s="5" t="s">
        <v>82</v>
      </c>
      <c r="F897" s="5" t="s">
        <v>12092</v>
      </c>
      <c r="G897" s="6" t="s">
        <v>86</v>
      </c>
      <c r="H897" s="4"/>
      <c r="I897" s="5"/>
      <c r="J897" s="5" t="s">
        <v>12093</v>
      </c>
      <c r="K897" s="5" t="s">
        <v>12094</v>
      </c>
      <c r="L897" s="5" t="s">
        <v>12095</v>
      </c>
      <c r="M897" s="5" t="s">
        <v>148</v>
      </c>
      <c r="N897" s="5" t="s">
        <v>1415</v>
      </c>
      <c r="O897" s="5" t="s">
        <v>11780</v>
      </c>
      <c r="P897" s="5"/>
      <c r="Q897" s="5" t="s">
        <v>12096</v>
      </c>
    </row>
    <row r="898" spans="2:17" x14ac:dyDescent="0.2">
      <c r="B898" s="5" t="s">
        <v>11775</v>
      </c>
      <c r="C898" s="6" t="s">
        <v>13589</v>
      </c>
      <c r="D898" s="4">
        <v>1569</v>
      </c>
      <c r="E898" s="5" t="s">
        <v>20</v>
      </c>
      <c r="F898" s="5" t="s">
        <v>8341</v>
      </c>
      <c r="G898" s="6" t="s">
        <v>86</v>
      </c>
      <c r="H898" s="4"/>
      <c r="I898" s="5" t="s">
        <v>22</v>
      </c>
      <c r="J898" s="5" t="s">
        <v>12388</v>
      </c>
      <c r="K898" s="5" t="s">
        <v>11801</v>
      </c>
      <c r="L898" s="5" t="s">
        <v>12389</v>
      </c>
      <c r="M898" s="5" t="s">
        <v>5234</v>
      </c>
      <c r="N898" s="5" t="s">
        <v>224</v>
      </c>
      <c r="O898" s="5" t="s">
        <v>11780</v>
      </c>
      <c r="P898" s="5"/>
      <c r="Q898" s="5" t="s">
        <v>12390</v>
      </c>
    </row>
    <row r="899" spans="2:17" x14ac:dyDescent="0.2">
      <c r="B899" s="5" t="s">
        <v>12409</v>
      </c>
      <c r="C899" s="6" t="s">
        <v>13589</v>
      </c>
      <c r="D899" s="4">
        <v>1682</v>
      </c>
      <c r="E899" s="5" t="s">
        <v>24</v>
      </c>
      <c r="F899" s="5" t="s">
        <v>12752</v>
      </c>
      <c r="G899" s="6" t="s">
        <v>86</v>
      </c>
      <c r="H899" s="4"/>
      <c r="I899" s="5" t="s">
        <v>22</v>
      </c>
      <c r="J899" s="5" t="s">
        <v>12756</v>
      </c>
      <c r="K899" s="5" t="s">
        <v>12757</v>
      </c>
      <c r="L899" s="5" t="s">
        <v>12758</v>
      </c>
      <c r="M899" s="5" t="s">
        <v>197</v>
      </c>
      <c r="N899" s="5" t="s">
        <v>5360</v>
      </c>
      <c r="O899" s="5" t="s">
        <v>12418</v>
      </c>
      <c r="P899" s="5"/>
      <c r="Q899" s="5" t="s">
        <v>12759</v>
      </c>
    </row>
    <row r="900" spans="2:17" x14ac:dyDescent="0.2">
      <c r="B900" s="5" t="s">
        <v>12409</v>
      </c>
      <c r="C900" s="6" t="s">
        <v>13589</v>
      </c>
      <c r="D900" s="4">
        <v>1683</v>
      </c>
      <c r="E900" s="5" t="s">
        <v>20</v>
      </c>
      <c r="F900" s="5" t="s">
        <v>12752</v>
      </c>
      <c r="G900" s="6" t="s">
        <v>86</v>
      </c>
      <c r="H900" s="4"/>
      <c r="I900" s="5" t="s">
        <v>38</v>
      </c>
      <c r="J900" s="5" t="s">
        <v>12753</v>
      </c>
      <c r="K900" s="5" t="s">
        <v>12754</v>
      </c>
      <c r="L900" s="5"/>
      <c r="M900" s="5" t="s">
        <v>197</v>
      </c>
      <c r="N900" s="5" t="s">
        <v>5360</v>
      </c>
      <c r="O900" s="5" t="s">
        <v>12418</v>
      </c>
      <c r="P900" s="5"/>
      <c r="Q900" s="5" t="s">
        <v>12755</v>
      </c>
    </row>
    <row r="901" spans="2:17" x14ac:dyDescent="0.2">
      <c r="B901" s="5" t="s">
        <v>9550</v>
      </c>
      <c r="C901" s="6" t="s">
        <v>13589</v>
      </c>
      <c r="D901" s="4">
        <v>803</v>
      </c>
      <c r="E901" s="5" t="s">
        <v>15</v>
      </c>
      <c r="F901" s="5" t="s">
        <v>9888</v>
      </c>
      <c r="G901" s="6" t="s">
        <v>84</v>
      </c>
      <c r="H901" s="4"/>
      <c r="I901" s="5"/>
      <c r="J901" s="5" t="s">
        <v>9889</v>
      </c>
      <c r="K901" s="5" t="s">
        <v>9593</v>
      </c>
      <c r="L901" s="5"/>
      <c r="M901" s="5" t="s">
        <v>426</v>
      </c>
      <c r="N901" s="5" t="s">
        <v>423</v>
      </c>
      <c r="O901" s="5" t="s">
        <v>9557</v>
      </c>
      <c r="P901" s="5"/>
      <c r="Q901" s="5" t="s">
        <v>9890</v>
      </c>
    </row>
    <row r="902" spans="2:17" x14ac:dyDescent="0.2">
      <c r="B902" s="5" t="s">
        <v>9550</v>
      </c>
      <c r="C902" s="6" t="s">
        <v>13589</v>
      </c>
      <c r="D902" s="4">
        <v>891</v>
      </c>
      <c r="E902" s="5" t="s">
        <v>35</v>
      </c>
      <c r="F902" s="5" t="s">
        <v>9651</v>
      </c>
      <c r="G902" s="6" t="s">
        <v>84</v>
      </c>
      <c r="H902" s="4"/>
      <c r="I902" s="5"/>
      <c r="J902" s="5" t="s">
        <v>9652</v>
      </c>
      <c r="K902" s="5" t="s">
        <v>9590</v>
      </c>
      <c r="L902" s="5"/>
      <c r="M902" s="5" t="s">
        <v>2821</v>
      </c>
      <c r="N902" s="5" t="s">
        <v>1723</v>
      </c>
      <c r="O902" s="5" t="s">
        <v>3795</v>
      </c>
      <c r="P902" s="5"/>
      <c r="Q902" s="5" t="s">
        <v>9653</v>
      </c>
    </row>
    <row r="903" spans="2:17" x14ac:dyDescent="0.2">
      <c r="B903" s="5" t="s">
        <v>5036</v>
      </c>
      <c r="C903" s="6" t="s">
        <v>13589</v>
      </c>
      <c r="D903" s="4">
        <v>1</v>
      </c>
      <c r="E903" s="5" t="s">
        <v>20</v>
      </c>
      <c r="F903" s="5" t="s">
        <v>5098</v>
      </c>
      <c r="G903" s="6" t="s">
        <v>43</v>
      </c>
      <c r="H903" s="4"/>
      <c r="I903" s="5" t="s">
        <v>22</v>
      </c>
      <c r="J903" s="5" t="s">
        <v>5099</v>
      </c>
      <c r="K903" s="5" t="s">
        <v>5100</v>
      </c>
      <c r="L903" s="5" t="s">
        <v>5101</v>
      </c>
      <c r="M903" s="5" t="s">
        <v>3763</v>
      </c>
      <c r="N903" s="5" t="s">
        <v>5102</v>
      </c>
      <c r="O903" s="5" t="s">
        <v>4986</v>
      </c>
      <c r="P903" s="5"/>
      <c r="Q903" s="5" t="s">
        <v>5103</v>
      </c>
    </row>
    <row r="904" spans="2:17" x14ac:dyDescent="0.2">
      <c r="B904" s="5" t="s">
        <v>5451</v>
      </c>
      <c r="C904" s="6" t="s">
        <v>13589</v>
      </c>
      <c r="D904" s="4">
        <v>127</v>
      </c>
      <c r="E904" s="5" t="s">
        <v>20</v>
      </c>
      <c r="F904" s="5" t="s">
        <v>5098</v>
      </c>
      <c r="G904" s="6" t="s">
        <v>43</v>
      </c>
      <c r="H904" s="4"/>
      <c r="I904" s="5" t="s">
        <v>22</v>
      </c>
      <c r="J904" s="5" t="s">
        <v>5631</v>
      </c>
      <c r="K904" s="5" t="s">
        <v>5632</v>
      </c>
      <c r="L904" s="5"/>
      <c r="M904" s="5" t="s">
        <v>3763</v>
      </c>
      <c r="N904" s="5" t="s">
        <v>1894</v>
      </c>
      <c r="O904" s="5" t="s">
        <v>5453</v>
      </c>
      <c r="P904" s="5"/>
      <c r="Q904" s="5" t="s">
        <v>5633</v>
      </c>
    </row>
    <row r="905" spans="2:17" x14ac:dyDescent="0.2">
      <c r="B905" s="5" t="s">
        <v>5451</v>
      </c>
      <c r="C905" s="6" t="s">
        <v>13589</v>
      </c>
      <c r="D905" s="4">
        <v>132</v>
      </c>
      <c r="E905" s="5" t="s">
        <v>35</v>
      </c>
      <c r="F905" s="5" t="s">
        <v>5615</v>
      </c>
      <c r="G905" s="6" t="s">
        <v>43</v>
      </c>
      <c r="H905" s="4"/>
      <c r="I905" s="5"/>
      <c r="J905" s="5" t="s">
        <v>5616</v>
      </c>
      <c r="K905" s="5" t="s">
        <v>5617</v>
      </c>
      <c r="L905" s="5"/>
      <c r="M905" s="5" t="s">
        <v>197</v>
      </c>
      <c r="N905" s="5" t="s">
        <v>193</v>
      </c>
      <c r="O905" s="5" t="s">
        <v>5469</v>
      </c>
      <c r="P905" s="5"/>
      <c r="Q905" s="5" t="s">
        <v>5618</v>
      </c>
    </row>
    <row r="906" spans="2:17" x14ac:dyDescent="0.2">
      <c r="B906" s="5" t="s">
        <v>5451</v>
      </c>
      <c r="C906" s="6" t="s">
        <v>13589</v>
      </c>
      <c r="D906" s="4">
        <v>135</v>
      </c>
      <c r="E906" s="5" t="s">
        <v>20</v>
      </c>
      <c r="F906" s="5" t="s">
        <v>5606</v>
      </c>
      <c r="G906" s="6" t="s">
        <v>43</v>
      </c>
      <c r="H906" s="4"/>
      <c r="I906" s="5" t="s">
        <v>22</v>
      </c>
      <c r="J906" s="5" t="s">
        <v>5607</v>
      </c>
      <c r="K906" s="5" t="s">
        <v>5149</v>
      </c>
      <c r="L906" s="5"/>
      <c r="M906" s="5" t="s">
        <v>443</v>
      </c>
      <c r="N906" s="5" t="s">
        <v>153</v>
      </c>
      <c r="O906" s="5" t="s">
        <v>5453</v>
      </c>
      <c r="P906" s="5"/>
      <c r="Q906" s="5" t="s">
        <v>5608</v>
      </c>
    </row>
    <row r="907" spans="2:17" x14ac:dyDescent="0.2">
      <c r="B907" s="5" t="s">
        <v>5451</v>
      </c>
      <c r="C907" s="6" t="s">
        <v>13589</v>
      </c>
      <c r="D907" s="4">
        <v>136</v>
      </c>
      <c r="E907" s="5" t="s">
        <v>24</v>
      </c>
      <c r="F907" s="5" t="s">
        <v>5609</v>
      </c>
      <c r="G907" s="6" t="s">
        <v>43</v>
      </c>
      <c r="H907" s="4"/>
      <c r="I907" s="5"/>
      <c r="J907" s="5" t="s">
        <v>5607</v>
      </c>
      <c r="K907" s="5" t="s">
        <v>5149</v>
      </c>
      <c r="L907" s="5"/>
      <c r="M907" s="5" t="s">
        <v>443</v>
      </c>
      <c r="N907" s="5" t="s">
        <v>153</v>
      </c>
      <c r="O907" s="5" t="s">
        <v>5469</v>
      </c>
      <c r="P907" s="5"/>
      <c r="Q907" s="5" t="s">
        <v>5610</v>
      </c>
    </row>
    <row r="908" spans="2:17" x14ac:dyDescent="0.2">
      <c r="B908" s="5" t="s">
        <v>8190</v>
      </c>
      <c r="C908" s="6" t="s">
        <v>13589</v>
      </c>
      <c r="D908" s="4">
        <v>293</v>
      </c>
      <c r="E908" s="5" t="s">
        <v>24</v>
      </c>
      <c r="F908" s="5" t="s">
        <v>8274</v>
      </c>
      <c r="G908" s="6" t="s">
        <v>43</v>
      </c>
      <c r="H908" s="4"/>
      <c r="I908" s="5"/>
      <c r="J908" s="5" t="s">
        <v>8275</v>
      </c>
      <c r="K908" s="5" t="s">
        <v>2757</v>
      </c>
      <c r="L908" s="5"/>
      <c r="M908" s="5" t="s">
        <v>921</v>
      </c>
      <c r="N908" s="5" t="s">
        <v>4184</v>
      </c>
      <c r="O908" s="5" t="s">
        <v>8257</v>
      </c>
      <c r="P908" s="5"/>
      <c r="Q908" s="5" t="s">
        <v>8276</v>
      </c>
    </row>
    <row r="909" spans="2:17" x14ac:dyDescent="0.2">
      <c r="B909" s="5" t="s">
        <v>8190</v>
      </c>
      <c r="C909" s="6" t="s">
        <v>13589</v>
      </c>
      <c r="D909" s="4">
        <v>312</v>
      </c>
      <c r="E909" s="5" t="s">
        <v>35</v>
      </c>
      <c r="F909" s="5" t="s">
        <v>8346</v>
      </c>
      <c r="G909" s="6" t="s">
        <v>43</v>
      </c>
      <c r="H909" s="4"/>
      <c r="I909" s="5"/>
      <c r="J909" s="5" t="s">
        <v>8346</v>
      </c>
      <c r="K909" s="5" t="s">
        <v>8347</v>
      </c>
      <c r="L909" s="5"/>
      <c r="M909" s="5" t="s">
        <v>1073</v>
      </c>
      <c r="N909" s="5" t="s">
        <v>1658</v>
      </c>
      <c r="O909" s="5" t="s">
        <v>8232</v>
      </c>
      <c r="P909" s="5"/>
      <c r="Q909" s="5" t="s">
        <v>8348</v>
      </c>
    </row>
    <row r="910" spans="2:17" x14ac:dyDescent="0.2">
      <c r="B910" s="5" t="s">
        <v>8190</v>
      </c>
      <c r="C910" s="6" t="s">
        <v>13589</v>
      </c>
      <c r="D910" s="4">
        <v>317</v>
      </c>
      <c r="E910" s="5" t="s">
        <v>24</v>
      </c>
      <c r="F910" s="5" t="s">
        <v>8220</v>
      </c>
      <c r="G910" s="6" t="s">
        <v>43</v>
      </c>
      <c r="H910" s="4"/>
      <c r="I910" s="5"/>
      <c r="J910" s="5" t="s">
        <v>4742</v>
      </c>
      <c r="K910" s="5" t="s">
        <v>8221</v>
      </c>
      <c r="L910" s="5" t="s">
        <v>8222</v>
      </c>
      <c r="M910" s="5" t="s">
        <v>3094</v>
      </c>
      <c r="N910" s="5" t="s">
        <v>1470</v>
      </c>
      <c r="O910" s="5" t="s">
        <v>8204</v>
      </c>
      <c r="P910" s="5"/>
      <c r="Q910" s="5" t="s">
        <v>8223</v>
      </c>
    </row>
    <row r="911" spans="2:17" x14ac:dyDescent="0.2">
      <c r="B911" s="5" t="s">
        <v>8683</v>
      </c>
      <c r="C911" s="6" t="s">
        <v>13589</v>
      </c>
      <c r="D911" s="4">
        <v>472</v>
      </c>
      <c r="E911" s="5" t="s">
        <v>20</v>
      </c>
      <c r="F911" s="5" t="s">
        <v>8853</v>
      </c>
      <c r="G911" s="6" t="s">
        <v>43</v>
      </c>
      <c r="H911" s="4"/>
      <c r="I911" s="5" t="s">
        <v>22</v>
      </c>
      <c r="J911" s="5" t="s">
        <v>8854</v>
      </c>
      <c r="K911" s="5" t="s">
        <v>5888</v>
      </c>
      <c r="L911" s="5" t="s">
        <v>8855</v>
      </c>
      <c r="M911" s="5" t="s">
        <v>3168</v>
      </c>
      <c r="N911" s="5" t="s">
        <v>412</v>
      </c>
      <c r="O911" s="5" t="s">
        <v>5684</v>
      </c>
      <c r="P911" s="5"/>
      <c r="Q911" s="5" t="s">
        <v>8856</v>
      </c>
    </row>
    <row r="912" spans="2:17" x14ac:dyDescent="0.2">
      <c r="B912" s="5" t="s">
        <v>8683</v>
      </c>
      <c r="C912" s="6" t="s">
        <v>13589</v>
      </c>
      <c r="D912" s="4">
        <v>554</v>
      </c>
      <c r="E912" s="5" t="s">
        <v>20</v>
      </c>
      <c r="F912" s="5" t="s">
        <v>8808</v>
      </c>
      <c r="G912" s="6" t="s">
        <v>43</v>
      </c>
      <c r="H912" s="4"/>
      <c r="I912" s="5" t="s">
        <v>22</v>
      </c>
      <c r="J912" s="5" t="s">
        <v>8809</v>
      </c>
      <c r="K912" s="5" t="s">
        <v>5714</v>
      </c>
      <c r="L912" s="5"/>
      <c r="M912" s="5" t="s">
        <v>6076</v>
      </c>
      <c r="N912" s="5" t="s">
        <v>2134</v>
      </c>
      <c r="O912" s="5" t="s">
        <v>5690</v>
      </c>
      <c r="P912" s="5"/>
      <c r="Q912" s="5" t="s">
        <v>8810</v>
      </c>
    </row>
    <row r="913" spans="2:17" x14ac:dyDescent="0.2">
      <c r="B913" s="5" t="s">
        <v>9008</v>
      </c>
      <c r="C913" s="6" t="s">
        <v>13589</v>
      </c>
      <c r="D913" s="4">
        <v>574</v>
      </c>
      <c r="E913" s="5" t="s">
        <v>15</v>
      </c>
      <c r="F913" s="5" t="s">
        <v>9511</v>
      </c>
      <c r="G913" s="6" t="s">
        <v>43</v>
      </c>
      <c r="H913" s="4"/>
      <c r="I913" s="5"/>
      <c r="J913" s="5" t="s">
        <v>9512</v>
      </c>
      <c r="K913" s="5" t="s">
        <v>9046</v>
      </c>
      <c r="L913" s="5"/>
      <c r="M913" s="5" t="s">
        <v>3487</v>
      </c>
      <c r="N913" s="5" t="s">
        <v>6891</v>
      </c>
      <c r="O913" s="5" t="s">
        <v>9020</v>
      </c>
      <c r="P913" s="5"/>
      <c r="Q913" s="5" t="s">
        <v>9513</v>
      </c>
    </row>
    <row r="914" spans="2:17" x14ac:dyDescent="0.2">
      <c r="B914" s="5" t="s">
        <v>9008</v>
      </c>
      <c r="C914" s="6" t="s">
        <v>13589</v>
      </c>
      <c r="D914" s="4">
        <v>620</v>
      </c>
      <c r="E914" s="5" t="s">
        <v>56</v>
      </c>
      <c r="F914" s="5" t="s">
        <v>9286</v>
      </c>
      <c r="G914" s="6" t="s">
        <v>43</v>
      </c>
      <c r="H914" s="4"/>
      <c r="I914" s="5"/>
      <c r="J914" s="5" t="s">
        <v>9287</v>
      </c>
      <c r="K914" s="5" t="s">
        <v>9048</v>
      </c>
      <c r="L914" s="5"/>
      <c r="M914" s="5" t="s">
        <v>804</v>
      </c>
      <c r="N914" s="5" t="s">
        <v>2089</v>
      </c>
      <c r="O914" s="5" t="s">
        <v>9019</v>
      </c>
      <c r="P914" s="5"/>
      <c r="Q914" s="5" t="s">
        <v>9288</v>
      </c>
    </row>
    <row r="915" spans="2:17" x14ac:dyDescent="0.2">
      <c r="B915" s="5" t="s">
        <v>9008</v>
      </c>
      <c r="C915" s="6" t="s">
        <v>13589</v>
      </c>
      <c r="D915" s="4">
        <v>628</v>
      </c>
      <c r="E915" s="5" t="s">
        <v>20</v>
      </c>
      <c r="F915" s="5" t="s">
        <v>9255</v>
      </c>
      <c r="G915" s="6" t="s">
        <v>43</v>
      </c>
      <c r="H915" s="4"/>
      <c r="I915" s="5" t="s">
        <v>22</v>
      </c>
      <c r="J915" s="5" t="s">
        <v>9256</v>
      </c>
      <c r="K915" s="5" t="s">
        <v>9042</v>
      </c>
      <c r="L915" s="5"/>
      <c r="M915" s="5" t="s">
        <v>4971</v>
      </c>
      <c r="N915" s="5" t="s">
        <v>2376</v>
      </c>
      <c r="O915" s="5" t="s">
        <v>9028</v>
      </c>
      <c r="P915" s="5"/>
      <c r="Q915" s="5" t="s">
        <v>9257</v>
      </c>
    </row>
    <row r="916" spans="2:17" x14ac:dyDescent="0.2">
      <c r="B916" s="5" t="s">
        <v>9008</v>
      </c>
      <c r="C916" s="6" t="s">
        <v>13589</v>
      </c>
      <c r="D916" s="4">
        <v>632</v>
      </c>
      <c r="E916" s="5" t="s">
        <v>56</v>
      </c>
      <c r="F916" s="5" t="s">
        <v>9253</v>
      </c>
      <c r="G916" s="6" t="s">
        <v>43</v>
      </c>
      <c r="H916" s="4"/>
      <c r="I916" s="5"/>
      <c r="J916" s="5" t="s">
        <v>9254</v>
      </c>
      <c r="K916" s="5" t="s">
        <v>4980</v>
      </c>
      <c r="L916" s="5"/>
      <c r="M916" s="5" t="s">
        <v>3608</v>
      </c>
      <c r="N916" s="5" t="s">
        <v>1437</v>
      </c>
      <c r="O916" s="5" t="s">
        <v>9010</v>
      </c>
      <c r="P916" s="5"/>
      <c r="Q916" s="5" t="s">
        <v>9035</v>
      </c>
    </row>
    <row r="917" spans="2:17" x14ac:dyDescent="0.2">
      <c r="B917" s="5" t="s">
        <v>9008</v>
      </c>
      <c r="C917" s="6" t="s">
        <v>13589</v>
      </c>
      <c r="D917" s="4">
        <v>670</v>
      </c>
      <c r="E917" s="5" t="s">
        <v>20</v>
      </c>
      <c r="F917" s="5" t="s">
        <v>9118</v>
      </c>
      <c r="G917" s="6" t="s">
        <v>43</v>
      </c>
      <c r="H917" s="4"/>
      <c r="I917" s="5" t="s">
        <v>22</v>
      </c>
      <c r="J917" s="5" t="s">
        <v>9119</v>
      </c>
      <c r="K917" s="5" t="s">
        <v>9120</v>
      </c>
      <c r="L917" s="5"/>
      <c r="M917" s="5" t="s">
        <v>1915</v>
      </c>
      <c r="N917" s="5" t="s">
        <v>1247</v>
      </c>
      <c r="O917" s="5" t="s">
        <v>9028</v>
      </c>
      <c r="P917" s="5"/>
      <c r="Q917" s="5" t="s">
        <v>9047</v>
      </c>
    </row>
    <row r="918" spans="2:17" x14ac:dyDescent="0.2">
      <c r="B918" s="5" t="s">
        <v>9008</v>
      </c>
      <c r="C918" s="6" t="s">
        <v>13589</v>
      </c>
      <c r="D918" s="4">
        <v>671</v>
      </c>
      <c r="E918" s="5" t="s">
        <v>82</v>
      </c>
      <c r="F918" s="5" t="s">
        <v>9118</v>
      </c>
      <c r="G918" s="6" t="s">
        <v>43</v>
      </c>
      <c r="H918" s="4"/>
      <c r="I918" s="5"/>
      <c r="J918" s="5" t="s">
        <v>9140</v>
      </c>
      <c r="K918" s="5" t="s">
        <v>9046</v>
      </c>
      <c r="L918" s="5"/>
      <c r="M918" s="5" t="s">
        <v>6324</v>
      </c>
      <c r="N918" s="5" t="s">
        <v>1247</v>
      </c>
      <c r="O918" s="5" t="s">
        <v>9020</v>
      </c>
      <c r="P918" s="5"/>
      <c r="Q918" s="5" t="s">
        <v>9141</v>
      </c>
    </row>
    <row r="919" spans="2:17" x14ac:dyDescent="0.2">
      <c r="B919" s="5" t="s">
        <v>9008</v>
      </c>
      <c r="C919" s="6" t="s">
        <v>13589</v>
      </c>
      <c r="D919" s="4">
        <v>674</v>
      </c>
      <c r="E919" s="5" t="s">
        <v>20</v>
      </c>
      <c r="F919" s="5" t="s">
        <v>9129</v>
      </c>
      <c r="G919" s="6" t="s">
        <v>43</v>
      </c>
      <c r="H919" s="4"/>
      <c r="I919" s="5" t="s">
        <v>22</v>
      </c>
      <c r="J919" s="5" t="s">
        <v>9130</v>
      </c>
      <c r="K919" s="5" t="s">
        <v>9042</v>
      </c>
      <c r="L919" s="5"/>
      <c r="M919" s="5" t="s">
        <v>6324</v>
      </c>
      <c r="N919" s="5" t="s">
        <v>1247</v>
      </c>
      <c r="O919" s="5" t="s">
        <v>9028</v>
      </c>
      <c r="P919" s="5"/>
      <c r="Q919" s="5" t="s">
        <v>9131</v>
      </c>
    </row>
    <row r="920" spans="2:17" x14ac:dyDescent="0.2">
      <c r="B920" s="5" t="s">
        <v>9008</v>
      </c>
      <c r="C920" s="6" t="s">
        <v>13589</v>
      </c>
      <c r="D920" s="4">
        <v>675</v>
      </c>
      <c r="E920" s="5" t="s">
        <v>20</v>
      </c>
      <c r="F920" s="5" t="s">
        <v>9132</v>
      </c>
      <c r="G920" s="6" t="s">
        <v>43</v>
      </c>
      <c r="H920" s="4"/>
      <c r="I920" s="5" t="s">
        <v>22</v>
      </c>
      <c r="J920" s="5" t="s">
        <v>9133</v>
      </c>
      <c r="K920" s="5" t="s">
        <v>9134</v>
      </c>
      <c r="L920" s="5"/>
      <c r="M920" s="5" t="s">
        <v>6324</v>
      </c>
      <c r="N920" s="5" t="s">
        <v>1247</v>
      </c>
      <c r="O920" s="5" t="s">
        <v>9028</v>
      </c>
      <c r="P920" s="5"/>
      <c r="Q920" s="5" t="s">
        <v>9135</v>
      </c>
    </row>
    <row r="921" spans="2:17" x14ac:dyDescent="0.2">
      <c r="B921" s="5" t="s">
        <v>9008</v>
      </c>
      <c r="C921" s="6" t="s">
        <v>13589</v>
      </c>
      <c r="D921" s="4">
        <v>677</v>
      </c>
      <c r="E921" s="5" t="s">
        <v>24</v>
      </c>
      <c r="F921" s="5" t="s">
        <v>9136</v>
      </c>
      <c r="G921" s="6" t="s">
        <v>43</v>
      </c>
      <c r="H921" s="4"/>
      <c r="I921" s="5"/>
      <c r="J921" s="5" t="s">
        <v>9137</v>
      </c>
      <c r="K921" s="5" t="s">
        <v>9138</v>
      </c>
      <c r="L921" s="5"/>
      <c r="M921" s="5" t="s">
        <v>6324</v>
      </c>
      <c r="N921" s="5" t="s">
        <v>1247</v>
      </c>
      <c r="O921" s="5" t="s">
        <v>9019</v>
      </c>
      <c r="P921" s="5"/>
      <c r="Q921" s="5" t="s">
        <v>9139</v>
      </c>
    </row>
    <row r="922" spans="2:17" x14ac:dyDescent="0.2">
      <c r="B922" s="5" t="s">
        <v>9008</v>
      </c>
      <c r="C922" s="6" t="s">
        <v>13589</v>
      </c>
      <c r="D922" s="4">
        <v>725</v>
      </c>
      <c r="E922" s="5" t="s">
        <v>20</v>
      </c>
      <c r="F922" s="5" t="s">
        <v>9302</v>
      </c>
      <c r="G922" s="6" t="s">
        <v>43</v>
      </c>
      <c r="H922" s="4"/>
      <c r="I922" s="5" t="s">
        <v>22</v>
      </c>
      <c r="J922" s="5" t="s">
        <v>9303</v>
      </c>
      <c r="K922" s="5" t="s">
        <v>9018</v>
      </c>
      <c r="L922" s="5"/>
      <c r="M922" s="5" t="s">
        <v>127</v>
      </c>
      <c r="N922" s="5" t="s">
        <v>4498</v>
      </c>
      <c r="O922" s="5" t="s">
        <v>9019</v>
      </c>
      <c r="P922" s="5"/>
      <c r="Q922" s="5" t="s">
        <v>9304</v>
      </c>
    </row>
    <row r="923" spans="2:17" x14ac:dyDescent="0.2">
      <c r="B923" s="5" t="s">
        <v>9008</v>
      </c>
      <c r="C923" s="6" t="s">
        <v>13589</v>
      </c>
      <c r="D923" s="4">
        <v>726</v>
      </c>
      <c r="E923" s="5" t="s">
        <v>15</v>
      </c>
      <c r="F923" s="5" t="s">
        <v>9308</v>
      </c>
      <c r="G923" s="6" t="s">
        <v>43</v>
      </c>
      <c r="H923" s="4"/>
      <c r="I923" s="5"/>
      <c r="J923" s="5" t="s">
        <v>9309</v>
      </c>
      <c r="K923" s="5" t="s">
        <v>4974</v>
      </c>
      <c r="L923" s="5"/>
      <c r="M923" s="5" t="s">
        <v>127</v>
      </c>
      <c r="N923" s="5" t="s">
        <v>4498</v>
      </c>
      <c r="O923" s="5" t="s">
        <v>9010</v>
      </c>
      <c r="P923" s="5"/>
      <c r="Q923" s="5" t="s">
        <v>9310</v>
      </c>
    </row>
    <row r="924" spans="2:17" x14ac:dyDescent="0.2">
      <c r="B924" s="5" t="s">
        <v>9008</v>
      </c>
      <c r="C924" s="6" t="s">
        <v>13589</v>
      </c>
      <c r="D924" s="4">
        <v>728</v>
      </c>
      <c r="E924" s="5" t="s">
        <v>20</v>
      </c>
      <c r="F924" s="5" t="s">
        <v>9305</v>
      </c>
      <c r="G924" s="6" t="s">
        <v>43</v>
      </c>
      <c r="H924" s="4"/>
      <c r="I924" s="5" t="s">
        <v>22</v>
      </c>
      <c r="J924" s="5" t="s">
        <v>9306</v>
      </c>
      <c r="K924" s="5" t="s">
        <v>9041</v>
      </c>
      <c r="L924" s="5"/>
      <c r="M924" s="5" t="s">
        <v>127</v>
      </c>
      <c r="N924" s="5" t="s">
        <v>366</v>
      </c>
      <c r="O924" s="5" t="s">
        <v>9019</v>
      </c>
      <c r="P924" s="5"/>
      <c r="Q924" s="5" t="s">
        <v>9307</v>
      </c>
    </row>
    <row r="925" spans="2:17" x14ac:dyDescent="0.2">
      <c r="B925" s="5" t="s">
        <v>9550</v>
      </c>
      <c r="C925" s="6" t="s">
        <v>13589</v>
      </c>
      <c r="D925" s="4">
        <v>788</v>
      </c>
      <c r="E925" s="5" t="s">
        <v>24</v>
      </c>
      <c r="F925" s="5" t="s">
        <v>9927</v>
      </c>
      <c r="G925" s="6" t="s">
        <v>43</v>
      </c>
      <c r="H925" s="4"/>
      <c r="I925" s="5"/>
      <c r="J925" s="5" t="s">
        <v>9928</v>
      </c>
      <c r="K925" s="5" t="s">
        <v>9929</v>
      </c>
      <c r="L925" s="5"/>
      <c r="M925" s="5" t="s">
        <v>443</v>
      </c>
      <c r="N925" s="5" t="s">
        <v>153</v>
      </c>
      <c r="O925" s="5" t="s">
        <v>9552</v>
      </c>
      <c r="P925" s="5"/>
      <c r="Q925" s="5" t="s">
        <v>9930</v>
      </c>
    </row>
    <row r="926" spans="2:17" x14ac:dyDescent="0.2">
      <c r="B926" s="5" t="s">
        <v>9550</v>
      </c>
      <c r="C926" s="6" t="s">
        <v>13589</v>
      </c>
      <c r="D926" s="4">
        <v>789</v>
      </c>
      <c r="E926" s="5" t="s">
        <v>24</v>
      </c>
      <c r="F926" s="5" t="s">
        <v>9927</v>
      </c>
      <c r="G926" s="6" t="s">
        <v>43</v>
      </c>
      <c r="H926" s="4"/>
      <c r="I926" s="5"/>
      <c r="J926" s="5" t="s">
        <v>61</v>
      </c>
      <c r="K926" s="5" t="s">
        <v>9580</v>
      </c>
      <c r="L926" s="5"/>
      <c r="M926" s="5" t="s">
        <v>443</v>
      </c>
      <c r="N926" s="5" t="s">
        <v>153</v>
      </c>
      <c r="O926" s="5" t="s">
        <v>9552</v>
      </c>
      <c r="P926" s="5"/>
      <c r="Q926" s="5" t="s">
        <v>9931</v>
      </c>
    </row>
    <row r="927" spans="2:17" x14ac:dyDescent="0.2">
      <c r="B927" s="5" t="s">
        <v>9550</v>
      </c>
      <c r="C927" s="6" t="s">
        <v>13589</v>
      </c>
      <c r="D927" s="4">
        <v>863</v>
      </c>
      <c r="E927" s="5" t="s">
        <v>15</v>
      </c>
      <c r="F927" s="5" t="s">
        <v>9694</v>
      </c>
      <c r="G927" s="6" t="s">
        <v>43</v>
      </c>
      <c r="H927" s="4"/>
      <c r="I927" s="5"/>
      <c r="J927" s="5" t="s">
        <v>9695</v>
      </c>
      <c r="K927" s="5" t="s">
        <v>9566</v>
      </c>
      <c r="L927" s="5"/>
      <c r="M927" s="5" t="s">
        <v>96</v>
      </c>
      <c r="N927" s="5" t="s">
        <v>284</v>
      </c>
      <c r="O927" s="5" t="s">
        <v>9552</v>
      </c>
      <c r="P927" s="5"/>
      <c r="Q927" s="5" t="s">
        <v>9696</v>
      </c>
    </row>
    <row r="928" spans="2:17" x14ac:dyDescent="0.2">
      <c r="B928" s="5" t="s">
        <v>9550</v>
      </c>
      <c r="C928" s="6" t="s">
        <v>13589</v>
      </c>
      <c r="D928" s="4">
        <v>917</v>
      </c>
      <c r="E928" s="5" t="s">
        <v>15</v>
      </c>
      <c r="F928" s="5" t="s">
        <v>9828</v>
      </c>
      <c r="G928" s="6" t="s">
        <v>43</v>
      </c>
      <c r="H928" s="4"/>
      <c r="I928" s="5"/>
      <c r="J928" s="5" t="s">
        <v>9829</v>
      </c>
      <c r="K928" s="5" t="s">
        <v>9574</v>
      </c>
      <c r="L928" s="5"/>
      <c r="M928" s="5" t="s">
        <v>1512</v>
      </c>
      <c r="N928" s="5" t="s">
        <v>1835</v>
      </c>
      <c r="O928" s="5" t="s">
        <v>9557</v>
      </c>
      <c r="P928" s="5"/>
      <c r="Q928" s="5" t="s">
        <v>9830</v>
      </c>
    </row>
    <row r="929" spans="2:17" x14ac:dyDescent="0.2">
      <c r="B929" s="5" t="s">
        <v>9550</v>
      </c>
      <c r="C929" s="6" t="s">
        <v>13589</v>
      </c>
      <c r="D929" s="4">
        <v>942</v>
      </c>
      <c r="E929" s="5" t="s">
        <v>35</v>
      </c>
      <c r="F929" s="5" t="s">
        <v>9819</v>
      </c>
      <c r="G929" s="6" t="s">
        <v>43</v>
      </c>
      <c r="H929" s="4"/>
      <c r="I929" s="5"/>
      <c r="J929" s="5" t="s">
        <v>9820</v>
      </c>
      <c r="K929" s="5" t="s">
        <v>9579</v>
      </c>
      <c r="L929" s="5"/>
      <c r="M929" s="5" t="s">
        <v>2116</v>
      </c>
      <c r="N929" s="5" t="s">
        <v>366</v>
      </c>
      <c r="O929" s="5" t="s">
        <v>3795</v>
      </c>
      <c r="P929" s="5"/>
      <c r="Q929" s="5" t="s">
        <v>9821</v>
      </c>
    </row>
    <row r="930" spans="2:17" x14ac:dyDescent="0.2">
      <c r="B930" s="5" t="s">
        <v>9550</v>
      </c>
      <c r="C930" s="6" t="s">
        <v>13589</v>
      </c>
      <c r="D930" s="4">
        <v>943</v>
      </c>
      <c r="E930" s="5" t="s">
        <v>15</v>
      </c>
      <c r="F930" s="5" t="s">
        <v>9822</v>
      </c>
      <c r="G930" s="6" t="s">
        <v>43</v>
      </c>
      <c r="H930" s="4"/>
      <c r="I930" s="5"/>
      <c r="J930" s="5" t="s">
        <v>9610</v>
      </c>
      <c r="K930" s="5" t="s">
        <v>17</v>
      </c>
      <c r="L930" s="5"/>
      <c r="M930" s="5" t="s">
        <v>127</v>
      </c>
      <c r="N930" s="5" t="s">
        <v>366</v>
      </c>
      <c r="O930" s="5" t="s">
        <v>9552</v>
      </c>
      <c r="P930" s="5"/>
      <c r="Q930" s="5" t="s">
        <v>9823</v>
      </c>
    </row>
    <row r="931" spans="2:17" x14ac:dyDescent="0.2">
      <c r="B931" s="5" t="s">
        <v>9550</v>
      </c>
      <c r="C931" s="6" t="s">
        <v>13589</v>
      </c>
      <c r="D931" s="4">
        <v>960</v>
      </c>
      <c r="E931" s="5" t="s">
        <v>20</v>
      </c>
      <c r="F931" s="5" t="s">
        <v>9799</v>
      </c>
      <c r="G931" s="6" t="s">
        <v>43</v>
      </c>
      <c r="H931" s="4"/>
      <c r="I931" s="5" t="s">
        <v>22</v>
      </c>
      <c r="J931" s="5" t="s">
        <v>9802</v>
      </c>
      <c r="K931" s="5" t="s">
        <v>9594</v>
      </c>
      <c r="L931" s="5"/>
      <c r="M931" s="5" t="s">
        <v>359</v>
      </c>
      <c r="N931" s="5" t="s">
        <v>352</v>
      </c>
      <c r="O931" s="5" t="s">
        <v>3790</v>
      </c>
      <c r="P931" s="5"/>
      <c r="Q931" s="5" t="s">
        <v>9803</v>
      </c>
    </row>
    <row r="932" spans="2:17" x14ac:dyDescent="0.2">
      <c r="B932" s="5" t="s">
        <v>9550</v>
      </c>
      <c r="C932" s="6" t="s">
        <v>13589</v>
      </c>
      <c r="D932" s="4">
        <v>961</v>
      </c>
      <c r="E932" s="5" t="s">
        <v>20</v>
      </c>
      <c r="F932" s="5" t="s">
        <v>9799</v>
      </c>
      <c r="G932" s="6" t="s">
        <v>43</v>
      </c>
      <c r="H932" s="4"/>
      <c r="I932" s="5" t="s">
        <v>22</v>
      </c>
      <c r="J932" s="5" t="s">
        <v>9804</v>
      </c>
      <c r="K932" s="5" t="s">
        <v>30</v>
      </c>
      <c r="L932" s="5"/>
      <c r="M932" s="5" t="s">
        <v>359</v>
      </c>
      <c r="N932" s="5" t="s">
        <v>352</v>
      </c>
      <c r="O932" s="5" t="s">
        <v>9582</v>
      </c>
      <c r="P932" s="5"/>
      <c r="Q932" s="5" t="s">
        <v>9805</v>
      </c>
    </row>
    <row r="933" spans="2:17" x14ac:dyDescent="0.2">
      <c r="B933" s="5" t="s">
        <v>9550</v>
      </c>
      <c r="C933" s="6" t="s">
        <v>13589</v>
      </c>
      <c r="D933" s="4">
        <v>962</v>
      </c>
      <c r="E933" s="5" t="s">
        <v>20</v>
      </c>
      <c r="F933" s="5" t="s">
        <v>9799</v>
      </c>
      <c r="G933" s="6" t="s">
        <v>43</v>
      </c>
      <c r="H933" s="4"/>
      <c r="I933" s="5" t="s">
        <v>22</v>
      </c>
      <c r="J933" s="5" t="s">
        <v>9806</v>
      </c>
      <c r="K933" s="5" t="s">
        <v>9571</v>
      </c>
      <c r="L933" s="5"/>
      <c r="M933" s="5" t="s">
        <v>359</v>
      </c>
      <c r="N933" s="5" t="s">
        <v>352</v>
      </c>
      <c r="O933" s="5" t="s">
        <v>9552</v>
      </c>
      <c r="P933" s="5"/>
      <c r="Q933" s="5" t="s">
        <v>9807</v>
      </c>
    </row>
    <row r="934" spans="2:17" x14ac:dyDescent="0.2">
      <c r="B934" s="5" t="s">
        <v>9550</v>
      </c>
      <c r="C934" s="6" t="s">
        <v>13589</v>
      </c>
      <c r="D934" s="4">
        <v>963</v>
      </c>
      <c r="E934" s="5" t="s">
        <v>20</v>
      </c>
      <c r="F934" s="5" t="s">
        <v>9799</v>
      </c>
      <c r="G934" s="6" t="s">
        <v>43</v>
      </c>
      <c r="H934" s="4"/>
      <c r="I934" s="5" t="s">
        <v>22</v>
      </c>
      <c r="J934" s="5" t="s">
        <v>9808</v>
      </c>
      <c r="K934" s="5" t="s">
        <v>3791</v>
      </c>
      <c r="L934" s="5"/>
      <c r="M934" s="5" t="s">
        <v>359</v>
      </c>
      <c r="N934" s="5" t="s">
        <v>352</v>
      </c>
      <c r="O934" s="5" t="s">
        <v>9553</v>
      </c>
      <c r="P934" s="5"/>
      <c r="Q934" s="5" t="s">
        <v>9809</v>
      </c>
    </row>
    <row r="935" spans="2:17" x14ac:dyDescent="0.2">
      <c r="B935" s="5" t="s">
        <v>9550</v>
      </c>
      <c r="C935" s="6" t="s">
        <v>13589</v>
      </c>
      <c r="D935" s="4">
        <v>964</v>
      </c>
      <c r="E935" s="5" t="s">
        <v>20</v>
      </c>
      <c r="F935" s="5" t="s">
        <v>9799</v>
      </c>
      <c r="G935" s="6" t="s">
        <v>43</v>
      </c>
      <c r="H935" s="4"/>
      <c r="I935" s="5" t="s">
        <v>22</v>
      </c>
      <c r="J935" s="5" t="s">
        <v>9810</v>
      </c>
      <c r="K935" s="5" t="s">
        <v>9580</v>
      </c>
      <c r="L935" s="5"/>
      <c r="M935" s="5" t="s">
        <v>359</v>
      </c>
      <c r="N935" s="5" t="s">
        <v>352</v>
      </c>
      <c r="O935" s="5" t="s">
        <v>9552</v>
      </c>
      <c r="P935" s="5"/>
      <c r="Q935" s="5" t="s">
        <v>9811</v>
      </c>
    </row>
    <row r="936" spans="2:17" x14ac:dyDescent="0.2">
      <c r="B936" s="5" t="s">
        <v>9550</v>
      </c>
      <c r="C936" s="6" t="s">
        <v>13589</v>
      </c>
      <c r="D936" s="4">
        <v>965</v>
      </c>
      <c r="E936" s="5" t="s">
        <v>20</v>
      </c>
      <c r="F936" s="5" t="s">
        <v>9799</v>
      </c>
      <c r="G936" s="6" t="s">
        <v>43</v>
      </c>
      <c r="H936" s="4"/>
      <c r="I936" s="5" t="s">
        <v>22</v>
      </c>
      <c r="J936" s="5" t="s">
        <v>9800</v>
      </c>
      <c r="K936" s="5" t="s">
        <v>17</v>
      </c>
      <c r="L936" s="5"/>
      <c r="M936" s="5" t="s">
        <v>359</v>
      </c>
      <c r="N936" s="5" t="s">
        <v>352</v>
      </c>
      <c r="O936" s="5" t="s">
        <v>9552</v>
      </c>
      <c r="P936" s="5"/>
      <c r="Q936" s="5" t="s">
        <v>9801</v>
      </c>
    </row>
    <row r="937" spans="2:17" x14ac:dyDescent="0.2">
      <c r="B937" s="5" t="s">
        <v>9550</v>
      </c>
      <c r="C937" s="6" t="s">
        <v>13589</v>
      </c>
      <c r="D937" s="4">
        <v>966</v>
      </c>
      <c r="E937" s="5" t="s">
        <v>24</v>
      </c>
      <c r="F937" s="5" t="s">
        <v>9812</v>
      </c>
      <c r="G937" s="6" t="s">
        <v>43</v>
      </c>
      <c r="H937" s="4"/>
      <c r="I937" s="5"/>
      <c r="J937" s="5" t="s">
        <v>9813</v>
      </c>
      <c r="K937" s="5" t="s">
        <v>9558</v>
      </c>
      <c r="L937" s="5"/>
      <c r="M937" s="5" t="s">
        <v>362</v>
      </c>
      <c r="N937" s="5" t="s">
        <v>3638</v>
      </c>
      <c r="O937" s="5" t="s">
        <v>9814</v>
      </c>
      <c r="P937" s="5"/>
      <c r="Q937" s="5" t="s">
        <v>9815</v>
      </c>
    </row>
    <row r="938" spans="2:17" x14ac:dyDescent="0.2">
      <c r="B938" s="5" t="s">
        <v>10194</v>
      </c>
      <c r="C938" s="6" t="s">
        <v>13589</v>
      </c>
      <c r="D938" s="4">
        <v>1081</v>
      </c>
      <c r="E938" s="5" t="s">
        <v>20</v>
      </c>
      <c r="F938" s="5" t="s">
        <v>10579</v>
      </c>
      <c r="G938" s="6" t="s">
        <v>43</v>
      </c>
      <c r="H938" s="4"/>
      <c r="I938" s="5" t="s">
        <v>22</v>
      </c>
      <c r="J938" s="5" t="s">
        <v>10580</v>
      </c>
      <c r="K938" s="5" t="s">
        <v>10581</v>
      </c>
      <c r="L938" s="5"/>
      <c r="M938" s="5" t="s">
        <v>6076</v>
      </c>
      <c r="N938" s="5" t="s">
        <v>400</v>
      </c>
      <c r="O938" s="5" t="s">
        <v>10204</v>
      </c>
      <c r="P938" s="5"/>
      <c r="Q938" s="5" t="s">
        <v>10582</v>
      </c>
    </row>
    <row r="939" spans="2:17" x14ac:dyDescent="0.2">
      <c r="B939" s="5" t="s">
        <v>10685</v>
      </c>
      <c r="C939" s="6" t="s">
        <v>13589</v>
      </c>
      <c r="D939" s="4">
        <v>1118</v>
      </c>
      <c r="E939" s="5" t="s">
        <v>20</v>
      </c>
      <c r="F939" s="5" t="s">
        <v>11076</v>
      </c>
      <c r="G939" s="6" t="s">
        <v>43</v>
      </c>
      <c r="H939" s="4"/>
      <c r="I939" s="5" t="s">
        <v>38</v>
      </c>
      <c r="J939" s="5" t="s">
        <v>11077</v>
      </c>
      <c r="K939" s="5" t="s">
        <v>11030</v>
      </c>
      <c r="L939" s="5"/>
      <c r="M939" s="5" t="s">
        <v>2254</v>
      </c>
      <c r="N939" s="5" t="s">
        <v>1681</v>
      </c>
      <c r="O939" s="5" t="s">
        <v>10734</v>
      </c>
      <c r="P939" s="5"/>
      <c r="Q939" s="5" t="s">
        <v>11078</v>
      </c>
    </row>
    <row r="940" spans="2:17" x14ac:dyDescent="0.2">
      <c r="B940" s="5" t="s">
        <v>11775</v>
      </c>
      <c r="C940" s="6" t="s">
        <v>13589</v>
      </c>
      <c r="D940" s="4">
        <v>1457</v>
      </c>
      <c r="E940" s="5" t="s">
        <v>20</v>
      </c>
      <c r="F940" s="5" t="s">
        <v>12279</v>
      </c>
      <c r="G940" s="6" t="s">
        <v>43</v>
      </c>
      <c r="H940" s="4"/>
      <c r="I940" s="5" t="s">
        <v>22</v>
      </c>
      <c r="J940" s="5" t="s">
        <v>12280</v>
      </c>
      <c r="K940" s="5" t="s">
        <v>11805</v>
      </c>
      <c r="L940" s="5"/>
      <c r="M940" s="5" t="s">
        <v>211</v>
      </c>
      <c r="N940" s="5" t="s">
        <v>2198</v>
      </c>
      <c r="O940" s="5" t="s">
        <v>11782</v>
      </c>
      <c r="P940" s="5"/>
      <c r="Q940" s="5" t="s">
        <v>12281</v>
      </c>
    </row>
    <row r="941" spans="2:17" x14ac:dyDescent="0.2">
      <c r="B941" s="5" t="s">
        <v>11775</v>
      </c>
      <c r="C941" s="6" t="s">
        <v>13589</v>
      </c>
      <c r="D941" s="4">
        <v>1512</v>
      </c>
      <c r="E941" s="5" t="s">
        <v>20</v>
      </c>
      <c r="F941" s="5" t="s">
        <v>11894</v>
      </c>
      <c r="G941" s="6" t="s">
        <v>43</v>
      </c>
      <c r="H941" s="4"/>
      <c r="I941" s="5" t="s">
        <v>22</v>
      </c>
      <c r="J941" s="5" t="s">
        <v>11895</v>
      </c>
      <c r="K941" s="5" t="s">
        <v>11828</v>
      </c>
      <c r="L941" s="5"/>
      <c r="M941" s="5" t="s">
        <v>1269</v>
      </c>
      <c r="N941" s="5" t="s">
        <v>1262</v>
      </c>
      <c r="O941" s="5" t="s">
        <v>11782</v>
      </c>
      <c r="P941" s="5"/>
      <c r="Q941" s="5" t="s">
        <v>11896</v>
      </c>
    </row>
    <row r="942" spans="2:17" x14ac:dyDescent="0.2">
      <c r="B942" s="5" t="s">
        <v>12409</v>
      </c>
      <c r="C942" s="6" t="s">
        <v>13589</v>
      </c>
      <c r="D942" s="4">
        <v>1770</v>
      </c>
      <c r="E942" s="5" t="s">
        <v>20</v>
      </c>
      <c r="F942" s="5" t="s">
        <v>12732</v>
      </c>
      <c r="G942" s="6" t="s">
        <v>43</v>
      </c>
      <c r="H942" s="4"/>
      <c r="I942" s="5" t="s">
        <v>38</v>
      </c>
      <c r="J942" s="5" t="s">
        <v>12733</v>
      </c>
      <c r="K942" s="5" t="s">
        <v>75</v>
      </c>
      <c r="L942" s="5" t="s">
        <v>12734</v>
      </c>
      <c r="M942" s="5" t="s">
        <v>1512</v>
      </c>
      <c r="N942" s="5" t="s">
        <v>1835</v>
      </c>
      <c r="O942" s="5" t="s">
        <v>12413</v>
      </c>
      <c r="P942" s="5" t="s">
        <v>12735</v>
      </c>
      <c r="Q942" s="5" t="s">
        <v>12736</v>
      </c>
    </row>
    <row r="943" spans="2:17" x14ac:dyDescent="0.2">
      <c r="B943" s="5" t="s">
        <v>13091</v>
      </c>
      <c r="C943" s="6" t="s">
        <v>13589</v>
      </c>
      <c r="D943" s="4">
        <v>1805</v>
      </c>
      <c r="E943" s="5" t="s">
        <v>82</v>
      </c>
      <c r="F943" s="5" t="s">
        <v>13284</v>
      </c>
      <c r="G943" s="6" t="s">
        <v>43</v>
      </c>
      <c r="H943" s="4"/>
      <c r="I943" s="5"/>
      <c r="J943" s="5" t="s">
        <v>13103</v>
      </c>
      <c r="K943" s="5" t="s">
        <v>13104</v>
      </c>
      <c r="L943" s="5"/>
      <c r="M943" s="5" t="s">
        <v>1843</v>
      </c>
      <c r="N943" s="5" t="s">
        <v>204</v>
      </c>
      <c r="O943" s="5" t="s">
        <v>13098</v>
      </c>
      <c r="P943" s="5"/>
      <c r="Q943" s="5" t="s">
        <v>13285</v>
      </c>
    </row>
    <row r="944" spans="2:17" x14ac:dyDescent="0.2">
      <c r="B944" s="5" t="s">
        <v>8364</v>
      </c>
      <c r="C944" s="6" t="s">
        <v>13589</v>
      </c>
      <c r="D944" s="4">
        <v>429</v>
      </c>
      <c r="E944" s="5" t="s">
        <v>20</v>
      </c>
      <c r="F944" s="5" t="s">
        <v>8576</v>
      </c>
      <c r="G944" s="6" t="s">
        <v>8577</v>
      </c>
      <c r="H944" s="4"/>
      <c r="I944" s="5" t="s">
        <v>22</v>
      </c>
      <c r="J944" s="5" t="s">
        <v>8578</v>
      </c>
      <c r="K944" s="5" t="s">
        <v>8385</v>
      </c>
      <c r="L944" s="5"/>
      <c r="M944" s="5" t="s">
        <v>219</v>
      </c>
      <c r="N944" s="5" t="s">
        <v>2224</v>
      </c>
      <c r="O944" s="5" t="s">
        <v>8368</v>
      </c>
      <c r="P944" s="5"/>
      <c r="Q944" s="5" t="s">
        <v>8579</v>
      </c>
    </row>
    <row r="945" spans="2:17" x14ac:dyDescent="0.2">
      <c r="B945" s="5" t="s">
        <v>8683</v>
      </c>
      <c r="C945" s="6" t="s">
        <v>13589</v>
      </c>
      <c r="D945" s="4">
        <v>461</v>
      </c>
      <c r="E945" s="5" t="s">
        <v>20</v>
      </c>
      <c r="F945" s="5" t="s">
        <v>8900</v>
      </c>
      <c r="G945" s="6" t="s">
        <v>1162</v>
      </c>
      <c r="H945" s="4"/>
      <c r="I945" s="5" t="s">
        <v>38</v>
      </c>
      <c r="J945" s="5" t="s">
        <v>8901</v>
      </c>
      <c r="K945" s="5" t="s">
        <v>8886</v>
      </c>
      <c r="L945" s="5"/>
      <c r="M945" s="5" t="s">
        <v>157</v>
      </c>
      <c r="N945" s="5" t="s">
        <v>153</v>
      </c>
      <c r="O945" s="5" t="s">
        <v>5687</v>
      </c>
      <c r="P945" s="5"/>
      <c r="Q945" s="5" t="s">
        <v>8902</v>
      </c>
    </row>
    <row r="946" spans="2:17" x14ac:dyDescent="0.2">
      <c r="B946" s="5" t="s">
        <v>9550</v>
      </c>
      <c r="C946" s="6" t="s">
        <v>13589</v>
      </c>
      <c r="D946" s="4">
        <v>776</v>
      </c>
      <c r="E946" s="5" t="s">
        <v>24</v>
      </c>
      <c r="F946" s="5" t="s">
        <v>9978</v>
      </c>
      <c r="G946" s="6" t="s">
        <v>1162</v>
      </c>
      <c r="H946" s="4"/>
      <c r="I946" s="5"/>
      <c r="J946" s="5" t="s">
        <v>9979</v>
      </c>
      <c r="K946" s="5" t="s">
        <v>9580</v>
      </c>
      <c r="L946" s="5"/>
      <c r="M946" s="5" t="s">
        <v>1843</v>
      </c>
      <c r="N946" s="5" t="s">
        <v>1844</v>
      </c>
      <c r="O946" s="5" t="s">
        <v>9552</v>
      </c>
      <c r="P946" s="5"/>
      <c r="Q946" s="5" t="s">
        <v>9980</v>
      </c>
    </row>
    <row r="947" spans="2:17" x14ac:dyDescent="0.2">
      <c r="B947" s="5" t="s">
        <v>5451</v>
      </c>
      <c r="C947" s="6" t="s">
        <v>13589</v>
      </c>
      <c r="D947" s="4">
        <v>197</v>
      </c>
      <c r="E947" s="5" t="s">
        <v>15</v>
      </c>
      <c r="F947" s="5" t="s">
        <v>5569</v>
      </c>
      <c r="G947" s="6" t="s">
        <v>54</v>
      </c>
      <c r="H947" s="4"/>
      <c r="I947" s="5"/>
      <c r="J947" s="5" t="s">
        <v>5570</v>
      </c>
      <c r="K947" s="5" t="s">
        <v>4996</v>
      </c>
      <c r="L947" s="5"/>
      <c r="M947" s="5" t="s">
        <v>362</v>
      </c>
      <c r="N947" s="5" t="s">
        <v>3638</v>
      </c>
      <c r="O947" s="5" t="s">
        <v>5453</v>
      </c>
      <c r="P947" s="5"/>
      <c r="Q947" s="5" t="s">
        <v>5571</v>
      </c>
    </row>
    <row r="948" spans="2:17" x14ac:dyDescent="0.2">
      <c r="B948" s="5" t="s">
        <v>5681</v>
      </c>
      <c r="C948" s="6" t="s">
        <v>13589</v>
      </c>
      <c r="D948" s="4">
        <v>223</v>
      </c>
      <c r="E948" s="5" t="s">
        <v>20</v>
      </c>
      <c r="F948" s="5" t="s">
        <v>5837</v>
      </c>
      <c r="G948" s="6" t="s">
        <v>54</v>
      </c>
      <c r="H948" s="4"/>
      <c r="I948" s="5" t="s">
        <v>22</v>
      </c>
      <c r="J948" s="5" t="s">
        <v>5838</v>
      </c>
      <c r="K948" s="5" t="s">
        <v>5686</v>
      </c>
      <c r="L948" s="5"/>
      <c r="M948" s="5" t="s">
        <v>1928</v>
      </c>
      <c r="N948" s="5" t="s">
        <v>4765</v>
      </c>
      <c r="O948" s="5" t="s">
        <v>5687</v>
      </c>
      <c r="P948" s="5"/>
      <c r="Q948" s="5" t="s">
        <v>5839</v>
      </c>
    </row>
    <row r="949" spans="2:17" x14ac:dyDescent="0.2">
      <c r="B949" s="5" t="s">
        <v>5681</v>
      </c>
      <c r="C949" s="6" t="s">
        <v>13589</v>
      </c>
      <c r="D949" s="4">
        <v>243</v>
      </c>
      <c r="E949" s="5" t="s">
        <v>20</v>
      </c>
      <c r="F949" s="5" t="s">
        <v>5768</v>
      </c>
      <c r="G949" s="6" t="s">
        <v>54</v>
      </c>
      <c r="H949" s="4"/>
      <c r="I949" s="5" t="s">
        <v>22</v>
      </c>
      <c r="J949" s="5" t="s">
        <v>5769</v>
      </c>
      <c r="K949" s="5" t="s">
        <v>5686</v>
      </c>
      <c r="L949" s="5"/>
      <c r="M949" s="5" t="s">
        <v>1736</v>
      </c>
      <c r="N949" s="5" t="s">
        <v>1269</v>
      </c>
      <c r="O949" s="5" t="s">
        <v>5687</v>
      </c>
      <c r="P949" s="5"/>
      <c r="Q949" s="5" t="s">
        <v>5770</v>
      </c>
    </row>
    <row r="950" spans="2:17" x14ac:dyDescent="0.2">
      <c r="B950" s="5" t="s">
        <v>5681</v>
      </c>
      <c r="C950" s="6" t="s">
        <v>13589</v>
      </c>
      <c r="D950" s="4">
        <v>244</v>
      </c>
      <c r="E950" s="5" t="s">
        <v>20</v>
      </c>
      <c r="F950" s="5" t="s">
        <v>5768</v>
      </c>
      <c r="G950" s="6" t="s">
        <v>54</v>
      </c>
      <c r="H950" s="4"/>
      <c r="I950" s="5" t="s">
        <v>22</v>
      </c>
      <c r="J950" s="5" t="s">
        <v>5771</v>
      </c>
      <c r="K950" s="5" t="s">
        <v>5772</v>
      </c>
      <c r="L950" s="5"/>
      <c r="M950" s="5" t="s">
        <v>1736</v>
      </c>
      <c r="N950" s="5" t="s">
        <v>1269</v>
      </c>
      <c r="O950" s="5" t="s">
        <v>5687</v>
      </c>
      <c r="P950" s="5"/>
      <c r="Q950" s="5" t="s">
        <v>5773</v>
      </c>
    </row>
    <row r="951" spans="2:17" x14ac:dyDescent="0.2">
      <c r="B951" s="5" t="s">
        <v>5681</v>
      </c>
      <c r="C951" s="6" t="s">
        <v>13589</v>
      </c>
      <c r="D951" s="4">
        <v>245</v>
      </c>
      <c r="E951" s="5" t="s">
        <v>20</v>
      </c>
      <c r="F951" s="5" t="s">
        <v>5774</v>
      </c>
      <c r="G951" s="6" t="s">
        <v>54</v>
      </c>
      <c r="H951" s="4"/>
      <c r="I951" s="5" t="s">
        <v>22</v>
      </c>
      <c r="J951" s="5" t="s">
        <v>5775</v>
      </c>
      <c r="K951" s="5" t="s">
        <v>5686</v>
      </c>
      <c r="L951" s="5"/>
      <c r="M951" s="5" t="s">
        <v>1736</v>
      </c>
      <c r="N951" s="5" t="s">
        <v>1269</v>
      </c>
      <c r="O951" s="5" t="s">
        <v>5687</v>
      </c>
      <c r="P951" s="5"/>
      <c r="Q951" s="5" t="s">
        <v>5776</v>
      </c>
    </row>
    <row r="952" spans="2:17" x14ac:dyDescent="0.2">
      <c r="B952" s="5" t="s">
        <v>5681</v>
      </c>
      <c r="C952" s="6" t="s">
        <v>13589</v>
      </c>
      <c r="D952" s="4">
        <v>246</v>
      </c>
      <c r="E952" s="5" t="s">
        <v>20</v>
      </c>
      <c r="F952" s="5" t="s">
        <v>5774</v>
      </c>
      <c r="G952" s="6" t="s">
        <v>54</v>
      </c>
      <c r="H952" s="4"/>
      <c r="I952" s="5" t="s">
        <v>22</v>
      </c>
      <c r="J952" s="5" t="s">
        <v>5777</v>
      </c>
      <c r="K952" s="5" t="s">
        <v>5686</v>
      </c>
      <c r="L952" s="5"/>
      <c r="M952" s="5" t="s">
        <v>1736</v>
      </c>
      <c r="N952" s="5" t="s">
        <v>1269</v>
      </c>
      <c r="O952" s="5" t="s">
        <v>5687</v>
      </c>
      <c r="P952" s="5"/>
      <c r="Q952" s="5" t="s">
        <v>5778</v>
      </c>
    </row>
    <row r="953" spans="2:17" x14ac:dyDescent="0.2">
      <c r="B953" s="5" t="s">
        <v>8190</v>
      </c>
      <c r="C953" s="6" t="s">
        <v>13589</v>
      </c>
      <c r="D953" s="4">
        <v>306</v>
      </c>
      <c r="E953" s="5" t="s">
        <v>82</v>
      </c>
      <c r="F953" s="5" t="s">
        <v>8241</v>
      </c>
      <c r="G953" s="6" t="s">
        <v>54</v>
      </c>
      <c r="H953" s="4"/>
      <c r="I953" s="5"/>
      <c r="J953" s="5" t="s">
        <v>8248</v>
      </c>
      <c r="K953" s="5" t="s">
        <v>8231</v>
      </c>
      <c r="L953" s="5"/>
      <c r="M953" s="5" t="s">
        <v>843</v>
      </c>
      <c r="N953" s="5" t="s">
        <v>131</v>
      </c>
      <c r="O953" s="5" t="s">
        <v>8232</v>
      </c>
      <c r="P953" s="5"/>
      <c r="Q953" s="5" t="s">
        <v>8249</v>
      </c>
    </row>
    <row r="954" spans="2:17" x14ac:dyDescent="0.2">
      <c r="B954" s="5" t="s">
        <v>8190</v>
      </c>
      <c r="C954" s="6" t="s">
        <v>13589</v>
      </c>
      <c r="D954" s="4">
        <v>307</v>
      </c>
      <c r="E954" s="5" t="s">
        <v>82</v>
      </c>
      <c r="F954" s="5" t="s">
        <v>8241</v>
      </c>
      <c r="G954" s="6" t="s">
        <v>54</v>
      </c>
      <c r="H954" s="4"/>
      <c r="I954" s="5"/>
      <c r="J954" s="5" t="s">
        <v>8250</v>
      </c>
      <c r="K954" s="5" t="s">
        <v>8251</v>
      </c>
      <c r="L954" s="5"/>
      <c r="M954" s="5" t="s">
        <v>843</v>
      </c>
      <c r="N954" s="5" t="s">
        <v>131</v>
      </c>
      <c r="O954" s="5" t="s">
        <v>8232</v>
      </c>
      <c r="P954" s="5"/>
      <c r="Q954" s="5" t="s">
        <v>8252</v>
      </c>
    </row>
    <row r="955" spans="2:17" x14ac:dyDescent="0.2">
      <c r="B955" s="5" t="s">
        <v>8190</v>
      </c>
      <c r="C955" s="6" t="s">
        <v>13589</v>
      </c>
      <c r="D955" s="4">
        <v>308</v>
      </c>
      <c r="E955" s="5" t="s">
        <v>24</v>
      </c>
      <c r="F955" s="5" t="s">
        <v>8241</v>
      </c>
      <c r="G955" s="6" t="s">
        <v>54</v>
      </c>
      <c r="H955" s="4"/>
      <c r="I955" s="5"/>
      <c r="J955" s="5" t="s">
        <v>8242</v>
      </c>
      <c r="K955" s="5" t="s">
        <v>8231</v>
      </c>
      <c r="L955" s="5"/>
      <c r="M955" s="5" t="s">
        <v>131</v>
      </c>
      <c r="N955" s="5" t="s">
        <v>131</v>
      </c>
      <c r="O955" s="5" t="s">
        <v>8232</v>
      </c>
      <c r="P955" s="5"/>
      <c r="Q955" s="5" t="s">
        <v>8243</v>
      </c>
    </row>
    <row r="956" spans="2:17" x14ac:dyDescent="0.2">
      <c r="B956" s="5" t="s">
        <v>8190</v>
      </c>
      <c r="C956" s="6" t="s">
        <v>13589</v>
      </c>
      <c r="D956" s="4">
        <v>309</v>
      </c>
      <c r="E956" s="5" t="s">
        <v>35</v>
      </c>
      <c r="F956" s="5" t="s">
        <v>8244</v>
      </c>
      <c r="G956" s="6" t="s">
        <v>54</v>
      </c>
      <c r="H956" s="4"/>
      <c r="I956" s="5"/>
      <c r="J956" s="5" t="s">
        <v>8245</v>
      </c>
      <c r="K956" s="5" t="s">
        <v>8231</v>
      </c>
      <c r="L956" s="5" t="s">
        <v>8246</v>
      </c>
      <c r="M956" s="5" t="s">
        <v>131</v>
      </c>
      <c r="N956" s="5" t="s">
        <v>131</v>
      </c>
      <c r="O956" s="5" t="s">
        <v>8232</v>
      </c>
      <c r="P956" s="5"/>
      <c r="Q956" s="5" t="s">
        <v>8247</v>
      </c>
    </row>
    <row r="957" spans="2:17" x14ac:dyDescent="0.2">
      <c r="B957" s="5" t="s">
        <v>8190</v>
      </c>
      <c r="C957" s="6" t="s">
        <v>13589</v>
      </c>
      <c r="D957" s="4">
        <v>319</v>
      </c>
      <c r="E957" s="5" t="s">
        <v>13</v>
      </c>
      <c r="F957" s="5" t="s">
        <v>8215</v>
      </c>
      <c r="G957" s="6" t="s">
        <v>54</v>
      </c>
      <c r="H957" s="4"/>
      <c r="I957" s="5"/>
      <c r="J957" s="5" t="s">
        <v>8216</v>
      </c>
      <c r="K957" s="5" t="s">
        <v>8217</v>
      </c>
      <c r="L957" s="5"/>
      <c r="M957" s="5" t="s">
        <v>352</v>
      </c>
      <c r="N957" s="5" t="s">
        <v>352</v>
      </c>
      <c r="O957" s="5" t="s">
        <v>8218</v>
      </c>
      <c r="P957" s="5"/>
      <c r="Q957" s="5" t="s">
        <v>8219</v>
      </c>
    </row>
    <row r="958" spans="2:17" x14ac:dyDescent="0.2">
      <c r="B958" s="5" t="s">
        <v>8683</v>
      </c>
      <c r="C958" s="6" t="s">
        <v>13589</v>
      </c>
      <c r="D958" s="4">
        <v>443</v>
      </c>
      <c r="E958" s="5" t="s">
        <v>35</v>
      </c>
      <c r="F958" s="5" t="s">
        <v>8947</v>
      </c>
      <c r="G958" s="6" t="s">
        <v>54</v>
      </c>
      <c r="H958" s="4"/>
      <c r="I958" s="5"/>
      <c r="J958" s="5"/>
      <c r="K958" s="5" t="s">
        <v>8948</v>
      </c>
      <c r="L958" s="5"/>
      <c r="M958" s="5" t="s">
        <v>1844</v>
      </c>
      <c r="N958" s="5" t="s">
        <v>465</v>
      </c>
      <c r="O958" s="5" t="s">
        <v>5684</v>
      </c>
      <c r="P958" s="5"/>
      <c r="Q958" s="5" t="s">
        <v>8949</v>
      </c>
    </row>
    <row r="959" spans="2:17" x14ac:dyDescent="0.2">
      <c r="B959" s="5" t="s">
        <v>8683</v>
      </c>
      <c r="C959" s="6" t="s">
        <v>13589</v>
      </c>
      <c r="D959" s="4">
        <v>470</v>
      </c>
      <c r="E959" s="5" t="s">
        <v>24</v>
      </c>
      <c r="F959" s="5" t="s">
        <v>8860</v>
      </c>
      <c r="G959" s="6" t="s">
        <v>54</v>
      </c>
      <c r="H959" s="4"/>
      <c r="I959" s="5"/>
      <c r="J959" s="5" t="s">
        <v>8861</v>
      </c>
      <c r="K959" s="5" t="s">
        <v>5686</v>
      </c>
      <c r="L959" s="5" t="s">
        <v>8862</v>
      </c>
      <c r="M959" s="5" t="s">
        <v>920</v>
      </c>
      <c r="N959" s="5" t="s">
        <v>417</v>
      </c>
      <c r="O959" s="5" t="s">
        <v>5687</v>
      </c>
      <c r="P959" s="5"/>
      <c r="Q959" s="5" t="s">
        <v>8863</v>
      </c>
    </row>
    <row r="960" spans="2:17" x14ac:dyDescent="0.2">
      <c r="B960" s="5" t="s">
        <v>8683</v>
      </c>
      <c r="C960" s="6" t="s">
        <v>13589</v>
      </c>
      <c r="D960" s="4">
        <v>473</v>
      </c>
      <c r="E960" s="5" t="s">
        <v>35</v>
      </c>
      <c r="F960" s="5" t="s">
        <v>8849</v>
      </c>
      <c r="G960" s="6" t="s">
        <v>54</v>
      </c>
      <c r="H960" s="4"/>
      <c r="I960" s="5"/>
      <c r="J960" s="5" t="s">
        <v>8850</v>
      </c>
      <c r="K960" s="5" t="s">
        <v>5686</v>
      </c>
      <c r="L960" s="5" t="s">
        <v>8851</v>
      </c>
      <c r="M960" s="5" t="s">
        <v>4184</v>
      </c>
      <c r="N960" s="5" t="s">
        <v>5284</v>
      </c>
      <c r="O960" s="5" t="s">
        <v>5687</v>
      </c>
      <c r="P960" s="5"/>
      <c r="Q960" s="5" t="s">
        <v>8852</v>
      </c>
    </row>
    <row r="961" spans="2:17" x14ac:dyDescent="0.2">
      <c r="B961" s="5" t="s">
        <v>8683</v>
      </c>
      <c r="C961" s="6" t="s">
        <v>13589</v>
      </c>
      <c r="D961" s="4">
        <v>476</v>
      </c>
      <c r="E961" s="5" t="s">
        <v>20</v>
      </c>
      <c r="F961" s="5" t="s">
        <v>8846</v>
      </c>
      <c r="G961" s="6" t="s">
        <v>54</v>
      </c>
      <c r="H961" s="4"/>
      <c r="I961" s="5" t="s">
        <v>22</v>
      </c>
      <c r="J961" s="5" t="s">
        <v>8847</v>
      </c>
      <c r="K961" s="5" t="s">
        <v>5704</v>
      </c>
      <c r="L961" s="5"/>
      <c r="M961" s="5" t="s">
        <v>4184</v>
      </c>
      <c r="N961" s="5" t="s">
        <v>138</v>
      </c>
      <c r="O961" s="5" t="s">
        <v>5697</v>
      </c>
      <c r="P961" s="5"/>
      <c r="Q961" s="5" t="s">
        <v>8848</v>
      </c>
    </row>
    <row r="962" spans="2:17" x14ac:dyDescent="0.2">
      <c r="B962" s="5" t="s">
        <v>8683</v>
      </c>
      <c r="C962" s="6" t="s">
        <v>13589</v>
      </c>
      <c r="D962" s="4">
        <v>489</v>
      </c>
      <c r="E962" s="5" t="s">
        <v>20</v>
      </c>
      <c r="F962" s="5" t="s">
        <v>8868</v>
      </c>
      <c r="G962" s="6" t="s">
        <v>54</v>
      </c>
      <c r="H962" s="4"/>
      <c r="I962" s="5" t="s">
        <v>38</v>
      </c>
      <c r="J962" s="5" t="s">
        <v>8869</v>
      </c>
      <c r="K962" s="5" t="s">
        <v>5691</v>
      </c>
      <c r="L962" s="5"/>
      <c r="M962" s="5" t="s">
        <v>422</v>
      </c>
      <c r="N962" s="5" t="s">
        <v>2074</v>
      </c>
      <c r="O962" s="5" t="s">
        <v>5690</v>
      </c>
      <c r="P962" s="5"/>
      <c r="Q962" s="5" t="s">
        <v>8870</v>
      </c>
    </row>
    <row r="963" spans="2:17" x14ac:dyDescent="0.2">
      <c r="B963" s="5" t="s">
        <v>8683</v>
      </c>
      <c r="C963" s="6" t="s">
        <v>13589</v>
      </c>
      <c r="D963" s="4">
        <v>515</v>
      </c>
      <c r="E963" s="5" t="s">
        <v>20</v>
      </c>
      <c r="F963" s="5" t="s">
        <v>5837</v>
      </c>
      <c r="G963" s="6" t="s">
        <v>54</v>
      </c>
      <c r="H963" s="4"/>
      <c r="I963" s="5" t="s">
        <v>22</v>
      </c>
      <c r="J963" s="5" t="s">
        <v>5838</v>
      </c>
      <c r="K963" s="5" t="s">
        <v>5686</v>
      </c>
      <c r="L963" s="5"/>
      <c r="M963" s="5" t="s">
        <v>1928</v>
      </c>
      <c r="N963" s="5" t="s">
        <v>4765</v>
      </c>
      <c r="O963" s="5" t="s">
        <v>5687</v>
      </c>
      <c r="P963" s="5"/>
      <c r="Q963" s="5" t="s">
        <v>8749</v>
      </c>
    </row>
    <row r="964" spans="2:17" x14ac:dyDescent="0.2">
      <c r="B964" s="5" t="s">
        <v>8683</v>
      </c>
      <c r="C964" s="6" t="s">
        <v>13589</v>
      </c>
      <c r="D964" s="4">
        <v>532</v>
      </c>
      <c r="E964" s="5" t="s">
        <v>20</v>
      </c>
      <c r="F964" s="5" t="s">
        <v>5768</v>
      </c>
      <c r="G964" s="6" t="s">
        <v>54</v>
      </c>
      <c r="H964" s="4"/>
      <c r="I964" s="5" t="s">
        <v>22</v>
      </c>
      <c r="J964" s="5" t="s">
        <v>5769</v>
      </c>
      <c r="K964" s="5" t="s">
        <v>5686</v>
      </c>
      <c r="L964" s="5"/>
      <c r="M964" s="5" t="s">
        <v>1736</v>
      </c>
      <c r="N964" s="5" t="s">
        <v>1269</v>
      </c>
      <c r="O964" s="5" t="s">
        <v>5687</v>
      </c>
      <c r="P964" s="5"/>
      <c r="Q964" s="5" t="s">
        <v>8719</v>
      </c>
    </row>
    <row r="965" spans="2:17" x14ac:dyDescent="0.2">
      <c r="B965" s="5" t="s">
        <v>8683</v>
      </c>
      <c r="C965" s="6" t="s">
        <v>13589</v>
      </c>
      <c r="D965" s="4">
        <v>533</v>
      </c>
      <c r="E965" s="5" t="s">
        <v>20</v>
      </c>
      <c r="F965" s="5" t="s">
        <v>5768</v>
      </c>
      <c r="G965" s="6" t="s">
        <v>54</v>
      </c>
      <c r="H965" s="4"/>
      <c r="I965" s="5" t="s">
        <v>22</v>
      </c>
      <c r="J965" s="5" t="s">
        <v>5771</v>
      </c>
      <c r="K965" s="5" t="s">
        <v>5772</v>
      </c>
      <c r="L965" s="5"/>
      <c r="M965" s="5" t="s">
        <v>1736</v>
      </c>
      <c r="N965" s="5" t="s">
        <v>1269</v>
      </c>
      <c r="O965" s="5" t="s">
        <v>5687</v>
      </c>
      <c r="P965" s="5"/>
      <c r="Q965" s="5" t="s">
        <v>8720</v>
      </c>
    </row>
    <row r="966" spans="2:17" x14ac:dyDescent="0.2">
      <c r="B966" s="5" t="s">
        <v>8683</v>
      </c>
      <c r="C966" s="6" t="s">
        <v>13589</v>
      </c>
      <c r="D966" s="4">
        <v>534</v>
      </c>
      <c r="E966" s="5" t="s">
        <v>20</v>
      </c>
      <c r="F966" s="5" t="s">
        <v>5774</v>
      </c>
      <c r="G966" s="6" t="s">
        <v>54</v>
      </c>
      <c r="H966" s="4"/>
      <c r="I966" s="5" t="s">
        <v>22</v>
      </c>
      <c r="J966" s="5" t="s">
        <v>5775</v>
      </c>
      <c r="K966" s="5" t="s">
        <v>5686</v>
      </c>
      <c r="L966" s="5"/>
      <c r="M966" s="5" t="s">
        <v>573</v>
      </c>
      <c r="N966" s="5" t="s">
        <v>1269</v>
      </c>
      <c r="O966" s="5" t="s">
        <v>5687</v>
      </c>
      <c r="P966" s="5"/>
      <c r="Q966" s="5" t="s">
        <v>8718</v>
      </c>
    </row>
    <row r="967" spans="2:17" x14ac:dyDescent="0.2">
      <c r="B967" s="5" t="s">
        <v>8683</v>
      </c>
      <c r="C967" s="6" t="s">
        <v>13589</v>
      </c>
      <c r="D967" s="4">
        <v>535</v>
      </c>
      <c r="E967" s="5" t="s">
        <v>20</v>
      </c>
      <c r="F967" s="5" t="s">
        <v>5774</v>
      </c>
      <c r="G967" s="6" t="s">
        <v>54</v>
      </c>
      <c r="H967" s="4"/>
      <c r="I967" s="5" t="s">
        <v>22</v>
      </c>
      <c r="J967" s="5" t="s">
        <v>5777</v>
      </c>
      <c r="K967" s="5" t="s">
        <v>5686</v>
      </c>
      <c r="L967" s="5"/>
      <c r="M967" s="5" t="s">
        <v>1736</v>
      </c>
      <c r="N967" s="5" t="s">
        <v>1269</v>
      </c>
      <c r="O967" s="5" t="s">
        <v>5687</v>
      </c>
      <c r="P967" s="5"/>
      <c r="Q967" s="5" t="s">
        <v>8721</v>
      </c>
    </row>
    <row r="968" spans="2:17" x14ac:dyDescent="0.2">
      <c r="B968" s="5" t="s">
        <v>9008</v>
      </c>
      <c r="C968" s="6" t="s">
        <v>13589</v>
      </c>
      <c r="D968" s="4">
        <v>583</v>
      </c>
      <c r="E968" s="5" t="s">
        <v>20</v>
      </c>
      <c r="F968" s="5" t="s">
        <v>9426</v>
      </c>
      <c r="G968" s="6" t="s">
        <v>54</v>
      </c>
      <c r="H968" s="4"/>
      <c r="I968" s="5" t="s">
        <v>22</v>
      </c>
      <c r="J968" s="5" t="s">
        <v>9427</v>
      </c>
      <c r="K968" s="5" t="s">
        <v>9428</v>
      </c>
      <c r="L968" s="5"/>
      <c r="M968" s="5" t="s">
        <v>2415</v>
      </c>
      <c r="N968" s="5" t="s">
        <v>1642</v>
      </c>
      <c r="O968" s="5" t="s">
        <v>9020</v>
      </c>
      <c r="P968" s="5"/>
      <c r="Q968" s="5" t="s">
        <v>9429</v>
      </c>
    </row>
    <row r="969" spans="2:17" x14ac:dyDescent="0.2">
      <c r="B969" s="5" t="s">
        <v>9550</v>
      </c>
      <c r="C969" s="6" t="s">
        <v>13589</v>
      </c>
      <c r="D969" s="4">
        <v>747</v>
      </c>
      <c r="E969" s="5" t="s">
        <v>15</v>
      </c>
      <c r="F969" s="5" t="s">
        <v>10095</v>
      </c>
      <c r="G969" s="6" t="s">
        <v>54</v>
      </c>
      <c r="H969" s="4"/>
      <c r="I969" s="5"/>
      <c r="J969" s="5" t="s">
        <v>10096</v>
      </c>
      <c r="K969" s="5" t="s">
        <v>23</v>
      </c>
      <c r="L969" s="5"/>
      <c r="M969" s="5" t="s">
        <v>738</v>
      </c>
      <c r="N969" s="5" t="s">
        <v>6891</v>
      </c>
      <c r="O969" s="5" t="s">
        <v>9553</v>
      </c>
      <c r="P969" s="5"/>
      <c r="Q969" s="5" t="s">
        <v>10097</v>
      </c>
    </row>
    <row r="970" spans="2:17" x14ac:dyDescent="0.2">
      <c r="B970" s="5" t="s">
        <v>9550</v>
      </c>
      <c r="C970" s="6" t="s">
        <v>13589</v>
      </c>
      <c r="D970" s="4">
        <v>787</v>
      </c>
      <c r="E970" s="5" t="s">
        <v>20</v>
      </c>
      <c r="F970" s="5" t="s">
        <v>9937</v>
      </c>
      <c r="G970" s="6" t="s">
        <v>54</v>
      </c>
      <c r="H970" s="4"/>
      <c r="I970" s="5" t="s">
        <v>22</v>
      </c>
      <c r="J970" s="5" t="s">
        <v>9938</v>
      </c>
      <c r="K970" s="5" t="s">
        <v>9551</v>
      </c>
      <c r="L970" s="5"/>
      <c r="M970" s="5" t="s">
        <v>461</v>
      </c>
      <c r="N970" s="5" t="s">
        <v>157</v>
      </c>
      <c r="O970" s="5" t="s">
        <v>3795</v>
      </c>
      <c r="P970" s="5"/>
      <c r="Q970" s="5" t="s">
        <v>9939</v>
      </c>
    </row>
    <row r="971" spans="2:17" x14ac:dyDescent="0.2">
      <c r="B971" s="5" t="s">
        <v>9550</v>
      </c>
      <c r="C971" s="6" t="s">
        <v>13589</v>
      </c>
      <c r="D971" s="4">
        <v>791</v>
      </c>
      <c r="E971" s="5" t="s">
        <v>15</v>
      </c>
      <c r="F971" s="5" t="s">
        <v>9935</v>
      </c>
      <c r="G971" s="6" t="s">
        <v>54</v>
      </c>
      <c r="H971" s="4"/>
      <c r="I971" s="5"/>
      <c r="J971" s="5" t="s">
        <v>61</v>
      </c>
      <c r="K971" s="5" t="s">
        <v>9588</v>
      </c>
      <c r="L971" s="5"/>
      <c r="M971" s="5" t="s">
        <v>170</v>
      </c>
      <c r="N971" s="5" t="s">
        <v>153</v>
      </c>
      <c r="O971" s="5" t="s">
        <v>3790</v>
      </c>
      <c r="P971" s="5"/>
      <c r="Q971" s="5" t="s">
        <v>9936</v>
      </c>
    </row>
    <row r="972" spans="2:17" x14ac:dyDescent="0.2">
      <c r="B972" s="5" t="s">
        <v>9550</v>
      </c>
      <c r="C972" s="6" t="s">
        <v>13589</v>
      </c>
      <c r="D972" s="4">
        <v>812</v>
      </c>
      <c r="E972" s="5" t="s">
        <v>20</v>
      </c>
      <c r="F972" s="5" t="s">
        <v>9873</v>
      </c>
      <c r="G972" s="6" t="s">
        <v>54</v>
      </c>
      <c r="H972" s="4"/>
      <c r="I972" s="5" t="s">
        <v>22</v>
      </c>
      <c r="J972" s="5" t="s">
        <v>9878</v>
      </c>
      <c r="K972" s="5" t="s">
        <v>4716</v>
      </c>
      <c r="L972" s="5"/>
      <c r="M972" s="5" t="s">
        <v>4184</v>
      </c>
      <c r="N972" s="5" t="s">
        <v>138</v>
      </c>
      <c r="O972" s="5" t="s">
        <v>3795</v>
      </c>
      <c r="P972" s="5"/>
      <c r="Q972" s="5" t="s">
        <v>9879</v>
      </c>
    </row>
    <row r="973" spans="2:17" x14ac:dyDescent="0.2">
      <c r="B973" s="5" t="s">
        <v>9550</v>
      </c>
      <c r="C973" s="6" t="s">
        <v>13589</v>
      </c>
      <c r="D973" s="4">
        <v>813</v>
      </c>
      <c r="E973" s="5" t="s">
        <v>82</v>
      </c>
      <c r="F973" s="5" t="s">
        <v>9880</v>
      </c>
      <c r="G973" s="6" t="s">
        <v>54</v>
      </c>
      <c r="H973" s="4"/>
      <c r="I973" s="5"/>
      <c r="J973" s="5" t="s">
        <v>9881</v>
      </c>
      <c r="K973" s="5" t="s">
        <v>9561</v>
      </c>
      <c r="L973" s="5"/>
      <c r="M973" s="5" t="s">
        <v>4184</v>
      </c>
      <c r="N973" s="5" t="s">
        <v>138</v>
      </c>
      <c r="O973" s="5" t="s">
        <v>9557</v>
      </c>
      <c r="P973" s="5"/>
      <c r="Q973" s="5" t="s">
        <v>9882</v>
      </c>
    </row>
    <row r="974" spans="2:17" x14ac:dyDescent="0.2">
      <c r="B974" s="5" t="s">
        <v>9550</v>
      </c>
      <c r="C974" s="6" t="s">
        <v>13589</v>
      </c>
      <c r="D974" s="4">
        <v>814</v>
      </c>
      <c r="E974" s="5" t="s">
        <v>20</v>
      </c>
      <c r="F974" s="5" t="s">
        <v>9873</v>
      </c>
      <c r="G974" s="6" t="s">
        <v>54</v>
      </c>
      <c r="H974" s="4"/>
      <c r="I974" s="5" t="s">
        <v>22</v>
      </c>
      <c r="J974" s="5" t="s">
        <v>9874</v>
      </c>
      <c r="K974" s="5" t="s">
        <v>9551</v>
      </c>
      <c r="L974" s="5"/>
      <c r="M974" s="5" t="s">
        <v>4184</v>
      </c>
      <c r="N974" s="5" t="s">
        <v>138</v>
      </c>
      <c r="O974" s="5" t="s">
        <v>3790</v>
      </c>
      <c r="P974" s="5"/>
      <c r="Q974" s="5" t="s">
        <v>9875</v>
      </c>
    </row>
    <row r="975" spans="2:17" x14ac:dyDescent="0.2">
      <c r="B975" s="5" t="s">
        <v>9550</v>
      </c>
      <c r="C975" s="6" t="s">
        <v>13589</v>
      </c>
      <c r="D975" s="4">
        <v>815</v>
      </c>
      <c r="E975" s="5" t="s">
        <v>20</v>
      </c>
      <c r="F975" s="5" t="s">
        <v>9873</v>
      </c>
      <c r="G975" s="6" t="s">
        <v>54</v>
      </c>
      <c r="H975" s="4"/>
      <c r="I975" s="5" t="s">
        <v>22</v>
      </c>
      <c r="J975" s="5" t="s">
        <v>9876</v>
      </c>
      <c r="K975" s="5" t="s">
        <v>9595</v>
      </c>
      <c r="L975" s="5"/>
      <c r="M975" s="5" t="s">
        <v>4184</v>
      </c>
      <c r="N975" s="5" t="s">
        <v>138</v>
      </c>
      <c r="O975" s="5" t="s">
        <v>3795</v>
      </c>
      <c r="P975" s="5"/>
      <c r="Q975" s="5" t="s">
        <v>9877</v>
      </c>
    </row>
    <row r="976" spans="2:17" x14ac:dyDescent="0.2">
      <c r="B976" s="5" t="s">
        <v>9550</v>
      </c>
      <c r="C976" s="6" t="s">
        <v>13589</v>
      </c>
      <c r="D976" s="4">
        <v>843</v>
      </c>
      <c r="E976" s="5" t="s">
        <v>15</v>
      </c>
      <c r="F976" s="5" t="s">
        <v>9745</v>
      </c>
      <c r="G976" s="6" t="s">
        <v>54</v>
      </c>
      <c r="H976" s="4"/>
      <c r="I976" s="5"/>
      <c r="J976" s="5" t="s">
        <v>61</v>
      </c>
      <c r="K976" s="5" t="s">
        <v>28</v>
      </c>
      <c r="L976" s="5"/>
      <c r="M976" s="5" t="s">
        <v>2598</v>
      </c>
      <c r="N976" s="5" t="s">
        <v>337</v>
      </c>
      <c r="O976" s="5" t="s">
        <v>3790</v>
      </c>
      <c r="P976" s="5"/>
      <c r="Q976" s="5" t="s">
        <v>9746</v>
      </c>
    </row>
    <row r="977" spans="2:17" x14ac:dyDescent="0.2">
      <c r="B977" s="5" t="s">
        <v>9550</v>
      </c>
      <c r="C977" s="6" t="s">
        <v>13589</v>
      </c>
      <c r="D977" s="4">
        <v>892</v>
      </c>
      <c r="E977" s="5" t="s">
        <v>15</v>
      </c>
      <c r="F977" s="5" t="s">
        <v>9657</v>
      </c>
      <c r="G977" s="6" t="s">
        <v>54</v>
      </c>
      <c r="H977" s="4"/>
      <c r="I977" s="5"/>
      <c r="J977" s="5" t="s">
        <v>61</v>
      </c>
      <c r="K977" s="5" t="s">
        <v>9555</v>
      </c>
      <c r="L977" s="5"/>
      <c r="M977" s="5" t="s">
        <v>5737</v>
      </c>
      <c r="N977" s="5" t="s">
        <v>1723</v>
      </c>
      <c r="O977" s="5" t="s">
        <v>9552</v>
      </c>
      <c r="P977" s="5"/>
      <c r="Q977" s="5" t="s">
        <v>9658</v>
      </c>
    </row>
    <row r="978" spans="2:17" x14ac:dyDescent="0.2">
      <c r="B978" s="5" t="s">
        <v>9550</v>
      </c>
      <c r="C978" s="6" t="s">
        <v>13589</v>
      </c>
      <c r="D978" s="4">
        <v>958</v>
      </c>
      <c r="E978" s="5" t="s">
        <v>35</v>
      </c>
      <c r="F978" s="5" t="s">
        <v>10113</v>
      </c>
      <c r="G978" s="6" t="s">
        <v>54</v>
      </c>
      <c r="H978" s="4"/>
      <c r="I978" s="5"/>
      <c r="J978" s="5" t="s">
        <v>10114</v>
      </c>
      <c r="K978" s="5" t="s">
        <v>9581</v>
      </c>
      <c r="L978" s="5"/>
      <c r="M978" s="5" t="s">
        <v>251</v>
      </c>
      <c r="N978" s="5" t="s">
        <v>251</v>
      </c>
      <c r="O978" s="5" t="s">
        <v>9585</v>
      </c>
      <c r="P978" s="5"/>
      <c r="Q978" s="5" t="s">
        <v>10115</v>
      </c>
    </row>
    <row r="979" spans="2:17" x14ac:dyDescent="0.2">
      <c r="B979" s="5" t="s">
        <v>10685</v>
      </c>
      <c r="C979" s="6" t="s">
        <v>13589</v>
      </c>
      <c r="D979" s="4">
        <v>1228</v>
      </c>
      <c r="E979" s="5" t="s">
        <v>20</v>
      </c>
      <c r="F979" s="5" t="s">
        <v>10993</v>
      </c>
      <c r="G979" s="6" t="s">
        <v>54</v>
      </c>
      <c r="H979" s="4"/>
      <c r="I979" s="5" t="s">
        <v>22</v>
      </c>
      <c r="J979" s="5" t="s">
        <v>10994</v>
      </c>
      <c r="K979" s="5" t="s">
        <v>3787</v>
      </c>
      <c r="L979" s="5"/>
      <c r="M979" s="5" t="s">
        <v>127</v>
      </c>
      <c r="N979" s="5" t="s">
        <v>122</v>
      </c>
      <c r="O979" s="5" t="s">
        <v>10690</v>
      </c>
      <c r="P979" s="5"/>
      <c r="Q979" s="5" t="s">
        <v>10995</v>
      </c>
    </row>
    <row r="980" spans="2:17" x14ac:dyDescent="0.2">
      <c r="B980" s="5" t="s">
        <v>11377</v>
      </c>
      <c r="C980" s="6" t="s">
        <v>13589</v>
      </c>
      <c r="D980" s="4">
        <v>1325</v>
      </c>
      <c r="E980" s="5" t="s">
        <v>20</v>
      </c>
      <c r="F980" s="5" t="s">
        <v>11759</v>
      </c>
      <c r="G980" s="6" t="s">
        <v>54</v>
      </c>
      <c r="H980" s="4"/>
      <c r="I980" s="5" t="s">
        <v>22</v>
      </c>
      <c r="J980" s="5" t="s">
        <v>11760</v>
      </c>
      <c r="K980" s="5" t="s">
        <v>11389</v>
      </c>
      <c r="L980" s="5" t="s">
        <v>11761</v>
      </c>
      <c r="M980" s="5" t="s">
        <v>10107</v>
      </c>
      <c r="N980" s="5" t="s">
        <v>1690</v>
      </c>
      <c r="O980" s="5" t="s">
        <v>11378</v>
      </c>
      <c r="P980" s="5"/>
      <c r="Q980" s="5" t="s">
        <v>11762</v>
      </c>
    </row>
    <row r="981" spans="2:17" x14ac:dyDescent="0.2">
      <c r="B981" s="5" t="s">
        <v>11377</v>
      </c>
      <c r="C981" s="6" t="s">
        <v>13589</v>
      </c>
      <c r="D981" s="4">
        <v>1341</v>
      </c>
      <c r="E981" s="5" t="s">
        <v>82</v>
      </c>
      <c r="F981" s="5" t="s">
        <v>11678</v>
      </c>
      <c r="G981" s="6" t="s">
        <v>54</v>
      </c>
      <c r="H981" s="4"/>
      <c r="I981" s="5" t="s">
        <v>38</v>
      </c>
      <c r="J981" s="5" t="s">
        <v>11679</v>
      </c>
      <c r="K981" s="5" t="s">
        <v>11680</v>
      </c>
      <c r="L981" s="5" t="s">
        <v>11681</v>
      </c>
      <c r="M981" s="5" t="s">
        <v>193</v>
      </c>
      <c r="N981" s="5" t="s">
        <v>5360</v>
      </c>
      <c r="O981" s="5" t="s">
        <v>11378</v>
      </c>
      <c r="P981" s="5"/>
      <c r="Q981" s="5" t="s">
        <v>11682</v>
      </c>
    </row>
    <row r="982" spans="2:17" x14ac:dyDescent="0.2">
      <c r="B982" s="5" t="s">
        <v>11377</v>
      </c>
      <c r="C982" s="6" t="s">
        <v>13589</v>
      </c>
      <c r="D982" s="4">
        <v>1342</v>
      </c>
      <c r="E982" s="5" t="s">
        <v>82</v>
      </c>
      <c r="F982" s="5" t="s">
        <v>11678</v>
      </c>
      <c r="G982" s="6" t="s">
        <v>54</v>
      </c>
      <c r="H982" s="4"/>
      <c r="I982" s="5" t="s">
        <v>38</v>
      </c>
      <c r="J982" s="5" t="s">
        <v>11683</v>
      </c>
      <c r="K982" s="5" t="s">
        <v>11622</v>
      </c>
      <c r="L982" s="5" t="s">
        <v>11684</v>
      </c>
      <c r="M982" s="5" t="s">
        <v>193</v>
      </c>
      <c r="N982" s="5" t="s">
        <v>5360</v>
      </c>
      <c r="O982" s="5" t="s">
        <v>11378</v>
      </c>
      <c r="P982" s="5"/>
      <c r="Q982" s="5" t="s">
        <v>11685</v>
      </c>
    </row>
    <row r="983" spans="2:17" x14ac:dyDescent="0.2">
      <c r="B983" s="5" t="s">
        <v>11377</v>
      </c>
      <c r="C983" s="6" t="s">
        <v>13589</v>
      </c>
      <c r="D983" s="4">
        <v>1343</v>
      </c>
      <c r="E983" s="5" t="s">
        <v>82</v>
      </c>
      <c r="F983" s="5" t="s">
        <v>11678</v>
      </c>
      <c r="G983" s="6" t="s">
        <v>54</v>
      </c>
      <c r="H983" s="4"/>
      <c r="I983" s="5" t="s">
        <v>22</v>
      </c>
      <c r="J983" s="5" t="s">
        <v>11686</v>
      </c>
      <c r="K983" s="5" t="s">
        <v>11622</v>
      </c>
      <c r="L983" s="5" t="s">
        <v>11687</v>
      </c>
      <c r="M983" s="5" t="s">
        <v>193</v>
      </c>
      <c r="N983" s="5" t="s">
        <v>5360</v>
      </c>
      <c r="O983" s="5" t="s">
        <v>11378</v>
      </c>
      <c r="P983" s="5"/>
      <c r="Q983" s="5" t="s">
        <v>11688</v>
      </c>
    </row>
    <row r="984" spans="2:17" x14ac:dyDescent="0.2">
      <c r="B984" s="5" t="s">
        <v>11377</v>
      </c>
      <c r="C984" s="6" t="s">
        <v>13589</v>
      </c>
      <c r="D984" s="4">
        <v>1344</v>
      </c>
      <c r="E984" s="5" t="s">
        <v>82</v>
      </c>
      <c r="F984" s="5" t="s">
        <v>11678</v>
      </c>
      <c r="G984" s="6" t="s">
        <v>54</v>
      </c>
      <c r="H984" s="4"/>
      <c r="I984" s="5" t="s">
        <v>22</v>
      </c>
      <c r="J984" s="5" t="s">
        <v>11689</v>
      </c>
      <c r="K984" s="5" t="s">
        <v>11690</v>
      </c>
      <c r="L984" s="5" t="s">
        <v>11691</v>
      </c>
      <c r="M984" s="5" t="s">
        <v>193</v>
      </c>
      <c r="N984" s="5" t="s">
        <v>5360</v>
      </c>
      <c r="O984" s="5" t="s">
        <v>11378</v>
      </c>
      <c r="P984" s="5"/>
      <c r="Q984" s="5" t="s">
        <v>11692</v>
      </c>
    </row>
    <row r="985" spans="2:17" x14ac:dyDescent="0.2">
      <c r="B985" s="5" t="s">
        <v>11377</v>
      </c>
      <c r="C985" s="6" t="s">
        <v>13589</v>
      </c>
      <c r="D985" s="4">
        <v>1345</v>
      </c>
      <c r="E985" s="5" t="s">
        <v>82</v>
      </c>
      <c r="F985" s="5" t="s">
        <v>11678</v>
      </c>
      <c r="G985" s="6" t="s">
        <v>54</v>
      </c>
      <c r="H985" s="4"/>
      <c r="I985" s="5"/>
      <c r="J985" s="5" t="s">
        <v>11693</v>
      </c>
      <c r="K985" s="5" t="s">
        <v>11622</v>
      </c>
      <c r="L985" s="5" t="s">
        <v>11694</v>
      </c>
      <c r="M985" s="5" t="s">
        <v>193</v>
      </c>
      <c r="N985" s="5" t="s">
        <v>5360</v>
      </c>
      <c r="O985" s="5" t="s">
        <v>11378</v>
      </c>
      <c r="P985" s="5"/>
      <c r="Q985" s="5" t="s">
        <v>11695</v>
      </c>
    </row>
    <row r="986" spans="2:17" x14ac:dyDescent="0.2">
      <c r="B986" s="5" t="s">
        <v>11377</v>
      </c>
      <c r="C986" s="6" t="s">
        <v>13589</v>
      </c>
      <c r="D986" s="4">
        <v>1352</v>
      </c>
      <c r="E986" s="5" t="s">
        <v>20</v>
      </c>
      <c r="F986" s="5" t="s">
        <v>11653</v>
      </c>
      <c r="G986" s="6" t="s">
        <v>54</v>
      </c>
      <c r="H986" s="4"/>
      <c r="I986" s="5" t="s">
        <v>22</v>
      </c>
      <c r="J986" s="5" t="s">
        <v>11654</v>
      </c>
      <c r="K986" s="5" t="s">
        <v>11396</v>
      </c>
      <c r="L986" s="5" t="s">
        <v>11386</v>
      </c>
      <c r="M986" s="5" t="s">
        <v>3662</v>
      </c>
      <c r="N986" s="5" t="s">
        <v>433</v>
      </c>
      <c r="O986" s="5" t="s">
        <v>11378</v>
      </c>
      <c r="P986" s="5"/>
      <c r="Q986" s="5" t="s">
        <v>11655</v>
      </c>
    </row>
    <row r="987" spans="2:17" x14ac:dyDescent="0.2">
      <c r="B987" s="5" t="s">
        <v>11377</v>
      </c>
      <c r="C987" s="6" t="s">
        <v>13589</v>
      </c>
      <c r="D987" s="4">
        <v>1357</v>
      </c>
      <c r="E987" s="5" t="s">
        <v>82</v>
      </c>
      <c r="F987" s="5" t="s">
        <v>8846</v>
      </c>
      <c r="G987" s="6" t="s">
        <v>54</v>
      </c>
      <c r="H987" s="4"/>
      <c r="I987" s="5" t="s">
        <v>22</v>
      </c>
      <c r="J987" s="5" t="s">
        <v>11640</v>
      </c>
      <c r="K987" s="5" t="s">
        <v>3828</v>
      </c>
      <c r="L987" s="5"/>
      <c r="M987" s="5" t="s">
        <v>4184</v>
      </c>
      <c r="N987" s="5" t="s">
        <v>138</v>
      </c>
      <c r="O987" s="5" t="s">
        <v>11387</v>
      </c>
      <c r="P987" s="5"/>
      <c r="Q987" s="5" t="s">
        <v>11641</v>
      </c>
    </row>
    <row r="988" spans="2:17" x14ac:dyDescent="0.2">
      <c r="B988" s="5" t="s">
        <v>11377</v>
      </c>
      <c r="C988" s="6" t="s">
        <v>13589</v>
      </c>
      <c r="D988" s="4">
        <v>1392</v>
      </c>
      <c r="E988" s="5" t="s">
        <v>20</v>
      </c>
      <c r="F988" s="5" t="s">
        <v>11454</v>
      </c>
      <c r="G988" s="6" t="s">
        <v>54</v>
      </c>
      <c r="H988" s="4"/>
      <c r="I988" s="5" t="s">
        <v>22</v>
      </c>
      <c r="J988" s="5" t="s">
        <v>11455</v>
      </c>
      <c r="K988" s="5" t="s">
        <v>11456</v>
      </c>
      <c r="L988" s="5" t="s">
        <v>11457</v>
      </c>
      <c r="M988" s="5" t="s">
        <v>1218</v>
      </c>
      <c r="N988" s="5" t="s">
        <v>1723</v>
      </c>
      <c r="O988" s="5" t="s">
        <v>11384</v>
      </c>
      <c r="P988" s="5"/>
      <c r="Q988" s="5" t="s">
        <v>11458</v>
      </c>
    </row>
    <row r="989" spans="2:17" x14ac:dyDescent="0.2">
      <c r="B989" s="5" t="s">
        <v>11377</v>
      </c>
      <c r="C989" s="6" t="s">
        <v>13589</v>
      </c>
      <c r="D989" s="4">
        <v>1403</v>
      </c>
      <c r="E989" s="5" t="s">
        <v>15</v>
      </c>
      <c r="F989" s="5" t="s">
        <v>11405</v>
      </c>
      <c r="G989" s="6" t="s">
        <v>54</v>
      </c>
      <c r="H989" s="4"/>
      <c r="I989" s="5"/>
      <c r="J989" s="5" t="s">
        <v>11406</v>
      </c>
      <c r="K989" s="5" t="s">
        <v>11407</v>
      </c>
      <c r="L989" s="5"/>
      <c r="M989" s="5" t="s">
        <v>10215</v>
      </c>
      <c r="N989" s="5" t="s">
        <v>10215</v>
      </c>
      <c r="O989" s="5" t="s">
        <v>11381</v>
      </c>
      <c r="P989" s="5"/>
      <c r="Q989" s="5" t="s">
        <v>11408</v>
      </c>
    </row>
    <row r="990" spans="2:17" x14ac:dyDescent="0.2">
      <c r="B990" s="5" t="s">
        <v>11377</v>
      </c>
      <c r="C990" s="6" t="s">
        <v>13589</v>
      </c>
      <c r="D990" s="4">
        <v>1405</v>
      </c>
      <c r="E990" s="5" t="s">
        <v>20</v>
      </c>
      <c r="F990" s="5" t="s">
        <v>11430</v>
      </c>
      <c r="G990" s="6" t="s">
        <v>54</v>
      </c>
      <c r="H990" s="4"/>
      <c r="I990" s="5" t="s">
        <v>22</v>
      </c>
      <c r="J990" s="5" t="s">
        <v>11431</v>
      </c>
      <c r="K990" s="5" t="s">
        <v>3828</v>
      </c>
      <c r="L990" s="5" t="s">
        <v>11432</v>
      </c>
      <c r="M990" s="5" t="s">
        <v>1200</v>
      </c>
      <c r="N990" s="5" t="s">
        <v>6991</v>
      </c>
      <c r="O990" s="5" t="s">
        <v>11387</v>
      </c>
      <c r="P990" s="5"/>
      <c r="Q990" s="5" t="s">
        <v>11433</v>
      </c>
    </row>
    <row r="991" spans="2:17" x14ac:dyDescent="0.2">
      <c r="B991" s="5" t="s">
        <v>11377</v>
      </c>
      <c r="C991" s="6" t="s">
        <v>13589</v>
      </c>
      <c r="D991" s="4">
        <v>1406</v>
      </c>
      <c r="E991" s="5" t="s">
        <v>20</v>
      </c>
      <c r="F991" s="5" t="s">
        <v>11434</v>
      </c>
      <c r="G991" s="6" t="s">
        <v>54</v>
      </c>
      <c r="H991" s="4"/>
      <c r="I991" s="5" t="s">
        <v>22</v>
      </c>
      <c r="J991" s="5" t="s">
        <v>11435</v>
      </c>
      <c r="K991" s="5" t="s">
        <v>11414</v>
      </c>
      <c r="L991" s="5" t="s">
        <v>11436</v>
      </c>
      <c r="M991" s="5" t="s">
        <v>1200</v>
      </c>
      <c r="N991" s="5" t="s">
        <v>6991</v>
      </c>
      <c r="O991" s="5" t="s">
        <v>11380</v>
      </c>
      <c r="P991" s="5"/>
      <c r="Q991" s="5" t="s">
        <v>11437</v>
      </c>
    </row>
    <row r="992" spans="2:17" x14ac:dyDescent="0.2">
      <c r="B992" s="5" t="s">
        <v>11377</v>
      </c>
      <c r="C992" s="6" t="s">
        <v>13589</v>
      </c>
      <c r="D992" s="4">
        <v>1407</v>
      </c>
      <c r="E992" s="5" t="s">
        <v>20</v>
      </c>
      <c r="F992" s="5" t="s">
        <v>11420</v>
      </c>
      <c r="G992" s="6" t="s">
        <v>54</v>
      </c>
      <c r="H992" s="4"/>
      <c r="I992" s="5" t="s">
        <v>22</v>
      </c>
      <c r="J992" s="5" t="s">
        <v>11421</v>
      </c>
      <c r="K992" s="5" t="s">
        <v>11389</v>
      </c>
      <c r="L992" s="5" t="s">
        <v>11422</v>
      </c>
      <c r="M992" s="5" t="s">
        <v>1200</v>
      </c>
      <c r="N992" s="5" t="s">
        <v>6991</v>
      </c>
      <c r="O992" s="5" t="s">
        <v>11378</v>
      </c>
      <c r="P992" s="5"/>
      <c r="Q992" s="5" t="s">
        <v>11423</v>
      </c>
    </row>
    <row r="993" spans="2:17" x14ac:dyDescent="0.2">
      <c r="B993" s="5" t="s">
        <v>11377</v>
      </c>
      <c r="C993" s="6" t="s">
        <v>13589</v>
      </c>
      <c r="D993" s="4">
        <v>1408</v>
      </c>
      <c r="E993" s="5" t="s">
        <v>15</v>
      </c>
      <c r="F993" s="5" t="s">
        <v>11412</v>
      </c>
      <c r="G993" s="6" t="s">
        <v>54</v>
      </c>
      <c r="H993" s="4"/>
      <c r="I993" s="5"/>
      <c r="J993" s="5" t="s">
        <v>11413</v>
      </c>
      <c r="K993" s="5" t="s">
        <v>11414</v>
      </c>
      <c r="L993" s="5" t="s">
        <v>11415</v>
      </c>
      <c r="M993" s="5" t="s">
        <v>1201</v>
      </c>
      <c r="N993" s="5" t="s">
        <v>6991</v>
      </c>
      <c r="O993" s="5" t="s">
        <v>11380</v>
      </c>
      <c r="P993" s="5"/>
      <c r="Q993" s="5" t="s">
        <v>11416</v>
      </c>
    </row>
    <row r="994" spans="2:17" x14ac:dyDescent="0.2">
      <c r="B994" s="5" t="s">
        <v>11377</v>
      </c>
      <c r="C994" s="6" t="s">
        <v>13589</v>
      </c>
      <c r="D994" s="4">
        <v>1409</v>
      </c>
      <c r="E994" s="5" t="s">
        <v>15</v>
      </c>
      <c r="F994" s="5" t="s">
        <v>11438</v>
      </c>
      <c r="G994" s="6" t="s">
        <v>54</v>
      </c>
      <c r="H994" s="4"/>
      <c r="I994" s="5"/>
      <c r="J994" s="5" t="s">
        <v>11406</v>
      </c>
      <c r="K994" s="5" t="s">
        <v>11407</v>
      </c>
      <c r="L994" s="5"/>
      <c r="M994" s="5" t="s">
        <v>1200</v>
      </c>
      <c r="N994" s="5" t="s">
        <v>6991</v>
      </c>
      <c r="O994" s="5" t="s">
        <v>11380</v>
      </c>
      <c r="P994" s="5"/>
      <c r="Q994" s="5" t="s">
        <v>11439</v>
      </c>
    </row>
    <row r="995" spans="2:17" x14ac:dyDescent="0.2">
      <c r="B995" s="5" t="s">
        <v>11377</v>
      </c>
      <c r="C995" s="6" t="s">
        <v>13589</v>
      </c>
      <c r="D995" s="4">
        <v>1410</v>
      </c>
      <c r="E995" s="5" t="s">
        <v>20</v>
      </c>
      <c r="F995" s="5" t="s">
        <v>11420</v>
      </c>
      <c r="G995" s="6" t="s">
        <v>54</v>
      </c>
      <c r="H995" s="4"/>
      <c r="I995" s="5" t="s">
        <v>22</v>
      </c>
      <c r="J995" s="5" t="s">
        <v>3833</v>
      </c>
      <c r="K995" s="5" t="s">
        <v>3828</v>
      </c>
      <c r="L995" s="5" t="s">
        <v>11424</v>
      </c>
      <c r="M995" s="5" t="s">
        <v>1200</v>
      </c>
      <c r="N995" s="5" t="s">
        <v>6991</v>
      </c>
      <c r="O995" s="5" t="s">
        <v>11387</v>
      </c>
      <c r="P995" s="5"/>
      <c r="Q995" s="5" t="s">
        <v>11425</v>
      </c>
    </row>
    <row r="996" spans="2:17" x14ac:dyDescent="0.2">
      <c r="B996" s="5" t="s">
        <v>11377</v>
      </c>
      <c r="C996" s="6" t="s">
        <v>13589</v>
      </c>
      <c r="D996" s="4">
        <v>1411</v>
      </c>
      <c r="E996" s="5" t="s">
        <v>20</v>
      </c>
      <c r="F996" s="5" t="s">
        <v>11420</v>
      </c>
      <c r="G996" s="6" t="s">
        <v>54</v>
      </c>
      <c r="H996" s="4"/>
      <c r="I996" s="5" t="s">
        <v>22</v>
      </c>
      <c r="J996" s="5" t="s">
        <v>11426</v>
      </c>
      <c r="K996" s="5" t="s">
        <v>11427</v>
      </c>
      <c r="L996" s="5" t="s">
        <v>11428</v>
      </c>
      <c r="M996" s="5" t="s">
        <v>1200</v>
      </c>
      <c r="N996" s="5" t="s">
        <v>6991</v>
      </c>
      <c r="O996" s="5" t="s">
        <v>11383</v>
      </c>
      <c r="P996" s="5"/>
      <c r="Q996" s="5" t="s">
        <v>11429</v>
      </c>
    </row>
    <row r="997" spans="2:17" x14ac:dyDescent="0.2">
      <c r="B997" s="5" t="s">
        <v>11377</v>
      </c>
      <c r="C997" s="6" t="s">
        <v>13589</v>
      </c>
      <c r="D997" s="4">
        <v>1415</v>
      </c>
      <c r="E997" s="5" t="s">
        <v>20</v>
      </c>
      <c r="F997" s="5" t="s">
        <v>11401</v>
      </c>
      <c r="G997" s="6" t="s">
        <v>54</v>
      </c>
      <c r="H997" s="4"/>
      <c r="I997" s="5" t="s">
        <v>22</v>
      </c>
      <c r="J997" s="5" t="s">
        <v>11402</v>
      </c>
      <c r="K997" s="5" t="s">
        <v>3828</v>
      </c>
      <c r="L997" s="5" t="s">
        <v>11403</v>
      </c>
      <c r="M997" s="5" t="s">
        <v>2811</v>
      </c>
      <c r="N997" s="5" t="s">
        <v>2811</v>
      </c>
      <c r="O997" s="5" t="s">
        <v>11387</v>
      </c>
      <c r="P997" s="5"/>
      <c r="Q997" s="5" t="s">
        <v>11404</v>
      </c>
    </row>
    <row r="998" spans="2:17" x14ac:dyDescent="0.2">
      <c r="B998" s="5" t="s">
        <v>11377</v>
      </c>
      <c r="C998" s="6" t="s">
        <v>13589</v>
      </c>
      <c r="D998" s="4">
        <v>1422</v>
      </c>
      <c r="E998" s="5" t="s">
        <v>15</v>
      </c>
      <c r="F998" s="5" t="s">
        <v>11405</v>
      </c>
      <c r="G998" s="6" t="s">
        <v>54</v>
      </c>
      <c r="H998" s="4"/>
      <c r="I998" s="5"/>
      <c r="J998" s="5" t="s">
        <v>11590</v>
      </c>
      <c r="K998" s="5" t="s">
        <v>11591</v>
      </c>
      <c r="L998" s="5" t="s">
        <v>11592</v>
      </c>
      <c r="M998" s="5" t="s">
        <v>2662</v>
      </c>
      <c r="N998" s="5" t="s">
        <v>2662</v>
      </c>
      <c r="O998" s="5" t="s">
        <v>11381</v>
      </c>
      <c r="P998" s="5"/>
      <c r="Q998" s="5" t="s">
        <v>11593</v>
      </c>
    </row>
    <row r="999" spans="2:17" x14ac:dyDescent="0.2">
      <c r="B999" s="5" t="s">
        <v>11775</v>
      </c>
      <c r="C999" s="6" t="s">
        <v>13589</v>
      </c>
      <c r="D999" s="4">
        <v>1472</v>
      </c>
      <c r="E999" s="5" t="s">
        <v>20</v>
      </c>
      <c r="F999" s="5" t="s">
        <v>12231</v>
      </c>
      <c r="G999" s="6" t="s">
        <v>54</v>
      </c>
      <c r="H999" s="4"/>
      <c r="I999" s="5" t="s">
        <v>22</v>
      </c>
      <c r="J999" s="5" t="s">
        <v>12232</v>
      </c>
      <c r="K999" s="5" t="s">
        <v>12117</v>
      </c>
      <c r="L999" s="5" t="s">
        <v>12233</v>
      </c>
      <c r="M999" s="5" t="s">
        <v>138</v>
      </c>
      <c r="N999" s="5" t="s">
        <v>2152</v>
      </c>
      <c r="O999" s="5" t="s">
        <v>11783</v>
      </c>
      <c r="P999" s="5"/>
      <c r="Q999" s="5" t="s">
        <v>12234</v>
      </c>
    </row>
    <row r="1000" spans="2:17" x14ac:dyDescent="0.2">
      <c r="B1000" s="5" t="s">
        <v>12409</v>
      </c>
      <c r="C1000" s="6" t="s">
        <v>13589</v>
      </c>
      <c r="D1000" s="4">
        <v>1621</v>
      </c>
      <c r="E1000" s="5" t="s">
        <v>56</v>
      </c>
      <c r="F1000" s="5" t="s">
        <v>13005</v>
      </c>
      <c r="G1000" s="6" t="s">
        <v>54</v>
      </c>
      <c r="H1000" s="4"/>
      <c r="I1000" s="5"/>
      <c r="J1000" s="5" t="s">
        <v>13006</v>
      </c>
      <c r="K1000" s="5" t="s">
        <v>76</v>
      </c>
      <c r="L1000" s="5"/>
      <c r="M1000" s="5" t="s">
        <v>480</v>
      </c>
      <c r="N1000" s="5" t="s">
        <v>476</v>
      </c>
      <c r="O1000" s="5" t="s">
        <v>12414</v>
      </c>
      <c r="P1000" s="5" t="s">
        <v>13007</v>
      </c>
      <c r="Q1000" s="5" t="s">
        <v>13008</v>
      </c>
    </row>
    <row r="1001" spans="2:17" x14ac:dyDescent="0.2">
      <c r="B1001" s="5" t="s">
        <v>13091</v>
      </c>
      <c r="C1001" s="6" t="s">
        <v>13589</v>
      </c>
      <c r="D1001" s="4">
        <v>1806</v>
      </c>
      <c r="E1001" s="5" t="s">
        <v>20</v>
      </c>
      <c r="F1001" s="5" t="s">
        <v>13276</v>
      </c>
      <c r="G1001" s="6" t="s">
        <v>54</v>
      </c>
      <c r="H1001" s="4"/>
      <c r="I1001" s="5" t="s">
        <v>38</v>
      </c>
      <c r="J1001" s="5" t="s">
        <v>13277</v>
      </c>
      <c r="K1001" s="5" t="s">
        <v>13278</v>
      </c>
      <c r="L1001" s="5"/>
      <c r="M1001" s="5" t="s">
        <v>204</v>
      </c>
      <c r="N1001" s="5" t="s">
        <v>2285</v>
      </c>
      <c r="O1001" s="5" t="s">
        <v>13098</v>
      </c>
      <c r="P1001" s="5"/>
      <c r="Q1001" s="5" t="s">
        <v>8358</v>
      </c>
    </row>
    <row r="1002" spans="2:17" x14ac:dyDescent="0.2">
      <c r="B1002" s="5" t="s">
        <v>13091</v>
      </c>
      <c r="C1002" s="6" t="s">
        <v>13589</v>
      </c>
      <c r="D1002" s="4">
        <v>1807</v>
      </c>
      <c r="E1002" s="5" t="s">
        <v>20</v>
      </c>
      <c r="F1002" s="5" t="s">
        <v>13276</v>
      </c>
      <c r="G1002" s="6" t="s">
        <v>54</v>
      </c>
      <c r="H1002" s="4"/>
      <c r="I1002" s="5" t="s">
        <v>38</v>
      </c>
      <c r="J1002" s="5" t="s">
        <v>13279</v>
      </c>
      <c r="K1002" s="5" t="s">
        <v>13278</v>
      </c>
      <c r="L1002" s="5"/>
      <c r="M1002" s="5" t="s">
        <v>204</v>
      </c>
      <c r="N1002" s="5" t="s">
        <v>2285</v>
      </c>
      <c r="O1002" s="5" t="s">
        <v>13098</v>
      </c>
      <c r="P1002" s="5"/>
      <c r="Q1002" s="5" t="s">
        <v>13280</v>
      </c>
    </row>
    <row r="1003" spans="2:17" x14ac:dyDescent="0.2">
      <c r="B1003" s="5" t="s">
        <v>13091</v>
      </c>
      <c r="C1003" s="6" t="s">
        <v>13589</v>
      </c>
      <c r="D1003" s="4">
        <v>1808</v>
      </c>
      <c r="E1003" s="5" t="s">
        <v>20</v>
      </c>
      <c r="F1003" s="5" t="s">
        <v>13281</v>
      </c>
      <c r="G1003" s="6" t="s">
        <v>54</v>
      </c>
      <c r="H1003" s="4"/>
      <c r="I1003" s="5" t="s">
        <v>38</v>
      </c>
      <c r="J1003" s="5" t="s">
        <v>13282</v>
      </c>
      <c r="K1003" s="5" t="s">
        <v>13102</v>
      </c>
      <c r="L1003" s="5"/>
      <c r="M1003" s="5" t="s">
        <v>204</v>
      </c>
      <c r="N1003" s="5" t="s">
        <v>2285</v>
      </c>
      <c r="O1003" s="5" t="s">
        <v>13098</v>
      </c>
      <c r="P1003" s="5"/>
      <c r="Q1003" s="5" t="s">
        <v>13283</v>
      </c>
    </row>
    <row r="1004" spans="2:17" x14ac:dyDescent="0.2">
      <c r="B1004" s="5" t="s">
        <v>5036</v>
      </c>
      <c r="C1004" s="6" t="s">
        <v>13589</v>
      </c>
      <c r="D1004" s="4">
        <v>2</v>
      </c>
      <c r="E1004" s="5" t="s">
        <v>32</v>
      </c>
      <c r="F1004" s="5" t="s">
        <v>5090</v>
      </c>
      <c r="G1004" s="6" t="s">
        <v>14</v>
      </c>
      <c r="H1004" s="4">
        <v>1</v>
      </c>
      <c r="I1004" s="5" t="s">
        <v>22</v>
      </c>
      <c r="J1004" s="5" t="s">
        <v>5091</v>
      </c>
      <c r="K1004" s="5" t="s">
        <v>4993</v>
      </c>
      <c r="L1004" s="5"/>
      <c r="M1004" s="5" t="s">
        <v>2198</v>
      </c>
      <c r="N1004" s="5" t="s">
        <v>207</v>
      </c>
      <c r="O1004" s="5" t="s">
        <v>4986</v>
      </c>
      <c r="P1004" s="5"/>
      <c r="Q1004" s="5" t="s">
        <v>5092</v>
      </c>
    </row>
    <row r="1005" spans="2:17" x14ac:dyDescent="0.2">
      <c r="B1005" s="5" t="s">
        <v>5036</v>
      </c>
      <c r="C1005" s="6" t="s">
        <v>13589</v>
      </c>
      <c r="D1005" s="4">
        <v>3</v>
      </c>
      <c r="E1005" s="5" t="s">
        <v>32</v>
      </c>
      <c r="F1005" s="5" t="s">
        <v>5090</v>
      </c>
      <c r="G1005" s="6" t="s">
        <v>14</v>
      </c>
      <c r="H1005" s="4">
        <v>2</v>
      </c>
      <c r="I1005" s="5" t="s">
        <v>22</v>
      </c>
      <c r="J1005" s="5" t="s">
        <v>5093</v>
      </c>
      <c r="K1005" s="5" t="s">
        <v>5094</v>
      </c>
      <c r="L1005" s="5"/>
      <c r="M1005" s="5" t="s">
        <v>2198</v>
      </c>
      <c r="N1005" s="5" t="s">
        <v>207</v>
      </c>
      <c r="O1005" s="5" t="s">
        <v>4986</v>
      </c>
      <c r="P1005" s="5"/>
      <c r="Q1005" s="5" t="s">
        <v>5095</v>
      </c>
    </row>
    <row r="1006" spans="2:17" x14ac:dyDescent="0.2">
      <c r="B1006" s="5" t="s">
        <v>5036</v>
      </c>
      <c r="C1006" s="6" t="s">
        <v>13589</v>
      </c>
      <c r="D1006" s="4">
        <v>10</v>
      </c>
      <c r="E1006" s="5" t="s">
        <v>32</v>
      </c>
      <c r="F1006" s="5" t="s">
        <v>5066</v>
      </c>
      <c r="G1006" s="6" t="s">
        <v>14</v>
      </c>
      <c r="H1006" s="4">
        <v>3</v>
      </c>
      <c r="I1006" s="5" t="s">
        <v>22</v>
      </c>
      <c r="J1006" s="5" t="s">
        <v>5067</v>
      </c>
      <c r="K1006" s="5" t="s">
        <v>4993</v>
      </c>
      <c r="L1006" s="5"/>
      <c r="M1006" s="5" t="s">
        <v>2151</v>
      </c>
      <c r="N1006" s="5" t="s">
        <v>1526</v>
      </c>
      <c r="O1006" s="5" t="s">
        <v>4986</v>
      </c>
      <c r="P1006" s="5"/>
      <c r="Q1006" s="5" t="s">
        <v>5068</v>
      </c>
    </row>
    <row r="1007" spans="2:17" x14ac:dyDescent="0.2">
      <c r="B1007" s="5" t="s">
        <v>5036</v>
      </c>
      <c r="C1007" s="6" t="s">
        <v>13589</v>
      </c>
      <c r="D1007" s="4">
        <v>11</v>
      </c>
      <c r="E1007" s="5" t="s">
        <v>32</v>
      </c>
      <c r="F1007" s="5" t="s">
        <v>5066</v>
      </c>
      <c r="G1007" s="6" t="s">
        <v>14</v>
      </c>
      <c r="H1007" s="4">
        <v>4</v>
      </c>
      <c r="I1007" s="5" t="s">
        <v>22</v>
      </c>
      <c r="J1007" s="5" t="s">
        <v>5069</v>
      </c>
      <c r="K1007" s="5" t="s">
        <v>5070</v>
      </c>
      <c r="L1007" s="5"/>
      <c r="M1007" s="5" t="s">
        <v>2151</v>
      </c>
      <c r="N1007" s="5" t="s">
        <v>1526</v>
      </c>
      <c r="O1007" s="5" t="s">
        <v>4986</v>
      </c>
      <c r="P1007" s="5"/>
      <c r="Q1007" s="5" t="s">
        <v>5071</v>
      </c>
    </row>
    <row r="1008" spans="2:17" x14ac:dyDescent="0.2">
      <c r="B1008" s="5" t="s">
        <v>5036</v>
      </c>
      <c r="C1008" s="6" t="s">
        <v>13589</v>
      </c>
      <c r="D1008" s="4">
        <v>12</v>
      </c>
      <c r="E1008" s="5" t="s">
        <v>32</v>
      </c>
      <c r="F1008" s="5" t="s">
        <v>5066</v>
      </c>
      <c r="G1008" s="6" t="s">
        <v>14</v>
      </c>
      <c r="H1008" s="4">
        <v>5</v>
      </c>
      <c r="I1008" s="5" t="s">
        <v>22</v>
      </c>
      <c r="J1008" s="5" t="s">
        <v>5072</v>
      </c>
      <c r="K1008" s="5" t="s">
        <v>5039</v>
      </c>
      <c r="L1008" s="5"/>
      <c r="M1008" s="5" t="s">
        <v>2151</v>
      </c>
      <c r="N1008" s="5" t="s">
        <v>1526</v>
      </c>
      <c r="O1008" s="5" t="s">
        <v>4986</v>
      </c>
      <c r="P1008" s="5"/>
      <c r="Q1008" s="5" t="s">
        <v>5073</v>
      </c>
    </row>
    <row r="1009" spans="2:17" x14ac:dyDescent="0.2">
      <c r="B1009" s="5" t="s">
        <v>5036</v>
      </c>
      <c r="C1009" s="6" t="s">
        <v>13589</v>
      </c>
      <c r="D1009" s="4">
        <v>15</v>
      </c>
      <c r="E1009" s="5" t="s">
        <v>32</v>
      </c>
      <c r="F1009" s="5" t="s">
        <v>5114</v>
      </c>
      <c r="G1009" s="6" t="s">
        <v>14</v>
      </c>
      <c r="H1009" s="4">
        <v>6</v>
      </c>
      <c r="I1009" s="5" t="s">
        <v>22</v>
      </c>
      <c r="J1009" s="5" t="s">
        <v>5116</v>
      </c>
      <c r="K1009" s="5" t="s">
        <v>5115</v>
      </c>
      <c r="L1009" s="5" t="s">
        <v>5117</v>
      </c>
      <c r="M1009" s="5" t="s">
        <v>3537</v>
      </c>
      <c r="N1009" s="5" t="s">
        <v>2278</v>
      </c>
      <c r="O1009" s="5" t="s">
        <v>4992</v>
      </c>
      <c r="P1009" s="5"/>
      <c r="Q1009" s="5" t="s">
        <v>5118</v>
      </c>
    </row>
    <row r="1010" spans="2:17" x14ac:dyDescent="0.2">
      <c r="B1010" s="5" t="s">
        <v>5036</v>
      </c>
      <c r="C1010" s="6" t="s">
        <v>13589</v>
      </c>
      <c r="D1010" s="4">
        <v>16</v>
      </c>
      <c r="E1010" s="5" t="s">
        <v>32</v>
      </c>
      <c r="F1010" s="5" t="s">
        <v>5119</v>
      </c>
      <c r="G1010" s="6" t="s">
        <v>14</v>
      </c>
      <c r="H1010" s="4">
        <v>7</v>
      </c>
      <c r="I1010" s="5" t="s">
        <v>22</v>
      </c>
      <c r="J1010" s="5" t="s">
        <v>5120</v>
      </c>
      <c r="K1010" s="5" t="s">
        <v>5121</v>
      </c>
      <c r="L1010" s="5"/>
      <c r="M1010" s="5" t="s">
        <v>3537</v>
      </c>
      <c r="N1010" s="5" t="s">
        <v>2278</v>
      </c>
      <c r="O1010" s="5" t="s">
        <v>4992</v>
      </c>
      <c r="P1010" s="5"/>
      <c r="Q1010" s="5" t="s">
        <v>5122</v>
      </c>
    </row>
    <row r="1011" spans="2:17" x14ac:dyDescent="0.2">
      <c r="B1011" s="5" t="s">
        <v>5036</v>
      </c>
      <c r="C1011" s="6" t="s">
        <v>13589</v>
      </c>
      <c r="D1011" s="4">
        <v>17</v>
      </c>
      <c r="E1011" s="5" t="s">
        <v>32</v>
      </c>
      <c r="F1011" s="5" t="s">
        <v>5114</v>
      </c>
      <c r="G1011" s="6" t="s">
        <v>14</v>
      </c>
      <c r="H1011" s="4">
        <v>8</v>
      </c>
      <c r="I1011" s="5" t="s">
        <v>38</v>
      </c>
      <c r="J1011" s="5" t="s">
        <v>5123</v>
      </c>
      <c r="K1011" s="5" t="s">
        <v>5115</v>
      </c>
      <c r="L1011" s="5" t="s">
        <v>5124</v>
      </c>
      <c r="M1011" s="5" t="s">
        <v>3537</v>
      </c>
      <c r="N1011" s="5" t="s">
        <v>2278</v>
      </c>
      <c r="O1011" s="5" t="s">
        <v>4992</v>
      </c>
      <c r="P1011" s="5"/>
      <c r="Q1011" s="5" t="s">
        <v>5125</v>
      </c>
    </row>
    <row r="1012" spans="2:17" x14ac:dyDescent="0.2">
      <c r="B1012" s="5" t="s">
        <v>5036</v>
      </c>
      <c r="C1012" s="6" t="s">
        <v>13589</v>
      </c>
      <c r="D1012" s="4">
        <v>18</v>
      </c>
      <c r="E1012" s="5" t="s">
        <v>32</v>
      </c>
      <c r="F1012" s="5" t="s">
        <v>5114</v>
      </c>
      <c r="G1012" s="6" t="s">
        <v>14</v>
      </c>
      <c r="H1012" s="4">
        <v>9</v>
      </c>
      <c r="I1012" s="5" t="s">
        <v>22</v>
      </c>
      <c r="J1012" s="5" t="s">
        <v>5126</v>
      </c>
      <c r="K1012" s="5" t="s">
        <v>5127</v>
      </c>
      <c r="L1012" s="5"/>
      <c r="M1012" s="5" t="s">
        <v>3537</v>
      </c>
      <c r="N1012" s="5" t="s">
        <v>2278</v>
      </c>
      <c r="O1012" s="5" t="s">
        <v>4989</v>
      </c>
      <c r="P1012" s="5"/>
      <c r="Q1012" s="5" t="s">
        <v>5128</v>
      </c>
    </row>
    <row r="1013" spans="2:17" x14ac:dyDescent="0.2">
      <c r="B1013" s="5" t="s">
        <v>5036</v>
      </c>
      <c r="C1013" s="6" t="s">
        <v>13589</v>
      </c>
      <c r="D1013" s="4">
        <v>19</v>
      </c>
      <c r="E1013" s="5" t="s">
        <v>32</v>
      </c>
      <c r="F1013" s="5" t="s">
        <v>5114</v>
      </c>
      <c r="G1013" s="6" t="s">
        <v>14</v>
      </c>
      <c r="H1013" s="4">
        <v>10</v>
      </c>
      <c r="I1013" s="5" t="s">
        <v>22</v>
      </c>
      <c r="J1013" s="5" t="s">
        <v>5129</v>
      </c>
      <c r="K1013" s="5" t="s">
        <v>5130</v>
      </c>
      <c r="L1013" s="5"/>
      <c r="M1013" s="5" t="s">
        <v>3537</v>
      </c>
      <c r="N1013" s="5" t="s">
        <v>2278</v>
      </c>
      <c r="O1013" s="5" t="s">
        <v>4989</v>
      </c>
      <c r="P1013" s="5"/>
      <c r="Q1013" s="5" t="s">
        <v>5131</v>
      </c>
    </row>
    <row r="1014" spans="2:17" x14ac:dyDescent="0.2">
      <c r="B1014" s="5" t="s">
        <v>5036</v>
      </c>
      <c r="C1014" s="6" t="s">
        <v>13589</v>
      </c>
      <c r="D1014" s="4">
        <v>20</v>
      </c>
      <c r="E1014" s="5" t="s">
        <v>32</v>
      </c>
      <c r="F1014" s="5" t="s">
        <v>5049</v>
      </c>
      <c r="G1014" s="6" t="s">
        <v>14</v>
      </c>
      <c r="H1014" s="4">
        <v>11</v>
      </c>
      <c r="I1014" s="5" t="s">
        <v>22</v>
      </c>
      <c r="J1014" s="5" t="s">
        <v>5050</v>
      </c>
      <c r="K1014" s="5" t="s">
        <v>5051</v>
      </c>
      <c r="L1014" s="5"/>
      <c r="M1014" s="5" t="s">
        <v>843</v>
      </c>
      <c r="N1014" s="5" t="s">
        <v>5052</v>
      </c>
      <c r="O1014" s="5" t="s">
        <v>4986</v>
      </c>
      <c r="P1014" s="5"/>
      <c r="Q1014" s="5" t="s">
        <v>5053</v>
      </c>
    </row>
    <row r="1015" spans="2:17" x14ac:dyDescent="0.2">
      <c r="B1015" s="5" t="s">
        <v>5036</v>
      </c>
      <c r="C1015" s="6" t="s">
        <v>13589</v>
      </c>
      <c r="D1015" s="4">
        <v>21</v>
      </c>
      <c r="E1015" s="5" t="s">
        <v>32</v>
      </c>
      <c r="F1015" s="5" t="s">
        <v>5049</v>
      </c>
      <c r="G1015" s="6" t="s">
        <v>14</v>
      </c>
      <c r="H1015" s="4">
        <v>12</v>
      </c>
      <c r="I1015" s="5" t="s">
        <v>22</v>
      </c>
      <c r="J1015" s="5" t="s">
        <v>5054</v>
      </c>
      <c r="K1015" s="5" t="s">
        <v>5055</v>
      </c>
      <c r="L1015" s="5"/>
      <c r="M1015" s="5" t="s">
        <v>843</v>
      </c>
      <c r="N1015" s="5" t="s">
        <v>5052</v>
      </c>
      <c r="O1015" s="5" t="s">
        <v>4986</v>
      </c>
      <c r="P1015" s="5"/>
      <c r="Q1015" s="5" t="s">
        <v>5053</v>
      </c>
    </row>
    <row r="1016" spans="2:17" x14ac:dyDescent="0.2">
      <c r="B1016" s="5" t="s">
        <v>5036</v>
      </c>
      <c r="C1016" s="6" t="s">
        <v>13589</v>
      </c>
      <c r="D1016" s="4">
        <v>22</v>
      </c>
      <c r="E1016" s="5" t="s">
        <v>32</v>
      </c>
      <c r="F1016" s="5" t="s">
        <v>5049</v>
      </c>
      <c r="G1016" s="6" t="s">
        <v>14</v>
      </c>
      <c r="H1016" s="4">
        <v>13</v>
      </c>
      <c r="I1016" s="5" t="s">
        <v>22</v>
      </c>
      <c r="J1016" s="5" t="s">
        <v>5056</v>
      </c>
      <c r="K1016" s="5" t="s">
        <v>5057</v>
      </c>
      <c r="L1016" s="5"/>
      <c r="M1016" s="5" t="s">
        <v>843</v>
      </c>
      <c r="N1016" s="5" t="s">
        <v>5052</v>
      </c>
      <c r="O1016" s="5" t="s">
        <v>4986</v>
      </c>
      <c r="P1016" s="5"/>
      <c r="Q1016" s="5" t="s">
        <v>5058</v>
      </c>
    </row>
    <row r="1017" spans="2:17" x14ac:dyDescent="0.2">
      <c r="B1017" s="5" t="s">
        <v>5036</v>
      </c>
      <c r="C1017" s="6" t="s">
        <v>13589</v>
      </c>
      <c r="D1017" s="4">
        <v>23</v>
      </c>
      <c r="E1017" s="5" t="s">
        <v>32</v>
      </c>
      <c r="F1017" s="5" t="s">
        <v>5049</v>
      </c>
      <c r="G1017" s="6" t="s">
        <v>14</v>
      </c>
      <c r="H1017" s="4">
        <v>14</v>
      </c>
      <c r="I1017" s="5" t="s">
        <v>22</v>
      </c>
      <c r="J1017" s="5" t="s">
        <v>5059</v>
      </c>
      <c r="K1017" s="5" t="s">
        <v>5060</v>
      </c>
      <c r="L1017" s="5" t="s">
        <v>5061</v>
      </c>
      <c r="M1017" s="5" t="s">
        <v>843</v>
      </c>
      <c r="N1017" s="5" t="s">
        <v>5052</v>
      </c>
      <c r="O1017" s="5" t="s">
        <v>4986</v>
      </c>
      <c r="P1017" s="5"/>
      <c r="Q1017" s="5" t="s">
        <v>5062</v>
      </c>
    </row>
    <row r="1018" spans="2:17" x14ac:dyDescent="0.2">
      <c r="B1018" s="5" t="s">
        <v>5036</v>
      </c>
      <c r="C1018" s="6" t="s">
        <v>13589</v>
      </c>
      <c r="D1018" s="4">
        <v>24</v>
      </c>
      <c r="E1018" s="5" t="s">
        <v>32</v>
      </c>
      <c r="F1018" s="5" t="s">
        <v>5107</v>
      </c>
      <c r="G1018" s="6" t="s">
        <v>14</v>
      </c>
      <c r="H1018" s="4">
        <v>15</v>
      </c>
      <c r="I1018" s="5" t="s">
        <v>22</v>
      </c>
      <c r="J1018" s="5" t="s">
        <v>5108</v>
      </c>
      <c r="K1018" s="5" t="s">
        <v>4988</v>
      </c>
      <c r="L1018" s="5"/>
      <c r="M1018" s="5" t="s">
        <v>1142</v>
      </c>
      <c r="N1018" s="5" t="s">
        <v>261</v>
      </c>
      <c r="O1018" s="5" t="s">
        <v>4986</v>
      </c>
      <c r="P1018" s="5"/>
      <c r="Q1018" s="5" t="s">
        <v>5109</v>
      </c>
    </row>
    <row r="1019" spans="2:17" x14ac:dyDescent="0.2">
      <c r="B1019" s="5" t="s">
        <v>5036</v>
      </c>
      <c r="C1019" s="6" t="s">
        <v>13589</v>
      </c>
      <c r="D1019" s="4">
        <v>25</v>
      </c>
      <c r="E1019" s="5" t="s">
        <v>32</v>
      </c>
      <c r="F1019" s="5" t="s">
        <v>5107</v>
      </c>
      <c r="G1019" s="6" t="s">
        <v>14</v>
      </c>
      <c r="H1019" s="4">
        <v>16</v>
      </c>
      <c r="I1019" s="5" t="s">
        <v>22</v>
      </c>
      <c r="J1019" s="5" t="s">
        <v>5110</v>
      </c>
      <c r="K1019" s="5" t="s">
        <v>5055</v>
      </c>
      <c r="L1019" s="5"/>
      <c r="M1019" s="5" t="s">
        <v>1142</v>
      </c>
      <c r="N1019" s="5" t="s">
        <v>261</v>
      </c>
      <c r="O1019" s="5" t="s">
        <v>4986</v>
      </c>
      <c r="P1019" s="5"/>
      <c r="Q1019" s="5" t="s">
        <v>5111</v>
      </c>
    </row>
    <row r="1020" spans="2:17" x14ac:dyDescent="0.2">
      <c r="B1020" s="5" t="s">
        <v>5036</v>
      </c>
      <c r="C1020" s="6" t="s">
        <v>13589</v>
      </c>
      <c r="D1020" s="4">
        <v>26</v>
      </c>
      <c r="E1020" s="5" t="s">
        <v>32</v>
      </c>
      <c r="F1020" s="5" t="s">
        <v>5107</v>
      </c>
      <c r="G1020" s="6" t="s">
        <v>14</v>
      </c>
      <c r="H1020" s="4">
        <v>17</v>
      </c>
      <c r="I1020" s="5" t="s">
        <v>38</v>
      </c>
      <c r="J1020" s="5" t="s">
        <v>5112</v>
      </c>
      <c r="K1020" s="5" t="s">
        <v>5070</v>
      </c>
      <c r="L1020" s="5"/>
      <c r="M1020" s="5" t="s">
        <v>1142</v>
      </c>
      <c r="N1020" s="5" t="s">
        <v>261</v>
      </c>
      <c r="O1020" s="5" t="s">
        <v>4986</v>
      </c>
      <c r="P1020" s="5"/>
      <c r="Q1020" s="5" t="s">
        <v>5113</v>
      </c>
    </row>
    <row r="1021" spans="2:17" x14ac:dyDescent="0.2">
      <c r="B1021" s="5" t="s">
        <v>5036</v>
      </c>
      <c r="C1021" s="6" t="s">
        <v>13589</v>
      </c>
      <c r="D1021" s="4">
        <v>30</v>
      </c>
      <c r="E1021" s="5" t="s">
        <v>32</v>
      </c>
      <c r="F1021" s="5" t="s">
        <v>5104</v>
      </c>
      <c r="G1021" s="6" t="s">
        <v>14</v>
      </c>
      <c r="H1021" s="4">
        <v>18</v>
      </c>
      <c r="I1021" s="5" t="s">
        <v>22</v>
      </c>
      <c r="J1021" s="5" t="s">
        <v>5105</v>
      </c>
      <c r="K1021" s="5" t="s">
        <v>5039</v>
      </c>
      <c r="L1021" s="5"/>
      <c r="M1021" s="5" t="s">
        <v>484</v>
      </c>
      <c r="N1021" s="5" t="s">
        <v>484</v>
      </c>
      <c r="O1021" s="5" t="s">
        <v>4986</v>
      </c>
      <c r="P1021" s="5"/>
      <c r="Q1021" s="5" t="s">
        <v>5106</v>
      </c>
    </row>
    <row r="1022" spans="2:17" x14ac:dyDescent="0.2">
      <c r="B1022" s="5" t="s">
        <v>5154</v>
      </c>
      <c r="C1022" s="6" t="s">
        <v>13589</v>
      </c>
      <c r="D1022" s="4">
        <v>31</v>
      </c>
      <c r="E1022" s="5" t="s">
        <v>15</v>
      </c>
      <c r="F1022" s="5" t="s">
        <v>5243</v>
      </c>
      <c r="G1022" s="6" t="s">
        <v>14</v>
      </c>
      <c r="H1022" s="4">
        <v>19</v>
      </c>
      <c r="I1022" s="5"/>
      <c r="J1022" s="5" t="s">
        <v>5244</v>
      </c>
      <c r="K1022" s="5" t="s">
        <v>5028</v>
      </c>
      <c r="L1022" s="5"/>
      <c r="M1022" s="5" t="s">
        <v>3451</v>
      </c>
      <c r="N1022" s="5" t="s">
        <v>4355</v>
      </c>
      <c r="O1022" s="5" t="s">
        <v>5211</v>
      </c>
      <c r="P1022" s="5"/>
      <c r="Q1022" s="5" t="s">
        <v>5245</v>
      </c>
    </row>
    <row r="1023" spans="2:17" x14ac:dyDescent="0.2">
      <c r="B1023" s="5" t="s">
        <v>5154</v>
      </c>
      <c r="C1023" s="6" t="s">
        <v>13589</v>
      </c>
      <c r="D1023" s="4">
        <v>34</v>
      </c>
      <c r="E1023" s="5" t="s">
        <v>20</v>
      </c>
      <c r="F1023" s="5" t="s">
        <v>5216</v>
      </c>
      <c r="G1023" s="6" t="s">
        <v>14</v>
      </c>
      <c r="H1023" s="4">
        <v>20</v>
      </c>
      <c r="I1023" s="5" t="s">
        <v>22</v>
      </c>
      <c r="J1023" s="5" t="s">
        <v>5217</v>
      </c>
      <c r="K1023" s="5" t="s">
        <v>5027</v>
      </c>
      <c r="L1023" s="5"/>
      <c r="M1023" s="5" t="s">
        <v>433</v>
      </c>
      <c r="N1023" s="5" t="s">
        <v>1544</v>
      </c>
      <c r="O1023" s="5" t="s">
        <v>5024</v>
      </c>
      <c r="P1023" s="5"/>
      <c r="Q1023" s="5" t="s">
        <v>5218</v>
      </c>
    </row>
    <row r="1024" spans="2:17" x14ac:dyDescent="0.2">
      <c r="B1024" s="5" t="s">
        <v>5154</v>
      </c>
      <c r="C1024" s="6" t="s">
        <v>13589</v>
      </c>
      <c r="D1024" s="4">
        <v>35</v>
      </c>
      <c r="E1024" s="5" t="s">
        <v>32</v>
      </c>
      <c r="F1024" s="5" t="s">
        <v>5182</v>
      </c>
      <c r="G1024" s="6" t="s">
        <v>14</v>
      </c>
      <c r="H1024" s="4">
        <v>21</v>
      </c>
      <c r="I1024" s="5" t="s">
        <v>22</v>
      </c>
      <c r="J1024" s="5" t="s">
        <v>5188</v>
      </c>
      <c r="K1024" s="5" t="s">
        <v>5189</v>
      </c>
      <c r="L1024" s="5"/>
      <c r="M1024" s="5" t="s">
        <v>1464</v>
      </c>
      <c r="N1024" s="5" t="s">
        <v>1464</v>
      </c>
      <c r="O1024" s="5" t="s">
        <v>5023</v>
      </c>
      <c r="P1024" s="5"/>
      <c r="Q1024" s="5" t="s">
        <v>5190</v>
      </c>
    </row>
    <row r="1025" spans="2:17" x14ac:dyDescent="0.2">
      <c r="B1025" s="5" t="s">
        <v>5154</v>
      </c>
      <c r="C1025" s="6" t="s">
        <v>13589</v>
      </c>
      <c r="D1025" s="4">
        <v>36</v>
      </c>
      <c r="E1025" s="5" t="s">
        <v>32</v>
      </c>
      <c r="F1025" s="5" t="s">
        <v>5182</v>
      </c>
      <c r="G1025" s="6" t="s">
        <v>14</v>
      </c>
      <c r="H1025" s="4">
        <v>22</v>
      </c>
      <c r="I1025" s="5" t="s">
        <v>22</v>
      </c>
      <c r="J1025" s="5" t="s">
        <v>5186</v>
      </c>
      <c r="K1025" s="5" t="s">
        <v>5026</v>
      </c>
      <c r="L1025" s="5"/>
      <c r="M1025" s="5" t="s">
        <v>347</v>
      </c>
      <c r="N1025" s="5" t="s">
        <v>347</v>
      </c>
      <c r="O1025" s="5" t="s">
        <v>5023</v>
      </c>
      <c r="P1025" s="5"/>
      <c r="Q1025" s="5" t="s">
        <v>5187</v>
      </c>
    </row>
    <row r="1026" spans="2:17" x14ac:dyDescent="0.2">
      <c r="B1026" s="5" t="s">
        <v>5154</v>
      </c>
      <c r="C1026" s="6" t="s">
        <v>13589</v>
      </c>
      <c r="D1026" s="4">
        <v>37</v>
      </c>
      <c r="E1026" s="5" t="s">
        <v>20</v>
      </c>
      <c r="F1026" s="5" t="s">
        <v>5191</v>
      </c>
      <c r="G1026" s="6" t="s">
        <v>14</v>
      </c>
      <c r="H1026" s="4">
        <v>23</v>
      </c>
      <c r="I1026" s="5" t="s">
        <v>22</v>
      </c>
      <c r="J1026" s="5" t="s">
        <v>5183</v>
      </c>
      <c r="K1026" s="5" t="s">
        <v>5192</v>
      </c>
      <c r="L1026" s="5"/>
      <c r="M1026" s="5" t="s">
        <v>804</v>
      </c>
      <c r="N1026" s="5" t="s">
        <v>2089</v>
      </c>
      <c r="O1026" s="5" t="s">
        <v>5023</v>
      </c>
      <c r="P1026" s="5"/>
      <c r="Q1026" s="5" t="s">
        <v>5193</v>
      </c>
    </row>
    <row r="1027" spans="2:17" x14ac:dyDescent="0.2">
      <c r="B1027" s="5" t="s">
        <v>5154</v>
      </c>
      <c r="C1027" s="6" t="s">
        <v>13589</v>
      </c>
      <c r="D1027" s="4">
        <v>43</v>
      </c>
      <c r="E1027" s="5" t="s">
        <v>32</v>
      </c>
      <c r="F1027" s="5" t="s">
        <v>5182</v>
      </c>
      <c r="G1027" s="6" t="s">
        <v>14</v>
      </c>
      <c r="H1027" s="4">
        <v>24</v>
      </c>
      <c r="I1027" s="5" t="s">
        <v>22</v>
      </c>
      <c r="J1027" s="5" t="s">
        <v>5183</v>
      </c>
      <c r="K1027" s="5" t="s">
        <v>5184</v>
      </c>
      <c r="L1027" s="5"/>
      <c r="M1027" s="5" t="s">
        <v>2089</v>
      </c>
      <c r="N1027" s="5" t="s">
        <v>2089</v>
      </c>
      <c r="O1027" s="5" t="s">
        <v>5023</v>
      </c>
      <c r="P1027" s="5"/>
      <c r="Q1027" s="5" t="s">
        <v>5185</v>
      </c>
    </row>
    <row r="1028" spans="2:17" x14ac:dyDescent="0.2">
      <c r="B1028" s="5" t="s">
        <v>5154</v>
      </c>
      <c r="C1028" s="6" t="s">
        <v>13589</v>
      </c>
      <c r="D1028" s="4">
        <v>48</v>
      </c>
      <c r="E1028" s="5" t="s">
        <v>15</v>
      </c>
      <c r="F1028" s="5" t="s">
        <v>5239</v>
      </c>
      <c r="G1028" s="6" t="s">
        <v>14</v>
      </c>
      <c r="H1028" s="4">
        <v>25</v>
      </c>
      <c r="I1028" s="5"/>
      <c r="J1028" s="5" t="s">
        <v>5240</v>
      </c>
      <c r="K1028" s="5" t="s">
        <v>5241</v>
      </c>
      <c r="L1028" s="5"/>
      <c r="M1028" s="5" t="s">
        <v>3451</v>
      </c>
      <c r="N1028" s="5" t="s">
        <v>1437</v>
      </c>
      <c r="O1028" s="5" t="s">
        <v>5023</v>
      </c>
      <c r="P1028" s="5"/>
      <c r="Q1028" s="5" t="s">
        <v>5242</v>
      </c>
    </row>
    <row r="1029" spans="2:17" x14ac:dyDescent="0.2">
      <c r="B1029" s="5" t="s">
        <v>5154</v>
      </c>
      <c r="C1029" s="6" t="s">
        <v>13589</v>
      </c>
      <c r="D1029" s="4">
        <v>49</v>
      </c>
      <c r="E1029" s="5" t="s">
        <v>32</v>
      </c>
      <c r="F1029" s="5" t="s">
        <v>5167</v>
      </c>
      <c r="G1029" s="6" t="s">
        <v>14</v>
      </c>
      <c r="H1029" s="4">
        <v>26</v>
      </c>
      <c r="I1029" s="5" t="s">
        <v>22</v>
      </c>
      <c r="J1029" s="5" t="s">
        <v>5168</v>
      </c>
      <c r="K1029" s="5" t="s">
        <v>5033</v>
      </c>
      <c r="L1029" s="5"/>
      <c r="M1029" s="5" t="s">
        <v>1437</v>
      </c>
      <c r="N1029" s="5" t="s">
        <v>1437</v>
      </c>
      <c r="O1029" s="5" t="s">
        <v>5031</v>
      </c>
      <c r="P1029" s="5"/>
      <c r="Q1029" s="5" t="s">
        <v>5169</v>
      </c>
    </row>
    <row r="1030" spans="2:17" x14ac:dyDescent="0.2">
      <c r="B1030" s="5" t="s">
        <v>5154</v>
      </c>
      <c r="C1030" s="6" t="s">
        <v>13589</v>
      </c>
      <c r="D1030" s="4">
        <v>50</v>
      </c>
      <c r="E1030" s="5" t="s">
        <v>32</v>
      </c>
      <c r="F1030" s="5" t="s">
        <v>5163</v>
      </c>
      <c r="G1030" s="6" t="s">
        <v>14</v>
      </c>
      <c r="H1030" s="4">
        <v>27</v>
      </c>
      <c r="I1030" s="5" t="s">
        <v>22</v>
      </c>
      <c r="J1030" s="5" t="s">
        <v>276</v>
      </c>
      <c r="K1030" s="5" t="s">
        <v>5164</v>
      </c>
      <c r="L1030" s="5"/>
      <c r="M1030" s="5" t="s">
        <v>336</v>
      </c>
      <c r="N1030" s="5" t="s">
        <v>337</v>
      </c>
      <c r="O1030" s="5" t="s">
        <v>5023</v>
      </c>
      <c r="P1030" s="5" t="s">
        <v>5165</v>
      </c>
      <c r="Q1030" s="5" t="s">
        <v>5166</v>
      </c>
    </row>
    <row r="1031" spans="2:17" x14ac:dyDescent="0.2">
      <c r="B1031" s="5" t="s">
        <v>5154</v>
      </c>
      <c r="C1031" s="6" t="s">
        <v>13589</v>
      </c>
      <c r="D1031" s="4">
        <v>51</v>
      </c>
      <c r="E1031" s="5" t="s">
        <v>15</v>
      </c>
      <c r="F1031" s="5" t="s">
        <v>5160</v>
      </c>
      <c r="G1031" s="6" t="s">
        <v>14</v>
      </c>
      <c r="H1031" s="4">
        <v>28</v>
      </c>
      <c r="I1031" s="5"/>
      <c r="J1031" s="5" t="s">
        <v>5161</v>
      </c>
      <c r="K1031" s="5" t="s">
        <v>5022</v>
      </c>
      <c r="L1031" s="5"/>
      <c r="M1031" s="5" t="s">
        <v>1750</v>
      </c>
      <c r="N1031" s="5" t="s">
        <v>1928</v>
      </c>
      <c r="O1031" s="5" t="s">
        <v>5023</v>
      </c>
      <c r="P1031" s="5"/>
      <c r="Q1031" s="5" t="s">
        <v>5162</v>
      </c>
    </row>
    <row r="1032" spans="2:17" x14ac:dyDescent="0.2">
      <c r="B1032" s="5" t="s">
        <v>5154</v>
      </c>
      <c r="C1032" s="6" t="s">
        <v>13589</v>
      </c>
      <c r="D1032" s="4">
        <v>52</v>
      </c>
      <c r="E1032" s="5" t="s">
        <v>32</v>
      </c>
      <c r="F1032" s="5" t="s">
        <v>5155</v>
      </c>
      <c r="G1032" s="6" t="s">
        <v>14</v>
      </c>
      <c r="H1032" s="4">
        <v>29</v>
      </c>
      <c r="I1032" s="5" t="s">
        <v>22</v>
      </c>
      <c r="J1032" s="5" t="s">
        <v>5156</v>
      </c>
      <c r="K1032" s="5" t="s">
        <v>5157</v>
      </c>
      <c r="L1032" s="5"/>
      <c r="M1032" s="5" t="s">
        <v>1750</v>
      </c>
      <c r="N1032" s="5" t="s">
        <v>1928</v>
      </c>
      <c r="O1032" s="5" t="s">
        <v>5158</v>
      </c>
      <c r="P1032" s="5"/>
      <c r="Q1032" s="5" t="s">
        <v>5159</v>
      </c>
    </row>
    <row r="1033" spans="2:17" x14ac:dyDescent="0.2">
      <c r="B1033" s="5" t="s">
        <v>5154</v>
      </c>
      <c r="C1033" s="6" t="s">
        <v>13589</v>
      </c>
      <c r="D1033" s="4">
        <v>53</v>
      </c>
      <c r="E1033" s="5" t="s">
        <v>15</v>
      </c>
      <c r="F1033" s="5" t="s">
        <v>5232</v>
      </c>
      <c r="G1033" s="6" t="s">
        <v>14</v>
      </c>
      <c r="H1033" s="4">
        <v>30</v>
      </c>
      <c r="I1033" s="5"/>
      <c r="J1033" s="5" t="s">
        <v>5233</v>
      </c>
      <c r="K1033" s="5" t="s">
        <v>5206</v>
      </c>
      <c r="L1033" s="5"/>
      <c r="M1033" s="5" t="s">
        <v>5234</v>
      </c>
      <c r="N1033" s="5" t="s">
        <v>5234</v>
      </c>
      <c r="O1033" s="5" t="s">
        <v>5023</v>
      </c>
      <c r="P1033" s="5"/>
      <c r="Q1033" s="5" t="s">
        <v>5235</v>
      </c>
    </row>
    <row r="1034" spans="2:17" x14ac:dyDescent="0.2">
      <c r="B1034" s="5" t="s">
        <v>5154</v>
      </c>
      <c r="C1034" s="6" t="s">
        <v>13589</v>
      </c>
      <c r="D1034" s="4">
        <v>54</v>
      </c>
      <c r="E1034" s="5" t="s">
        <v>15</v>
      </c>
      <c r="F1034" s="5" t="s">
        <v>5236</v>
      </c>
      <c r="G1034" s="6" t="s">
        <v>14</v>
      </c>
      <c r="H1034" s="4">
        <v>31</v>
      </c>
      <c r="I1034" s="5"/>
      <c r="J1034" s="5" t="s">
        <v>5237</v>
      </c>
      <c r="K1034" s="5"/>
      <c r="L1034" s="5"/>
      <c r="M1034" s="5" t="s">
        <v>5234</v>
      </c>
      <c r="N1034" s="5" t="s">
        <v>5234</v>
      </c>
      <c r="O1034" s="5" t="s">
        <v>5211</v>
      </c>
      <c r="P1034" s="5"/>
      <c r="Q1034" s="5" t="s">
        <v>5238</v>
      </c>
    </row>
    <row r="1035" spans="2:17" x14ac:dyDescent="0.2">
      <c r="B1035" s="5" t="s">
        <v>5154</v>
      </c>
      <c r="C1035" s="6" t="s">
        <v>13589</v>
      </c>
      <c r="D1035" s="4">
        <v>55</v>
      </c>
      <c r="E1035" s="5" t="s">
        <v>32</v>
      </c>
      <c r="F1035" s="5" t="s">
        <v>2675</v>
      </c>
      <c r="G1035" s="6" t="s">
        <v>14</v>
      </c>
      <c r="H1035" s="4">
        <v>32</v>
      </c>
      <c r="I1035" s="5" t="s">
        <v>38</v>
      </c>
      <c r="J1035" s="5" t="s">
        <v>5213</v>
      </c>
      <c r="K1035" s="5" t="s">
        <v>5214</v>
      </c>
      <c r="L1035" s="5"/>
      <c r="M1035" s="5" t="s">
        <v>399</v>
      </c>
      <c r="N1035" s="5" t="s">
        <v>2134</v>
      </c>
      <c r="O1035" s="5" t="s">
        <v>5029</v>
      </c>
      <c r="P1035" s="5"/>
      <c r="Q1035" s="5" t="s">
        <v>5215</v>
      </c>
    </row>
    <row r="1036" spans="2:17" x14ac:dyDescent="0.2">
      <c r="B1036" s="5" t="s">
        <v>5154</v>
      </c>
      <c r="C1036" s="6" t="s">
        <v>13589</v>
      </c>
      <c r="D1036" s="4">
        <v>57</v>
      </c>
      <c r="E1036" s="5" t="s">
        <v>15</v>
      </c>
      <c r="F1036" s="5" t="s">
        <v>5204</v>
      </c>
      <c r="G1036" s="6" t="s">
        <v>14</v>
      </c>
      <c r="H1036" s="4">
        <v>33</v>
      </c>
      <c r="I1036" s="5"/>
      <c r="J1036" s="5" t="s">
        <v>5205</v>
      </c>
      <c r="K1036" s="5" t="s">
        <v>5206</v>
      </c>
      <c r="L1036" s="5"/>
      <c r="M1036" s="5" t="s">
        <v>1470</v>
      </c>
      <c r="N1036" s="5" t="s">
        <v>1470</v>
      </c>
      <c r="O1036" s="5" t="s">
        <v>5023</v>
      </c>
      <c r="P1036" s="5"/>
      <c r="Q1036" s="5" t="s">
        <v>5207</v>
      </c>
    </row>
    <row r="1037" spans="2:17" x14ac:dyDescent="0.2">
      <c r="B1037" s="5" t="s">
        <v>5154</v>
      </c>
      <c r="C1037" s="6" t="s">
        <v>13589</v>
      </c>
      <c r="D1037" s="4">
        <v>58</v>
      </c>
      <c r="E1037" s="5" t="s">
        <v>15</v>
      </c>
      <c r="F1037" s="5" t="s">
        <v>5208</v>
      </c>
      <c r="G1037" s="6" t="s">
        <v>14</v>
      </c>
      <c r="H1037" s="4">
        <v>34</v>
      </c>
      <c r="I1037" s="5"/>
      <c r="J1037" s="5" t="s">
        <v>5209</v>
      </c>
      <c r="K1037" s="5" t="s">
        <v>5210</v>
      </c>
      <c r="L1037" s="5"/>
      <c r="M1037" s="5" t="s">
        <v>1470</v>
      </c>
      <c r="N1037" s="5" t="s">
        <v>1470</v>
      </c>
      <c r="O1037" s="5" t="s">
        <v>5211</v>
      </c>
      <c r="P1037" s="5"/>
      <c r="Q1037" s="5" t="s">
        <v>5212</v>
      </c>
    </row>
    <row r="1038" spans="2:17" x14ac:dyDescent="0.2">
      <c r="B1038" s="5" t="s">
        <v>5246</v>
      </c>
      <c r="C1038" s="6" t="s">
        <v>13589</v>
      </c>
      <c r="D1038" s="4">
        <v>62</v>
      </c>
      <c r="E1038" s="5" t="s">
        <v>15</v>
      </c>
      <c r="F1038" s="5" t="s">
        <v>5423</v>
      </c>
      <c r="G1038" s="6" t="s">
        <v>14</v>
      </c>
      <c r="H1038" s="4">
        <v>35</v>
      </c>
      <c r="I1038" s="5"/>
      <c r="J1038" s="5" t="s">
        <v>5424</v>
      </c>
      <c r="K1038" s="5" t="s">
        <v>5008</v>
      </c>
      <c r="L1038" s="5" t="s">
        <v>5425</v>
      </c>
      <c r="M1038" s="5" t="s">
        <v>5426</v>
      </c>
      <c r="N1038" s="5" t="s">
        <v>4355</v>
      </c>
      <c r="O1038" s="5" t="s">
        <v>5005</v>
      </c>
      <c r="P1038" s="5"/>
      <c r="Q1038" s="5" t="s">
        <v>5427</v>
      </c>
    </row>
    <row r="1039" spans="2:17" x14ac:dyDescent="0.2">
      <c r="B1039" s="5" t="s">
        <v>5246</v>
      </c>
      <c r="C1039" s="6" t="s">
        <v>13589</v>
      </c>
      <c r="D1039" s="4">
        <v>102</v>
      </c>
      <c r="E1039" s="5" t="s">
        <v>35</v>
      </c>
      <c r="F1039" s="5" t="s">
        <v>5280</v>
      </c>
      <c r="G1039" s="6" t="s">
        <v>14</v>
      </c>
      <c r="H1039" s="4">
        <v>36</v>
      </c>
      <c r="I1039" s="5"/>
      <c r="J1039" s="5" t="s">
        <v>5281</v>
      </c>
      <c r="K1039" s="5" t="s">
        <v>5282</v>
      </c>
      <c r="L1039" s="5" t="s">
        <v>5283</v>
      </c>
      <c r="M1039" s="5" t="s">
        <v>137</v>
      </c>
      <c r="N1039" s="5" t="s">
        <v>5284</v>
      </c>
      <c r="O1039" s="5" t="s">
        <v>5005</v>
      </c>
      <c r="P1039" s="5"/>
      <c r="Q1039" s="5" t="s">
        <v>5285</v>
      </c>
    </row>
    <row r="1040" spans="2:17" x14ac:dyDescent="0.2">
      <c r="B1040" s="5" t="s">
        <v>5246</v>
      </c>
      <c r="C1040" s="6" t="s">
        <v>13589</v>
      </c>
      <c r="D1040" s="4">
        <v>104</v>
      </c>
      <c r="E1040" s="5" t="s">
        <v>32</v>
      </c>
      <c r="F1040" s="5" t="s">
        <v>5256</v>
      </c>
      <c r="G1040" s="6" t="s">
        <v>14</v>
      </c>
      <c r="H1040" s="4">
        <v>37</v>
      </c>
      <c r="I1040" s="5" t="s">
        <v>22</v>
      </c>
      <c r="J1040" s="5" t="s">
        <v>5257</v>
      </c>
      <c r="K1040" s="5" t="s">
        <v>5012</v>
      </c>
      <c r="L1040" s="5"/>
      <c r="M1040" s="5" t="s">
        <v>1464</v>
      </c>
      <c r="N1040" s="5" t="s">
        <v>2089</v>
      </c>
      <c r="O1040" s="5" t="s">
        <v>5006</v>
      </c>
      <c r="P1040" s="5"/>
      <c r="Q1040" s="5" t="s">
        <v>5258</v>
      </c>
    </row>
    <row r="1041" spans="2:17" x14ac:dyDescent="0.2">
      <c r="B1041" s="5" t="s">
        <v>5246</v>
      </c>
      <c r="C1041" s="6" t="s">
        <v>13589</v>
      </c>
      <c r="D1041" s="4">
        <v>107</v>
      </c>
      <c r="E1041" s="5" t="s">
        <v>32</v>
      </c>
      <c r="F1041" s="5" t="s">
        <v>5405</v>
      </c>
      <c r="G1041" s="6" t="s">
        <v>14</v>
      </c>
      <c r="H1041" s="4">
        <v>38</v>
      </c>
      <c r="I1041" s="5" t="s">
        <v>22</v>
      </c>
      <c r="J1041" s="5" t="s">
        <v>5291</v>
      </c>
      <c r="K1041" s="5" t="s">
        <v>5261</v>
      </c>
      <c r="L1041" s="5"/>
      <c r="M1041" s="5" t="s">
        <v>1086</v>
      </c>
      <c r="N1041" s="5" t="s">
        <v>2249</v>
      </c>
      <c r="O1041" s="5" t="s">
        <v>5011</v>
      </c>
      <c r="P1041" s="5"/>
      <c r="Q1041" s="5" t="s">
        <v>5406</v>
      </c>
    </row>
    <row r="1042" spans="2:17" x14ac:dyDescent="0.2">
      <c r="B1042" s="5" t="s">
        <v>5246</v>
      </c>
      <c r="C1042" s="6" t="s">
        <v>13589</v>
      </c>
      <c r="D1042" s="4">
        <v>108</v>
      </c>
      <c r="E1042" s="5" t="s">
        <v>32</v>
      </c>
      <c r="F1042" s="5" t="s">
        <v>5405</v>
      </c>
      <c r="G1042" s="6" t="s">
        <v>14</v>
      </c>
      <c r="H1042" s="4">
        <v>39</v>
      </c>
      <c r="I1042" s="5" t="s">
        <v>22</v>
      </c>
      <c r="J1042" s="5" t="s">
        <v>5407</v>
      </c>
      <c r="K1042" s="5" t="s">
        <v>5140</v>
      </c>
      <c r="L1042" s="5"/>
      <c r="M1042" s="5" t="s">
        <v>1086</v>
      </c>
      <c r="N1042" s="5" t="s">
        <v>2249</v>
      </c>
      <c r="O1042" s="5" t="s">
        <v>5011</v>
      </c>
      <c r="P1042" s="5"/>
      <c r="Q1042" s="5" t="s">
        <v>5408</v>
      </c>
    </row>
    <row r="1043" spans="2:17" x14ac:dyDescent="0.2">
      <c r="B1043" s="5" t="s">
        <v>5246</v>
      </c>
      <c r="C1043" s="6" t="s">
        <v>13589</v>
      </c>
      <c r="D1043" s="4">
        <v>109</v>
      </c>
      <c r="E1043" s="5" t="s">
        <v>32</v>
      </c>
      <c r="F1043" s="5" t="s">
        <v>5405</v>
      </c>
      <c r="G1043" s="6" t="s">
        <v>14</v>
      </c>
      <c r="H1043" s="4">
        <v>40</v>
      </c>
      <c r="I1043" s="5" t="s">
        <v>22</v>
      </c>
      <c r="J1043" s="5" t="s">
        <v>5409</v>
      </c>
      <c r="K1043" s="5" t="s">
        <v>5141</v>
      </c>
      <c r="L1043" s="5"/>
      <c r="M1043" s="5" t="s">
        <v>1086</v>
      </c>
      <c r="N1043" s="5" t="s">
        <v>2249</v>
      </c>
      <c r="O1043" s="5" t="s">
        <v>5011</v>
      </c>
      <c r="P1043" s="5"/>
      <c r="Q1043" s="5" t="s">
        <v>5410</v>
      </c>
    </row>
    <row r="1044" spans="2:17" x14ac:dyDescent="0.2">
      <c r="B1044" s="5" t="s">
        <v>5246</v>
      </c>
      <c r="C1044" s="6" t="s">
        <v>13589</v>
      </c>
      <c r="D1044" s="4">
        <v>110</v>
      </c>
      <c r="E1044" s="5" t="s">
        <v>32</v>
      </c>
      <c r="F1044" s="5" t="s">
        <v>5405</v>
      </c>
      <c r="G1044" s="6" t="s">
        <v>14</v>
      </c>
      <c r="H1044" s="4">
        <v>41</v>
      </c>
      <c r="I1044" s="5" t="s">
        <v>22</v>
      </c>
      <c r="J1044" s="5" t="s">
        <v>5411</v>
      </c>
      <c r="K1044" s="5" t="s">
        <v>5017</v>
      </c>
      <c r="L1044" s="5"/>
      <c r="M1044" s="5" t="s">
        <v>1086</v>
      </c>
      <c r="N1044" s="5" t="s">
        <v>2249</v>
      </c>
      <c r="O1044" s="5" t="s">
        <v>5011</v>
      </c>
      <c r="P1044" s="5"/>
      <c r="Q1044" s="5" t="s">
        <v>5412</v>
      </c>
    </row>
    <row r="1045" spans="2:17" x14ac:dyDescent="0.2">
      <c r="B1045" s="5" t="s">
        <v>5246</v>
      </c>
      <c r="C1045" s="6" t="s">
        <v>13589</v>
      </c>
      <c r="D1045" s="4">
        <v>111</v>
      </c>
      <c r="E1045" s="5" t="s">
        <v>32</v>
      </c>
      <c r="F1045" s="5" t="s">
        <v>5405</v>
      </c>
      <c r="G1045" s="6" t="s">
        <v>14</v>
      </c>
      <c r="H1045" s="4">
        <v>42</v>
      </c>
      <c r="I1045" s="5" t="s">
        <v>22</v>
      </c>
      <c r="J1045" s="5" t="s">
        <v>5413</v>
      </c>
      <c r="K1045" s="5" t="s">
        <v>5145</v>
      </c>
      <c r="L1045" s="5"/>
      <c r="M1045" s="5" t="s">
        <v>1086</v>
      </c>
      <c r="N1045" s="5" t="s">
        <v>2249</v>
      </c>
      <c r="O1045" s="5" t="s">
        <v>5011</v>
      </c>
      <c r="P1045" s="5"/>
      <c r="Q1045" s="5" t="s">
        <v>5414</v>
      </c>
    </row>
    <row r="1046" spans="2:17" x14ac:dyDescent="0.2">
      <c r="B1046" s="5" t="s">
        <v>5246</v>
      </c>
      <c r="C1046" s="6" t="s">
        <v>13589</v>
      </c>
      <c r="D1046" s="4">
        <v>112</v>
      </c>
      <c r="E1046" s="5" t="s">
        <v>32</v>
      </c>
      <c r="F1046" s="5" t="s">
        <v>5405</v>
      </c>
      <c r="G1046" s="6" t="s">
        <v>14</v>
      </c>
      <c r="H1046" s="4">
        <v>43</v>
      </c>
      <c r="I1046" s="5" t="s">
        <v>22</v>
      </c>
      <c r="J1046" s="5" t="s">
        <v>5415</v>
      </c>
      <c r="K1046" s="5" t="s">
        <v>5249</v>
      </c>
      <c r="L1046" s="5"/>
      <c r="M1046" s="5" t="s">
        <v>1086</v>
      </c>
      <c r="N1046" s="5" t="s">
        <v>2249</v>
      </c>
      <c r="O1046" s="5" t="s">
        <v>5011</v>
      </c>
      <c r="P1046" s="5"/>
      <c r="Q1046" s="5" t="s">
        <v>5416</v>
      </c>
    </row>
    <row r="1047" spans="2:17" x14ac:dyDescent="0.2">
      <c r="B1047" s="5" t="s">
        <v>5246</v>
      </c>
      <c r="C1047" s="6" t="s">
        <v>13589</v>
      </c>
      <c r="D1047" s="4">
        <v>113</v>
      </c>
      <c r="E1047" s="5" t="s">
        <v>32</v>
      </c>
      <c r="F1047" s="5" t="s">
        <v>5405</v>
      </c>
      <c r="G1047" s="6" t="s">
        <v>14</v>
      </c>
      <c r="H1047" s="4">
        <v>44</v>
      </c>
      <c r="I1047" s="5" t="s">
        <v>22</v>
      </c>
      <c r="J1047" s="5" t="s">
        <v>5417</v>
      </c>
      <c r="K1047" s="5" t="s">
        <v>5261</v>
      </c>
      <c r="L1047" s="5" t="s">
        <v>5418</v>
      </c>
      <c r="M1047" s="5" t="s">
        <v>1086</v>
      </c>
      <c r="N1047" s="5" t="s">
        <v>2249</v>
      </c>
      <c r="O1047" s="5" t="s">
        <v>5011</v>
      </c>
      <c r="P1047" s="5"/>
      <c r="Q1047" s="5" t="s">
        <v>5419</v>
      </c>
    </row>
    <row r="1048" spans="2:17" x14ac:dyDescent="0.2">
      <c r="B1048" s="5" t="s">
        <v>5246</v>
      </c>
      <c r="C1048" s="6" t="s">
        <v>13589</v>
      </c>
      <c r="D1048" s="4">
        <v>114</v>
      </c>
      <c r="E1048" s="5" t="s">
        <v>35</v>
      </c>
      <c r="F1048" s="5" t="s">
        <v>5276</v>
      </c>
      <c r="G1048" s="6" t="s">
        <v>14</v>
      </c>
      <c r="H1048" s="4">
        <v>45</v>
      </c>
      <c r="I1048" s="5"/>
      <c r="J1048" s="5" t="s">
        <v>5277</v>
      </c>
      <c r="K1048" s="5" t="s">
        <v>5007</v>
      </c>
      <c r="L1048" s="5" t="s">
        <v>5278</v>
      </c>
      <c r="M1048" s="5" t="s">
        <v>1835</v>
      </c>
      <c r="N1048" s="5" t="s">
        <v>1835</v>
      </c>
      <c r="O1048" s="5" t="s">
        <v>5005</v>
      </c>
      <c r="P1048" s="5"/>
      <c r="Q1048" s="5" t="s">
        <v>5279</v>
      </c>
    </row>
    <row r="1049" spans="2:17" x14ac:dyDescent="0.2">
      <c r="B1049" s="5" t="s">
        <v>5246</v>
      </c>
      <c r="C1049" s="6" t="s">
        <v>13589</v>
      </c>
      <c r="D1049" s="4">
        <v>115</v>
      </c>
      <c r="E1049" s="5" t="s">
        <v>32</v>
      </c>
      <c r="F1049" s="5" t="s">
        <v>5441</v>
      </c>
      <c r="G1049" s="6" t="s">
        <v>14</v>
      </c>
      <c r="H1049" s="4">
        <v>46</v>
      </c>
      <c r="I1049" s="5" t="s">
        <v>22</v>
      </c>
      <c r="J1049" s="5" t="s">
        <v>5442</v>
      </c>
      <c r="K1049" s="5" t="s">
        <v>5007</v>
      </c>
      <c r="L1049" s="5" t="s">
        <v>5443</v>
      </c>
      <c r="M1049" s="5" t="s">
        <v>2262</v>
      </c>
      <c r="N1049" s="5" t="s">
        <v>251</v>
      </c>
      <c r="O1049" s="5" t="s">
        <v>5005</v>
      </c>
      <c r="P1049" s="5"/>
      <c r="Q1049" s="5" t="s">
        <v>5444</v>
      </c>
    </row>
    <row r="1050" spans="2:17" x14ac:dyDescent="0.2">
      <c r="B1050" s="5" t="s">
        <v>5246</v>
      </c>
      <c r="C1050" s="6" t="s">
        <v>13589</v>
      </c>
      <c r="D1050" s="4">
        <v>116</v>
      </c>
      <c r="E1050" s="5" t="s">
        <v>32</v>
      </c>
      <c r="F1050" s="5" t="s">
        <v>5441</v>
      </c>
      <c r="G1050" s="6" t="s">
        <v>14</v>
      </c>
      <c r="H1050" s="4">
        <v>47</v>
      </c>
      <c r="I1050" s="5" t="s">
        <v>22</v>
      </c>
      <c r="J1050" s="5" t="s">
        <v>5445</v>
      </c>
      <c r="K1050" s="5" t="s">
        <v>5007</v>
      </c>
      <c r="L1050" s="5" t="s">
        <v>5446</v>
      </c>
      <c r="M1050" s="5" t="s">
        <v>2262</v>
      </c>
      <c r="N1050" s="5" t="s">
        <v>251</v>
      </c>
      <c r="O1050" s="5" t="s">
        <v>5005</v>
      </c>
      <c r="P1050" s="5"/>
      <c r="Q1050" s="5" t="s">
        <v>5447</v>
      </c>
    </row>
    <row r="1051" spans="2:17" x14ac:dyDescent="0.2">
      <c r="B1051" s="5" t="s">
        <v>5246</v>
      </c>
      <c r="C1051" s="6" t="s">
        <v>13589</v>
      </c>
      <c r="D1051" s="4">
        <v>117</v>
      </c>
      <c r="E1051" s="5" t="s">
        <v>32</v>
      </c>
      <c r="F1051" s="5" t="s">
        <v>5441</v>
      </c>
      <c r="G1051" s="6" t="s">
        <v>14</v>
      </c>
      <c r="H1051" s="4">
        <v>48</v>
      </c>
      <c r="I1051" s="5" t="s">
        <v>22</v>
      </c>
      <c r="J1051" s="5" t="s">
        <v>5448</v>
      </c>
      <c r="K1051" s="5" t="s">
        <v>5449</v>
      </c>
      <c r="L1051" s="5"/>
      <c r="M1051" s="5" t="s">
        <v>2262</v>
      </c>
      <c r="N1051" s="5" t="s">
        <v>251</v>
      </c>
      <c r="O1051" s="5" t="s">
        <v>5005</v>
      </c>
      <c r="P1051" s="5"/>
      <c r="Q1051" s="5" t="s">
        <v>5450</v>
      </c>
    </row>
    <row r="1052" spans="2:17" x14ac:dyDescent="0.2">
      <c r="B1052" s="5" t="s">
        <v>5246</v>
      </c>
      <c r="C1052" s="6" t="s">
        <v>13589</v>
      </c>
      <c r="D1052" s="4">
        <v>118</v>
      </c>
      <c r="E1052" s="5" t="s">
        <v>32</v>
      </c>
      <c r="F1052" s="5" t="s">
        <v>5259</v>
      </c>
      <c r="G1052" s="6" t="s">
        <v>14</v>
      </c>
      <c r="H1052" s="4">
        <v>49</v>
      </c>
      <c r="I1052" s="5" t="s">
        <v>22</v>
      </c>
      <c r="J1052" s="5" t="s">
        <v>5260</v>
      </c>
      <c r="K1052" s="5" t="s">
        <v>5261</v>
      </c>
      <c r="L1052" s="5" t="s">
        <v>5262</v>
      </c>
      <c r="M1052" s="5" t="s">
        <v>1470</v>
      </c>
      <c r="N1052" s="5" t="s">
        <v>1470</v>
      </c>
      <c r="O1052" s="5" t="s">
        <v>5011</v>
      </c>
      <c r="P1052" s="5"/>
      <c r="Q1052" s="5" t="s">
        <v>5263</v>
      </c>
    </row>
    <row r="1053" spans="2:17" x14ac:dyDescent="0.2">
      <c r="B1053" s="5" t="s">
        <v>5246</v>
      </c>
      <c r="C1053" s="6" t="s">
        <v>13589</v>
      </c>
      <c r="D1053" s="4">
        <v>119</v>
      </c>
      <c r="E1053" s="5" t="s">
        <v>32</v>
      </c>
      <c r="F1053" s="5" t="s">
        <v>5259</v>
      </c>
      <c r="G1053" s="6" t="s">
        <v>14</v>
      </c>
      <c r="H1053" s="4">
        <v>50</v>
      </c>
      <c r="I1053" s="5" t="s">
        <v>22</v>
      </c>
      <c r="J1053" s="5" t="s">
        <v>5264</v>
      </c>
      <c r="K1053" s="5" t="s">
        <v>5261</v>
      </c>
      <c r="L1053" s="5" t="s">
        <v>5265</v>
      </c>
      <c r="M1053" s="5" t="s">
        <v>1470</v>
      </c>
      <c r="N1053" s="5" t="s">
        <v>1470</v>
      </c>
      <c r="O1053" s="5" t="s">
        <v>5011</v>
      </c>
      <c r="P1053" s="5"/>
      <c r="Q1053" s="5" t="s">
        <v>5266</v>
      </c>
    </row>
    <row r="1054" spans="2:17" x14ac:dyDescent="0.2">
      <c r="B1054" s="5" t="s">
        <v>5246</v>
      </c>
      <c r="C1054" s="6" t="s">
        <v>13589</v>
      </c>
      <c r="D1054" s="4">
        <v>120</v>
      </c>
      <c r="E1054" s="5" t="s">
        <v>32</v>
      </c>
      <c r="F1054" s="5" t="s">
        <v>5259</v>
      </c>
      <c r="G1054" s="6" t="s">
        <v>14</v>
      </c>
      <c r="H1054" s="4">
        <v>51</v>
      </c>
      <c r="I1054" s="5" t="s">
        <v>22</v>
      </c>
      <c r="J1054" s="5" t="s">
        <v>5267</v>
      </c>
      <c r="K1054" s="5" t="s">
        <v>1705</v>
      </c>
      <c r="L1054" s="5"/>
      <c r="M1054" s="5" t="s">
        <v>1470</v>
      </c>
      <c r="N1054" s="5" t="s">
        <v>1470</v>
      </c>
      <c r="O1054" s="5" t="s">
        <v>5011</v>
      </c>
      <c r="P1054" s="5"/>
      <c r="Q1054" s="5" t="s">
        <v>5268</v>
      </c>
    </row>
    <row r="1055" spans="2:17" x14ac:dyDescent="0.2">
      <c r="B1055" s="5" t="s">
        <v>5246</v>
      </c>
      <c r="C1055" s="6" t="s">
        <v>13589</v>
      </c>
      <c r="D1055" s="4">
        <v>121</v>
      </c>
      <c r="E1055" s="5" t="s">
        <v>32</v>
      </c>
      <c r="F1055" s="5" t="s">
        <v>5259</v>
      </c>
      <c r="G1055" s="6" t="s">
        <v>14</v>
      </c>
      <c r="H1055" s="4">
        <v>52</v>
      </c>
      <c r="I1055" s="5" t="s">
        <v>22</v>
      </c>
      <c r="J1055" s="5" t="s">
        <v>5269</v>
      </c>
      <c r="K1055" s="5" t="s">
        <v>1706</v>
      </c>
      <c r="L1055" s="5"/>
      <c r="M1055" s="5" t="s">
        <v>1470</v>
      </c>
      <c r="N1055" s="5" t="s">
        <v>1470</v>
      </c>
      <c r="O1055" s="5" t="s">
        <v>5011</v>
      </c>
      <c r="P1055" s="5"/>
      <c r="Q1055" s="5" t="s">
        <v>5270</v>
      </c>
    </row>
    <row r="1056" spans="2:17" x14ac:dyDescent="0.2">
      <c r="B1056" s="5" t="s">
        <v>5246</v>
      </c>
      <c r="C1056" s="6" t="s">
        <v>13589</v>
      </c>
      <c r="D1056" s="4">
        <v>122</v>
      </c>
      <c r="E1056" s="5" t="s">
        <v>32</v>
      </c>
      <c r="F1056" s="5" t="s">
        <v>5259</v>
      </c>
      <c r="G1056" s="6" t="s">
        <v>14</v>
      </c>
      <c r="H1056" s="4">
        <v>53</v>
      </c>
      <c r="I1056" s="5" t="s">
        <v>22</v>
      </c>
      <c r="J1056" s="5" t="s">
        <v>5271</v>
      </c>
      <c r="K1056" s="5" t="s">
        <v>1706</v>
      </c>
      <c r="L1056" s="5" t="s">
        <v>5272</v>
      </c>
      <c r="M1056" s="5" t="s">
        <v>1470</v>
      </c>
      <c r="N1056" s="5" t="s">
        <v>1470</v>
      </c>
      <c r="O1056" s="5" t="s">
        <v>5011</v>
      </c>
      <c r="P1056" s="5"/>
      <c r="Q1056" s="5" t="s">
        <v>5273</v>
      </c>
    </row>
    <row r="1057" spans="2:17" x14ac:dyDescent="0.2">
      <c r="B1057" s="5" t="s">
        <v>5246</v>
      </c>
      <c r="C1057" s="6" t="s">
        <v>13589</v>
      </c>
      <c r="D1057" s="4">
        <v>123</v>
      </c>
      <c r="E1057" s="5" t="s">
        <v>32</v>
      </c>
      <c r="F1057" s="5" t="s">
        <v>5259</v>
      </c>
      <c r="G1057" s="6" t="s">
        <v>14</v>
      </c>
      <c r="H1057" s="4">
        <v>54</v>
      </c>
      <c r="I1057" s="5" t="s">
        <v>22</v>
      </c>
      <c r="J1057" s="5" t="s">
        <v>5274</v>
      </c>
      <c r="K1057" s="5" t="s">
        <v>5140</v>
      </c>
      <c r="L1057" s="5"/>
      <c r="M1057" s="5" t="s">
        <v>1470</v>
      </c>
      <c r="N1057" s="5" t="s">
        <v>1470</v>
      </c>
      <c r="O1057" s="5" t="s">
        <v>5011</v>
      </c>
      <c r="P1057" s="5"/>
      <c r="Q1057" s="5" t="s">
        <v>5275</v>
      </c>
    </row>
    <row r="1058" spans="2:17" x14ac:dyDescent="0.2">
      <c r="B1058" s="5" t="s">
        <v>5451</v>
      </c>
      <c r="C1058" s="6" t="s">
        <v>13589</v>
      </c>
      <c r="D1058" s="4">
        <v>125</v>
      </c>
      <c r="E1058" s="5" t="s">
        <v>15</v>
      </c>
      <c r="F1058" s="5" t="s">
        <v>5657</v>
      </c>
      <c r="G1058" s="6" t="s">
        <v>14</v>
      </c>
      <c r="H1058" s="4">
        <v>55</v>
      </c>
      <c r="I1058" s="5"/>
      <c r="J1058" s="5" t="s">
        <v>5658</v>
      </c>
      <c r="K1058" s="5" t="s">
        <v>5001</v>
      </c>
      <c r="L1058" s="5"/>
      <c r="M1058" s="5" t="s">
        <v>5659</v>
      </c>
      <c r="N1058" s="5" t="s">
        <v>5659</v>
      </c>
      <c r="O1058" s="5" t="s">
        <v>5453</v>
      </c>
      <c r="P1058" s="5"/>
      <c r="Q1058" s="5" t="s">
        <v>5660</v>
      </c>
    </row>
    <row r="1059" spans="2:17" x14ac:dyDescent="0.2">
      <c r="B1059" s="5" t="s">
        <v>5451</v>
      </c>
      <c r="C1059" s="6" t="s">
        <v>13589</v>
      </c>
      <c r="D1059" s="4">
        <v>126</v>
      </c>
      <c r="E1059" s="5" t="s">
        <v>82</v>
      </c>
      <c r="F1059" s="5" t="s">
        <v>1090</v>
      </c>
      <c r="G1059" s="6" t="s">
        <v>14</v>
      </c>
      <c r="H1059" s="4">
        <v>56</v>
      </c>
      <c r="I1059" s="5"/>
      <c r="J1059" s="5"/>
      <c r="K1059" s="5" t="s">
        <v>5147</v>
      </c>
      <c r="L1059" s="5"/>
      <c r="M1059" s="5" t="s">
        <v>3455</v>
      </c>
      <c r="N1059" s="5" t="s">
        <v>3455</v>
      </c>
      <c r="O1059" s="5" t="s">
        <v>5453</v>
      </c>
      <c r="P1059" s="5"/>
      <c r="Q1059" s="5" t="s">
        <v>5656</v>
      </c>
    </row>
    <row r="1060" spans="2:17" x14ac:dyDescent="0.2">
      <c r="B1060" s="5" t="s">
        <v>5451</v>
      </c>
      <c r="C1060" s="6" t="s">
        <v>13589</v>
      </c>
      <c r="D1060" s="4">
        <v>128</v>
      </c>
      <c r="E1060" s="5" t="s">
        <v>35</v>
      </c>
      <c r="F1060" s="5" t="s">
        <v>5625</v>
      </c>
      <c r="G1060" s="6" t="s">
        <v>14</v>
      </c>
      <c r="H1060" s="4">
        <v>57</v>
      </c>
      <c r="I1060" s="5"/>
      <c r="J1060" s="5" t="s">
        <v>5626</v>
      </c>
      <c r="K1060" s="5" t="s">
        <v>5000</v>
      </c>
      <c r="L1060" s="5"/>
      <c r="M1060" s="5" t="s">
        <v>2729</v>
      </c>
      <c r="N1060" s="5" t="s">
        <v>2729</v>
      </c>
      <c r="O1060" s="5" t="s">
        <v>5452</v>
      </c>
      <c r="P1060" s="5"/>
      <c r="Q1060" s="5" t="s">
        <v>5627</v>
      </c>
    </row>
    <row r="1061" spans="2:17" x14ac:dyDescent="0.2">
      <c r="B1061" s="5" t="s">
        <v>5451</v>
      </c>
      <c r="C1061" s="6" t="s">
        <v>13589</v>
      </c>
      <c r="D1061" s="4">
        <v>129</v>
      </c>
      <c r="E1061" s="5" t="s">
        <v>35</v>
      </c>
      <c r="F1061" s="5" t="s">
        <v>5622</v>
      </c>
      <c r="G1061" s="6" t="s">
        <v>14</v>
      </c>
      <c r="H1061" s="4">
        <v>58</v>
      </c>
      <c r="I1061" s="5"/>
      <c r="J1061" s="5" t="s">
        <v>5623</v>
      </c>
      <c r="K1061" s="5" t="s">
        <v>5000</v>
      </c>
      <c r="L1061" s="5"/>
      <c r="M1061" s="5" t="s">
        <v>5226</v>
      </c>
      <c r="N1061" s="5" t="s">
        <v>5226</v>
      </c>
      <c r="O1061" s="5" t="s">
        <v>5452</v>
      </c>
      <c r="P1061" s="5"/>
      <c r="Q1061" s="5" t="s">
        <v>5624</v>
      </c>
    </row>
    <row r="1062" spans="2:17" x14ac:dyDescent="0.2">
      <c r="B1062" s="5" t="s">
        <v>5451</v>
      </c>
      <c r="C1062" s="6" t="s">
        <v>13589</v>
      </c>
      <c r="D1062" s="4">
        <v>130</v>
      </c>
      <c r="E1062" s="5" t="s">
        <v>13</v>
      </c>
      <c r="F1062" s="5" t="s">
        <v>5619</v>
      </c>
      <c r="G1062" s="6" t="s">
        <v>14</v>
      </c>
      <c r="H1062" s="4">
        <v>59</v>
      </c>
      <c r="I1062" s="5"/>
      <c r="J1062" s="5" t="s">
        <v>5620</v>
      </c>
      <c r="K1062" s="5" t="s">
        <v>5457</v>
      </c>
      <c r="L1062" s="5"/>
      <c r="M1062" s="5" t="s">
        <v>2724</v>
      </c>
      <c r="N1062" s="5" t="s">
        <v>2724</v>
      </c>
      <c r="O1062" s="5" t="s">
        <v>5452</v>
      </c>
      <c r="P1062" s="5"/>
      <c r="Q1062" s="5" t="s">
        <v>5621</v>
      </c>
    </row>
    <row r="1063" spans="2:17" x14ac:dyDescent="0.2">
      <c r="B1063" s="5" t="s">
        <v>5451</v>
      </c>
      <c r="C1063" s="6" t="s">
        <v>13589</v>
      </c>
      <c r="D1063" s="4">
        <v>133</v>
      </c>
      <c r="E1063" s="5" t="s">
        <v>24</v>
      </c>
      <c r="F1063" s="5" t="s">
        <v>5611</v>
      </c>
      <c r="G1063" s="6" t="s">
        <v>14</v>
      </c>
      <c r="H1063" s="4">
        <v>60</v>
      </c>
      <c r="I1063" s="5"/>
      <c r="J1063" s="5" t="s">
        <v>5612</v>
      </c>
      <c r="K1063" s="5" t="s">
        <v>5457</v>
      </c>
      <c r="L1063" s="5"/>
      <c r="M1063" s="5" t="s">
        <v>938</v>
      </c>
      <c r="N1063" s="5" t="s">
        <v>153</v>
      </c>
      <c r="O1063" s="5" t="s">
        <v>5452</v>
      </c>
      <c r="P1063" s="5"/>
      <c r="Q1063" s="5" t="s">
        <v>5614</v>
      </c>
    </row>
    <row r="1064" spans="2:17" x14ac:dyDescent="0.2">
      <c r="B1064" s="5" t="s">
        <v>5451</v>
      </c>
      <c r="C1064" s="6" t="s">
        <v>13589</v>
      </c>
      <c r="D1064" s="4">
        <v>134</v>
      </c>
      <c r="E1064" s="5" t="s">
        <v>15</v>
      </c>
      <c r="F1064" s="5" t="s">
        <v>5611</v>
      </c>
      <c r="G1064" s="6" t="s">
        <v>14</v>
      </c>
      <c r="H1064" s="4">
        <v>61</v>
      </c>
      <c r="I1064" s="5"/>
      <c r="J1064" s="5" t="s">
        <v>5612</v>
      </c>
      <c r="K1064" s="5" t="s">
        <v>5457</v>
      </c>
      <c r="L1064" s="5"/>
      <c r="M1064" s="5" t="s">
        <v>938</v>
      </c>
      <c r="N1064" s="5" t="s">
        <v>153</v>
      </c>
      <c r="O1064" s="5" t="s">
        <v>5452</v>
      </c>
      <c r="P1064" s="5"/>
      <c r="Q1064" s="5" t="s">
        <v>5613</v>
      </c>
    </row>
    <row r="1065" spans="2:17" x14ac:dyDescent="0.2">
      <c r="B1065" s="5" t="s">
        <v>5451</v>
      </c>
      <c r="C1065" s="6" t="s">
        <v>13589</v>
      </c>
      <c r="D1065" s="4">
        <v>143</v>
      </c>
      <c r="E1065" s="5" t="s">
        <v>15</v>
      </c>
      <c r="F1065" s="5" t="s">
        <v>5564</v>
      </c>
      <c r="G1065" s="6" t="s">
        <v>14</v>
      </c>
      <c r="H1065" s="4">
        <v>62</v>
      </c>
      <c r="I1065" s="5"/>
      <c r="J1065" s="5" t="s">
        <v>5565</v>
      </c>
      <c r="K1065" s="5" t="s">
        <v>5149</v>
      </c>
      <c r="L1065" s="5"/>
      <c r="M1065" s="5" t="s">
        <v>804</v>
      </c>
      <c r="N1065" s="5" t="s">
        <v>804</v>
      </c>
      <c r="O1065" s="5" t="s">
        <v>5469</v>
      </c>
      <c r="P1065" s="5"/>
      <c r="Q1065" s="5" t="s">
        <v>5566</v>
      </c>
    </row>
    <row r="1066" spans="2:17" x14ac:dyDescent="0.2">
      <c r="B1066" s="5" t="s">
        <v>5451</v>
      </c>
      <c r="C1066" s="6" t="s">
        <v>13589</v>
      </c>
      <c r="D1066" s="4">
        <v>145</v>
      </c>
      <c r="E1066" s="5" t="s">
        <v>20</v>
      </c>
      <c r="F1066" s="5" t="s">
        <v>5556</v>
      </c>
      <c r="G1066" s="6" t="s">
        <v>14</v>
      </c>
      <c r="H1066" s="4">
        <v>63</v>
      </c>
      <c r="I1066" s="5" t="s">
        <v>22</v>
      </c>
      <c r="J1066" s="5" t="s">
        <v>5557</v>
      </c>
      <c r="K1066" s="5" t="s">
        <v>5558</v>
      </c>
      <c r="L1066" s="5" t="s">
        <v>5559</v>
      </c>
      <c r="M1066" s="5" t="s">
        <v>804</v>
      </c>
      <c r="N1066" s="5" t="s">
        <v>2089</v>
      </c>
      <c r="O1066" s="5" t="s">
        <v>5453</v>
      </c>
      <c r="P1066" s="5"/>
      <c r="Q1066" s="5" t="s">
        <v>5560</v>
      </c>
    </row>
    <row r="1067" spans="2:17" x14ac:dyDescent="0.2">
      <c r="B1067" s="5" t="s">
        <v>5451</v>
      </c>
      <c r="C1067" s="6" t="s">
        <v>13589</v>
      </c>
      <c r="D1067" s="4">
        <v>146</v>
      </c>
      <c r="E1067" s="5" t="s">
        <v>20</v>
      </c>
      <c r="F1067" s="5" t="s">
        <v>5556</v>
      </c>
      <c r="G1067" s="6" t="s">
        <v>14</v>
      </c>
      <c r="H1067" s="4">
        <v>64</v>
      </c>
      <c r="I1067" s="5" t="s">
        <v>22</v>
      </c>
      <c r="J1067" s="5" t="s">
        <v>5561</v>
      </c>
      <c r="K1067" s="5" t="s">
        <v>5147</v>
      </c>
      <c r="L1067" s="5" t="s">
        <v>5562</v>
      </c>
      <c r="M1067" s="5" t="s">
        <v>804</v>
      </c>
      <c r="N1067" s="5" t="s">
        <v>2089</v>
      </c>
      <c r="O1067" s="5" t="s">
        <v>5453</v>
      </c>
      <c r="P1067" s="5"/>
      <c r="Q1067" s="5" t="s">
        <v>5563</v>
      </c>
    </row>
    <row r="1068" spans="2:17" x14ac:dyDescent="0.2">
      <c r="B1068" s="5" t="s">
        <v>5451</v>
      </c>
      <c r="C1068" s="6" t="s">
        <v>13589</v>
      </c>
      <c r="D1068" s="4">
        <v>147</v>
      </c>
      <c r="E1068" s="5" t="s">
        <v>13</v>
      </c>
      <c r="F1068" s="5" t="s">
        <v>5554</v>
      </c>
      <c r="G1068" s="6" t="s">
        <v>14</v>
      </c>
      <c r="H1068" s="4">
        <v>65</v>
      </c>
      <c r="I1068" s="5"/>
      <c r="J1068" s="5"/>
      <c r="K1068" s="5" t="s">
        <v>5147</v>
      </c>
      <c r="L1068" s="5"/>
      <c r="M1068" s="5" t="s">
        <v>2089</v>
      </c>
      <c r="N1068" s="5" t="s">
        <v>2089</v>
      </c>
      <c r="O1068" s="5" t="s">
        <v>5453</v>
      </c>
      <c r="P1068" s="5"/>
      <c r="Q1068" s="5" t="s">
        <v>5555</v>
      </c>
    </row>
    <row r="1069" spans="2:17" x14ac:dyDescent="0.2">
      <c r="B1069" s="5" t="s">
        <v>5451</v>
      </c>
      <c r="C1069" s="6" t="s">
        <v>13589</v>
      </c>
      <c r="D1069" s="4">
        <v>154</v>
      </c>
      <c r="E1069" s="5" t="s">
        <v>32</v>
      </c>
      <c r="F1069" s="5" t="s">
        <v>5528</v>
      </c>
      <c r="G1069" s="6" t="s">
        <v>14</v>
      </c>
      <c r="H1069" s="4">
        <v>66</v>
      </c>
      <c r="I1069" s="5" t="s">
        <v>22</v>
      </c>
      <c r="J1069" s="5" t="s">
        <v>5529</v>
      </c>
      <c r="K1069" s="5" t="s">
        <v>5149</v>
      </c>
      <c r="L1069" s="5" t="s">
        <v>5530</v>
      </c>
      <c r="M1069" s="5" t="s">
        <v>1802</v>
      </c>
      <c r="N1069" s="5" t="s">
        <v>337</v>
      </c>
      <c r="O1069" s="5" t="s">
        <v>5469</v>
      </c>
      <c r="P1069" s="5"/>
      <c r="Q1069" s="5" t="s">
        <v>5531</v>
      </c>
    </row>
    <row r="1070" spans="2:17" x14ac:dyDescent="0.2">
      <c r="B1070" s="5" t="s">
        <v>5451</v>
      </c>
      <c r="C1070" s="6" t="s">
        <v>13589</v>
      </c>
      <c r="D1070" s="4">
        <v>155</v>
      </c>
      <c r="E1070" s="5" t="s">
        <v>15</v>
      </c>
      <c r="F1070" s="5" t="s">
        <v>5532</v>
      </c>
      <c r="G1070" s="6" t="s">
        <v>14</v>
      </c>
      <c r="H1070" s="4">
        <v>67</v>
      </c>
      <c r="I1070" s="5"/>
      <c r="J1070" s="5" t="s">
        <v>5532</v>
      </c>
      <c r="K1070" s="5" t="s">
        <v>5002</v>
      </c>
      <c r="L1070" s="5"/>
      <c r="M1070" s="5" t="s">
        <v>1802</v>
      </c>
      <c r="N1070" s="5" t="s">
        <v>337</v>
      </c>
      <c r="O1070" s="5" t="s">
        <v>5469</v>
      </c>
      <c r="P1070" s="5"/>
      <c r="Q1070" s="5" t="s">
        <v>5533</v>
      </c>
    </row>
    <row r="1071" spans="2:17" x14ac:dyDescent="0.2">
      <c r="B1071" s="5" t="s">
        <v>5451</v>
      </c>
      <c r="C1071" s="6" t="s">
        <v>13589</v>
      </c>
      <c r="D1071" s="4">
        <v>157</v>
      </c>
      <c r="E1071" s="5" t="s">
        <v>35</v>
      </c>
      <c r="F1071" s="5" t="s">
        <v>5524</v>
      </c>
      <c r="G1071" s="6" t="s">
        <v>14</v>
      </c>
      <c r="H1071" s="4">
        <v>68</v>
      </c>
      <c r="I1071" s="5"/>
      <c r="J1071" s="5" t="s">
        <v>5525</v>
      </c>
      <c r="K1071" s="5" t="s">
        <v>5526</v>
      </c>
      <c r="L1071" s="5"/>
      <c r="M1071" s="5" t="s">
        <v>337</v>
      </c>
      <c r="N1071" s="5" t="s">
        <v>337</v>
      </c>
      <c r="O1071" s="5" t="s">
        <v>5469</v>
      </c>
      <c r="P1071" s="5"/>
      <c r="Q1071" s="5" t="s">
        <v>5527</v>
      </c>
    </row>
    <row r="1072" spans="2:17" x14ac:dyDescent="0.2">
      <c r="B1072" s="5" t="s">
        <v>5451</v>
      </c>
      <c r="C1072" s="6" t="s">
        <v>13589</v>
      </c>
      <c r="D1072" s="4">
        <v>158</v>
      </c>
      <c r="E1072" s="5" t="s">
        <v>15</v>
      </c>
      <c r="F1072" s="5" t="s">
        <v>5521</v>
      </c>
      <c r="G1072" s="6" t="s">
        <v>14</v>
      </c>
      <c r="H1072" s="4">
        <v>69</v>
      </c>
      <c r="I1072" s="5"/>
      <c r="J1072" s="5" t="s">
        <v>5522</v>
      </c>
      <c r="K1072" s="5" t="s">
        <v>5001</v>
      </c>
      <c r="L1072" s="5"/>
      <c r="M1072" s="5" t="s">
        <v>1416</v>
      </c>
      <c r="N1072" s="5" t="s">
        <v>1957</v>
      </c>
      <c r="O1072" s="5" t="s">
        <v>5453</v>
      </c>
      <c r="P1072" s="5"/>
      <c r="Q1072" s="5" t="s">
        <v>5523</v>
      </c>
    </row>
    <row r="1073" spans="2:17" x14ac:dyDescent="0.2">
      <c r="B1073" s="5" t="s">
        <v>5451</v>
      </c>
      <c r="C1073" s="6" t="s">
        <v>13589</v>
      </c>
      <c r="D1073" s="4">
        <v>159</v>
      </c>
      <c r="E1073" s="5" t="s">
        <v>32</v>
      </c>
      <c r="F1073" s="5" t="s">
        <v>4734</v>
      </c>
      <c r="G1073" s="6" t="s">
        <v>14</v>
      </c>
      <c r="H1073" s="4">
        <v>70</v>
      </c>
      <c r="I1073" s="5" t="s">
        <v>22</v>
      </c>
      <c r="J1073" s="5" t="s">
        <v>5510</v>
      </c>
      <c r="K1073" s="5" t="s">
        <v>5003</v>
      </c>
      <c r="L1073" s="5" t="s">
        <v>5511</v>
      </c>
      <c r="M1073" s="5" t="s">
        <v>1377</v>
      </c>
      <c r="N1073" s="5" t="s">
        <v>331</v>
      </c>
      <c r="O1073" s="5" t="s">
        <v>5469</v>
      </c>
      <c r="P1073" s="5"/>
      <c r="Q1073" s="5" t="s">
        <v>5512</v>
      </c>
    </row>
    <row r="1074" spans="2:17" x14ac:dyDescent="0.2">
      <c r="B1074" s="5" t="s">
        <v>5451</v>
      </c>
      <c r="C1074" s="6" t="s">
        <v>13589</v>
      </c>
      <c r="D1074" s="4">
        <v>166</v>
      </c>
      <c r="E1074" s="5" t="s">
        <v>13</v>
      </c>
      <c r="F1074" s="5" t="s">
        <v>5537</v>
      </c>
      <c r="G1074" s="6" t="s">
        <v>14</v>
      </c>
      <c r="H1074" s="4">
        <v>71</v>
      </c>
      <c r="I1074" s="5"/>
      <c r="J1074" s="5" t="s">
        <v>5538</v>
      </c>
      <c r="K1074" s="5" t="s">
        <v>5150</v>
      </c>
      <c r="L1074" s="5"/>
      <c r="M1074" s="5" t="s">
        <v>1437</v>
      </c>
      <c r="N1074" s="5" t="s">
        <v>5539</v>
      </c>
      <c r="O1074" s="5" t="s">
        <v>5469</v>
      </c>
      <c r="P1074" s="5"/>
      <c r="Q1074" s="5" t="s">
        <v>5540</v>
      </c>
    </row>
    <row r="1075" spans="2:17" x14ac:dyDescent="0.2">
      <c r="B1075" s="5" t="s">
        <v>5451</v>
      </c>
      <c r="C1075" s="6" t="s">
        <v>13589</v>
      </c>
      <c r="D1075" s="4">
        <v>167</v>
      </c>
      <c r="E1075" s="5" t="s">
        <v>24</v>
      </c>
      <c r="F1075" s="5" t="s">
        <v>5498</v>
      </c>
      <c r="G1075" s="6" t="s">
        <v>14</v>
      </c>
      <c r="H1075" s="4">
        <v>72</v>
      </c>
      <c r="I1075" s="5" t="s">
        <v>22</v>
      </c>
      <c r="J1075" s="5" t="s">
        <v>5499</v>
      </c>
      <c r="K1075" s="5" t="s">
        <v>5500</v>
      </c>
      <c r="L1075" s="5"/>
      <c r="M1075" s="5" t="s">
        <v>1750</v>
      </c>
      <c r="N1075" s="5" t="s">
        <v>1751</v>
      </c>
      <c r="O1075" s="5" t="s">
        <v>5469</v>
      </c>
      <c r="P1075" s="5"/>
      <c r="Q1075" s="5" t="s">
        <v>5501</v>
      </c>
    </row>
    <row r="1076" spans="2:17" x14ac:dyDescent="0.2">
      <c r="B1076" s="5" t="s">
        <v>5451</v>
      </c>
      <c r="C1076" s="6" t="s">
        <v>13589</v>
      </c>
      <c r="D1076" s="4">
        <v>168</v>
      </c>
      <c r="E1076" s="5" t="s">
        <v>20</v>
      </c>
      <c r="F1076" s="5" t="s">
        <v>5489</v>
      </c>
      <c r="G1076" s="6" t="s">
        <v>14</v>
      </c>
      <c r="H1076" s="4">
        <v>73</v>
      </c>
      <c r="I1076" s="5" t="s">
        <v>22</v>
      </c>
      <c r="J1076" s="5" t="s">
        <v>5490</v>
      </c>
      <c r="K1076" s="5" t="s">
        <v>5491</v>
      </c>
      <c r="L1076" s="5" t="s">
        <v>5492</v>
      </c>
      <c r="M1076" s="5" t="s">
        <v>1750</v>
      </c>
      <c r="N1076" s="5" t="s">
        <v>1751</v>
      </c>
      <c r="O1076" s="5" t="s">
        <v>5469</v>
      </c>
      <c r="P1076" s="5"/>
      <c r="Q1076" s="5" t="s">
        <v>5493</v>
      </c>
    </row>
    <row r="1077" spans="2:17" x14ac:dyDescent="0.2">
      <c r="B1077" s="5" t="s">
        <v>5451</v>
      </c>
      <c r="C1077" s="6" t="s">
        <v>13589</v>
      </c>
      <c r="D1077" s="4">
        <v>169</v>
      </c>
      <c r="E1077" s="5" t="s">
        <v>32</v>
      </c>
      <c r="F1077" s="5" t="s">
        <v>5494</v>
      </c>
      <c r="G1077" s="6" t="s">
        <v>14</v>
      </c>
      <c r="H1077" s="4">
        <v>74</v>
      </c>
      <c r="I1077" s="5" t="s">
        <v>22</v>
      </c>
      <c r="J1077" s="5" t="s">
        <v>5495</v>
      </c>
      <c r="K1077" s="5" t="s">
        <v>5496</v>
      </c>
      <c r="L1077" s="5"/>
      <c r="M1077" s="5" t="s">
        <v>1750</v>
      </c>
      <c r="N1077" s="5" t="s">
        <v>1751</v>
      </c>
      <c r="O1077" s="5" t="s">
        <v>5469</v>
      </c>
      <c r="P1077" s="5"/>
      <c r="Q1077" s="5" t="s">
        <v>5497</v>
      </c>
    </row>
    <row r="1078" spans="2:17" x14ac:dyDescent="0.2">
      <c r="B1078" s="5" t="s">
        <v>5451</v>
      </c>
      <c r="C1078" s="6" t="s">
        <v>13589</v>
      </c>
      <c r="D1078" s="4">
        <v>170</v>
      </c>
      <c r="E1078" s="5" t="s">
        <v>13</v>
      </c>
      <c r="F1078" s="5" t="s">
        <v>5487</v>
      </c>
      <c r="G1078" s="6" t="s">
        <v>14</v>
      </c>
      <c r="H1078" s="4">
        <v>75</v>
      </c>
      <c r="I1078" s="5"/>
      <c r="J1078" s="5" t="s">
        <v>5488</v>
      </c>
      <c r="K1078" s="5" t="s">
        <v>5150</v>
      </c>
      <c r="L1078" s="5"/>
      <c r="M1078" s="5" t="s">
        <v>291</v>
      </c>
      <c r="N1078" s="5" t="s">
        <v>284</v>
      </c>
      <c r="O1078" s="5" t="s">
        <v>5469</v>
      </c>
      <c r="P1078" s="5"/>
      <c r="Q1078" s="5" t="s">
        <v>4882</v>
      </c>
    </row>
    <row r="1079" spans="2:17" x14ac:dyDescent="0.2">
      <c r="B1079" s="5" t="s">
        <v>5451</v>
      </c>
      <c r="C1079" s="6" t="s">
        <v>13589</v>
      </c>
      <c r="D1079" s="4">
        <v>172</v>
      </c>
      <c r="E1079" s="5" t="s">
        <v>32</v>
      </c>
      <c r="F1079" s="5" t="s">
        <v>5479</v>
      </c>
      <c r="G1079" s="6" t="s">
        <v>14</v>
      </c>
      <c r="H1079" s="4">
        <v>76</v>
      </c>
      <c r="I1079" s="5" t="s">
        <v>22</v>
      </c>
      <c r="J1079" s="5" t="s">
        <v>5480</v>
      </c>
      <c r="K1079" s="5" t="s">
        <v>5149</v>
      </c>
      <c r="L1079" s="5" t="s">
        <v>5481</v>
      </c>
      <c r="M1079" s="5" t="s">
        <v>573</v>
      </c>
      <c r="N1079" s="5" t="s">
        <v>1258</v>
      </c>
      <c r="O1079" s="5" t="s">
        <v>5469</v>
      </c>
      <c r="P1079" s="5"/>
      <c r="Q1079" s="5" t="s">
        <v>5482</v>
      </c>
    </row>
    <row r="1080" spans="2:17" x14ac:dyDescent="0.2">
      <c r="B1080" s="5" t="s">
        <v>5451</v>
      </c>
      <c r="C1080" s="6" t="s">
        <v>13589</v>
      </c>
      <c r="D1080" s="4">
        <v>173</v>
      </c>
      <c r="E1080" s="5" t="s">
        <v>82</v>
      </c>
      <c r="F1080" s="5" t="s">
        <v>5471</v>
      </c>
      <c r="G1080" s="6" t="s">
        <v>14</v>
      </c>
      <c r="H1080" s="4">
        <v>77</v>
      </c>
      <c r="I1080" s="5" t="s">
        <v>22</v>
      </c>
      <c r="J1080" s="5" t="s">
        <v>5477</v>
      </c>
      <c r="K1080" s="5" t="s">
        <v>5153</v>
      </c>
      <c r="L1080" s="5"/>
      <c r="M1080" s="5" t="s">
        <v>1251</v>
      </c>
      <c r="N1080" s="5" t="s">
        <v>1247</v>
      </c>
      <c r="O1080" s="5" t="s">
        <v>5455</v>
      </c>
      <c r="P1080" s="5"/>
      <c r="Q1080" s="5" t="s">
        <v>5478</v>
      </c>
    </row>
    <row r="1081" spans="2:17" x14ac:dyDescent="0.2">
      <c r="B1081" s="5" t="s">
        <v>5451</v>
      </c>
      <c r="C1081" s="6" t="s">
        <v>13589</v>
      </c>
      <c r="D1081" s="4">
        <v>174</v>
      </c>
      <c r="E1081" s="5" t="s">
        <v>32</v>
      </c>
      <c r="F1081" s="5" t="s">
        <v>5471</v>
      </c>
      <c r="G1081" s="6" t="s">
        <v>14</v>
      </c>
      <c r="H1081" s="4">
        <v>78</v>
      </c>
      <c r="I1081" s="5" t="s">
        <v>22</v>
      </c>
      <c r="J1081" s="5" t="s">
        <v>5456</v>
      </c>
      <c r="K1081" s="5" t="s">
        <v>5457</v>
      </c>
      <c r="L1081" s="5"/>
      <c r="M1081" s="5" t="s">
        <v>1251</v>
      </c>
      <c r="N1081" s="5" t="s">
        <v>1247</v>
      </c>
      <c r="O1081" s="5" t="s">
        <v>5452</v>
      </c>
      <c r="P1081" s="5"/>
      <c r="Q1081" s="5" t="s">
        <v>5472</v>
      </c>
    </row>
    <row r="1082" spans="2:17" x14ac:dyDescent="0.2">
      <c r="B1082" s="5" t="s">
        <v>5451</v>
      </c>
      <c r="C1082" s="6" t="s">
        <v>13589</v>
      </c>
      <c r="D1082" s="4">
        <v>175</v>
      </c>
      <c r="E1082" s="5" t="s">
        <v>82</v>
      </c>
      <c r="F1082" s="5" t="s">
        <v>5471</v>
      </c>
      <c r="G1082" s="6" t="s">
        <v>14</v>
      </c>
      <c r="H1082" s="4">
        <v>79</v>
      </c>
      <c r="I1082" s="5" t="s">
        <v>22</v>
      </c>
      <c r="J1082" s="5" t="s">
        <v>5473</v>
      </c>
      <c r="K1082" s="5" t="s">
        <v>5000</v>
      </c>
      <c r="L1082" s="5" t="s">
        <v>5474</v>
      </c>
      <c r="M1082" s="5" t="s">
        <v>1251</v>
      </c>
      <c r="N1082" s="5" t="s">
        <v>1247</v>
      </c>
      <c r="O1082" s="5" t="s">
        <v>5452</v>
      </c>
      <c r="P1082" s="5"/>
      <c r="Q1082" s="5" t="s">
        <v>5475</v>
      </c>
    </row>
    <row r="1083" spans="2:17" x14ac:dyDescent="0.2">
      <c r="B1083" s="5" t="s">
        <v>5451</v>
      </c>
      <c r="C1083" s="6" t="s">
        <v>13589</v>
      </c>
      <c r="D1083" s="4">
        <v>176</v>
      </c>
      <c r="E1083" s="5" t="s">
        <v>82</v>
      </c>
      <c r="F1083" s="5" t="s">
        <v>5471</v>
      </c>
      <c r="G1083" s="6" t="s">
        <v>14</v>
      </c>
      <c r="H1083" s="4">
        <v>80</v>
      </c>
      <c r="I1083" s="5"/>
      <c r="J1083" s="5" t="s">
        <v>5476</v>
      </c>
      <c r="K1083" s="5" t="s">
        <v>4999</v>
      </c>
      <c r="L1083" s="5"/>
      <c r="M1083" s="5" t="s">
        <v>1251</v>
      </c>
      <c r="N1083" s="5" t="s">
        <v>1247</v>
      </c>
      <c r="O1083" s="5" t="s">
        <v>5452</v>
      </c>
      <c r="P1083" s="5"/>
      <c r="Q1083" s="5" t="s">
        <v>1196</v>
      </c>
    </row>
    <row r="1084" spans="2:17" x14ac:dyDescent="0.2">
      <c r="B1084" s="5" t="s">
        <v>5451</v>
      </c>
      <c r="C1084" s="6" t="s">
        <v>13589</v>
      </c>
      <c r="D1084" s="4">
        <v>177</v>
      </c>
      <c r="E1084" s="5" t="s">
        <v>32</v>
      </c>
      <c r="F1084" s="5" t="s">
        <v>5466</v>
      </c>
      <c r="G1084" s="6" t="s">
        <v>14</v>
      </c>
      <c r="H1084" s="4">
        <v>81</v>
      </c>
      <c r="I1084" s="5" t="s">
        <v>22</v>
      </c>
      <c r="J1084" s="5" t="s">
        <v>5467</v>
      </c>
      <c r="K1084" s="5" t="s">
        <v>5003</v>
      </c>
      <c r="L1084" s="5" t="s">
        <v>5468</v>
      </c>
      <c r="M1084" s="5" t="s">
        <v>1236</v>
      </c>
      <c r="N1084" s="5" t="s">
        <v>1222</v>
      </c>
      <c r="O1084" s="5" t="s">
        <v>5469</v>
      </c>
      <c r="P1084" s="5"/>
      <c r="Q1084" s="5" t="s">
        <v>5470</v>
      </c>
    </row>
    <row r="1085" spans="2:17" x14ac:dyDescent="0.2">
      <c r="B1085" s="5" t="s">
        <v>5451</v>
      </c>
      <c r="C1085" s="6" t="s">
        <v>13589</v>
      </c>
      <c r="D1085" s="4">
        <v>185</v>
      </c>
      <c r="E1085" s="5" t="s">
        <v>32</v>
      </c>
      <c r="F1085" s="5" t="s">
        <v>5578</v>
      </c>
      <c r="G1085" s="6" t="s">
        <v>14</v>
      </c>
      <c r="H1085" s="4">
        <v>82</v>
      </c>
      <c r="I1085" s="5" t="s">
        <v>22</v>
      </c>
      <c r="J1085" s="5" t="s">
        <v>5579</v>
      </c>
      <c r="K1085" s="5" t="s">
        <v>5147</v>
      </c>
      <c r="L1085" s="5"/>
      <c r="M1085" s="5" t="s">
        <v>399</v>
      </c>
      <c r="N1085" s="5" t="s">
        <v>400</v>
      </c>
      <c r="O1085" s="5" t="s">
        <v>5580</v>
      </c>
      <c r="P1085" s="5"/>
      <c r="Q1085" s="5" t="s">
        <v>5581</v>
      </c>
    </row>
    <row r="1086" spans="2:17" x14ac:dyDescent="0.2">
      <c r="B1086" s="5" t="s">
        <v>5451</v>
      </c>
      <c r="C1086" s="6" t="s">
        <v>13589</v>
      </c>
      <c r="D1086" s="4">
        <v>186</v>
      </c>
      <c r="E1086" s="5" t="s">
        <v>35</v>
      </c>
      <c r="F1086" s="5" t="s">
        <v>5582</v>
      </c>
      <c r="G1086" s="6" t="s">
        <v>14</v>
      </c>
      <c r="H1086" s="4">
        <v>83</v>
      </c>
      <c r="I1086" s="5"/>
      <c r="J1086" s="5" t="s">
        <v>5583</v>
      </c>
      <c r="K1086" s="5" t="s">
        <v>5147</v>
      </c>
      <c r="L1086" s="5"/>
      <c r="M1086" s="5" t="s">
        <v>399</v>
      </c>
      <c r="N1086" s="5" t="s">
        <v>400</v>
      </c>
      <c r="O1086" s="5" t="s">
        <v>5453</v>
      </c>
      <c r="P1086" s="5"/>
      <c r="Q1086" s="5" t="s">
        <v>5584</v>
      </c>
    </row>
    <row r="1087" spans="2:17" x14ac:dyDescent="0.2">
      <c r="B1087" s="5" t="s">
        <v>5451</v>
      </c>
      <c r="C1087" s="6" t="s">
        <v>13589</v>
      </c>
      <c r="D1087" s="4">
        <v>188</v>
      </c>
      <c r="E1087" s="5" t="s">
        <v>35</v>
      </c>
      <c r="F1087" s="5" t="s">
        <v>5574</v>
      </c>
      <c r="G1087" s="6" t="s">
        <v>14</v>
      </c>
      <c r="H1087" s="4">
        <v>84</v>
      </c>
      <c r="I1087" s="5"/>
      <c r="J1087" s="5" t="s">
        <v>5575</v>
      </c>
      <c r="K1087" s="5" t="s">
        <v>5576</v>
      </c>
      <c r="L1087" s="5"/>
      <c r="M1087" s="5" t="s">
        <v>1512</v>
      </c>
      <c r="N1087" s="5" t="s">
        <v>1512</v>
      </c>
      <c r="O1087" s="5" t="s">
        <v>5453</v>
      </c>
      <c r="P1087" s="5"/>
      <c r="Q1087" s="5" t="s">
        <v>5577</v>
      </c>
    </row>
    <row r="1088" spans="2:17" x14ac:dyDescent="0.2">
      <c r="B1088" s="5" t="s">
        <v>5451</v>
      </c>
      <c r="C1088" s="6" t="s">
        <v>13589</v>
      </c>
      <c r="D1088" s="4">
        <v>189</v>
      </c>
      <c r="E1088" s="5" t="s">
        <v>35</v>
      </c>
      <c r="F1088" s="5" t="s">
        <v>5464</v>
      </c>
      <c r="G1088" s="6" t="s">
        <v>14</v>
      </c>
      <c r="H1088" s="4">
        <v>85</v>
      </c>
      <c r="I1088" s="5"/>
      <c r="J1088" s="5" t="s">
        <v>5460</v>
      </c>
      <c r="K1088" s="5" t="s">
        <v>5001</v>
      </c>
      <c r="L1088" s="5"/>
      <c r="M1088" s="5" t="s">
        <v>1201</v>
      </c>
      <c r="N1088" s="5" t="s">
        <v>1208</v>
      </c>
      <c r="O1088" s="5" t="s">
        <v>5453</v>
      </c>
      <c r="P1088" s="5"/>
      <c r="Q1088" s="5" t="s">
        <v>5465</v>
      </c>
    </row>
    <row r="1089" spans="2:17" x14ac:dyDescent="0.2">
      <c r="B1089" s="5" t="s">
        <v>5451</v>
      </c>
      <c r="C1089" s="6" t="s">
        <v>13589</v>
      </c>
      <c r="D1089" s="4">
        <v>190</v>
      </c>
      <c r="E1089" s="5" t="s">
        <v>24</v>
      </c>
      <c r="F1089" s="5" t="s">
        <v>5678</v>
      </c>
      <c r="G1089" s="6" t="s">
        <v>14</v>
      </c>
      <c r="H1089" s="4">
        <v>86</v>
      </c>
      <c r="I1089" s="5"/>
      <c r="J1089" s="5" t="s">
        <v>5679</v>
      </c>
      <c r="K1089" s="5" t="s">
        <v>5147</v>
      </c>
      <c r="L1089" s="5"/>
      <c r="M1089" s="5" t="s">
        <v>4315</v>
      </c>
      <c r="N1089" s="5" t="s">
        <v>260</v>
      </c>
      <c r="O1089" s="5" t="s">
        <v>5453</v>
      </c>
      <c r="P1089" s="5"/>
      <c r="Q1089" s="5" t="s">
        <v>5680</v>
      </c>
    </row>
    <row r="1090" spans="2:17" x14ac:dyDescent="0.2">
      <c r="B1090" s="5" t="s">
        <v>5451</v>
      </c>
      <c r="C1090" s="6" t="s">
        <v>13589</v>
      </c>
      <c r="D1090" s="4">
        <v>191</v>
      </c>
      <c r="E1090" s="5" t="s">
        <v>32</v>
      </c>
      <c r="F1090" s="5" t="s">
        <v>5674</v>
      </c>
      <c r="G1090" s="6" t="s">
        <v>14</v>
      </c>
      <c r="H1090" s="4">
        <v>87</v>
      </c>
      <c r="I1090" s="5" t="s">
        <v>22</v>
      </c>
      <c r="J1090" s="5" t="s">
        <v>5675</v>
      </c>
      <c r="K1090" s="5" t="s">
        <v>5676</v>
      </c>
      <c r="L1090" s="5"/>
      <c r="M1090" s="5" t="s">
        <v>1122</v>
      </c>
      <c r="N1090" s="5" t="s">
        <v>1150</v>
      </c>
      <c r="O1090" s="5" t="s">
        <v>5469</v>
      </c>
      <c r="P1090" s="5"/>
      <c r="Q1090" s="5" t="s">
        <v>5677</v>
      </c>
    </row>
    <row r="1091" spans="2:17" x14ac:dyDescent="0.2">
      <c r="B1091" s="5" t="s">
        <v>5451</v>
      </c>
      <c r="C1091" s="6" t="s">
        <v>13589</v>
      </c>
      <c r="D1091" s="4">
        <v>193</v>
      </c>
      <c r="E1091" s="5" t="s">
        <v>32</v>
      </c>
      <c r="F1091" s="5" t="s">
        <v>5665</v>
      </c>
      <c r="G1091" s="6" t="s">
        <v>14</v>
      </c>
      <c r="H1091" s="4">
        <v>88</v>
      </c>
      <c r="I1091" s="5" t="s">
        <v>22</v>
      </c>
      <c r="J1091" s="5" t="s">
        <v>5666</v>
      </c>
      <c r="K1091" s="5" t="s">
        <v>5632</v>
      </c>
      <c r="L1091" s="5"/>
      <c r="M1091" s="5" t="s">
        <v>256</v>
      </c>
      <c r="N1091" s="5" t="s">
        <v>256</v>
      </c>
      <c r="O1091" s="5" t="s">
        <v>5453</v>
      </c>
      <c r="P1091" s="5"/>
      <c r="Q1091" s="5" t="s">
        <v>5667</v>
      </c>
    </row>
    <row r="1092" spans="2:17" x14ac:dyDescent="0.2">
      <c r="B1092" s="5" t="s">
        <v>5451</v>
      </c>
      <c r="C1092" s="6" t="s">
        <v>13589</v>
      </c>
      <c r="D1092" s="4">
        <v>195</v>
      </c>
      <c r="E1092" s="5" t="s">
        <v>15</v>
      </c>
      <c r="F1092" s="5" t="s">
        <v>2737</v>
      </c>
      <c r="G1092" s="6" t="s">
        <v>14</v>
      </c>
      <c r="H1092" s="4">
        <v>89</v>
      </c>
      <c r="I1092" s="5"/>
      <c r="J1092" s="5" t="s">
        <v>5634</v>
      </c>
      <c r="K1092" s="5" t="s">
        <v>5496</v>
      </c>
      <c r="L1092" s="5"/>
      <c r="M1092" s="5" t="s">
        <v>484</v>
      </c>
      <c r="N1092" s="5" t="s">
        <v>485</v>
      </c>
      <c r="O1092" s="5" t="s">
        <v>5469</v>
      </c>
      <c r="P1092" s="5"/>
      <c r="Q1092" s="5" t="s">
        <v>5635</v>
      </c>
    </row>
    <row r="1093" spans="2:17" x14ac:dyDescent="0.2">
      <c r="B1093" s="5" t="s">
        <v>5451</v>
      </c>
      <c r="C1093" s="6" t="s">
        <v>13589</v>
      </c>
      <c r="D1093" s="4">
        <v>196</v>
      </c>
      <c r="E1093" s="5" t="s">
        <v>15</v>
      </c>
      <c r="F1093" s="5" t="s">
        <v>5572</v>
      </c>
      <c r="G1093" s="6" t="s">
        <v>14</v>
      </c>
      <c r="H1093" s="4">
        <v>90</v>
      </c>
      <c r="I1093" s="5"/>
      <c r="J1093" s="5" t="s">
        <v>5573</v>
      </c>
      <c r="K1093" s="5" t="s">
        <v>5150</v>
      </c>
      <c r="L1093" s="5"/>
      <c r="M1093" s="5" t="s">
        <v>127</v>
      </c>
      <c r="N1093" s="5" t="s">
        <v>352</v>
      </c>
      <c r="O1093" s="5" t="s">
        <v>5469</v>
      </c>
      <c r="P1093" s="5"/>
      <c r="Q1093" s="5" t="s">
        <v>4887</v>
      </c>
    </row>
    <row r="1094" spans="2:17" x14ac:dyDescent="0.2">
      <c r="B1094" s="5" t="s">
        <v>5681</v>
      </c>
      <c r="C1094" s="6" t="s">
        <v>13589</v>
      </c>
      <c r="D1094" s="4">
        <v>208</v>
      </c>
      <c r="E1094" s="5" t="s">
        <v>15</v>
      </c>
      <c r="F1094" s="5" t="s">
        <v>5875</v>
      </c>
      <c r="G1094" s="6" t="s">
        <v>14</v>
      </c>
      <c r="H1094" s="4">
        <v>91</v>
      </c>
      <c r="I1094" s="5"/>
      <c r="J1094" s="5" t="s">
        <v>5749</v>
      </c>
      <c r="K1094" s="5" t="s">
        <v>5729</v>
      </c>
      <c r="L1094" s="5"/>
      <c r="M1094" s="5" t="s">
        <v>330</v>
      </c>
      <c r="N1094" s="5" t="s">
        <v>330</v>
      </c>
      <c r="O1094" s="5" t="s">
        <v>5694</v>
      </c>
      <c r="P1094" s="5"/>
      <c r="Q1094" s="5" t="s">
        <v>5876</v>
      </c>
    </row>
    <row r="1095" spans="2:17" x14ac:dyDescent="0.2">
      <c r="B1095" s="5" t="s">
        <v>5681</v>
      </c>
      <c r="C1095" s="6" t="s">
        <v>13589</v>
      </c>
      <c r="D1095" s="4">
        <v>209</v>
      </c>
      <c r="E1095" s="5" t="s">
        <v>32</v>
      </c>
      <c r="F1095" s="5" t="s">
        <v>4734</v>
      </c>
      <c r="G1095" s="6" t="s">
        <v>14</v>
      </c>
      <c r="H1095" s="4">
        <v>92</v>
      </c>
      <c r="I1095" s="5" t="s">
        <v>22</v>
      </c>
      <c r="J1095" s="5" t="s">
        <v>5869</v>
      </c>
      <c r="K1095" s="5" t="s">
        <v>5714</v>
      </c>
      <c r="L1095" s="5"/>
      <c r="M1095" s="5" t="s">
        <v>1377</v>
      </c>
      <c r="N1095" s="5" t="s">
        <v>331</v>
      </c>
      <c r="O1095" s="5" t="s">
        <v>5690</v>
      </c>
      <c r="P1095" s="5"/>
      <c r="Q1095" s="5" t="s">
        <v>5870</v>
      </c>
    </row>
    <row r="1096" spans="2:17" x14ac:dyDescent="0.2">
      <c r="B1096" s="5" t="s">
        <v>5681</v>
      </c>
      <c r="C1096" s="6" t="s">
        <v>13589</v>
      </c>
      <c r="D1096" s="4">
        <v>210</v>
      </c>
      <c r="E1096" s="5" t="s">
        <v>32</v>
      </c>
      <c r="F1096" s="5" t="s">
        <v>5871</v>
      </c>
      <c r="G1096" s="6" t="s">
        <v>14</v>
      </c>
      <c r="H1096" s="4">
        <v>93</v>
      </c>
      <c r="I1096" s="5" t="s">
        <v>22</v>
      </c>
      <c r="J1096" s="5" t="s">
        <v>5872</v>
      </c>
      <c r="K1096" s="5" t="s">
        <v>5873</v>
      </c>
      <c r="L1096" s="5"/>
      <c r="M1096" s="5" t="s">
        <v>1377</v>
      </c>
      <c r="N1096" s="5" t="s">
        <v>1385</v>
      </c>
      <c r="O1096" s="5" t="s">
        <v>5684</v>
      </c>
      <c r="P1096" s="5"/>
      <c r="Q1096" s="5" t="s">
        <v>5874</v>
      </c>
    </row>
    <row r="1097" spans="2:17" x14ac:dyDescent="0.2">
      <c r="B1097" s="5" t="s">
        <v>5681</v>
      </c>
      <c r="C1097" s="6" t="s">
        <v>13589</v>
      </c>
      <c r="D1097" s="4">
        <v>211</v>
      </c>
      <c r="E1097" s="5" t="s">
        <v>20</v>
      </c>
      <c r="F1097" s="5" t="s">
        <v>5862</v>
      </c>
      <c r="G1097" s="6" t="s">
        <v>14</v>
      </c>
      <c r="H1097" s="4">
        <v>94</v>
      </c>
      <c r="I1097" s="5" t="s">
        <v>22</v>
      </c>
      <c r="J1097" s="5" t="s">
        <v>5845</v>
      </c>
      <c r="K1097" s="5" t="s">
        <v>5710</v>
      </c>
      <c r="L1097" s="5"/>
      <c r="M1097" s="5" t="s">
        <v>5846</v>
      </c>
      <c r="N1097" s="5" t="s">
        <v>295</v>
      </c>
      <c r="O1097" s="5" t="s">
        <v>5683</v>
      </c>
      <c r="P1097" s="5"/>
      <c r="Q1097" s="5" t="s">
        <v>5863</v>
      </c>
    </row>
    <row r="1098" spans="2:17" x14ac:dyDescent="0.2">
      <c r="B1098" s="5" t="s">
        <v>5681</v>
      </c>
      <c r="C1098" s="6" t="s">
        <v>13589</v>
      </c>
      <c r="D1098" s="4">
        <v>212</v>
      </c>
      <c r="E1098" s="5" t="s">
        <v>20</v>
      </c>
      <c r="F1098" s="5" t="s">
        <v>5858</v>
      </c>
      <c r="G1098" s="6" t="s">
        <v>14</v>
      </c>
      <c r="H1098" s="4">
        <v>95</v>
      </c>
      <c r="I1098" s="5" t="s">
        <v>22</v>
      </c>
      <c r="J1098" s="5" t="s">
        <v>5859</v>
      </c>
      <c r="K1098" s="5" t="s">
        <v>5691</v>
      </c>
      <c r="L1098" s="5"/>
      <c r="M1098" s="5" t="s">
        <v>5846</v>
      </c>
      <c r="N1098" s="5" t="s">
        <v>295</v>
      </c>
      <c r="O1098" s="5" t="s">
        <v>5690</v>
      </c>
      <c r="P1098" s="5"/>
      <c r="Q1098" s="5" t="s">
        <v>5860</v>
      </c>
    </row>
    <row r="1099" spans="2:17" x14ac:dyDescent="0.2">
      <c r="B1099" s="5" t="s">
        <v>5681</v>
      </c>
      <c r="C1099" s="6" t="s">
        <v>13589</v>
      </c>
      <c r="D1099" s="4">
        <v>213</v>
      </c>
      <c r="E1099" s="5" t="s">
        <v>20</v>
      </c>
      <c r="F1099" s="5" t="s">
        <v>5851</v>
      </c>
      <c r="G1099" s="6" t="s">
        <v>14</v>
      </c>
      <c r="H1099" s="4">
        <v>96</v>
      </c>
      <c r="I1099" s="5" t="s">
        <v>22</v>
      </c>
      <c r="J1099" s="5" t="s">
        <v>5845</v>
      </c>
      <c r="K1099" s="5" t="s">
        <v>5724</v>
      </c>
      <c r="L1099" s="5"/>
      <c r="M1099" s="5" t="s">
        <v>5846</v>
      </c>
      <c r="N1099" s="5" t="s">
        <v>295</v>
      </c>
      <c r="O1099" s="5" t="s">
        <v>5702</v>
      </c>
      <c r="P1099" s="5"/>
      <c r="Q1099" s="5" t="s">
        <v>5861</v>
      </c>
    </row>
    <row r="1100" spans="2:17" x14ac:dyDescent="0.2">
      <c r="B1100" s="5" t="s">
        <v>5681</v>
      </c>
      <c r="C1100" s="6" t="s">
        <v>13589</v>
      </c>
      <c r="D1100" s="4">
        <v>214</v>
      </c>
      <c r="E1100" s="5" t="s">
        <v>20</v>
      </c>
      <c r="F1100" s="5" t="s">
        <v>5866</v>
      </c>
      <c r="G1100" s="6" t="s">
        <v>14</v>
      </c>
      <c r="H1100" s="4">
        <v>97</v>
      </c>
      <c r="I1100" s="5" t="s">
        <v>22</v>
      </c>
      <c r="J1100" s="5" t="s">
        <v>5867</v>
      </c>
      <c r="K1100" s="5" t="s">
        <v>5868</v>
      </c>
      <c r="L1100" s="5"/>
      <c r="M1100" s="5" t="s">
        <v>5846</v>
      </c>
      <c r="N1100" s="5" t="s">
        <v>295</v>
      </c>
      <c r="O1100" s="5" t="s">
        <v>5690</v>
      </c>
      <c r="P1100" s="5"/>
      <c r="Q1100" s="5" t="s">
        <v>2799</v>
      </c>
    </row>
    <row r="1101" spans="2:17" x14ac:dyDescent="0.2">
      <c r="B1101" s="5" t="s">
        <v>5681</v>
      </c>
      <c r="C1101" s="6" t="s">
        <v>13589</v>
      </c>
      <c r="D1101" s="4">
        <v>215</v>
      </c>
      <c r="E1101" s="5" t="s">
        <v>20</v>
      </c>
      <c r="F1101" s="5" t="s">
        <v>5844</v>
      </c>
      <c r="G1101" s="6" t="s">
        <v>14</v>
      </c>
      <c r="H1101" s="4">
        <v>98</v>
      </c>
      <c r="I1101" s="5" t="s">
        <v>22</v>
      </c>
      <c r="J1101" s="5" t="s">
        <v>5845</v>
      </c>
      <c r="K1101" s="5" t="s">
        <v>5688</v>
      </c>
      <c r="L1101" s="5"/>
      <c r="M1101" s="5" t="s">
        <v>5846</v>
      </c>
      <c r="N1101" s="5" t="s">
        <v>295</v>
      </c>
      <c r="O1101" s="5" t="s">
        <v>5683</v>
      </c>
      <c r="P1101" s="5"/>
      <c r="Q1101" s="5" t="s">
        <v>5847</v>
      </c>
    </row>
    <row r="1102" spans="2:17" x14ac:dyDescent="0.2">
      <c r="B1102" s="5" t="s">
        <v>5681</v>
      </c>
      <c r="C1102" s="6" t="s">
        <v>13589</v>
      </c>
      <c r="D1102" s="4">
        <v>216</v>
      </c>
      <c r="E1102" s="5" t="s">
        <v>20</v>
      </c>
      <c r="F1102" s="5" t="s">
        <v>5851</v>
      </c>
      <c r="G1102" s="6" t="s">
        <v>14</v>
      </c>
      <c r="H1102" s="4">
        <v>99</v>
      </c>
      <c r="I1102" s="5" t="s">
        <v>22</v>
      </c>
      <c r="J1102" s="5" t="s">
        <v>5852</v>
      </c>
      <c r="K1102" s="5" t="s">
        <v>5696</v>
      </c>
      <c r="L1102" s="5"/>
      <c r="M1102" s="5" t="s">
        <v>5846</v>
      </c>
      <c r="N1102" s="5" t="s">
        <v>295</v>
      </c>
      <c r="O1102" s="5" t="s">
        <v>5697</v>
      </c>
      <c r="P1102" s="5"/>
      <c r="Q1102" s="5" t="s">
        <v>5853</v>
      </c>
    </row>
    <row r="1103" spans="2:17" x14ac:dyDescent="0.2">
      <c r="B1103" s="5" t="s">
        <v>5681</v>
      </c>
      <c r="C1103" s="6" t="s">
        <v>13589</v>
      </c>
      <c r="D1103" s="4">
        <v>217</v>
      </c>
      <c r="E1103" s="5" t="s">
        <v>20</v>
      </c>
      <c r="F1103" s="5" t="s">
        <v>5854</v>
      </c>
      <c r="G1103" s="6" t="s">
        <v>14</v>
      </c>
      <c r="H1103" s="4">
        <v>100</v>
      </c>
      <c r="I1103" s="5" t="s">
        <v>22</v>
      </c>
      <c r="J1103" s="5" t="s">
        <v>5855</v>
      </c>
      <c r="K1103" s="5" t="s">
        <v>5705</v>
      </c>
      <c r="L1103" s="5" t="s">
        <v>5856</v>
      </c>
      <c r="M1103" s="5" t="s">
        <v>5846</v>
      </c>
      <c r="N1103" s="5" t="s">
        <v>295</v>
      </c>
      <c r="O1103" s="5" t="s">
        <v>5690</v>
      </c>
      <c r="P1103" s="5"/>
      <c r="Q1103" s="5" t="s">
        <v>5857</v>
      </c>
    </row>
    <row r="1104" spans="2:17" x14ac:dyDescent="0.2">
      <c r="B1104" s="5" t="s">
        <v>5681</v>
      </c>
      <c r="C1104" s="6" t="s">
        <v>13589</v>
      </c>
      <c r="D1104" s="4">
        <v>220</v>
      </c>
      <c r="E1104" s="5" t="s">
        <v>32</v>
      </c>
      <c r="F1104" s="5" t="s">
        <v>5841</v>
      </c>
      <c r="G1104" s="6" t="s">
        <v>14</v>
      </c>
      <c r="H1104" s="4">
        <v>101</v>
      </c>
      <c r="I1104" s="5" t="s">
        <v>22</v>
      </c>
      <c r="J1104" s="5" t="s">
        <v>5842</v>
      </c>
      <c r="K1104" s="5" t="s">
        <v>5685</v>
      </c>
      <c r="L1104" s="5"/>
      <c r="M1104" s="5" t="s">
        <v>295</v>
      </c>
      <c r="N1104" s="5" t="s">
        <v>302</v>
      </c>
      <c r="O1104" s="5" t="s">
        <v>5684</v>
      </c>
      <c r="P1104" s="5"/>
      <c r="Q1104" s="5" t="s">
        <v>5843</v>
      </c>
    </row>
    <row r="1105" spans="2:17" x14ac:dyDescent="0.2">
      <c r="B1105" s="5" t="s">
        <v>5681</v>
      </c>
      <c r="C1105" s="6" t="s">
        <v>13589</v>
      </c>
      <c r="D1105" s="4">
        <v>221</v>
      </c>
      <c r="E1105" s="5" t="s">
        <v>32</v>
      </c>
      <c r="F1105" s="5" t="s">
        <v>4367</v>
      </c>
      <c r="G1105" s="6" t="s">
        <v>14</v>
      </c>
      <c r="H1105" s="4">
        <v>102</v>
      </c>
      <c r="I1105" s="5" t="s">
        <v>22</v>
      </c>
      <c r="J1105" s="5" t="s">
        <v>4368</v>
      </c>
      <c r="K1105" s="5" t="s">
        <v>5699</v>
      </c>
      <c r="L1105" s="5"/>
      <c r="M1105" s="5" t="s">
        <v>1750</v>
      </c>
      <c r="N1105" s="5" t="s">
        <v>1751</v>
      </c>
      <c r="O1105" s="5" t="s">
        <v>5684</v>
      </c>
      <c r="P1105" s="5"/>
      <c r="Q1105" s="5" t="s">
        <v>5840</v>
      </c>
    </row>
    <row r="1106" spans="2:17" x14ac:dyDescent="0.2">
      <c r="B1106" s="5" t="s">
        <v>5681</v>
      </c>
      <c r="C1106" s="6" t="s">
        <v>13589</v>
      </c>
      <c r="D1106" s="4">
        <v>222</v>
      </c>
      <c r="E1106" s="5" t="s">
        <v>15</v>
      </c>
      <c r="F1106" s="5" t="s">
        <v>5805</v>
      </c>
      <c r="G1106" s="6" t="s">
        <v>14</v>
      </c>
      <c r="H1106" s="4">
        <v>103</v>
      </c>
      <c r="I1106" s="5"/>
      <c r="J1106" s="5" t="s">
        <v>5835</v>
      </c>
      <c r="K1106" s="5" t="s">
        <v>5712</v>
      </c>
      <c r="L1106" s="5"/>
      <c r="M1106" s="5" t="s">
        <v>4765</v>
      </c>
      <c r="N1106" s="5" t="s">
        <v>4765</v>
      </c>
      <c r="O1106" s="5" t="s">
        <v>5690</v>
      </c>
      <c r="P1106" s="5"/>
      <c r="Q1106" s="5" t="s">
        <v>5836</v>
      </c>
    </row>
    <row r="1107" spans="2:17" x14ac:dyDescent="0.2">
      <c r="B1107" s="5" t="s">
        <v>5681</v>
      </c>
      <c r="C1107" s="6" t="s">
        <v>13589</v>
      </c>
      <c r="D1107" s="4">
        <v>224</v>
      </c>
      <c r="E1107" s="5" t="s">
        <v>15</v>
      </c>
      <c r="F1107" s="5" t="s">
        <v>5805</v>
      </c>
      <c r="G1107" s="6" t="s">
        <v>14</v>
      </c>
      <c r="H1107" s="4">
        <v>104</v>
      </c>
      <c r="I1107" s="5"/>
      <c r="J1107" s="5" t="s">
        <v>5806</v>
      </c>
      <c r="K1107" s="5" t="s">
        <v>5729</v>
      </c>
      <c r="L1107" s="5"/>
      <c r="M1107" s="5" t="s">
        <v>96</v>
      </c>
      <c r="N1107" s="5" t="s">
        <v>96</v>
      </c>
      <c r="O1107" s="5" t="s">
        <v>5694</v>
      </c>
      <c r="P1107" s="5"/>
      <c r="Q1107" s="5" t="s">
        <v>5807</v>
      </c>
    </row>
    <row r="1108" spans="2:17" x14ac:dyDescent="0.2">
      <c r="B1108" s="5" t="s">
        <v>5681</v>
      </c>
      <c r="C1108" s="6" t="s">
        <v>13589</v>
      </c>
      <c r="D1108" s="4">
        <v>242</v>
      </c>
      <c r="E1108" s="5" t="s">
        <v>32</v>
      </c>
      <c r="F1108" s="5" t="s">
        <v>5792</v>
      </c>
      <c r="G1108" s="6" t="s">
        <v>14</v>
      </c>
      <c r="H1108" s="4">
        <v>105</v>
      </c>
      <c r="I1108" s="5" t="s">
        <v>22</v>
      </c>
      <c r="J1108" s="5" t="s">
        <v>5793</v>
      </c>
      <c r="K1108" s="5" t="s">
        <v>5794</v>
      </c>
      <c r="L1108" s="5"/>
      <c r="M1108" s="5" t="s">
        <v>97</v>
      </c>
      <c r="N1108" s="5" t="s">
        <v>2328</v>
      </c>
      <c r="O1108" s="5" t="s">
        <v>5684</v>
      </c>
      <c r="P1108" s="5"/>
      <c r="Q1108" s="5" t="s">
        <v>5795</v>
      </c>
    </row>
    <row r="1109" spans="2:17" x14ac:dyDescent="0.2">
      <c r="B1109" s="5" t="s">
        <v>5681</v>
      </c>
      <c r="C1109" s="6" t="s">
        <v>13589</v>
      </c>
      <c r="D1109" s="4">
        <v>255</v>
      </c>
      <c r="E1109" s="5" t="s">
        <v>35</v>
      </c>
      <c r="F1109" s="5" t="s">
        <v>5751</v>
      </c>
      <c r="G1109" s="6" t="s">
        <v>14</v>
      </c>
      <c r="H1109" s="4">
        <v>106</v>
      </c>
      <c r="I1109" s="5"/>
      <c r="J1109" s="5" t="s">
        <v>5752</v>
      </c>
      <c r="K1109" s="5" t="s">
        <v>3800</v>
      </c>
      <c r="L1109" s="5"/>
      <c r="M1109" s="5" t="s">
        <v>2863</v>
      </c>
      <c r="N1109" s="5" t="s">
        <v>2863</v>
      </c>
      <c r="O1109" s="5" t="s">
        <v>5684</v>
      </c>
      <c r="P1109" s="5"/>
      <c r="Q1109" s="5" t="s">
        <v>5753</v>
      </c>
    </row>
    <row r="1110" spans="2:17" x14ac:dyDescent="0.2">
      <c r="B1110" s="5" t="s">
        <v>5681</v>
      </c>
      <c r="C1110" s="6" t="s">
        <v>13589</v>
      </c>
      <c r="D1110" s="4">
        <v>256</v>
      </c>
      <c r="E1110" s="5" t="s">
        <v>32</v>
      </c>
      <c r="F1110" s="5" t="s">
        <v>5754</v>
      </c>
      <c r="G1110" s="6" t="s">
        <v>14</v>
      </c>
      <c r="H1110" s="4">
        <v>107</v>
      </c>
      <c r="I1110" s="5" t="s">
        <v>22</v>
      </c>
      <c r="J1110" s="5" t="s">
        <v>5755</v>
      </c>
      <c r="K1110" s="5" t="s">
        <v>5706</v>
      </c>
      <c r="L1110" s="5"/>
      <c r="M1110" s="5" t="s">
        <v>1251</v>
      </c>
      <c r="N1110" s="5" t="s">
        <v>2856</v>
      </c>
      <c r="O1110" s="5" t="s">
        <v>5684</v>
      </c>
      <c r="P1110" s="5"/>
      <c r="Q1110" s="5" t="s">
        <v>5756</v>
      </c>
    </row>
    <row r="1111" spans="2:17" x14ac:dyDescent="0.2">
      <c r="B1111" s="5" t="s">
        <v>5681</v>
      </c>
      <c r="C1111" s="6" t="s">
        <v>13589</v>
      </c>
      <c r="D1111" s="4">
        <v>257</v>
      </c>
      <c r="E1111" s="5" t="s">
        <v>32</v>
      </c>
      <c r="F1111" s="5" t="s">
        <v>5754</v>
      </c>
      <c r="G1111" s="6" t="s">
        <v>14</v>
      </c>
      <c r="H1111" s="4">
        <v>108</v>
      </c>
      <c r="I1111" s="5" t="s">
        <v>22</v>
      </c>
      <c r="J1111" s="5" t="s">
        <v>5757</v>
      </c>
      <c r="K1111" s="5" t="s">
        <v>5758</v>
      </c>
      <c r="L1111" s="5"/>
      <c r="M1111" s="5" t="s">
        <v>1251</v>
      </c>
      <c r="N1111" s="5" t="s">
        <v>2856</v>
      </c>
      <c r="O1111" s="5" t="s">
        <v>5684</v>
      </c>
      <c r="P1111" s="5"/>
      <c r="Q1111" s="5" t="s">
        <v>5759</v>
      </c>
    </row>
    <row r="1112" spans="2:17" x14ac:dyDescent="0.2">
      <c r="B1112" s="5" t="s">
        <v>5681</v>
      </c>
      <c r="C1112" s="6" t="s">
        <v>13589</v>
      </c>
      <c r="D1112" s="4">
        <v>258</v>
      </c>
      <c r="E1112" s="5" t="s">
        <v>32</v>
      </c>
      <c r="F1112" s="5" t="s">
        <v>5754</v>
      </c>
      <c r="G1112" s="6" t="s">
        <v>14</v>
      </c>
      <c r="H1112" s="4">
        <v>109</v>
      </c>
      <c r="I1112" s="5" t="s">
        <v>22</v>
      </c>
      <c r="J1112" s="5" t="s">
        <v>5760</v>
      </c>
      <c r="K1112" s="5" t="s">
        <v>5706</v>
      </c>
      <c r="L1112" s="5"/>
      <c r="M1112" s="5" t="s">
        <v>1251</v>
      </c>
      <c r="N1112" s="5" t="s">
        <v>2856</v>
      </c>
      <c r="O1112" s="5" t="s">
        <v>5684</v>
      </c>
      <c r="P1112" s="5"/>
      <c r="Q1112" s="5" t="s">
        <v>5761</v>
      </c>
    </row>
    <row r="1113" spans="2:17" x14ac:dyDescent="0.2">
      <c r="B1113" s="5" t="s">
        <v>5681</v>
      </c>
      <c r="C1113" s="6" t="s">
        <v>13589</v>
      </c>
      <c r="D1113" s="4">
        <v>260</v>
      </c>
      <c r="E1113" s="5" t="s">
        <v>32</v>
      </c>
      <c r="F1113" s="5" t="s">
        <v>5743</v>
      </c>
      <c r="G1113" s="6" t="s">
        <v>14</v>
      </c>
      <c r="H1113" s="4">
        <v>110</v>
      </c>
      <c r="I1113" s="5" t="s">
        <v>22</v>
      </c>
      <c r="J1113" s="5" t="s">
        <v>5744</v>
      </c>
      <c r="K1113" s="5" t="s">
        <v>5736</v>
      </c>
      <c r="L1113" s="5"/>
      <c r="M1113" s="5" t="s">
        <v>1230</v>
      </c>
      <c r="N1113" s="5" t="s">
        <v>1222</v>
      </c>
      <c r="O1113" s="5" t="s">
        <v>5690</v>
      </c>
      <c r="P1113" s="5"/>
      <c r="Q1113" s="5" t="s">
        <v>5745</v>
      </c>
    </row>
    <row r="1114" spans="2:17" x14ac:dyDescent="0.2">
      <c r="B1114" s="5" t="s">
        <v>5681</v>
      </c>
      <c r="C1114" s="6" t="s">
        <v>13589</v>
      </c>
      <c r="D1114" s="4">
        <v>262</v>
      </c>
      <c r="E1114" s="5" t="s">
        <v>32</v>
      </c>
      <c r="F1114" s="5" t="s">
        <v>5748</v>
      </c>
      <c r="G1114" s="6" t="s">
        <v>14</v>
      </c>
      <c r="H1114" s="4">
        <v>111</v>
      </c>
      <c r="I1114" s="5" t="s">
        <v>22</v>
      </c>
      <c r="J1114" s="5" t="s">
        <v>5749</v>
      </c>
      <c r="K1114" s="5" t="s">
        <v>5729</v>
      </c>
      <c r="L1114" s="5"/>
      <c r="M1114" s="5" t="s">
        <v>2863</v>
      </c>
      <c r="N1114" s="5" t="s">
        <v>1222</v>
      </c>
      <c r="O1114" s="5" t="s">
        <v>5694</v>
      </c>
      <c r="P1114" s="5"/>
      <c r="Q1114" s="5" t="s">
        <v>5750</v>
      </c>
    </row>
    <row r="1115" spans="2:17" x14ac:dyDescent="0.2">
      <c r="B1115" s="5" t="s">
        <v>5681</v>
      </c>
      <c r="C1115" s="6" t="s">
        <v>13589</v>
      </c>
      <c r="D1115" s="4">
        <v>264</v>
      </c>
      <c r="E1115" s="5" t="s">
        <v>20</v>
      </c>
      <c r="F1115" s="5" t="s">
        <v>5903</v>
      </c>
      <c r="G1115" s="6" t="s">
        <v>14</v>
      </c>
      <c r="H1115" s="4">
        <v>112</v>
      </c>
      <c r="I1115" s="5" t="s">
        <v>22</v>
      </c>
      <c r="J1115" s="5" t="s">
        <v>5904</v>
      </c>
      <c r="K1115" s="5" t="s">
        <v>5888</v>
      </c>
      <c r="L1115" s="5"/>
      <c r="M1115" s="5" t="s">
        <v>1073</v>
      </c>
      <c r="N1115" s="5" t="s">
        <v>224</v>
      </c>
      <c r="O1115" s="5" t="s">
        <v>5684</v>
      </c>
      <c r="P1115" s="5"/>
      <c r="Q1115" s="5" t="s">
        <v>5905</v>
      </c>
    </row>
    <row r="1116" spans="2:17" x14ac:dyDescent="0.2">
      <c r="B1116" s="5" t="s">
        <v>5681</v>
      </c>
      <c r="C1116" s="6" t="s">
        <v>13589</v>
      </c>
      <c r="D1116" s="4">
        <v>265</v>
      </c>
      <c r="E1116" s="5" t="s">
        <v>24</v>
      </c>
      <c r="F1116" s="5" t="s">
        <v>5731</v>
      </c>
      <c r="G1116" s="6" t="s">
        <v>14</v>
      </c>
      <c r="H1116" s="4">
        <v>113</v>
      </c>
      <c r="I1116" s="5"/>
      <c r="J1116" s="5" t="s">
        <v>5732</v>
      </c>
      <c r="K1116" s="5" t="s">
        <v>5709</v>
      </c>
      <c r="L1116" s="5"/>
      <c r="M1116" s="5" t="s">
        <v>1207</v>
      </c>
      <c r="N1116" s="5" t="s">
        <v>1201</v>
      </c>
      <c r="O1116" s="5" t="s">
        <v>5687</v>
      </c>
      <c r="P1116" s="5"/>
      <c r="Q1116" s="5" t="s">
        <v>5733</v>
      </c>
    </row>
    <row r="1117" spans="2:17" x14ac:dyDescent="0.2">
      <c r="B1117" s="5" t="s">
        <v>5681</v>
      </c>
      <c r="C1117" s="6" t="s">
        <v>13589</v>
      </c>
      <c r="D1117" s="4">
        <v>266</v>
      </c>
      <c r="E1117" s="5" t="s">
        <v>20</v>
      </c>
      <c r="F1117" s="5" t="s">
        <v>5727</v>
      </c>
      <c r="G1117" s="6" t="s">
        <v>14</v>
      </c>
      <c r="H1117" s="4">
        <v>114</v>
      </c>
      <c r="I1117" s="5" t="s">
        <v>22</v>
      </c>
      <c r="J1117" s="5" t="s">
        <v>5728</v>
      </c>
      <c r="K1117" s="5" t="s">
        <v>5729</v>
      </c>
      <c r="L1117" s="5"/>
      <c r="M1117" s="5" t="s">
        <v>1207</v>
      </c>
      <c r="N1117" s="5" t="s">
        <v>1208</v>
      </c>
      <c r="O1117" s="5" t="s">
        <v>5694</v>
      </c>
      <c r="P1117" s="5"/>
      <c r="Q1117" s="5" t="s">
        <v>5730</v>
      </c>
    </row>
    <row r="1118" spans="2:17" x14ac:dyDescent="0.2">
      <c r="B1118" s="5" t="s">
        <v>8163</v>
      </c>
      <c r="C1118" s="6" t="s">
        <v>13589</v>
      </c>
      <c r="D1118" s="4">
        <v>271</v>
      </c>
      <c r="E1118" s="5" t="s">
        <v>32</v>
      </c>
      <c r="F1118" s="5" t="s">
        <v>8177</v>
      </c>
      <c r="G1118" s="6" t="s">
        <v>14</v>
      </c>
      <c r="H1118" s="4">
        <v>115</v>
      </c>
      <c r="I1118" s="5" t="s">
        <v>22</v>
      </c>
      <c r="J1118" s="5" t="s">
        <v>8178</v>
      </c>
      <c r="K1118" s="5" t="s">
        <v>8179</v>
      </c>
      <c r="L1118" s="5"/>
      <c r="M1118" s="5" t="s">
        <v>5430</v>
      </c>
      <c r="N1118" s="5" t="s">
        <v>2421</v>
      </c>
      <c r="O1118" s="5" t="s">
        <v>8180</v>
      </c>
      <c r="P1118" s="5"/>
      <c r="Q1118" s="5" t="s">
        <v>8181</v>
      </c>
    </row>
    <row r="1119" spans="2:17" x14ac:dyDescent="0.2">
      <c r="B1119" s="5" t="s">
        <v>8163</v>
      </c>
      <c r="C1119" s="6" t="s">
        <v>13589</v>
      </c>
      <c r="D1119" s="4">
        <v>272</v>
      </c>
      <c r="E1119" s="5" t="s">
        <v>32</v>
      </c>
      <c r="F1119" s="5" t="s">
        <v>8177</v>
      </c>
      <c r="G1119" s="6" t="s">
        <v>14</v>
      </c>
      <c r="H1119" s="4">
        <v>116</v>
      </c>
      <c r="I1119" s="5" t="s">
        <v>22</v>
      </c>
      <c r="J1119" s="5" t="s">
        <v>8182</v>
      </c>
      <c r="K1119" s="5" t="s">
        <v>8183</v>
      </c>
      <c r="L1119" s="5" t="s">
        <v>8184</v>
      </c>
      <c r="M1119" s="5" t="s">
        <v>5430</v>
      </c>
      <c r="N1119" s="5" t="s">
        <v>2421</v>
      </c>
      <c r="O1119" s="5" t="s">
        <v>8180</v>
      </c>
      <c r="P1119" s="5"/>
      <c r="Q1119" s="5" t="s">
        <v>8185</v>
      </c>
    </row>
    <row r="1120" spans="2:17" x14ac:dyDescent="0.2">
      <c r="B1120" s="5" t="s">
        <v>8163</v>
      </c>
      <c r="C1120" s="6" t="s">
        <v>13589</v>
      </c>
      <c r="D1120" s="4">
        <v>273</v>
      </c>
      <c r="E1120" s="5" t="s">
        <v>32</v>
      </c>
      <c r="F1120" s="5" t="s">
        <v>8177</v>
      </c>
      <c r="G1120" s="6" t="s">
        <v>14</v>
      </c>
      <c r="H1120" s="4">
        <v>117</v>
      </c>
      <c r="I1120" s="5" t="s">
        <v>22</v>
      </c>
      <c r="J1120" s="5" t="s">
        <v>8186</v>
      </c>
      <c r="K1120" s="5" t="s">
        <v>8183</v>
      </c>
      <c r="L1120" s="5" t="s">
        <v>8187</v>
      </c>
      <c r="M1120" s="5" t="s">
        <v>5430</v>
      </c>
      <c r="N1120" s="5" t="s">
        <v>2421</v>
      </c>
      <c r="O1120" s="5" t="s">
        <v>8180</v>
      </c>
      <c r="P1120" s="5"/>
      <c r="Q1120" s="5" t="s">
        <v>8188</v>
      </c>
    </row>
    <row r="1121" spans="2:17" x14ac:dyDescent="0.2">
      <c r="B1121" s="5" t="s">
        <v>8190</v>
      </c>
      <c r="C1121" s="6" t="s">
        <v>13589</v>
      </c>
      <c r="D1121" s="4">
        <v>280</v>
      </c>
      <c r="E1121" s="5" t="s">
        <v>24</v>
      </c>
      <c r="F1121" s="5" t="s">
        <v>8319</v>
      </c>
      <c r="G1121" s="6" t="s">
        <v>14</v>
      </c>
      <c r="H1121" s="4">
        <v>118</v>
      </c>
      <c r="I1121" s="5"/>
      <c r="J1121" s="5" t="s">
        <v>8320</v>
      </c>
      <c r="K1121" s="5" t="s">
        <v>8265</v>
      </c>
      <c r="L1121" s="5"/>
      <c r="M1121" s="5" t="s">
        <v>479</v>
      </c>
      <c r="N1121" s="5" t="s">
        <v>3906</v>
      </c>
      <c r="O1121" s="5" t="s">
        <v>8194</v>
      </c>
      <c r="P1121" s="5"/>
      <c r="Q1121" s="5" t="s">
        <v>8321</v>
      </c>
    </row>
    <row r="1122" spans="2:17" x14ac:dyDescent="0.2">
      <c r="B1122" s="5" t="s">
        <v>8190</v>
      </c>
      <c r="C1122" s="6" t="s">
        <v>13589</v>
      </c>
      <c r="D1122" s="4">
        <v>281</v>
      </c>
      <c r="E1122" s="5" t="s">
        <v>24</v>
      </c>
      <c r="F1122" s="5" t="s">
        <v>8315</v>
      </c>
      <c r="G1122" s="6" t="s">
        <v>14</v>
      </c>
      <c r="H1122" s="4">
        <v>119</v>
      </c>
      <c r="I1122" s="5"/>
      <c r="J1122" s="5" t="s">
        <v>8316</v>
      </c>
      <c r="K1122" s="5" t="s">
        <v>269</v>
      </c>
      <c r="L1122" s="5" t="s">
        <v>8317</v>
      </c>
      <c r="M1122" s="5" t="s">
        <v>479</v>
      </c>
      <c r="N1122" s="5" t="s">
        <v>3906</v>
      </c>
      <c r="O1122" s="5" t="s">
        <v>8194</v>
      </c>
      <c r="P1122" s="5"/>
      <c r="Q1122" s="5" t="s">
        <v>8318</v>
      </c>
    </row>
    <row r="1123" spans="2:17" x14ac:dyDescent="0.2">
      <c r="B1123" s="5" t="s">
        <v>8190</v>
      </c>
      <c r="C1123" s="6" t="s">
        <v>13589</v>
      </c>
      <c r="D1123" s="4">
        <v>283</v>
      </c>
      <c r="E1123" s="5" t="s">
        <v>56</v>
      </c>
      <c r="F1123" s="5" t="s">
        <v>8311</v>
      </c>
      <c r="G1123" s="6" t="s">
        <v>14</v>
      </c>
      <c r="H1123" s="4">
        <v>120</v>
      </c>
      <c r="I1123" s="5"/>
      <c r="J1123" s="5" t="s">
        <v>8312</v>
      </c>
      <c r="K1123" s="5" t="s">
        <v>8313</v>
      </c>
      <c r="L1123" s="5"/>
      <c r="M1123" s="5" t="s">
        <v>1043</v>
      </c>
      <c r="N1123" s="5" t="s">
        <v>476</v>
      </c>
      <c r="O1123" s="5" t="s">
        <v>8204</v>
      </c>
      <c r="P1123" s="5"/>
      <c r="Q1123" s="5" t="s">
        <v>8314</v>
      </c>
    </row>
    <row r="1124" spans="2:17" x14ac:dyDescent="0.2">
      <c r="B1124" s="5" t="s">
        <v>8190</v>
      </c>
      <c r="C1124" s="6" t="s">
        <v>13589</v>
      </c>
      <c r="D1124" s="4">
        <v>284</v>
      </c>
      <c r="E1124" s="5" t="s">
        <v>32</v>
      </c>
      <c r="F1124" s="5" t="s">
        <v>8327</v>
      </c>
      <c r="G1124" s="6" t="s">
        <v>14</v>
      </c>
      <c r="H1124" s="4">
        <v>121</v>
      </c>
      <c r="I1124" s="5" t="s">
        <v>22</v>
      </c>
      <c r="J1124" s="5" t="s">
        <v>8331</v>
      </c>
      <c r="K1124" s="5" t="s">
        <v>4375</v>
      </c>
      <c r="L1124" s="5" t="s">
        <v>8332</v>
      </c>
      <c r="M1124" s="5" t="s">
        <v>1062</v>
      </c>
      <c r="N1124" s="5" t="s">
        <v>476</v>
      </c>
      <c r="O1124" s="5" t="s">
        <v>8194</v>
      </c>
      <c r="P1124" s="5"/>
      <c r="Q1124" s="5" t="s">
        <v>8333</v>
      </c>
    </row>
    <row r="1125" spans="2:17" x14ac:dyDescent="0.2">
      <c r="B1125" s="5" t="s">
        <v>8190</v>
      </c>
      <c r="C1125" s="6" t="s">
        <v>13589</v>
      </c>
      <c r="D1125" s="4">
        <v>289</v>
      </c>
      <c r="E1125" s="5" t="s">
        <v>13</v>
      </c>
      <c r="F1125" s="5" t="s">
        <v>8285</v>
      </c>
      <c r="G1125" s="6" t="s">
        <v>14</v>
      </c>
      <c r="H1125" s="4">
        <v>122</v>
      </c>
      <c r="I1125" s="5"/>
      <c r="J1125" s="5" t="s">
        <v>8286</v>
      </c>
      <c r="K1125" s="5" t="s">
        <v>8287</v>
      </c>
      <c r="L1125" s="5"/>
      <c r="M1125" s="5" t="s">
        <v>1625</v>
      </c>
      <c r="N1125" s="5" t="s">
        <v>1625</v>
      </c>
      <c r="O1125" s="5" t="s">
        <v>8257</v>
      </c>
      <c r="P1125" s="5"/>
      <c r="Q1125" s="5" t="s">
        <v>8288</v>
      </c>
    </row>
    <row r="1126" spans="2:17" x14ac:dyDescent="0.2">
      <c r="B1126" s="5" t="s">
        <v>8190</v>
      </c>
      <c r="C1126" s="6" t="s">
        <v>13589</v>
      </c>
      <c r="D1126" s="4">
        <v>294</v>
      </c>
      <c r="E1126" s="5" t="s">
        <v>24</v>
      </c>
      <c r="F1126" s="5" t="s">
        <v>8210</v>
      </c>
      <c r="G1126" s="6" t="s">
        <v>14</v>
      </c>
      <c r="H1126" s="4">
        <v>123</v>
      </c>
      <c r="I1126" s="5"/>
      <c r="J1126" s="5" t="s">
        <v>8211</v>
      </c>
      <c r="K1126" s="5" t="s">
        <v>334</v>
      </c>
      <c r="L1126" s="5" t="s">
        <v>8212</v>
      </c>
      <c r="M1126" s="5" t="s">
        <v>1436</v>
      </c>
      <c r="N1126" s="5" t="s">
        <v>1442</v>
      </c>
      <c r="O1126" s="5" t="s">
        <v>8213</v>
      </c>
      <c r="P1126" s="5"/>
      <c r="Q1126" s="5" t="s">
        <v>8214</v>
      </c>
    </row>
    <row r="1127" spans="2:17" x14ac:dyDescent="0.2">
      <c r="B1127" s="5" t="s">
        <v>8190</v>
      </c>
      <c r="C1127" s="6" t="s">
        <v>13589</v>
      </c>
      <c r="D1127" s="4">
        <v>295</v>
      </c>
      <c r="E1127" s="5" t="s">
        <v>32</v>
      </c>
      <c r="F1127" s="5" t="s">
        <v>2001</v>
      </c>
      <c r="G1127" s="6" t="s">
        <v>14</v>
      </c>
      <c r="H1127" s="4">
        <v>124</v>
      </c>
      <c r="I1127" s="5" t="s">
        <v>38</v>
      </c>
      <c r="J1127" s="5" t="s">
        <v>8201</v>
      </c>
      <c r="K1127" s="5" t="s">
        <v>8202</v>
      </c>
      <c r="L1127" s="5" t="s">
        <v>8203</v>
      </c>
      <c r="M1127" s="5" t="s">
        <v>1802</v>
      </c>
      <c r="N1127" s="5" t="s">
        <v>337</v>
      </c>
      <c r="O1127" s="5" t="s">
        <v>8204</v>
      </c>
      <c r="P1127" s="5"/>
      <c r="Q1127" s="5" t="s">
        <v>8205</v>
      </c>
    </row>
    <row r="1128" spans="2:17" x14ac:dyDescent="0.2">
      <c r="B1128" s="5" t="s">
        <v>8190</v>
      </c>
      <c r="C1128" s="6" t="s">
        <v>13589</v>
      </c>
      <c r="D1128" s="4">
        <v>296</v>
      </c>
      <c r="E1128" s="5" t="s">
        <v>32</v>
      </c>
      <c r="F1128" s="5" t="s">
        <v>2001</v>
      </c>
      <c r="G1128" s="6" t="s">
        <v>14</v>
      </c>
      <c r="H1128" s="4">
        <v>125</v>
      </c>
      <c r="I1128" s="5" t="s">
        <v>38</v>
      </c>
      <c r="J1128" s="5" t="s">
        <v>8206</v>
      </c>
      <c r="K1128" s="5" t="s">
        <v>8207</v>
      </c>
      <c r="L1128" s="5" t="s">
        <v>8208</v>
      </c>
      <c r="M1128" s="5" t="s">
        <v>1802</v>
      </c>
      <c r="N1128" s="5" t="s">
        <v>337</v>
      </c>
      <c r="O1128" s="5" t="s">
        <v>8204</v>
      </c>
      <c r="P1128" s="5"/>
      <c r="Q1128" s="5" t="s">
        <v>8209</v>
      </c>
    </row>
    <row r="1129" spans="2:17" x14ac:dyDescent="0.2">
      <c r="B1129" s="5" t="s">
        <v>8190</v>
      </c>
      <c r="C1129" s="6" t="s">
        <v>13589</v>
      </c>
      <c r="D1129" s="4">
        <v>297</v>
      </c>
      <c r="E1129" s="5" t="s">
        <v>13</v>
      </c>
      <c r="F1129" s="5" t="s">
        <v>8196</v>
      </c>
      <c r="G1129" s="6" t="s">
        <v>14</v>
      </c>
      <c r="H1129" s="4">
        <v>126</v>
      </c>
      <c r="I1129" s="5"/>
      <c r="J1129" s="5" t="s">
        <v>8197</v>
      </c>
      <c r="K1129" s="5" t="s">
        <v>8198</v>
      </c>
      <c r="L1129" s="5"/>
      <c r="M1129" s="5" t="s">
        <v>1377</v>
      </c>
      <c r="N1129" s="5" t="s">
        <v>1365</v>
      </c>
      <c r="O1129" s="5" t="s">
        <v>8199</v>
      </c>
      <c r="P1129" s="5"/>
      <c r="Q1129" s="5" t="s">
        <v>8200</v>
      </c>
    </row>
    <row r="1130" spans="2:17" x14ac:dyDescent="0.2">
      <c r="B1130" s="5" t="s">
        <v>8190</v>
      </c>
      <c r="C1130" s="6" t="s">
        <v>13589</v>
      </c>
      <c r="D1130" s="4">
        <v>298</v>
      </c>
      <c r="E1130" s="5" t="s">
        <v>13</v>
      </c>
      <c r="F1130" s="5" t="s">
        <v>8191</v>
      </c>
      <c r="G1130" s="6" t="s">
        <v>14</v>
      </c>
      <c r="H1130" s="4">
        <v>127</v>
      </c>
      <c r="I1130" s="5"/>
      <c r="J1130" s="5" t="s">
        <v>8192</v>
      </c>
      <c r="K1130" s="5" t="s">
        <v>8193</v>
      </c>
      <c r="L1130" s="5"/>
      <c r="M1130" s="5" t="s">
        <v>296</v>
      </c>
      <c r="N1130" s="5" t="s">
        <v>296</v>
      </c>
      <c r="O1130" s="5" t="s">
        <v>8194</v>
      </c>
      <c r="P1130" s="5"/>
      <c r="Q1130" s="5" t="s">
        <v>8195</v>
      </c>
    </row>
    <row r="1131" spans="2:17" x14ac:dyDescent="0.2">
      <c r="B1131" s="5" t="s">
        <v>8190</v>
      </c>
      <c r="C1131" s="6" t="s">
        <v>13589</v>
      </c>
      <c r="D1131" s="4">
        <v>301</v>
      </c>
      <c r="E1131" s="5" t="s">
        <v>35</v>
      </c>
      <c r="F1131" s="5" t="s">
        <v>8259</v>
      </c>
      <c r="G1131" s="6" t="s">
        <v>14</v>
      </c>
      <c r="H1131" s="4">
        <v>128</v>
      </c>
      <c r="I1131" s="5"/>
      <c r="J1131" s="5" t="s">
        <v>8260</v>
      </c>
      <c r="K1131" s="5" t="s">
        <v>269</v>
      </c>
      <c r="L1131" s="5" t="s">
        <v>8261</v>
      </c>
      <c r="M1131" s="5" t="s">
        <v>1526</v>
      </c>
      <c r="N1131" s="5" t="s">
        <v>2147</v>
      </c>
      <c r="O1131" s="5" t="s">
        <v>8194</v>
      </c>
      <c r="P1131" s="5"/>
      <c r="Q1131" s="5" t="s">
        <v>8262</v>
      </c>
    </row>
    <row r="1132" spans="2:17" x14ac:dyDescent="0.2">
      <c r="B1132" s="5" t="s">
        <v>8190</v>
      </c>
      <c r="C1132" s="6" t="s">
        <v>13589</v>
      </c>
      <c r="D1132" s="4">
        <v>302</v>
      </c>
      <c r="E1132" s="5" t="s">
        <v>35</v>
      </c>
      <c r="F1132" s="5" t="s">
        <v>8263</v>
      </c>
      <c r="G1132" s="6" t="s">
        <v>14</v>
      </c>
      <c r="H1132" s="4">
        <v>129</v>
      </c>
      <c r="I1132" s="5"/>
      <c r="J1132" s="5" t="s">
        <v>8264</v>
      </c>
      <c r="K1132" s="5" t="s">
        <v>8265</v>
      </c>
      <c r="L1132" s="5" t="s">
        <v>8266</v>
      </c>
      <c r="M1132" s="5" t="s">
        <v>1526</v>
      </c>
      <c r="N1132" s="5" t="s">
        <v>2147</v>
      </c>
      <c r="O1132" s="5" t="s">
        <v>8194</v>
      </c>
      <c r="P1132" s="5"/>
      <c r="Q1132" s="5" t="s">
        <v>8267</v>
      </c>
    </row>
    <row r="1133" spans="2:17" x14ac:dyDescent="0.2">
      <c r="B1133" s="5" t="s">
        <v>8190</v>
      </c>
      <c r="C1133" s="6" t="s">
        <v>13589</v>
      </c>
      <c r="D1133" s="4">
        <v>305</v>
      </c>
      <c r="E1133" s="5" t="s">
        <v>13</v>
      </c>
      <c r="F1133" s="5" t="s">
        <v>8337</v>
      </c>
      <c r="G1133" s="6" t="s">
        <v>14</v>
      </c>
      <c r="H1133" s="4">
        <v>130</v>
      </c>
      <c r="I1133" s="5"/>
      <c r="J1133" s="5" t="s">
        <v>8338</v>
      </c>
      <c r="K1133" s="5" t="s">
        <v>8193</v>
      </c>
      <c r="L1133" s="5" t="s">
        <v>8339</v>
      </c>
      <c r="M1133" s="5" t="s">
        <v>224</v>
      </c>
      <c r="N1133" s="5" t="s">
        <v>224</v>
      </c>
      <c r="O1133" s="5" t="s">
        <v>8194</v>
      </c>
      <c r="P1133" s="5"/>
      <c r="Q1133" s="5" t="s">
        <v>8340</v>
      </c>
    </row>
    <row r="1134" spans="2:17" x14ac:dyDescent="0.2">
      <c r="B1134" s="5" t="s">
        <v>8190</v>
      </c>
      <c r="C1134" s="6" t="s">
        <v>13589</v>
      </c>
      <c r="D1134" s="4">
        <v>310</v>
      </c>
      <c r="E1134" s="5" t="s">
        <v>32</v>
      </c>
      <c r="F1134" s="5" t="s">
        <v>8327</v>
      </c>
      <c r="G1134" s="6" t="s">
        <v>14</v>
      </c>
      <c r="H1134" s="4">
        <v>131</v>
      </c>
      <c r="I1134" s="5" t="s">
        <v>22</v>
      </c>
      <c r="J1134" s="5" t="s">
        <v>8328</v>
      </c>
      <c r="K1134" s="5" t="s">
        <v>4375</v>
      </c>
      <c r="L1134" s="5" t="s">
        <v>8329</v>
      </c>
      <c r="M1134" s="5" t="s">
        <v>1062</v>
      </c>
      <c r="N1134" s="5" t="s">
        <v>1658</v>
      </c>
      <c r="O1134" s="5" t="s">
        <v>8194</v>
      </c>
      <c r="P1134" s="5"/>
      <c r="Q1134" s="5" t="s">
        <v>8330</v>
      </c>
    </row>
    <row r="1135" spans="2:17" x14ac:dyDescent="0.2">
      <c r="B1135" s="5" t="s">
        <v>8190</v>
      </c>
      <c r="C1135" s="6" t="s">
        <v>13589</v>
      </c>
      <c r="D1135" s="4">
        <v>311</v>
      </c>
      <c r="E1135" s="5" t="s">
        <v>32</v>
      </c>
      <c r="F1135" s="5" t="s">
        <v>8322</v>
      </c>
      <c r="G1135" s="6" t="s">
        <v>14</v>
      </c>
      <c r="H1135" s="4">
        <v>132</v>
      </c>
      <c r="I1135" s="5" t="s">
        <v>22</v>
      </c>
      <c r="J1135" s="5" t="s">
        <v>8323</v>
      </c>
      <c r="K1135" s="5" t="s">
        <v>8324</v>
      </c>
      <c r="L1135" s="5" t="s">
        <v>8325</v>
      </c>
      <c r="M1135" s="5" t="s">
        <v>1062</v>
      </c>
      <c r="N1135" s="5" t="s">
        <v>1658</v>
      </c>
      <c r="O1135" s="5" t="s">
        <v>8194</v>
      </c>
      <c r="P1135" s="5"/>
      <c r="Q1135" s="5" t="s">
        <v>8326</v>
      </c>
    </row>
    <row r="1136" spans="2:17" x14ac:dyDescent="0.2">
      <c r="B1136" s="5" t="s">
        <v>8190</v>
      </c>
      <c r="C1136" s="6" t="s">
        <v>13589</v>
      </c>
      <c r="D1136" s="4">
        <v>315</v>
      </c>
      <c r="E1136" s="5" t="s">
        <v>13</v>
      </c>
      <c r="F1136" s="5" t="s">
        <v>8234</v>
      </c>
      <c r="G1136" s="6" t="s">
        <v>14</v>
      </c>
      <c r="H1136" s="4">
        <v>133</v>
      </c>
      <c r="I1136" s="5"/>
      <c r="J1136" s="5" t="s">
        <v>8235</v>
      </c>
      <c r="K1136" s="5" t="s">
        <v>8193</v>
      </c>
      <c r="L1136" s="5"/>
      <c r="M1136" s="5" t="s">
        <v>122</v>
      </c>
      <c r="N1136" s="5" t="s">
        <v>366</v>
      </c>
      <c r="O1136" s="5" t="s">
        <v>8194</v>
      </c>
      <c r="P1136" s="5"/>
      <c r="Q1136" s="5" t="s">
        <v>8236</v>
      </c>
    </row>
    <row r="1137" spans="2:17" x14ac:dyDescent="0.2">
      <c r="B1137" s="5" t="s">
        <v>8190</v>
      </c>
      <c r="C1137" s="6" t="s">
        <v>13589</v>
      </c>
      <c r="D1137" s="4">
        <v>316</v>
      </c>
      <c r="E1137" s="5" t="s">
        <v>24</v>
      </c>
      <c r="F1137" s="5" t="s">
        <v>8229</v>
      </c>
      <c r="G1137" s="6" t="s">
        <v>14</v>
      </c>
      <c r="H1137" s="4">
        <v>134</v>
      </c>
      <c r="I1137" s="5"/>
      <c r="J1137" s="5" t="s">
        <v>8230</v>
      </c>
      <c r="K1137" s="5" t="s">
        <v>8231</v>
      </c>
      <c r="L1137" s="5"/>
      <c r="M1137" s="5" t="s">
        <v>2662</v>
      </c>
      <c r="N1137" s="5" t="s">
        <v>2662</v>
      </c>
      <c r="O1137" s="5" t="s">
        <v>8232</v>
      </c>
      <c r="P1137" s="5"/>
      <c r="Q1137" s="5" t="s">
        <v>8233</v>
      </c>
    </row>
    <row r="1138" spans="2:17" x14ac:dyDescent="0.2">
      <c r="B1138" s="5" t="s">
        <v>8364</v>
      </c>
      <c r="C1138" s="6" t="s">
        <v>13589</v>
      </c>
      <c r="D1138" s="4">
        <v>326</v>
      </c>
      <c r="E1138" s="5" t="s">
        <v>32</v>
      </c>
      <c r="F1138" s="5" t="s">
        <v>8612</v>
      </c>
      <c r="G1138" s="6" t="s">
        <v>14</v>
      </c>
      <c r="H1138" s="4">
        <v>135</v>
      </c>
      <c r="I1138" s="5" t="s">
        <v>22</v>
      </c>
      <c r="J1138" s="5" t="s">
        <v>8612</v>
      </c>
      <c r="K1138" s="5" t="s">
        <v>8602</v>
      </c>
      <c r="L1138" s="5"/>
      <c r="M1138" s="5" t="s">
        <v>1668</v>
      </c>
      <c r="N1138" s="5" t="s">
        <v>1668</v>
      </c>
      <c r="O1138" s="5" t="s">
        <v>8372</v>
      </c>
      <c r="P1138" s="5"/>
      <c r="Q1138" s="5" t="s">
        <v>8613</v>
      </c>
    </row>
    <row r="1139" spans="2:17" x14ac:dyDescent="0.2">
      <c r="B1139" s="5" t="s">
        <v>8364</v>
      </c>
      <c r="C1139" s="6" t="s">
        <v>13589</v>
      </c>
      <c r="D1139" s="4">
        <v>327</v>
      </c>
      <c r="E1139" s="5" t="s">
        <v>32</v>
      </c>
      <c r="F1139" s="5" t="s">
        <v>8609</v>
      </c>
      <c r="G1139" s="6" t="s">
        <v>14</v>
      </c>
      <c r="H1139" s="4">
        <v>136</v>
      </c>
      <c r="I1139" s="5" t="s">
        <v>22</v>
      </c>
      <c r="J1139" s="5" t="s">
        <v>8610</v>
      </c>
      <c r="K1139" s="5" t="s">
        <v>8385</v>
      </c>
      <c r="L1139" s="5"/>
      <c r="M1139" s="5" t="s">
        <v>2421</v>
      </c>
      <c r="N1139" s="5" t="s">
        <v>2421</v>
      </c>
      <c r="O1139" s="5" t="s">
        <v>8368</v>
      </c>
      <c r="P1139" s="5"/>
      <c r="Q1139" s="5" t="s">
        <v>8611</v>
      </c>
    </row>
    <row r="1140" spans="2:17" x14ac:dyDescent="0.2">
      <c r="B1140" s="5" t="s">
        <v>8364</v>
      </c>
      <c r="C1140" s="6" t="s">
        <v>13589</v>
      </c>
      <c r="D1140" s="4">
        <v>328</v>
      </c>
      <c r="E1140" s="5" t="s">
        <v>20</v>
      </c>
      <c r="F1140" s="5" t="s">
        <v>8573</v>
      </c>
      <c r="G1140" s="6" t="s">
        <v>14</v>
      </c>
      <c r="H1140" s="4">
        <v>137</v>
      </c>
      <c r="I1140" s="5" t="s">
        <v>22</v>
      </c>
      <c r="J1140" s="5" t="s">
        <v>8574</v>
      </c>
      <c r="K1140" s="5" t="s">
        <v>8449</v>
      </c>
      <c r="L1140" s="5"/>
      <c r="M1140" s="5" t="s">
        <v>3362</v>
      </c>
      <c r="N1140" s="5" t="s">
        <v>3362</v>
      </c>
      <c r="O1140" s="5" t="s">
        <v>8372</v>
      </c>
      <c r="P1140" s="5"/>
      <c r="Q1140" s="5" t="s">
        <v>8575</v>
      </c>
    </row>
    <row r="1141" spans="2:17" x14ac:dyDescent="0.2">
      <c r="B1141" s="5" t="s">
        <v>8364</v>
      </c>
      <c r="C1141" s="6" t="s">
        <v>13589</v>
      </c>
      <c r="D1141" s="4">
        <v>329</v>
      </c>
      <c r="E1141" s="5" t="s">
        <v>20</v>
      </c>
      <c r="F1141" s="5" t="s">
        <v>8570</v>
      </c>
      <c r="G1141" s="6" t="s">
        <v>14</v>
      </c>
      <c r="H1141" s="4">
        <v>138</v>
      </c>
      <c r="I1141" s="5" t="s">
        <v>22</v>
      </c>
      <c r="J1141" s="5" t="s">
        <v>8567</v>
      </c>
      <c r="K1141" s="5" t="s">
        <v>8571</v>
      </c>
      <c r="L1141" s="5"/>
      <c r="M1141" s="5" t="s">
        <v>480</v>
      </c>
      <c r="N1141" s="5" t="s">
        <v>480</v>
      </c>
      <c r="O1141" s="5" t="s">
        <v>8368</v>
      </c>
      <c r="P1141" s="5"/>
      <c r="Q1141" s="5" t="s">
        <v>8572</v>
      </c>
    </row>
    <row r="1142" spans="2:17" x14ac:dyDescent="0.2">
      <c r="B1142" s="5" t="s">
        <v>8364</v>
      </c>
      <c r="C1142" s="6" t="s">
        <v>13589</v>
      </c>
      <c r="D1142" s="4">
        <v>333</v>
      </c>
      <c r="E1142" s="5" t="s">
        <v>13</v>
      </c>
      <c r="F1142" s="5" t="s">
        <v>8566</v>
      </c>
      <c r="G1142" s="6" t="s">
        <v>14</v>
      </c>
      <c r="H1142" s="4">
        <v>139</v>
      </c>
      <c r="I1142" s="5"/>
      <c r="J1142" s="5" t="s">
        <v>8567</v>
      </c>
      <c r="K1142" s="5" t="s">
        <v>8568</v>
      </c>
      <c r="L1142" s="5"/>
      <c r="M1142" s="5" t="s">
        <v>3906</v>
      </c>
      <c r="N1142" s="5" t="s">
        <v>3906</v>
      </c>
      <c r="O1142" s="5" t="s">
        <v>8372</v>
      </c>
      <c r="P1142" s="5"/>
      <c r="Q1142" s="5" t="s">
        <v>8569</v>
      </c>
    </row>
    <row r="1143" spans="2:17" x14ac:dyDescent="0.2">
      <c r="B1143" s="5" t="s">
        <v>8364</v>
      </c>
      <c r="C1143" s="6" t="s">
        <v>13589</v>
      </c>
      <c r="D1143" s="4">
        <v>344</v>
      </c>
      <c r="E1143" s="5" t="s">
        <v>20</v>
      </c>
      <c r="F1143" s="5" t="s">
        <v>8531</v>
      </c>
      <c r="G1143" s="6" t="s">
        <v>14</v>
      </c>
      <c r="H1143" s="4">
        <v>140</v>
      </c>
      <c r="I1143" s="5" t="s">
        <v>22</v>
      </c>
      <c r="J1143" s="5" t="s">
        <v>8532</v>
      </c>
      <c r="K1143" s="5" t="s">
        <v>8376</v>
      </c>
      <c r="L1143" s="5"/>
      <c r="M1143" s="5" t="s">
        <v>437</v>
      </c>
      <c r="N1143" s="5" t="s">
        <v>437</v>
      </c>
      <c r="O1143" s="5" t="s">
        <v>8368</v>
      </c>
      <c r="P1143" s="5"/>
      <c r="Q1143" s="5" t="s">
        <v>8533</v>
      </c>
    </row>
    <row r="1144" spans="2:17" x14ac:dyDescent="0.2">
      <c r="B1144" s="5" t="s">
        <v>8364</v>
      </c>
      <c r="C1144" s="6" t="s">
        <v>13589</v>
      </c>
      <c r="D1144" s="4">
        <v>361</v>
      </c>
      <c r="E1144" s="5" t="s">
        <v>20</v>
      </c>
      <c r="F1144" s="5" t="s">
        <v>8483</v>
      </c>
      <c r="G1144" s="6" t="s">
        <v>14</v>
      </c>
      <c r="H1144" s="4">
        <v>141</v>
      </c>
      <c r="I1144" s="5" t="s">
        <v>22</v>
      </c>
      <c r="J1144" s="5" t="s">
        <v>8484</v>
      </c>
      <c r="K1144" s="5" t="s">
        <v>8385</v>
      </c>
      <c r="L1144" s="5"/>
      <c r="M1144" s="5" t="s">
        <v>417</v>
      </c>
      <c r="N1144" s="5" t="s">
        <v>4184</v>
      </c>
      <c r="O1144" s="5" t="s">
        <v>8368</v>
      </c>
      <c r="P1144" s="5"/>
      <c r="Q1144" s="5" t="s">
        <v>8485</v>
      </c>
    </row>
    <row r="1145" spans="2:17" x14ac:dyDescent="0.2">
      <c r="B1145" s="5" t="s">
        <v>8364</v>
      </c>
      <c r="C1145" s="6" t="s">
        <v>13589</v>
      </c>
      <c r="D1145" s="4">
        <v>364</v>
      </c>
      <c r="E1145" s="5" t="s">
        <v>32</v>
      </c>
      <c r="F1145" s="5" t="s">
        <v>8466</v>
      </c>
      <c r="G1145" s="6" t="s">
        <v>14</v>
      </c>
      <c r="H1145" s="4">
        <v>142</v>
      </c>
      <c r="I1145" s="5" t="s">
        <v>22</v>
      </c>
      <c r="J1145" s="5" t="s">
        <v>8467</v>
      </c>
      <c r="K1145" s="5" t="s">
        <v>8376</v>
      </c>
      <c r="L1145" s="5"/>
      <c r="M1145" s="5" t="s">
        <v>1962</v>
      </c>
      <c r="N1145" s="5" t="s">
        <v>1962</v>
      </c>
      <c r="O1145" s="5" t="s">
        <v>8368</v>
      </c>
      <c r="P1145" s="5"/>
      <c r="Q1145" s="5" t="s">
        <v>8468</v>
      </c>
    </row>
    <row r="1146" spans="2:17" x14ac:dyDescent="0.2">
      <c r="B1146" s="5" t="s">
        <v>8364</v>
      </c>
      <c r="C1146" s="6" t="s">
        <v>13589</v>
      </c>
      <c r="D1146" s="4">
        <v>365</v>
      </c>
      <c r="E1146" s="5" t="s">
        <v>13</v>
      </c>
      <c r="F1146" s="5" t="s">
        <v>8463</v>
      </c>
      <c r="G1146" s="6" t="s">
        <v>14</v>
      </c>
      <c r="H1146" s="4">
        <v>143</v>
      </c>
      <c r="I1146" s="5"/>
      <c r="J1146" s="5" t="s">
        <v>8464</v>
      </c>
      <c r="K1146" s="5" t="s">
        <v>8449</v>
      </c>
      <c r="L1146" s="5"/>
      <c r="M1146" s="5" t="s">
        <v>1415</v>
      </c>
      <c r="N1146" s="5" t="s">
        <v>1416</v>
      </c>
      <c r="O1146" s="5" t="s">
        <v>8372</v>
      </c>
      <c r="P1146" s="5"/>
      <c r="Q1146" s="5" t="s">
        <v>8465</v>
      </c>
    </row>
    <row r="1147" spans="2:17" x14ac:dyDescent="0.2">
      <c r="B1147" s="5" t="s">
        <v>8364</v>
      </c>
      <c r="C1147" s="6" t="s">
        <v>13589</v>
      </c>
      <c r="D1147" s="4">
        <v>366</v>
      </c>
      <c r="E1147" s="5" t="s">
        <v>13</v>
      </c>
      <c r="F1147" s="5" t="s">
        <v>8460</v>
      </c>
      <c r="G1147" s="6" t="s">
        <v>14</v>
      </c>
      <c r="H1147" s="4">
        <v>144</v>
      </c>
      <c r="I1147" s="5"/>
      <c r="J1147" s="5" t="s">
        <v>8461</v>
      </c>
      <c r="K1147" s="5" t="s">
        <v>8385</v>
      </c>
      <c r="L1147" s="5"/>
      <c r="M1147" s="5" t="s">
        <v>1957</v>
      </c>
      <c r="N1147" s="5" t="s">
        <v>8458</v>
      </c>
      <c r="O1147" s="5" t="s">
        <v>8368</v>
      </c>
      <c r="P1147" s="5"/>
      <c r="Q1147" s="5" t="s">
        <v>8462</v>
      </c>
    </row>
    <row r="1148" spans="2:17" x14ac:dyDescent="0.2">
      <c r="B1148" s="5" t="s">
        <v>8364</v>
      </c>
      <c r="C1148" s="6" t="s">
        <v>13589</v>
      </c>
      <c r="D1148" s="4">
        <v>368</v>
      </c>
      <c r="E1148" s="5" t="s">
        <v>32</v>
      </c>
      <c r="F1148" s="5" t="s">
        <v>8443</v>
      </c>
      <c r="G1148" s="6" t="s">
        <v>14</v>
      </c>
      <c r="H1148" s="4">
        <v>145</v>
      </c>
      <c r="I1148" s="5" t="s">
        <v>38</v>
      </c>
      <c r="J1148" s="5" t="s">
        <v>8453</v>
      </c>
      <c r="K1148" s="5" t="s">
        <v>8454</v>
      </c>
      <c r="L1148" s="5"/>
      <c r="M1148" s="5" t="s">
        <v>301</v>
      </c>
      <c r="N1148" s="5" t="s">
        <v>301</v>
      </c>
      <c r="O1148" s="5" t="s">
        <v>8381</v>
      </c>
      <c r="P1148" s="5"/>
      <c r="Q1148" s="5" t="s">
        <v>8455</v>
      </c>
    </row>
    <row r="1149" spans="2:17" x14ac:dyDescent="0.2">
      <c r="B1149" s="5" t="s">
        <v>8364</v>
      </c>
      <c r="C1149" s="6" t="s">
        <v>13589</v>
      </c>
      <c r="D1149" s="4">
        <v>369</v>
      </c>
      <c r="E1149" s="5" t="s">
        <v>20</v>
      </c>
      <c r="F1149" s="5" t="s">
        <v>8443</v>
      </c>
      <c r="G1149" s="6" t="s">
        <v>14</v>
      </c>
      <c r="H1149" s="4">
        <v>146</v>
      </c>
      <c r="I1149" s="5" t="s">
        <v>22</v>
      </c>
      <c r="J1149" s="5" t="s">
        <v>8444</v>
      </c>
      <c r="K1149" s="5" t="s">
        <v>8445</v>
      </c>
      <c r="L1149" s="5"/>
      <c r="M1149" s="5" t="s">
        <v>301</v>
      </c>
      <c r="N1149" s="5" t="s">
        <v>301</v>
      </c>
      <c r="O1149" s="5" t="s">
        <v>8381</v>
      </c>
      <c r="P1149" s="5"/>
      <c r="Q1149" s="5" t="s">
        <v>8446</v>
      </c>
    </row>
    <row r="1150" spans="2:17" x14ac:dyDescent="0.2">
      <c r="B1150" s="5" t="s">
        <v>8364</v>
      </c>
      <c r="C1150" s="6" t="s">
        <v>13589</v>
      </c>
      <c r="D1150" s="4">
        <v>370</v>
      </c>
      <c r="E1150" s="5" t="s">
        <v>20</v>
      </c>
      <c r="F1150" s="5" t="s">
        <v>8404</v>
      </c>
      <c r="G1150" s="6" t="s">
        <v>14</v>
      </c>
      <c r="H1150" s="4">
        <v>147</v>
      </c>
      <c r="I1150" s="5" t="s">
        <v>22</v>
      </c>
      <c r="J1150" s="5" t="s">
        <v>8405</v>
      </c>
      <c r="K1150" s="5" t="s">
        <v>7815</v>
      </c>
      <c r="L1150" s="5"/>
      <c r="M1150" s="5" t="s">
        <v>295</v>
      </c>
      <c r="N1150" s="5" t="s">
        <v>295</v>
      </c>
      <c r="O1150" s="5" t="s">
        <v>8372</v>
      </c>
      <c r="P1150" s="5"/>
      <c r="Q1150" s="5" t="s">
        <v>8406</v>
      </c>
    </row>
    <row r="1151" spans="2:17" x14ac:dyDescent="0.2">
      <c r="B1151" s="5" t="s">
        <v>8364</v>
      </c>
      <c r="C1151" s="6" t="s">
        <v>13589</v>
      </c>
      <c r="D1151" s="4">
        <v>371</v>
      </c>
      <c r="E1151" s="5" t="s">
        <v>20</v>
      </c>
      <c r="F1151" s="5" t="s">
        <v>8404</v>
      </c>
      <c r="G1151" s="6" t="s">
        <v>14</v>
      </c>
      <c r="H1151" s="4">
        <v>148</v>
      </c>
      <c r="I1151" s="5" t="s">
        <v>22</v>
      </c>
      <c r="J1151" s="5" t="s">
        <v>8418</v>
      </c>
      <c r="K1151" s="5" t="s">
        <v>8419</v>
      </c>
      <c r="L1151" s="5"/>
      <c r="M1151" s="5" t="s">
        <v>301</v>
      </c>
      <c r="N1151" s="5" t="s">
        <v>296</v>
      </c>
      <c r="O1151" s="5" t="s">
        <v>8420</v>
      </c>
      <c r="P1151" s="5"/>
      <c r="Q1151" s="5" t="s">
        <v>8421</v>
      </c>
    </row>
    <row r="1152" spans="2:17" x14ac:dyDescent="0.2">
      <c r="B1152" s="5" t="s">
        <v>8364</v>
      </c>
      <c r="C1152" s="6" t="s">
        <v>13589</v>
      </c>
      <c r="D1152" s="4">
        <v>372</v>
      </c>
      <c r="E1152" s="5" t="s">
        <v>20</v>
      </c>
      <c r="F1152" s="5" t="s">
        <v>8404</v>
      </c>
      <c r="G1152" s="6" t="s">
        <v>14</v>
      </c>
      <c r="H1152" s="4">
        <v>149</v>
      </c>
      <c r="I1152" s="5" t="s">
        <v>22</v>
      </c>
      <c r="J1152" s="5" t="s">
        <v>8422</v>
      </c>
      <c r="K1152" s="5" t="s">
        <v>8419</v>
      </c>
      <c r="L1152" s="5"/>
      <c r="M1152" s="5" t="s">
        <v>301</v>
      </c>
      <c r="N1152" s="5" t="s">
        <v>296</v>
      </c>
      <c r="O1152" s="5" t="s">
        <v>8423</v>
      </c>
      <c r="P1152" s="5"/>
      <c r="Q1152" s="5" t="s">
        <v>8424</v>
      </c>
    </row>
    <row r="1153" spans="2:17" x14ac:dyDescent="0.2">
      <c r="B1153" s="5" t="s">
        <v>8364</v>
      </c>
      <c r="C1153" s="6" t="s">
        <v>13589</v>
      </c>
      <c r="D1153" s="4">
        <v>373</v>
      </c>
      <c r="E1153" s="5" t="s">
        <v>20</v>
      </c>
      <c r="F1153" s="5" t="s">
        <v>8404</v>
      </c>
      <c r="G1153" s="6" t="s">
        <v>14</v>
      </c>
      <c r="H1153" s="4">
        <v>150</v>
      </c>
      <c r="I1153" s="5" t="s">
        <v>22</v>
      </c>
      <c r="J1153" s="5" t="s">
        <v>8425</v>
      </c>
      <c r="K1153" s="5" t="s">
        <v>8419</v>
      </c>
      <c r="L1153" s="5"/>
      <c r="M1153" s="5" t="s">
        <v>301</v>
      </c>
      <c r="N1153" s="5" t="s">
        <v>296</v>
      </c>
      <c r="O1153" s="5" t="s">
        <v>8423</v>
      </c>
      <c r="P1153" s="5"/>
      <c r="Q1153" s="5" t="s">
        <v>8426</v>
      </c>
    </row>
    <row r="1154" spans="2:17" x14ac:dyDescent="0.2">
      <c r="B1154" s="5" t="s">
        <v>8364</v>
      </c>
      <c r="C1154" s="6" t="s">
        <v>13589</v>
      </c>
      <c r="D1154" s="4">
        <v>374</v>
      </c>
      <c r="E1154" s="5" t="s">
        <v>20</v>
      </c>
      <c r="F1154" s="5" t="s">
        <v>8404</v>
      </c>
      <c r="G1154" s="6" t="s">
        <v>14</v>
      </c>
      <c r="H1154" s="4">
        <v>151</v>
      </c>
      <c r="I1154" s="5" t="s">
        <v>22</v>
      </c>
      <c r="J1154" s="5" t="s">
        <v>8427</v>
      </c>
      <c r="K1154" s="5" t="s">
        <v>8428</v>
      </c>
      <c r="L1154" s="5"/>
      <c r="M1154" s="5" t="s">
        <v>301</v>
      </c>
      <c r="N1154" s="5" t="s">
        <v>296</v>
      </c>
      <c r="O1154" s="5" t="s">
        <v>8429</v>
      </c>
      <c r="P1154" s="5"/>
      <c r="Q1154" s="5" t="s">
        <v>8430</v>
      </c>
    </row>
    <row r="1155" spans="2:17" x14ac:dyDescent="0.2">
      <c r="B1155" s="5" t="s">
        <v>8364</v>
      </c>
      <c r="C1155" s="6" t="s">
        <v>13589</v>
      </c>
      <c r="D1155" s="4">
        <v>375</v>
      </c>
      <c r="E1155" s="5" t="s">
        <v>20</v>
      </c>
      <c r="F1155" s="5" t="s">
        <v>8404</v>
      </c>
      <c r="G1155" s="6" t="s">
        <v>14</v>
      </c>
      <c r="H1155" s="4">
        <v>152</v>
      </c>
      <c r="I1155" s="5" t="s">
        <v>22</v>
      </c>
      <c r="J1155" s="5" t="s">
        <v>8431</v>
      </c>
      <c r="K1155" s="5" t="s">
        <v>8432</v>
      </c>
      <c r="L1155" s="5"/>
      <c r="M1155" s="5" t="s">
        <v>301</v>
      </c>
      <c r="N1155" s="5" t="s">
        <v>296</v>
      </c>
      <c r="O1155" s="5" t="s">
        <v>8423</v>
      </c>
      <c r="P1155" s="5"/>
      <c r="Q1155" s="5" t="s">
        <v>8433</v>
      </c>
    </row>
    <row r="1156" spans="2:17" x14ac:dyDescent="0.2">
      <c r="B1156" s="5" t="s">
        <v>8364</v>
      </c>
      <c r="C1156" s="6" t="s">
        <v>13589</v>
      </c>
      <c r="D1156" s="4">
        <v>376</v>
      </c>
      <c r="E1156" s="5" t="s">
        <v>20</v>
      </c>
      <c r="F1156" s="5" t="s">
        <v>8404</v>
      </c>
      <c r="G1156" s="6" t="s">
        <v>14</v>
      </c>
      <c r="H1156" s="4">
        <v>153</v>
      </c>
      <c r="I1156" s="5" t="s">
        <v>22</v>
      </c>
      <c r="J1156" s="5" t="s">
        <v>8434</v>
      </c>
      <c r="K1156" s="5" t="s">
        <v>31</v>
      </c>
      <c r="L1156" s="5"/>
      <c r="M1156" s="5" t="s">
        <v>301</v>
      </c>
      <c r="N1156" s="5" t="s">
        <v>296</v>
      </c>
      <c r="O1156" s="5" t="s">
        <v>8368</v>
      </c>
      <c r="P1156" s="5"/>
      <c r="Q1156" s="5" t="s">
        <v>8435</v>
      </c>
    </row>
    <row r="1157" spans="2:17" x14ac:dyDescent="0.2">
      <c r="B1157" s="5" t="s">
        <v>8364</v>
      </c>
      <c r="C1157" s="6" t="s">
        <v>13589</v>
      </c>
      <c r="D1157" s="4">
        <v>377</v>
      </c>
      <c r="E1157" s="5" t="s">
        <v>20</v>
      </c>
      <c r="F1157" s="5" t="s">
        <v>8404</v>
      </c>
      <c r="G1157" s="6" t="s">
        <v>14</v>
      </c>
      <c r="H1157" s="4">
        <v>154</v>
      </c>
      <c r="I1157" s="5" t="s">
        <v>22</v>
      </c>
      <c r="J1157" s="5" t="s">
        <v>8436</v>
      </c>
      <c r="K1157" s="5" t="s">
        <v>8437</v>
      </c>
      <c r="L1157" s="5"/>
      <c r="M1157" s="5" t="s">
        <v>301</v>
      </c>
      <c r="N1157" s="5" t="s">
        <v>296</v>
      </c>
      <c r="O1157" s="5" t="s">
        <v>8372</v>
      </c>
      <c r="P1157" s="5"/>
      <c r="Q1157" s="5" t="s">
        <v>8438</v>
      </c>
    </row>
    <row r="1158" spans="2:17" x14ac:dyDescent="0.2">
      <c r="B1158" s="5" t="s">
        <v>8364</v>
      </c>
      <c r="C1158" s="6" t="s">
        <v>13589</v>
      </c>
      <c r="D1158" s="4">
        <v>378</v>
      </c>
      <c r="E1158" s="5" t="s">
        <v>20</v>
      </c>
      <c r="F1158" s="5" t="s">
        <v>8404</v>
      </c>
      <c r="G1158" s="6" t="s">
        <v>14</v>
      </c>
      <c r="H1158" s="4">
        <v>155</v>
      </c>
      <c r="I1158" s="5" t="s">
        <v>22</v>
      </c>
      <c r="J1158" s="5" t="s">
        <v>8439</v>
      </c>
      <c r="K1158" s="5" t="s">
        <v>8440</v>
      </c>
      <c r="L1158" s="5" t="s">
        <v>8441</v>
      </c>
      <c r="M1158" s="5" t="s">
        <v>301</v>
      </c>
      <c r="N1158" s="5" t="s">
        <v>296</v>
      </c>
      <c r="O1158" s="5" t="s">
        <v>8372</v>
      </c>
      <c r="P1158" s="5"/>
      <c r="Q1158" s="5" t="s">
        <v>8442</v>
      </c>
    </row>
    <row r="1159" spans="2:17" x14ac:dyDescent="0.2">
      <c r="B1159" s="5" t="s">
        <v>8364</v>
      </c>
      <c r="C1159" s="6" t="s">
        <v>13589</v>
      </c>
      <c r="D1159" s="4">
        <v>379</v>
      </c>
      <c r="E1159" s="5" t="s">
        <v>20</v>
      </c>
      <c r="F1159" s="5" t="s">
        <v>8447</v>
      </c>
      <c r="G1159" s="6" t="s">
        <v>14</v>
      </c>
      <c r="H1159" s="4">
        <v>156</v>
      </c>
      <c r="I1159" s="5" t="s">
        <v>22</v>
      </c>
      <c r="J1159" s="5" t="s">
        <v>8448</v>
      </c>
      <c r="K1159" s="5" t="s">
        <v>8449</v>
      </c>
      <c r="L1159" s="5"/>
      <c r="M1159" s="5" t="s">
        <v>301</v>
      </c>
      <c r="N1159" s="5" t="s">
        <v>296</v>
      </c>
      <c r="O1159" s="5" t="s">
        <v>8372</v>
      </c>
      <c r="P1159" s="5"/>
      <c r="Q1159" s="5" t="s">
        <v>8450</v>
      </c>
    </row>
    <row r="1160" spans="2:17" x14ac:dyDescent="0.2">
      <c r="B1160" s="5" t="s">
        <v>8364</v>
      </c>
      <c r="C1160" s="6" t="s">
        <v>13589</v>
      </c>
      <c r="D1160" s="4">
        <v>380</v>
      </c>
      <c r="E1160" s="5" t="s">
        <v>20</v>
      </c>
      <c r="F1160" s="5" t="s">
        <v>8447</v>
      </c>
      <c r="G1160" s="6" t="s">
        <v>14</v>
      </c>
      <c r="H1160" s="4">
        <v>157</v>
      </c>
      <c r="I1160" s="5" t="s">
        <v>22</v>
      </c>
      <c r="J1160" s="5" t="s">
        <v>8451</v>
      </c>
      <c r="K1160" s="5" t="s">
        <v>8449</v>
      </c>
      <c r="L1160" s="5"/>
      <c r="M1160" s="5" t="s">
        <v>301</v>
      </c>
      <c r="N1160" s="5" t="s">
        <v>296</v>
      </c>
      <c r="O1160" s="5" t="s">
        <v>8372</v>
      </c>
      <c r="P1160" s="5"/>
      <c r="Q1160" s="5" t="s">
        <v>8452</v>
      </c>
    </row>
    <row r="1161" spans="2:17" x14ac:dyDescent="0.2">
      <c r="B1161" s="5" t="s">
        <v>8364</v>
      </c>
      <c r="C1161" s="6" t="s">
        <v>13589</v>
      </c>
      <c r="D1161" s="4">
        <v>381</v>
      </c>
      <c r="E1161" s="5" t="s">
        <v>20</v>
      </c>
      <c r="F1161" s="5" t="s">
        <v>8404</v>
      </c>
      <c r="G1161" s="6" t="s">
        <v>14</v>
      </c>
      <c r="H1161" s="4">
        <v>158</v>
      </c>
      <c r="I1161" s="5" t="s">
        <v>22</v>
      </c>
      <c r="J1161" s="5" t="s">
        <v>8407</v>
      </c>
      <c r="K1161" s="5" t="s">
        <v>8408</v>
      </c>
      <c r="L1161" s="5" t="s">
        <v>8409</v>
      </c>
      <c r="M1161" s="5" t="s">
        <v>301</v>
      </c>
      <c r="N1161" s="5" t="s">
        <v>296</v>
      </c>
      <c r="O1161" s="5" t="s">
        <v>8372</v>
      </c>
      <c r="P1161" s="5"/>
      <c r="Q1161" s="5" t="s">
        <v>8410</v>
      </c>
    </row>
    <row r="1162" spans="2:17" x14ac:dyDescent="0.2">
      <c r="B1162" s="5" t="s">
        <v>8364</v>
      </c>
      <c r="C1162" s="6" t="s">
        <v>13589</v>
      </c>
      <c r="D1162" s="4">
        <v>382</v>
      </c>
      <c r="E1162" s="5" t="s">
        <v>20</v>
      </c>
      <c r="F1162" s="5" t="s">
        <v>8404</v>
      </c>
      <c r="G1162" s="6" t="s">
        <v>14</v>
      </c>
      <c r="H1162" s="4">
        <v>159</v>
      </c>
      <c r="I1162" s="5" t="s">
        <v>22</v>
      </c>
      <c r="J1162" s="5" t="s">
        <v>8411</v>
      </c>
      <c r="K1162" s="5" t="s">
        <v>8412</v>
      </c>
      <c r="L1162" s="5" t="s">
        <v>8413</v>
      </c>
      <c r="M1162" s="5" t="s">
        <v>301</v>
      </c>
      <c r="N1162" s="5" t="s">
        <v>296</v>
      </c>
      <c r="O1162" s="5" t="s">
        <v>8372</v>
      </c>
      <c r="P1162" s="5"/>
      <c r="Q1162" s="5" t="s">
        <v>8414</v>
      </c>
    </row>
    <row r="1163" spans="2:17" x14ac:dyDescent="0.2">
      <c r="B1163" s="5" t="s">
        <v>8364</v>
      </c>
      <c r="C1163" s="6" t="s">
        <v>13589</v>
      </c>
      <c r="D1163" s="4">
        <v>383</v>
      </c>
      <c r="E1163" s="5" t="s">
        <v>20</v>
      </c>
      <c r="F1163" s="5" t="s">
        <v>8404</v>
      </c>
      <c r="G1163" s="6" t="s">
        <v>14</v>
      </c>
      <c r="H1163" s="4">
        <v>160</v>
      </c>
      <c r="I1163" s="5" t="s">
        <v>22</v>
      </c>
      <c r="J1163" s="5" t="s">
        <v>8415</v>
      </c>
      <c r="K1163" s="5" t="s">
        <v>8416</v>
      </c>
      <c r="L1163" s="5"/>
      <c r="M1163" s="5" t="s">
        <v>301</v>
      </c>
      <c r="N1163" s="5" t="s">
        <v>296</v>
      </c>
      <c r="O1163" s="5" t="s">
        <v>8372</v>
      </c>
      <c r="P1163" s="5"/>
      <c r="Q1163" s="5" t="s">
        <v>8417</v>
      </c>
    </row>
    <row r="1164" spans="2:17" x14ac:dyDescent="0.2">
      <c r="B1164" s="5" t="s">
        <v>8364</v>
      </c>
      <c r="C1164" s="6" t="s">
        <v>13589</v>
      </c>
      <c r="D1164" s="4">
        <v>384</v>
      </c>
      <c r="E1164" s="5" t="s">
        <v>20</v>
      </c>
      <c r="F1164" s="5" t="s">
        <v>7907</v>
      </c>
      <c r="G1164" s="6" t="s">
        <v>14</v>
      </c>
      <c r="H1164" s="4">
        <v>161</v>
      </c>
      <c r="I1164" s="5" t="s">
        <v>22</v>
      </c>
      <c r="J1164" s="5" t="s">
        <v>8402</v>
      </c>
      <c r="K1164" s="5" t="s">
        <v>8389</v>
      </c>
      <c r="L1164" s="5"/>
      <c r="M1164" s="5" t="s">
        <v>1750</v>
      </c>
      <c r="N1164" s="5" t="s">
        <v>1750</v>
      </c>
      <c r="O1164" s="5" t="s">
        <v>8372</v>
      </c>
      <c r="P1164" s="5"/>
      <c r="Q1164" s="5" t="s">
        <v>8403</v>
      </c>
    </row>
    <row r="1165" spans="2:17" x14ac:dyDescent="0.2">
      <c r="B1165" s="5" t="s">
        <v>8364</v>
      </c>
      <c r="C1165" s="6" t="s">
        <v>13589</v>
      </c>
      <c r="D1165" s="4">
        <v>385</v>
      </c>
      <c r="E1165" s="5" t="s">
        <v>20</v>
      </c>
      <c r="F1165" s="5" t="s">
        <v>8399</v>
      </c>
      <c r="G1165" s="6" t="s">
        <v>14</v>
      </c>
      <c r="H1165" s="4">
        <v>162</v>
      </c>
      <c r="I1165" s="5" t="s">
        <v>22</v>
      </c>
      <c r="J1165" s="5" t="s">
        <v>8400</v>
      </c>
      <c r="K1165" s="5" t="s">
        <v>8389</v>
      </c>
      <c r="L1165" s="5"/>
      <c r="M1165" s="5" t="s">
        <v>284</v>
      </c>
      <c r="N1165" s="5" t="s">
        <v>284</v>
      </c>
      <c r="O1165" s="5" t="s">
        <v>8372</v>
      </c>
      <c r="P1165" s="5"/>
      <c r="Q1165" s="5" t="s">
        <v>8401</v>
      </c>
    </row>
    <row r="1166" spans="2:17" x14ac:dyDescent="0.2">
      <c r="B1166" s="5" t="s">
        <v>8364</v>
      </c>
      <c r="C1166" s="6" t="s">
        <v>13589</v>
      </c>
      <c r="D1166" s="4">
        <v>388</v>
      </c>
      <c r="E1166" s="5" t="s">
        <v>32</v>
      </c>
      <c r="F1166" s="5" t="s">
        <v>8391</v>
      </c>
      <c r="G1166" s="6" t="s">
        <v>14</v>
      </c>
      <c r="H1166" s="4">
        <v>163</v>
      </c>
      <c r="I1166" s="5" t="s">
        <v>22</v>
      </c>
      <c r="J1166" s="5" t="s">
        <v>8392</v>
      </c>
      <c r="K1166" s="5" t="s">
        <v>7815</v>
      </c>
      <c r="L1166" s="5"/>
      <c r="M1166" s="5" t="s">
        <v>1236</v>
      </c>
      <c r="N1166" s="5" t="s">
        <v>1236</v>
      </c>
      <c r="O1166" s="5" t="s">
        <v>8372</v>
      </c>
      <c r="P1166" s="5"/>
      <c r="Q1166" s="5" t="s">
        <v>8393</v>
      </c>
    </row>
    <row r="1167" spans="2:17" x14ac:dyDescent="0.2">
      <c r="B1167" s="5" t="s">
        <v>8364</v>
      </c>
      <c r="C1167" s="6" t="s">
        <v>13589</v>
      </c>
      <c r="D1167" s="4">
        <v>389</v>
      </c>
      <c r="E1167" s="5" t="s">
        <v>35</v>
      </c>
      <c r="F1167" s="5" t="s">
        <v>8387</v>
      </c>
      <c r="G1167" s="6" t="s">
        <v>14</v>
      </c>
      <c r="H1167" s="4">
        <v>164</v>
      </c>
      <c r="I1167" s="5"/>
      <c r="J1167" s="5" t="s">
        <v>8388</v>
      </c>
      <c r="K1167" s="5" t="s">
        <v>8389</v>
      </c>
      <c r="L1167" s="5"/>
      <c r="M1167" s="5" t="s">
        <v>1230</v>
      </c>
      <c r="N1167" s="5" t="s">
        <v>1230</v>
      </c>
      <c r="O1167" s="5" t="s">
        <v>8372</v>
      </c>
      <c r="P1167" s="5"/>
      <c r="Q1167" s="5" t="s">
        <v>8390</v>
      </c>
    </row>
    <row r="1168" spans="2:17" x14ac:dyDescent="0.2">
      <c r="B1168" s="5" t="s">
        <v>8364</v>
      </c>
      <c r="C1168" s="6" t="s">
        <v>13589</v>
      </c>
      <c r="D1168" s="4">
        <v>396</v>
      </c>
      <c r="E1168" s="5" t="s">
        <v>20</v>
      </c>
      <c r="F1168" s="5" t="s">
        <v>8479</v>
      </c>
      <c r="G1168" s="6" t="s">
        <v>14</v>
      </c>
      <c r="H1168" s="4">
        <v>165</v>
      </c>
      <c r="I1168" s="5" t="s">
        <v>22</v>
      </c>
      <c r="J1168" s="5" t="s">
        <v>8480</v>
      </c>
      <c r="K1168" s="5" t="s">
        <v>8481</v>
      </c>
      <c r="L1168" s="5"/>
      <c r="M1168" s="5" t="s">
        <v>1526</v>
      </c>
      <c r="N1168" s="5" t="s">
        <v>2147</v>
      </c>
      <c r="O1168" s="5" t="s">
        <v>8368</v>
      </c>
      <c r="P1168" s="5"/>
      <c r="Q1168" s="5" t="s">
        <v>8482</v>
      </c>
    </row>
    <row r="1169" spans="2:17" x14ac:dyDescent="0.2">
      <c r="B1169" s="5" t="s">
        <v>8364</v>
      </c>
      <c r="C1169" s="6" t="s">
        <v>13589</v>
      </c>
      <c r="D1169" s="4">
        <v>398</v>
      </c>
      <c r="E1169" s="5" t="s">
        <v>32</v>
      </c>
      <c r="F1169" s="5" t="s">
        <v>8675</v>
      </c>
      <c r="G1169" s="6" t="s">
        <v>14</v>
      </c>
      <c r="H1169" s="4">
        <v>166</v>
      </c>
      <c r="I1169" s="5" t="s">
        <v>22</v>
      </c>
      <c r="J1169" s="5" t="s">
        <v>8676</v>
      </c>
      <c r="K1169" s="5" t="s">
        <v>8607</v>
      </c>
      <c r="L1169" s="5"/>
      <c r="M1169" s="5" t="s">
        <v>8156</v>
      </c>
      <c r="N1169" s="5" t="s">
        <v>8156</v>
      </c>
      <c r="O1169" s="5" t="s">
        <v>8372</v>
      </c>
      <c r="P1169" s="5"/>
      <c r="Q1169" s="5" t="s">
        <v>8677</v>
      </c>
    </row>
    <row r="1170" spans="2:17" x14ac:dyDescent="0.2">
      <c r="B1170" s="5" t="s">
        <v>8364</v>
      </c>
      <c r="C1170" s="6" t="s">
        <v>13589</v>
      </c>
      <c r="D1170" s="4">
        <v>401</v>
      </c>
      <c r="E1170" s="5" t="s">
        <v>20</v>
      </c>
      <c r="F1170" s="5" t="s">
        <v>8658</v>
      </c>
      <c r="G1170" s="6" t="s">
        <v>14</v>
      </c>
      <c r="H1170" s="4">
        <v>167</v>
      </c>
      <c r="I1170" s="5" t="s">
        <v>22</v>
      </c>
      <c r="J1170" s="5" t="s">
        <v>8659</v>
      </c>
      <c r="K1170" s="5" t="s">
        <v>8660</v>
      </c>
      <c r="L1170" s="5"/>
      <c r="M1170" s="5" t="s">
        <v>523</v>
      </c>
      <c r="N1170" s="5" t="s">
        <v>523</v>
      </c>
      <c r="O1170" s="5" t="s">
        <v>8372</v>
      </c>
      <c r="P1170" s="5"/>
      <c r="Q1170" s="5" t="s">
        <v>8661</v>
      </c>
    </row>
    <row r="1171" spans="2:17" x14ac:dyDescent="0.2">
      <c r="B1171" s="5" t="s">
        <v>8364</v>
      </c>
      <c r="C1171" s="6" t="s">
        <v>13589</v>
      </c>
      <c r="D1171" s="4">
        <v>406</v>
      </c>
      <c r="E1171" s="5" t="s">
        <v>15</v>
      </c>
      <c r="F1171" s="5" t="s">
        <v>8374</v>
      </c>
      <c r="G1171" s="6" t="s">
        <v>14</v>
      </c>
      <c r="H1171" s="4">
        <v>168</v>
      </c>
      <c r="I1171" s="5"/>
      <c r="J1171" s="5" t="s">
        <v>8375</v>
      </c>
      <c r="K1171" s="5" t="s">
        <v>8376</v>
      </c>
      <c r="L1171" s="5"/>
      <c r="M1171" s="5" t="s">
        <v>1715</v>
      </c>
      <c r="N1171" s="5" t="s">
        <v>1715</v>
      </c>
      <c r="O1171" s="5" t="s">
        <v>8368</v>
      </c>
      <c r="P1171" s="5"/>
      <c r="Q1171" s="5" t="s">
        <v>8377</v>
      </c>
    </row>
    <row r="1172" spans="2:17" x14ac:dyDescent="0.2">
      <c r="B1172" s="5" t="s">
        <v>8364</v>
      </c>
      <c r="C1172" s="6" t="s">
        <v>13589</v>
      </c>
      <c r="D1172" s="4">
        <v>408</v>
      </c>
      <c r="E1172" s="5" t="s">
        <v>32</v>
      </c>
      <c r="F1172" s="5" t="s">
        <v>8635</v>
      </c>
      <c r="G1172" s="6" t="s">
        <v>14</v>
      </c>
      <c r="H1172" s="4">
        <v>169</v>
      </c>
      <c r="I1172" s="5" t="s">
        <v>22</v>
      </c>
      <c r="J1172" s="5" t="s">
        <v>8643</v>
      </c>
      <c r="K1172" s="5" t="s">
        <v>8419</v>
      </c>
      <c r="L1172" s="5"/>
      <c r="M1172" s="5" t="s">
        <v>533</v>
      </c>
      <c r="N1172" s="5" t="s">
        <v>2278</v>
      </c>
      <c r="O1172" s="5" t="s">
        <v>8423</v>
      </c>
      <c r="P1172" s="5"/>
      <c r="Q1172" s="5" t="s">
        <v>8644</v>
      </c>
    </row>
    <row r="1173" spans="2:17" x14ac:dyDescent="0.2">
      <c r="B1173" s="5" t="s">
        <v>8364</v>
      </c>
      <c r="C1173" s="6" t="s">
        <v>13589</v>
      </c>
      <c r="D1173" s="4">
        <v>409</v>
      </c>
      <c r="E1173" s="5" t="s">
        <v>13</v>
      </c>
      <c r="F1173" s="5" t="s">
        <v>8655</v>
      </c>
      <c r="G1173" s="6" t="s">
        <v>14</v>
      </c>
      <c r="H1173" s="4">
        <v>170</v>
      </c>
      <c r="I1173" s="5"/>
      <c r="J1173" s="5" t="s">
        <v>8656</v>
      </c>
      <c r="K1173" s="5" t="s">
        <v>8432</v>
      </c>
      <c r="L1173" s="5"/>
      <c r="M1173" s="5" t="s">
        <v>533</v>
      </c>
      <c r="N1173" s="5" t="s">
        <v>2278</v>
      </c>
      <c r="O1173" s="5" t="s">
        <v>8423</v>
      </c>
      <c r="P1173" s="5"/>
      <c r="Q1173" s="5" t="s">
        <v>8657</v>
      </c>
    </row>
    <row r="1174" spans="2:17" x14ac:dyDescent="0.2">
      <c r="B1174" s="5" t="s">
        <v>8364</v>
      </c>
      <c r="C1174" s="6" t="s">
        <v>13589</v>
      </c>
      <c r="D1174" s="4">
        <v>414</v>
      </c>
      <c r="E1174" s="5" t="s">
        <v>32</v>
      </c>
      <c r="F1174" s="5" t="s">
        <v>8635</v>
      </c>
      <c r="G1174" s="6" t="s">
        <v>14</v>
      </c>
      <c r="H1174" s="4">
        <v>171</v>
      </c>
      <c r="I1174" s="5" t="s">
        <v>22</v>
      </c>
      <c r="J1174" s="5" t="s">
        <v>8645</v>
      </c>
      <c r="K1174" s="5" t="s">
        <v>8646</v>
      </c>
      <c r="L1174" s="5"/>
      <c r="M1174" s="5" t="s">
        <v>533</v>
      </c>
      <c r="N1174" s="5" t="s">
        <v>2278</v>
      </c>
      <c r="O1174" s="5" t="s">
        <v>8504</v>
      </c>
      <c r="P1174" s="5"/>
      <c r="Q1174" s="5" t="s">
        <v>8647</v>
      </c>
    </row>
    <row r="1175" spans="2:17" x14ac:dyDescent="0.2">
      <c r="B1175" s="5" t="s">
        <v>8364</v>
      </c>
      <c r="C1175" s="6" t="s">
        <v>13589</v>
      </c>
      <c r="D1175" s="4">
        <v>415</v>
      </c>
      <c r="E1175" s="5" t="s">
        <v>32</v>
      </c>
      <c r="F1175" s="5" t="s">
        <v>8635</v>
      </c>
      <c r="G1175" s="6" t="s">
        <v>14</v>
      </c>
      <c r="H1175" s="4">
        <v>172</v>
      </c>
      <c r="I1175" s="5" t="s">
        <v>22</v>
      </c>
      <c r="J1175" s="5" t="s">
        <v>8648</v>
      </c>
      <c r="K1175" s="5" t="s">
        <v>8649</v>
      </c>
      <c r="L1175" s="5"/>
      <c r="M1175" s="5" t="s">
        <v>533</v>
      </c>
      <c r="N1175" s="5" t="s">
        <v>2278</v>
      </c>
      <c r="O1175" s="5" t="s">
        <v>8504</v>
      </c>
      <c r="P1175" s="5"/>
      <c r="Q1175" s="5" t="s">
        <v>8650</v>
      </c>
    </row>
    <row r="1176" spans="2:17" x14ac:dyDescent="0.2">
      <c r="B1176" s="5" t="s">
        <v>8364</v>
      </c>
      <c r="C1176" s="6" t="s">
        <v>13589</v>
      </c>
      <c r="D1176" s="4">
        <v>418</v>
      </c>
      <c r="E1176" s="5" t="s">
        <v>32</v>
      </c>
      <c r="F1176" s="5" t="s">
        <v>8651</v>
      </c>
      <c r="G1176" s="6" t="s">
        <v>14</v>
      </c>
      <c r="H1176" s="4">
        <v>173</v>
      </c>
      <c r="I1176" s="5" t="s">
        <v>22</v>
      </c>
      <c r="J1176" s="5" t="s">
        <v>8652</v>
      </c>
      <c r="K1176" s="5" t="s">
        <v>8653</v>
      </c>
      <c r="L1176" s="5"/>
      <c r="M1176" s="5" t="s">
        <v>533</v>
      </c>
      <c r="N1176" s="5" t="s">
        <v>2278</v>
      </c>
      <c r="O1176" s="5" t="s">
        <v>8372</v>
      </c>
      <c r="P1176" s="5"/>
      <c r="Q1176" s="5" t="s">
        <v>8654</v>
      </c>
    </row>
    <row r="1177" spans="2:17" x14ac:dyDescent="0.2">
      <c r="B1177" s="5" t="s">
        <v>8364</v>
      </c>
      <c r="C1177" s="6" t="s">
        <v>13589</v>
      </c>
      <c r="D1177" s="4">
        <v>419</v>
      </c>
      <c r="E1177" s="5" t="s">
        <v>32</v>
      </c>
      <c r="F1177" s="5" t="s">
        <v>8635</v>
      </c>
      <c r="G1177" s="6" t="s">
        <v>14</v>
      </c>
      <c r="H1177" s="4">
        <v>174</v>
      </c>
      <c r="I1177" s="5" t="s">
        <v>38</v>
      </c>
      <c r="J1177" s="5" t="s">
        <v>8636</v>
      </c>
      <c r="K1177" s="5" t="s">
        <v>8637</v>
      </c>
      <c r="L1177" s="5"/>
      <c r="M1177" s="5" t="s">
        <v>533</v>
      </c>
      <c r="N1177" s="5" t="s">
        <v>2278</v>
      </c>
      <c r="O1177" s="5" t="s">
        <v>8513</v>
      </c>
      <c r="P1177" s="5"/>
      <c r="Q1177" s="5" t="s">
        <v>8638</v>
      </c>
    </row>
    <row r="1178" spans="2:17" x14ac:dyDescent="0.2">
      <c r="B1178" s="5" t="s">
        <v>8364</v>
      </c>
      <c r="C1178" s="6" t="s">
        <v>13589</v>
      </c>
      <c r="D1178" s="4">
        <v>420</v>
      </c>
      <c r="E1178" s="5" t="s">
        <v>32</v>
      </c>
      <c r="F1178" s="5" t="s">
        <v>8639</v>
      </c>
      <c r="G1178" s="6" t="s">
        <v>14</v>
      </c>
      <c r="H1178" s="4">
        <v>175</v>
      </c>
      <c r="I1178" s="5" t="s">
        <v>38</v>
      </c>
      <c r="J1178" s="5" t="s">
        <v>8640</v>
      </c>
      <c r="K1178" s="5" t="s">
        <v>8607</v>
      </c>
      <c r="L1178" s="5" t="s">
        <v>8641</v>
      </c>
      <c r="M1178" s="5" t="s">
        <v>533</v>
      </c>
      <c r="N1178" s="5" t="s">
        <v>2278</v>
      </c>
      <c r="O1178" s="5" t="s">
        <v>8372</v>
      </c>
      <c r="P1178" s="5"/>
      <c r="Q1178" s="5" t="s">
        <v>8642</v>
      </c>
    </row>
    <row r="1179" spans="2:17" x14ac:dyDescent="0.2">
      <c r="B1179" s="5" t="s">
        <v>8364</v>
      </c>
      <c r="C1179" s="6" t="s">
        <v>13589</v>
      </c>
      <c r="D1179" s="4">
        <v>425</v>
      </c>
      <c r="E1179" s="5" t="s">
        <v>13</v>
      </c>
      <c r="F1179" s="5" t="s">
        <v>8370</v>
      </c>
      <c r="G1179" s="6" t="s">
        <v>14</v>
      </c>
      <c r="H1179" s="4">
        <v>176</v>
      </c>
      <c r="I1179" s="5"/>
      <c r="J1179" s="5" t="s">
        <v>8371</v>
      </c>
      <c r="K1179" s="5" t="s">
        <v>7815</v>
      </c>
      <c r="L1179" s="5"/>
      <c r="M1179" s="5" t="s">
        <v>2811</v>
      </c>
      <c r="N1179" s="5" t="s">
        <v>2811</v>
      </c>
      <c r="O1179" s="5" t="s">
        <v>8372</v>
      </c>
      <c r="P1179" s="5"/>
      <c r="Q1179" s="5" t="s">
        <v>8373</v>
      </c>
    </row>
    <row r="1180" spans="2:17" x14ac:dyDescent="0.2">
      <c r="B1180" s="5" t="s">
        <v>8364</v>
      </c>
      <c r="C1180" s="6" t="s">
        <v>13589</v>
      </c>
      <c r="D1180" s="4">
        <v>426</v>
      </c>
      <c r="E1180" s="5" t="s">
        <v>32</v>
      </c>
      <c r="F1180" s="5" t="s">
        <v>8631</v>
      </c>
      <c r="G1180" s="6" t="s">
        <v>14</v>
      </c>
      <c r="H1180" s="4">
        <v>177</v>
      </c>
      <c r="I1180" s="5" t="s">
        <v>22</v>
      </c>
      <c r="J1180" s="5" t="s">
        <v>8632</v>
      </c>
      <c r="K1180" s="5" t="s">
        <v>8633</v>
      </c>
      <c r="L1180" s="5"/>
      <c r="M1180" s="5" t="s">
        <v>260</v>
      </c>
      <c r="N1180" s="5" t="s">
        <v>260</v>
      </c>
      <c r="O1180" s="5" t="s">
        <v>8587</v>
      </c>
      <c r="P1180" s="5"/>
      <c r="Q1180" s="5" t="s">
        <v>8634</v>
      </c>
    </row>
    <row r="1181" spans="2:17" x14ac:dyDescent="0.2">
      <c r="B1181" s="5" t="s">
        <v>8364</v>
      </c>
      <c r="C1181" s="6" t="s">
        <v>13589</v>
      </c>
      <c r="D1181" s="4">
        <v>428</v>
      </c>
      <c r="E1181" s="5" t="s">
        <v>24</v>
      </c>
      <c r="F1181" s="5" t="s">
        <v>8365</v>
      </c>
      <c r="G1181" s="6" t="s">
        <v>14</v>
      </c>
      <c r="H1181" s="4">
        <v>178</v>
      </c>
      <c r="I1181" s="5"/>
      <c r="J1181" s="5" t="s">
        <v>8366</v>
      </c>
      <c r="K1181" s="5" t="s">
        <v>8367</v>
      </c>
      <c r="L1181" s="5"/>
      <c r="M1181" s="5" t="s">
        <v>3997</v>
      </c>
      <c r="N1181" s="5" t="s">
        <v>3997</v>
      </c>
      <c r="O1181" s="5" t="s">
        <v>8368</v>
      </c>
      <c r="P1181" s="5"/>
      <c r="Q1181" s="5" t="s">
        <v>8369</v>
      </c>
    </row>
    <row r="1182" spans="2:17" x14ac:dyDescent="0.2">
      <c r="B1182" s="5" t="s">
        <v>8683</v>
      </c>
      <c r="C1182" s="6" t="s">
        <v>13589</v>
      </c>
      <c r="D1182" s="4">
        <v>436</v>
      </c>
      <c r="E1182" s="5" t="s">
        <v>20</v>
      </c>
      <c r="F1182" s="5" t="s">
        <v>5903</v>
      </c>
      <c r="G1182" s="6" t="s">
        <v>14</v>
      </c>
      <c r="H1182" s="4">
        <v>179</v>
      </c>
      <c r="I1182" s="5" t="s">
        <v>22</v>
      </c>
      <c r="J1182" s="5" t="s">
        <v>5904</v>
      </c>
      <c r="K1182" s="5" t="s">
        <v>5888</v>
      </c>
      <c r="L1182" s="5"/>
      <c r="M1182" s="5" t="s">
        <v>1073</v>
      </c>
      <c r="N1182" s="5" t="s">
        <v>3478</v>
      </c>
      <c r="O1182" s="5" t="s">
        <v>5684</v>
      </c>
      <c r="P1182" s="5"/>
      <c r="Q1182" s="5" t="s">
        <v>8973</v>
      </c>
    </row>
    <row r="1183" spans="2:17" x14ac:dyDescent="0.2">
      <c r="B1183" s="5" t="s">
        <v>8683</v>
      </c>
      <c r="C1183" s="6" t="s">
        <v>13589</v>
      </c>
      <c r="D1183" s="4">
        <v>437</v>
      </c>
      <c r="E1183" s="5" t="s">
        <v>35</v>
      </c>
      <c r="F1183" s="5" t="s">
        <v>8977</v>
      </c>
      <c r="G1183" s="6" t="s">
        <v>14</v>
      </c>
      <c r="H1183" s="4">
        <v>180</v>
      </c>
      <c r="I1183" s="5"/>
      <c r="J1183" s="5" t="s">
        <v>8978</v>
      </c>
      <c r="K1183" s="5" t="s">
        <v>8687</v>
      </c>
      <c r="L1183" s="5"/>
      <c r="M1183" s="5" t="s">
        <v>1681</v>
      </c>
      <c r="N1183" s="5" t="s">
        <v>1681</v>
      </c>
      <c r="O1183" s="5" t="s">
        <v>5683</v>
      </c>
      <c r="P1183" s="5"/>
      <c r="Q1183" s="5" t="s">
        <v>8979</v>
      </c>
    </row>
    <row r="1184" spans="2:17" x14ac:dyDescent="0.2">
      <c r="B1184" s="5" t="s">
        <v>8683</v>
      </c>
      <c r="C1184" s="6" t="s">
        <v>13589</v>
      </c>
      <c r="D1184" s="4">
        <v>442</v>
      </c>
      <c r="E1184" s="5" t="s">
        <v>35</v>
      </c>
      <c r="F1184" s="5" t="s">
        <v>8950</v>
      </c>
      <c r="G1184" s="6" t="s">
        <v>14</v>
      </c>
      <c r="H1184" s="4">
        <v>181</v>
      </c>
      <c r="I1184" s="5"/>
      <c r="J1184" s="5" t="s">
        <v>8951</v>
      </c>
      <c r="K1184" s="5" t="s">
        <v>8952</v>
      </c>
      <c r="L1184" s="5"/>
      <c r="M1184" s="5" t="s">
        <v>1625</v>
      </c>
      <c r="N1184" s="5" t="s">
        <v>1625</v>
      </c>
      <c r="O1184" s="5" t="s">
        <v>5702</v>
      </c>
      <c r="P1184" s="5"/>
      <c r="Q1184" s="5" t="s">
        <v>8953</v>
      </c>
    </row>
    <row r="1185" spans="2:17" x14ac:dyDescent="0.2">
      <c r="B1185" s="5" t="s">
        <v>8683</v>
      </c>
      <c r="C1185" s="6" t="s">
        <v>13589</v>
      </c>
      <c r="D1185" s="4">
        <v>458</v>
      </c>
      <c r="E1185" s="5" t="s">
        <v>24</v>
      </c>
      <c r="F1185" s="5" t="s">
        <v>8888</v>
      </c>
      <c r="G1185" s="6" t="s">
        <v>14</v>
      </c>
      <c r="H1185" s="4">
        <v>182</v>
      </c>
      <c r="I1185" s="5"/>
      <c r="J1185" s="5" t="s">
        <v>8889</v>
      </c>
      <c r="K1185" s="5" t="s">
        <v>5699</v>
      </c>
      <c r="L1185" s="5" t="s">
        <v>8890</v>
      </c>
      <c r="M1185" s="5" t="s">
        <v>153</v>
      </c>
      <c r="N1185" s="5" t="s">
        <v>153</v>
      </c>
      <c r="O1185" s="5" t="s">
        <v>5684</v>
      </c>
      <c r="P1185" s="5"/>
      <c r="Q1185" s="5" t="s">
        <v>8891</v>
      </c>
    </row>
    <row r="1186" spans="2:17" x14ac:dyDescent="0.2">
      <c r="B1186" s="5" t="s">
        <v>8683</v>
      </c>
      <c r="C1186" s="6" t="s">
        <v>13589</v>
      </c>
      <c r="D1186" s="4">
        <v>460</v>
      </c>
      <c r="E1186" s="5" t="s">
        <v>24</v>
      </c>
      <c r="F1186" s="5" t="s">
        <v>8892</v>
      </c>
      <c r="G1186" s="6" t="s">
        <v>14</v>
      </c>
      <c r="H1186" s="4">
        <v>183</v>
      </c>
      <c r="I1186" s="5"/>
      <c r="J1186" s="5" t="s">
        <v>8893</v>
      </c>
      <c r="K1186" s="5" t="s">
        <v>8686</v>
      </c>
      <c r="L1186" s="5" t="s">
        <v>8894</v>
      </c>
      <c r="M1186" s="5" t="s">
        <v>153</v>
      </c>
      <c r="N1186" s="5" t="s">
        <v>153</v>
      </c>
      <c r="O1186" s="5" t="s">
        <v>5683</v>
      </c>
      <c r="P1186" s="5"/>
      <c r="Q1186" s="5" t="s">
        <v>8895</v>
      </c>
    </row>
    <row r="1187" spans="2:17" x14ac:dyDescent="0.2">
      <c r="B1187" s="5" t="s">
        <v>8683</v>
      </c>
      <c r="C1187" s="6" t="s">
        <v>13589</v>
      </c>
      <c r="D1187" s="4">
        <v>466</v>
      </c>
      <c r="E1187" s="5" t="s">
        <v>13</v>
      </c>
      <c r="F1187" s="5" t="s">
        <v>8871</v>
      </c>
      <c r="G1187" s="6" t="s">
        <v>14</v>
      </c>
      <c r="H1187" s="4">
        <v>184</v>
      </c>
      <c r="I1187" s="5"/>
      <c r="J1187" s="5" t="s">
        <v>8872</v>
      </c>
      <c r="K1187" s="5" t="s">
        <v>5714</v>
      </c>
      <c r="L1187" s="5"/>
      <c r="M1187" s="5" t="s">
        <v>426</v>
      </c>
      <c r="N1187" s="5" t="s">
        <v>426</v>
      </c>
      <c r="O1187" s="5" t="s">
        <v>5690</v>
      </c>
      <c r="P1187" s="5"/>
      <c r="Q1187" s="5" t="s">
        <v>8873</v>
      </c>
    </row>
    <row r="1188" spans="2:17" x14ac:dyDescent="0.2">
      <c r="B1188" s="5" t="s">
        <v>8683</v>
      </c>
      <c r="C1188" s="6" t="s">
        <v>13589</v>
      </c>
      <c r="D1188" s="4">
        <v>499</v>
      </c>
      <c r="E1188" s="5" t="s">
        <v>15</v>
      </c>
      <c r="F1188" s="5" t="s">
        <v>5875</v>
      </c>
      <c r="G1188" s="6" t="s">
        <v>14</v>
      </c>
      <c r="H1188" s="4">
        <v>185</v>
      </c>
      <c r="I1188" s="5"/>
      <c r="J1188" s="5" t="s">
        <v>5749</v>
      </c>
      <c r="K1188" s="5" t="s">
        <v>5729</v>
      </c>
      <c r="L1188" s="5"/>
      <c r="M1188" s="5" t="s">
        <v>330</v>
      </c>
      <c r="N1188" s="5" t="s">
        <v>330</v>
      </c>
      <c r="O1188" s="5" t="s">
        <v>5694</v>
      </c>
      <c r="P1188" s="5"/>
      <c r="Q1188" s="5" t="s">
        <v>8774</v>
      </c>
    </row>
    <row r="1189" spans="2:17" x14ac:dyDescent="0.2">
      <c r="B1189" s="5" t="s">
        <v>8683</v>
      </c>
      <c r="C1189" s="6" t="s">
        <v>13589</v>
      </c>
      <c r="D1189" s="4">
        <v>500</v>
      </c>
      <c r="E1189" s="5" t="s">
        <v>32</v>
      </c>
      <c r="F1189" s="5" t="s">
        <v>4734</v>
      </c>
      <c r="G1189" s="6" t="s">
        <v>14</v>
      </c>
      <c r="H1189" s="4">
        <v>186</v>
      </c>
      <c r="I1189" s="5" t="s">
        <v>22</v>
      </c>
      <c r="J1189" s="5" t="s">
        <v>5869</v>
      </c>
      <c r="K1189" s="5" t="s">
        <v>5714</v>
      </c>
      <c r="L1189" s="5"/>
      <c r="M1189" s="5" t="s">
        <v>1377</v>
      </c>
      <c r="N1189" s="5" t="s">
        <v>331</v>
      </c>
      <c r="O1189" s="5" t="s">
        <v>5690</v>
      </c>
      <c r="P1189" s="5"/>
      <c r="Q1189" s="5" t="s">
        <v>8772</v>
      </c>
    </row>
    <row r="1190" spans="2:17" x14ac:dyDescent="0.2">
      <c r="B1190" s="5" t="s">
        <v>8683</v>
      </c>
      <c r="C1190" s="6" t="s">
        <v>13589</v>
      </c>
      <c r="D1190" s="4">
        <v>501</v>
      </c>
      <c r="E1190" s="5" t="s">
        <v>32</v>
      </c>
      <c r="F1190" s="5" t="s">
        <v>5871</v>
      </c>
      <c r="G1190" s="6" t="s">
        <v>14</v>
      </c>
      <c r="H1190" s="4">
        <v>187</v>
      </c>
      <c r="I1190" s="5" t="s">
        <v>22</v>
      </c>
      <c r="J1190" s="5" t="s">
        <v>5872</v>
      </c>
      <c r="K1190" s="5" t="s">
        <v>5873</v>
      </c>
      <c r="L1190" s="5"/>
      <c r="M1190" s="5" t="s">
        <v>1377</v>
      </c>
      <c r="N1190" s="5" t="s">
        <v>1385</v>
      </c>
      <c r="O1190" s="5" t="s">
        <v>5684</v>
      </c>
      <c r="P1190" s="5"/>
      <c r="Q1190" s="5" t="s">
        <v>8773</v>
      </c>
    </row>
    <row r="1191" spans="2:17" x14ac:dyDescent="0.2">
      <c r="B1191" s="5" t="s">
        <v>8683</v>
      </c>
      <c r="C1191" s="6" t="s">
        <v>13589</v>
      </c>
      <c r="D1191" s="4">
        <v>502</v>
      </c>
      <c r="E1191" s="5" t="s">
        <v>20</v>
      </c>
      <c r="F1191" s="5" t="s">
        <v>5851</v>
      </c>
      <c r="G1191" s="6" t="s">
        <v>14</v>
      </c>
      <c r="H1191" s="4">
        <v>188</v>
      </c>
      <c r="I1191" s="5" t="s">
        <v>22</v>
      </c>
      <c r="J1191" s="5" t="s">
        <v>5845</v>
      </c>
      <c r="K1191" s="5" t="s">
        <v>8689</v>
      </c>
      <c r="L1191" s="5"/>
      <c r="M1191" s="5" t="s">
        <v>5846</v>
      </c>
      <c r="N1191" s="5" t="s">
        <v>295</v>
      </c>
      <c r="O1191" s="5" t="s">
        <v>5683</v>
      </c>
      <c r="P1191" s="5"/>
      <c r="Q1191" s="5" t="s">
        <v>8761</v>
      </c>
    </row>
    <row r="1192" spans="2:17" x14ac:dyDescent="0.2">
      <c r="B1192" s="5" t="s">
        <v>8683</v>
      </c>
      <c r="C1192" s="6" t="s">
        <v>13589</v>
      </c>
      <c r="D1192" s="4">
        <v>503</v>
      </c>
      <c r="E1192" s="5" t="s">
        <v>20</v>
      </c>
      <c r="F1192" s="5" t="s">
        <v>5866</v>
      </c>
      <c r="G1192" s="6" t="s">
        <v>14</v>
      </c>
      <c r="H1192" s="4">
        <v>189</v>
      </c>
      <c r="I1192" s="5" t="s">
        <v>22</v>
      </c>
      <c r="J1192" s="5" t="s">
        <v>5867</v>
      </c>
      <c r="K1192" s="5" t="s">
        <v>8762</v>
      </c>
      <c r="L1192" s="5" t="s">
        <v>8763</v>
      </c>
      <c r="M1192" s="5" t="s">
        <v>5846</v>
      </c>
      <c r="N1192" s="5" t="s">
        <v>295</v>
      </c>
      <c r="O1192" s="5" t="s">
        <v>5690</v>
      </c>
      <c r="P1192" s="5"/>
      <c r="Q1192" s="5" t="s">
        <v>8764</v>
      </c>
    </row>
    <row r="1193" spans="2:17" x14ac:dyDescent="0.2">
      <c r="B1193" s="5" t="s">
        <v>8683</v>
      </c>
      <c r="C1193" s="6" t="s">
        <v>13589</v>
      </c>
      <c r="D1193" s="4">
        <v>504</v>
      </c>
      <c r="E1193" s="5" t="s">
        <v>20</v>
      </c>
      <c r="F1193" s="5" t="s">
        <v>5844</v>
      </c>
      <c r="G1193" s="6" t="s">
        <v>14</v>
      </c>
      <c r="H1193" s="4">
        <v>190</v>
      </c>
      <c r="I1193" s="5" t="s">
        <v>22</v>
      </c>
      <c r="J1193" s="5" t="s">
        <v>8765</v>
      </c>
      <c r="K1193" s="5" t="s">
        <v>8689</v>
      </c>
      <c r="L1193" s="5"/>
      <c r="M1193" s="5" t="s">
        <v>5846</v>
      </c>
      <c r="N1193" s="5" t="s">
        <v>295</v>
      </c>
      <c r="O1193" s="5" t="s">
        <v>5683</v>
      </c>
      <c r="P1193" s="5"/>
      <c r="Q1193" s="5" t="s">
        <v>8766</v>
      </c>
    </row>
    <row r="1194" spans="2:17" x14ac:dyDescent="0.2">
      <c r="B1194" s="5" t="s">
        <v>8683</v>
      </c>
      <c r="C1194" s="6" t="s">
        <v>13589</v>
      </c>
      <c r="D1194" s="4">
        <v>505</v>
      </c>
      <c r="E1194" s="5" t="s">
        <v>20</v>
      </c>
      <c r="F1194" s="5" t="s">
        <v>5851</v>
      </c>
      <c r="G1194" s="6" t="s">
        <v>14</v>
      </c>
      <c r="H1194" s="4">
        <v>191</v>
      </c>
      <c r="I1194" s="5" t="s">
        <v>22</v>
      </c>
      <c r="J1194" s="5" t="s">
        <v>5852</v>
      </c>
      <c r="K1194" s="5" t="s">
        <v>8768</v>
      </c>
      <c r="L1194" s="5"/>
      <c r="M1194" s="5" t="s">
        <v>5846</v>
      </c>
      <c r="N1194" s="5" t="s">
        <v>295</v>
      </c>
      <c r="O1194" s="5" t="s">
        <v>5697</v>
      </c>
      <c r="P1194" s="5"/>
      <c r="Q1194" s="5" t="s">
        <v>8769</v>
      </c>
    </row>
    <row r="1195" spans="2:17" x14ac:dyDescent="0.2">
      <c r="B1195" s="5" t="s">
        <v>8683</v>
      </c>
      <c r="C1195" s="6" t="s">
        <v>13589</v>
      </c>
      <c r="D1195" s="4">
        <v>506</v>
      </c>
      <c r="E1195" s="5" t="s">
        <v>20</v>
      </c>
      <c r="F1195" s="5" t="s">
        <v>5854</v>
      </c>
      <c r="G1195" s="6" t="s">
        <v>14</v>
      </c>
      <c r="H1195" s="4">
        <v>192</v>
      </c>
      <c r="I1195" s="5" t="s">
        <v>22</v>
      </c>
      <c r="J1195" s="5" t="s">
        <v>5855</v>
      </c>
      <c r="K1195" s="5" t="s">
        <v>8770</v>
      </c>
      <c r="L1195" s="5" t="s">
        <v>5856</v>
      </c>
      <c r="M1195" s="5" t="s">
        <v>5846</v>
      </c>
      <c r="N1195" s="5" t="s">
        <v>295</v>
      </c>
      <c r="O1195" s="5" t="s">
        <v>5690</v>
      </c>
      <c r="P1195" s="5"/>
      <c r="Q1195" s="5" t="s">
        <v>8771</v>
      </c>
    </row>
    <row r="1196" spans="2:17" x14ac:dyDescent="0.2">
      <c r="B1196" s="5" t="s">
        <v>8683</v>
      </c>
      <c r="C1196" s="6" t="s">
        <v>13589</v>
      </c>
      <c r="D1196" s="4">
        <v>510</v>
      </c>
      <c r="E1196" s="5" t="s">
        <v>20</v>
      </c>
      <c r="F1196" s="5" t="s">
        <v>5858</v>
      </c>
      <c r="G1196" s="6" t="s">
        <v>14</v>
      </c>
      <c r="H1196" s="4">
        <v>193</v>
      </c>
      <c r="I1196" s="5" t="s">
        <v>22</v>
      </c>
      <c r="J1196" s="5" t="s">
        <v>5859</v>
      </c>
      <c r="K1196" s="5" t="s">
        <v>5691</v>
      </c>
      <c r="L1196" s="5"/>
      <c r="M1196" s="5" t="s">
        <v>5846</v>
      </c>
      <c r="N1196" s="5" t="s">
        <v>295</v>
      </c>
      <c r="O1196" s="5" t="s">
        <v>5690</v>
      </c>
      <c r="P1196" s="5"/>
      <c r="Q1196" s="5" t="s">
        <v>8760</v>
      </c>
    </row>
    <row r="1197" spans="2:17" x14ac:dyDescent="0.2">
      <c r="B1197" s="5" t="s">
        <v>8683</v>
      </c>
      <c r="C1197" s="6" t="s">
        <v>13589</v>
      </c>
      <c r="D1197" s="4">
        <v>512</v>
      </c>
      <c r="E1197" s="5" t="s">
        <v>32</v>
      </c>
      <c r="F1197" s="5" t="s">
        <v>5841</v>
      </c>
      <c r="G1197" s="6" t="s">
        <v>14</v>
      </c>
      <c r="H1197" s="4">
        <v>194</v>
      </c>
      <c r="I1197" s="5" t="s">
        <v>22</v>
      </c>
      <c r="J1197" s="5" t="s">
        <v>5842</v>
      </c>
      <c r="K1197" s="5" t="s">
        <v>5685</v>
      </c>
      <c r="L1197" s="5"/>
      <c r="M1197" s="5" t="s">
        <v>295</v>
      </c>
      <c r="N1197" s="5" t="s">
        <v>302</v>
      </c>
      <c r="O1197" s="5" t="s">
        <v>5684</v>
      </c>
      <c r="P1197" s="5"/>
      <c r="Q1197" s="5" t="s">
        <v>8759</v>
      </c>
    </row>
    <row r="1198" spans="2:17" x14ac:dyDescent="0.2">
      <c r="B1198" s="5" t="s">
        <v>8683</v>
      </c>
      <c r="C1198" s="6" t="s">
        <v>13589</v>
      </c>
      <c r="D1198" s="4">
        <v>513</v>
      </c>
      <c r="E1198" s="5" t="s">
        <v>32</v>
      </c>
      <c r="F1198" s="5" t="s">
        <v>4367</v>
      </c>
      <c r="G1198" s="6" t="s">
        <v>14</v>
      </c>
      <c r="H1198" s="4">
        <v>195</v>
      </c>
      <c r="I1198" s="5" t="s">
        <v>22</v>
      </c>
      <c r="J1198" s="5" t="s">
        <v>4368</v>
      </c>
      <c r="K1198" s="5" t="s">
        <v>5699</v>
      </c>
      <c r="L1198" s="5"/>
      <c r="M1198" s="5" t="s">
        <v>1750</v>
      </c>
      <c r="N1198" s="5" t="s">
        <v>1751</v>
      </c>
      <c r="O1198" s="5" t="s">
        <v>5687</v>
      </c>
      <c r="P1198" s="5"/>
      <c r="Q1198" s="5" t="s">
        <v>8750</v>
      </c>
    </row>
    <row r="1199" spans="2:17" x14ac:dyDescent="0.2">
      <c r="B1199" s="5" t="s">
        <v>8683</v>
      </c>
      <c r="C1199" s="6" t="s">
        <v>13589</v>
      </c>
      <c r="D1199" s="4">
        <v>514</v>
      </c>
      <c r="E1199" s="5" t="s">
        <v>15</v>
      </c>
      <c r="F1199" s="5" t="s">
        <v>5805</v>
      </c>
      <c r="G1199" s="6" t="s">
        <v>14</v>
      </c>
      <c r="H1199" s="4">
        <v>196</v>
      </c>
      <c r="I1199" s="5"/>
      <c r="J1199" s="5" t="s">
        <v>5835</v>
      </c>
      <c r="K1199" s="5" t="s">
        <v>8686</v>
      </c>
      <c r="L1199" s="5"/>
      <c r="M1199" s="5" t="s">
        <v>4765</v>
      </c>
      <c r="N1199" s="5" t="s">
        <v>4765</v>
      </c>
      <c r="O1199" s="5" t="s">
        <v>5690</v>
      </c>
      <c r="P1199" s="5"/>
      <c r="Q1199" s="5" t="s">
        <v>8748</v>
      </c>
    </row>
    <row r="1200" spans="2:17" x14ac:dyDescent="0.2">
      <c r="B1200" s="5" t="s">
        <v>8683</v>
      </c>
      <c r="C1200" s="6" t="s">
        <v>13589</v>
      </c>
      <c r="D1200" s="4">
        <v>516</v>
      </c>
      <c r="E1200" s="5" t="s">
        <v>15</v>
      </c>
      <c r="F1200" s="5" t="s">
        <v>5805</v>
      </c>
      <c r="G1200" s="6" t="s">
        <v>14</v>
      </c>
      <c r="H1200" s="4">
        <v>197</v>
      </c>
      <c r="I1200" s="5"/>
      <c r="J1200" s="5" t="s">
        <v>5806</v>
      </c>
      <c r="K1200" s="5" t="s">
        <v>5729</v>
      </c>
      <c r="L1200" s="5"/>
      <c r="M1200" s="5" t="s">
        <v>96</v>
      </c>
      <c r="N1200" s="5" t="s">
        <v>96</v>
      </c>
      <c r="O1200" s="5" t="s">
        <v>5694</v>
      </c>
      <c r="P1200" s="5"/>
      <c r="Q1200" s="5" t="s">
        <v>8730</v>
      </c>
    </row>
    <row r="1201" spans="2:17" x14ac:dyDescent="0.2">
      <c r="B1201" s="5" t="s">
        <v>8683</v>
      </c>
      <c r="C1201" s="6" t="s">
        <v>13589</v>
      </c>
      <c r="D1201" s="4">
        <v>531</v>
      </c>
      <c r="E1201" s="5" t="s">
        <v>32</v>
      </c>
      <c r="F1201" s="5" t="s">
        <v>5792</v>
      </c>
      <c r="G1201" s="6" t="s">
        <v>14</v>
      </c>
      <c r="H1201" s="4">
        <v>198</v>
      </c>
      <c r="I1201" s="5" t="s">
        <v>22</v>
      </c>
      <c r="J1201" s="5" t="s">
        <v>5793</v>
      </c>
      <c r="K1201" s="5" t="s">
        <v>5794</v>
      </c>
      <c r="L1201" s="5" t="s">
        <v>5707</v>
      </c>
      <c r="M1201" s="5" t="s">
        <v>97</v>
      </c>
      <c r="N1201" s="5" t="s">
        <v>2328</v>
      </c>
      <c r="O1201" s="5" t="s">
        <v>5684</v>
      </c>
      <c r="P1201" s="5"/>
      <c r="Q1201" s="5" t="s">
        <v>8727</v>
      </c>
    </row>
    <row r="1202" spans="2:17" x14ac:dyDescent="0.2">
      <c r="B1202" s="5" t="s">
        <v>8683</v>
      </c>
      <c r="C1202" s="6" t="s">
        <v>13589</v>
      </c>
      <c r="D1202" s="4">
        <v>542</v>
      </c>
      <c r="E1202" s="5" t="s">
        <v>35</v>
      </c>
      <c r="F1202" s="5" t="s">
        <v>5751</v>
      </c>
      <c r="G1202" s="6" t="s">
        <v>14</v>
      </c>
      <c r="H1202" s="4">
        <v>199</v>
      </c>
      <c r="I1202" s="5"/>
      <c r="J1202" s="5" t="s">
        <v>5752</v>
      </c>
      <c r="K1202" s="5" t="s">
        <v>3800</v>
      </c>
      <c r="L1202" s="5"/>
      <c r="M1202" s="5" t="s">
        <v>2863</v>
      </c>
      <c r="N1202" s="5" t="s">
        <v>2863</v>
      </c>
      <c r="O1202" s="5" t="s">
        <v>5684</v>
      </c>
      <c r="P1202" s="5"/>
      <c r="Q1202" s="5" t="s">
        <v>8706</v>
      </c>
    </row>
    <row r="1203" spans="2:17" x14ac:dyDescent="0.2">
      <c r="B1203" s="5" t="s">
        <v>8683</v>
      </c>
      <c r="C1203" s="6" t="s">
        <v>13589</v>
      </c>
      <c r="D1203" s="4">
        <v>545</v>
      </c>
      <c r="E1203" s="5" t="s">
        <v>32</v>
      </c>
      <c r="F1203" s="5" t="s">
        <v>5754</v>
      </c>
      <c r="G1203" s="6" t="s">
        <v>14</v>
      </c>
      <c r="H1203" s="4">
        <v>200</v>
      </c>
      <c r="I1203" s="5" t="s">
        <v>22</v>
      </c>
      <c r="J1203" s="5" t="s">
        <v>5755</v>
      </c>
      <c r="K1203" s="5" t="s">
        <v>5706</v>
      </c>
      <c r="L1203" s="5" t="s">
        <v>8711</v>
      </c>
      <c r="M1203" s="5" t="s">
        <v>1251</v>
      </c>
      <c r="N1203" s="5" t="s">
        <v>2856</v>
      </c>
      <c r="O1203" s="5" t="s">
        <v>5684</v>
      </c>
      <c r="P1203" s="5"/>
      <c r="Q1203" s="5" t="s">
        <v>8712</v>
      </c>
    </row>
    <row r="1204" spans="2:17" x14ac:dyDescent="0.2">
      <c r="B1204" s="5" t="s">
        <v>8683</v>
      </c>
      <c r="C1204" s="6" t="s">
        <v>13589</v>
      </c>
      <c r="D1204" s="4">
        <v>546</v>
      </c>
      <c r="E1204" s="5" t="s">
        <v>32</v>
      </c>
      <c r="F1204" s="5" t="s">
        <v>5754</v>
      </c>
      <c r="G1204" s="6" t="s">
        <v>14</v>
      </c>
      <c r="H1204" s="4">
        <v>201</v>
      </c>
      <c r="I1204" s="5" t="s">
        <v>22</v>
      </c>
      <c r="J1204" s="5" t="s">
        <v>5757</v>
      </c>
      <c r="K1204" s="5" t="s">
        <v>5758</v>
      </c>
      <c r="L1204" s="5"/>
      <c r="M1204" s="5" t="s">
        <v>1251</v>
      </c>
      <c r="N1204" s="5" t="s">
        <v>2856</v>
      </c>
      <c r="O1204" s="5" t="s">
        <v>5684</v>
      </c>
      <c r="P1204" s="5"/>
      <c r="Q1204" s="5" t="s">
        <v>8713</v>
      </c>
    </row>
    <row r="1205" spans="2:17" x14ac:dyDescent="0.2">
      <c r="B1205" s="5" t="s">
        <v>8683</v>
      </c>
      <c r="C1205" s="6" t="s">
        <v>13589</v>
      </c>
      <c r="D1205" s="4">
        <v>547</v>
      </c>
      <c r="E1205" s="5" t="s">
        <v>32</v>
      </c>
      <c r="F1205" s="5" t="s">
        <v>5754</v>
      </c>
      <c r="G1205" s="6" t="s">
        <v>14</v>
      </c>
      <c r="H1205" s="4">
        <v>202</v>
      </c>
      <c r="I1205" s="5" t="s">
        <v>22</v>
      </c>
      <c r="J1205" s="5" t="s">
        <v>5760</v>
      </c>
      <c r="K1205" s="5" t="s">
        <v>5706</v>
      </c>
      <c r="L1205" s="5" t="s">
        <v>8714</v>
      </c>
      <c r="M1205" s="5" t="s">
        <v>1251</v>
      </c>
      <c r="N1205" s="5" t="s">
        <v>2856</v>
      </c>
      <c r="O1205" s="5" t="s">
        <v>5684</v>
      </c>
      <c r="P1205" s="5"/>
      <c r="Q1205" s="5" t="s">
        <v>8715</v>
      </c>
    </row>
    <row r="1206" spans="2:17" x14ac:dyDescent="0.2">
      <c r="B1206" s="5" t="s">
        <v>8683</v>
      </c>
      <c r="C1206" s="6" t="s">
        <v>13589</v>
      </c>
      <c r="D1206" s="4">
        <v>550</v>
      </c>
      <c r="E1206" s="5" t="s">
        <v>32</v>
      </c>
      <c r="F1206" s="5" t="s">
        <v>5748</v>
      </c>
      <c r="G1206" s="6" t="s">
        <v>14</v>
      </c>
      <c r="H1206" s="4">
        <v>203</v>
      </c>
      <c r="I1206" s="5" t="s">
        <v>22</v>
      </c>
      <c r="J1206" s="5" t="s">
        <v>5749</v>
      </c>
      <c r="K1206" s="5" t="s">
        <v>5729</v>
      </c>
      <c r="L1206" s="5"/>
      <c r="M1206" s="5" t="s">
        <v>2863</v>
      </c>
      <c r="N1206" s="5" t="s">
        <v>1222</v>
      </c>
      <c r="O1206" s="5" t="s">
        <v>5694</v>
      </c>
      <c r="P1206" s="5"/>
      <c r="Q1206" s="5" t="s">
        <v>8705</v>
      </c>
    </row>
    <row r="1207" spans="2:17" x14ac:dyDescent="0.2">
      <c r="B1207" s="5" t="s">
        <v>8683</v>
      </c>
      <c r="C1207" s="6" t="s">
        <v>13589</v>
      </c>
      <c r="D1207" s="4">
        <v>551</v>
      </c>
      <c r="E1207" s="5" t="s">
        <v>32</v>
      </c>
      <c r="F1207" s="5" t="s">
        <v>5743</v>
      </c>
      <c r="G1207" s="6" t="s">
        <v>14</v>
      </c>
      <c r="H1207" s="4">
        <v>204</v>
      </c>
      <c r="I1207" s="5" t="s">
        <v>22</v>
      </c>
      <c r="J1207" s="5" t="s">
        <v>5744</v>
      </c>
      <c r="K1207" s="5" t="s">
        <v>5736</v>
      </c>
      <c r="L1207" s="5"/>
      <c r="M1207" s="5" t="s">
        <v>1230</v>
      </c>
      <c r="N1207" s="5" t="s">
        <v>1222</v>
      </c>
      <c r="O1207" s="5" t="s">
        <v>5690</v>
      </c>
      <c r="P1207" s="5"/>
      <c r="Q1207" s="5" t="s">
        <v>8699</v>
      </c>
    </row>
    <row r="1208" spans="2:17" x14ac:dyDescent="0.2">
      <c r="B1208" s="5" t="s">
        <v>8683</v>
      </c>
      <c r="C1208" s="6" t="s">
        <v>13589</v>
      </c>
      <c r="D1208" s="4">
        <v>556</v>
      </c>
      <c r="E1208" s="5" t="s">
        <v>13</v>
      </c>
      <c r="F1208" s="5" t="s">
        <v>8970</v>
      </c>
      <c r="G1208" s="6" t="s">
        <v>14</v>
      </c>
      <c r="H1208" s="4">
        <v>205</v>
      </c>
      <c r="I1208" s="5"/>
      <c r="J1208" s="5" t="s">
        <v>8971</v>
      </c>
      <c r="K1208" s="5" t="s">
        <v>8687</v>
      </c>
      <c r="L1208" s="5"/>
      <c r="M1208" s="5" t="s">
        <v>224</v>
      </c>
      <c r="N1208" s="5" t="s">
        <v>224</v>
      </c>
      <c r="O1208" s="5" t="s">
        <v>5683</v>
      </c>
      <c r="P1208" s="5"/>
      <c r="Q1208" s="5" t="s">
        <v>8972</v>
      </c>
    </row>
    <row r="1209" spans="2:17" x14ac:dyDescent="0.2">
      <c r="B1209" s="5" t="s">
        <v>8683</v>
      </c>
      <c r="C1209" s="6" t="s">
        <v>13589</v>
      </c>
      <c r="D1209" s="4">
        <v>557</v>
      </c>
      <c r="E1209" s="5" t="s">
        <v>24</v>
      </c>
      <c r="F1209" s="5" t="s">
        <v>9002</v>
      </c>
      <c r="G1209" s="6" t="s">
        <v>14</v>
      </c>
      <c r="H1209" s="4">
        <v>206</v>
      </c>
      <c r="I1209" s="5"/>
      <c r="J1209" s="5" t="s">
        <v>9003</v>
      </c>
      <c r="K1209" s="5" t="s">
        <v>5736</v>
      </c>
      <c r="L1209" s="5"/>
      <c r="M1209" s="5" t="s">
        <v>533</v>
      </c>
      <c r="N1209" s="5" t="s">
        <v>2278</v>
      </c>
      <c r="O1209" s="5" t="s">
        <v>5690</v>
      </c>
      <c r="P1209" s="5"/>
      <c r="Q1209" s="5" t="s">
        <v>9004</v>
      </c>
    </row>
    <row r="1210" spans="2:17" x14ac:dyDescent="0.2">
      <c r="B1210" s="5" t="s">
        <v>8683</v>
      </c>
      <c r="C1210" s="6" t="s">
        <v>13589</v>
      </c>
      <c r="D1210" s="4">
        <v>558</v>
      </c>
      <c r="E1210" s="5" t="s">
        <v>20</v>
      </c>
      <c r="F1210" s="5" t="s">
        <v>5727</v>
      </c>
      <c r="G1210" s="6" t="s">
        <v>14</v>
      </c>
      <c r="H1210" s="4">
        <v>207</v>
      </c>
      <c r="I1210" s="5" t="s">
        <v>22</v>
      </c>
      <c r="J1210" s="5" t="s">
        <v>5728</v>
      </c>
      <c r="K1210" s="5" t="s">
        <v>5729</v>
      </c>
      <c r="L1210" s="5"/>
      <c r="M1210" s="5" t="s">
        <v>1207</v>
      </c>
      <c r="N1210" s="5" t="s">
        <v>1208</v>
      </c>
      <c r="O1210" s="5" t="s">
        <v>5694</v>
      </c>
      <c r="P1210" s="5"/>
      <c r="Q1210" s="5" t="s">
        <v>8692</v>
      </c>
    </row>
    <row r="1211" spans="2:17" x14ac:dyDescent="0.2">
      <c r="B1211" s="5" t="s">
        <v>8683</v>
      </c>
      <c r="C1211" s="6" t="s">
        <v>13589</v>
      </c>
      <c r="D1211" s="4">
        <v>559</v>
      </c>
      <c r="E1211" s="5" t="s">
        <v>24</v>
      </c>
      <c r="F1211" s="5" t="s">
        <v>5731</v>
      </c>
      <c r="G1211" s="6" t="s">
        <v>14</v>
      </c>
      <c r="H1211" s="4">
        <v>208</v>
      </c>
      <c r="I1211" s="5"/>
      <c r="J1211" s="5" t="s">
        <v>5732</v>
      </c>
      <c r="K1211" s="5" t="s">
        <v>8684</v>
      </c>
      <c r="L1211" s="5"/>
      <c r="M1211" s="5" t="s">
        <v>1207</v>
      </c>
      <c r="N1211" s="5" t="s">
        <v>1208</v>
      </c>
      <c r="O1211" s="5" t="s">
        <v>5687</v>
      </c>
      <c r="P1211" s="5"/>
      <c r="Q1211" s="5" t="s">
        <v>8693</v>
      </c>
    </row>
    <row r="1212" spans="2:17" x14ac:dyDescent="0.2">
      <c r="B1212" s="5" t="s">
        <v>8683</v>
      </c>
      <c r="C1212" s="6" t="s">
        <v>13589</v>
      </c>
      <c r="D1212" s="4">
        <v>562</v>
      </c>
      <c r="E1212" s="5" t="s">
        <v>13</v>
      </c>
      <c r="F1212" s="5" t="s">
        <v>8804</v>
      </c>
      <c r="G1212" s="6" t="s">
        <v>14</v>
      </c>
      <c r="H1212" s="4">
        <v>209</v>
      </c>
      <c r="I1212" s="5"/>
      <c r="J1212" s="5" t="s">
        <v>8805</v>
      </c>
      <c r="K1212" s="5" t="s">
        <v>8806</v>
      </c>
      <c r="L1212" s="5"/>
      <c r="M1212" s="5" t="s">
        <v>122</v>
      </c>
      <c r="N1212" s="5" t="s">
        <v>122</v>
      </c>
      <c r="O1212" s="5" t="s">
        <v>5687</v>
      </c>
      <c r="P1212" s="5"/>
      <c r="Q1212" s="5" t="s">
        <v>8807</v>
      </c>
    </row>
    <row r="1213" spans="2:17" x14ac:dyDescent="0.2">
      <c r="B1213" s="5" t="s">
        <v>8683</v>
      </c>
      <c r="C1213" s="6" t="s">
        <v>13589</v>
      </c>
      <c r="D1213" s="4">
        <v>564</v>
      </c>
      <c r="E1213" s="5" t="s">
        <v>32</v>
      </c>
      <c r="F1213" s="5" t="s">
        <v>8964</v>
      </c>
      <c r="G1213" s="6" t="s">
        <v>14</v>
      </c>
      <c r="H1213" s="4">
        <v>210</v>
      </c>
      <c r="I1213" s="5" t="s">
        <v>22</v>
      </c>
      <c r="J1213" s="5" t="s">
        <v>8965</v>
      </c>
      <c r="K1213" s="5" t="s">
        <v>5714</v>
      </c>
      <c r="L1213" s="5"/>
      <c r="M1213" s="5" t="s">
        <v>484</v>
      </c>
      <c r="N1213" s="5" t="s">
        <v>485</v>
      </c>
      <c r="O1213" s="5" t="s">
        <v>5690</v>
      </c>
      <c r="P1213" s="5"/>
      <c r="Q1213" s="5" t="s">
        <v>8966</v>
      </c>
    </row>
    <row r="1214" spans="2:17" x14ac:dyDescent="0.2">
      <c r="B1214" s="5" t="s">
        <v>8683</v>
      </c>
      <c r="C1214" s="6" t="s">
        <v>13589</v>
      </c>
      <c r="D1214" s="4">
        <v>567</v>
      </c>
      <c r="E1214" s="5" t="s">
        <v>32</v>
      </c>
      <c r="F1214" s="5" t="s">
        <v>8960</v>
      </c>
      <c r="G1214" s="6" t="s">
        <v>14</v>
      </c>
      <c r="H1214" s="4">
        <v>211</v>
      </c>
      <c r="I1214" s="5" t="s">
        <v>38</v>
      </c>
      <c r="J1214" s="5" t="s">
        <v>8961</v>
      </c>
      <c r="K1214" s="5" t="s">
        <v>5699</v>
      </c>
      <c r="L1214" s="5" t="s">
        <v>8962</v>
      </c>
      <c r="M1214" s="5" t="s">
        <v>2219</v>
      </c>
      <c r="N1214" s="5" t="s">
        <v>6353</v>
      </c>
      <c r="O1214" s="5" t="s">
        <v>5684</v>
      </c>
      <c r="P1214" s="5"/>
      <c r="Q1214" s="5" t="s">
        <v>8963</v>
      </c>
    </row>
    <row r="1215" spans="2:17" x14ac:dyDescent="0.2">
      <c r="B1215" s="5" t="s">
        <v>9008</v>
      </c>
      <c r="C1215" s="6" t="s">
        <v>13589</v>
      </c>
      <c r="D1215" s="4">
        <v>571</v>
      </c>
      <c r="E1215" s="5" t="s">
        <v>15</v>
      </c>
      <c r="F1215" s="5" t="s">
        <v>9521</v>
      </c>
      <c r="G1215" s="6" t="s">
        <v>14</v>
      </c>
      <c r="H1215" s="4">
        <v>212</v>
      </c>
      <c r="I1215" s="5"/>
      <c r="J1215" s="5" t="s">
        <v>9522</v>
      </c>
      <c r="K1215" s="5" t="s">
        <v>9027</v>
      </c>
      <c r="L1215" s="5"/>
      <c r="M1215" s="5" t="s">
        <v>1118</v>
      </c>
      <c r="N1215" s="5" t="s">
        <v>3779</v>
      </c>
      <c r="O1215" s="5" t="s">
        <v>9028</v>
      </c>
      <c r="P1215" s="5"/>
      <c r="Q1215" s="5" t="s">
        <v>9523</v>
      </c>
    </row>
    <row r="1216" spans="2:17" x14ac:dyDescent="0.2">
      <c r="B1216" s="5" t="s">
        <v>9008</v>
      </c>
      <c r="C1216" s="6" t="s">
        <v>13589</v>
      </c>
      <c r="D1216" s="4">
        <v>592</v>
      </c>
      <c r="E1216" s="5" t="s">
        <v>32</v>
      </c>
      <c r="F1216" s="5" t="s">
        <v>9403</v>
      </c>
      <c r="G1216" s="6" t="s">
        <v>14</v>
      </c>
      <c r="H1216" s="4">
        <v>213</v>
      </c>
      <c r="I1216" s="5" t="s">
        <v>22</v>
      </c>
      <c r="J1216" s="5" t="s">
        <v>9404</v>
      </c>
      <c r="K1216" s="5" t="s">
        <v>4977</v>
      </c>
      <c r="L1216" s="5"/>
      <c r="M1216" s="5" t="s">
        <v>468</v>
      </c>
      <c r="N1216" s="5" t="s">
        <v>465</v>
      </c>
      <c r="O1216" s="5" t="s">
        <v>9338</v>
      </c>
      <c r="P1216" s="5"/>
      <c r="Q1216" s="5" t="s">
        <v>9405</v>
      </c>
    </row>
    <row r="1217" spans="2:17" x14ac:dyDescent="0.2">
      <c r="B1217" s="5" t="s">
        <v>9008</v>
      </c>
      <c r="C1217" s="6" t="s">
        <v>13589</v>
      </c>
      <c r="D1217" s="4">
        <v>593</v>
      </c>
      <c r="E1217" s="5" t="s">
        <v>32</v>
      </c>
      <c r="F1217" s="5" t="s">
        <v>9403</v>
      </c>
      <c r="G1217" s="6" t="s">
        <v>14</v>
      </c>
      <c r="H1217" s="4">
        <v>214</v>
      </c>
      <c r="I1217" s="5" t="s">
        <v>22</v>
      </c>
      <c r="J1217" s="5" t="s">
        <v>9406</v>
      </c>
      <c r="K1217" s="5" t="s">
        <v>4977</v>
      </c>
      <c r="L1217" s="5"/>
      <c r="M1217" s="5" t="s">
        <v>468</v>
      </c>
      <c r="N1217" s="5" t="s">
        <v>465</v>
      </c>
      <c r="O1217" s="5" t="s">
        <v>9338</v>
      </c>
      <c r="P1217" s="5"/>
      <c r="Q1217" s="5" t="s">
        <v>9407</v>
      </c>
    </row>
    <row r="1218" spans="2:17" x14ac:dyDescent="0.2">
      <c r="B1218" s="5" t="s">
        <v>9008</v>
      </c>
      <c r="C1218" s="6" t="s">
        <v>13589</v>
      </c>
      <c r="D1218" s="4">
        <v>616</v>
      </c>
      <c r="E1218" s="5" t="s">
        <v>32</v>
      </c>
      <c r="F1218" s="5" t="s">
        <v>9280</v>
      </c>
      <c r="G1218" s="6" t="s">
        <v>14</v>
      </c>
      <c r="H1218" s="4">
        <v>215</v>
      </c>
      <c r="I1218" s="5" t="s">
        <v>22</v>
      </c>
      <c r="J1218" s="5" t="s">
        <v>9281</v>
      </c>
      <c r="K1218" s="5" t="s">
        <v>3793</v>
      </c>
      <c r="L1218" s="5"/>
      <c r="M1218" s="5" t="s">
        <v>346</v>
      </c>
      <c r="N1218" s="5" t="s">
        <v>2089</v>
      </c>
      <c r="O1218" s="5" t="s">
        <v>9045</v>
      </c>
      <c r="P1218" s="5"/>
      <c r="Q1218" s="5" t="s">
        <v>9282</v>
      </c>
    </row>
    <row r="1219" spans="2:17" x14ac:dyDescent="0.2">
      <c r="B1219" s="5" t="s">
        <v>9008</v>
      </c>
      <c r="C1219" s="6" t="s">
        <v>13589</v>
      </c>
      <c r="D1219" s="4">
        <v>617</v>
      </c>
      <c r="E1219" s="5" t="s">
        <v>32</v>
      </c>
      <c r="F1219" s="5" t="s">
        <v>9289</v>
      </c>
      <c r="G1219" s="6" t="s">
        <v>14</v>
      </c>
      <c r="H1219" s="4">
        <v>216</v>
      </c>
      <c r="I1219" s="5" t="s">
        <v>22</v>
      </c>
      <c r="J1219" s="5" t="s">
        <v>9290</v>
      </c>
      <c r="K1219" s="5" t="s">
        <v>9038</v>
      </c>
      <c r="L1219" s="5"/>
      <c r="M1219" s="5" t="s">
        <v>1832</v>
      </c>
      <c r="N1219" s="5" t="s">
        <v>2089</v>
      </c>
      <c r="O1219" s="5" t="s">
        <v>9028</v>
      </c>
      <c r="P1219" s="5"/>
      <c r="Q1219" s="5" t="s">
        <v>9291</v>
      </c>
    </row>
    <row r="1220" spans="2:17" x14ac:dyDescent="0.2">
      <c r="B1220" s="5" t="s">
        <v>9008</v>
      </c>
      <c r="C1220" s="6" t="s">
        <v>13589</v>
      </c>
      <c r="D1220" s="4">
        <v>618</v>
      </c>
      <c r="E1220" s="5" t="s">
        <v>32</v>
      </c>
      <c r="F1220" s="5" t="s">
        <v>9289</v>
      </c>
      <c r="G1220" s="6" t="s">
        <v>14</v>
      </c>
      <c r="H1220" s="4">
        <v>217</v>
      </c>
      <c r="I1220" s="5" t="s">
        <v>22</v>
      </c>
      <c r="J1220" s="5" t="s">
        <v>9292</v>
      </c>
      <c r="K1220" s="5" t="s">
        <v>9042</v>
      </c>
      <c r="L1220" s="5"/>
      <c r="M1220" s="5" t="s">
        <v>1832</v>
      </c>
      <c r="N1220" s="5" t="s">
        <v>2089</v>
      </c>
      <c r="O1220" s="5" t="s">
        <v>9028</v>
      </c>
      <c r="P1220" s="5"/>
      <c r="Q1220" s="5" t="s">
        <v>9291</v>
      </c>
    </row>
    <row r="1221" spans="2:17" x14ac:dyDescent="0.2">
      <c r="B1221" s="5" t="s">
        <v>9008</v>
      </c>
      <c r="C1221" s="6" t="s">
        <v>13589</v>
      </c>
      <c r="D1221" s="4">
        <v>619</v>
      </c>
      <c r="E1221" s="5" t="s">
        <v>32</v>
      </c>
      <c r="F1221" s="5" t="s">
        <v>9283</v>
      </c>
      <c r="G1221" s="6" t="s">
        <v>14</v>
      </c>
      <c r="H1221" s="4">
        <v>218</v>
      </c>
      <c r="I1221" s="5" t="s">
        <v>22</v>
      </c>
      <c r="J1221" s="5" t="s">
        <v>9284</v>
      </c>
      <c r="K1221" s="5" t="s">
        <v>9225</v>
      </c>
      <c r="L1221" s="5"/>
      <c r="M1221" s="5" t="s">
        <v>346</v>
      </c>
      <c r="N1221" s="5" t="s">
        <v>2089</v>
      </c>
      <c r="O1221" s="5" t="s">
        <v>9010</v>
      </c>
      <c r="P1221" s="5"/>
      <c r="Q1221" s="5" t="s">
        <v>9285</v>
      </c>
    </row>
    <row r="1222" spans="2:17" x14ac:dyDescent="0.2">
      <c r="B1222" s="5" t="s">
        <v>9008</v>
      </c>
      <c r="C1222" s="6" t="s">
        <v>13589</v>
      </c>
      <c r="D1222" s="4">
        <v>627</v>
      </c>
      <c r="E1222" s="5" t="s">
        <v>24</v>
      </c>
      <c r="F1222" s="5" t="s">
        <v>9258</v>
      </c>
      <c r="G1222" s="6" t="s">
        <v>14</v>
      </c>
      <c r="H1222" s="4">
        <v>219</v>
      </c>
      <c r="I1222" s="5"/>
      <c r="J1222" s="5" t="s">
        <v>9065</v>
      </c>
      <c r="K1222" s="5" t="s">
        <v>9138</v>
      </c>
      <c r="L1222" s="5"/>
      <c r="M1222" s="5" t="s">
        <v>1448</v>
      </c>
      <c r="N1222" s="5" t="s">
        <v>1436</v>
      </c>
      <c r="O1222" s="5" t="s">
        <v>9019</v>
      </c>
      <c r="P1222" s="5"/>
      <c r="Q1222" s="5" t="s">
        <v>9259</v>
      </c>
    </row>
    <row r="1223" spans="2:17" x14ac:dyDescent="0.2">
      <c r="B1223" s="5" t="s">
        <v>9008</v>
      </c>
      <c r="C1223" s="6" t="s">
        <v>13589</v>
      </c>
      <c r="D1223" s="4">
        <v>629</v>
      </c>
      <c r="E1223" s="5" t="s">
        <v>20</v>
      </c>
      <c r="F1223" s="5" t="s">
        <v>9246</v>
      </c>
      <c r="G1223" s="6" t="s">
        <v>14</v>
      </c>
      <c r="H1223" s="4">
        <v>220</v>
      </c>
      <c r="I1223" s="5" t="s">
        <v>22</v>
      </c>
      <c r="J1223" s="5" t="s">
        <v>9247</v>
      </c>
      <c r="K1223" s="5" t="s">
        <v>9011</v>
      </c>
      <c r="L1223" s="5"/>
      <c r="M1223" s="5" t="s">
        <v>1812</v>
      </c>
      <c r="N1223" s="5" t="s">
        <v>1437</v>
      </c>
      <c r="O1223" s="5" t="s">
        <v>9052</v>
      </c>
      <c r="P1223" s="5"/>
      <c r="Q1223" s="5" t="s">
        <v>9248</v>
      </c>
    </row>
    <row r="1224" spans="2:17" x14ac:dyDescent="0.2">
      <c r="B1224" s="5" t="s">
        <v>9008</v>
      </c>
      <c r="C1224" s="6" t="s">
        <v>13589</v>
      </c>
      <c r="D1224" s="4">
        <v>630</v>
      </c>
      <c r="E1224" s="5" t="s">
        <v>20</v>
      </c>
      <c r="F1224" s="5" t="s">
        <v>9246</v>
      </c>
      <c r="G1224" s="6" t="s">
        <v>14</v>
      </c>
      <c r="H1224" s="4">
        <v>221</v>
      </c>
      <c r="I1224" s="5" t="s">
        <v>38</v>
      </c>
      <c r="J1224" s="5" t="s">
        <v>9249</v>
      </c>
      <c r="K1224" s="5" t="s">
        <v>9161</v>
      </c>
      <c r="L1224" s="5"/>
      <c r="M1224" s="5" t="s">
        <v>1812</v>
      </c>
      <c r="N1224" s="5" t="s">
        <v>1437</v>
      </c>
      <c r="O1224" s="5" t="s">
        <v>9052</v>
      </c>
      <c r="P1224" s="5"/>
      <c r="Q1224" s="5" t="s">
        <v>9250</v>
      </c>
    </row>
    <row r="1225" spans="2:17" x14ac:dyDescent="0.2">
      <c r="B1225" s="5" t="s">
        <v>9008</v>
      </c>
      <c r="C1225" s="6" t="s">
        <v>13589</v>
      </c>
      <c r="D1225" s="4">
        <v>631</v>
      </c>
      <c r="E1225" s="5" t="s">
        <v>20</v>
      </c>
      <c r="F1225" s="5" t="s">
        <v>9246</v>
      </c>
      <c r="G1225" s="6" t="s">
        <v>14</v>
      </c>
      <c r="H1225" s="4">
        <v>222</v>
      </c>
      <c r="I1225" s="5" t="s">
        <v>38</v>
      </c>
      <c r="J1225" s="5" t="s">
        <v>9251</v>
      </c>
      <c r="K1225" s="5" t="s">
        <v>9166</v>
      </c>
      <c r="L1225" s="5"/>
      <c r="M1225" s="5" t="s">
        <v>1812</v>
      </c>
      <c r="N1225" s="5" t="s">
        <v>1437</v>
      </c>
      <c r="O1225" s="5" t="s">
        <v>9052</v>
      </c>
      <c r="P1225" s="5"/>
      <c r="Q1225" s="5" t="s">
        <v>9252</v>
      </c>
    </row>
    <row r="1226" spans="2:17" x14ac:dyDescent="0.2">
      <c r="B1226" s="5" t="s">
        <v>9008</v>
      </c>
      <c r="C1226" s="6" t="s">
        <v>13589</v>
      </c>
      <c r="D1226" s="4">
        <v>639</v>
      </c>
      <c r="E1226" s="5" t="s">
        <v>15</v>
      </c>
      <c r="F1226" s="5" t="s">
        <v>9403</v>
      </c>
      <c r="G1226" s="6" t="s">
        <v>14</v>
      </c>
      <c r="H1226" s="4">
        <v>223</v>
      </c>
      <c r="I1226" s="5"/>
      <c r="J1226" s="5" t="s">
        <v>9361</v>
      </c>
      <c r="K1226" s="5" t="s">
        <v>3793</v>
      </c>
      <c r="L1226" s="5"/>
      <c r="M1226" s="5" t="s">
        <v>468</v>
      </c>
      <c r="N1226" s="5" t="s">
        <v>330</v>
      </c>
      <c r="O1226" s="5" t="s">
        <v>9045</v>
      </c>
      <c r="P1226" s="5"/>
      <c r="Q1226" s="5" t="s">
        <v>9408</v>
      </c>
    </row>
    <row r="1227" spans="2:17" x14ac:dyDescent="0.2">
      <c r="B1227" s="5" t="s">
        <v>9008</v>
      </c>
      <c r="C1227" s="6" t="s">
        <v>13589</v>
      </c>
      <c r="D1227" s="4">
        <v>641</v>
      </c>
      <c r="E1227" s="5" t="s">
        <v>32</v>
      </c>
      <c r="F1227" s="5" t="s">
        <v>9223</v>
      </c>
      <c r="G1227" s="6" t="s">
        <v>14</v>
      </c>
      <c r="H1227" s="4">
        <v>224</v>
      </c>
      <c r="I1227" s="5" t="s">
        <v>22</v>
      </c>
      <c r="J1227" s="5" t="s">
        <v>9224</v>
      </c>
      <c r="K1227" s="5" t="s">
        <v>9225</v>
      </c>
      <c r="L1227" s="5"/>
      <c r="M1227" s="5" t="s">
        <v>1384</v>
      </c>
      <c r="N1227" s="5" t="s">
        <v>331</v>
      </c>
      <c r="O1227" s="5" t="s">
        <v>9010</v>
      </c>
      <c r="P1227" s="5"/>
      <c r="Q1227" s="5" t="s">
        <v>9226</v>
      </c>
    </row>
    <row r="1228" spans="2:17" x14ac:dyDescent="0.2">
      <c r="B1228" s="5" t="s">
        <v>9008</v>
      </c>
      <c r="C1228" s="6" t="s">
        <v>13589</v>
      </c>
      <c r="D1228" s="4">
        <v>645</v>
      </c>
      <c r="E1228" s="5" t="s">
        <v>15</v>
      </c>
      <c r="F1228" s="5" t="s">
        <v>9209</v>
      </c>
      <c r="G1228" s="6" t="s">
        <v>14</v>
      </c>
      <c r="H1228" s="4">
        <v>225</v>
      </c>
      <c r="I1228" s="5"/>
      <c r="J1228" s="5" t="s">
        <v>9210</v>
      </c>
      <c r="K1228" s="5" t="s">
        <v>4975</v>
      </c>
      <c r="L1228" s="5"/>
      <c r="M1228" s="5" t="s">
        <v>96</v>
      </c>
      <c r="N1228" s="5" t="s">
        <v>291</v>
      </c>
      <c r="O1228" s="5" t="s">
        <v>9012</v>
      </c>
      <c r="P1228" s="5"/>
      <c r="Q1228" s="5" t="s">
        <v>9211</v>
      </c>
    </row>
    <row r="1229" spans="2:17" x14ac:dyDescent="0.2">
      <c r="B1229" s="5" t="s">
        <v>9008</v>
      </c>
      <c r="C1229" s="6" t="s">
        <v>13589</v>
      </c>
      <c r="D1229" s="4">
        <v>646</v>
      </c>
      <c r="E1229" s="5" t="s">
        <v>15</v>
      </c>
      <c r="F1229" s="5" t="s">
        <v>9194</v>
      </c>
      <c r="G1229" s="6" t="s">
        <v>14</v>
      </c>
      <c r="H1229" s="4">
        <v>226</v>
      </c>
      <c r="I1229" s="5"/>
      <c r="J1229" s="5" t="s">
        <v>9212</v>
      </c>
      <c r="K1229" s="5" t="s">
        <v>9055</v>
      </c>
      <c r="L1229" s="5"/>
      <c r="M1229" s="5" t="s">
        <v>96</v>
      </c>
      <c r="N1229" s="5" t="s">
        <v>291</v>
      </c>
      <c r="O1229" s="5" t="s">
        <v>9020</v>
      </c>
      <c r="P1229" s="5"/>
      <c r="Q1229" s="5" t="s">
        <v>9213</v>
      </c>
    </row>
    <row r="1230" spans="2:17" x14ac:dyDescent="0.2">
      <c r="B1230" s="5" t="s">
        <v>9008</v>
      </c>
      <c r="C1230" s="6" t="s">
        <v>13589</v>
      </c>
      <c r="D1230" s="4">
        <v>647</v>
      </c>
      <c r="E1230" s="5" t="s">
        <v>20</v>
      </c>
      <c r="F1230" s="5" t="s">
        <v>9194</v>
      </c>
      <c r="G1230" s="6" t="s">
        <v>14</v>
      </c>
      <c r="H1230" s="4">
        <v>227</v>
      </c>
      <c r="I1230" s="5" t="s">
        <v>22</v>
      </c>
      <c r="J1230" s="5" t="s">
        <v>9195</v>
      </c>
      <c r="K1230" s="5" t="s">
        <v>9017</v>
      </c>
      <c r="L1230" s="5"/>
      <c r="M1230" s="5" t="s">
        <v>96</v>
      </c>
      <c r="N1230" s="5" t="s">
        <v>291</v>
      </c>
      <c r="O1230" s="5" t="s">
        <v>9052</v>
      </c>
      <c r="P1230" s="5"/>
      <c r="Q1230" s="5" t="s">
        <v>9196</v>
      </c>
    </row>
    <row r="1231" spans="2:17" x14ac:dyDescent="0.2">
      <c r="B1231" s="5" t="s">
        <v>9008</v>
      </c>
      <c r="C1231" s="6" t="s">
        <v>13589</v>
      </c>
      <c r="D1231" s="4">
        <v>648</v>
      </c>
      <c r="E1231" s="5" t="s">
        <v>20</v>
      </c>
      <c r="F1231" s="5" t="s">
        <v>9194</v>
      </c>
      <c r="G1231" s="6" t="s">
        <v>14</v>
      </c>
      <c r="H1231" s="4">
        <v>228</v>
      </c>
      <c r="I1231" s="5" t="s">
        <v>22</v>
      </c>
      <c r="J1231" s="5" t="s">
        <v>9197</v>
      </c>
      <c r="K1231" s="5" t="s">
        <v>9011</v>
      </c>
      <c r="L1231" s="5"/>
      <c r="M1231" s="5" t="s">
        <v>96</v>
      </c>
      <c r="N1231" s="5" t="s">
        <v>291</v>
      </c>
      <c r="O1231" s="5" t="s">
        <v>9052</v>
      </c>
      <c r="P1231" s="5"/>
      <c r="Q1231" s="5" t="s">
        <v>9198</v>
      </c>
    </row>
    <row r="1232" spans="2:17" x14ac:dyDescent="0.2">
      <c r="B1232" s="5" t="s">
        <v>9008</v>
      </c>
      <c r="C1232" s="6" t="s">
        <v>13589</v>
      </c>
      <c r="D1232" s="4">
        <v>649</v>
      </c>
      <c r="E1232" s="5" t="s">
        <v>20</v>
      </c>
      <c r="F1232" s="5" t="s">
        <v>9194</v>
      </c>
      <c r="G1232" s="6" t="s">
        <v>14</v>
      </c>
      <c r="H1232" s="4">
        <v>229</v>
      </c>
      <c r="I1232" s="5" t="s">
        <v>22</v>
      </c>
      <c r="J1232" s="5" t="s">
        <v>9199</v>
      </c>
      <c r="K1232" s="5" t="s">
        <v>9014</v>
      </c>
      <c r="L1232" s="5"/>
      <c r="M1232" s="5" t="s">
        <v>96</v>
      </c>
      <c r="N1232" s="5" t="s">
        <v>291</v>
      </c>
      <c r="O1232" s="5" t="s">
        <v>9052</v>
      </c>
      <c r="P1232" s="5"/>
      <c r="Q1232" s="5" t="s">
        <v>9200</v>
      </c>
    </row>
    <row r="1233" spans="2:17" x14ac:dyDescent="0.2">
      <c r="B1233" s="5" t="s">
        <v>9008</v>
      </c>
      <c r="C1233" s="6" t="s">
        <v>13589</v>
      </c>
      <c r="D1233" s="4">
        <v>650</v>
      </c>
      <c r="E1233" s="5" t="s">
        <v>20</v>
      </c>
      <c r="F1233" s="5" t="s">
        <v>9194</v>
      </c>
      <c r="G1233" s="6" t="s">
        <v>14</v>
      </c>
      <c r="H1233" s="4">
        <v>230</v>
      </c>
      <c r="I1233" s="5" t="s">
        <v>22</v>
      </c>
      <c r="J1233" s="5" t="s">
        <v>9201</v>
      </c>
      <c r="K1233" s="5" t="s">
        <v>9202</v>
      </c>
      <c r="L1233" s="5"/>
      <c r="M1233" s="5" t="s">
        <v>96</v>
      </c>
      <c r="N1233" s="5" t="s">
        <v>291</v>
      </c>
      <c r="O1233" s="5" t="s">
        <v>9052</v>
      </c>
      <c r="P1233" s="5"/>
      <c r="Q1233" s="5" t="s">
        <v>9203</v>
      </c>
    </row>
    <row r="1234" spans="2:17" x14ac:dyDescent="0.2">
      <c r="B1234" s="5" t="s">
        <v>9008</v>
      </c>
      <c r="C1234" s="6" t="s">
        <v>13589</v>
      </c>
      <c r="D1234" s="4">
        <v>655</v>
      </c>
      <c r="E1234" s="5" t="s">
        <v>32</v>
      </c>
      <c r="F1234" s="5" t="s">
        <v>9154</v>
      </c>
      <c r="G1234" s="6" t="s">
        <v>14</v>
      </c>
      <c r="H1234" s="4">
        <v>231</v>
      </c>
      <c r="I1234" s="5" t="s">
        <v>22</v>
      </c>
      <c r="J1234" s="5" t="s">
        <v>9192</v>
      </c>
      <c r="K1234" s="5" t="s">
        <v>9044</v>
      </c>
      <c r="L1234" s="5"/>
      <c r="M1234" s="5" t="s">
        <v>573</v>
      </c>
      <c r="N1234" s="5" t="s">
        <v>1258</v>
      </c>
      <c r="O1234" s="5" t="s">
        <v>9019</v>
      </c>
      <c r="P1234" s="5"/>
      <c r="Q1234" s="5" t="s">
        <v>9193</v>
      </c>
    </row>
    <row r="1235" spans="2:17" x14ac:dyDescent="0.2">
      <c r="B1235" s="5" t="s">
        <v>9008</v>
      </c>
      <c r="C1235" s="6" t="s">
        <v>13589</v>
      </c>
      <c r="D1235" s="4">
        <v>656</v>
      </c>
      <c r="E1235" s="5" t="s">
        <v>32</v>
      </c>
      <c r="F1235" s="5" t="s">
        <v>9154</v>
      </c>
      <c r="G1235" s="6" t="s">
        <v>14</v>
      </c>
      <c r="H1235" s="4">
        <v>232</v>
      </c>
      <c r="I1235" s="5" t="s">
        <v>22</v>
      </c>
      <c r="J1235" s="5" t="s">
        <v>9155</v>
      </c>
      <c r="K1235" s="5" t="s">
        <v>9156</v>
      </c>
      <c r="L1235" s="5"/>
      <c r="M1235" s="5" t="s">
        <v>573</v>
      </c>
      <c r="N1235" s="5" t="s">
        <v>1258</v>
      </c>
      <c r="O1235" s="5" t="s">
        <v>9028</v>
      </c>
      <c r="P1235" s="5"/>
      <c r="Q1235" s="5" t="s">
        <v>9157</v>
      </c>
    </row>
    <row r="1236" spans="2:17" x14ac:dyDescent="0.2">
      <c r="B1236" s="5" t="s">
        <v>9008</v>
      </c>
      <c r="C1236" s="6" t="s">
        <v>13589</v>
      </c>
      <c r="D1236" s="4">
        <v>657</v>
      </c>
      <c r="E1236" s="5" t="s">
        <v>32</v>
      </c>
      <c r="F1236" s="5" t="s">
        <v>9154</v>
      </c>
      <c r="G1236" s="6" t="s">
        <v>14</v>
      </c>
      <c r="H1236" s="4">
        <v>233</v>
      </c>
      <c r="I1236" s="5" t="s">
        <v>22</v>
      </c>
      <c r="J1236" s="5" t="s">
        <v>9021</v>
      </c>
      <c r="K1236" s="5" t="s">
        <v>9022</v>
      </c>
      <c r="L1236" s="5"/>
      <c r="M1236" s="5" t="s">
        <v>573</v>
      </c>
      <c r="N1236" s="5" t="s">
        <v>1258</v>
      </c>
      <c r="O1236" s="5" t="s">
        <v>9010</v>
      </c>
      <c r="P1236" s="5"/>
      <c r="Q1236" s="5" t="s">
        <v>9158</v>
      </c>
    </row>
    <row r="1237" spans="2:17" x14ac:dyDescent="0.2">
      <c r="B1237" s="5" t="s">
        <v>9008</v>
      </c>
      <c r="C1237" s="6" t="s">
        <v>13589</v>
      </c>
      <c r="D1237" s="4">
        <v>658</v>
      </c>
      <c r="E1237" s="5" t="s">
        <v>32</v>
      </c>
      <c r="F1237" s="5" t="s">
        <v>9013</v>
      </c>
      <c r="G1237" s="6" t="s">
        <v>14</v>
      </c>
      <c r="H1237" s="4">
        <v>234</v>
      </c>
      <c r="I1237" s="5" t="s">
        <v>22</v>
      </c>
      <c r="J1237" s="5" t="s">
        <v>9159</v>
      </c>
      <c r="K1237" s="5" t="s">
        <v>9011</v>
      </c>
      <c r="L1237" s="5"/>
      <c r="M1237" s="5" t="s">
        <v>573</v>
      </c>
      <c r="N1237" s="5" t="s">
        <v>1258</v>
      </c>
      <c r="O1237" s="5" t="s">
        <v>9012</v>
      </c>
      <c r="P1237" s="5"/>
      <c r="Q1237" s="5" t="s">
        <v>9160</v>
      </c>
    </row>
    <row r="1238" spans="2:17" x14ac:dyDescent="0.2">
      <c r="B1238" s="5" t="s">
        <v>9008</v>
      </c>
      <c r="C1238" s="6" t="s">
        <v>13589</v>
      </c>
      <c r="D1238" s="4">
        <v>659</v>
      </c>
      <c r="E1238" s="5" t="s">
        <v>32</v>
      </c>
      <c r="F1238" s="5" t="s">
        <v>9013</v>
      </c>
      <c r="G1238" s="6" t="s">
        <v>14</v>
      </c>
      <c r="H1238" s="4">
        <v>235</v>
      </c>
      <c r="I1238" s="5" t="s">
        <v>22</v>
      </c>
      <c r="J1238" s="5" t="s">
        <v>9162</v>
      </c>
      <c r="K1238" s="5" t="s">
        <v>9163</v>
      </c>
      <c r="L1238" s="5"/>
      <c r="M1238" s="5" t="s">
        <v>573</v>
      </c>
      <c r="N1238" s="5" t="s">
        <v>1258</v>
      </c>
      <c r="O1238" s="5" t="s">
        <v>9012</v>
      </c>
      <c r="P1238" s="5"/>
      <c r="Q1238" s="5" t="s">
        <v>9164</v>
      </c>
    </row>
    <row r="1239" spans="2:17" x14ac:dyDescent="0.2">
      <c r="B1239" s="5" t="s">
        <v>9008</v>
      </c>
      <c r="C1239" s="6" t="s">
        <v>13589</v>
      </c>
      <c r="D1239" s="4">
        <v>660</v>
      </c>
      <c r="E1239" s="5" t="s">
        <v>32</v>
      </c>
      <c r="F1239" s="5" t="s">
        <v>9013</v>
      </c>
      <c r="G1239" s="6" t="s">
        <v>14</v>
      </c>
      <c r="H1239" s="4">
        <v>236</v>
      </c>
      <c r="I1239" s="5" t="s">
        <v>22</v>
      </c>
      <c r="J1239" s="5" t="s">
        <v>9165</v>
      </c>
      <c r="K1239" s="5" t="s">
        <v>9166</v>
      </c>
      <c r="L1239" s="5"/>
      <c r="M1239" s="5" t="s">
        <v>573</v>
      </c>
      <c r="N1239" s="5" t="s">
        <v>1258</v>
      </c>
      <c r="O1239" s="5" t="s">
        <v>9012</v>
      </c>
      <c r="P1239" s="5"/>
      <c r="Q1239" s="5" t="s">
        <v>9167</v>
      </c>
    </row>
    <row r="1240" spans="2:17" x14ac:dyDescent="0.2">
      <c r="B1240" s="5" t="s">
        <v>9008</v>
      </c>
      <c r="C1240" s="6" t="s">
        <v>13589</v>
      </c>
      <c r="D1240" s="4">
        <v>661</v>
      </c>
      <c r="E1240" s="5" t="s">
        <v>32</v>
      </c>
      <c r="F1240" s="5" t="s">
        <v>9013</v>
      </c>
      <c r="G1240" s="6" t="s">
        <v>14</v>
      </c>
      <c r="H1240" s="4">
        <v>237</v>
      </c>
      <c r="I1240" s="5" t="s">
        <v>22</v>
      </c>
      <c r="J1240" s="5" t="s">
        <v>9168</v>
      </c>
      <c r="K1240" s="5" t="s">
        <v>9169</v>
      </c>
      <c r="L1240" s="5"/>
      <c r="M1240" s="5" t="s">
        <v>573</v>
      </c>
      <c r="N1240" s="5" t="s">
        <v>1258</v>
      </c>
      <c r="O1240" s="5" t="s">
        <v>9012</v>
      </c>
      <c r="P1240" s="5"/>
      <c r="Q1240" s="5" t="s">
        <v>9170</v>
      </c>
    </row>
    <row r="1241" spans="2:17" x14ac:dyDescent="0.2">
      <c r="B1241" s="5" t="s">
        <v>9008</v>
      </c>
      <c r="C1241" s="6" t="s">
        <v>13589</v>
      </c>
      <c r="D1241" s="4">
        <v>662</v>
      </c>
      <c r="E1241" s="5" t="s">
        <v>32</v>
      </c>
      <c r="F1241" s="5" t="s">
        <v>9154</v>
      </c>
      <c r="G1241" s="6" t="s">
        <v>14</v>
      </c>
      <c r="H1241" s="4">
        <v>238</v>
      </c>
      <c r="I1241" s="5" t="s">
        <v>22</v>
      </c>
      <c r="J1241" s="5" t="s">
        <v>9171</v>
      </c>
      <c r="K1241" s="5" t="s">
        <v>4977</v>
      </c>
      <c r="L1241" s="5"/>
      <c r="M1241" s="5" t="s">
        <v>573</v>
      </c>
      <c r="N1241" s="5" t="s">
        <v>1258</v>
      </c>
      <c r="O1241" s="5" t="s">
        <v>9030</v>
      </c>
      <c r="P1241" s="5"/>
      <c r="Q1241" s="5" t="s">
        <v>9172</v>
      </c>
    </row>
    <row r="1242" spans="2:17" x14ac:dyDescent="0.2">
      <c r="B1242" s="5" t="s">
        <v>9008</v>
      </c>
      <c r="C1242" s="6" t="s">
        <v>13589</v>
      </c>
      <c r="D1242" s="4">
        <v>663</v>
      </c>
      <c r="E1242" s="5" t="s">
        <v>32</v>
      </c>
      <c r="F1242" s="5" t="s">
        <v>9173</v>
      </c>
      <c r="G1242" s="6" t="s">
        <v>14</v>
      </c>
      <c r="H1242" s="4">
        <v>239</v>
      </c>
      <c r="I1242" s="5" t="s">
        <v>38</v>
      </c>
      <c r="J1242" s="5" t="s">
        <v>9174</v>
      </c>
      <c r="K1242" s="5" t="s">
        <v>9038</v>
      </c>
      <c r="L1242" s="5"/>
      <c r="M1242" s="5" t="s">
        <v>573</v>
      </c>
      <c r="N1242" s="5" t="s">
        <v>1258</v>
      </c>
      <c r="O1242" s="5" t="s">
        <v>9028</v>
      </c>
      <c r="P1242" s="5"/>
      <c r="Q1242" s="5" t="s">
        <v>9131</v>
      </c>
    </row>
    <row r="1243" spans="2:17" x14ac:dyDescent="0.2">
      <c r="B1243" s="5" t="s">
        <v>9008</v>
      </c>
      <c r="C1243" s="6" t="s">
        <v>13589</v>
      </c>
      <c r="D1243" s="4">
        <v>664</v>
      </c>
      <c r="E1243" s="5" t="s">
        <v>32</v>
      </c>
      <c r="F1243" s="5" t="s">
        <v>9173</v>
      </c>
      <c r="G1243" s="6" t="s">
        <v>14</v>
      </c>
      <c r="H1243" s="4">
        <v>240</v>
      </c>
      <c r="I1243" s="5" t="s">
        <v>38</v>
      </c>
      <c r="J1243" s="5" t="s">
        <v>9175</v>
      </c>
      <c r="K1243" s="5" t="s">
        <v>9042</v>
      </c>
      <c r="L1243" s="5"/>
      <c r="M1243" s="5" t="s">
        <v>573</v>
      </c>
      <c r="N1243" s="5" t="s">
        <v>1258</v>
      </c>
      <c r="O1243" s="5" t="s">
        <v>9028</v>
      </c>
      <c r="P1243" s="5"/>
      <c r="Q1243" s="5" t="s">
        <v>9176</v>
      </c>
    </row>
    <row r="1244" spans="2:17" x14ac:dyDescent="0.2">
      <c r="B1244" s="5" t="s">
        <v>9008</v>
      </c>
      <c r="C1244" s="6" t="s">
        <v>13589</v>
      </c>
      <c r="D1244" s="4">
        <v>665</v>
      </c>
      <c r="E1244" s="5" t="s">
        <v>32</v>
      </c>
      <c r="F1244" s="5" t="s">
        <v>9154</v>
      </c>
      <c r="G1244" s="6" t="s">
        <v>14</v>
      </c>
      <c r="H1244" s="4">
        <v>241</v>
      </c>
      <c r="I1244" s="5" t="s">
        <v>22</v>
      </c>
      <c r="J1244" s="5" t="s">
        <v>9177</v>
      </c>
      <c r="K1244" s="5" t="s">
        <v>9178</v>
      </c>
      <c r="L1244" s="5"/>
      <c r="M1244" s="5" t="s">
        <v>573</v>
      </c>
      <c r="N1244" s="5" t="s">
        <v>1258</v>
      </c>
      <c r="O1244" s="5" t="s">
        <v>9012</v>
      </c>
      <c r="P1244" s="5"/>
      <c r="Q1244" s="5" t="s">
        <v>9179</v>
      </c>
    </row>
    <row r="1245" spans="2:17" x14ac:dyDescent="0.2">
      <c r="B1245" s="5" t="s">
        <v>9008</v>
      </c>
      <c r="C1245" s="6" t="s">
        <v>13589</v>
      </c>
      <c r="D1245" s="4">
        <v>666</v>
      </c>
      <c r="E1245" s="5" t="s">
        <v>32</v>
      </c>
      <c r="F1245" s="5" t="s">
        <v>9154</v>
      </c>
      <c r="G1245" s="6" t="s">
        <v>14</v>
      </c>
      <c r="H1245" s="4">
        <v>242</v>
      </c>
      <c r="I1245" s="5" t="s">
        <v>22</v>
      </c>
      <c r="J1245" s="5" t="s">
        <v>9180</v>
      </c>
      <c r="K1245" s="5" t="s">
        <v>4980</v>
      </c>
      <c r="L1245" s="5"/>
      <c r="M1245" s="5" t="s">
        <v>573</v>
      </c>
      <c r="N1245" s="5" t="s">
        <v>1258</v>
      </c>
      <c r="O1245" s="5" t="s">
        <v>9010</v>
      </c>
      <c r="P1245" s="5"/>
      <c r="Q1245" s="5" t="s">
        <v>9181</v>
      </c>
    </row>
    <row r="1246" spans="2:17" x14ac:dyDescent="0.2">
      <c r="B1246" s="5" t="s">
        <v>9008</v>
      </c>
      <c r="C1246" s="6" t="s">
        <v>13589</v>
      </c>
      <c r="D1246" s="4">
        <v>667</v>
      </c>
      <c r="E1246" s="5" t="s">
        <v>32</v>
      </c>
      <c r="F1246" s="5" t="s">
        <v>9182</v>
      </c>
      <c r="G1246" s="6" t="s">
        <v>14</v>
      </c>
      <c r="H1246" s="4">
        <v>243</v>
      </c>
      <c r="I1246" s="5" t="s">
        <v>22</v>
      </c>
      <c r="J1246" s="5" t="s">
        <v>9183</v>
      </c>
      <c r="K1246" s="5" t="s">
        <v>9049</v>
      </c>
      <c r="L1246" s="5"/>
      <c r="M1246" s="5" t="s">
        <v>573</v>
      </c>
      <c r="N1246" s="5" t="s">
        <v>1258</v>
      </c>
      <c r="O1246" s="5" t="s">
        <v>9045</v>
      </c>
      <c r="P1246" s="5"/>
      <c r="Q1246" s="5" t="s">
        <v>9184</v>
      </c>
    </row>
    <row r="1247" spans="2:17" x14ac:dyDescent="0.2">
      <c r="B1247" s="5" t="s">
        <v>9008</v>
      </c>
      <c r="C1247" s="6" t="s">
        <v>13589</v>
      </c>
      <c r="D1247" s="4">
        <v>668</v>
      </c>
      <c r="E1247" s="5" t="s">
        <v>32</v>
      </c>
      <c r="F1247" s="5" t="s">
        <v>9185</v>
      </c>
      <c r="G1247" s="6" t="s">
        <v>14</v>
      </c>
      <c r="H1247" s="4">
        <v>244</v>
      </c>
      <c r="I1247" s="5" t="s">
        <v>22</v>
      </c>
      <c r="J1247" s="5" t="s">
        <v>9186</v>
      </c>
      <c r="K1247" s="5" t="s">
        <v>9187</v>
      </c>
      <c r="L1247" s="5"/>
      <c r="M1247" s="5" t="s">
        <v>573</v>
      </c>
      <c r="N1247" s="5" t="s">
        <v>1258</v>
      </c>
      <c r="O1247" s="5" t="s">
        <v>9010</v>
      </c>
      <c r="P1247" s="5"/>
      <c r="Q1247" s="5" t="s">
        <v>9188</v>
      </c>
    </row>
    <row r="1248" spans="2:17" x14ac:dyDescent="0.2">
      <c r="B1248" s="5" t="s">
        <v>9008</v>
      </c>
      <c r="C1248" s="6" t="s">
        <v>13589</v>
      </c>
      <c r="D1248" s="4">
        <v>669</v>
      </c>
      <c r="E1248" s="5" t="s">
        <v>32</v>
      </c>
      <c r="F1248" s="5" t="s">
        <v>9185</v>
      </c>
      <c r="G1248" s="6" t="s">
        <v>14</v>
      </c>
      <c r="H1248" s="4">
        <v>245</v>
      </c>
      <c r="I1248" s="5" t="s">
        <v>22</v>
      </c>
      <c r="J1248" s="5" t="s">
        <v>9189</v>
      </c>
      <c r="K1248" s="5" t="s">
        <v>9190</v>
      </c>
      <c r="L1248" s="5"/>
      <c r="M1248" s="5" t="s">
        <v>573</v>
      </c>
      <c r="N1248" s="5" t="s">
        <v>1258</v>
      </c>
      <c r="O1248" s="5" t="s">
        <v>9045</v>
      </c>
      <c r="P1248" s="5"/>
      <c r="Q1248" s="5" t="s">
        <v>9191</v>
      </c>
    </row>
    <row r="1249" spans="2:17" x14ac:dyDescent="0.2">
      <c r="B1249" s="5" t="s">
        <v>9008</v>
      </c>
      <c r="C1249" s="6" t="s">
        <v>13589</v>
      </c>
      <c r="D1249" s="4">
        <v>673</v>
      </c>
      <c r="E1249" s="5" t="s">
        <v>20</v>
      </c>
      <c r="F1249" s="5" t="s">
        <v>9121</v>
      </c>
      <c r="G1249" s="6" t="s">
        <v>14</v>
      </c>
      <c r="H1249" s="4">
        <v>246</v>
      </c>
      <c r="I1249" s="5" t="s">
        <v>22</v>
      </c>
      <c r="J1249" s="5" t="s">
        <v>9122</v>
      </c>
      <c r="K1249" s="5" t="s">
        <v>9123</v>
      </c>
      <c r="L1249" s="5"/>
      <c r="M1249" s="5" t="s">
        <v>1915</v>
      </c>
      <c r="N1249" s="5" t="s">
        <v>1247</v>
      </c>
      <c r="O1249" s="5" t="s">
        <v>9010</v>
      </c>
      <c r="P1249" s="5"/>
      <c r="Q1249" s="5" t="s">
        <v>9124</v>
      </c>
    </row>
    <row r="1250" spans="2:17" x14ac:dyDescent="0.2">
      <c r="B1250" s="5" t="s">
        <v>9008</v>
      </c>
      <c r="C1250" s="6" t="s">
        <v>13589</v>
      </c>
      <c r="D1250" s="4">
        <v>684</v>
      </c>
      <c r="E1250" s="5" t="s">
        <v>15</v>
      </c>
      <c r="F1250" s="5" t="s">
        <v>9104</v>
      </c>
      <c r="G1250" s="6" t="s">
        <v>14</v>
      </c>
      <c r="H1250" s="4">
        <v>247</v>
      </c>
      <c r="I1250" s="5"/>
      <c r="J1250" s="5" t="s">
        <v>9105</v>
      </c>
      <c r="K1250" s="5" t="s">
        <v>9018</v>
      </c>
      <c r="L1250" s="5"/>
      <c r="M1250" s="5" t="s">
        <v>548</v>
      </c>
      <c r="N1250" s="5" t="s">
        <v>1723</v>
      </c>
      <c r="O1250" s="5" t="s">
        <v>9019</v>
      </c>
      <c r="P1250" s="5"/>
      <c r="Q1250" s="5" t="s">
        <v>9106</v>
      </c>
    </row>
    <row r="1251" spans="2:17" x14ac:dyDescent="0.2">
      <c r="B1251" s="5" t="s">
        <v>9008</v>
      </c>
      <c r="C1251" s="6" t="s">
        <v>13589</v>
      </c>
      <c r="D1251" s="4">
        <v>685</v>
      </c>
      <c r="E1251" s="5" t="s">
        <v>15</v>
      </c>
      <c r="F1251" s="5" t="s">
        <v>9107</v>
      </c>
      <c r="G1251" s="6" t="s">
        <v>14</v>
      </c>
      <c r="H1251" s="4">
        <v>248</v>
      </c>
      <c r="I1251" s="5"/>
      <c r="J1251" s="5" t="s">
        <v>9108</v>
      </c>
      <c r="K1251" s="5" t="s">
        <v>9041</v>
      </c>
      <c r="L1251" s="5"/>
      <c r="M1251" s="5" t="s">
        <v>548</v>
      </c>
      <c r="N1251" s="5" t="s">
        <v>1723</v>
      </c>
      <c r="O1251" s="5" t="s">
        <v>9019</v>
      </c>
      <c r="P1251" s="5"/>
      <c r="Q1251" s="5" t="s">
        <v>9109</v>
      </c>
    </row>
    <row r="1252" spans="2:17" x14ac:dyDescent="0.2">
      <c r="B1252" s="5" t="s">
        <v>9008</v>
      </c>
      <c r="C1252" s="6" t="s">
        <v>13589</v>
      </c>
      <c r="D1252" s="4">
        <v>688</v>
      </c>
      <c r="E1252" s="5" t="s">
        <v>32</v>
      </c>
      <c r="F1252" s="5" t="s">
        <v>9311</v>
      </c>
      <c r="G1252" s="6" t="s">
        <v>14</v>
      </c>
      <c r="H1252" s="4">
        <v>249</v>
      </c>
      <c r="I1252" s="5" t="s">
        <v>22</v>
      </c>
      <c r="J1252" s="5" t="s">
        <v>9312</v>
      </c>
      <c r="K1252" s="5" t="s">
        <v>9014</v>
      </c>
      <c r="L1252" s="5"/>
      <c r="M1252" s="5" t="s">
        <v>400</v>
      </c>
      <c r="N1252" s="5" t="s">
        <v>400</v>
      </c>
      <c r="O1252" s="5" t="s">
        <v>9012</v>
      </c>
      <c r="P1252" s="5"/>
      <c r="Q1252" s="5" t="s">
        <v>9313</v>
      </c>
    </row>
    <row r="1253" spans="2:17" x14ac:dyDescent="0.2">
      <c r="B1253" s="5" t="s">
        <v>9008</v>
      </c>
      <c r="C1253" s="6" t="s">
        <v>13589</v>
      </c>
      <c r="D1253" s="4">
        <v>689</v>
      </c>
      <c r="E1253" s="5" t="s">
        <v>32</v>
      </c>
      <c r="F1253" s="5" t="s">
        <v>9311</v>
      </c>
      <c r="G1253" s="6" t="s">
        <v>14</v>
      </c>
      <c r="H1253" s="4">
        <v>250</v>
      </c>
      <c r="I1253" s="5" t="s">
        <v>22</v>
      </c>
      <c r="J1253" s="5" t="s">
        <v>9314</v>
      </c>
      <c r="K1253" s="5" t="s">
        <v>9166</v>
      </c>
      <c r="L1253" s="5"/>
      <c r="M1253" s="5" t="s">
        <v>400</v>
      </c>
      <c r="N1253" s="5" t="s">
        <v>400</v>
      </c>
      <c r="O1253" s="5" t="s">
        <v>9012</v>
      </c>
      <c r="P1253" s="5"/>
      <c r="Q1253" s="5" t="s">
        <v>9315</v>
      </c>
    </row>
    <row r="1254" spans="2:17" x14ac:dyDescent="0.2">
      <c r="B1254" s="5" t="s">
        <v>9008</v>
      </c>
      <c r="C1254" s="6" t="s">
        <v>13589</v>
      </c>
      <c r="D1254" s="4">
        <v>693</v>
      </c>
      <c r="E1254" s="5" t="s">
        <v>32</v>
      </c>
      <c r="F1254" s="5" t="s">
        <v>9482</v>
      </c>
      <c r="G1254" s="6" t="s">
        <v>14</v>
      </c>
      <c r="H1254" s="4">
        <v>251</v>
      </c>
      <c r="I1254" s="5" t="s">
        <v>22</v>
      </c>
      <c r="J1254" s="5" t="s">
        <v>9483</v>
      </c>
      <c r="K1254" s="5" t="s">
        <v>9484</v>
      </c>
      <c r="L1254" s="5"/>
      <c r="M1254" s="5" t="s">
        <v>9480</v>
      </c>
      <c r="N1254" s="5" t="s">
        <v>3438</v>
      </c>
      <c r="O1254" s="5" t="s">
        <v>9028</v>
      </c>
      <c r="P1254" s="5"/>
      <c r="Q1254" s="5" t="s">
        <v>9485</v>
      </c>
    </row>
    <row r="1255" spans="2:17" x14ac:dyDescent="0.2">
      <c r="B1255" s="5" t="s">
        <v>9008</v>
      </c>
      <c r="C1255" s="6" t="s">
        <v>13589</v>
      </c>
      <c r="D1255" s="4">
        <v>695</v>
      </c>
      <c r="E1255" s="5" t="s">
        <v>15</v>
      </c>
      <c r="F1255" s="5" t="s">
        <v>9466</v>
      </c>
      <c r="G1255" s="6" t="s">
        <v>14</v>
      </c>
      <c r="H1255" s="4">
        <v>252</v>
      </c>
      <c r="I1255" s="5"/>
      <c r="J1255" s="5" t="s">
        <v>9467</v>
      </c>
      <c r="K1255" s="5" t="s">
        <v>9468</v>
      </c>
      <c r="L1255" s="5"/>
      <c r="M1255" s="5" t="s">
        <v>5234</v>
      </c>
      <c r="N1255" s="5" t="s">
        <v>3438</v>
      </c>
      <c r="O1255" s="5" t="s">
        <v>9016</v>
      </c>
      <c r="P1255" s="5"/>
      <c r="Q1255" s="5" t="s">
        <v>9469</v>
      </c>
    </row>
    <row r="1256" spans="2:17" x14ac:dyDescent="0.2">
      <c r="B1256" s="5" t="s">
        <v>9008</v>
      </c>
      <c r="C1256" s="6" t="s">
        <v>13589</v>
      </c>
      <c r="D1256" s="4">
        <v>699</v>
      </c>
      <c r="E1256" s="5" t="s">
        <v>24</v>
      </c>
      <c r="F1256" s="5" t="s">
        <v>9062</v>
      </c>
      <c r="G1256" s="6" t="s">
        <v>14</v>
      </c>
      <c r="H1256" s="4">
        <v>253</v>
      </c>
      <c r="I1256" s="5"/>
      <c r="J1256" s="5" t="s">
        <v>9089</v>
      </c>
      <c r="K1256" s="5" t="s">
        <v>9031</v>
      </c>
      <c r="L1256" s="5"/>
      <c r="M1256" s="5" t="s">
        <v>1207</v>
      </c>
      <c r="N1256" s="5" t="s">
        <v>1201</v>
      </c>
      <c r="O1256" s="5" t="s">
        <v>9019</v>
      </c>
      <c r="P1256" s="5"/>
      <c r="Q1256" s="5" t="s">
        <v>9090</v>
      </c>
    </row>
    <row r="1257" spans="2:17" x14ac:dyDescent="0.2">
      <c r="B1257" s="5" t="s">
        <v>9008</v>
      </c>
      <c r="C1257" s="6" t="s">
        <v>13589</v>
      </c>
      <c r="D1257" s="4">
        <v>700</v>
      </c>
      <c r="E1257" s="5" t="s">
        <v>24</v>
      </c>
      <c r="F1257" s="5" t="s">
        <v>9062</v>
      </c>
      <c r="G1257" s="6" t="s">
        <v>14</v>
      </c>
      <c r="H1257" s="4">
        <v>254</v>
      </c>
      <c r="I1257" s="5"/>
      <c r="J1257" s="5" t="s">
        <v>9091</v>
      </c>
      <c r="K1257" s="5" t="s">
        <v>9032</v>
      </c>
      <c r="L1257" s="5"/>
      <c r="M1257" s="5" t="s">
        <v>1207</v>
      </c>
      <c r="N1257" s="5" t="s">
        <v>1208</v>
      </c>
      <c r="O1257" s="5" t="s">
        <v>9019</v>
      </c>
      <c r="P1257" s="5"/>
      <c r="Q1257" s="5" t="s">
        <v>9092</v>
      </c>
    </row>
    <row r="1258" spans="2:17" x14ac:dyDescent="0.2">
      <c r="B1258" s="5" t="s">
        <v>9008</v>
      </c>
      <c r="C1258" s="6" t="s">
        <v>13589</v>
      </c>
      <c r="D1258" s="4">
        <v>701</v>
      </c>
      <c r="E1258" s="5" t="s">
        <v>24</v>
      </c>
      <c r="F1258" s="5" t="s">
        <v>9062</v>
      </c>
      <c r="G1258" s="6" t="s">
        <v>14</v>
      </c>
      <c r="H1258" s="4">
        <v>255</v>
      </c>
      <c r="I1258" s="5"/>
      <c r="J1258" s="5" t="s">
        <v>9033</v>
      </c>
      <c r="K1258" s="5" t="s">
        <v>9034</v>
      </c>
      <c r="L1258" s="5"/>
      <c r="M1258" s="5" t="s">
        <v>1207</v>
      </c>
      <c r="N1258" s="5" t="s">
        <v>1208</v>
      </c>
      <c r="O1258" s="5" t="s">
        <v>9019</v>
      </c>
      <c r="P1258" s="5"/>
      <c r="Q1258" s="5" t="s">
        <v>9093</v>
      </c>
    </row>
    <row r="1259" spans="2:17" x14ac:dyDescent="0.2">
      <c r="B1259" s="5" t="s">
        <v>9008</v>
      </c>
      <c r="C1259" s="6" t="s">
        <v>13589</v>
      </c>
      <c r="D1259" s="4">
        <v>702</v>
      </c>
      <c r="E1259" s="5" t="s">
        <v>24</v>
      </c>
      <c r="F1259" s="5" t="s">
        <v>9062</v>
      </c>
      <c r="G1259" s="6" t="s">
        <v>14</v>
      </c>
      <c r="H1259" s="4">
        <v>256</v>
      </c>
      <c r="I1259" s="5"/>
      <c r="J1259" s="5" t="s">
        <v>9094</v>
      </c>
      <c r="K1259" s="5" t="s">
        <v>9037</v>
      </c>
      <c r="L1259" s="5"/>
      <c r="M1259" s="5" t="s">
        <v>1207</v>
      </c>
      <c r="N1259" s="5" t="s">
        <v>1208</v>
      </c>
      <c r="O1259" s="5" t="s">
        <v>9019</v>
      </c>
      <c r="P1259" s="5"/>
      <c r="Q1259" s="5" t="s">
        <v>9095</v>
      </c>
    </row>
    <row r="1260" spans="2:17" x14ac:dyDescent="0.2">
      <c r="B1260" s="5" t="s">
        <v>9008</v>
      </c>
      <c r="C1260" s="6" t="s">
        <v>13589</v>
      </c>
      <c r="D1260" s="4">
        <v>703</v>
      </c>
      <c r="E1260" s="5" t="s">
        <v>82</v>
      </c>
      <c r="F1260" s="5" t="s">
        <v>9062</v>
      </c>
      <c r="G1260" s="6" t="s">
        <v>14</v>
      </c>
      <c r="H1260" s="4">
        <v>257</v>
      </c>
      <c r="I1260" s="5"/>
      <c r="J1260" s="5" t="s">
        <v>9096</v>
      </c>
      <c r="K1260" s="5" t="s">
        <v>9097</v>
      </c>
      <c r="L1260" s="5"/>
      <c r="M1260" s="5" t="s">
        <v>1207</v>
      </c>
      <c r="N1260" s="5" t="s">
        <v>1208</v>
      </c>
      <c r="O1260" s="5" t="s">
        <v>9019</v>
      </c>
      <c r="P1260" s="5"/>
      <c r="Q1260" s="5" t="s">
        <v>9098</v>
      </c>
    </row>
    <row r="1261" spans="2:17" x14ac:dyDescent="0.2">
      <c r="B1261" s="5" t="s">
        <v>9008</v>
      </c>
      <c r="C1261" s="6" t="s">
        <v>13589</v>
      </c>
      <c r="D1261" s="4">
        <v>704</v>
      </c>
      <c r="E1261" s="5" t="s">
        <v>20</v>
      </c>
      <c r="F1261" s="5" t="s">
        <v>9062</v>
      </c>
      <c r="G1261" s="6" t="s">
        <v>14</v>
      </c>
      <c r="H1261" s="4">
        <v>258</v>
      </c>
      <c r="I1261" s="5" t="s">
        <v>38</v>
      </c>
      <c r="J1261" s="5" t="s">
        <v>9065</v>
      </c>
      <c r="K1261" s="5" t="s">
        <v>9066</v>
      </c>
      <c r="L1261" s="5"/>
      <c r="M1261" s="5" t="s">
        <v>1207</v>
      </c>
      <c r="N1261" s="5" t="s">
        <v>1208</v>
      </c>
      <c r="O1261" s="5" t="s">
        <v>9019</v>
      </c>
      <c r="P1261" s="5"/>
      <c r="Q1261" s="5" t="s">
        <v>9067</v>
      </c>
    </row>
    <row r="1262" spans="2:17" x14ac:dyDescent="0.2">
      <c r="B1262" s="5" t="s">
        <v>9008</v>
      </c>
      <c r="C1262" s="6" t="s">
        <v>13589</v>
      </c>
      <c r="D1262" s="4">
        <v>705</v>
      </c>
      <c r="E1262" s="5" t="s">
        <v>20</v>
      </c>
      <c r="F1262" s="5" t="s">
        <v>9062</v>
      </c>
      <c r="G1262" s="6" t="s">
        <v>14</v>
      </c>
      <c r="H1262" s="4">
        <v>259</v>
      </c>
      <c r="I1262" s="5" t="s">
        <v>38</v>
      </c>
      <c r="J1262" s="5" t="s">
        <v>9068</v>
      </c>
      <c r="K1262" s="5" t="s">
        <v>9069</v>
      </c>
      <c r="L1262" s="5"/>
      <c r="M1262" s="5" t="s">
        <v>1207</v>
      </c>
      <c r="N1262" s="5" t="s">
        <v>1208</v>
      </c>
      <c r="O1262" s="5" t="s">
        <v>9019</v>
      </c>
      <c r="P1262" s="5"/>
      <c r="Q1262" s="5" t="s">
        <v>9070</v>
      </c>
    </row>
    <row r="1263" spans="2:17" x14ac:dyDescent="0.2">
      <c r="B1263" s="5" t="s">
        <v>9008</v>
      </c>
      <c r="C1263" s="6" t="s">
        <v>13589</v>
      </c>
      <c r="D1263" s="4">
        <v>706</v>
      </c>
      <c r="E1263" s="5" t="s">
        <v>20</v>
      </c>
      <c r="F1263" s="5" t="s">
        <v>9062</v>
      </c>
      <c r="G1263" s="6" t="s">
        <v>14</v>
      </c>
      <c r="H1263" s="4">
        <v>260</v>
      </c>
      <c r="I1263" s="5" t="s">
        <v>38</v>
      </c>
      <c r="J1263" s="5" t="s">
        <v>9071</v>
      </c>
      <c r="K1263" s="5" t="s">
        <v>9072</v>
      </c>
      <c r="L1263" s="5"/>
      <c r="M1263" s="5" t="s">
        <v>1207</v>
      </c>
      <c r="N1263" s="5" t="s">
        <v>1208</v>
      </c>
      <c r="O1263" s="5" t="s">
        <v>9019</v>
      </c>
      <c r="P1263" s="5"/>
      <c r="Q1263" s="5" t="s">
        <v>9073</v>
      </c>
    </row>
    <row r="1264" spans="2:17" x14ac:dyDescent="0.2">
      <c r="B1264" s="5" t="s">
        <v>9008</v>
      </c>
      <c r="C1264" s="6" t="s">
        <v>13589</v>
      </c>
      <c r="D1264" s="4">
        <v>707</v>
      </c>
      <c r="E1264" s="5" t="s">
        <v>20</v>
      </c>
      <c r="F1264" s="5" t="s">
        <v>9062</v>
      </c>
      <c r="G1264" s="6" t="s">
        <v>14</v>
      </c>
      <c r="H1264" s="4">
        <v>261</v>
      </c>
      <c r="I1264" s="5" t="s">
        <v>38</v>
      </c>
      <c r="J1264" s="5" t="s">
        <v>9074</v>
      </c>
      <c r="K1264" s="5" t="s">
        <v>9044</v>
      </c>
      <c r="L1264" s="5"/>
      <c r="M1264" s="5" t="s">
        <v>1207</v>
      </c>
      <c r="N1264" s="5" t="s">
        <v>1208</v>
      </c>
      <c r="O1264" s="5" t="s">
        <v>9019</v>
      </c>
      <c r="P1264" s="5"/>
      <c r="Q1264" s="5" t="s">
        <v>9075</v>
      </c>
    </row>
    <row r="1265" spans="2:17" x14ac:dyDescent="0.2">
      <c r="B1265" s="5" t="s">
        <v>9008</v>
      </c>
      <c r="C1265" s="6" t="s">
        <v>13589</v>
      </c>
      <c r="D1265" s="4">
        <v>708</v>
      </c>
      <c r="E1265" s="5" t="s">
        <v>15</v>
      </c>
      <c r="F1265" s="5" t="s">
        <v>9062</v>
      </c>
      <c r="G1265" s="6" t="s">
        <v>14</v>
      </c>
      <c r="H1265" s="4">
        <v>262</v>
      </c>
      <c r="I1265" s="5"/>
      <c r="J1265" s="5" t="s">
        <v>9087</v>
      </c>
      <c r="K1265" s="5" t="s">
        <v>9018</v>
      </c>
      <c r="L1265" s="5"/>
      <c r="M1265" s="5" t="s">
        <v>1207</v>
      </c>
      <c r="N1265" s="5" t="s">
        <v>1208</v>
      </c>
      <c r="O1265" s="5" t="s">
        <v>9019</v>
      </c>
      <c r="P1265" s="5"/>
      <c r="Q1265" s="5" t="s">
        <v>9088</v>
      </c>
    </row>
    <row r="1266" spans="2:17" x14ac:dyDescent="0.2">
      <c r="B1266" s="5" t="s">
        <v>9008</v>
      </c>
      <c r="C1266" s="6" t="s">
        <v>13589</v>
      </c>
      <c r="D1266" s="4">
        <v>709</v>
      </c>
      <c r="E1266" s="5" t="s">
        <v>32</v>
      </c>
      <c r="F1266" s="5" t="s">
        <v>9076</v>
      </c>
      <c r="G1266" s="6" t="s">
        <v>14</v>
      </c>
      <c r="H1266" s="4">
        <v>263</v>
      </c>
      <c r="I1266" s="5" t="s">
        <v>38</v>
      </c>
      <c r="J1266" s="5" t="s">
        <v>9077</v>
      </c>
      <c r="K1266" s="5" t="s">
        <v>9078</v>
      </c>
      <c r="L1266" s="5"/>
      <c r="M1266" s="5" t="s">
        <v>1207</v>
      </c>
      <c r="N1266" s="5" t="s">
        <v>1208</v>
      </c>
      <c r="O1266" s="5" t="s">
        <v>9045</v>
      </c>
      <c r="P1266" s="5"/>
      <c r="Q1266" s="5" t="s">
        <v>9079</v>
      </c>
    </row>
    <row r="1267" spans="2:17" x14ac:dyDescent="0.2">
      <c r="B1267" s="5" t="s">
        <v>9008</v>
      </c>
      <c r="C1267" s="6" t="s">
        <v>13589</v>
      </c>
      <c r="D1267" s="4">
        <v>711</v>
      </c>
      <c r="E1267" s="5" t="s">
        <v>15</v>
      </c>
      <c r="F1267" s="5" t="s">
        <v>9080</v>
      </c>
      <c r="G1267" s="6" t="s">
        <v>14</v>
      </c>
      <c r="H1267" s="4">
        <v>264</v>
      </c>
      <c r="I1267" s="5"/>
      <c r="J1267" s="5" t="s">
        <v>9081</v>
      </c>
      <c r="K1267" s="5" t="s">
        <v>9082</v>
      </c>
      <c r="L1267" s="5"/>
      <c r="M1267" s="5" t="s">
        <v>1207</v>
      </c>
      <c r="N1267" s="5" t="s">
        <v>1208</v>
      </c>
      <c r="O1267" s="5" t="s">
        <v>9019</v>
      </c>
      <c r="P1267" s="5"/>
      <c r="Q1267" s="5" t="s">
        <v>9083</v>
      </c>
    </row>
    <row r="1268" spans="2:17" x14ac:dyDescent="0.2">
      <c r="B1268" s="5" t="s">
        <v>9008</v>
      </c>
      <c r="C1268" s="6" t="s">
        <v>13589</v>
      </c>
      <c r="D1268" s="4">
        <v>712</v>
      </c>
      <c r="E1268" s="5" t="s">
        <v>15</v>
      </c>
      <c r="F1268" s="5" t="s">
        <v>9062</v>
      </c>
      <c r="G1268" s="6" t="s">
        <v>14</v>
      </c>
      <c r="H1268" s="4">
        <v>265</v>
      </c>
      <c r="I1268" s="5"/>
      <c r="J1268" s="5" t="s">
        <v>9084</v>
      </c>
      <c r="K1268" s="5" t="s">
        <v>9085</v>
      </c>
      <c r="L1268" s="5"/>
      <c r="M1268" s="5" t="s">
        <v>1207</v>
      </c>
      <c r="N1268" s="5" t="s">
        <v>1208</v>
      </c>
      <c r="O1268" s="5" t="s">
        <v>9019</v>
      </c>
      <c r="P1268" s="5"/>
      <c r="Q1268" s="5" t="s">
        <v>9086</v>
      </c>
    </row>
    <row r="1269" spans="2:17" x14ac:dyDescent="0.2">
      <c r="B1269" s="5" t="s">
        <v>9008</v>
      </c>
      <c r="C1269" s="6" t="s">
        <v>13589</v>
      </c>
      <c r="D1269" s="4">
        <v>713</v>
      </c>
      <c r="E1269" s="5" t="s">
        <v>20</v>
      </c>
      <c r="F1269" s="5" t="s">
        <v>9062</v>
      </c>
      <c r="G1269" s="6" t="s">
        <v>14</v>
      </c>
      <c r="H1269" s="4">
        <v>266</v>
      </c>
      <c r="I1269" s="5" t="s">
        <v>22</v>
      </c>
      <c r="J1269" s="5" t="s">
        <v>9063</v>
      </c>
      <c r="K1269" s="5" t="s">
        <v>4978</v>
      </c>
      <c r="L1269" s="5"/>
      <c r="M1269" s="5" t="s">
        <v>1207</v>
      </c>
      <c r="N1269" s="5" t="s">
        <v>1208</v>
      </c>
      <c r="O1269" s="5" t="s">
        <v>9030</v>
      </c>
      <c r="P1269" s="5"/>
      <c r="Q1269" s="5" t="s">
        <v>9064</v>
      </c>
    </row>
    <row r="1270" spans="2:17" x14ac:dyDescent="0.2">
      <c r="B1270" s="5" t="s">
        <v>9008</v>
      </c>
      <c r="C1270" s="6" t="s">
        <v>13589</v>
      </c>
      <c r="D1270" s="4">
        <v>717</v>
      </c>
      <c r="E1270" s="5" t="s">
        <v>20</v>
      </c>
      <c r="F1270" s="5" t="s">
        <v>9532</v>
      </c>
      <c r="G1270" s="6" t="s">
        <v>14</v>
      </c>
      <c r="H1270" s="4">
        <v>267</v>
      </c>
      <c r="I1270" s="5" t="s">
        <v>22</v>
      </c>
      <c r="J1270" s="5" t="s">
        <v>9533</v>
      </c>
      <c r="K1270" s="5" t="s">
        <v>9049</v>
      </c>
      <c r="L1270" s="5"/>
      <c r="M1270" s="5" t="s">
        <v>1122</v>
      </c>
      <c r="N1270" s="5" t="s">
        <v>1142</v>
      </c>
      <c r="O1270" s="5" t="s">
        <v>9045</v>
      </c>
      <c r="P1270" s="5"/>
      <c r="Q1270" s="5" t="s">
        <v>9534</v>
      </c>
    </row>
    <row r="1271" spans="2:17" x14ac:dyDescent="0.2">
      <c r="B1271" s="5" t="s">
        <v>9008</v>
      </c>
      <c r="C1271" s="6" t="s">
        <v>13589</v>
      </c>
      <c r="D1271" s="4">
        <v>720</v>
      </c>
      <c r="E1271" s="5" t="s">
        <v>15</v>
      </c>
      <c r="F1271" s="5" t="s">
        <v>9053</v>
      </c>
      <c r="G1271" s="6" t="s">
        <v>14</v>
      </c>
      <c r="H1271" s="4">
        <v>268</v>
      </c>
      <c r="I1271" s="5"/>
      <c r="J1271" s="5" t="s">
        <v>9054</v>
      </c>
      <c r="K1271" s="5" t="s">
        <v>9055</v>
      </c>
      <c r="L1271" s="5"/>
      <c r="M1271" s="5" t="s">
        <v>3997</v>
      </c>
      <c r="N1271" s="5" t="s">
        <v>3998</v>
      </c>
      <c r="O1271" s="5" t="s">
        <v>9020</v>
      </c>
      <c r="P1271" s="5"/>
      <c r="Q1271" s="5" t="s">
        <v>9056</v>
      </c>
    </row>
    <row r="1272" spans="2:17" x14ac:dyDescent="0.2">
      <c r="B1272" s="5" t="s">
        <v>9008</v>
      </c>
      <c r="C1272" s="6" t="s">
        <v>13589</v>
      </c>
      <c r="D1272" s="4">
        <v>721</v>
      </c>
      <c r="E1272" s="5" t="s">
        <v>15</v>
      </c>
      <c r="F1272" s="5" t="s">
        <v>9053</v>
      </c>
      <c r="G1272" s="6" t="s">
        <v>14</v>
      </c>
      <c r="H1272" s="4">
        <v>269</v>
      </c>
      <c r="I1272" s="5"/>
      <c r="J1272" s="5" t="s">
        <v>9057</v>
      </c>
      <c r="K1272" s="5" t="s">
        <v>9058</v>
      </c>
      <c r="L1272" s="5"/>
      <c r="M1272" s="5" t="s">
        <v>3997</v>
      </c>
      <c r="N1272" s="5" t="s">
        <v>3998</v>
      </c>
      <c r="O1272" s="5" t="s">
        <v>9020</v>
      </c>
      <c r="P1272" s="5"/>
      <c r="Q1272" s="5" t="s">
        <v>9059</v>
      </c>
    </row>
    <row r="1273" spans="2:17" x14ac:dyDescent="0.2">
      <c r="B1273" s="5" t="s">
        <v>9008</v>
      </c>
      <c r="C1273" s="6" t="s">
        <v>13589</v>
      </c>
      <c r="D1273" s="4">
        <v>722</v>
      </c>
      <c r="E1273" s="5" t="s">
        <v>15</v>
      </c>
      <c r="F1273" s="5" t="s">
        <v>9537</v>
      </c>
      <c r="G1273" s="6" t="s">
        <v>14</v>
      </c>
      <c r="H1273" s="4">
        <v>270</v>
      </c>
      <c r="I1273" s="5"/>
      <c r="J1273" s="5" t="s">
        <v>9538</v>
      </c>
      <c r="K1273" s="5" t="s">
        <v>9018</v>
      </c>
      <c r="L1273" s="5"/>
      <c r="M1273" s="5" t="s">
        <v>1122</v>
      </c>
      <c r="N1273" s="5" t="s">
        <v>1150</v>
      </c>
      <c r="O1273" s="5" t="s">
        <v>9019</v>
      </c>
      <c r="P1273" s="5"/>
      <c r="Q1273" s="5" t="s">
        <v>9539</v>
      </c>
    </row>
    <row r="1274" spans="2:17" x14ac:dyDescent="0.2">
      <c r="B1274" s="5" t="s">
        <v>9008</v>
      </c>
      <c r="C1274" s="6" t="s">
        <v>13589</v>
      </c>
      <c r="D1274" s="4">
        <v>723</v>
      </c>
      <c r="E1274" s="5" t="s">
        <v>15</v>
      </c>
      <c r="F1274" s="5" t="s">
        <v>9540</v>
      </c>
      <c r="G1274" s="6" t="s">
        <v>14</v>
      </c>
      <c r="H1274" s="4">
        <v>271</v>
      </c>
      <c r="I1274" s="5"/>
      <c r="J1274" s="5" t="s">
        <v>9541</v>
      </c>
      <c r="K1274" s="5" t="s">
        <v>9041</v>
      </c>
      <c r="L1274" s="5"/>
      <c r="M1274" s="5" t="s">
        <v>1122</v>
      </c>
      <c r="N1274" s="5" t="s">
        <v>1150</v>
      </c>
      <c r="O1274" s="5" t="s">
        <v>9019</v>
      </c>
      <c r="P1274" s="5"/>
      <c r="Q1274" s="5" t="s">
        <v>9542</v>
      </c>
    </row>
    <row r="1275" spans="2:17" x14ac:dyDescent="0.2">
      <c r="B1275" s="5" t="s">
        <v>9008</v>
      </c>
      <c r="C1275" s="6" t="s">
        <v>13589</v>
      </c>
      <c r="D1275" s="4">
        <v>724</v>
      </c>
      <c r="E1275" s="5" t="s">
        <v>32</v>
      </c>
      <c r="F1275" s="5" t="s">
        <v>89</v>
      </c>
      <c r="G1275" s="6" t="s">
        <v>14</v>
      </c>
      <c r="H1275" s="4">
        <v>272</v>
      </c>
      <c r="I1275" s="5" t="s">
        <v>22</v>
      </c>
      <c r="J1275" s="5" t="s">
        <v>9535</v>
      </c>
      <c r="K1275" s="5" t="s">
        <v>9017</v>
      </c>
      <c r="L1275" s="5"/>
      <c r="M1275" s="5" t="s">
        <v>1122</v>
      </c>
      <c r="N1275" s="5" t="s">
        <v>1902</v>
      </c>
      <c r="O1275" s="5" t="s">
        <v>9012</v>
      </c>
      <c r="P1275" s="5"/>
      <c r="Q1275" s="5" t="s">
        <v>9536</v>
      </c>
    </row>
    <row r="1276" spans="2:17" x14ac:dyDescent="0.2">
      <c r="B1276" s="5" t="s">
        <v>9008</v>
      </c>
      <c r="C1276" s="6" t="s">
        <v>13589</v>
      </c>
      <c r="D1276" s="4">
        <v>729</v>
      </c>
      <c r="E1276" s="5" t="s">
        <v>20</v>
      </c>
      <c r="F1276" s="5" t="s">
        <v>9449</v>
      </c>
      <c r="G1276" s="6" t="s">
        <v>14</v>
      </c>
      <c r="H1276" s="4">
        <v>273</v>
      </c>
      <c r="I1276" s="5" t="s">
        <v>22</v>
      </c>
      <c r="J1276" s="5" t="s">
        <v>9450</v>
      </c>
      <c r="K1276" s="5" t="s">
        <v>4976</v>
      </c>
      <c r="L1276" s="5"/>
      <c r="M1276" s="5" t="s">
        <v>3422</v>
      </c>
      <c r="N1276" s="5" t="s">
        <v>484</v>
      </c>
      <c r="O1276" s="5" t="s">
        <v>9016</v>
      </c>
      <c r="P1276" s="5"/>
      <c r="Q1276" s="5" t="s">
        <v>9451</v>
      </c>
    </row>
    <row r="1277" spans="2:17" x14ac:dyDescent="0.2">
      <c r="B1277" s="5" t="s">
        <v>9008</v>
      </c>
      <c r="C1277" s="6" t="s">
        <v>13589</v>
      </c>
      <c r="D1277" s="4">
        <v>730</v>
      </c>
      <c r="E1277" s="5" t="s">
        <v>15</v>
      </c>
      <c r="F1277" s="5" t="s">
        <v>9452</v>
      </c>
      <c r="G1277" s="6" t="s">
        <v>14</v>
      </c>
      <c r="H1277" s="4">
        <v>274</v>
      </c>
      <c r="I1277" s="5"/>
      <c r="J1277" s="5" t="s">
        <v>9453</v>
      </c>
      <c r="K1277" s="5" t="s">
        <v>9454</v>
      </c>
      <c r="L1277" s="5"/>
      <c r="M1277" s="5" t="s">
        <v>3422</v>
      </c>
      <c r="N1277" s="5" t="s">
        <v>484</v>
      </c>
      <c r="O1277" s="5" t="s">
        <v>9016</v>
      </c>
      <c r="P1277" s="5"/>
      <c r="Q1277" s="5" t="s">
        <v>9455</v>
      </c>
    </row>
    <row r="1278" spans="2:17" x14ac:dyDescent="0.2">
      <c r="B1278" s="5" t="s">
        <v>9008</v>
      </c>
      <c r="C1278" s="6" t="s">
        <v>13589</v>
      </c>
      <c r="D1278" s="4">
        <v>733</v>
      </c>
      <c r="E1278" s="5" t="s">
        <v>15</v>
      </c>
      <c r="F1278" s="5" t="s">
        <v>9296</v>
      </c>
      <c r="G1278" s="6" t="s">
        <v>14</v>
      </c>
      <c r="H1278" s="4">
        <v>275</v>
      </c>
      <c r="I1278" s="5"/>
      <c r="J1278" s="5" t="s">
        <v>9297</v>
      </c>
      <c r="K1278" s="5" t="s">
        <v>9055</v>
      </c>
      <c r="L1278" s="5"/>
      <c r="M1278" s="5" t="s">
        <v>359</v>
      </c>
      <c r="N1278" s="5" t="s">
        <v>359</v>
      </c>
      <c r="O1278" s="5" t="s">
        <v>9020</v>
      </c>
      <c r="P1278" s="5"/>
      <c r="Q1278" s="5" t="s">
        <v>9298</v>
      </c>
    </row>
    <row r="1279" spans="2:17" x14ac:dyDescent="0.2">
      <c r="B1279" s="5" t="s">
        <v>9008</v>
      </c>
      <c r="C1279" s="6" t="s">
        <v>13589</v>
      </c>
      <c r="D1279" s="4">
        <v>735</v>
      </c>
      <c r="E1279" s="5" t="s">
        <v>15</v>
      </c>
      <c r="F1279" s="5" t="s">
        <v>9293</v>
      </c>
      <c r="G1279" s="6" t="s">
        <v>14</v>
      </c>
      <c r="H1279" s="4">
        <v>276</v>
      </c>
      <c r="I1279" s="5"/>
      <c r="J1279" s="5" t="s">
        <v>9294</v>
      </c>
      <c r="K1279" s="5" t="s">
        <v>9046</v>
      </c>
      <c r="L1279" s="5"/>
      <c r="M1279" s="5" t="s">
        <v>359</v>
      </c>
      <c r="N1279" s="5" t="s">
        <v>351</v>
      </c>
      <c r="O1279" s="5" t="s">
        <v>9020</v>
      </c>
      <c r="P1279" s="5"/>
      <c r="Q1279" s="5" t="s">
        <v>9295</v>
      </c>
    </row>
    <row r="1280" spans="2:17" x14ac:dyDescent="0.2">
      <c r="B1280" s="5" t="s">
        <v>9008</v>
      </c>
      <c r="C1280" s="6" t="s">
        <v>13589</v>
      </c>
      <c r="D1280" s="4">
        <v>737</v>
      </c>
      <c r="E1280" s="5" t="s">
        <v>15</v>
      </c>
      <c r="F1280" s="5" t="s">
        <v>9436</v>
      </c>
      <c r="G1280" s="6" t="s">
        <v>14</v>
      </c>
      <c r="H1280" s="4">
        <v>277</v>
      </c>
      <c r="I1280" s="5"/>
      <c r="J1280" s="5" t="s">
        <v>9437</v>
      </c>
      <c r="K1280" s="5" t="s">
        <v>4975</v>
      </c>
      <c r="L1280" s="5"/>
      <c r="M1280" s="5" t="s">
        <v>2219</v>
      </c>
      <c r="N1280" s="5" t="s">
        <v>2219</v>
      </c>
      <c r="O1280" s="5" t="s">
        <v>9012</v>
      </c>
      <c r="P1280" s="5"/>
      <c r="Q1280" s="5" t="s">
        <v>9438</v>
      </c>
    </row>
    <row r="1281" spans="2:17" x14ac:dyDescent="0.2">
      <c r="B1281" s="5" t="s">
        <v>9008</v>
      </c>
      <c r="C1281" s="6" t="s">
        <v>13589</v>
      </c>
      <c r="D1281" s="4">
        <v>738</v>
      </c>
      <c r="E1281" s="5" t="s">
        <v>15</v>
      </c>
      <c r="F1281" s="5" t="s">
        <v>9439</v>
      </c>
      <c r="G1281" s="6" t="s">
        <v>14</v>
      </c>
      <c r="H1281" s="4">
        <v>278</v>
      </c>
      <c r="I1281" s="5"/>
      <c r="J1281" s="5" t="s">
        <v>9440</v>
      </c>
      <c r="K1281" s="5" t="s">
        <v>9225</v>
      </c>
      <c r="L1281" s="5"/>
      <c r="M1281" s="5" t="s">
        <v>2219</v>
      </c>
      <c r="N1281" s="5" t="s">
        <v>2219</v>
      </c>
      <c r="O1281" s="5" t="s">
        <v>9012</v>
      </c>
      <c r="P1281" s="5"/>
      <c r="Q1281" s="5" t="s">
        <v>9441</v>
      </c>
    </row>
    <row r="1282" spans="2:17" x14ac:dyDescent="0.2">
      <c r="B1282" s="5" t="s">
        <v>9008</v>
      </c>
      <c r="C1282" s="6" t="s">
        <v>13589</v>
      </c>
      <c r="D1282" s="4">
        <v>739</v>
      </c>
      <c r="E1282" s="5" t="s">
        <v>15</v>
      </c>
      <c r="F1282" s="5" t="s">
        <v>9439</v>
      </c>
      <c r="G1282" s="6" t="s">
        <v>14</v>
      </c>
      <c r="H1282" s="4">
        <v>279</v>
      </c>
      <c r="I1282" s="5"/>
      <c r="J1282" s="5" t="s">
        <v>9442</v>
      </c>
      <c r="K1282" s="5" t="s">
        <v>4980</v>
      </c>
      <c r="L1282" s="5"/>
      <c r="M1282" s="5" t="s">
        <v>2219</v>
      </c>
      <c r="N1282" s="5" t="s">
        <v>2219</v>
      </c>
      <c r="O1282" s="5" t="s">
        <v>9010</v>
      </c>
      <c r="P1282" s="5"/>
      <c r="Q1282" s="5" t="s">
        <v>9443</v>
      </c>
    </row>
    <row r="1283" spans="2:17" x14ac:dyDescent="0.2">
      <c r="B1283" s="5" t="s">
        <v>9008</v>
      </c>
      <c r="C1283" s="6" t="s">
        <v>13589</v>
      </c>
      <c r="D1283" s="4">
        <v>740</v>
      </c>
      <c r="E1283" s="5" t="s">
        <v>15</v>
      </c>
      <c r="F1283" s="5" t="s">
        <v>9439</v>
      </c>
      <c r="G1283" s="6" t="s">
        <v>14</v>
      </c>
      <c r="H1283" s="4">
        <v>280</v>
      </c>
      <c r="I1283" s="5"/>
      <c r="J1283" s="5" t="s">
        <v>9444</v>
      </c>
      <c r="K1283" s="5" t="s">
        <v>9043</v>
      </c>
      <c r="L1283" s="5"/>
      <c r="M1283" s="5" t="s">
        <v>2219</v>
      </c>
      <c r="N1283" s="5" t="s">
        <v>2219</v>
      </c>
      <c r="O1283" s="5" t="s">
        <v>9016</v>
      </c>
      <c r="P1283" s="5"/>
      <c r="Q1283" s="5" t="s">
        <v>9445</v>
      </c>
    </row>
    <row r="1284" spans="2:17" x14ac:dyDescent="0.2">
      <c r="B1284" s="5" t="s">
        <v>9550</v>
      </c>
      <c r="C1284" s="6" t="s">
        <v>13589</v>
      </c>
      <c r="D1284" s="4">
        <v>741</v>
      </c>
      <c r="E1284" s="5" t="s">
        <v>15</v>
      </c>
      <c r="F1284" s="5" t="s">
        <v>10102</v>
      </c>
      <c r="G1284" s="6" t="s">
        <v>14</v>
      </c>
      <c r="H1284" s="4">
        <v>281</v>
      </c>
      <c r="I1284" s="5"/>
      <c r="J1284" s="5" t="s">
        <v>10103</v>
      </c>
      <c r="K1284" s="5" t="s">
        <v>9578</v>
      </c>
      <c r="L1284" s="5"/>
      <c r="M1284" s="5" t="s">
        <v>5659</v>
      </c>
      <c r="N1284" s="5" t="s">
        <v>3779</v>
      </c>
      <c r="O1284" s="5" t="s">
        <v>9553</v>
      </c>
      <c r="P1284" s="5"/>
      <c r="Q1284" s="5" t="s">
        <v>10104</v>
      </c>
    </row>
    <row r="1285" spans="2:17" x14ac:dyDescent="0.2">
      <c r="B1285" s="5" t="s">
        <v>9550</v>
      </c>
      <c r="C1285" s="6" t="s">
        <v>13589</v>
      </c>
      <c r="D1285" s="4">
        <v>746</v>
      </c>
      <c r="E1285" s="5" t="s">
        <v>15</v>
      </c>
      <c r="F1285" s="5" t="s">
        <v>10092</v>
      </c>
      <c r="G1285" s="6" t="s">
        <v>14</v>
      </c>
      <c r="H1285" s="4">
        <v>282</v>
      </c>
      <c r="I1285" s="5"/>
      <c r="J1285" s="5" t="s">
        <v>10093</v>
      </c>
      <c r="K1285" s="5" t="s">
        <v>3791</v>
      </c>
      <c r="L1285" s="5"/>
      <c r="M1285" s="5" t="s">
        <v>738</v>
      </c>
      <c r="N1285" s="5" t="s">
        <v>738</v>
      </c>
      <c r="O1285" s="5" t="s">
        <v>9553</v>
      </c>
      <c r="P1285" s="5"/>
      <c r="Q1285" s="5" t="s">
        <v>10094</v>
      </c>
    </row>
    <row r="1286" spans="2:17" x14ac:dyDescent="0.2">
      <c r="B1286" s="5" t="s">
        <v>9550</v>
      </c>
      <c r="C1286" s="6" t="s">
        <v>13589</v>
      </c>
      <c r="D1286" s="4">
        <v>753</v>
      </c>
      <c r="E1286" s="5" t="s">
        <v>82</v>
      </c>
      <c r="F1286" s="5" t="s">
        <v>8177</v>
      </c>
      <c r="G1286" s="6" t="s">
        <v>14</v>
      </c>
      <c r="H1286" s="4">
        <v>283</v>
      </c>
      <c r="I1286" s="5"/>
      <c r="J1286" s="5" t="s">
        <v>61</v>
      </c>
      <c r="K1286" s="5" t="s">
        <v>9594</v>
      </c>
      <c r="L1286" s="5"/>
      <c r="M1286" s="5" t="s">
        <v>1668</v>
      </c>
      <c r="N1286" s="5" t="s">
        <v>2421</v>
      </c>
      <c r="O1286" s="5" t="s">
        <v>3790</v>
      </c>
      <c r="P1286" s="5"/>
      <c r="Q1286" s="5" t="s">
        <v>10081</v>
      </c>
    </row>
    <row r="1287" spans="2:17" x14ac:dyDescent="0.2">
      <c r="B1287" s="5" t="s">
        <v>9550</v>
      </c>
      <c r="C1287" s="6" t="s">
        <v>13589</v>
      </c>
      <c r="D1287" s="4">
        <v>754</v>
      </c>
      <c r="E1287" s="5" t="s">
        <v>15</v>
      </c>
      <c r="F1287" s="5" t="s">
        <v>10073</v>
      </c>
      <c r="G1287" s="6" t="s">
        <v>14</v>
      </c>
      <c r="H1287" s="4">
        <v>284</v>
      </c>
      <c r="I1287" s="5"/>
      <c r="J1287" s="5" t="s">
        <v>61</v>
      </c>
      <c r="K1287" s="5" t="s">
        <v>9615</v>
      </c>
      <c r="L1287" s="5"/>
      <c r="M1287" s="5" t="s">
        <v>3455</v>
      </c>
      <c r="N1287" s="5" t="s">
        <v>7395</v>
      </c>
      <c r="O1287" s="5" t="s">
        <v>3790</v>
      </c>
      <c r="P1287" s="5"/>
      <c r="Q1287" s="5" t="s">
        <v>10076</v>
      </c>
    </row>
    <row r="1288" spans="2:17" x14ac:dyDescent="0.2">
      <c r="B1288" s="5" t="s">
        <v>9550</v>
      </c>
      <c r="C1288" s="6" t="s">
        <v>13589</v>
      </c>
      <c r="D1288" s="4">
        <v>755</v>
      </c>
      <c r="E1288" s="5" t="s">
        <v>15</v>
      </c>
      <c r="F1288" s="5" t="s">
        <v>10073</v>
      </c>
      <c r="G1288" s="6" t="s">
        <v>14</v>
      </c>
      <c r="H1288" s="4">
        <v>285</v>
      </c>
      <c r="I1288" s="5"/>
      <c r="J1288" s="5" t="s">
        <v>61</v>
      </c>
      <c r="K1288" s="5" t="s">
        <v>9586</v>
      </c>
      <c r="L1288" s="5"/>
      <c r="M1288" s="5" t="s">
        <v>3455</v>
      </c>
      <c r="N1288" s="5" t="s">
        <v>7395</v>
      </c>
      <c r="O1288" s="5" t="s">
        <v>3790</v>
      </c>
      <c r="P1288" s="5"/>
      <c r="Q1288" s="5" t="s">
        <v>10077</v>
      </c>
    </row>
    <row r="1289" spans="2:17" x14ac:dyDescent="0.2">
      <c r="B1289" s="5" t="s">
        <v>9550</v>
      </c>
      <c r="C1289" s="6" t="s">
        <v>13589</v>
      </c>
      <c r="D1289" s="4">
        <v>756</v>
      </c>
      <c r="E1289" s="5" t="s">
        <v>15</v>
      </c>
      <c r="F1289" s="5" t="s">
        <v>10073</v>
      </c>
      <c r="G1289" s="6" t="s">
        <v>14</v>
      </c>
      <c r="H1289" s="4">
        <v>286</v>
      </c>
      <c r="I1289" s="5"/>
      <c r="J1289" s="5" t="s">
        <v>10074</v>
      </c>
      <c r="K1289" s="5" t="s">
        <v>9588</v>
      </c>
      <c r="L1289" s="5"/>
      <c r="M1289" s="5" t="s">
        <v>3455</v>
      </c>
      <c r="N1289" s="5" t="s">
        <v>7395</v>
      </c>
      <c r="O1289" s="5" t="s">
        <v>3790</v>
      </c>
      <c r="P1289" s="5"/>
      <c r="Q1289" s="5" t="s">
        <v>10075</v>
      </c>
    </row>
    <row r="1290" spans="2:17" x14ac:dyDescent="0.2">
      <c r="B1290" s="5" t="s">
        <v>9550</v>
      </c>
      <c r="C1290" s="6" t="s">
        <v>13589</v>
      </c>
      <c r="D1290" s="4">
        <v>760</v>
      </c>
      <c r="E1290" s="5" t="s">
        <v>24</v>
      </c>
      <c r="F1290" s="5" t="s">
        <v>10009</v>
      </c>
      <c r="G1290" s="6" t="s">
        <v>14</v>
      </c>
      <c r="H1290" s="4">
        <v>287</v>
      </c>
      <c r="I1290" s="5"/>
      <c r="J1290" s="5" t="s">
        <v>10010</v>
      </c>
      <c r="K1290" s="5" t="s">
        <v>9572</v>
      </c>
      <c r="L1290" s="5"/>
      <c r="M1290" s="5" t="s">
        <v>479</v>
      </c>
      <c r="N1290" s="5" t="s">
        <v>1894</v>
      </c>
      <c r="O1290" s="5" t="s">
        <v>9557</v>
      </c>
      <c r="P1290" s="5"/>
      <c r="Q1290" s="5" t="s">
        <v>10011</v>
      </c>
    </row>
    <row r="1291" spans="2:17" x14ac:dyDescent="0.2">
      <c r="B1291" s="5" t="s">
        <v>9550</v>
      </c>
      <c r="C1291" s="6" t="s">
        <v>13589</v>
      </c>
      <c r="D1291" s="4">
        <v>762</v>
      </c>
      <c r="E1291" s="5" t="s">
        <v>13</v>
      </c>
      <c r="F1291" s="5" t="s">
        <v>9992</v>
      </c>
      <c r="G1291" s="6" t="s">
        <v>14</v>
      </c>
      <c r="H1291" s="4">
        <v>288</v>
      </c>
      <c r="I1291" s="5"/>
      <c r="J1291" s="5" t="s">
        <v>9993</v>
      </c>
      <c r="K1291" s="5" t="s">
        <v>9567</v>
      </c>
      <c r="L1291" s="5"/>
      <c r="M1291" s="5" t="s">
        <v>2729</v>
      </c>
      <c r="N1291" s="5" t="s">
        <v>2729</v>
      </c>
      <c r="O1291" s="5" t="s">
        <v>9568</v>
      </c>
      <c r="P1291" s="5"/>
      <c r="Q1291" s="5" t="s">
        <v>9994</v>
      </c>
    </row>
    <row r="1292" spans="2:17" x14ac:dyDescent="0.2">
      <c r="B1292" s="5" t="s">
        <v>9550</v>
      </c>
      <c r="C1292" s="6" t="s">
        <v>13589</v>
      </c>
      <c r="D1292" s="4">
        <v>763</v>
      </c>
      <c r="E1292" s="5" t="s">
        <v>13</v>
      </c>
      <c r="F1292" s="5" t="s">
        <v>9992</v>
      </c>
      <c r="G1292" s="6" t="s">
        <v>14</v>
      </c>
      <c r="H1292" s="4">
        <v>289</v>
      </c>
      <c r="I1292" s="5"/>
      <c r="J1292" s="5" t="s">
        <v>9995</v>
      </c>
      <c r="K1292" s="5" t="s">
        <v>9558</v>
      </c>
      <c r="L1292" s="5"/>
      <c r="M1292" s="5" t="s">
        <v>2729</v>
      </c>
      <c r="N1292" s="5" t="s">
        <v>2729</v>
      </c>
      <c r="O1292" s="5" t="s">
        <v>9562</v>
      </c>
      <c r="P1292" s="5"/>
      <c r="Q1292" s="5" t="s">
        <v>9996</v>
      </c>
    </row>
    <row r="1293" spans="2:17" x14ac:dyDescent="0.2">
      <c r="B1293" s="5" t="s">
        <v>9550</v>
      </c>
      <c r="C1293" s="6" t="s">
        <v>13589</v>
      </c>
      <c r="D1293" s="4">
        <v>774</v>
      </c>
      <c r="E1293" s="5" t="s">
        <v>35</v>
      </c>
      <c r="F1293" s="5" t="s">
        <v>9968</v>
      </c>
      <c r="G1293" s="6" t="s">
        <v>14</v>
      </c>
      <c r="H1293" s="4">
        <v>290</v>
      </c>
      <c r="I1293" s="5"/>
      <c r="J1293" s="5" t="s">
        <v>9969</v>
      </c>
      <c r="K1293" s="5" t="s">
        <v>33</v>
      </c>
      <c r="L1293" s="5"/>
      <c r="M1293" s="5" t="s">
        <v>1625</v>
      </c>
      <c r="N1293" s="5" t="s">
        <v>1625</v>
      </c>
      <c r="O1293" s="5" t="s">
        <v>3795</v>
      </c>
      <c r="P1293" s="5"/>
      <c r="Q1293" s="5" t="s">
        <v>9970</v>
      </c>
    </row>
    <row r="1294" spans="2:17" x14ac:dyDescent="0.2">
      <c r="B1294" s="5" t="s">
        <v>9550</v>
      </c>
      <c r="C1294" s="6" t="s">
        <v>13589</v>
      </c>
      <c r="D1294" s="4">
        <v>782</v>
      </c>
      <c r="E1294" s="5" t="s">
        <v>15</v>
      </c>
      <c r="F1294" s="5" t="s">
        <v>9946</v>
      </c>
      <c r="G1294" s="6" t="s">
        <v>14</v>
      </c>
      <c r="H1294" s="4">
        <v>291</v>
      </c>
      <c r="I1294" s="5"/>
      <c r="J1294" s="5" t="s">
        <v>9947</v>
      </c>
      <c r="K1294" s="5" t="s">
        <v>9866</v>
      </c>
      <c r="L1294" s="5"/>
      <c r="M1294" s="5" t="s">
        <v>468</v>
      </c>
      <c r="N1294" s="5" t="s">
        <v>465</v>
      </c>
      <c r="O1294" s="5" t="s">
        <v>5014</v>
      </c>
      <c r="P1294" s="5"/>
      <c r="Q1294" s="5" t="s">
        <v>9948</v>
      </c>
    </row>
    <row r="1295" spans="2:17" x14ac:dyDescent="0.2">
      <c r="B1295" s="5" t="s">
        <v>9550</v>
      </c>
      <c r="C1295" s="6" t="s">
        <v>13589</v>
      </c>
      <c r="D1295" s="4">
        <v>810</v>
      </c>
      <c r="E1295" s="5" t="s">
        <v>13</v>
      </c>
      <c r="F1295" s="5" t="s">
        <v>9859</v>
      </c>
      <c r="G1295" s="6" t="s">
        <v>14</v>
      </c>
      <c r="H1295" s="4">
        <v>292</v>
      </c>
      <c r="I1295" s="5"/>
      <c r="J1295" s="5" t="s">
        <v>9591</v>
      </c>
      <c r="K1295" s="5" t="s">
        <v>9570</v>
      </c>
      <c r="L1295" s="5"/>
      <c r="M1295" s="5" t="s">
        <v>412</v>
      </c>
      <c r="N1295" s="5" t="s">
        <v>5284</v>
      </c>
      <c r="O1295" s="5" t="s">
        <v>9553</v>
      </c>
      <c r="P1295" s="5"/>
      <c r="Q1295" s="5" t="s">
        <v>9860</v>
      </c>
    </row>
    <row r="1296" spans="2:17" x14ac:dyDescent="0.2">
      <c r="B1296" s="5" t="s">
        <v>9550</v>
      </c>
      <c r="C1296" s="6" t="s">
        <v>13589</v>
      </c>
      <c r="D1296" s="4">
        <v>811</v>
      </c>
      <c r="E1296" s="5" t="s">
        <v>13</v>
      </c>
      <c r="F1296" s="5" t="s">
        <v>9861</v>
      </c>
      <c r="G1296" s="6" t="s">
        <v>14</v>
      </c>
      <c r="H1296" s="4">
        <v>293</v>
      </c>
      <c r="I1296" s="5"/>
      <c r="J1296" s="5" t="s">
        <v>9862</v>
      </c>
      <c r="K1296" s="5" t="s">
        <v>9570</v>
      </c>
      <c r="L1296" s="5"/>
      <c r="M1296" s="5" t="s">
        <v>412</v>
      </c>
      <c r="N1296" s="5" t="s">
        <v>5284</v>
      </c>
      <c r="O1296" s="5" t="s">
        <v>9553</v>
      </c>
      <c r="P1296" s="5"/>
      <c r="Q1296" s="5" t="s">
        <v>9863</v>
      </c>
    </row>
    <row r="1297" spans="2:17" x14ac:dyDescent="0.2">
      <c r="B1297" s="5" t="s">
        <v>9550</v>
      </c>
      <c r="C1297" s="6" t="s">
        <v>13589</v>
      </c>
      <c r="D1297" s="4">
        <v>817</v>
      </c>
      <c r="E1297" s="5" t="s">
        <v>35</v>
      </c>
      <c r="F1297" s="5" t="s">
        <v>9868</v>
      </c>
      <c r="G1297" s="6" t="s">
        <v>14</v>
      </c>
      <c r="H1297" s="4">
        <v>294</v>
      </c>
      <c r="I1297" s="5"/>
      <c r="J1297" s="5" t="s">
        <v>9869</v>
      </c>
      <c r="K1297" s="5" t="s">
        <v>9578</v>
      </c>
      <c r="L1297" s="5"/>
      <c r="M1297" s="5" t="s">
        <v>411</v>
      </c>
      <c r="N1297" s="5" t="s">
        <v>138</v>
      </c>
      <c r="O1297" s="5" t="s">
        <v>9553</v>
      </c>
      <c r="P1297" s="5"/>
      <c r="Q1297" s="5" t="s">
        <v>9870</v>
      </c>
    </row>
    <row r="1298" spans="2:17" x14ac:dyDescent="0.2">
      <c r="B1298" s="5" t="s">
        <v>9550</v>
      </c>
      <c r="C1298" s="6" t="s">
        <v>13589</v>
      </c>
      <c r="D1298" s="4">
        <v>818</v>
      </c>
      <c r="E1298" s="5" t="s">
        <v>35</v>
      </c>
      <c r="F1298" s="5" t="s">
        <v>9868</v>
      </c>
      <c r="G1298" s="6" t="s">
        <v>14</v>
      </c>
      <c r="H1298" s="4">
        <v>295</v>
      </c>
      <c r="I1298" s="5"/>
      <c r="J1298" s="5" t="s">
        <v>9871</v>
      </c>
      <c r="K1298" s="5" t="s">
        <v>9578</v>
      </c>
      <c r="L1298" s="5"/>
      <c r="M1298" s="5" t="s">
        <v>411</v>
      </c>
      <c r="N1298" s="5" t="s">
        <v>138</v>
      </c>
      <c r="O1298" s="5" t="s">
        <v>9553</v>
      </c>
      <c r="P1298" s="5"/>
      <c r="Q1298" s="5" t="s">
        <v>9872</v>
      </c>
    </row>
    <row r="1299" spans="2:17" x14ac:dyDescent="0.2">
      <c r="B1299" s="5" t="s">
        <v>9550</v>
      </c>
      <c r="C1299" s="6" t="s">
        <v>13589</v>
      </c>
      <c r="D1299" s="4">
        <v>819</v>
      </c>
      <c r="E1299" s="5" t="s">
        <v>20</v>
      </c>
      <c r="F1299" s="5" t="s">
        <v>9849</v>
      </c>
      <c r="G1299" s="6" t="s">
        <v>14</v>
      </c>
      <c r="H1299" s="4">
        <v>296</v>
      </c>
      <c r="I1299" s="5" t="s">
        <v>22</v>
      </c>
      <c r="J1299" s="5" t="s">
        <v>9850</v>
      </c>
      <c r="K1299" s="5" t="s">
        <v>9611</v>
      </c>
      <c r="L1299" s="5"/>
      <c r="M1299" s="5" t="s">
        <v>2151</v>
      </c>
      <c r="N1299" s="5" t="s">
        <v>2151</v>
      </c>
      <c r="O1299" s="5" t="s">
        <v>9557</v>
      </c>
      <c r="P1299" s="5"/>
      <c r="Q1299" s="5" t="s">
        <v>9851</v>
      </c>
    </row>
    <row r="1300" spans="2:17" x14ac:dyDescent="0.2">
      <c r="B1300" s="5" t="s">
        <v>9550</v>
      </c>
      <c r="C1300" s="6" t="s">
        <v>13589</v>
      </c>
      <c r="D1300" s="4">
        <v>820</v>
      </c>
      <c r="E1300" s="5" t="s">
        <v>82</v>
      </c>
      <c r="F1300" s="5" t="s">
        <v>9771</v>
      </c>
      <c r="G1300" s="6" t="s">
        <v>14</v>
      </c>
      <c r="H1300" s="4">
        <v>297</v>
      </c>
      <c r="I1300" s="5"/>
      <c r="J1300" s="5" t="s">
        <v>9772</v>
      </c>
      <c r="K1300" s="5" t="s">
        <v>9558</v>
      </c>
      <c r="L1300" s="5"/>
      <c r="M1300" s="5" t="s">
        <v>346</v>
      </c>
      <c r="N1300" s="5" t="s">
        <v>2089</v>
      </c>
      <c r="O1300" s="5" t="s">
        <v>5014</v>
      </c>
      <c r="P1300" s="5"/>
      <c r="Q1300" s="5" t="s">
        <v>9773</v>
      </c>
    </row>
    <row r="1301" spans="2:17" x14ac:dyDescent="0.2">
      <c r="B1301" s="5" t="s">
        <v>9550</v>
      </c>
      <c r="C1301" s="6" t="s">
        <v>13589</v>
      </c>
      <c r="D1301" s="4">
        <v>821</v>
      </c>
      <c r="E1301" s="5" t="s">
        <v>82</v>
      </c>
      <c r="F1301" s="5" t="s">
        <v>9771</v>
      </c>
      <c r="G1301" s="6" t="s">
        <v>14</v>
      </c>
      <c r="H1301" s="4">
        <v>298</v>
      </c>
      <c r="I1301" s="5"/>
      <c r="J1301" s="5" t="s">
        <v>9772</v>
      </c>
      <c r="K1301" s="5" t="s">
        <v>9570</v>
      </c>
      <c r="L1301" s="5"/>
      <c r="M1301" s="5" t="s">
        <v>346</v>
      </c>
      <c r="N1301" s="5" t="s">
        <v>2089</v>
      </c>
      <c r="O1301" s="5" t="s">
        <v>5014</v>
      </c>
      <c r="P1301" s="5"/>
      <c r="Q1301" s="5" t="s">
        <v>9774</v>
      </c>
    </row>
    <row r="1302" spans="2:17" x14ac:dyDescent="0.2">
      <c r="B1302" s="5" t="s">
        <v>9550</v>
      </c>
      <c r="C1302" s="6" t="s">
        <v>13589</v>
      </c>
      <c r="D1302" s="4">
        <v>822</v>
      </c>
      <c r="E1302" s="5" t="s">
        <v>82</v>
      </c>
      <c r="F1302" s="5" t="s">
        <v>9771</v>
      </c>
      <c r="G1302" s="6" t="s">
        <v>14</v>
      </c>
      <c r="H1302" s="4">
        <v>299</v>
      </c>
      <c r="I1302" s="5"/>
      <c r="J1302" s="5" t="s">
        <v>9772</v>
      </c>
      <c r="K1302" s="5" t="s">
        <v>9576</v>
      </c>
      <c r="L1302" s="5"/>
      <c r="M1302" s="5" t="s">
        <v>346</v>
      </c>
      <c r="N1302" s="5" t="s">
        <v>2089</v>
      </c>
      <c r="O1302" s="5" t="s">
        <v>5014</v>
      </c>
      <c r="P1302" s="5"/>
      <c r="Q1302" s="5" t="s">
        <v>9775</v>
      </c>
    </row>
    <row r="1303" spans="2:17" x14ac:dyDescent="0.2">
      <c r="B1303" s="5" t="s">
        <v>9550</v>
      </c>
      <c r="C1303" s="6" t="s">
        <v>13589</v>
      </c>
      <c r="D1303" s="4">
        <v>823</v>
      </c>
      <c r="E1303" s="5" t="s">
        <v>82</v>
      </c>
      <c r="F1303" s="5" t="s">
        <v>9771</v>
      </c>
      <c r="G1303" s="6" t="s">
        <v>14</v>
      </c>
      <c r="H1303" s="4">
        <v>300</v>
      </c>
      <c r="I1303" s="5"/>
      <c r="J1303" s="5" t="s">
        <v>9776</v>
      </c>
      <c r="K1303" s="5" t="s">
        <v>9561</v>
      </c>
      <c r="L1303" s="5"/>
      <c r="M1303" s="5" t="s">
        <v>346</v>
      </c>
      <c r="N1303" s="5" t="s">
        <v>2089</v>
      </c>
      <c r="O1303" s="5" t="s">
        <v>5014</v>
      </c>
      <c r="P1303" s="5"/>
      <c r="Q1303" s="5" t="s">
        <v>9777</v>
      </c>
    </row>
    <row r="1304" spans="2:17" x14ac:dyDescent="0.2">
      <c r="B1304" s="5" t="s">
        <v>9550</v>
      </c>
      <c r="C1304" s="6" t="s">
        <v>13589</v>
      </c>
      <c r="D1304" s="4">
        <v>824</v>
      </c>
      <c r="E1304" s="5" t="s">
        <v>82</v>
      </c>
      <c r="F1304" s="5" t="s">
        <v>9771</v>
      </c>
      <c r="G1304" s="6" t="s">
        <v>14</v>
      </c>
      <c r="H1304" s="4">
        <v>301</v>
      </c>
      <c r="I1304" s="5"/>
      <c r="J1304" s="5" t="s">
        <v>9778</v>
      </c>
      <c r="K1304" s="5" t="s">
        <v>3792</v>
      </c>
      <c r="L1304" s="5"/>
      <c r="M1304" s="5" t="s">
        <v>346</v>
      </c>
      <c r="N1304" s="5" t="s">
        <v>2089</v>
      </c>
      <c r="O1304" s="5" t="s">
        <v>5014</v>
      </c>
      <c r="P1304" s="5"/>
      <c r="Q1304" s="5" t="s">
        <v>9779</v>
      </c>
    </row>
    <row r="1305" spans="2:17" x14ac:dyDescent="0.2">
      <c r="B1305" s="5" t="s">
        <v>9550</v>
      </c>
      <c r="C1305" s="6" t="s">
        <v>13589</v>
      </c>
      <c r="D1305" s="4">
        <v>825</v>
      </c>
      <c r="E1305" s="5" t="s">
        <v>82</v>
      </c>
      <c r="F1305" s="5" t="s">
        <v>9771</v>
      </c>
      <c r="G1305" s="6" t="s">
        <v>14</v>
      </c>
      <c r="H1305" s="4">
        <v>302</v>
      </c>
      <c r="I1305" s="5"/>
      <c r="J1305" s="5" t="s">
        <v>9780</v>
      </c>
      <c r="K1305" s="5"/>
      <c r="L1305" s="5" t="s">
        <v>9613</v>
      </c>
      <c r="M1305" s="5" t="s">
        <v>346</v>
      </c>
      <c r="N1305" s="5" t="s">
        <v>2089</v>
      </c>
      <c r="O1305" s="5" t="s">
        <v>9562</v>
      </c>
      <c r="P1305" s="5"/>
      <c r="Q1305" s="5" t="s">
        <v>9781</v>
      </c>
    </row>
    <row r="1306" spans="2:17" x14ac:dyDescent="0.2">
      <c r="B1306" s="5" t="s">
        <v>9550</v>
      </c>
      <c r="C1306" s="6" t="s">
        <v>13589</v>
      </c>
      <c r="D1306" s="4">
        <v>826</v>
      </c>
      <c r="E1306" s="5" t="s">
        <v>82</v>
      </c>
      <c r="F1306" s="5" t="s">
        <v>9771</v>
      </c>
      <c r="G1306" s="6" t="s">
        <v>14</v>
      </c>
      <c r="H1306" s="4">
        <v>303</v>
      </c>
      <c r="I1306" s="5"/>
      <c r="J1306" s="5" t="s">
        <v>9782</v>
      </c>
      <c r="K1306" s="5" t="s">
        <v>3793</v>
      </c>
      <c r="L1306" s="5"/>
      <c r="M1306" s="5" t="s">
        <v>346</v>
      </c>
      <c r="N1306" s="5" t="s">
        <v>2089</v>
      </c>
      <c r="O1306" s="5" t="s">
        <v>5014</v>
      </c>
      <c r="P1306" s="5"/>
      <c r="Q1306" s="5" t="s">
        <v>9783</v>
      </c>
    </row>
    <row r="1307" spans="2:17" x14ac:dyDescent="0.2">
      <c r="B1307" s="5" t="s">
        <v>9550</v>
      </c>
      <c r="C1307" s="6" t="s">
        <v>13589</v>
      </c>
      <c r="D1307" s="4">
        <v>827</v>
      </c>
      <c r="E1307" s="5" t="s">
        <v>82</v>
      </c>
      <c r="F1307" s="5" t="s">
        <v>9771</v>
      </c>
      <c r="G1307" s="6" t="s">
        <v>14</v>
      </c>
      <c r="H1307" s="4">
        <v>304</v>
      </c>
      <c r="I1307" s="5"/>
      <c r="J1307" s="5" t="s">
        <v>9784</v>
      </c>
      <c r="K1307" s="5" t="s">
        <v>9569</v>
      </c>
      <c r="L1307" s="5"/>
      <c r="M1307" s="5" t="s">
        <v>346</v>
      </c>
      <c r="N1307" s="5" t="s">
        <v>2089</v>
      </c>
      <c r="O1307" s="5" t="s">
        <v>9568</v>
      </c>
      <c r="P1307" s="5"/>
      <c r="Q1307" s="5" t="s">
        <v>9785</v>
      </c>
    </row>
    <row r="1308" spans="2:17" x14ac:dyDescent="0.2">
      <c r="B1308" s="5" t="s">
        <v>9550</v>
      </c>
      <c r="C1308" s="6" t="s">
        <v>13589</v>
      </c>
      <c r="D1308" s="4">
        <v>828</v>
      </c>
      <c r="E1308" s="5" t="s">
        <v>82</v>
      </c>
      <c r="F1308" s="5" t="s">
        <v>9771</v>
      </c>
      <c r="G1308" s="6" t="s">
        <v>14</v>
      </c>
      <c r="H1308" s="4">
        <v>305</v>
      </c>
      <c r="I1308" s="5"/>
      <c r="J1308" s="5" t="s">
        <v>9786</v>
      </c>
      <c r="K1308" s="5" t="s">
        <v>9567</v>
      </c>
      <c r="L1308" s="5"/>
      <c r="M1308" s="5" t="s">
        <v>346</v>
      </c>
      <c r="N1308" s="5" t="s">
        <v>2089</v>
      </c>
      <c r="O1308" s="5" t="s">
        <v>9568</v>
      </c>
      <c r="P1308" s="5"/>
      <c r="Q1308" s="5" t="s">
        <v>9787</v>
      </c>
    </row>
    <row r="1309" spans="2:17" x14ac:dyDescent="0.2">
      <c r="B1309" s="5" t="s">
        <v>9550</v>
      </c>
      <c r="C1309" s="6" t="s">
        <v>13589</v>
      </c>
      <c r="D1309" s="4">
        <v>829</v>
      </c>
      <c r="E1309" s="5" t="s">
        <v>82</v>
      </c>
      <c r="F1309" s="5" t="s">
        <v>9771</v>
      </c>
      <c r="G1309" s="6" t="s">
        <v>14</v>
      </c>
      <c r="H1309" s="4">
        <v>306</v>
      </c>
      <c r="I1309" s="5"/>
      <c r="J1309" s="5" t="s">
        <v>9788</v>
      </c>
      <c r="K1309" s="5" t="s">
        <v>9575</v>
      </c>
      <c r="L1309" s="5"/>
      <c r="M1309" s="5" t="s">
        <v>346</v>
      </c>
      <c r="N1309" s="5" t="s">
        <v>2089</v>
      </c>
      <c r="O1309" s="5" t="s">
        <v>9568</v>
      </c>
      <c r="P1309" s="5"/>
      <c r="Q1309" s="5" t="s">
        <v>9789</v>
      </c>
    </row>
    <row r="1310" spans="2:17" x14ac:dyDescent="0.2">
      <c r="B1310" s="5" t="s">
        <v>9550</v>
      </c>
      <c r="C1310" s="6" t="s">
        <v>13589</v>
      </c>
      <c r="D1310" s="4">
        <v>830</v>
      </c>
      <c r="E1310" s="5" t="s">
        <v>82</v>
      </c>
      <c r="F1310" s="5" t="s">
        <v>9771</v>
      </c>
      <c r="G1310" s="6" t="s">
        <v>14</v>
      </c>
      <c r="H1310" s="4">
        <v>307</v>
      </c>
      <c r="I1310" s="5"/>
      <c r="J1310" s="5" t="s">
        <v>9790</v>
      </c>
      <c r="K1310" s="5" t="s">
        <v>9603</v>
      </c>
      <c r="L1310" s="5"/>
      <c r="M1310" s="5" t="s">
        <v>346</v>
      </c>
      <c r="N1310" s="5" t="s">
        <v>2089</v>
      </c>
      <c r="O1310" s="5" t="s">
        <v>9585</v>
      </c>
      <c r="P1310" s="5"/>
      <c r="Q1310" s="5" t="s">
        <v>9791</v>
      </c>
    </row>
    <row r="1311" spans="2:17" x14ac:dyDescent="0.2">
      <c r="B1311" s="5" t="s">
        <v>9550</v>
      </c>
      <c r="C1311" s="6" t="s">
        <v>13589</v>
      </c>
      <c r="D1311" s="4">
        <v>831</v>
      </c>
      <c r="E1311" s="5" t="s">
        <v>82</v>
      </c>
      <c r="F1311" s="5" t="s">
        <v>9771</v>
      </c>
      <c r="G1311" s="6" t="s">
        <v>14</v>
      </c>
      <c r="H1311" s="4">
        <v>308</v>
      </c>
      <c r="I1311" s="5"/>
      <c r="J1311" s="5" t="s">
        <v>9792</v>
      </c>
      <c r="K1311" s="5" t="s">
        <v>9692</v>
      </c>
      <c r="L1311" s="5"/>
      <c r="M1311" s="5" t="s">
        <v>346</v>
      </c>
      <c r="N1311" s="5" t="s">
        <v>2089</v>
      </c>
      <c r="O1311" s="5" t="s">
        <v>9562</v>
      </c>
      <c r="P1311" s="5"/>
      <c r="Q1311" s="5" t="s">
        <v>9793</v>
      </c>
    </row>
    <row r="1312" spans="2:17" x14ac:dyDescent="0.2">
      <c r="B1312" s="5" t="s">
        <v>9550</v>
      </c>
      <c r="C1312" s="6" t="s">
        <v>13589</v>
      </c>
      <c r="D1312" s="4">
        <v>832</v>
      </c>
      <c r="E1312" s="5" t="s">
        <v>82</v>
      </c>
      <c r="F1312" s="5" t="s">
        <v>9771</v>
      </c>
      <c r="G1312" s="6" t="s">
        <v>14</v>
      </c>
      <c r="H1312" s="4">
        <v>309</v>
      </c>
      <c r="I1312" s="5"/>
      <c r="J1312" s="5" t="s">
        <v>9794</v>
      </c>
      <c r="K1312" s="5" t="s">
        <v>9556</v>
      </c>
      <c r="L1312" s="5"/>
      <c r="M1312" s="5" t="s">
        <v>346</v>
      </c>
      <c r="N1312" s="5" t="s">
        <v>2089</v>
      </c>
      <c r="O1312" s="5" t="s">
        <v>9557</v>
      </c>
      <c r="P1312" s="5"/>
      <c r="Q1312" s="5" t="s">
        <v>9795</v>
      </c>
    </row>
    <row r="1313" spans="2:17" x14ac:dyDescent="0.2">
      <c r="B1313" s="5" t="s">
        <v>9550</v>
      </c>
      <c r="C1313" s="6" t="s">
        <v>13589</v>
      </c>
      <c r="D1313" s="4">
        <v>833</v>
      </c>
      <c r="E1313" s="5" t="s">
        <v>15</v>
      </c>
      <c r="F1313" s="5" t="s">
        <v>9767</v>
      </c>
      <c r="G1313" s="6" t="s">
        <v>14</v>
      </c>
      <c r="H1313" s="4">
        <v>310</v>
      </c>
      <c r="I1313" s="5"/>
      <c r="J1313" s="5" t="s">
        <v>9768</v>
      </c>
      <c r="K1313" s="5" t="s">
        <v>9566</v>
      </c>
      <c r="L1313" s="5"/>
      <c r="M1313" s="5" t="s">
        <v>347</v>
      </c>
      <c r="N1313" s="5" t="s">
        <v>2089</v>
      </c>
      <c r="O1313" s="5" t="s">
        <v>9552</v>
      </c>
      <c r="P1313" s="5"/>
      <c r="Q1313" s="5" t="s">
        <v>9769</v>
      </c>
    </row>
    <row r="1314" spans="2:17" x14ac:dyDescent="0.2">
      <c r="B1314" s="5" t="s">
        <v>9550</v>
      </c>
      <c r="C1314" s="6" t="s">
        <v>13589</v>
      </c>
      <c r="D1314" s="4">
        <v>834</v>
      </c>
      <c r="E1314" s="5" t="s">
        <v>15</v>
      </c>
      <c r="F1314" s="5" t="s">
        <v>9767</v>
      </c>
      <c r="G1314" s="6" t="s">
        <v>14</v>
      </c>
      <c r="H1314" s="4">
        <v>311</v>
      </c>
      <c r="I1314" s="5"/>
      <c r="J1314" s="5" t="s">
        <v>9606</v>
      </c>
      <c r="K1314" s="5" t="s">
        <v>17</v>
      </c>
      <c r="L1314" s="5"/>
      <c r="M1314" s="5" t="s">
        <v>347</v>
      </c>
      <c r="N1314" s="5" t="s">
        <v>2089</v>
      </c>
      <c r="O1314" s="5" t="s">
        <v>9552</v>
      </c>
      <c r="P1314" s="5"/>
      <c r="Q1314" s="5" t="s">
        <v>9770</v>
      </c>
    </row>
    <row r="1315" spans="2:17" x14ac:dyDescent="0.2">
      <c r="B1315" s="5" t="s">
        <v>9550</v>
      </c>
      <c r="C1315" s="6" t="s">
        <v>13589</v>
      </c>
      <c r="D1315" s="4">
        <v>836</v>
      </c>
      <c r="E1315" s="5" t="s">
        <v>35</v>
      </c>
      <c r="F1315" s="5" t="s">
        <v>9759</v>
      </c>
      <c r="G1315" s="6" t="s">
        <v>14</v>
      </c>
      <c r="H1315" s="4">
        <v>312</v>
      </c>
      <c r="I1315" s="5"/>
      <c r="J1315" s="5" t="s">
        <v>9760</v>
      </c>
      <c r="K1315" s="5" t="s">
        <v>3791</v>
      </c>
      <c r="L1315" s="5"/>
      <c r="M1315" s="5" t="s">
        <v>342</v>
      </c>
      <c r="N1315" s="5" t="s">
        <v>342</v>
      </c>
      <c r="O1315" s="5" t="s">
        <v>9553</v>
      </c>
      <c r="P1315" s="5"/>
      <c r="Q1315" s="5" t="s">
        <v>9761</v>
      </c>
    </row>
    <row r="1316" spans="2:17" x14ac:dyDescent="0.2">
      <c r="B1316" s="5" t="s">
        <v>9550</v>
      </c>
      <c r="C1316" s="6" t="s">
        <v>13589</v>
      </c>
      <c r="D1316" s="4">
        <v>839</v>
      </c>
      <c r="E1316" s="5" t="s">
        <v>35</v>
      </c>
      <c r="F1316" s="5" t="s">
        <v>9756</v>
      </c>
      <c r="G1316" s="6" t="s">
        <v>14</v>
      </c>
      <c r="H1316" s="4">
        <v>313</v>
      </c>
      <c r="I1316" s="5"/>
      <c r="J1316" s="5" t="s">
        <v>9757</v>
      </c>
      <c r="K1316" s="5" t="s">
        <v>9581</v>
      </c>
      <c r="L1316" s="5"/>
      <c r="M1316" s="5" t="s">
        <v>1812</v>
      </c>
      <c r="N1316" s="5" t="s">
        <v>1812</v>
      </c>
      <c r="O1316" s="5" t="s">
        <v>9585</v>
      </c>
      <c r="P1316" s="5"/>
      <c r="Q1316" s="5" t="s">
        <v>9758</v>
      </c>
    </row>
    <row r="1317" spans="2:17" x14ac:dyDescent="0.2">
      <c r="B1317" s="5" t="s">
        <v>9550</v>
      </c>
      <c r="C1317" s="6" t="s">
        <v>13589</v>
      </c>
      <c r="D1317" s="4">
        <v>840</v>
      </c>
      <c r="E1317" s="5" t="s">
        <v>35</v>
      </c>
      <c r="F1317" s="5" t="s">
        <v>9750</v>
      </c>
      <c r="G1317" s="6" t="s">
        <v>14</v>
      </c>
      <c r="H1317" s="4">
        <v>314</v>
      </c>
      <c r="I1317" s="5"/>
      <c r="J1317" s="5" t="s">
        <v>9751</v>
      </c>
      <c r="K1317" s="5" t="s">
        <v>4716</v>
      </c>
      <c r="L1317" s="5"/>
      <c r="M1317" s="5" t="s">
        <v>2376</v>
      </c>
      <c r="N1317" s="5" t="s">
        <v>2376</v>
      </c>
      <c r="O1317" s="5" t="s">
        <v>3795</v>
      </c>
      <c r="P1317" s="5"/>
      <c r="Q1317" s="5" t="s">
        <v>9752</v>
      </c>
    </row>
    <row r="1318" spans="2:17" x14ac:dyDescent="0.2">
      <c r="B1318" s="5" t="s">
        <v>9550</v>
      </c>
      <c r="C1318" s="6" t="s">
        <v>13589</v>
      </c>
      <c r="D1318" s="4">
        <v>842</v>
      </c>
      <c r="E1318" s="5" t="s">
        <v>15</v>
      </c>
      <c r="F1318" s="5" t="s">
        <v>9747</v>
      </c>
      <c r="G1318" s="6" t="s">
        <v>14</v>
      </c>
      <c r="H1318" s="4">
        <v>315</v>
      </c>
      <c r="I1318" s="5"/>
      <c r="J1318" s="5" t="s">
        <v>9748</v>
      </c>
      <c r="K1318" s="5" t="s">
        <v>9561</v>
      </c>
      <c r="L1318" s="5"/>
      <c r="M1318" s="5" t="s">
        <v>2376</v>
      </c>
      <c r="N1318" s="5" t="s">
        <v>1437</v>
      </c>
      <c r="O1318" s="5" t="s">
        <v>9557</v>
      </c>
      <c r="P1318" s="5"/>
      <c r="Q1318" s="5" t="s">
        <v>9749</v>
      </c>
    </row>
    <row r="1319" spans="2:17" x14ac:dyDescent="0.2">
      <c r="B1319" s="5" t="s">
        <v>9550</v>
      </c>
      <c r="C1319" s="6" t="s">
        <v>13589</v>
      </c>
      <c r="D1319" s="4">
        <v>844</v>
      </c>
      <c r="E1319" s="5" t="s">
        <v>32</v>
      </c>
      <c r="F1319" s="5" t="s">
        <v>9730</v>
      </c>
      <c r="G1319" s="6" t="s">
        <v>14</v>
      </c>
      <c r="H1319" s="4">
        <v>316</v>
      </c>
      <c r="I1319" s="5" t="s">
        <v>22</v>
      </c>
      <c r="J1319" s="5" t="s">
        <v>9731</v>
      </c>
      <c r="K1319" s="5" t="s">
        <v>9551</v>
      </c>
      <c r="L1319" s="5"/>
      <c r="M1319" s="5" t="s">
        <v>106</v>
      </c>
      <c r="N1319" s="5" t="s">
        <v>337</v>
      </c>
      <c r="O1319" s="5" t="s">
        <v>3790</v>
      </c>
      <c r="P1319" s="5"/>
      <c r="Q1319" s="5" t="s">
        <v>9732</v>
      </c>
    </row>
    <row r="1320" spans="2:17" x14ac:dyDescent="0.2">
      <c r="B1320" s="5" t="s">
        <v>9550</v>
      </c>
      <c r="C1320" s="6" t="s">
        <v>13589</v>
      </c>
      <c r="D1320" s="4">
        <v>845</v>
      </c>
      <c r="E1320" s="5" t="s">
        <v>20</v>
      </c>
      <c r="F1320" s="5" t="s">
        <v>9742</v>
      </c>
      <c r="G1320" s="6" t="s">
        <v>14</v>
      </c>
      <c r="H1320" s="4">
        <v>317</v>
      </c>
      <c r="I1320" s="5" t="s">
        <v>38</v>
      </c>
      <c r="J1320" s="5" t="s">
        <v>9743</v>
      </c>
      <c r="K1320" s="5" t="s">
        <v>9600</v>
      </c>
      <c r="L1320" s="5"/>
      <c r="M1320" s="5" t="s">
        <v>1802</v>
      </c>
      <c r="N1320" s="5" t="s">
        <v>1962</v>
      </c>
      <c r="O1320" s="5" t="s">
        <v>5014</v>
      </c>
      <c r="P1320" s="5"/>
      <c r="Q1320" s="5" t="s">
        <v>9744</v>
      </c>
    </row>
    <row r="1321" spans="2:17" x14ac:dyDescent="0.2">
      <c r="B1321" s="5" t="s">
        <v>9550</v>
      </c>
      <c r="C1321" s="6" t="s">
        <v>13589</v>
      </c>
      <c r="D1321" s="4">
        <v>846</v>
      </c>
      <c r="E1321" s="5" t="s">
        <v>35</v>
      </c>
      <c r="F1321" s="5" t="s">
        <v>9733</v>
      </c>
      <c r="G1321" s="6" t="s">
        <v>14</v>
      </c>
      <c r="H1321" s="4">
        <v>318</v>
      </c>
      <c r="I1321" s="5"/>
      <c r="J1321" s="5" t="s">
        <v>9734</v>
      </c>
      <c r="K1321" s="5" t="s">
        <v>9590</v>
      </c>
      <c r="L1321" s="5"/>
      <c r="M1321" s="5" t="s">
        <v>112</v>
      </c>
      <c r="N1321" s="5" t="s">
        <v>1415</v>
      </c>
      <c r="O1321" s="5" t="s">
        <v>3795</v>
      </c>
      <c r="P1321" s="5"/>
      <c r="Q1321" s="5" t="s">
        <v>9735</v>
      </c>
    </row>
    <row r="1322" spans="2:17" x14ac:dyDescent="0.2">
      <c r="B1322" s="5" t="s">
        <v>9550</v>
      </c>
      <c r="C1322" s="6" t="s">
        <v>13589</v>
      </c>
      <c r="D1322" s="4">
        <v>847</v>
      </c>
      <c r="E1322" s="5" t="s">
        <v>35</v>
      </c>
      <c r="F1322" s="5" t="s">
        <v>9733</v>
      </c>
      <c r="G1322" s="6" t="s">
        <v>14</v>
      </c>
      <c r="H1322" s="4">
        <v>319</v>
      </c>
      <c r="I1322" s="5"/>
      <c r="J1322" s="5" t="s">
        <v>9736</v>
      </c>
      <c r="K1322" s="5" t="s">
        <v>4716</v>
      </c>
      <c r="L1322" s="5"/>
      <c r="M1322" s="5" t="s">
        <v>112</v>
      </c>
      <c r="N1322" s="5" t="s">
        <v>1415</v>
      </c>
      <c r="O1322" s="5" t="s">
        <v>3795</v>
      </c>
      <c r="P1322" s="5"/>
      <c r="Q1322" s="5" t="s">
        <v>9737</v>
      </c>
    </row>
    <row r="1323" spans="2:17" x14ac:dyDescent="0.2">
      <c r="B1323" s="5" t="s">
        <v>9550</v>
      </c>
      <c r="C1323" s="6" t="s">
        <v>13589</v>
      </c>
      <c r="D1323" s="4">
        <v>848</v>
      </c>
      <c r="E1323" s="5" t="s">
        <v>35</v>
      </c>
      <c r="F1323" s="5" t="s">
        <v>9733</v>
      </c>
      <c r="G1323" s="6" t="s">
        <v>14</v>
      </c>
      <c r="H1323" s="4">
        <v>320</v>
      </c>
      <c r="I1323" s="5"/>
      <c r="J1323" s="5" t="s">
        <v>9738</v>
      </c>
      <c r="K1323" s="5" t="s">
        <v>4724</v>
      </c>
      <c r="L1323" s="5"/>
      <c r="M1323" s="5" t="s">
        <v>112</v>
      </c>
      <c r="N1323" s="5" t="s">
        <v>1415</v>
      </c>
      <c r="O1323" s="5" t="s">
        <v>3795</v>
      </c>
      <c r="P1323" s="5"/>
      <c r="Q1323" s="5" t="s">
        <v>9739</v>
      </c>
    </row>
    <row r="1324" spans="2:17" x14ac:dyDescent="0.2">
      <c r="B1324" s="5" t="s">
        <v>9550</v>
      </c>
      <c r="C1324" s="6" t="s">
        <v>13589</v>
      </c>
      <c r="D1324" s="4">
        <v>849</v>
      </c>
      <c r="E1324" s="5" t="s">
        <v>35</v>
      </c>
      <c r="F1324" s="5" t="s">
        <v>9733</v>
      </c>
      <c r="G1324" s="6" t="s">
        <v>14</v>
      </c>
      <c r="H1324" s="4">
        <v>321</v>
      </c>
      <c r="I1324" s="5"/>
      <c r="J1324" s="5" t="s">
        <v>9740</v>
      </c>
      <c r="K1324" s="5" t="s">
        <v>3796</v>
      </c>
      <c r="L1324" s="5"/>
      <c r="M1324" s="5" t="s">
        <v>112</v>
      </c>
      <c r="N1324" s="5" t="s">
        <v>1415</v>
      </c>
      <c r="O1324" s="5" t="s">
        <v>3795</v>
      </c>
      <c r="P1324" s="5"/>
      <c r="Q1324" s="5" t="s">
        <v>9741</v>
      </c>
    </row>
    <row r="1325" spans="2:17" x14ac:dyDescent="0.2">
      <c r="B1325" s="5" t="s">
        <v>9550</v>
      </c>
      <c r="C1325" s="6" t="s">
        <v>13589</v>
      </c>
      <c r="D1325" s="4">
        <v>850</v>
      </c>
      <c r="E1325" s="5" t="s">
        <v>82</v>
      </c>
      <c r="F1325" s="5" t="s">
        <v>9727</v>
      </c>
      <c r="G1325" s="6" t="s">
        <v>14</v>
      </c>
      <c r="H1325" s="4">
        <v>322</v>
      </c>
      <c r="I1325" s="5"/>
      <c r="J1325" s="5" t="s">
        <v>9728</v>
      </c>
      <c r="K1325" s="5" t="s">
        <v>9566</v>
      </c>
      <c r="L1325" s="5"/>
      <c r="M1325" s="5" t="s">
        <v>648</v>
      </c>
      <c r="N1325" s="5" t="s">
        <v>1416</v>
      </c>
      <c r="O1325" s="5" t="s">
        <v>9552</v>
      </c>
      <c r="P1325" s="5"/>
      <c r="Q1325" s="5" t="s">
        <v>9729</v>
      </c>
    </row>
    <row r="1326" spans="2:17" x14ac:dyDescent="0.2">
      <c r="B1326" s="5" t="s">
        <v>9550</v>
      </c>
      <c r="C1326" s="6" t="s">
        <v>13589</v>
      </c>
      <c r="D1326" s="4">
        <v>854</v>
      </c>
      <c r="E1326" s="5" t="s">
        <v>32</v>
      </c>
      <c r="F1326" s="5" t="s">
        <v>9709</v>
      </c>
      <c r="G1326" s="6" t="s">
        <v>14</v>
      </c>
      <c r="H1326" s="4">
        <v>323</v>
      </c>
      <c r="I1326" s="5" t="s">
        <v>22</v>
      </c>
      <c r="J1326" s="5" t="s">
        <v>9710</v>
      </c>
      <c r="K1326" s="5" t="s">
        <v>9583</v>
      </c>
      <c r="L1326" s="5"/>
      <c r="M1326" s="5" t="s">
        <v>301</v>
      </c>
      <c r="N1326" s="5" t="s">
        <v>296</v>
      </c>
      <c r="O1326" s="5" t="s">
        <v>9582</v>
      </c>
      <c r="P1326" s="5"/>
      <c r="Q1326" s="5" t="s">
        <v>9711</v>
      </c>
    </row>
    <row r="1327" spans="2:17" x14ac:dyDescent="0.2">
      <c r="B1327" s="5" t="s">
        <v>9550</v>
      </c>
      <c r="C1327" s="6" t="s">
        <v>13589</v>
      </c>
      <c r="D1327" s="4">
        <v>855</v>
      </c>
      <c r="E1327" s="5" t="s">
        <v>32</v>
      </c>
      <c r="F1327" s="5" t="s">
        <v>9709</v>
      </c>
      <c r="G1327" s="6" t="s">
        <v>14</v>
      </c>
      <c r="H1327" s="4">
        <v>324</v>
      </c>
      <c r="I1327" s="5" t="s">
        <v>22</v>
      </c>
      <c r="J1327" s="5" t="s">
        <v>9712</v>
      </c>
      <c r="K1327" s="5" t="s">
        <v>9598</v>
      </c>
      <c r="L1327" s="5"/>
      <c r="M1327" s="5" t="s">
        <v>301</v>
      </c>
      <c r="N1327" s="5" t="s">
        <v>296</v>
      </c>
      <c r="O1327" s="5" t="s">
        <v>9552</v>
      </c>
      <c r="P1327" s="5"/>
      <c r="Q1327" s="5" t="s">
        <v>9713</v>
      </c>
    </row>
    <row r="1328" spans="2:17" x14ac:dyDescent="0.2">
      <c r="B1328" s="5" t="s">
        <v>9550</v>
      </c>
      <c r="C1328" s="6" t="s">
        <v>13589</v>
      </c>
      <c r="D1328" s="4">
        <v>856</v>
      </c>
      <c r="E1328" s="5" t="s">
        <v>32</v>
      </c>
      <c r="F1328" s="5" t="s">
        <v>9709</v>
      </c>
      <c r="G1328" s="6" t="s">
        <v>14</v>
      </c>
      <c r="H1328" s="4">
        <v>325</v>
      </c>
      <c r="I1328" s="5" t="s">
        <v>22</v>
      </c>
      <c r="J1328" s="5" t="s">
        <v>9714</v>
      </c>
      <c r="K1328" s="5" t="s">
        <v>9583</v>
      </c>
      <c r="L1328" s="5"/>
      <c r="M1328" s="5" t="s">
        <v>301</v>
      </c>
      <c r="N1328" s="5" t="s">
        <v>296</v>
      </c>
      <c r="O1328" s="5" t="s">
        <v>9582</v>
      </c>
      <c r="P1328" s="5"/>
      <c r="Q1328" s="5" t="s">
        <v>9715</v>
      </c>
    </row>
    <row r="1329" spans="2:17" x14ac:dyDescent="0.2">
      <c r="B1329" s="5" t="s">
        <v>9550</v>
      </c>
      <c r="C1329" s="6" t="s">
        <v>13589</v>
      </c>
      <c r="D1329" s="4">
        <v>857</v>
      </c>
      <c r="E1329" s="5" t="s">
        <v>35</v>
      </c>
      <c r="F1329" s="5" t="s">
        <v>9716</v>
      </c>
      <c r="G1329" s="6" t="s">
        <v>14</v>
      </c>
      <c r="H1329" s="4">
        <v>326</v>
      </c>
      <c r="I1329" s="5"/>
      <c r="J1329" s="5" t="s">
        <v>9717</v>
      </c>
      <c r="K1329" s="5" t="s">
        <v>4716</v>
      </c>
      <c r="L1329" s="5"/>
      <c r="M1329" s="5" t="s">
        <v>301</v>
      </c>
      <c r="N1329" s="5" t="s">
        <v>296</v>
      </c>
      <c r="O1329" s="5" t="s">
        <v>3795</v>
      </c>
      <c r="P1329" s="5"/>
      <c r="Q1329" s="5" t="s">
        <v>9718</v>
      </c>
    </row>
    <row r="1330" spans="2:17" x14ac:dyDescent="0.2">
      <c r="B1330" s="5" t="s">
        <v>9550</v>
      </c>
      <c r="C1330" s="6" t="s">
        <v>13589</v>
      </c>
      <c r="D1330" s="4">
        <v>858</v>
      </c>
      <c r="E1330" s="5" t="s">
        <v>24</v>
      </c>
      <c r="F1330" s="5" t="s">
        <v>9706</v>
      </c>
      <c r="G1330" s="6" t="s">
        <v>14</v>
      </c>
      <c r="H1330" s="4">
        <v>327</v>
      </c>
      <c r="I1330" s="5"/>
      <c r="J1330" s="5" t="s">
        <v>9707</v>
      </c>
      <c r="K1330" s="5" t="s">
        <v>3793</v>
      </c>
      <c r="L1330" s="5"/>
      <c r="M1330" s="5" t="s">
        <v>296</v>
      </c>
      <c r="N1330" s="5" t="s">
        <v>296</v>
      </c>
      <c r="O1330" s="5" t="s">
        <v>5014</v>
      </c>
      <c r="P1330" s="5"/>
      <c r="Q1330" s="5" t="s">
        <v>9708</v>
      </c>
    </row>
    <row r="1331" spans="2:17" x14ac:dyDescent="0.2">
      <c r="B1331" s="5" t="s">
        <v>9550</v>
      </c>
      <c r="C1331" s="6" t="s">
        <v>13589</v>
      </c>
      <c r="D1331" s="4">
        <v>862</v>
      </c>
      <c r="E1331" s="5" t="s">
        <v>24</v>
      </c>
      <c r="F1331" s="5" t="s">
        <v>9687</v>
      </c>
      <c r="G1331" s="6" t="s">
        <v>14</v>
      </c>
      <c r="H1331" s="4">
        <v>328</v>
      </c>
      <c r="I1331" s="5"/>
      <c r="J1331" s="5" t="s">
        <v>9688</v>
      </c>
      <c r="K1331" s="5" t="s">
        <v>3793</v>
      </c>
      <c r="L1331" s="5"/>
      <c r="M1331" s="5" t="s">
        <v>97</v>
      </c>
      <c r="N1331" s="5" t="s">
        <v>97</v>
      </c>
      <c r="O1331" s="5" t="s">
        <v>5014</v>
      </c>
      <c r="P1331" s="5"/>
      <c r="Q1331" s="5" t="s">
        <v>9689</v>
      </c>
    </row>
    <row r="1332" spans="2:17" x14ac:dyDescent="0.2">
      <c r="B1332" s="5" t="s">
        <v>9550</v>
      </c>
      <c r="C1332" s="6" t="s">
        <v>13589</v>
      </c>
      <c r="D1332" s="4">
        <v>865</v>
      </c>
      <c r="E1332" s="5" t="s">
        <v>24</v>
      </c>
      <c r="F1332" s="5" t="s">
        <v>9690</v>
      </c>
      <c r="G1332" s="6" t="s">
        <v>14</v>
      </c>
      <c r="H1332" s="4">
        <v>329</v>
      </c>
      <c r="I1332" s="5"/>
      <c r="J1332" s="5" t="s">
        <v>9691</v>
      </c>
      <c r="K1332" s="5" t="s">
        <v>9692</v>
      </c>
      <c r="L1332" s="5"/>
      <c r="M1332" s="5" t="s">
        <v>283</v>
      </c>
      <c r="N1332" s="5" t="s">
        <v>284</v>
      </c>
      <c r="O1332" s="5" t="s">
        <v>9562</v>
      </c>
      <c r="P1332" s="5"/>
      <c r="Q1332" s="5" t="s">
        <v>9693</v>
      </c>
    </row>
    <row r="1333" spans="2:17" x14ac:dyDescent="0.2">
      <c r="B1333" s="5" t="s">
        <v>9550</v>
      </c>
      <c r="C1333" s="6" t="s">
        <v>13589</v>
      </c>
      <c r="D1333" s="4">
        <v>866</v>
      </c>
      <c r="E1333" s="5" t="s">
        <v>32</v>
      </c>
      <c r="F1333" s="5" t="s">
        <v>9622</v>
      </c>
      <c r="G1333" s="6" t="s">
        <v>14</v>
      </c>
      <c r="H1333" s="4">
        <v>330</v>
      </c>
      <c r="I1333" s="5" t="s">
        <v>22</v>
      </c>
      <c r="J1333" s="5" t="s">
        <v>9625</v>
      </c>
      <c r="K1333" s="5" t="s">
        <v>9599</v>
      </c>
      <c r="L1333" s="5"/>
      <c r="M1333" s="5" t="s">
        <v>1200</v>
      </c>
      <c r="N1333" s="5" t="s">
        <v>1269</v>
      </c>
      <c r="O1333" s="5" t="s">
        <v>9557</v>
      </c>
      <c r="P1333" s="5"/>
      <c r="Q1333" s="5" t="s">
        <v>9626</v>
      </c>
    </row>
    <row r="1334" spans="2:17" x14ac:dyDescent="0.2">
      <c r="B1334" s="5" t="s">
        <v>9550</v>
      </c>
      <c r="C1334" s="6" t="s">
        <v>13589</v>
      </c>
      <c r="D1334" s="4">
        <v>870</v>
      </c>
      <c r="E1334" s="5" t="s">
        <v>15</v>
      </c>
      <c r="F1334" s="5" t="s">
        <v>9678</v>
      </c>
      <c r="G1334" s="6" t="s">
        <v>14</v>
      </c>
      <c r="H1334" s="4">
        <v>331</v>
      </c>
      <c r="I1334" s="5"/>
      <c r="J1334" s="5" t="s">
        <v>9679</v>
      </c>
      <c r="K1334" s="5" t="s">
        <v>9680</v>
      </c>
      <c r="L1334" s="5"/>
      <c r="M1334" s="5" t="s">
        <v>1915</v>
      </c>
      <c r="N1334" s="5" t="s">
        <v>1247</v>
      </c>
      <c r="O1334" s="5" t="s">
        <v>3790</v>
      </c>
      <c r="P1334" s="5"/>
      <c r="Q1334" s="5" t="s">
        <v>9681</v>
      </c>
    </row>
    <row r="1335" spans="2:17" x14ac:dyDescent="0.2">
      <c r="B1335" s="5" t="s">
        <v>9550</v>
      </c>
      <c r="C1335" s="6" t="s">
        <v>13589</v>
      </c>
      <c r="D1335" s="4">
        <v>872</v>
      </c>
      <c r="E1335" s="5" t="s">
        <v>35</v>
      </c>
      <c r="F1335" s="5" t="s">
        <v>9662</v>
      </c>
      <c r="G1335" s="6" t="s">
        <v>14</v>
      </c>
      <c r="H1335" s="4">
        <v>332</v>
      </c>
      <c r="I1335" s="5"/>
      <c r="J1335" s="5" t="s">
        <v>9663</v>
      </c>
      <c r="K1335" s="5" t="s">
        <v>3791</v>
      </c>
      <c r="L1335" s="5"/>
      <c r="M1335" s="5" t="s">
        <v>1247</v>
      </c>
      <c r="N1335" s="5" t="s">
        <v>1247</v>
      </c>
      <c r="O1335" s="5" t="s">
        <v>9553</v>
      </c>
      <c r="P1335" s="5"/>
      <c r="Q1335" s="5" t="s">
        <v>9664</v>
      </c>
    </row>
    <row r="1336" spans="2:17" x14ac:dyDescent="0.2">
      <c r="B1336" s="5" t="s">
        <v>9550</v>
      </c>
      <c r="C1336" s="6" t="s">
        <v>13589</v>
      </c>
      <c r="D1336" s="4">
        <v>876</v>
      </c>
      <c r="E1336" s="5" t="s">
        <v>32</v>
      </c>
      <c r="F1336" s="5" t="s">
        <v>9840</v>
      </c>
      <c r="G1336" s="6" t="s">
        <v>14</v>
      </c>
      <c r="H1336" s="4">
        <v>333</v>
      </c>
      <c r="I1336" s="5" t="s">
        <v>22</v>
      </c>
      <c r="J1336" s="5" t="s">
        <v>9841</v>
      </c>
      <c r="K1336" s="5" t="s">
        <v>9611</v>
      </c>
      <c r="L1336" s="5"/>
      <c r="M1336" s="5" t="s">
        <v>1526</v>
      </c>
      <c r="N1336" s="5" t="s">
        <v>2147</v>
      </c>
      <c r="O1336" s="5" t="s">
        <v>9557</v>
      </c>
      <c r="P1336" s="5"/>
      <c r="Q1336" s="5" t="s">
        <v>9842</v>
      </c>
    </row>
    <row r="1337" spans="2:17" x14ac:dyDescent="0.2">
      <c r="B1337" s="5" t="s">
        <v>9550</v>
      </c>
      <c r="C1337" s="6" t="s">
        <v>13589</v>
      </c>
      <c r="D1337" s="4">
        <v>880</v>
      </c>
      <c r="E1337" s="5" t="s">
        <v>32</v>
      </c>
      <c r="F1337" s="5" t="s">
        <v>9840</v>
      </c>
      <c r="G1337" s="6" t="s">
        <v>14</v>
      </c>
      <c r="H1337" s="4">
        <v>334</v>
      </c>
      <c r="I1337" s="5" t="s">
        <v>22</v>
      </c>
      <c r="J1337" s="5" t="s">
        <v>9843</v>
      </c>
      <c r="K1337" s="5" t="s">
        <v>9590</v>
      </c>
      <c r="L1337" s="5"/>
      <c r="M1337" s="5" t="s">
        <v>1526</v>
      </c>
      <c r="N1337" s="5" t="s">
        <v>2147</v>
      </c>
      <c r="O1337" s="5" t="s">
        <v>3795</v>
      </c>
      <c r="P1337" s="5"/>
      <c r="Q1337" s="5" t="s">
        <v>9844</v>
      </c>
    </row>
    <row r="1338" spans="2:17" x14ac:dyDescent="0.2">
      <c r="B1338" s="5" t="s">
        <v>9550</v>
      </c>
      <c r="C1338" s="6" t="s">
        <v>13589</v>
      </c>
      <c r="D1338" s="4">
        <v>881</v>
      </c>
      <c r="E1338" s="5" t="s">
        <v>32</v>
      </c>
      <c r="F1338" s="5" t="s">
        <v>9840</v>
      </c>
      <c r="G1338" s="6" t="s">
        <v>14</v>
      </c>
      <c r="H1338" s="4">
        <v>335</v>
      </c>
      <c r="I1338" s="5" t="s">
        <v>22</v>
      </c>
      <c r="J1338" s="5" t="s">
        <v>9845</v>
      </c>
      <c r="K1338" s="5" t="s">
        <v>50</v>
      </c>
      <c r="L1338" s="5"/>
      <c r="M1338" s="5" t="s">
        <v>1526</v>
      </c>
      <c r="N1338" s="5" t="s">
        <v>2147</v>
      </c>
      <c r="O1338" s="5" t="s">
        <v>3795</v>
      </c>
      <c r="P1338" s="5"/>
      <c r="Q1338" s="5" t="s">
        <v>9846</v>
      </c>
    </row>
    <row r="1339" spans="2:17" x14ac:dyDescent="0.2">
      <c r="B1339" s="5" t="s">
        <v>9550</v>
      </c>
      <c r="C1339" s="6" t="s">
        <v>13589</v>
      </c>
      <c r="D1339" s="4">
        <v>882</v>
      </c>
      <c r="E1339" s="5" t="s">
        <v>32</v>
      </c>
      <c r="F1339" s="5" t="s">
        <v>9840</v>
      </c>
      <c r="G1339" s="6" t="s">
        <v>14</v>
      </c>
      <c r="H1339" s="4">
        <v>336</v>
      </c>
      <c r="I1339" s="5" t="s">
        <v>22</v>
      </c>
      <c r="J1339" s="5" t="s">
        <v>9847</v>
      </c>
      <c r="K1339" s="5" t="s">
        <v>9601</v>
      </c>
      <c r="L1339" s="5"/>
      <c r="M1339" s="5" t="s">
        <v>1526</v>
      </c>
      <c r="N1339" s="5" t="s">
        <v>2147</v>
      </c>
      <c r="O1339" s="5" t="s">
        <v>3795</v>
      </c>
      <c r="P1339" s="5"/>
      <c r="Q1339" s="5" t="s">
        <v>9848</v>
      </c>
    </row>
    <row r="1340" spans="2:17" x14ac:dyDescent="0.2">
      <c r="B1340" s="5" t="s">
        <v>9550</v>
      </c>
      <c r="C1340" s="6" t="s">
        <v>13589</v>
      </c>
      <c r="D1340" s="4">
        <v>883</v>
      </c>
      <c r="E1340" s="5" t="s">
        <v>35</v>
      </c>
      <c r="F1340" s="5" t="s">
        <v>9654</v>
      </c>
      <c r="G1340" s="6" t="s">
        <v>14</v>
      </c>
      <c r="H1340" s="4">
        <v>337</v>
      </c>
      <c r="I1340" s="5"/>
      <c r="J1340" s="5" t="s">
        <v>9655</v>
      </c>
      <c r="K1340" s="5" t="s">
        <v>30</v>
      </c>
      <c r="L1340" s="5"/>
      <c r="M1340" s="5" t="s">
        <v>1218</v>
      </c>
      <c r="N1340" s="5" t="s">
        <v>1218</v>
      </c>
      <c r="O1340" s="5" t="s">
        <v>9582</v>
      </c>
      <c r="P1340" s="5"/>
      <c r="Q1340" s="5" t="s">
        <v>9656</v>
      </c>
    </row>
    <row r="1341" spans="2:17" x14ac:dyDescent="0.2">
      <c r="B1341" s="5" t="s">
        <v>9550</v>
      </c>
      <c r="C1341" s="6" t="s">
        <v>13589</v>
      </c>
      <c r="D1341" s="4">
        <v>884</v>
      </c>
      <c r="E1341" s="5" t="s">
        <v>46</v>
      </c>
      <c r="F1341" s="5" t="s">
        <v>10068</v>
      </c>
      <c r="G1341" s="6" t="s">
        <v>14</v>
      </c>
      <c r="H1341" s="4">
        <v>338</v>
      </c>
      <c r="I1341" s="5"/>
      <c r="J1341" s="5" t="s">
        <v>9577</v>
      </c>
      <c r="K1341" s="5" t="s">
        <v>9578</v>
      </c>
      <c r="L1341" s="5"/>
      <c r="M1341" s="5" t="s">
        <v>1074</v>
      </c>
      <c r="N1341" s="5" t="s">
        <v>1074</v>
      </c>
      <c r="O1341" s="5" t="s">
        <v>9553</v>
      </c>
      <c r="P1341" s="5"/>
      <c r="Q1341" s="5" t="s">
        <v>10069</v>
      </c>
    </row>
    <row r="1342" spans="2:17" x14ac:dyDescent="0.2">
      <c r="B1342" s="5" t="s">
        <v>9550</v>
      </c>
      <c r="C1342" s="6" t="s">
        <v>13589</v>
      </c>
      <c r="D1342" s="4">
        <v>885</v>
      </c>
      <c r="E1342" s="5" t="s">
        <v>15</v>
      </c>
      <c r="F1342" s="5" t="s">
        <v>10070</v>
      </c>
      <c r="G1342" s="6" t="s">
        <v>14</v>
      </c>
      <c r="H1342" s="4">
        <v>339</v>
      </c>
      <c r="I1342" s="5"/>
      <c r="J1342" s="5" t="s">
        <v>10071</v>
      </c>
      <c r="K1342" s="5" t="s">
        <v>9598</v>
      </c>
      <c r="L1342" s="5"/>
      <c r="M1342" s="5" t="s">
        <v>5645</v>
      </c>
      <c r="N1342" s="5" t="s">
        <v>1074</v>
      </c>
      <c r="O1342" s="5" t="s">
        <v>9552</v>
      </c>
      <c r="P1342" s="5"/>
      <c r="Q1342" s="5" t="s">
        <v>10072</v>
      </c>
    </row>
    <row r="1343" spans="2:17" x14ac:dyDescent="0.2">
      <c r="B1343" s="5" t="s">
        <v>9550</v>
      </c>
      <c r="C1343" s="6" t="s">
        <v>13589</v>
      </c>
      <c r="D1343" s="4">
        <v>886</v>
      </c>
      <c r="E1343" s="5" t="s">
        <v>15</v>
      </c>
      <c r="F1343" s="5" t="s">
        <v>9639</v>
      </c>
      <c r="G1343" s="6" t="s">
        <v>14</v>
      </c>
      <c r="H1343" s="4">
        <v>340</v>
      </c>
      <c r="I1343" s="5"/>
      <c r="J1343" s="5" t="s">
        <v>9640</v>
      </c>
      <c r="K1343" s="5" t="s">
        <v>9592</v>
      </c>
      <c r="L1343" s="5"/>
      <c r="M1343" s="5" t="s">
        <v>2821</v>
      </c>
      <c r="N1343" s="5" t="s">
        <v>1723</v>
      </c>
      <c r="O1343" s="5" t="s">
        <v>9557</v>
      </c>
      <c r="P1343" s="5"/>
      <c r="Q1343" s="5" t="s">
        <v>9641</v>
      </c>
    </row>
    <row r="1344" spans="2:17" x14ac:dyDescent="0.2">
      <c r="B1344" s="5" t="s">
        <v>9550</v>
      </c>
      <c r="C1344" s="6" t="s">
        <v>13589</v>
      </c>
      <c r="D1344" s="4">
        <v>887</v>
      </c>
      <c r="E1344" s="5" t="s">
        <v>15</v>
      </c>
      <c r="F1344" s="5" t="s">
        <v>9639</v>
      </c>
      <c r="G1344" s="6" t="s">
        <v>14</v>
      </c>
      <c r="H1344" s="4">
        <v>341</v>
      </c>
      <c r="I1344" s="5"/>
      <c r="J1344" s="5" t="s">
        <v>9642</v>
      </c>
      <c r="K1344" s="5" t="s">
        <v>9574</v>
      </c>
      <c r="L1344" s="5"/>
      <c r="M1344" s="5" t="s">
        <v>2821</v>
      </c>
      <c r="N1344" s="5" t="s">
        <v>1723</v>
      </c>
      <c r="O1344" s="5" t="s">
        <v>9557</v>
      </c>
      <c r="P1344" s="5"/>
      <c r="Q1344" s="5" t="s">
        <v>9643</v>
      </c>
    </row>
    <row r="1345" spans="2:17" x14ac:dyDescent="0.2">
      <c r="B1345" s="5" t="s">
        <v>9550</v>
      </c>
      <c r="C1345" s="6" t="s">
        <v>13589</v>
      </c>
      <c r="D1345" s="4">
        <v>888</v>
      </c>
      <c r="E1345" s="5" t="s">
        <v>15</v>
      </c>
      <c r="F1345" s="5" t="s">
        <v>9639</v>
      </c>
      <c r="G1345" s="6" t="s">
        <v>14</v>
      </c>
      <c r="H1345" s="4">
        <v>342</v>
      </c>
      <c r="I1345" s="5"/>
      <c r="J1345" s="5" t="s">
        <v>9644</v>
      </c>
      <c r="K1345" s="5" t="s">
        <v>9645</v>
      </c>
      <c r="L1345" s="5"/>
      <c r="M1345" s="5" t="s">
        <v>2821</v>
      </c>
      <c r="N1345" s="5" t="s">
        <v>1723</v>
      </c>
      <c r="O1345" s="5" t="s">
        <v>9557</v>
      </c>
      <c r="P1345" s="5"/>
      <c r="Q1345" s="5" t="s">
        <v>9646</v>
      </c>
    </row>
    <row r="1346" spans="2:17" x14ac:dyDescent="0.2">
      <c r="B1346" s="5" t="s">
        <v>9550</v>
      </c>
      <c r="C1346" s="6" t="s">
        <v>13589</v>
      </c>
      <c r="D1346" s="4">
        <v>889</v>
      </c>
      <c r="E1346" s="5" t="s">
        <v>15</v>
      </c>
      <c r="F1346" s="5" t="s">
        <v>9639</v>
      </c>
      <c r="G1346" s="6" t="s">
        <v>14</v>
      </c>
      <c r="H1346" s="4">
        <v>343</v>
      </c>
      <c r="I1346" s="5"/>
      <c r="J1346" s="5" t="s">
        <v>9647</v>
      </c>
      <c r="K1346" s="5" t="s">
        <v>9559</v>
      </c>
      <c r="L1346" s="5"/>
      <c r="M1346" s="5" t="s">
        <v>2821</v>
      </c>
      <c r="N1346" s="5" t="s">
        <v>1723</v>
      </c>
      <c r="O1346" s="5" t="s">
        <v>3790</v>
      </c>
      <c r="P1346" s="5"/>
      <c r="Q1346" s="5" t="s">
        <v>9648</v>
      </c>
    </row>
    <row r="1347" spans="2:17" x14ac:dyDescent="0.2">
      <c r="B1347" s="5" t="s">
        <v>9550</v>
      </c>
      <c r="C1347" s="6" t="s">
        <v>13589</v>
      </c>
      <c r="D1347" s="4">
        <v>890</v>
      </c>
      <c r="E1347" s="5" t="s">
        <v>15</v>
      </c>
      <c r="F1347" s="5" t="s">
        <v>9639</v>
      </c>
      <c r="G1347" s="6" t="s">
        <v>14</v>
      </c>
      <c r="H1347" s="4">
        <v>344</v>
      </c>
      <c r="I1347" s="5"/>
      <c r="J1347" s="5" t="s">
        <v>9649</v>
      </c>
      <c r="K1347" s="5" t="s">
        <v>9607</v>
      </c>
      <c r="L1347" s="5"/>
      <c r="M1347" s="5" t="s">
        <v>2821</v>
      </c>
      <c r="N1347" s="5" t="s">
        <v>1723</v>
      </c>
      <c r="O1347" s="5" t="s">
        <v>3790</v>
      </c>
      <c r="P1347" s="5"/>
      <c r="Q1347" s="5" t="s">
        <v>9650</v>
      </c>
    </row>
    <row r="1348" spans="2:17" x14ac:dyDescent="0.2">
      <c r="B1348" s="5" t="s">
        <v>9550</v>
      </c>
      <c r="C1348" s="6" t="s">
        <v>13589</v>
      </c>
      <c r="D1348" s="4">
        <v>893</v>
      </c>
      <c r="E1348" s="5" t="s">
        <v>24</v>
      </c>
      <c r="F1348" s="5" t="s">
        <v>10065</v>
      </c>
      <c r="G1348" s="6" t="s">
        <v>14</v>
      </c>
      <c r="H1348" s="4">
        <v>345</v>
      </c>
      <c r="I1348" s="5"/>
      <c r="J1348" s="5" t="s">
        <v>10066</v>
      </c>
      <c r="K1348" s="5" t="s">
        <v>9570</v>
      </c>
      <c r="L1348" s="5"/>
      <c r="M1348" s="5" t="s">
        <v>1073</v>
      </c>
      <c r="N1348" s="5" t="s">
        <v>1073</v>
      </c>
      <c r="O1348" s="5" t="s">
        <v>9553</v>
      </c>
      <c r="P1348" s="5"/>
      <c r="Q1348" s="5" t="s">
        <v>10067</v>
      </c>
    </row>
    <row r="1349" spans="2:17" x14ac:dyDescent="0.2">
      <c r="B1349" s="5" t="s">
        <v>9550</v>
      </c>
      <c r="C1349" s="6" t="s">
        <v>13589</v>
      </c>
      <c r="D1349" s="4">
        <v>894</v>
      </c>
      <c r="E1349" s="5" t="s">
        <v>35</v>
      </c>
      <c r="F1349" s="5" t="s">
        <v>10184</v>
      </c>
      <c r="G1349" s="6" t="s">
        <v>14</v>
      </c>
      <c r="H1349" s="4">
        <v>346</v>
      </c>
      <c r="I1349" s="5"/>
      <c r="J1349" s="5" t="s">
        <v>10182</v>
      </c>
      <c r="K1349" s="5" t="s">
        <v>9570</v>
      </c>
      <c r="L1349" s="5"/>
      <c r="M1349" s="5" t="s">
        <v>513</v>
      </c>
      <c r="N1349" s="5" t="s">
        <v>513</v>
      </c>
      <c r="O1349" s="5" t="s">
        <v>9553</v>
      </c>
      <c r="P1349" s="5"/>
      <c r="Q1349" s="5" t="s">
        <v>10185</v>
      </c>
    </row>
    <row r="1350" spans="2:17" x14ac:dyDescent="0.2">
      <c r="B1350" s="5" t="s">
        <v>9550</v>
      </c>
      <c r="C1350" s="6" t="s">
        <v>13589</v>
      </c>
      <c r="D1350" s="4">
        <v>898</v>
      </c>
      <c r="E1350" s="5" t="s">
        <v>15</v>
      </c>
      <c r="F1350" s="5" t="s">
        <v>10166</v>
      </c>
      <c r="G1350" s="6" t="s">
        <v>14</v>
      </c>
      <c r="H1350" s="4">
        <v>347</v>
      </c>
      <c r="I1350" s="5"/>
      <c r="J1350" s="5" t="s">
        <v>10167</v>
      </c>
      <c r="K1350" s="5" t="s">
        <v>9866</v>
      </c>
      <c r="L1350" s="5"/>
      <c r="M1350" s="5" t="s">
        <v>3537</v>
      </c>
      <c r="N1350" s="5" t="s">
        <v>3537</v>
      </c>
      <c r="O1350" s="5" t="s">
        <v>5014</v>
      </c>
      <c r="P1350" s="5"/>
      <c r="Q1350" s="5" t="s">
        <v>10168</v>
      </c>
    </row>
    <row r="1351" spans="2:17" x14ac:dyDescent="0.2">
      <c r="B1351" s="5" t="s">
        <v>9550</v>
      </c>
      <c r="C1351" s="6" t="s">
        <v>13589</v>
      </c>
      <c r="D1351" s="4">
        <v>900</v>
      </c>
      <c r="E1351" s="5" t="s">
        <v>20</v>
      </c>
      <c r="F1351" s="5" t="s">
        <v>10163</v>
      </c>
      <c r="G1351" s="6" t="s">
        <v>14</v>
      </c>
      <c r="H1351" s="4">
        <v>348</v>
      </c>
      <c r="I1351" s="5" t="s">
        <v>22</v>
      </c>
      <c r="J1351" s="5" t="s">
        <v>10164</v>
      </c>
      <c r="K1351" s="5" t="s">
        <v>9583</v>
      </c>
      <c r="L1351" s="5"/>
      <c r="M1351" s="5" t="s">
        <v>3537</v>
      </c>
      <c r="N1351" s="5" t="s">
        <v>523</v>
      </c>
      <c r="O1351" s="5" t="s">
        <v>9582</v>
      </c>
      <c r="P1351" s="5"/>
      <c r="Q1351" s="5" t="s">
        <v>10165</v>
      </c>
    </row>
    <row r="1352" spans="2:17" x14ac:dyDescent="0.2">
      <c r="B1352" s="5" t="s">
        <v>9550</v>
      </c>
      <c r="C1352" s="6" t="s">
        <v>13589</v>
      </c>
      <c r="D1352" s="4">
        <v>901</v>
      </c>
      <c r="E1352" s="5" t="s">
        <v>35</v>
      </c>
      <c r="F1352" s="5" t="s">
        <v>9614</v>
      </c>
      <c r="G1352" s="6" t="s">
        <v>14</v>
      </c>
      <c r="H1352" s="4">
        <v>349</v>
      </c>
      <c r="I1352" s="5"/>
      <c r="J1352" s="5" t="s">
        <v>9554</v>
      </c>
      <c r="K1352" s="5" t="s">
        <v>9615</v>
      </c>
      <c r="L1352" s="5"/>
      <c r="M1352" s="5" t="s">
        <v>2805</v>
      </c>
      <c r="N1352" s="5" t="s">
        <v>523</v>
      </c>
      <c r="O1352" s="5" t="s">
        <v>3790</v>
      </c>
      <c r="P1352" s="5"/>
      <c r="Q1352" s="5" t="s">
        <v>9616</v>
      </c>
    </row>
    <row r="1353" spans="2:17" x14ac:dyDescent="0.2">
      <c r="B1353" s="5" t="s">
        <v>9550</v>
      </c>
      <c r="C1353" s="6" t="s">
        <v>13589</v>
      </c>
      <c r="D1353" s="4">
        <v>902</v>
      </c>
      <c r="E1353" s="5" t="s">
        <v>24</v>
      </c>
      <c r="F1353" s="5" t="s">
        <v>10172</v>
      </c>
      <c r="G1353" s="6" t="s">
        <v>14</v>
      </c>
      <c r="H1353" s="4">
        <v>350</v>
      </c>
      <c r="I1353" s="5"/>
      <c r="J1353" s="5" t="s">
        <v>10173</v>
      </c>
      <c r="K1353" s="5" t="s">
        <v>10050</v>
      </c>
      <c r="L1353" s="5"/>
      <c r="M1353" s="5" t="s">
        <v>513</v>
      </c>
      <c r="N1353" s="5" t="s">
        <v>523</v>
      </c>
      <c r="O1353" s="5" t="s">
        <v>9557</v>
      </c>
      <c r="P1353" s="5"/>
      <c r="Q1353" s="5" t="s">
        <v>10174</v>
      </c>
    </row>
    <row r="1354" spans="2:17" x14ac:dyDescent="0.2">
      <c r="B1354" s="5" t="s">
        <v>9550</v>
      </c>
      <c r="C1354" s="6" t="s">
        <v>13589</v>
      </c>
      <c r="D1354" s="4">
        <v>903</v>
      </c>
      <c r="E1354" s="5" t="s">
        <v>15</v>
      </c>
      <c r="F1354" s="5" t="s">
        <v>10160</v>
      </c>
      <c r="G1354" s="6" t="s">
        <v>14</v>
      </c>
      <c r="H1354" s="4">
        <v>351</v>
      </c>
      <c r="I1354" s="5"/>
      <c r="J1354" s="5" t="s">
        <v>10161</v>
      </c>
      <c r="K1354" s="5" t="s">
        <v>9866</v>
      </c>
      <c r="L1354" s="5"/>
      <c r="M1354" s="5" t="s">
        <v>523</v>
      </c>
      <c r="N1354" s="5" t="s">
        <v>523</v>
      </c>
      <c r="O1354" s="5" t="s">
        <v>5014</v>
      </c>
      <c r="P1354" s="5"/>
      <c r="Q1354" s="5" t="s">
        <v>10162</v>
      </c>
    </row>
    <row r="1355" spans="2:17" x14ac:dyDescent="0.2">
      <c r="B1355" s="5" t="s">
        <v>9550</v>
      </c>
      <c r="C1355" s="6" t="s">
        <v>13589</v>
      </c>
      <c r="D1355" s="4">
        <v>906</v>
      </c>
      <c r="E1355" s="5" t="s">
        <v>32</v>
      </c>
      <c r="F1355" s="5" t="s">
        <v>9629</v>
      </c>
      <c r="G1355" s="6" t="s">
        <v>14</v>
      </c>
      <c r="H1355" s="4">
        <v>352</v>
      </c>
      <c r="I1355" s="5" t="s">
        <v>22</v>
      </c>
      <c r="J1355" s="5" t="s">
        <v>9630</v>
      </c>
      <c r="K1355" s="5" t="s">
        <v>9581</v>
      </c>
      <c r="L1355" s="5"/>
      <c r="M1355" s="5" t="s">
        <v>1200</v>
      </c>
      <c r="N1355" s="5" t="s">
        <v>1201</v>
      </c>
      <c r="O1355" s="5" t="s">
        <v>9585</v>
      </c>
      <c r="P1355" s="5"/>
      <c r="Q1355" s="5" t="s">
        <v>9631</v>
      </c>
    </row>
    <row r="1356" spans="2:17" x14ac:dyDescent="0.2">
      <c r="B1356" s="5" t="s">
        <v>9550</v>
      </c>
      <c r="C1356" s="6" t="s">
        <v>13589</v>
      </c>
      <c r="D1356" s="4">
        <v>907</v>
      </c>
      <c r="E1356" s="5" t="s">
        <v>35</v>
      </c>
      <c r="F1356" s="5" t="s">
        <v>10178</v>
      </c>
      <c r="G1356" s="6" t="s">
        <v>14</v>
      </c>
      <c r="H1356" s="4">
        <v>353</v>
      </c>
      <c r="I1356" s="5"/>
      <c r="J1356" s="5" t="s">
        <v>10179</v>
      </c>
      <c r="K1356" s="5" t="s">
        <v>9559</v>
      </c>
      <c r="L1356" s="5"/>
      <c r="M1356" s="5" t="s">
        <v>513</v>
      </c>
      <c r="N1356" s="5" t="s">
        <v>2278</v>
      </c>
      <c r="O1356" s="5" t="s">
        <v>3790</v>
      </c>
      <c r="P1356" s="5"/>
      <c r="Q1356" s="5" t="s">
        <v>10180</v>
      </c>
    </row>
    <row r="1357" spans="2:17" x14ac:dyDescent="0.2">
      <c r="B1357" s="5" t="s">
        <v>9550</v>
      </c>
      <c r="C1357" s="6" t="s">
        <v>13589</v>
      </c>
      <c r="D1357" s="4">
        <v>908</v>
      </c>
      <c r="E1357" s="5" t="s">
        <v>15</v>
      </c>
      <c r="F1357" s="5" t="s">
        <v>10169</v>
      </c>
      <c r="G1357" s="6" t="s">
        <v>14</v>
      </c>
      <c r="H1357" s="4">
        <v>354</v>
      </c>
      <c r="I1357" s="5"/>
      <c r="J1357" s="5" t="s">
        <v>10170</v>
      </c>
      <c r="K1357" s="5" t="s">
        <v>9578</v>
      </c>
      <c r="L1357" s="5"/>
      <c r="M1357" s="5" t="s">
        <v>513</v>
      </c>
      <c r="N1357" s="5" t="s">
        <v>2278</v>
      </c>
      <c r="O1357" s="5" t="s">
        <v>9553</v>
      </c>
      <c r="P1357" s="5"/>
      <c r="Q1357" s="5" t="s">
        <v>10171</v>
      </c>
    </row>
    <row r="1358" spans="2:17" x14ac:dyDescent="0.2">
      <c r="B1358" s="5" t="s">
        <v>9550</v>
      </c>
      <c r="C1358" s="6" t="s">
        <v>13589</v>
      </c>
      <c r="D1358" s="4">
        <v>909</v>
      </c>
      <c r="E1358" s="5" t="s">
        <v>24</v>
      </c>
      <c r="F1358" s="5" t="s">
        <v>10175</v>
      </c>
      <c r="G1358" s="6" t="s">
        <v>14</v>
      </c>
      <c r="H1358" s="4">
        <v>355</v>
      </c>
      <c r="I1358" s="5"/>
      <c r="J1358" s="5" t="s">
        <v>10176</v>
      </c>
      <c r="K1358" s="5" t="s">
        <v>9587</v>
      </c>
      <c r="L1358" s="5"/>
      <c r="M1358" s="5" t="s">
        <v>513</v>
      </c>
      <c r="N1358" s="5" t="s">
        <v>2278</v>
      </c>
      <c r="O1358" s="5" t="s">
        <v>9557</v>
      </c>
      <c r="P1358" s="5"/>
      <c r="Q1358" s="5" t="s">
        <v>10177</v>
      </c>
    </row>
    <row r="1359" spans="2:17" x14ac:dyDescent="0.2">
      <c r="B1359" s="5" t="s">
        <v>9550</v>
      </c>
      <c r="C1359" s="6" t="s">
        <v>13589</v>
      </c>
      <c r="D1359" s="4">
        <v>910</v>
      </c>
      <c r="E1359" s="5" t="s">
        <v>35</v>
      </c>
      <c r="F1359" s="5" t="s">
        <v>10181</v>
      </c>
      <c r="G1359" s="6" t="s">
        <v>14</v>
      </c>
      <c r="H1359" s="4">
        <v>356</v>
      </c>
      <c r="I1359" s="5"/>
      <c r="J1359" s="5" t="s">
        <v>10182</v>
      </c>
      <c r="K1359" s="5" t="s">
        <v>9570</v>
      </c>
      <c r="L1359" s="5"/>
      <c r="M1359" s="5" t="s">
        <v>513</v>
      </c>
      <c r="N1359" s="5" t="s">
        <v>2278</v>
      </c>
      <c r="O1359" s="5" t="s">
        <v>9553</v>
      </c>
      <c r="P1359" s="5"/>
      <c r="Q1359" s="5" t="s">
        <v>10183</v>
      </c>
    </row>
    <row r="1360" spans="2:17" x14ac:dyDescent="0.2">
      <c r="B1360" s="5" t="s">
        <v>9550</v>
      </c>
      <c r="C1360" s="6" t="s">
        <v>13589</v>
      </c>
      <c r="D1360" s="4">
        <v>912</v>
      </c>
      <c r="E1360" s="5" t="s">
        <v>32</v>
      </c>
      <c r="F1360" s="5" t="s">
        <v>9622</v>
      </c>
      <c r="G1360" s="6" t="s">
        <v>14</v>
      </c>
      <c r="H1360" s="4">
        <v>357</v>
      </c>
      <c r="I1360" s="5" t="s">
        <v>22</v>
      </c>
      <c r="J1360" s="5" t="s">
        <v>9627</v>
      </c>
      <c r="K1360" s="5" t="s">
        <v>9560</v>
      </c>
      <c r="L1360" s="5"/>
      <c r="M1360" s="5" t="s">
        <v>1200</v>
      </c>
      <c r="N1360" s="5" t="s">
        <v>1208</v>
      </c>
      <c r="O1360" s="5" t="s">
        <v>9557</v>
      </c>
      <c r="P1360" s="5"/>
      <c r="Q1360" s="5" t="s">
        <v>9628</v>
      </c>
    </row>
    <row r="1361" spans="2:17" x14ac:dyDescent="0.2">
      <c r="B1361" s="5" t="s">
        <v>9550</v>
      </c>
      <c r="C1361" s="6" t="s">
        <v>13589</v>
      </c>
      <c r="D1361" s="4">
        <v>913</v>
      </c>
      <c r="E1361" s="5" t="s">
        <v>32</v>
      </c>
      <c r="F1361" s="5" t="s">
        <v>9629</v>
      </c>
      <c r="G1361" s="6" t="s">
        <v>14</v>
      </c>
      <c r="H1361" s="4">
        <v>358</v>
      </c>
      <c r="I1361" s="5" t="s">
        <v>22</v>
      </c>
      <c r="J1361" s="5" t="s">
        <v>9632</v>
      </c>
      <c r="K1361" s="5" t="s">
        <v>9571</v>
      </c>
      <c r="L1361" s="5"/>
      <c r="M1361" s="5" t="s">
        <v>1200</v>
      </c>
      <c r="N1361" s="5" t="s">
        <v>1208</v>
      </c>
      <c r="O1361" s="5" t="s">
        <v>9552</v>
      </c>
      <c r="P1361" s="5"/>
      <c r="Q1361" s="5" t="s">
        <v>9633</v>
      </c>
    </row>
    <row r="1362" spans="2:17" x14ac:dyDescent="0.2">
      <c r="B1362" s="5" t="s">
        <v>9550</v>
      </c>
      <c r="C1362" s="6" t="s">
        <v>13589</v>
      </c>
      <c r="D1362" s="4">
        <v>914</v>
      </c>
      <c r="E1362" s="5" t="s">
        <v>32</v>
      </c>
      <c r="F1362" s="5" t="s">
        <v>9622</v>
      </c>
      <c r="G1362" s="6" t="s">
        <v>14</v>
      </c>
      <c r="H1362" s="4">
        <v>359</v>
      </c>
      <c r="I1362" s="5" t="s">
        <v>22</v>
      </c>
      <c r="J1362" s="5" t="s">
        <v>9623</v>
      </c>
      <c r="K1362" s="5" t="s">
        <v>9574</v>
      </c>
      <c r="L1362" s="5"/>
      <c r="M1362" s="5" t="s">
        <v>1200</v>
      </c>
      <c r="N1362" s="5" t="s">
        <v>1208</v>
      </c>
      <c r="O1362" s="5" t="s">
        <v>9557</v>
      </c>
      <c r="P1362" s="5"/>
      <c r="Q1362" s="5" t="s">
        <v>9624</v>
      </c>
    </row>
    <row r="1363" spans="2:17" x14ac:dyDescent="0.2">
      <c r="B1363" s="5" t="s">
        <v>9550</v>
      </c>
      <c r="C1363" s="6" t="s">
        <v>13589</v>
      </c>
      <c r="D1363" s="4">
        <v>916</v>
      </c>
      <c r="E1363" s="5" t="s">
        <v>13</v>
      </c>
      <c r="F1363" s="5" t="s">
        <v>9824</v>
      </c>
      <c r="G1363" s="6" t="s">
        <v>14</v>
      </c>
      <c r="H1363" s="4">
        <v>360</v>
      </c>
      <c r="I1363" s="5"/>
      <c r="J1363" s="5" t="s">
        <v>9825</v>
      </c>
      <c r="K1363" s="5" t="s">
        <v>9826</v>
      </c>
      <c r="L1363" s="5"/>
      <c r="M1363" s="5" t="s">
        <v>5052</v>
      </c>
      <c r="N1363" s="5" t="s">
        <v>5052</v>
      </c>
      <c r="O1363" s="5" t="s">
        <v>9553</v>
      </c>
      <c r="P1363" s="5"/>
      <c r="Q1363" s="5" t="s">
        <v>9827</v>
      </c>
    </row>
    <row r="1364" spans="2:17" x14ac:dyDescent="0.2">
      <c r="B1364" s="5" t="s">
        <v>9550</v>
      </c>
      <c r="C1364" s="6" t="s">
        <v>13589</v>
      </c>
      <c r="D1364" s="4">
        <v>919</v>
      </c>
      <c r="E1364" s="5" t="s">
        <v>15</v>
      </c>
      <c r="F1364" s="5" t="s">
        <v>10155</v>
      </c>
      <c r="G1364" s="6" t="s">
        <v>14</v>
      </c>
      <c r="H1364" s="4">
        <v>361</v>
      </c>
      <c r="I1364" s="5"/>
      <c r="J1364" s="5" t="s">
        <v>10156</v>
      </c>
      <c r="K1364" s="5" t="s">
        <v>9604</v>
      </c>
      <c r="L1364" s="5"/>
      <c r="M1364" s="5" t="s">
        <v>2278</v>
      </c>
      <c r="N1364" s="5" t="s">
        <v>1142</v>
      </c>
      <c r="O1364" s="5" t="s">
        <v>9562</v>
      </c>
      <c r="P1364" s="5"/>
      <c r="Q1364" s="5" t="s">
        <v>10157</v>
      </c>
    </row>
    <row r="1365" spans="2:17" x14ac:dyDescent="0.2">
      <c r="B1365" s="5" t="s">
        <v>9550</v>
      </c>
      <c r="C1365" s="6" t="s">
        <v>13589</v>
      </c>
      <c r="D1365" s="4">
        <v>920</v>
      </c>
      <c r="E1365" s="5" t="s">
        <v>15</v>
      </c>
      <c r="F1365" s="5" t="s">
        <v>10155</v>
      </c>
      <c r="G1365" s="6" t="s">
        <v>14</v>
      </c>
      <c r="H1365" s="4">
        <v>362</v>
      </c>
      <c r="I1365" s="5"/>
      <c r="J1365" s="5" t="s">
        <v>10158</v>
      </c>
      <c r="K1365" s="5"/>
      <c r="L1365" s="5" t="s">
        <v>9613</v>
      </c>
      <c r="M1365" s="5" t="s">
        <v>2278</v>
      </c>
      <c r="N1365" s="5" t="s">
        <v>1142</v>
      </c>
      <c r="O1365" s="5" t="s">
        <v>9562</v>
      </c>
      <c r="P1365" s="5"/>
      <c r="Q1365" s="5" t="s">
        <v>10159</v>
      </c>
    </row>
    <row r="1366" spans="2:17" x14ac:dyDescent="0.2">
      <c r="B1366" s="5" t="s">
        <v>9550</v>
      </c>
      <c r="C1366" s="6" t="s">
        <v>13589</v>
      </c>
      <c r="D1366" s="4">
        <v>921</v>
      </c>
      <c r="E1366" s="5" t="s">
        <v>35</v>
      </c>
      <c r="F1366" s="5" t="s">
        <v>10121</v>
      </c>
      <c r="G1366" s="6" t="s">
        <v>14</v>
      </c>
      <c r="H1366" s="4">
        <v>363</v>
      </c>
      <c r="I1366" s="5"/>
      <c r="J1366" s="5" t="s">
        <v>10122</v>
      </c>
      <c r="K1366" s="5" t="s">
        <v>9826</v>
      </c>
      <c r="L1366" s="5"/>
      <c r="M1366" s="5" t="s">
        <v>260</v>
      </c>
      <c r="N1366" s="5" t="s">
        <v>260</v>
      </c>
      <c r="O1366" s="5" t="s">
        <v>9553</v>
      </c>
      <c r="P1366" s="5"/>
      <c r="Q1366" s="5" t="s">
        <v>10123</v>
      </c>
    </row>
    <row r="1367" spans="2:17" x14ac:dyDescent="0.2">
      <c r="B1367" s="5" t="s">
        <v>9550</v>
      </c>
      <c r="C1367" s="6" t="s">
        <v>13589</v>
      </c>
      <c r="D1367" s="4">
        <v>922</v>
      </c>
      <c r="E1367" s="5" t="s">
        <v>35</v>
      </c>
      <c r="F1367" s="5" t="s">
        <v>10124</v>
      </c>
      <c r="G1367" s="6" t="s">
        <v>14</v>
      </c>
      <c r="H1367" s="4">
        <v>364</v>
      </c>
      <c r="I1367" s="5"/>
      <c r="J1367" s="5" t="s">
        <v>10122</v>
      </c>
      <c r="K1367" s="5" t="s">
        <v>10125</v>
      </c>
      <c r="L1367" s="5"/>
      <c r="M1367" s="5" t="s">
        <v>260</v>
      </c>
      <c r="N1367" s="5" t="s">
        <v>260</v>
      </c>
      <c r="O1367" s="5" t="s">
        <v>9553</v>
      </c>
      <c r="P1367" s="5"/>
      <c r="Q1367" s="5" t="s">
        <v>10126</v>
      </c>
    </row>
    <row r="1368" spans="2:17" x14ac:dyDescent="0.2">
      <c r="B1368" s="5" t="s">
        <v>9550</v>
      </c>
      <c r="C1368" s="6" t="s">
        <v>13589</v>
      </c>
      <c r="D1368" s="4">
        <v>924</v>
      </c>
      <c r="E1368" s="5" t="s">
        <v>13</v>
      </c>
      <c r="F1368" s="5" t="s">
        <v>10055</v>
      </c>
      <c r="G1368" s="6" t="s">
        <v>14</v>
      </c>
      <c r="H1368" s="4">
        <v>365</v>
      </c>
      <c r="I1368" s="5"/>
      <c r="J1368" s="5" t="s">
        <v>10056</v>
      </c>
      <c r="K1368" s="5" t="s">
        <v>9567</v>
      </c>
      <c r="L1368" s="5"/>
      <c r="M1368" s="5" t="s">
        <v>1650</v>
      </c>
      <c r="N1368" s="5" t="s">
        <v>1658</v>
      </c>
      <c r="O1368" s="5" t="s">
        <v>9568</v>
      </c>
      <c r="P1368" s="5" t="s">
        <v>10057</v>
      </c>
      <c r="Q1368" s="5" t="s">
        <v>10058</v>
      </c>
    </row>
    <row r="1369" spans="2:17" x14ac:dyDescent="0.2">
      <c r="B1369" s="5" t="s">
        <v>9550</v>
      </c>
      <c r="C1369" s="6" t="s">
        <v>13589</v>
      </c>
      <c r="D1369" s="4">
        <v>926</v>
      </c>
      <c r="E1369" s="5" t="s">
        <v>15</v>
      </c>
      <c r="F1369" s="5" t="s">
        <v>9617</v>
      </c>
      <c r="G1369" s="6" t="s">
        <v>14</v>
      </c>
      <c r="H1369" s="4">
        <v>366</v>
      </c>
      <c r="I1369" s="5"/>
      <c r="J1369" s="5" t="s">
        <v>9554</v>
      </c>
      <c r="K1369" s="5" t="s">
        <v>9592</v>
      </c>
      <c r="L1369" s="5"/>
      <c r="M1369" s="5" t="s">
        <v>2807</v>
      </c>
      <c r="N1369" s="5" t="s">
        <v>3997</v>
      </c>
      <c r="O1369" s="5" t="s">
        <v>9557</v>
      </c>
      <c r="P1369" s="5"/>
      <c r="Q1369" s="5" t="s">
        <v>9618</v>
      </c>
    </row>
    <row r="1370" spans="2:17" x14ac:dyDescent="0.2">
      <c r="B1370" s="5" t="s">
        <v>9550</v>
      </c>
      <c r="C1370" s="6" t="s">
        <v>13589</v>
      </c>
      <c r="D1370" s="4">
        <v>927</v>
      </c>
      <c r="E1370" s="5" t="s">
        <v>35</v>
      </c>
      <c r="F1370" s="5" t="s">
        <v>9619</v>
      </c>
      <c r="G1370" s="6" t="s">
        <v>14</v>
      </c>
      <c r="H1370" s="4">
        <v>367</v>
      </c>
      <c r="I1370" s="5"/>
      <c r="J1370" s="5" t="s">
        <v>9620</v>
      </c>
      <c r="K1370" s="5" t="s">
        <v>9571</v>
      </c>
      <c r="L1370" s="5"/>
      <c r="M1370" s="5" t="s">
        <v>2811</v>
      </c>
      <c r="N1370" s="5" t="s">
        <v>3998</v>
      </c>
      <c r="O1370" s="5" t="s">
        <v>9552</v>
      </c>
      <c r="P1370" s="5"/>
      <c r="Q1370" s="5" t="s">
        <v>9621</v>
      </c>
    </row>
    <row r="1371" spans="2:17" x14ac:dyDescent="0.2">
      <c r="B1371" s="5" t="s">
        <v>9550</v>
      </c>
      <c r="C1371" s="6" t="s">
        <v>13589</v>
      </c>
      <c r="D1371" s="4">
        <v>928</v>
      </c>
      <c r="E1371" s="5" t="s">
        <v>15</v>
      </c>
      <c r="F1371" s="5" t="s">
        <v>10134</v>
      </c>
      <c r="G1371" s="6" t="s">
        <v>14</v>
      </c>
      <c r="H1371" s="4">
        <v>368</v>
      </c>
      <c r="I1371" s="5"/>
      <c r="J1371" s="5" t="s">
        <v>10135</v>
      </c>
      <c r="K1371" s="5" t="s">
        <v>9608</v>
      </c>
      <c r="L1371" s="5"/>
      <c r="M1371" s="5" t="s">
        <v>1122</v>
      </c>
      <c r="N1371" s="5" t="s">
        <v>1150</v>
      </c>
      <c r="O1371" s="5" t="s">
        <v>3795</v>
      </c>
      <c r="P1371" s="5"/>
      <c r="Q1371" s="5" t="s">
        <v>10136</v>
      </c>
    </row>
    <row r="1372" spans="2:17" x14ac:dyDescent="0.2">
      <c r="B1372" s="5" t="s">
        <v>9550</v>
      </c>
      <c r="C1372" s="6" t="s">
        <v>13589</v>
      </c>
      <c r="D1372" s="4">
        <v>929</v>
      </c>
      <c r="E1372" s="5" t="s">
        <v>24</v>
      </c>
      <c r="F1372" s="5" t="s">
        <v>10127</v>
      </c>
      <c r="G1372" s="6" t="s">
        <v>14</v>
      </c>
      <c r="H1372" s="4">
        <v>369</v>
      </c>
      <c r="I1372" s="5"/>
      <c r="J1372" s="5" t="s">
        <v>10128</v>
      </c>
      <c r="K1372" s="5" t="s">
        <v>9556</v>
      </c>
      <c r="L1372" s="5"/>
      <c r="M1372" s="5" t="s">
        <v>1142</v>
      </c>
      <c r="N1372" s="5" t="s">
        <v>1150</v>
      </c>
      <c r="O1372" s="5" t="s">
        <v>9557</v>
      </c>
      <c r="P1372" s="5"/>
      <c r="Q1372" s="5" t="s">
        <v>10129</v>
      </c>
    </row>
    <row r="1373" spans="2:17" x14ac:dyDescent="0.2">
      <c r="B1373" s="5" t="s">
        <v>9550</v>
      </c>
      <c r="C1373" s="6" t="s">
        <v>13589</v>
      </c>
      <c r="D1373" s="4">
        <v>930</v>
      </c>
      <c r="E1373" s="5" t="s">
        <v>24</v>
      </c>
      <c r="F1373" s="5" t="s">
        <v>10127</v>
      </c>
      <c r="G1373" s="6" t="s">
        <v>14</v>
      </c>
      <c r="H1373" s="4">
        <v>370</v>
      </c>
      <c r="I1373" s="5"/>
      <c r="J1373" s="5" t="s">
        <v>10130</v>
      </c>
      <c r="K1373" s="5" t="s">
        <v>9612</v>
      </c>
      <c r="L1373" s="5"/>
      <c r="M1373" s="5" t="s">
        <v>1142</v>
      </c>
      <c r="N1373" s="5" t="s">
        <v>1150</v>
      </c>
      <c r="O1373" s="5" t="s">
        <v>9557</v>
      </c>
      <c r="P1373" s="5"/>
      <c r="Q1373" s="5" t="s">
        <v>10131</v>
      </c>
    </row>
    <row r="1374" spans="2:17" x14ac:dyDescent="0.2">
      <c r="B1374" s="5" t="s">
        <v>9550</v>
      </c>
      <c r="C1374" s="6" t="s">
        <v>13589</v>
      </c>
      <c r="D1374" s="4">
        <v>931</v>
      </c>
      <c r="E1374" s="5" t="s">
        <v>24</v>
      </c>
      <c r="F1374" s="5" t="s">
        <v>10127</v>
      </c>
      <c r="G1374" s="6" t="s">
        <v>14</v>
      </c>
      <c r="H1374" s="4">
        <v>371</v>
      </c>
      <c r="I1374" s="5"/>
      <c r="J1374" s="5" t="s">
        <v>10132</v>
      </c>
      <c r="K1374" s="5" t="s">
        <v>9611</v>
      </c>
      <c r="L1374" s="5"/>
      <c r="M1374" s="5" t="s">
        <v>1142</v>
      </c>
      <c r="N1374" s="5" t="s">
        <v>1150</v>
      </c>
      <c r="O1374" s="5" t="s">
        <v>9557</v>
      </c>
      <c r="P1374" s="5"/>
      <c r="Q1374" s="5" t="s">
        <v>10133</v>
      </c>
    </row>
    <row r="1375" spans="2:17" x14ac:dyDescent="0.2">
      <c r="B1375" s="5" t="s">
        <v>9550</v>
      </c>
      <c r="C1375" s="6" t="s">
        <v>13589</v>
      </c>
      <c r="D1375" s="4">
        <v>932</v>
      </c>
      <c r="E1375" s="5" t="s">
        <v>15</v>
      </c>
      <c r="F1375" s="5" t="s">
        <v>10134</v>
      </c>
      <c r="G1375" s="6" t="s">
        <v>14</v>
      </c>
      <c r="H1375" s="4">
        <v>372</v>
      </c>
      <c r="I1375" s="5"/>
      <c r="J1375" s="5" t="s">
        <v>10137</v>
      </c>
      <c r="K1375" s="5" t="s">
        <v>4716</v>
      </c>
      <c r="L1375" s="5"/>
      <c r="M1375" s="5" t="s">
        <v>1122</v>
      </c>
      <c r="N1375" s="5" t="s">
        <v>1150</v>
      </c>
      <c r="O1375" s="5" t="s">
        <v>3795</v>
      </c>
      <c r="P1375" s="5"/>
      <c r="Q1375" s="5" t="s">
        <v>10138</v>
      </c>
    </row>
    <row r="1376" spans="2:17" x14ac:dyDescent="0.2">
      <c r="B1376" s="5" t="s">
        <v>9550</v>
      </c>
      <c r="C1376" s="6" t="s">
        <v>13589</v>
      </c>
      <c r="D1376" s="4">
        <v>933</v>
      </c>
      <c r="E1376" s="5" t="s">
        <v>15</v>
      </c>
      <c r="F1376" s="5" t="s">
        <v>10134</v>
      </c>
      <c r="G1376" s="6" t="s">
        <v>14</v>
      </c>
      <c r="H1376" s="4">
        <v>373</v>
      </c>
      <c r="I1376" s="5"/>
      <c r="J1376" s="5" t="s">
        <v>10139</v>
      </c>
      <c r="K1376" s="5" t="s">
        <v>9605</v>
      </c>
      <c r="L1376" s="5"/>
      <c r="M1376" s="5" t="s">
        <v>1122</v>
      </c>
      <c r="N1376" s="5" t="s">
        <v>1150</v>
      </c>
      <c r="O1376" s="5" t="s">
        <v>3795</v>
      </c>
      <c r="P1376" s="5"/>
      <c r="Q1376" s="5" t="s">
        <v>10140</v>
      </c>
    </row>
    <row r="1377" spans="2:17" x14ac:dyDescent="0.2">
      <c r="B1377" s="5" t="s">
        <v>9550</v>
      </c>
      <c r="C1377" s="6" t="s">
        <v>13589</v>
      </c>
      <c r="D1377" s="4">
        <v>934</v>
      </c>
      <c r="E1377" s="5" t="s">
        <v>15</v>
      </c>
      <c r="F1377" s="5" t="s">
        <v>10134</v>
      </c>
      <c r="G1377" s="6" t="s">
        <v>14</v>
      </c>
      <c r="H1377" s="4">
        <v>374</v>
      </c>
      <c r="I1377" s="5"/>
      <c r="J1377" s="5" t="s">
        <v>10141</v>
      </c>
      <c r="K1377" s="5" t="s">
        <v>4724</v>
      </c>
      <c r="L1377" s="5"/>
      <c r="M1377" s="5" t="s">
        <v>1122</v>
      </c>
      <c r="N1377" s="5" t="s">
        <v>1150</v>
      </c>
      <c r="O1377" s="5" t="s">
        <v>3795</v>
      </c>
      <c r="P1377" s="5"/>
      <c r="Q1377" s="5" t="s">
        <v>10142</v>
      </c>
    </row>
    <row r="1378" spans="2:17" x14ac:dyDescent="0.2">
      <c r="B1378" s="5" t="s">
        <v>9550</v>
      </c>
      <c r="C1378" s="6" t="s">
        <v>13589</v>
      </c>
      <c r="D1378" s="4">
        <v>935</v>
      </c>
      <c r="E1378" s="5" t="s">
        <v>15</v>
      </c>
      <c r="F1378" s="5" t="s">
        <v>10134</v>
      </c>
      <c r="G1378" s="6" t="s">
        <v>14</v>
      </c>
      <c r="H1378" s="4">
        <v>375</v>
      </c>
      <c r="I1378" s="5"/>
      <c r="J1378" s="5" t="s">
        <v>10143</v>
      </c>
      <c r="K1378" s="5" t="s">
        <v>9579</v>
      </c>
      <c r="L1378" s="5"/>
      <c r="M1378" s="5" t="s">
        <v>1122</v>
      </c>
      <c r="N1378" s="5" t="s">
        <v>1150</v>
      </c>
      <c r="O1378" s="5" t="s">
        <v>3795</v>
      </c>
      <c r="P1378" s="5"/>
      <c r="Q1378" s="5" t="s">
        <v>10144</v>
      </c>
    </row>
    <row r="1379" spans="2:17" x14ac:dyDescent="0.2">
      <c r="B1379" s="5" t="s">
        <v>9550</v>
      </c>
      <c r="C1379" s="6" t="s">
        <v>13589</v>
      </c>
      <c r="D1379" s="4">
        <v>936</v>
      </c>
      <c r="E1379" s="5" t="s">
        <v>15</v>
      </c>
      <c r="F1379" s="5" t="s">
        <v>10134</v>
      </c>
      <c r="G1379" s="6" t="s">
        <v>14</v>
      </c>
      <c r="H1379" s="4">
        <v>376</v>
      </c>
      <c r="I1379" s="5"/>
      <c r="J1379" s="5" t="s">
        <v>10145</v>
      </c>
      <c r="K1379" s="5" t="s">
        <v>9596</v>
      </c>
      <c r="L1379" s="5"/>
      <c r="M1379" s="5" t="s">
        <v>1122</v>
      </c>
      <c r="N1379" s="5" t="s">
        <v>1150</v>
      </c>
      <c r="O1379" s="5" t="s">
        <v>3795</v>
      </c>
      <c r="P1379" s="5"/>
      <c r="Q1379" s="5" t="s">
        <v>10146</v>
      </c>
    </row>
    <row r="1380" spans="2:17" x14ac:dyDescent="0.2">
      <c r="B1380" s="5" t="s">
        <v>9550</v>
      </c>
      <c r="C1380" s="6" t="s">
        <v>13589</v>
      </c>
      <c r="D1380" s="4">
        <v>937</v>
      </c>
      <c r="E1380" s="5" t="s">
        <v>15</v>
      </c>
      <c r="F1380" s="5" t="s">
        <v>10134</v>
      </c>
      <c r="G1380" s="6" t="s">
        <v>14</v>
      </c>
      <c r="H1380" s="4">
        <v>377</v>
      </c>
      <c r="I1380" s="5"/>
      <c r="J1380" s="5" t="s">
        <v>10147</v>
      </c>
      <c r="K1380" s="5" t="s">
        <v>10148</v>
      </c>
      <c r="L1380" s="5"/>
      <c r="M1380" s="5" t="s">
        <v>1122</v>
      </c>
      <c r="N1380" s="5" t="s">
        <v>1150</v>
      </c>
      <c r="O1380" s="5" t="s">
        <v>3795</v>
      </c>
      <c r="P1380" s="5"/>
      <c r="Q1380" s="5" t="s">
        <v>10149</v>
      </c>
    </row>
    <row r="1381" spans="2:17" x14ac:dyDescent="0.2">
      <c r="B1381" s="5" t="s">
        <v>9550</v>
      </c>
      <c r="C1381" s="6" t="s">
        <v>13589</v>
      </c>
      <c r="D1381" s="4">
        <v>938</v>
      </c>
      <c r="E1381" s="5" t="s">
        <v>15</v>
      </c>
      <c r="F1381" s="5" t="s">
        <v>10134</v>
      </c>
      <c r="G1381" s="6" t="s">
        <v>14</v>
      </c>
      <c r="H1381" s="4">
        <v>378</v>
      </c>
      <c r="I1381" s="5"/>
      <c r="J1381" s="5" t="s">
        <v>10150</v>
      </c>
      <c r="K1381" s="5" t="s">
        <v>10151</v>
      </c>
      <c r="L1381" s="5"/>
      <c r="M1381" s="5" t="s">
        <v>1122</v>
      </c>
      <c r="N1381" s="5" t="s">
        <v>1150</v>
      </c>
      <c r="O1381" s="5" t="s">
        <v>3795</v>
      </c>
      <c r="P1381" s="5"/>
      <c r="Q1381" s="5" t="s">
        <v>10152</v>
      </c>
    </row>
    <row r="1382" spans="2:17" x14ac:dyDescent="0.2">
      <c r="B1382" s="5" t="s">
        <v>9550</v>
      </c>
      <c r="C1382" s="6" t="s">
        <v>13589</v>
      </c>
      <c r="D1382" s="4">
        <v>941</v>
      </c>
      <c r="E1382" s="5" t="s">
        <v>32</v>
      </c>
      <c r="F1382" s="5" t="s">
        <v>9816</v>
      </c>
      <c r="G1382" s="6" t="s">
        <v>14</v>
      </c>
      <c r="H1382" s="4">
        <v>379</v>
      </c>
      <c r="I1382" s="5" t="s">
        <v>22</v>
      </c>
      <c r="J1382" s="5" t="s">
        <v>9817</v>
      </c>
      <c r="K1382" s="5" t="s">
        <v>9570</v>
      </c>
      <c r="L1382" s="5"/>
      <c r="M1382" s="5" t="s">
        <v>122</v>
      </c>
      <c r="N1382" s="5" t="s">
        <v>366</v>
      </c>
      <c r="O1382" s="5" t="s">
        <v>9553</v>
      </c>
      <c r="P1382" s="5"/>
      <c r="Q1382" s="5" t="s">
        <v>9818</v>
      </c>
    </row>
    <row r="1383" spans="2:17" x14ac:dyDescent="0.2">
      <c r="B1383" s="5" t="s">
        <v>9550</v>
      </c>
      <c r="C1383" s="6" t="s">
        <v>13589</v>
      </c>
      <c r="D1383" s="4">
        <v>945</v>
      </c>
      <c r="E1383" s="5" t="s">
        <v>32</v>
      </c>
      <c r="F1383" s="5" t="s">
        <v>2737</v>
      </c>
      <c r="G1383" s="6" t="s">
        <v>14</v>
      </c>
      <c r="H1383" s="4">
        <v>380</v>
      </c>
      <c r="I1383" s="5" t="s">
        <v>22</v>
      </c>
      <c r="J1383" s="5" t="s">
        <v>10033</v>
      </c>
      <c r="K1383" s="5" t="s">
        <v>9595</v>
      </c>
      <c r="L1383" s="5"/>
      <c r="M1383" s="5" t="s">
        <v>484</v>
      </c>
      <c r="N1383" s="5" t="s">
        <v>485</v>
      </c>
      <c r="O1383" s="5" t="s">
        <v>3795</v>
      </c>
      <c r="P1383" s="5"/>
      <c r="Q1383" s="5" t="s">
        <v>10034</v>
      </c>
    </row>
    <row r="1384" spans="2:17" x14ac:dyDescent="0.2">
      <c r="B1384" s="5" t="s">
        <v>9550</v>
      </c>
      <c r="C1384" s="6" t="s">
        <v>13589</v>
      </c>
      <c r="D1384" s="4">
        <v>946</v>
      </c>
      <c r="E1384" s="5" t="s">
        <v>32</v>
      </c>
      <c r="F1384" s="5" t="s">
        <v>2737</v>
      </c>
      <c r="G1384" s="6" t="s">
        <v>14</v>
      </c>
      <c r="H1384" s="4">
        <v>381</v>
      </c>
      <c r="I1384" s="5" t="s">
        <v>22</v>
      </c>
      <c r="J1384" s="5" t="s">
        <v>10035</v>
      </c>
      <c r="K1384" s="5" t="s">
        <v>30</v>
      </c>
      <c r="L1384" s="5"/>
      <c r="M1384" s="5" t="s">
        <v>484</v>
      </c>
      <c r="N1384" s="5" t="s">
        <v>485</v>
      </c>
      <c r="O1384" s="5" t="s">
        <v>9582</v>
      </c>
      <c r="P1384" s="5"/>
      <c r="Q1384" s="5" t="s">
        <v>10036</v>
      </c>
    </row>
    <row r="1385" spans="2:17" x14ac:dyDescent="0.2">
      <c r="B1385" s="5" t="s">
        <v>9550</v>
      </c>
      <c r="C1385" s="6" t="s">
        <v>13589</v>
      </c>
      <c r="D1385" s="4">
        <v>947</v>
      </c>
      <c r="E1385" s="5" t="s">
        <v>32</v>
      </c>
      <c r="F1385" s="5" t="s">
        <v>2737</v>
      </c>
      <c r="G1385" s="6" t="s">
        <v>14</v>
      </c>
      <c r="H1385" s="4">
        <v>382</v>
      </c>
      <c r="I1385" s="5" t="s">
        <v>22</v>
      </c>
      <c r="J1385" s="5" t="s">
        <v>10037</v>
      </c>
      <c r="K1385" s="5" t="s">
        <v>33</v>
      </c>
      <c r="L1385" s="5"/>
      <c r="M1385" s="5" t="s">
        <v>484</v>
      </c>
      <c r="N1385" s="5" t="s">
        <v>485</v>
      </c>
      <c r="O1385" s="5" t="s">
        <v>3795</v>
      </c>
      <c r="P1385" s="5"/>
      <c r="Q1385" s="5" t="s">
        <v>10038</v>
      </c>
    </row>
    <row r="1386" spans="2:17" x14ac:dyDescent="0.2">
      <c r="B1386" s="5" t="s">
        <v>9550</v>
      </c>
      <c r="C1386" s="6" t="s">
        <v>13589</v>
      </c>
      <c r="D1386" s="4">
        <v>948</v>
      </c>
      <c r="E1386" s="5" t="s">
        <v>32</v>
      </c>
      <c r="F1386" s="5" t="s">
        <v>10030</v>
      </c>
      <c r="G1386" s="6" t="s">
        <v>14</v>
      </c>
      <c r="H1386" s="4">
        <v>383</v>
      </c>
      <c r="I1386" s="5" t="s">
        <v>22</v>
      </c>
      <c r="J1386" s="5" t="s">
        <v>10031</v>
      </c>
      <c r="K1386" s="5" t="s">
        <v>28</v>
      </c>
      <c r="L1386" s="5"/>
      <c r="M1386" s="5" t="s">
        <v>484</v>
      </c>
      <c r="N1386" s="5" t="s">
        <v>485</v>
      </c>
      <c r="O1386" s="5" t="s">
        <v>3790</v>
      </c>
      <c r="P1386" s="5"/>
      <c r="Q1386" s="5" t="s">
        <v>10032</v>
      </c>
    </row>
    <row r="1387" spans="2:17" x14ac:dyDescent="0.2">
      <c r="B1387" s="5" t="s">
        <v>9550</v>
      </c>
      <c r="C1387" s="6" t="s">
        <v>13589</v>
      </c>
      <c r="D1387" s="4">
        <v>949</v>
      </c>
      <c r="E1387" s="5" t="s">
        <v>32</v>
      </c>
      <c r="F1387" s="5" t="s">
        <v>2737</v>
      </c>
      <c r="G1387" s="6" t="s">
        <v>14</v>
      </c>
      <c r="H1387" s="4">
        <v>384</v>
      </c>
      <c r="I1387" s="5" t="s">
        <v>22</v>
      </c>
      <c r="J1387" s="5" t="s">
        <v>10045</v>
      </c>
      <c r="K1387" s="5" t="s">
        <v>9692</v>
      </c>
      <c r="L1387" s="5"/>
      <c r="M1387" s="5" t="s">
        <v>219</v>
      </c>
      <c r="N1387" s="5" t="s">
        <v>485</v>
      </c>
      <c r="O1387" s="5" t="s">
        <v>9553</v>
      </c>
      <c r="P1387" s="5"/>
      <c r="Q1387" s="5" t="s">
        <v>10046</v>
      </c>
    </row>
    <row r="1388" spans="2:17" x14ac:dyDescent="0.2">
      <c r="B1388" s="5" t="s">
        <v>9550</v>
      </c>
      <c r="C1388" s="6" t="s">
        <v>13589</v>
      </c>
      <c r="D1388" s="4">
        <v>950</v>
      </c>
      <c r="E1388" s="5" t="s">
        <v>32</v>
      </c>
      <c r="F1388" s="5" t="s">
        <v>2737</v>
      </c>
      <c r="G1388" s="6" t="s">
        <v>14</v>
      </c>
      <c r="H1388" s="4">
        <v>385</v>
      </c>
      <c r="I1388" s="5" t="s">
        <v>22</v>
      </c>
      <c r="J1388" s="5" t="s">
        <v>10039</v>
      </c>
      <c r="K1388" s="5" t="s">
        <v>9596</v>
      </c>
      <c r="L1388" s="5"/>
      <c r="M1388" s="5" t="s">
        <v>484</v>
      </c>
      <c r="N1388" s="5" t="s">
        <v>485</v>
      </c>
      <c r="O1388" s="5" t="s">
        <v>3795</v>
      </c>
      <c r="P1388" s="5"/>
      <c r="Q1388" s="5" t="s">
        <v>10040</v>
      </c>
    </row>
    <row r="1389" spans="2:17" x14ac:dyDescent="0.2">
      <c r="B1389" s="5" t="s">
        <v>9550</v>
      </c>
      <c r="C1389" s="6" t="s">
        <v>13589</v>
      </c>
      <c r="D1389" s="4">
        <v>951</v>
      </c>
      <c r="E1389" s="5" t="s">
        <v>32</v>
      </c>
      <c r="F1389" s="5" t="s">
        <v>2737</v>
      </c>
      <c r="G1389" s="6" t="s">
        <v>14</v>
      </c>
      <c r="H1389" s="4">
        <v>386</v>
      </c>
      <c r="I1389" s="5" t="s">
        <v>22</v>
      </c>
      <c r="J1389" s="5" t="s">
        <v>10041</v>
      </c>
      <c r="K1389" s="5" t="s">
        <v>9608</v>
      </c>
      <c r="L1389" s="5"/>
      <c r="M1389" s="5" t="s">
        <v>484</v>
      </c>
      <c r="N1389" s="5" t="s">
        <v>485</v>
      </c>
      <c r="O1389" s="5" t="s">
        <v>3795</v>
      </c>
      <c r="P1389" s="5"/>
      <c r="Q1389" s="5" t="s">
        <v>10042</v>
      </c>
    </row>
    <row r="1390" spans="2:17" x14ac:dyDescent="0.2">
      <c r="B1390" s="5" t="s">
        <v>9550</v>
      </c>
      <c r="C1390" s="6" t="s">
        <v>13589</v>
      </c>
      <c r="D1390" s="4">
        <v>952</v>
      </c>
      <c r="E1390" s="5" t="s">
        <v>32</v>
      </c>
      <c r="F1390" s="5" t="s">
        <v>2737</v>
      </c>
      <c r="G1390" s="6" t="s">
        <v>14</v>
      </c>
      <c r="H1390" s="4">
        <v>387</v>
      </c>
      <c r="I1390" s="5" t="s">
        <v>22</v>
      </c>
      <c r="J1390" s="5" t="s">
        <v>10022</v>
      </c>
      <c r="K1390" s="5" t="s">
        <v>9605</v>
      </c>
      <c r="L1390" s="5"/>
      <c r="M1390" s="5" t="s">
        <v>484</v>
      </c>
      <c r="N1390" s="5" t="s">
        <v>485</v>
      </c>
      <c r="O1390" s="5" t="s">
        <v>9568</v>
      </c>
      <c r="P1390" s="5"/>
      <c r="Q1390" s="5" t="s">
        <v>10023</v>
      </c>
    </row>
    <row r="1391" spans="2:17" x14ac:dyDescent="0.2">
      <c r="B1391" s="5" t="s">
        <v>9550</v>
      </c>
      <c r="C1391" s="6" t="s">
        <v>13589</v>
      </c>
      <c r="D1391" s="4">
        <v>953</v>
      </c>
      <c r="E1391" s="5" t="s">
        <v>32</v>
      </c>
      <c r="F1391" s="5" t="s">
        <v>2737</v>
      </c>
      <c r="G1391" s="6" t="s">
        <v>14</v>
      </c>
      <c r="H1391" s="4">
        <v>388</v>
      </c>
      <c r="I1391" s="5" t="s">
        <v>22</v>
      </c>
      <c r="J1391" s="5" t="s">
        <v>10026</v>
      </c>
      <c r="K1391" s="5" t="s">
        <v>4716</v>
      </c>
      <c r="L1391" s="5"/>
      <c r="M1391" s="5" t="s">
        <v>484</v>
      </c>
      <c r="N1391" s="5" t="s">
        <v>485</v>
      </c>
      <c r="O1391" s="5" t="s">
        <v>3795</v>
      </c>
      <c r="P1391" s="5"/>
      <c r="Q1391" s="5" t="s">
        <v>10027</v>
      </c>
    </row>
    <row r="1392" spans="2:17" x14ac:dyDescent="0.2">
      <c r="B1392" s="5" t="s">
        <v>9550</v>
      </c>
      <c r="C1392" s="6" t="s">
        <v>13589</v>
      </c>
      <c r="D1392" s="4">
        <v>954</v>
      </c>
      <c r="E1392" s="5" t="s">
        <v>32</v>
      </c>
      <c r="F1392" s="5" t="s">
        <v>2737</v>
      </c>
      <c r="G1392" s="6" t="s">
        <v>14</v>
      </c>
      <c r="H1392" s="4">
        <v>389</v>
      </c>
      <c r="I1392" s="5" t="s">
        <v>22</v>
      </c>
      <c r="J1392" s="5" t="s">
        <v>10043</v>
      </c>
      <c r="K1392" s="5" t="s">
        <v>534</v>
      </c>
      <c r="L1392" s="5"/>
      <c r="M1392" s="5" t="s">
        <v>484</v>
      </c>
      <c r="N1392" s="5" t="s">
        <v>485</v>
      </c>
      <c r="O1392" s="5" t="s">
        <v>9585</v>
      </c>
      <c r="P1392" s="5"/>
      <c r="Q1392" s="5" t="s">
        <v>10044</v>
      </c>
    </row>
    <row r="1393" spans="2:17" x14ac:dyDescent="0.2">
      <c r="B1393" s="5" t="s">
        <v>9550</v>
      </c>
      <c r="C1393" s="6" t="s">
        <v>13589</v>
      </c>
      <c r="D1393" s="4">
        <v>955</v>
      </c>
      <c r="E1393" s="5" t="s">
        <v>32</v>
      </c>
      <c r="F1393" s="5" t="s">
        <v>2737</v>
      </c>
      <c r="G1393" s="6" t="s">
        <v>14</v>
      </c>
      <c r="H1393" s="4">
        <v>390</v>
      </c>
      <c r="I1393" s="5" t="s">
        <v>22</v>
      </c>
      <c r="J1393" s="5" t="s">
        <v>10028</v>
      </c>
      <c r="K1393" s="5" t="s">
        <v>9673</v>
      </c>
      <c r="L1393" s="5"/>
      <c r="M1393" s="5" t="s">
        <v>484</v>
      </c>
      <c r="N1393" s="5" t="s">
        <v>485</v>
      </c>
      <c r="O1393" s="5" t="s">
        <v>3795</v>
      </c>
      <c r="P1393" s="5"/>
      <c r="Q1393" s="5" t="s">
        <v>10029</v>
      </c>
    </row>
    <row r="1394" spans="2:17" x14ac:dyDescent="0.2">
      <c r="B1394" s="5" t="s">
        <v>9550</v>
      </c>
      <c r="C1394" s="6" t="s">
        <v>13589</v>
      </c>
      <c r="D1394" s="4">
        <v>956</v>
      </c>
      <c r="E1394" s="5" t="s">
        <v>32</v>
      </c>
      <c r="F1394" s="5" t="s">
        <v>2737</v>
      </c>
      <c r="G1394" s="6" t="s">
        <v>14</v>
      </c>
      <c r="H1394" s="4">
        <v>391</v>
      </c>
      <c r="I1394" s="5" t="s">
        <v>22</v>
      </c>
      <c r="J1394" s="5" t="s">
        <v>10024</v>
      </c>
      <c r="K1394" s="5" t="s">
        <v>29</v>
      </c>
      <c r="L1394" s="5"/>
      <c r="M1394" s="5" t="s">
        <v>484</v>
      </c>
      <c r="N1394" s="5" t="s">
        <v>485</v>
      </c>
      <c r="O1394" s="5" t="s">
        <v>3790</v>
      </c>
      <c r="P1394" s="5"/>
      <c r="Q1394" s="5" t="s">
        <v>10025</v>
      </c>
    </row>
    <row r="1395" spans="2:17" x14ac:dyDescent="0.2">
      <c r="B1395" s="5" t="s">
        <v>9550</v>
      </c>
      <c r="C1395" s="6" t="s">
        <v>13589</v>
      </c>
      <c r="D1395" s="4">
        <v>957</v>
      </c>
      <c r="E1395" s="5" t="s">
        <v>15</v>
      </c>
      <c r="F1395" s="5" t="s">
        <v>5441</v>
      </c>
      <c r="G1395" s="6" t="s">
        <v>14</v>
      </c>
      <c r="H1395" s="4">
        <v>392</v>
      </c>
      <c r="I1395" s="5"/>
      <c r="J1395" s="5" t="s">
        <v>10119</v>
      </c>
      <c r="K1395" s="5" t="s">
        <v>9612</v>
      </c>
      <c r="L1395" s="5"/>
      <c r="M1395" s="5" t="s">
        <v>2262</v>
      </c>
      <c r="N1395" s="5" t="s">
        <v>251</v>
      </c>
      <c r="O1395" s="5" t="s">
        <v>9557</v>
      </c>
      <c r="P1395" s="5"/>
      <c r="Q1395" s="5" t="s">
        <v>10120</v>
      </c>
    </row>
    <row r="1396" spans="2:17" x14ac:dyDescent="0.2">
      <c r="B1396" s="5" t="s">
        <v>10194</v>
      </c>
      <c r="C1396" s="6" t="s">
        <v>13589</v>
      </c>
      <c r="D1396" s="4">
        <v>969</v>
      </c>
      <c r="E1396" s="5" t="s">
        <v>13</v>
      </c>
      <c r="F1396" s="5" t="s">
        <v>10652</v>
      </c>
      <c r="G1396" s="6" t="s">
        <v>14</v>
      </c>
      <c r="H1396" s="4">
        <v>393</v>
      </c>
      <c r="I1396" s="5"/>
      <c r="J1396" s="5" t="s">
        <v>10653</v>
      </c>
      <c r="K1396" s="5" t="s">
        <v>4848</v>
      </c>
      <c r="L1396" s="5"/>
      <c r="M1396" s="5" t="s">
        <v>229</v>
      </c>
      <c r="N1396" s="5" t="s">
        <v>229</v>
      </c>
      <c r="O1396" s="5" t="s">
        <v>10204</v>
      </c>
      <c r="P1396" s="5"/>
      <c r="Q1396" s="5" t="s">
        <v>10654</v>
      </c>
    </row>
    <row r="1397" spans="2:17" x14ac:dyDescent="0.2">
      <c r="B1397" s="5" t="s">
        <v>10194</v>
      </c>
      <c r="C1397" s="6" t="s">
        <v>13589</v>
      </c>
      <c r="D1397" s="4">
        <v>982</v>
      </c>
      <c r="E1397" s="5" t="s">
        <v>32</v>
      </c>
      <c r="F1397" s="5" t="s">
        <v>10508</v>
      </c>
      <c r="G1397" s="6" t="s">
        <v>14</v>
      </c>
      <c r="H1397" s="4">
        <v>394</v>
      </c>
      <c r="I1397" s="5" t="s">
        <v>22</v>
      </c>
      <c r="J1397" s="5" t="s">
        <v>10509</v>
      </c>
      <c r="K1397" s="5" t="s">
        <v>10431</v>
      </c>
      <c r="L1397" s="5"/>
      <c r="M1397" s="5" t="s">
        <v>347</v>
      </c>
      <c r="N1397" s="5" t="s">
        <v>2089</v>
      </c>
      <c r="O1397" s="5" t="s">
        <v>10204</v>
      </c>
      <c r="P1397" s="5" t="s">
        <v>10510</v>
      </c>
      <c r="Q1397" s="5" t="s">
        <v>10511</v>
      </c>
    </row>
    <row r="1398" spans="2:17" x14ac:dyDescent="0.2">
      <c r="B1398" s="5" t="s">
        <v>10194</v>
      </c>
      <c r="C1398" s="6" t="s">
        <v>13589</v>
      </c>
      <c r="D1398" s="4">
        <v>984</v>
      </c>
      <c r="E1398" s="5" t="s">
        <v>32</v>
      </c>
      <c r="F1398" s="5" t="s">
        <v>10353</v>
      </c>
      <c r="G1398" s="6" t="s">
        <v>14</v>
      </c>
      <c r="H1398" s="4">
        <v>395</v>
      </c>
      <c r="I1398" s="5" t="s">
        <v>22</v>
      </c>
      <c r="J1398" s="5" t="s">
        <v>10512</v>
      </c>
      <c r="K1398" s="5" t="s">
        <v>10269</v>
      </c>
      <c r="L1398" s="5"/>
      <c r="M1398" s="5" t="s">
        <v>347</v>
      </c>
      <c r="N1398" s="5" t="s">
        <v>2083</v>
      </c>
      <c r="O1398" s="5" t="s">
        <v>10196</v>
      </c>
      <c r="P1398" s="5"/>
      <c r="Q1398" s="5" t="s">
        <v>10513</v>
      </c>
    </row>
    <row r="1399" spans="2:17" x14ac:dyDescent="0.2">
      <c r="B1399" s="5" t="s">
        <v>10194</v>
      </c>
      <c r="C1399" s="6" t="s">
        <v>13589</v>
      </c>
      <c r="D1399" s="4">
        <v>985</v>
      </c>
      <c r="E1399" s="5" t="s">
        <v>32</v>
      </c>
      <c r="F1399" s="5" t="s">
        <v>10353</v>
      </c>
      <c r="G1399" s="6" t="s">
        <v>14</v>
      </c>
      <c r="H1399" s="4">
        <v>396</v>
      </c>
      <c r="I1399" s="5" t="s">
        <v>38</v>
      </c>
      <c r="J1399" s="5" t="s">
        <v>10357</v>
      </c>
      <c r="K1399" s="5" t="s">
        <v>10283</v>
      </c>
      <c r="L1399" s="5"/>
      <c r="M1399" s="5" t="s">
        <v>347</v>
      </c>
      <c r="N1399" s="5" t="s">
        <v>2083</v>
      </c>
      <c r="O1399" s="5" t="s">
        <v>10196</v>
      </c>
      <c r="P1399" s="5"/>
      <c r="Q1399" s="5" t="s">
        <v>10514</v>
      </c>
    </row>
    <row r="1400" spans="2:17" x14ac:dyDescent="0.2">
      <c r="B1400" s="5" t="s">
        <v>10194</v>
      </c>
      <c r="C1400" s="6" t="s">
        <v>13589</v>
      </c>
      <c r="D1400" s="4">
        <v>991</v>
      </c>
      <c r="E1400" s="5" t="s">
        <v>15</v>
      </c>
      <c r="F1400" s="5" t="s">
        <v>10486</v>
      </c>
      <c r="G1400" s="6" t="s">
        <v>14</v>
      </c>
      <c r="H1400" s="4">
        <v>397</v>
      </c>
      <c r="I1400" s="5"/>
      <c r="J1400" s="5" t="s">
        <v>10487</v>
      </c>
      <c r="K1400" s="5" t="s">
        <v>4848</v>
      </c>
      <c r="L1400" s="5"/>
      <c r="M1400" s="5" t="s">
        <v>2376</v>
      </c>
      <c r="N1400" s="5" t="s">
        <v>2376</v>
      </c>
      <c r="O1400" s="5" t="s">
        <v>10204</v>
      </c>
      <c r="P1400" s="5"/>
      <c r="Q1400" s="5" t="s">
        <v>10489</v>
      </c>
    </row>
    <row r="1401" spans="2:17" x14ac:dyDescent="0.2">
      <c r="B1401" s="5" t="s">
        <v>10194</v>
      </c>
      <c r="C1401" s="6" t="s">
        <v>13589</v>
      </c>
      <c r="D1401" s="4">
        <v>992</v>
      </c>
      <c r="E1401" s="5" t="s">
        <v>15</v>
      </c>
      <c r="F1401" s="5" t="s">
        <v>10486</v>
      </c>
      <c r="G1401" s="6" t="s">
        <v>14</v>
      </c>
      <c r="H1401" s="4">
        <v>398</v>
      </c>
      <c r="I1401" s="5"/>
      <c r="J1401" s="5" t="s">
        <v>10487</v>
      </c>
      <c r="K1401" s="5" t="s">
        <v>4848</v>
      </c>
      <c r="L1401" s="5"/>
      <c r="M1401" s="5" t="s">
        <v>2376</v>
      </c>
      <c r="N1401" s="5" t="s">
        <v>2376</v>
      </c>
      <c r="O1401" s="5" t="s">
        <v>10204</v>
      </c>
      <c r="P1401" s="5"/>
      <c r="Q1401" s="5" t="s">
        <v>10488</v>
      </c>
    </row>
    <row r="1402" spans="2:17" x14ac:dyDescent="0.2">
      <c r="B1402" s="5" t="s">
        <v>10194</v>
      </c>
      <c r="C1402" s="6" t="s">
        <v>13589</v>
      </c>
      <c r="D1402" s="4">
        <v>993</v>
      </c>
      <c r="E1402" s="5" t="s">
        <v>32</v>
      </c>
      <c r="F1402" s="5" t="s">
        <v>10490</v>
      </c>
      <c r="G1402" s="6" t="s">
        <v>14</v>
      </c>
      <c r="H1402" s="4">
        <v>399</v>
      </c>
      <c r="I1402" s="5" t="s">
        <v>38</v>
      </c>
      <c r="J1402" s="5" t="s">
        <v>10491</v>
      </c>
      <c r="K1402" s="5" t="s">
        <v>10492</v>
      </c>
      <c r="L1402" s="5" t="s">
        <v>10493</v>
      </c>
      <c r="M1402" s="5" t="s">
        <v>1436</v>
      </c>
      <c r="N1402" s="5" t="s">
        <v>1437</v>
      </c>
      <c r="O1402" s="5" t="s">
        <v>10202</v>
      </c>
      <c r="P1402" s="5"/>
      <c r="Q1402" s="5" t="s">
        <v>10494</v>
      </c>
    </row>
    <row r="1403" spans="2:17" x14ac:dyDescent="0.2">
      <c r="B1403" s="5" t="s">
        <v>10194</v>
      </c>
      <c r="C1403" s="6" t="s">
        <v>13589</v>
      </c>
      <c r="D1403" s="4">
        <v>995</v>
      </c>
      <c r="E1403" s="5" t="s">
        <v>20</v>
      </c>
      <c r="F1403" s="5" t="s">
        <v>6483</v>
      </c>
      <c r="G1403" s="6" t="s">
        <v>14</v>
      </c>
      <c r="H1403" s="4">
        <v>400</v>
      </c>
      <c r="I1403" s="5" t="s">
        <v>22</v>
      </c>
      <c r="J1403" s="5" t="s">
        <v>10471</v>
      </c>
      <c r="K1403" s="5" t="s">
        <v>10385</v>
      </c>
      <c r="L1403" s="5" t="s">
        <v>10472</v>
      </c>
      <c r="M1403" s="5" t="s">
        <v>312</v>
      </c>
      <c r="N1403" s="5" t="s">
        <v>302</v>
      </c>
      <c r="O1403" s="5" t="s">
        <v>10197</v>
      </c>
      <c r="P1403" s="5"/>
      <c r="Q1403" s="5" t="s">
        <v>10473</v>
      </c>
    </row>
    <row r="1404" spans="2:17" x14ac:dyDescent="0.2">
      <c r="B1404" s="5" t="s">
        <v>10194</v>
      </c>
      <c r="C1404" s="6" t="s">
        <v>13589</v>
      </c>
      <c r="D1404" s="4">
        <v>997</v>
      </c>
      <c r="E1404" s="5" t="s">
        <v>32</v>
      </c>
      <c r="F1404" s="5" t="s">
        <v>10441</v>
      </c>
      <c r="G1404" s="6" t="s">
        <v>14</v>
      </c>
      <c r="H1404" s="4">
        <v>401</v>
      </c>
      <c r="I1404" s="5" t="s">
        <v>38</v>
      </c>
      <c r="J1404" s="5" t="s">
        <v>10442</v>
      </c>
      <c r="K1404" s="5" t="s">
        <v>10443</v>
      </c>
      <c r="L1404" s="5" t="s">
        <v>10444</v>
      </c>
      <c r="M1404" s="5" t="s">
        <v>301</v>
      </c>
      <c r="N1404" s="5" t="s">
        <v>307</v>
      </c>
      <c r="O1404" s="5" t="s">
        <v>10197</v>
      </c>
      <c r="P1404" s="5"/>
      <c r="Q1404" s="5" t="s">
        <v>10445</v>
      </c>
    </row>
    <row r="1405" spans="2:17" x14ac:dyDescent="0.2">
      <c r="B1405" s="5" t="s">
        <v>10194</v>
      </c>
      <c r="C1405" s="6" t="s">
        <v>13589</v>
      </c>
      <c r="D1405" s="4">
        <v>999</v>
      </c>
      <c r="E1405" s="5" t="s">
        <v>32</v>
      </c>
      <c r="F1405" s="5" t="s">
        <v>303</v>
      </c>
      <c r="G1405" s="6" t="s">
        <v>14</v>
      </c>
      <c r="H1405" s="4">
        <v>402</v>
      </c>
      <c r="I1405" s="5" t="s">
        <v>22</v>
      </c>
      <c r="J1405" s="5" t="s">
        <v>10446</v>
      </c>
      <c r="K1405" s="5" t="s">
        <v>10447</v>
      </c>
      <c r="L1405" s="5" t="s">
        <v>10448</v>
      </c>
      <c r="M1405" s="5" t="s">
        <v>301</v>
      </c>
      <c r="N1405" s="5" t="s">
        <v>307</v>
      </c>
      <c r="O1405" s="5" t="s">
        <v>10197</v>
      </c>
      <c r="P1405" s="5" t="s">
        <v>10427</v>
      </c>
      <c r="Q1405" s="5" t="s">
        <v>10449</v>
      </c>
    </row>
    <row r="1406" spans="2:17" x14ac:dyDescent="0.2">
      <c r="B1406" s="5" t="s">
        <v>10194</v>
      </c>
      <c r="C1406" s="6" t="s">
        <v>13589</v>
      </c>
      <c r="D1406" s="4">
        <v>1000</v>
      </c>
      <c r="E1406" s="5" t="s">
        <v>32</v>
      </c>
      <c r="F1406" s="5" t="s">
        <v>303</v>
      </c>
      <c r="G1406" s="6" t="s">
        <v>14</v>
      </c>
      <c r="H1406" s="4">
        <v>403</v>
      </c>
      <c r="I1406" s="5" t="s">
        <v>22</v>
      </c>
      <c r="J1406" s="5" t="s">
        <v>10450</v>
      </c>
      <c r="K1406" s="5" t="s">
        <v>10419</v>
      </c>
      <c r="L1406" s="5" t="s">
        <v>10451</v>
      </c>
      <c r="M1406" s="5" t="s">
        <v>301</v>
      </c>
      <c r="N1406" s="5" t="s">
        <v>307</v>
      </c>
      <c r="O1406" s="5" t="s">
        <v>10197</v>
      </c>
      <c r="P1406" s="5" t="s">
        <v>10427</v>
      </c>
      <c r="Q1406" s="5" t="s">
        <v>10452</v>
      </c>
    </row>
    <row r="1407" spans="2:17" x14ac:dyDescent="0.2">
      <c r="B1407" s="5" t="s">
        <v>10194</v>
      </c>
      <c r="C1407" s="6" t="s">
        <v>13589</v>
      </c>
      <c r="D1407" s="4">
        <v>1001</v>
      </c>
      <c r="E1407" s="5" t="s">
        <v>32</v>
      </c>
      <c r="F1407" s="5" t="s">
        <v>303</v>
      </c>
      <c r="G1407" s="6" t="s">
        <v>14</v>
      </c>
      <c r="H1407" s="4">
        <v>404</v>
      </c>
      <c r="I1407" s="5" t="s">
        <v>38</v>
      </c>
      <c r="J1407" s="5" t="s">
        <v>10453</v>
      </c>
      <c r="K1407" s="5" t="s">
        <v>10454</v>
      </c>
      <c r="L1407" s="5" t="s">
        <v>10455</v>
      </c>
      <c r="M1407" s="5" t="s">
        <v>301</v>
      </c>
      <c r="N1407" s="5" t="s">
        <v>307</v>
      </c>
      <c r="O1407" s="5" t="s">
        <v>10197</v>
      </c>
      <c r="P1407" s="5" t="s">
        <v>10427</v>
      </c>
      <c r="Q1407" s="5" t="s">
        <v>10456</v>
      </c>
    </row>
    <row r="1408" spans="2:17" x14ac:dyDescent="0.2">
      <c r="B1408" s="5" t="s">
        <v>10194</v>
      </c>
      <c r="C1408" s="6" t="s">
        <v>13589</v>
      </c>
      <c r="D1408" s="4">
        <v>1002</v>
      </c>
      <c r="E1408" s="5" t="s">
        <v>32</v>
      </c>
      <c r="F1408" s="5" t="s">
        <v>303</v>
      </c>
      <c r="G1408" s="6" t="s">
        <v>14</v>
      </c>
      <c r="H1408" s="4">
        <v>405</v>
      </c>
      <c r="I1408" s="5" t="s">
        <v>38</v>
      </c>
      <c r="J1408" s="5" t="s">
        <v>10457</v>
      </c>
      <c r="K1408" s="5" t="s">
        <v>10419</v>
      </c>
      <c r="L1408" s="5" t="s">
        <v>10420</v>
      </c>
      <c r="M1408" s="5" t="s">
        <v>301</v>
      </c>
      <c r="N1408" s="5" t="s">
        <v>307</v>
      </c>
      <c r="O1408" s="5" t="s">
        <v>10197</v>
      </c>
      <c r="P1408" s="5"/>
      <c r="Q1408" s="5" t="s">
        <v>10458</v>
      </c>
    </row>
    <row r="1409" spans="2:17" x14ac:dyDescent="0.2">
      <c r="B1409" s="5" t="s">
        <v>10194</v>
      </c>
      <c r="C1409" s="6" t="s">
        <v>13589</v>
      </c>
      <c r="D1409" s="4">
        <v>1003</v>
      </c>
      <c r="E1409" s="5" t="s">
        <v>32</v>
      </c>
      <c r="F1409" s="5" t="s">
        <v>303</v>
      </c>
      <c r="G1409" s="6" t="s">
        <v>14</v>
      </c>
      <c r="H1409" s="4">
        <v>406</v>
      </c>
      <c r="I1409" s="5" t="s">
        <v>22</v>
      </c>
      <c r="J1409" s="5" t="s">
        <v>10459</v>
      </c>
      <c r="K1409" s="5" t="s">
        <v>10460</v>
      </c>
      <c r="L1409" s="5" t="s">
        <v>10461</v>
      </c>
      <c r="M1409" s="5" t="s">
        <v>301</v>
      </c>
      <c r="N1409" s="5" t="s">
        <v>307</v>
      </c>
      <c r="O1409" s="5" t="s">
        <v>10197</v>
      </c>
      <c r="P1409" s="5"/>
      <c r="Q1409" s="5" t="s">
        <v>10462</v>
      </c>
    </row>
    <row r="1410" spans="2:17" x14ac:dyDescent="0.2">
      <c r="B1410" s="5" t="s">
        <v>10194</v>
      </c>
      <c r="C1410" s="6" t="s">
        <v>13589</v>
      </c>
      <c r="D1410" s="4">
        <v>1004</v>
      </c>
      <c r="E1410" s="5" t="s">
        <v>32</v>
      </c>
      <c r="F1410" s="5" t="s">
        <v>303</v>
      </c>
      <c r="G1410" s="6" t="s">
        <v>14</v>
      </c>
      <c r="H1410" s="4">
        <v>407</v>
      </c>
      <c r="I1410" s="5" t="s">
        <v>22</v>
      </c>
      <c r="J1410" s="5" t="s">
        <v>10463</v>
      </c>
      <c r="K1410" s="5" t="s">
        <v>10464</v>
      </c>
      <c r="L1410" s="5" t="s">
        <v>10465</v>
      </c>
      <c r="M1410" s="5" t="s">
        <v>301</v>
      </c>
      <c r="N1410" s="5" t="s">
        <v>307</v>
      </c>
      <c r="O1410" s="5" t="s">
        <v>10197</v>
      </c>
      <c r="P1410" s="5"/>
      <c r="Q1410" s="5" t="s">
        <v>10466</v>
      </c>
    </row>
    <row r="1411" spans="2:17" x14ac:dyDescent="0.2">
      <c r="B1411" s="5" t="s">
        <v>10194</v>
      </c>
      <c r="C1411" s="6" t="s">
        <v>13589</v>
      </c>
      <c r="D1411" s="4">
        <v>1005</v>
      </c>
      <c r="E1411" s="5" t="s">
        <v>32</v>
      </c>
      <c r="F1411" s="5" t="s">
        <v>303</v>
      </c>
      <c r="G1411" s="6" t="s">
        <v>14</v>
      </c>
      <c r="H1411" s="4">
        <v>408</v>
      </c>
      <c r="I1411" s="5" t="s">
        <v>22</v>
      </c>
      <c r="J1411" s="5" t="s">
        <v>10467</v>
      </c>
      <c r="K1411" s="5" t="s">
        <v>10468</v>
      </c>
      <c r="L1411" s="5" t="s">
        <v>10469</v>
      </c>
      <c r="M1411" s="5" t="s">
        <v>301</v>
      </c>
      <c r="N1411" s="5" t="s">
        <v>307</v>
      </c>
      <c r="O1411" s="5" t="s">
        <v>10197</v>
      </c>
      <c r="P1411" s="5"/>
      <c r="Q1411" s="5" t="s">
        <v>10470</v>
      </c>
    </row>
    <row r="1412" spans="2:17" x14ac:dyDescent="0.2">
      <c r="B1412" s="5" t="s">
        <v>10194</v>
      </c>
      <c r="C1412" s="6" t="s">
        <v>13589</v>
      </c>
      <c r="D1412" s="4">
        <v>1010</v>
      </c>
      <c r="E1412" s="5" t="s">
        <v>20</v>
      </c>
      <c r="F1412" s="5" t="s">
        <v>10429</v>
      </c>
      <c r="G1412" s="6" t="s">
        <v>14</v>
      </c>
      <c r="H1412" s="4">
        <v>409</v>
      </c>
      <c r="I1412" s="5" t="s">
        <v>22</v>
      </c>
      <c r="J1412" s="5" t="s">
        <v>10430</v>
      </c>
      <c r="K1412" s="5" t="s">
        <v>10431</v>
      </c>
      <c r="L1412" s="5" t="s">
        <v>10432</v>
      </c>
      <c r="M1412" s="5" t="s">
        <v>96</v>
      </c>
      <c r="N1412" s="5" t="s">
        <v>97</v>
      </c>
      <c r="O1412" s="5" t="s">
        <v>10204</v>
      </c>
      <c r="P1412" s="5" t="s">
        <v>10433</v>
      </c>
      <c r="Q1412" s="5" t="s">
        <v>10434</v>
      </c>
    </row>
    <row r="1413" spans="2:17" x14ac:dyDescent="0.2">
      <c r="B1413" s="5" t="s">
        <v>10194</v>
      </c>
      <c r="C1413" s="6" t="s">
        <v>13589</v>
      </c>
      <c r="D1413" s="4">
        <v>1011</v>
      </c>
      <c r="E1413" s="5" t="s">
        <v>32</v>
      </c>
      <c r="F1413" s="5" t="s">
        <v>9690</v>
      </c>
      <c r="G1413" s="6" t="s">
        <v>14</v>
      </c>
      <c r="H1413" s="4">
        <v>410</v>
      </c>
      <c r="I1413" s="5" t="s">
        <v>22</v>
      </c>
      <c r="J1413" s="5" t="s">
        <v>10268</v>
      </c>
      <c r="K1413" s="5" t="s">
        <v>10269</v>
      </c>
      <c r="L1413" s="5"/>
      <c r="M1413" s="5" t="s">
        <v>283</v>
      </c>
      <c r="N1413" s="5" t="s">
        <v>284</v>
      </c>
      <c r="O1413" s="5" t="s">
        <v>10270</v>
      </c>
      <c r="P1413" s="5"/>
      <c r="Q1413" s="5" t="s">
        <v>10271</v>
      </c>
    </row>
    <row r="1414" spans="2:17" x14ac:dyDescent="0.2">
      <c r="B1414" s="5" t="s">
        <v>10194</v>
      </c>
      <c r="C1414" s="6" t="s">
        <v>13589</v>
      </c>
      <c r="D1414" s="4">
        <v>1012</v>
      </c>
      <c r="E1414" s="5" t="s">
        <v>32</v>
      </c>
      <c r="F1414" s="5" t="s">
        <v>9690</v>
      </c>
      <c r="G1414" s="6" t="s">
        <v>14</v>
      </c>
      <c r="H1414" s="4">
        <v>411</v>
      </c>
      <c r="I1414" s="5" t="s">
        <v>38</v>
      </c>
      <c r="J1414" s="5" t="s">
        <v>10272</v>
      </c>
      <c r="K1414" s="5" t="s">
        <v>10273</v>
      </c>
      <c r="L1414" s="5"/>
      <c r="M1414" s="5" t="s">
        <v>283</v>
      </c>
      <c r="N1414" s="5" t="s">
        <v>284</v>
      </c>
      <c r="O1414" s="5" t="s">
        <v>10274</v>
      </c>
      <c r="P1414" s="5" t="s">
        <v>10275</v>
      </c>
      <c r="Q1414" s="5" t="s">
        <v>10276</v>
      </c>
    </row>
    <row r="1415" spans="2:17" x14ac:dyDescent="0.2">
      <c r="B1415" s="5" t="s">
        <v>10194</v>
      </c>
      <c r="C1415" s="6" t="s">
        <v>13589</v>
      </c>
      <c r="D1415" s="4">
        <v>1013</v>
      </c>
      <c r="E1415" s="5" t="s">
        <v>32</v>
      </c>
      <c r="F1415" s="5" t="s">
        <v>9690</v>
      </c>
      <c r="G1415" s="6" t="s">
        <v>14</v>
      </c>
      <c r="H1415" s="4">
        <v>412</v>
      </c>
      <c r="I1415" s="5" t="s">
        <v>38</v>
      </c>
      <c r="J1415" s="5" t="s">
        <v>10277</v>
      </c>
      <c r="K1415" s="5" t="s">
        <v>10273</v>
      </c>
      <c r="L1415" s="5"/>
      <c r="M1415" s="5" t="s">
        <v>283</v>
      </c>
      <c r="N1415" s="5" t="s">
        <v>284</v>
      </c>
      <c r="O1415" s="5" t="s">
        <v>10274</v>
      </c>
      <c r="P1415" s="5"/>
      <c r="Q1415" s="5" t="s">
        <v>10278</v>
      </c>
    </row>
    <row r="1416" spans="2:17" x14ac:dyDescent="0.2">
      <c r="B1416" s="5" t="s">
        <v>10194</v>
      </c>
      <c r="C1416" s="6" t="s">
        <v>13589</v>
      </c>
      <c r="D1416" s="4">
        <v>1014</v>
      </c>
      <c r="E1416" s="5" t="s">
        <v>32</v>
      </c>
      <c r="F1416" s="5" t="s">
        <v>9690</v>
      </c>
      <c r="G1416" s="6" t="s">
        <v>14</v>
      </c>
      <c r="H1416" s="4">
        <v>413</v>
      </c>
      <c r="I1416" s="5" t="s">
        <v>22</v>
      </c>
      <c r="J1416" s="5" t="s">
        <v>10279</v>
      </c>
      <c r="K1416" s="5" t="s">
        <v>10280</v>
      </c>
      <c r="L1416" s="5"/>
      <c r="M1416" s="5" t="s">
        <v>283</v>
      </c>
      <c r="N1416" s="5" t="s">
        <v>284</v>
      </c>
      <c r="O1416" s="5" t="s">
        <v>10274</v>
      </c>
      <c r="P1416" s="5"/>
      <c r="Q1416" s="5" t="s">
        <v>10281</v>
      </c>
    </row>
    <row r="1417" spans="2:17" x14ac:dyDescent="0.2">
      <c r="B1417" s="5" t="s">
        <v>10194</v>
      </c>
      <c r="C1417" s="6" t="s">
        <v>13589</v>
      </c>
      <c r="D1417" s="4">
        <v>1015</v>
      </c>
      <c r="E1417" s="5" t="s">
        <v>32</v>
      </c>
      <c r="F1417" s="5" t="s">
        <v>9690</v>
      </c>
      <c r="G1417" s="6" t="s">
        <v>14</v>
      </c>
      <c r="H1417" s="4">
        <v>414</v>
      </c>
      <c r="I1417" s="5" t="s">
        <v>38</v>
      </c>
      <c r="J1417" s="5" t="s">
        <v>10282</v>
      </c>
      <c r="K1417" s="5" t="s">
        <v>10283</v>
      </c>
      <c r="L1417" s="5"/>
      <c r="M1417" s="5" t="s">
        <v>283</v>
      </c>
      <c r="N1417" s="5" t="s">
        <v>284</v>
      </c>
      <c r="O1417" s="5" t="s">
        <v>10274</v>
      </c>
      <c r="P1417" s="5"/>
      <c r="Q1417" s="5" t="s">
        <v>10284</v>
      </c>
    </row>
    <row r="1418" spans="2:17" x14ac:dyDescent="0.2">
      <c r="B1418" s="5" t="s">
        <v>10194</v>
      </c>
      <c r="C1418" s="6" t="s">
        <v>13589</v>
      </c>
      <c r="D1418" s="4">
        <v>1016</v>
      </c>
      <c r="E1418" s="5" t="s">
        <v>32</v>
      </c>
      <c r="F1418" s="5" t="s">
        <v>9690</v>
      </c>
      <c r="G1418" s="6" t="s">
        <v>14</v>
      </c>
      <c r="H1418" s="4">
        <v>415</v>
      </c>
      <c r="I1418" s="5" t="s">
        <v>38</v>
      </c>
      <c r="J1418" s="5" t="s">
        <v>10285</v>
      </c>
      <c r="K1418" s="5" t="s">
        <v>10273</v>
      </c>
      <c r="L1418" s="5"/>
      <c r="M1418" s="5" t="s">
        <v>283</v>
      </c>
      <c r="N1418" s="5" t="s">
        <v>284</v>
      </c>
      <c r="O1418" s="5" t="s">
        <v>10274</v>
      </c>
      <c r="P1418" s="5"/>
      <c r="Q1418" s="5" t="s">
        <v>10286</v>
      </c>
    </row>
    <row r="1419" spans="2:17" x14ac:dyDescent="0.2">
      <c r="B1419" s="5" t="s">
        <v>10194</v>
      </c>
      <c r="C1419" s="6" t="s">
        <v>13589</v>
      </c>
      <c r="D1419" s="4">
        <v>1017</v>
      </c>
      <c r="E1419" s="5" t="s">
        <v>32</v>
      </c>
      <c r="F1419" s="5" t="s">
        <v>10198</v>
      </c>
      <c r="G1419" s="6" t="s">
        <v>14</v>
      </c>
      <c r="H1419" s="4">
        <v>416</v>
      </c>
      <c r="I1419" s="5" t="s">
        <v>22</v>
      </c>
      <c r="J1419" s="5" t="s">
        <v>10287</v>
      </c>
      <c r="K1419" s="5" t="s">
        <v>10200</v>
      </c>
      <c r="L1419" s="5" t="s">
        <v>10288</v>
      </c>
      <c r="M1419" s="5" t="s">
        <v>283</v>
      </c>
      <c r="N1419" s="5" t="s">
        <v>284</v>
      </c>
      <c r="O1419" s="5" t="s">
        <v>10289</v>
      </c>
      <c r="P1419" s="5"/>
      <c r="Q1419" s="5" t="s">
        <v>10290</v>
      </c>
    </row>
    <row r="1420" spans="2:17" x14ac:dyDescent="0.2">
      <c r="B1420" s="5" t="s">
        <v>10194</v>
      </c>
      <c r="C1420" s="6" t="s">
        <v>13589</v>
      </c>
      <c r="D1420" s="4">
        <v>1018</v>
      </c>
      <c r="E1420" s="5" t="s">
        <v>32</v>
      </c>
      <c r="F1420" s="5" t="s">
        <v>10198</v>
      </c>
      <c r="G1420" s="6" t="s">
        <v>14</v>
      </c>
      <c r="H1420" s="4">
        <v>417</v>
      </c>
      <c r="I1420" s="5" t="s">
        <v>22</v>
      </c>
      <c r="J1420" s="5" t="s">
        <v>10291</v>
      </c>
      <c r="K1420" s="5" t="s">
        <v>10200</v>
      </c>
      <c r="L1420" s="5" t="s">
        <v>10292</v>
      </c>
      <c r="M1420" s="5" t="s">
        <v>283</v>
      </c>
      <c r="N1420" s="5" t="s">
        <v>284</v>
      </c>
      <c r="O1420" s="5" t="s">
        <v>10202</v>
      </c>
      <c r="P1420" s="5"/>
      <c r="Q1420" s="5" t="s">
        <v>10293</v>
      </c>
    </row>
    <row r="1421" spans="2:17" x14ac:dyDescent="0.2">
      <c r="B1421" s="5" t="s">
        <v>10194</v>
      </c>
      <c r="C1421" s="6" t="s">
        <v>13589</v>
      </c>
      <c r="D1421" s="4">
        <v>1019</v>
      </c>
      <c r="E1421" s="5" t="s">
        <v>32</v>
      </c>
      <c r="F1421" s="5" t="s">
        <v>10198</v>
      </c>
      <c r="G1421" s="6" t="s">
        <v>14</v>
      </c>
      <c r="H1421" s="4">
        <v>418</v>
      </c>
      <c r="I1421" s="5" t="s">
        <v>22</v>
      </c>
      <c r="J1421" s="5" t="s">
        <v>10294</v>
      </c>
      <c r="K1421" s="5" t="s">
        <v>10200</v>
      </c>
      <c r="L1421" s="5" t="s">
        <v>10295</v>
      </c>
      <c r="M1421" s="5" t="s">
        <v>283</v>
      </c>
      <c r="N1421" s="5" t="s">
        <v>284</v>
      </c>
      <c r="O1421" s="5" t="s">
        <v>10202</v>
      </c>
      <c r="P1421" s="5"/>
      <c r="Q1421" s="5" t="s">
        <v>10296</v>
      </c>
    </row>
    <row r="1422" spans="2:17" x14ac:dyDescent="0.2">
      <c r="B1422" s="5" t="s">
        <v>10194</v>
      </c>
      <c r="C1422" s="6" t="s">
        <v>13589</v>
      </c>
      <c r="D1422" s="4">
        <v>1020</v>
      </c>
      <c r="E1422" s="5" t="s">
        <v>32</v>
      </c>
      <c r="F1422" s="5" t="s">
        <v>10198</v>
      </c>
      <c r="G1422" s="6" t="s">
        <v>14</v>
      </c>
      <c r="H1422" s="4">
        <v>419</v>
      </c>
      <c r="I1422" s="5" t="s">
        <v>22</v>
      </c>
      <c r="J1422" s="5" t="s">
        <v>10297</v>
      </c>
      <c r="K1422" s="5" t="s">
        <v>10200</v>
      </c>
      <c r="L1422" s="5" t="s">
        <v>10298</v>
      </c>
      <c r="M1422" s="5" t="s">
        <v>283</v>
      </c>
      <c r="N1422" s="5" t="s">
        <v>284</v>
      </c>
      <c r="O1422" s="5" t="s">
        <v>10202</v>
      </c>
      <c r="P1422" s="5"/>
      <c r="Q1422" s="5" t="s">
        <v>10299</v>
      </c>
    </row>
    <row r="1423" spans="2:17" x14ac:dyDescent="0.2">
      <c r="B1423" s="5" t="s">
        <v>10194</v>
      </c>
      <c r="C1423" s="6" t="s">
        <v>13589</v>
      </c>
      <c r="D1423" s="4">
        <v>1021</v>
      </c>
      <c r="E1423" s="5" t="s">
        <v>32</v>
      </c>
      <c r="F1423" s="5" t="s">
        <v>10198</v>
      </c>
      <c r="G1423" s="6" t="s">
        <v>14</v>
      </c>
      <c r="H1423" s="4">
        <v>420</v>
      </c>
      <c r="I1423" s="5" t="s">
        <v>22</v>
      </c>
      <c r="J1423" s="5" t="s">
        <v>10199</v>
      </c>
      <c r="K1423" s="5" t="s">
        <v>10200</v>
      </c>
      <c r="L1423" s="5" t="s">
        <v>10201</v>
      </c>
      <c r="M1423" s="5" t="s">
        <v>1169</v>
      </c>
      <c r="N1423" s="5" t="s">
        <v>284</v>
      </c>
      <c r="O1423" s="5" t="s">
        <v>10202</v>
      </c>
      <c r="P1423" s="5"/>
      <c r="Q1423" s="5" t="s">
        <v>10203</v>
      </c>
    </row>
    <row r="1424" spans="2:17" x14ac:dyDescent="0.2">
      <c r="B1424" s="5" t="s">
        <v>10194</v>
      </c>
      <c r="C1424" s="6" t="s">
        <v>13589</v>
      </c>
      <c r="D1424" s="4">
        <v>1022</v>
      </c>
      <c r="E1424" s="5" t="s">
        <v>32</v>
      </c>
      <c r="F1424" s="5" t="s">
        <v>10198</v>
      </c>
      <c r="G1424" s="6" t="s">
        <v>14</v>
      </c>
      <c r="H1424" s="4">
        <v>421</v>
      </c>
      <c r="I1424" s="5" t="s">
        <v>22</v>
      </c>
      <c r="J1424" s="5" t="s">
        <v>10300</v>
      </c>
      <c r="K1424" s="5" t="s">
        <v>10200</v>
      </c>
      <c r="L1424" s="5" t="s">
        <v>10301</v>
      </c>
      <c r="M1424" s="5" t="s">
        <v>283</v>
      </c>
      <c r="N1424" s="5" t="s">
        <v>284</v>
      </c>
      <c r="O1424" s="5" t="s">
        <v>10202</v>
      </c>
      <c r="P1424" s="5"/>
      <c r="Q1424" s="5" t="s">
        <v>10302</v>
      </c>
    </row>
    <row r="1425" spans="2:17" x14ac:dyDescent="0.2">
      <c r="B1425" s="5" t="s">
        <v>10194</v>
      </c>
      <c r="C1425" s="6" t="s">
        <v>13589</v>
      </c>
      <c r="D1425" s="4">
        <v>1023</v>
      </c>
      <c r="E1425" s="5" t="s">
        <v>32</v>
      </c>
      <c r="F1425" s="5" t="s">
        <v>10198</v>
      </c>
      <c r="G1425" s="6" t="s">
        <v>14</v>
      </c>
      <c r="H1425" s="4">
        <v>422</v>
      </c>
      <c r="I1425" s="5" t="s">
        <v>22</v>
      </c>
      <c r="J1425" s="5" t="s">
        <v>10303</v>
      </c>
      <c r="K1425" s="5" t="s">
        <v>10200</v>
      </c>
      <c r="L1425" s="5" t="s">
        <v>10304</v>
      </c>
      <c r="M1425" s="5" t="s">
        <v>283</v>
      </c>
      <c r="N1425" s="5" t="s">
        <v>284</v>
      </c>
      <c r="O1425" s="5" t="s">
        <v>10202</v>
      </c>
      <c r="P1425" s="5"/>
      <c r="Q1425" s="5" t="s">
        <v>10305</v>
      </c>
    </row>
    <row r="1426" spans="2:17" x14ac:dyDescent="0.2">
      <c r="B1426" s="5" t="s">
        <v>10194</v>
      </c>
      <c r="C1426" s="6" t="s">
        <v>13589</v>
      </c>
      <c r="D1426" s="4">
        <v>1024</v>
      </c>
      <c r="E1426" s="5" t="s">
        <v>32</v>
      </c>
      <c r="F1426" s="5" t="s">
        <v>10198</v>
      </c>
      <c r="G1426" s="6" t="s">
        <v>14</v>
      </c>
      <c r="H1426" s="4">
        <v>423</v>
      </c>
      <c r="I1426" s="5" t="s">
        <v>22</v>
      </c>
      <c r="J1426" s="5" t="s">
        <v>10311</v>
      </c>
      <c r="K1426" s="5" t="s">
        <v>10200</v>
      </c>
      <c r="L1426" s="5" t="s">
        <v>10225</v>
      </c>
      <c r="M1426" s="5" t="s">
        <v>283</v>
      </c>
      <c r="N1426" s="5" t="s">
        <v>284</v>
      </c>
      <c r="O1426" s="5" t="s">
        <v>10202</v>
      </c>
      <c r="P1426" s="5"/>
      <c r="Q1426" s="5" t="s">
        <v>10312</v>
      </c>
    </row>
    <row r="1427" spans="2:17" x14ac:dyDescent="0.2">
      <c r="B1427" s="5" t="s">
        <v>10194</v>
      </c>
      <c r="C1427" s="6" t="s">
        <v>13589</v>
      </c>
      <c r="D1427" s="4">
        <v>1025</v>
      </c>
      <c r="E1427" s="5" t="s">
        <v>32</v>
      </c>
      <c r="F1427" s="5" t="s">
        <v>10198</v>
      </c>
      <c r="G1427" s="6" t="s">
        <v>14</v>
      </c>
      <c r="H1427" s="4">
        <v>424</v>
      </c>
      <c r="I1427" s="5" t="s">
        <v>22</v>
      </c>
      <c r="J1427" s="5" t="s">
        <v>10315</v>
      </c>
      <c r="K1427" s="5" t="s">
        <v>10200</v>
      </c>
      <c r="L1427" s="5" t="s">
        <v>10316</v>
      </c>
      <c r="M1427" s="5" t="s">
        <v>283</v>
      </c>
      <c r="N1427" s="5" t="s">
        <v>284</v>
      </c>
      <c r="O1427" s="5" t="s">
        <v>10202</v>
      </c>
      <c r="P1427" s="5"/>
      <c r="Q1427" s="5" t="s">
        <v>10317</v>
      </c>
    </row>
    <row r="1428" spans="2:17" x14ac:dyDescent="0.2">
      <c r="B1428" s="5" t="s">
        <v>10194</v>
      </c>
      <c r="C1428" s="6" t="s">
        <v>13589</v>
      </c>
      <c r="D1428" s="4">
        <v>1026</v>
      </c>
      <c r="E1428" s="5" t="s">
        <v>32</v>
      </c>
      <c r="F1428" s="5" t="s">
        <v>10198</v>
      </c>
      <c r="G1428" s="6" t="s">
        <v>14</v>
      </c>
      <c r="H1428" s="4">
        <v>425</v>
      </c>
      <c r="I1428" s="5" t="s">
        <v>22</v>
      </c>
      <c r="J1428" s="5" t="s">
        <v>10322</v>
      </c>
      <c r="K1428" s="5" t="s">
        <v>10200</v>
      </c>
      <c r="L1428" s="5" t="s">
        <v>10323</v>
      </c>
      <c r="M1428" s="5" t="s">
        <v>283</v>
      </c>
      <c r="N1428" s="5" t="s">
        <v>284</v>
      </c>
      <c r="O1428" s="5" t="s">
        <v>10202</v>
      </c>
      <c r="P1428" s="5"/>
      <c r="Q1428" s="5" t="s">
        <v>10324</v>
      </c>
    </row>
    <row r="1429" spans="2:17" x14ac:dyDescent="0.2">
      <c r="B1429" s="5" t="s">
        <v>10194</v>
      </c>
      <c r="C1429" s="6" t="s">
        <v>13589</v>
      </c>
      <c r="D1429" s="4">
        <v>1027</v>
      </c>
      <c r="E1429" s="5" t="s">
        <v>32</v>
      </c>
      <c r="F1429" s="5" t="s">
        <v>10198</v>
      </c>
      <c r="G1429" s="6" t="s">
        <v>14</v>
      </c>
      <c r="H1429" s="4">
        <v>426</v>
      </c>
      <c r="I1429" s="5" t="s">
        <v>22</v>
      </c>
      <c r="J1429" s="5" t="s">
        <v>10328</v>
      </c>
      <c r="K1429" s="5" t="s">
        <v>10200</v>
      </c>
      <c r="L1429" s="5" t="s">
        <v>10225</v>
      </c>
      <c r="M1429" s="5" t="s">
        <v>283</v>
      </c>
      <c r="N1429" s="5" t="s">
        <v>284</v>
      </c>
      <c r="O1429" s="5" t="s">
        <v>10202</v>
      </c>
      <c r="P1429" s="5"/>
      <c r="Q1429" s="5" t="s">
        <v>10329</v>
      </c>
    </row>
    <row r="1430" spans="2:17" x14ac:dyDescent="0.2">
      <c r="B1430" s="5" t="s">
        <v>10194</v>
      </c>
      <c r="C1430" s="6" t="s">
        <v>13589</v>
      </c>
      <c r="D1430" s="4">
        <v>1028</v>
      </c>
      <c r="E1430" s="5" t="s">
        <v>32</v>
      </c>
      <c r="F1430" s="5" t="s">
        <v>10344</v>
      </c>
      <c r="G1430" s="6" t="s">
        <v>14</v>
      </c>
      <c r="H1430" s="4">
        <v>427</v>
      </c>
      <c r="I1430" s="5" t="s">
        <v>22</v>
      </c>
      <c r="J1430" s="5" t="s">
        <v>10345</v>
      </c>
      <c r="K1430" s="5" t="s">
        <v>10346</v>
      </c>
      <c r="L1430" s="5" t="s">
        <v>10347</v>
      </c>
      <c r="M1430" s="5" t="s">
        <v>283</v>
      </c>
      <c r="N1430" s="5" t="s">
        <v>284</v>
      </c>
      <c r="O1430" s="5" t="s">
        <v>10210</v>
      </c>
      <c r="P1430" s="5" t="s">
        <v>10211</v>
      </c>
      <c r="Q1430" s="5" t="s">
        <v>10348</v>
      </c>
    </row>
    <row r="1431" spans="2:17" x14ac:dyDescent="0.2">
      <c r="B1431" s="5" t="s">
        <v>10194</v>
      </c>
      <c r="C1431" s="6" t="s">
        <v>13589</v>
      </c>
      <c r="D1431" s="4">
        <v>1029</v>
      </c>
      <c r="E1431" s="5" t="s">
        <v>32</v>
      </c>
      <c r="F1431" s="5" t="s">
        <v>10344</v>
      </c>
      <c r="G1431" s="6" t="s">
        <v>14</v>
      </c>
      <c r="H1431" s="4">
        <v>428</v>
      </c>
      <c r="I1431" s="5" t="s">
        <v>38</v>
      </c>
      <c r="J1431" s="5" t="s">
        <v>10349</v>
      </c>
      <c r="K1431" s="5" t="s">
        <v>10350</v>
      </c>
      <c r="L1431" s="5" t="s">
        <v>10351</v>
      </c>
      <c r="M1431" s="5" t="s">
        <v>283</v>
      </c>
      <c r="N1431" s="5" t="s">
        <v>284</v>
      </c>
      <c r="O1431" s="5" t="s">
        <v>10210</v>
      </c>
      <c r="P1431" s="5"/>
      <c r="Q1431" s="5" t="s">
        <v>10352</v>
      </c>
    </row>
    <row r="1432" spans="2:17" x14ac:dyDescent="0.2">
      <c r="B1432" s="5" t="s">
        <v>10194</v>
      </c>
      <c r="C1432" s="6" t="s">
        <v>13589</v>
      </c>
      <c r="D1432" s="4">
        <v>1030</v>
      </c>
      <c r="E1432" s="5" t="s">
        <v>32</v>
      </c>
      <c r="F1432" s="5" t="s">
        <v>10353</v>
      </c>
      <c r="G1432" s="6" t="s">
        <v>14</v>
      </c>
      <c r="H1432" s="4">
        <v>429</v>
      </c>
      <c r="I1432" s="5" t="s">
        <v>22</v>
      </c>
      <c r="J1432" s="5" t="s">
        <v>10354</v>
      </c>
      <c r="K1432" s="5" t="s">
        <v>10355</v>
      </c>
      <c r="L1432" s="5"/>
      <c r="M1432" s="5" t="s">
        <v>283</v>
      </c>
      <c r="N1432" s="5" t="s">
        <v>284</v>
      </c>
      <c r="O1432" s="5" t="s">
        <v>10210</v>
      </c>
      <c r="P1432" s="5"/>
      <c r="Q1432" s="5" t="s">
        <v>10356</v>
      </c>
    </row>
    <row r="1433" spans="2:17" x14ac:dyDescent="0.2">
      <c r="B1433" s="5" t="s">
        <v>10194</v>
      </c>
      <c r="C1433" s="6" t="s">
        <v>13589</v>
      </c>
      <c r="D1433" s="4">
        <v>1031</v>
      </c>
      <c r="E1433" s="5" t="s">
        <v>32</v>
      </c>
      <c r="F1433" s="5" t="s">
        <v>10353</v>
      </c>
      <c r="G1433" s="6" t="s">
        <v>14</v>
      </c>
      <c r="H1433" s="4">
        <v>430</v>
      </c>
      <c r="I1433" s="5" t="s">
        <v>38</v>
      </c>
      <c r="J1433" s="5" t="s">
        <v>10357</v>
      </c>
      <c r="K1433" s="5" t="s">
        <v>10283</v>
      </c>
      <c r="L1433" s="5"/>
      <c r="M1433" s="5" t="s">
        <v>283</v>
      </c>
      <c r="N1433" s="5" t="s">
        <v>284</v>
      </c>
      <c r="O1433" s="5" t="s">
        <v>10210</v>
      </c>
      <c r="P1433" s="5"/>
      <c r="Q1433" s="5" t="s">
        <v>10358</v>
      </c>
    </row>
    <row r="1434" spans="2:17" x14ac:dyDescent="0.2">
      <c r="B1434" s="5" t="s">
        <v>10194</v>
      </c>
      <c r="C1434" s="6" t="s">
        <v>13589</v>
      </c>
      <c r="D1434" s="4">
        <v>1032</v>
      </c>
      <c r="E1434" s="5" t="s">
        <v>32</v>
      </c>
      <c r="F1434" s="5" t="s">
        <v>10353</v>
      </c>
      <c r="G1434" s="6" t="s">
        <v>14</v>
      </c>
      <c r="H1434" s="4">
        <v>431</v>
      </c>
      <c r="I1434" s="5" t="s">
        <v>38</v>
      </c>
      <c r="J1434" s="5" t="s">
        <v>10359</v>
      </c>
      <c r="K1434" s="5" t="s">
        <v>10360</v>
      </c>
      <c r="L1434" s="5"/>
      <c r="M1434" s="5" t="s">
        <v>283</v>
      </c>
      <c r="N1434" s="5" t="s">
        <v>284</v>
      </c>
      <c r="O1434" s="5" t="s">
        <v>10210</v>
      </c>
      <c r="P1434" s="5" t="s">
        <v>10361</v>
      </c>
      <c r="Q1434" s="5" t="s">
        <v>10362</v>
      </c>
    </row>
    <row r="1435" spans="2:17" x14ac:dyDescent="0.2">
      <c r="B1435" s="5" t="s">
        <v>10194</v>
      </c>
      <c r="C1435" s="6" t="s">
        <v>13589</v>
      </c>
      <c r="D1435" s="4">
        <v>1033</v>
      </c>
      <c r="E1435" s="5" t="s">
        <v>32</v>
      </c>
      <c r="F1435" s="5" t="s">
        <v>10353</v>
      </c>
      <c r="G1435" s="6" t="s">
        <v>14</v>
      </c>
      <c r="H1435" s="4">
        <v>432</v>
      </c>
      <c r="I1435" s="5" t="s">
        <v>38</v>
      </c>
      <c r="J1435" s="5" t="s">
        <v>10363</v>
      </c>
      <c r="K1435" s="5" t="s">
        <v>10364</v>
      </c>
      <c r="L1435" s="5" t="s">
        <v>10365</v>
      </c>
      <c r="M1435" s="5" t="s">
        <v>283</v>
      </c>
      <c r="N1435" s="5" t="s">
        <v>284</v>
      </c>
      <c r="O1435" s="5" t="s">
        <v>10210</v>
      </c>
      <c r="P1435" s="5"/>
      <c r="Q1435" s="5" t="s">
        <v>10366</v>
      </c>
    </row>
    <row r="1436" spans="2:17" x14ac:dyDescent="0.2">
      <c r="B1436" s="5" t="s">
        <v>10194</v>
      </c>
      <c r="C1436" s="6" t="s">
        <v>13589</v>
      </c>
      <c r="D1436" s="4">
        <v>1034</v>
      </c>
      <c r="E1436" s="5" t="s">
        <v>32</v>
      </c>
      <c r="F1436" s="5" t="s">
        <v>10353</v>
      </c>
      <c r="G1436" s="6" t="s">
        <v>14</v>
      </c>
      <c r="H1436" s="4">
        <v>433</v>
      </c>
      <c r="I1436" s="5" t="s">
        <v>38</v>
      </c>
      <c r="J1436" s="5" t="s">
        <v>10367</v>
      </c>
      <c r="K1436" s="5" t="s">
        <v>10368</v>
      </c>
      <c r="L1436" s="5" t="s">
        <v>10365</v>
      </c>
      <c r="M1436" s="5" t="s">
        <v>283</v>
      </c>
      <c r="N1436" s="5" t="s">
        <v>284</v>
      </c>
      <c r="O1436" s="5" t="s">
        <v>10210</v>
      </c>
      <c r="P1436" s="5"/>
      <c r="Q1436" s="5" t="s">
        <v>10369</v>
      </c>
    </row>
    <row r="1437" spans="2:17" x14ac:dyDescent="0.2">
      <c r="B1437" s="5" t="s">
        <v>10194</v>
      </c>
      <c r="C1437" s="6" t="s">
        <v>13589</v>
      </c>
      <c r="D1437" s="4">
        <v>1035</v>
      </c>
      <c r="E1437" s="5" t="s">
        <v>32</v>
      </c>
      <c r="F1437" s="5" t="s">
        <v>10230</v>
      </c>
      <c r="G1437" s="6" t="s">
        <v>14</v>
      </c>
      <c r="H1437" s="4">
        <v>434</v>
      </c>
      <c r="I1437" s="5" t="s">
        <v>38</v>
      </c>
      <c r="J1437" s="5" t="s">
        <v>10235</v>
      </c>
      <c r="K1437" s="5" t="s">
        <v>10236</v>
      </c>
      <c r="L1437" s="5" t="s">
        <v>10237</v>
      </c>
      <c r="M1437" s="5" t="s">
        <v>283</v>
      </c>
      <c r="N1437" s="5" t="s">
        <v>284</v>
      </c>
      <c r="O1437" s="5" t="s">
        <v>10210</v>
      </c>
      <c r="P1437" s="5"/>
      <c r="Q1437" s="5" t="s">
        <v>10370</v>
      </c>
    </row>
    <row r="1438" spans="2:17" x14ac:dyDescent="0.2">
      <c r="B1438" s="5" t="s">
        <v>10194</v>
      </c>
      <c r="C1438" s="6" t="s">
        <v>13589</v>
      </c>
      <c r="D1438" s="4">
        <v>1036</v>
      </c>
      <c r="E1438" s="5" t="s">
        <v>32</v>
      </c>
      <c r="F1438" s="5" t="s">
        <v>4318</v>
      </c>
      <c r="G1438" s="6" t="s">
        <v>14</v>
      </c>
      <c r="H1438" s="4">
        <v>435</v>
      </c>
      <c r="I1438" s="5" t="s">
        <v>22</v>
      </c>
      <c r="J1438" s="5" t="s">
        <v>10371</v>
      </c>
      <c r="K1438" s="5" t="s">
        <v>10372</v>
      </c>
      <c r="L1438" s="5" t="s">
        <v>10373</v>
      </c>
      <c r="M1438" s="5" t="s">
        <v>283</v>
      </c>
      <c r="N1438" s="5" t="s">
        <v>284</v>
      </c>
      <c r="O1438" s="5" t="s">
        <v>10204</v>
      </c>
      <c r="P1438" s="5"/>
      <c r="Q1438" s="5" t="s">
        <v>10374</v>
      </c>
    </row>
    <row r="1439" spans="2:17" x14ac:dyDescent="0.2">
      <c r="B1439" s="5" t="s">
        <v>10194</v>
      </c>
      <c r="C1439" s="6" t="s">
        <v>13589</v>
      </c>
      <c r="D1439" s="4">
        <v>1037</v>
      </c>
      <c r="E1439" s="5" t="s">
        <v>32</v>
      </c>
      <c r="F1439" s="5" t="s">
        <v>4318</v>
      </c>
      <c r="G1439" s="6" t="s">
        <v>14</v>
      </c>
      <c r="H1439" s="4">
        <v>436</v>
      </c>
      <c r="I1439" s="5" t="s">
        <v>22</v>
      </c>
      <c r="J1439" s="5" t="s">
        <v>10375</v>
      </c>
      <c r="K1439" s="5" t="s">
        <v>10372</v>
      </c>
      <c r="L1439" s="5" t="s">
        <v>10376</v>
      </c>
      <c r="M1439" s="5" t="s">
        <v>283</v>
      </c>
      <c r="N1439" s="5" t="s">
        <v>284</v>
      </c>
      <c r="O1439" s="5" t="s">
        <v>10204</v>
      </c>
      <c r="P1439" s="5"/>
      <c r="Q1439" s="5" t="s">
        <v>10377</v>
      </c>
    </row>
    <row r="1440" spans="2:17" x14ac:dyDescent="0.2">
      <c r="B1440" s="5" t="s">
        <v>10194</v>
      </c>
      <c r="C1440" s="6" t="s">
        <v>13589</v>
      </c>
      <c r="D1440" s="4">
        <v>1038</v>
      </c>
      <c r="E1440" s="5" t="s">
        <v>32</v>
      </c>
      <c r="F1440" s="5" t="s">
        <v>4318</v>
      </c>
      <c r="G1440" s="6" t="s">
        <v>14</v>
      </c>
      <c r="H1440" s="4">
        <v>437</v>
      </c>
      <c r="I1440" s="5" t="s">
        <v>22</v>
      </c>
      <c r="J1440" s="5" t="s">
        <v>10378</v>
      </c>
      <c r="K1440" s="5" t="s">
        <v>10372</v>
      </c>
      <c r="L1440" s="5" t="s">
        <v>10379</v>
      </c>
      <c r="M1440" s="5" t="s">
        <v>283</v>
      </c>
      <c r="N1440" s="5" t="s">
        <v>284</v>
      </c>
      <c r="O1440" s="5" t="s">
        <v>10204</v>
      </c>
      <c r="P1440" s="5"/>
      <c r="Q1440" s="5" t="s">
        <v>10380</v>
      </c>
    </row>
    <row r="1441" spans="2:17" x14ac:dyDescent="0.2">
      <c r="B1441" s="5" t="s">
        <v>10194</v>
      </c>
      <c r="C1441" s="6" t="s">
        <v>13589</v>
      </c>
      <c r="D1441" s="4">
        <v>1039</v>
      </c>
      <c r="E1441" s="5" t="s">
        <v>32</v>
      </c>
      <c r="F1441" s="5" t="s">
        <v>4318</v>
      </c>
      <c r="G1441" s="6" t="s">
        <v>14</v>
      </c>
      <c r="H1441" s="4">
        <v>438</v>
      </c>
      <c r="I1441" s="5" t="s">
        <v>22</v>
      </c>
      <c r="J1441" s="5" t="s">
        <v>10381</v>
      </c>
      <c r="K1441" s="5" t="s">
        <v>10372</v>
      </c>
      <c r="L1441" s="5" t="s">
        <v>10382</v>
      </c>
      <c r="M1441" s="5" t="s">
        <v>283</v>
      </c>
      <c r="N1441" s="5" t="s">
        <v>284</v>
      </c>
      <c r="O1441" s="5" t="s">
        <v>10204</v>
      </c>
      <c r="P1441" s="5"/>
      <c r="Q1441" s="5" t="s">
        <v>10383</v>
      </c>
    </row>
    <row r="1442" spans="2:17" x14ac:dyDescent="0.2">
      <c r="B1442" s="5" t="s">
        <v>10194</v>
      </c>
      <c r="C1442" s="6" t="s">
        <v>13589</v>
      </c>
      <c r="D1442" s="4">
        <v>1040</v>
      </c>
      <c r="E1442" s="5" t="s">
        <v>32</v>
      </c>
      <c r="F1442" s="5" t="s">
        <v>10230</v>
      </c>
      <c r="G1442" s="6" t="s">
        <v>14</v>
      </c>
      <c r="H1442" s="4">
        <v>439</v>
      </c>
      <c r="I1442" s="5" t="s">
        <v>22</v>
      </c>
      <c r="J1442" s="5" t="s">
        <v>10384</v>
      </c>
      <c r="K1442" s="5" t="s">
        <v>10385</v>
      </c>
      <c r="L1442" s="5" t="s">
        <v>10386</v>
      </c>
      <c r="M1442" s="5" t="s">
        <v>283</v>
      </c>
      <c r="N1442" s="5" t="s">
        <v>284</v>
      </c>
      <c r="O1442" s="5" t="s">
        <v>10197</v>
      </c>
      <c r="P1442" s="5"/>
      <c r="Q1442" s="5" t="s">
        <v>10387</v>
      </c>
    </row>
    <row r="1443" spans="2:17" x14ac:dyDescent="0.2">
      <c r="B1443" s="5" t="s">
        <v>10194</v>
      </c>
      <c r="C1443" s="6" t="s">
        <v>13589</v>
      </c>
      <c r="D1443" s="4">
        <v>1041</v>
      </c>
      <c r="E1443" s="5" t="s">
        <v>32</v>
      </c>
      <c r="F1443" s="5" t="s">
        <v>10353</v>
      </c>
      <c r="G1443" s="6" t="s">
        <v>14</v>
      </c>
      <c r="H1443" s="4">
        <v>440</v>
      </c>
      <c r="I1443" s="5" t="s">
        <v>22</v>
      </c>
      <c r="J1443" s="5" t="s">
        <v>10354</v>
      </c>
      <c r="K1443" s="5" t="s">
        <v>10355</v>
      </c>
      <c r="L1443" s="5"/>
      <c r="M1443" s="5" t="s">
        <v>283</v>
      </c>
      <c r="N1443" s="5" t="s">
        <v>284</v>
      </c>
      <c r="O1443" s="5" t="s">
        <v>10196</v>
      </c>
      <c r="P1443" s="5"/>
      <c r="Q1443" s="5" t="s">
        <v>10388</v>
      </c>
    </row>
    <row r="1444" spans="2:17" x14ac:dyDescent="0.2">
      <c r="B1444" s="5" t="s">
        <v>10194</v>
      </c>
      <c r="C1444" s="6" t="s">
        <v>13589</v>
      </c>
      <c r="D1444" s="4">
        <v>1042</v>
      </c>
      <c r="E1444" s="5" t="s">
        <v>32</v>
      </c>
      <c r="F1444" s="5" t="s">
        <v>10353</v>
      </c>
      <c r="G1444" s="6" t="s">
        <v>14</v>
      </c>
      <c r="H1444" s="4">
        <v>441</v>
      </c>
      <c r="I1444" s="5" t="s">
        <v>38</v>
      </c>
      <c r="J1444" s="5" t="s">
        <v>10359</v>
      </c>
      <c r="K1444" s="5" t="s">
        <v>10360</v>
      </c>
      <c r="L1444" s="5"/>
      <c r="M1444" s="5" t="s">
        <v>283</v>
      </c>
      <c r="N1444" s="5" t="s">
        <v>284</v>
      </c>
      <c r="O1444" s="5" t="s">
        <v>10196</v>
      </c>
      <c r="P1444" s="5"/>
      <c r="Q1444" s="5" t="s">
        <v>10389</v>
      </c>
    </row>
    <row r="1445" spans="2:17" x14ac:dyDescent="0.2">
      <c r="B1445" s="5" t="s">
        <v>10194</v>
      </c>
      <c r="C1445" s="6" t="s">
        <v>13589</v>
      </c>
      <c r="D1445" s="4">
        <v>1043</v>
      </c>
      <c r="E1445" s="5" t="s">
        <v>32</v>
      </c>
      <c r="F1445" s="5" t="s">
        <v>10353</v>
      </c>
      <c r="G1445" s="6" t="s">
        <v>14</v>
      </c>
      <c r="H1445" s="4">
        <v>442</v>
      </c>
      <c r="I1445" s="5" t="s">
        <v>38</v>
      </c>
      <c r="J1445" s="5" t="s">
        <v>10363</v>
      </c>
      <c r="K1445" s="5" t="s">
        <v>10364</v>
      </c>
      <c r="L1445" s="5" t="s">
        <v>10365</v>
      </c>
      <c r="M1445" s="5" t="s">
        <v>283</v>
      </c>
      <c r="N1445" s="5" t="s">
        <v>284</v>
      </c>
      <c r="O1445" s="5" t="s">
        <v>10196</v>
      </c>
      <c r="P1445" s="5"/>
      <c r="Q1445" s="5" t="s">
        <v>10390</v>
      </c>
    </row>
    <row r="1446" spans="2:17" x14ac:dyDescent="0.2">
      <c r="B1446" s="5" t="s">
        <v>10194</v>
      </c>
      <c r="C1446" s="6" t="s">
        <v>13589</v>
      </c>
      <c r="D1446" s="4">
        <v>1044</v>
      </c>
      <c r="E1446" s="5" t="s">
        <v>32</v>
      </c>
      <c r="F1446" s="5" t="s">
        <v>10353</v>
      </c>
      <c r="G1446" s="6" t="s">
        <v>14</v>
      </c>
      <c r="H1446" s="4">
        <v>443</v>
      </c>
      <c r="I1446" s="5" t="s">
        <v>38</v>
      </c>
      <c r="J1446" s="5" t="s">
        <v>10391</v>
      </c>
      <c r="K1446" s="5" t="s">
        <v>10195</v>
      </c>
      <c r="L1446" s="5"/>
      <c r="M1446" s="5" t="s">
        <v>283</v>
      </c>
      <c r="N1446" s="5" t="s">
        <v>284</v>
      </c>
      <c r="O1446" s="5" t="s">
        <v>10204</v>
      </c>
      <c r="P1446" s="5"/>
      <c r="Q1446" s="5" t="s">
        <v>10392</v>
      </c>
    </row>
    <row r="1447" spans="2:17" x14ac:dyDescent="0.2">
      <c r="B1447" s="5" t="s">
        <v>10194</v>
      </c>
      <c r="C1447" s="6" t="s">
        <v>13589</v>
      </c>
      <c r="D1447" s="4">
        <v>1045</v>
      </c>
      <c r="E1447" s="5" t="s">
        <v>32</v>
      </c>
      <c r="F1447" s="5" t="s">
        <v>10353</v>
      </c>
      <c r="G1447" s="6" t="s">
        <v>14</v>
      </c>
      <c r="H1447" s="4">
        <v>444</v>
      </c>
      <c r="I1447" s="5" t="s">
        <v>38</v>
      </c>
      <c r="J1447" s="5" t="s">
        <v>10367</v>
      </c>
      <c r="K1447" s="5" t="s">
        <v>10393</v>
      </c>
      <c r="L1447" s="5" t="s">
        <v>10365</v>
      </c>
      <c r="M1447" s="5" t="s">
        <v>283</v>
      </c>
      <c r="N1447" s="5" t="s">
        <v>284</v>
      </c>
      <c r="O1447" s="5" t="s">
        <v>10196</v>
      </c>
      <c r="P1447" s="5"/>
      <c r="Q1447" s="5" t="s">
        <v>10394</v>
      </c>
    </row>
    <row r="1448" spans="2:17" x14ac:dyDescent="0.2">
      <c r="B1448" s="5" t="s">
        <v>10194</v>
      </c>
      <c r="C1448" s="6" t="s">
        <v>13589</v>
      </c>
      <c r="D1448" s="4">
        <v>1046</v>
      </c>
      <c r="E1448" s="5" t="s">
        <v>32</v>
      </c>
      <c r="F1448" s="5" t="s">
        <v>10395</v>
      </c>
      <c r="G1448" s="6" t="s">
        <v>14</v>
      </c>
      <c r="H1448" s="4">
        <v>445</v>
      </c>
      <c r="I1448" s="5" t="s">
        <v>38</v>
      </c>
      <c r="J1448" s="5" t="s">
        <v>10396</v>
      </c>
      <c r="K1448" s="5" t="s">
        <v>4985</v>
      </c>
      <c r="L1448" s="5" t="s">
        <v>10397</v>
      </c>
      <c r="M1448" s="5" t="s">
        <v>283</v>
      </c>
      <c r="N1448" s="5" t="s">
        <v>284</v>
      </c>
      <c r="O1448" s="5" t="s">
        <v>10197</v>
      </c>
      <c r="P1448" s="5"/>
      <c r="Q1448" s="5" t="s">
        <v>10398</v>
      </c>
    </row>
    <row r="1449" spans="2:17" x14ac:dyDescent="0.2">
      <c r="B1449" s="5" t="s">
        <v>10194</v>
      </c>
      <c r="C1449" s="6" t="s">
        <v>13589</v>
      </c>
      <c r="D1449" s="4">
        <v>1047</v>
      </c>
      <c r="E1449" s="5" t="s">
        <v>32</v>
      </c>
      <c r="F1449" s="5" t="s">
        <v>10395</v>
      </c>
      <c r="G1449" s="6" t="s">
        <v>14</v>
      </c>
      <c r="H1449" s="4">
        <v>446</v>
      </c>
      <c r="I1449" s="5" t="s">
        <v>38</v>
      </c>
      <c r="J1449" s="5" t="s">
        <v>10399</v>
      </c>
      <c r="K1449" s="5" t="s">
        <v>4985</v>
      </c>
      <c r="L1449" s="5" t="s">
        <v>10400</v>
      </c>
      <c r="M1449" s="5" t="s">
        <v>283</v>
      </c>
      <c r="N1449" s="5" t="s">
        <v>284</v>
      </c>
      <c r="O1449" s="5" t="s">
        <v>10197</v>
      </c>
      <c r="P1449" s="5"/>
      <c r="Q1449" s="5" t="s">
        <v>10401</v>
      </c>
    </row>
    <row r="1450" spans="2:17" x14ac:dyDescent="0.2">
      <c r="B1450" s="5" t="s">
        <v>10194</v>
      </c>
      <c r="C1450" s="6" t="s">
        <v>13589</v>
      </c>
      <c r="D1450" s="4">
        <v>1048</v>
      </c>
      <c r="E1450" s="5" t="s">
        <v>32</v>
      </c>
      <c r="F1450" s="5" t="s">
        <v>9690</v>
      </c>
      <c r="G1450" s="6" t="s">
        <v>14</v>
      </c>
      <c r="H1450" s="4">
        <v>447</v>
      </c>
      <c r="I1450" s="5" t="s">
        <v>38</v>
      </c>
      <c r="J1450" s="5" t="s">
        <v>10402</v>
      </c>
      <c r="K1450" s="5" t="s">
        <v>10206</v>
      </c>
      <c r="L1450" s="5" t="s">
        <v>10403</v>
      </c>
      <c r="M1450" s="5" t="s">
        <v>283</v>
      </c>
      <c r="N1450" s="5" t="s">
        <v>284</v>
      </c>
      <c r="O1450" s="5" t="s">
        <v>10197</v>
      </c>
      <c r="P1450" s="5"/>
      <c r="Q1450" s="5" t="s">
        <v>10404</v>
      </c>
    </row>
    <row r="1451" spans="2:17" x14ac:dyDescent="0.2">
      <c r="B1451" s="5" t="s">
        <v>10194</v>
      </c>
      <c r="C1451" s="6" t="s">
        <v>13589</v>
      </c>
      <c r="D1451" s="4">
        <v>1049</v>
      </c>
      <c r="E1451" s="5" t="s">
        <v>32</v>
      </c>
      <c r="F1451" s="5" t="s">
        <v>9690</v>
      </c>
      <c r="G1451" s="6" t="s">
        <v>14</v>
      </c>
      <c r="H1451" s="4">
        <v>448</v>
      </c>
      <c r="I1451" s="5" t="s">
        <v>22</v>
      </c>
      <c r="J1451" s="5" t="s">
        <v>10405</v>
      </c>
      <c r="K1451" s="5" t="s">
        <v>10206</v>
      </c>
      <c r="L1451" s="5" t="s">
        <v>10207</v>
      </c>
      <c r="M1451" s="5" t="s">
        <v>283</v>
      </c>
      <c r="N1451" s="5" t="s">
        <v>284</v>
      </c>
      <c r="O1451" s="5" t="s">
        <v>10197</v>
      </c>
      <c r="P1451" s="5"/>
      <c r="Q1451" s="5" t="s">
        <v>10406</v>
      </c>
    </row>
    <row r="1452" spans="2:17" x14ac:dyDescent="0.2">
      <c r="B1452" s="5" t="s">
        <v>10194</v>
      </c>
      <c r="C1452" s="6" t="s">
        <v>13589</v>
      </c>
      <c r="D1452" s="4">
        <v>1050</v>
      </c>
      <c r="E1452" s="5" t="s">
        <v>32</v>
      </c>
      <c r="F1452" s="5" t="s">
        <v>10230</v>
      </c>
      <c r="G1452" s="6" t="s">
        <v>14</v>
      </c>
      <c r="H1452" s="4">
        <v>449</v>
      </c>
      <c r="I1452" s="5" t="s">
        <v>22</v>
      </c>
      <c r="J1452" s="5" t="s">
        <v>10407</v>
      </c>
      <c r="K1452" s="5" t="s">
        <v>10408</v>
      </c>
      <c r="L1452" s="5" t="s">
        <v>10245</v>
      </c>
      <c r="M1452" s="5" t="s">
        <v>283</v>
      </c>
      <c r="N1452" s="5" t="s">
        <v>284</v>
      </c>
      <c r="O1452" s="5" t="s">
        <v>10202</v>
      </c>
      <c r="P1452" s="5"/>
      <c r="Q1452" s="5" t="s">
        <v>10409</v>
      </c>
    </row>
    <row r="1453" spans="2:17" x14ac:dyDescent="0.2">
      <c r="B1453" s="5" t="s">
        <v>10194</v>
      </c>
      <c r="C1453" s="6" t="s">
        <v>13589</v>
      </c>
      <c r="D1453" s="4">
        <v>1051</v>
      </c>
      <c r="E1453" s="5" t="s">
        <v>32</v>
      </c>
      <c r="F1453" s="5" t="s">
        <v>10410</v>
      </c>
      <c r="G1453" s="6" t="s">
        <v>14</v>
      </c>
      <c r="H1453" s="4">
        <v>450</v>
      </c>
      <c r="I1453" s="5" t="s">
        <v>22</v>
      </c>
      <c r="J1453" s="5" t="s">
        <v>4163</v>
      </c>
      <c r="K1453" s="5" t="s">
        <v>10263</v>
      </c>
      <c r="L1453" s="5"/>
      <c r="M1453" s="5" t="s">
        <v>283</v>
      </c>
      <c r="N1453" s="5" t="s">
        <v>284</v>
      </c>
      <c r="O1453" s="5" t="s">
        <v>10210</v>
      </c>
      <c r="P1453" s="5"/>
      <c r="Q1453" s="5" t="s">
        <v>10411</v>
      </c>
    </row>
    <row r="1454" spans="2:17" x14ac:dyDescent="0.2">
      <c r="B1454" s="5" t="s">
        <v>10194</v>
      </c>
      <c r="C1454" s="6" t="s">
        <v>13589</v>
      </c>
      <c r="D1454" s="4">
        <v>1052</v>
      </c>
      <c r="E1454" s="5" t="s">
        <v>32</v>
      </c>
      <c r="F1454" s="5" t="s">
        <v>9690</v>
      </c>
      <c r="G1454" s="6" t="s">
        <v>14</v>
      </c>
      <c r="H1454" s="4">
        <v>451</v>
      </c>
      <c r="I1454" s="5" t="s">
        <v>22</v>
      </c>
      <c r="J1454" s="5" t="s">
        <v>10243</v>
      </c>
      <c r="K1454" s="5" t="s">
        <v>10244</v>
      </c>
      <c r="L1454" s="5" t="s">
        <v>10245</v>
      </c>
      <c r="M1454" s="5" t="s">
        <v>283</v>
      </c>
      <c r="N1454" s="5" t="s">
        <v>284</v>
      </c>
      <c r="O1454" s="5" t="s">
        <v>10197</v>
      </c>
      <c r="P1454" s="5"/>
      <c r="Q1454" s="5" t="s">
        <v>10246</v>
      </c>
    </row>
    <row r="1455" spans="2:17" x14ac:dyDescent="0.2">
      <c r="B1455" s="5" t="s">
        <v>10194</v>
      </c>
      <c r="C1455" s="6" t="s">
        <v>13589</v>
      </c>
      <c r="D1455" s="4">
        <v>1053</v>
      </c>
      <c r="E1455" s="5" t="s">
        <v>32</v>
      </c>
      <c r="F1455" s="5" t="s">
        <v>9690</v>
      </c>
      <c r="G1455" s="6" t="s">
        <v>14</v>
      </c>
      <c r="H1455" s="4">
        <v>452</v>
      </c>
      <c r="I1455" s="5" t="s">
        <v>38</v>
      </c>
      <c r="J1455" s="5" t="s">
        <v>10247</v>
      </c>
      <c r="K1455" s="5" t="s">
        <v>10248</v>
      </c>
      <c r="L1455" s="5" t="s">
        <v>10249</v>
      </c>
      <c r="M1455" s="5" t="s">
        <v>283</v>
      </c>
      <c r="N1455" s="5" t="s">
        <v>284</v>
      </c>
      <c r="O1455" s="5" t="s">
        <v>10197</v>
      </c>
      <c r="P1455" s="5"/>
      <c r="Q1455" s="5" t="s">
        <v>10250</v>
      </c>
    </row>
    <row r="1456" spans="2:17" x14ac:dyDescent="0.2">
      <c r="B1456" s="5" t="s">
        <v>10194</v>
      </c>
      <c r="C1456" s="6" t="s">
        <v>13589</v>
      </c>
      <c r="D1456" s="4">
        <v>1054</v>
      </c>
      <c r="E1456" s="5" t="s">
        <v>32</v>
      </c>
      <c r="F1456" s="5" t="s">
        <v>9690</v>
      </c>
      <c r="G1456" s="6" t="s">
        <v>14</v>
      </c>
      <c r="H1456" s="4">
        <v>453</v>
      </c>
      <c r="I1456" s="5" t="s">
        <v>22</v>
      </c>
      <c r="J1456" s="5" t="s">
        <v>10251</v>
      </c>
      <c r="K1456" s="5" t="s">
        <v>10248</v>
      </c>
      <c r="L1456" s="5"/>
      <c r="M1456" s="5" t="s">
        <v>283</v>
      </c>
      <c r="N1456" s="5" t="s">
        <v>284</v>
      </c>
      <c r="O1456" s="5" t="s">
        <v>10197</v>
      </c>
      <c r="P1456" s="5"/>
      <c r="Q1456" s="5" t="s">
        <v>10252</v>
      </c>
    </row>
    <row r="1457" spans="2:17" x14ac:dyDescent="0.2">
      <c r="B1457" s="5" t="s">
        <v>10194</v>
      </c>
      <c r="C1457" s="6" t="s">
        <v>13589</v>
      </c>
      <c r="D1457" s="4">
        <v>1055</v>
      </c>
      <c r="E1457" s="5" t="s">
        <v>32</v>
      </c>
      <c r="F1457" s="5" t="s">
        <v>9690</v>
      </c>
      <c r="G1457" s="6" t="s">
        <v>14</v>
      </c>
      <c r="H1457" s="4">
        <v>454</v>
      </c>
      <c r="I1457" s="5" t="s">
        <v>22</v>
      </c>
      <c r="J1457" s="5" t="s">
        <v>10253</v>
      </c>
      <c r="K1457" s="5" t="s">
        <v>10244</v>
      </c>
      <c r="L1457" s="5" t="s">
        <v>10254</v>
      </c>
      <c r="M1457" s="5" t="s">
        <v>283</v>
      </c>
      <c r="N1457" s="5" t="s">
        <v>284</v>
      </c>
      <c r="O1457" s="5" t="s">
        <v>10197</v>
      </c>
      <c r="P1457" s="5"/>
      <c r="Q1457" s="5" t="s">
        <v>10255</v>
      </c>
    </row>
    <row r="1458" spans="2:17" x14ac:dyDescent="0.2">
      <c r="B1458" s="5" t="s">
        <v>10194</v>
      </c>
      <c r="C1458" s="6" t="s">
        <v>13589</v>
      </c>
      <c r="D1458" s="4">
        <v>1056</v>
      </c>
      <c r="E1458" s="5" t="s">
        <v>32</v>
      </c>
      <c r="F1458" s="5" t="s">
        <v>10306</v>
      </c>
      <c r="G1458" s="6" t="s">
        <v>14</v>
      </c>
      <c r="H1458" s="4">
        <v>455</v>
      </c>
      <c r="I1458" s="5" t="s">
        <v>22</v>
      </c>
      <c r="J1458" s="5" t="s">
        <v>10287</v>
      </c>
      <c r="K1458" s="5" t="s">
        <v>10208</v>
      </c>
      <c r="L1458" s="5" t="s">
        <v>10307</v>
      </c>
      <c r="M1458" s="5" t="s">
        <v>283</v>
      </c>
      <c r="N1458" s="5" t="s">
        <v>284</v>
      </c>
      <c r="O1458" s="5" t="s">
        <v>10308</v>
      </c>
      <c r="P1458" s="5" t="s">
        <v>10309</v>
      </c>
      <c r="Q1458" s="5" t="s">
        <v>10310</v>
      </c>
    </row>
    <row r="1459" spans="2:17" x14ac:dyDescent="0.2">
      <c r="B1459" s="5" t="s">
        <v>10194</v>
      </c>
      <c r="C1459" s="6" t="s">
        <v>13589</v>
      </c>
      <c r="D1459" s="4">
        <v>1057</v>
      </c>
      <c r="E1459" s="5" t="s">
        <v>32</v>
      </c>
      <c r="F1459" s="5" t="s">
        <v>10306</v>
      </c>
      <c r="G1459" s="6" t="s">
        <v>14</v>
      </c>
      <c r="H1459" s="4">
        <v>456</v>
      </c>
      <c r="I1459" s="5" t="s">
        <v>22</v>
      </c>
      <c r="J1459" s="5" t="s">
        <v>10291</v>
      </c>
      <c r="K1459" s="5" t="s">
        <v>10208</v>
      </c>
      <c r="L1459" s="5" t="s">
        <v>10313</v>
      </c>
      <c r="M1459" s="5" t="s">
        <v>283</v>
      </c>
      <c r="N1459" s="5" t="s">
        <v>284</v>
      </c>
      <c r="O1459" s="5" t="s">
        <v>10308</v>
      </c>
      <c r="P1459" s="5"/>
      <c r="Q1459" s="5" t="s">
        <v>10314</v>
      </c>
    </row>
    <row r="1460" spans="2:17" x14ac:dyDescent="0.2">
      <c r="B1460" s="5" t="s">
        <v>10194</v>
      </c>
      <c r="C1460" s="6" t="s">
        <v>13589</v>
      </c>
      <c r="D1460" s="4">
        <v>1058</v>
      </c>
      <c r="E1460" s="5" t="s">
        <v>32</v>
      </c>
      <c r="F1460" s="5" t="s">
        <v>10318</v>
      </c>
      <c r="G1460" s="6" t="s">
        <v>14</v>
      </c>
      <c r="H1460" s="4">
        <v>457</v>
      </c>
      <c r="I1460" s="5" t="s">
        <v>38</v>
      </c>
      <c r="J1460" s="5" t="s">
        <v>10319</v>
      </c>
      <c r="K1460" s="5" t="s">
        <v>10320</v>
      </c>
      <c r="L1460" s="5" t="s">
        <v>10307</v>
      </c>
      <c r="M1460" s="5" t="s">
        <v>283</v>
      </c>
      <c r="N1460" s="5" t="s">
        <v>284</v>
      </c>
      <c r="O1460" s="5" t="s">
        <v>10308</v>
      </c>
      <c r="P1460" s="5" t="s">
        <v>10309</v>
      </c>
      <c r="Q1460" s="5" t="s">
        <v>10321</v>
      </c>
    </row>
    <row r="1461" spans="2:17" x14ac:dyDescent="0.2">
      <c r="B1461" s="5" t="s">
        <v>10194</v>
      </c>
      <c r="C1461" s="6" t="s">
        <v>13589</v>
      </c>
      <c r="D1461" s="4">
        <v>1059</v>
      </c>
      <c r="E1461" s="5" t="s">
        <v>32</v>
      </c>
      <c r="F1461" s="5" t="s">
        <v>10318</v>
      </c>
      <c r="G1461" s="6" t="s">
        <v>14</v>
      </c>
      <c r="H1461" s="4">
        <v>458</v>
      </c>
      <c r="I1461" s="5" t="s">
        <v>38</v>
      </c>
      <c r="J1461" s="5" t="s">
        <v>10325</v>
      </c>
      <c r="K1461" s="5" t="s">
        <v>10326</v>
      </c>
      <c r="L1461" s="5"/>
      <c r="M1461" s="5" t="s">
        <v>283</v>
      </c>
      <c r="N1461" s="5" t="s">
        <v>284</v>
      </c>
      <c r="O1461" s="5" t="s">
        <v>10308</v>
      </c>
      <c r="P1461" s="5" t="s">
        <v>10309</v>
      </c>
      <c r="Q1461" s="5" t="s">
        <v>10327</v>
      </c>
    </row>
    <row r="1462" spans="2:17" x14ac:dyDescent="0.2">
      <c r="B1462" s="5" t="s">
        <v>10194</v>
      </c>
      <c r="C1462" s="6" t="s">
        <v>13589</v>
      </c>
      <c r="D1462" s="4">
        <v>1060</v>
      </c>
      <c r="E1462" s="5" t="s">
        <v>32</v>
      </c>
      <c r="F1462" s="5" t="s">
        <v>10318</v>
      </c>
      <c r="G1462" s="6" t="s">
        <v>14</v>
      </c>
      <c r="H1462" s="4">
        <v>459</v>
      </c>
      <c r="I1462" s="5" t="s">
        <v>38</v>
      </c>
      <c r="J1462" s="5" t="s">
        <v>10330</v>
      </c>
      <c r="K1462" s="5" t="s">
        <v>10331</v>
      </c>
      <c r="L1462" s="5"/>
      <c r="M1462" s="5" t="s">
        <v>283</v>
      </c>
      <c r="N1462" s="5" t="s">
        <v>284</v>
      </c>
      <c r="O1462" s="5" t="s">
        <v>10204</v>
      </c>
      <c r="P1462" s="5"/>
      <c r="Q1462" s="5" t="s">
        <v>10332</v>
      </c>
    </row>
    <row r="1463" spans="2:17" x14ac:dyDescent="0.2">
      <c r="B1463" s="5" t="s">
        <v>10194</v>
      </c>
      <c r="C1463" s="6" t="s">
        <v>13589</v>
      </c>
      <c r="D1463" s="4">
        <v>1061</v>
      </c>
      <c r="E1463" s="5" t="s">
        <v>32</v>
      </c>
      <c r="F1463" s="5" t="s">
        <v>10318</v>
      </c>
      <c r="G1463" s="6" t="s">
        <v>14</v>
      </c>
      <c r="H1463" s="4">
        <v>460</v>
      </c>
      <c r="I1463" s="5" t="s">
        <v>38</v>
      </c>
      <c r="J1463" s="5" t="s">
        <v>10333</v>
      </c>
      <c r="K1463" s="5" t="s">
        <v>10334</v>
      </c>
      <c r="L1463" s="5"/>
      <c r="M1463" s="5" t="s">
        <v>283</v>
      </c>
      <c r="N1463" s="5" t="s">
        <v>284</v>
      </c>
      <c r="O1463" s="5" t="s">
        <v>10204</v>
      </c>
      <c r="P1463" s="5" t="s">
        <v>10335</v>
      </c>
      <c r="Q1463" s="5" t="s">
        <v>10336</v>
      </c>
    </row>
    <row r="1464" spans="2:17" x14ac:dyDescent="0.2">
      <c r="B1464" s="5" t="s">
        <v>10194</v>
      </c>
      <c r="C1464" s="6" t="s">
        <v>13589</v>
      </c>
      <c r="D1464" s="4">
        <v>1062</v>
      </c>
      <c r="E1464" s="5" t="s">
        <v>32</v>
      </c>
      <c r="F1464" s="5" t="s">
        <v>10318</v>
      </c>
      <c r="G1464" s="6" t="s">
        <v>14</v>
      </c>
      <c r="H1464" s="4">
        <v>461</v>
      </c>
      <c r="I1464" s="5" t="s">
        <v>38</v>
      </c>
      <c r="J1464" s="5" t="s">
        <v>10337</v>
      </c>
      <c r="K1464" s="5" t="s">
        <v>10338</v>
      </c>
      <c r="L1464" s="5"/>
      <c r="M1464" s="5" t="s">
        <v>283</v>
      </c>
      <c r="N1464" s="5" t="s">
        <v>284</v>
      </c>
      <c r="O1464" s="5" t="s">
        <v>10204</v>
      </c>
      <c r="P1464" s="5"/>
      <c r="Q1464" s="5" t="s">
        <v>10339</v>
      </c>
    </row>
    <row r="1465" spans="2:17" x14ac:dyDescent="0.2">
      <c r="B1465" s="5" t="s">
        <v>10194</v>
      </c>
      <c r="C1465" s="6" t="s">
        <v>13589</v>
      </c>
      <c r="D1465" s="4">
        <v>1063</v>
      </c>
      <c r="E1465" s="5" t="s">
        <v>32</v>
      </c>
      <c r="F1465" s="5" t="s">
        <v>10318</v>
      </c>
      <c r="G1465" s="6" t="s">
        <v>14</v>
      </c>
      <c r="H1465" s="4">
        <v>462</v>
      </c>
      <c r="I1465" s="5" t="s">
        <v>38</v>
      </c>
      <c r="J1465" s="5" t="s">
        <v>10340</v>
      </c>
      <c r="K1465" s="5" t="s">
        <v>10341</v>
      </c>
      <c r="L1465" s="5" t="s">
        <v>10342</v>
      </c>
      <c r="M1465" s="5" t="s">
        <v>283</v>
      </c>
      <c r="N1465" s="5" t="s">
        <v>284</v>
      </c>
      <c r="O1465" s="5" t="s">
        <v>10204</v>
      </c>
      <c r="P1465" s="5"/>
      <c r="Q1465" s="5" t="s">
        <v>10343</v>
      </c>
    </row>
    <row r="1466" spans="2:17" x14ac:dyDescent="0.2">
      <c r="B1466" s="5" t="s">
        <v>10194</v>
      </c>
      <c r="C1466" s="6" t="s">
        <v>13589</v>
      </c>
      <c r="D1466" s="4">
        <v>1064</v>
      </c>
      <c r="E1466" s="5" t="s">
        <v>32</v>
      </c>
      <c r="F1466" s="5" t="s">
        <v>9690</v>
      </c>
      <c r="G1466" s="6" t="s">
        <v>14</v>
      </c>
      <c r="H1466" s="4">
        <v>463</v>
      </c>
      <c r="I1466" s="5" t="s">
        <v>38</v>
      </c>
      <c r="J1466" s="5" t="s">
        <v>10412</v>
      </c>
      <c r="K1466" s="5" t="s">
        <v>10413</v>
      </c>
      <c r="L1466" s="5"/>
      <c r="M1466" s="5" t="s">
        <v>283</v>
      </c>
      <c r="N1466" s="5" t="s">
        <v>284</v>
      </c>
      <c r="O1466" s="5" t="s">
        <v>10197</v>
      </c>
      <c r="P1466" s="5"/>
      <c r="Q1466" s="5" t="s">
        <v>10414</v>
      </c>
    </row>
    <row r="1467" spans="2:17" x14ac:dyDescent="0.2">
      <c r="B1467" s="5" t="s">
        <v>10194</v>
      </c>
      <c r="C1467" s="6" t="s">
        <v>13589</v>
      </c>
      <c r="D1467" s="4">
        <v>1065</v>
      </c>
      <c r="E1467" s="5" t="s">
        <v>32</v>
      </c>
      <c r="F1467" s="5" t="s">
        <v>9690</v>
      </c>
      <c r="G1467" s="6" t="s">
        <v>14</v>
      </c>
      <c r="H1467" s="4">
        <v>464</v>
      </c>
      <c r="I1467" s="5" t="s">
        <v>38</v>
      </c>
      <c r="J1467" s="5" t="s">
        <v>10415</v>
      </c>
      <c r="K1467" s="5" t="s">
        <v>10416</v>
      </c>
      <c r="L1467" s="5" t="s">
        <v>10417</v>
      </c>
      <c r="M1467" s="5" t="s">
        <v>283</v>
      </c>
      <c r="N1467" s="5" t="s">
        <v>284</v>
      </c>
      <c r="O1467" s="5" t="s">
        <v>10197</v>
      </c>
      <c r="P1467" s="5"/>
      <c r="Q1467" s="5" t="s">
        <v>10418</v>
      </c>
    </row>
    <row r="1468" spans="2:17" x14ac:dyDescent="0.2">
      <c r="B1468" s="5" t="s">
        <v>10194</v>
      </c>
      <c r="C1468" s="6" t="s">
        <v>13589</v>
      </c>
      <c r="D1468" s="4">
        <v>1066</v>
      </c>
      <c r="E1468" s="5" t="s">
        <v>32</v>
      </c>
      <c r="F1468" s="5" t="s">
        <v>9690</v>
      </c>
      <c r="G1468" s="6" t="s">
        <v>14</v>
      </c>
      <c r="H1468" s="4">
        <v>465</v>
      </c>
      <c r="I1468" s="5" t="s">
        <v>38</v>
      </c>
      <c r="J1468" s="5" t="s">
        <v>280</v>
      </c>
      <c r="K1468" s="5" t="s">
        <v>10419</v>
      </c>
      <c r="L1468" s="5" t="s">
        <v>10420</v>
      </c>
      <c r="M1468" s="5" t="s">
        <v>283</v>
      </c>
      <c r="N1468" s="5" t="s">
        <v>284</v>
      </c>
      <c r="O1468" s="5" t="s">
        <v>10197</v>
      </c>
      <c r="P1468" s="5"/>
      <c r="Q1468" s="5" t="s">
        <v>10421</v>
      </c>
    </row>
    <row r="1469" spans="2:17" x14ac:dyDescent="0.2">
      <c r="B1469" s="5" t="s">
        <v>10194</v>
      </c>
      <c r="C1469" s="6" t="s">
        <v>13589</v>
      </c>
      <c r="D1469" s="4">
        <v>1067</v>
      </c>
      <c r="E1469" s="5" t="s">
        <v>32</v>
      </c>
      <c r="F1469" s="5" t="s">
        <v>9690</v>
      </c>
      <c r="G1469" s="6" t="s">
        <v>14</v>
      </c>
      <c r="H1469" s="4">
        <v>466</v>
      </c>
      <c r="I1469" s="5" t="s">
        <v>38</v>
      </c>
      <c r="J1469" s="5" t="s">
        <v>10422</v>
      </c>
      <c r="K1469" s="5" t="s">
        <v>10209</v>
      </c>
      <c r="L1469" s="5" t="s">
        <v>10423</v>
      </c>
      <c r="M1469" s="5" t="s">
        <v>283</v>
      </c>
      <c r="N1469" s="5" t="s">
        <v>284</v>
      </c>
      <c r="O1469" s="5" t="s">
        <v>10197</v>
      </c>
      <c r="P1469" s="5"/>
      <c r="Q1469" s="5" t="s">
        <v>10424</v>
      </c>
    </row>
    <row r="1470" spans="2:17" x14ac:dyDescent="0.2">
      <c r="B1470" s="5" t="s">
        <v>10194</v>
      </c>
      <c r="C1470" s="6" t="s">
        <v>13589</v>
      </c>
      <c r="D1470" s="4">
        <v>1068</v>
      </c>
      <c r="E1470" s="5" t="s">
        <v>32</v>
      </c>
      <c r="F1470" s="5" t="s">
        <v>9690</v>
      </c>
      <c r="G1470" s="6" t="s">
        <v>14</v>
      </c>
      <c r="H1470" s="4">
        <v>467</v>
      </c>
      <c r="I1470" s="5" t="s">
        <v>22</v>
      </c>
      <c r="J1470" s="5" t="s">
        <v>10425</v>
      </c>
      <c r="K1470" s="5" t="s">
        <v>10416</v>
      </c>
      <c r="L1470" s="5" t="s">
        <v>10426</v>
      </c>
      <c r="M1470" s="5" t="s">
        <v>283</v>
      </c>
      <c r="N1470" s="5" t="s">
        <v>284</v>
      </c>
      <c r="O1470" s="5" t="s">
        <v>10197</v>
      </c>
      <c r="P1470" s="5" t="s">
        <v>10427</v>
      </c>
      <c r="Q1470" s="5" t="s">
        <v>10428</v>
      </c>
    </row>
    <row r="1471" spans="2:17" x14ac:dyDescent="0.2">
      <c r="B1471" s="5" t="s">
        <v>10194</v>
      </c>
      <c r="C1471" s="6" t="s">
        <v>13589</v>
      </c>
      <c r="D1471" s="4">
        <v>1069</v>
      </c>
      <c r="E1471" s="5" t="s">
        <v>32</v>
      </c>
      <c r="F1471" s="5" t="s">
        <v>10230</v>
      </c>
      <c r="G1471" s="6" t="s">
        <v>14</v>
      </c>
      <c r="H1471" s="4">
        <v>468</v>
      </c>
      <c r="I1471" s="5" t="s">
        <v>22</v>
      </c>
      <c r="J1471" s="5" t="s">
        <v>10231</v>
      </c>
      <c r="K1471" s="5" t="s">
        <v>10232</v>
      </c>
      <c r="L1471" s="5" t="s">
        <v>10233</v>
      </c>
      <c r="M1471" s="5" t="s">
        <v>283</v>
      </c>
      <c r="N1471" s="5" t="s">
        <v>284</v>
      </c>
      <c r="O1471" s="5" t="s">
        <v>10210</v>
      </c>
      <c r="P1471" s="5"/>
      <c r="Q1471" s="5" t="s">
        <v>10234</v>
      </c>
    </row>
    <row r="1472" spans="2:17" x14ac:dyDescent="0.2">
      <c r="B1472" s="5" t="s">
        <v>10194</v>
      </c>
      <c r="C1472" s="6" t="s">
        <v>13589</v>
      </c>
      <c r="D1472" s="4">
        <v>1070</v>
      </c>
      <c r="E1472" s="5" t="s">
        <v>32</v>
      </c>
      <c r="F1472" s="5" t="s">
        <v>10230</v>
      </c>
      <c r="G1472" s="6" t="s">
        <v>14</v>
      </c>
      <c r="H1472" s="4">
        <v>469</v>
      </c>
      <c r="I1472" s="5" t="s">
        <v>38</v>
      </c>
      <c r="J1472" s="5" t="s">
        <v>10235</v>
      </c>
      <c r="K1472" s="5" t="s">
        <v>10236</v>
      </c>
      <c r="L1472" s="5" t="s">
        <v>10237</v>
      </c>
      <c r="M1472" s="5" t="s">
        <v>283</v>
      </c>
      <c r="N1472" s="5" t="s">
        <v>284</v>
      </c>
      <c r="O1472" s="5" t="s">
        <v>10210</v>
      </c>
      <c r="P1472" s="5"/>
      <c r="Q1472" s="5" t="s">
        <v>10238</v>
      </c>
    </row>
    <row r="1473" spans="2:17" x14ac:dyDescent="0.2">
      <c r="B1473" s="5" t="s">
        <v>10194</v>
      </c>
      <c r="C1473" s="6" t="s">
        <v>13589</v>
      </c>
      <c r="D1473" s="4">
        <v>1071</v>
      </c>
      <c r="E1473" s="5" t="s">
        <v>32</v>
      </c>
      <c r="F1473" s="5" t="s">
        <v>10230</v>
      </c>
      <c r="G1473" s="6" t="s">
        <v>14</v>
      </c>
      <c r="H1473" s="4">
        <v>470</v>
      </c>
      <c r="I1473" s="5" t="s">
        <v>38</v>
      </c>
      <c r="J1473" s="5" t="s">
        <v>10239</v>
      </c>
      <c r="K1473" s="5" t="s">
        <v>10240</v>
      </c>
      <c r="L1473" s="5" t="s">
        <v>10241</v>
      </c>
      <c r="M1473" s="5" t="s">
        <v>283</v>
      </c>
      <c r="N1473" s="5" t="s">
        <v>284</v>
      </c>
      <c r="O1473" s="5" t="s">
        <v>10210</v>
      </c>
      <c r="P1473" s="5"/>
      <c r="Q1473" s="5" t="s">
        <v>10242</v>
      </c>
    </row>
    <row r="1474" spans="2:17" x14ac:dyDescent="0.2">
      <c r="B1474" s="5" t="s">
        <v>10194</v>
      </c>
      <c r="C1474" s="6" t="s">
        <v>13589</v>
      </c>
      <c r="D1474" s="4">
        <v>1072</v>
      </c>
      <c r="E1474" s="5" t="s">
        <v>32</v>
      </c>
      <c r="F1474" s="5" t="s">
        <v>10256</v>
      </c>
      <c r="G1474" s="6" t="s">
        <v>14</v>
      </c>
      <c r="H1474" s="4">
        <v>471</v>
      </c>
      <c r="I1474" s="5" t="s">
        <v>22</v>
      </c>
      <c r="J1474" s="5" t="s">
        <v>4208</v>
      </c>
      <c r="K1474" s="5" t="s">
        <v>10257</v>
      </c>
      <c r="L1474" s="5"/>
      <c r="M1474" s="5" t="s">
        <v>283</v>
      </c>
      <c r="N1474" s="5" t="s">
        <v>284</v>
      </c>
      <c r="O1474" s="5" t="s">
        <v>10210</v>
      </c>
      <c r="P1474" s="5"/>
      <c r="Q1474" s="5" t="s">
        <v>10258</v>
      </c>
    </row>
    <row r="1475" spans="2:17" x14ac:dyDescent="0.2">
      <c r="B1475" s="5" t="s">
        <v>10194</v>
      </c>
      <c r="C1475" s="6" t="s">
        <v>13589</v>
      </c>
      <c r="D1475" s="4">
        <v>1073</v>
      </c>
      <c r="E1475" s="5" t="s">
        <v>32</v>
      </c>
      <c r="F1475" s="5" t="s">
        <v>10256</v>
      </c>
      <c r="G1475" s="6" t="s">
        <v>14</v>
      </c>
      <c r="H1475" s="4">
        <v>472</v>
      </c>
      <c r="I1475" s="5" t="s">
        <v>22</v>
      </c>
      <c r="J1475" s="5" t="s">
        <v>4165</v>
      </c>
      <c r="K1475" s="5" t="s">
        <v>3789</v>
      </c>
      <c r="L1475" s="5"/>
      <c r="M1475" s="5" t="s">
        <v>283</v>
      </c>
      <c r="N1475" s="5" t="s">
        <v>284</v>
      </c>
      <c r="O1475" s="5" t="s">
        <v>10210</v>
      </c>
      <c r="P1475" s="5"/>
      <c r="Q1475" s="5" t="s">
        <v>10259</v>
      </c>
    </row>
    <row r="1476" spans="2:17" x14ac:dyDescent="0.2">
      <c r="B1476" s="5" t="s">
        <v>10194</v>
      </c>
      <c r="C1476" s="6" t="s">
        <v>13589</v>
      </c>
      <c r="D1476" s="4">
        <v>1074</v>
      </c>
      <c r="E1476" s="5" t="s">
        <v>32</v>
      </c>
      <c r="F1476" s="5" t="s">
        <v>10256</v>
      </c>
      <c r="G1476" s="6" t="s">
        <v>14</v>
      </c>
      <c r="H1476" s="4">
        <v>473</v>
      </c>
      <c r="I1476" s="5" t="s">
        <v>38</v>
      </c>
      <c r="J1476" s="5" t="s">
        <v>4168</v>
      </c>
      <c r="K1476" s="5" t="s">
        <v>10260</v>
      </c>
      <c r="L1476" s="5" t="s">
        <v>10261</v>
      </c>
      <c r="M1476" s="5" t="s">
        <v>283</v>
      </c>
      <c r="N1476" s="5" t="s">
        <v>284</v>
      </c>
      <c r="O1476" s="5" t="s">
        <v>10210</v>
      </c>
      <c r="P1476" s="5"/>
      <c r="Q1476" s="5" t="s">
        <v>10262</v>
      </c>
    </row>
    <row r="1477" spans="2:17" x14ac:dyDescent="0.2">
      <c r="B1477" s="5" t="s">
        <v>10194</v>
      </c>
      <c r="C1477" s="6" t="s">
        <v>13589</v>
      </c>
      <c r="D1477" s="4">
        <v>1075</v>
      </c>
      <c r="E1477" s="5" t="s">
        <v>32</v>
      </c>
      <c r="F1477" s="5" t="s">
        <v>10256</v>
      </c>
      <c r="G1477" s="6" t="s">
        <v>14</v>
      </c>
      <c r="H1477" s="4">
        <v>474</v>
      </c>
      <c r="I1477" s="5" t="s">
        <v>22</v>
      </c>
      <c r="J1477" s="5" t="s">
        <v>4163</v>
      </c>
      <c r="K1477" s="5" t="s">
        <v>10263</v>
      </c>
      <c r="L1477" s="5"/>
      <c r="M1477" s="5" t="s">
        <v>283</v>
      </c>
      <c r="N1477" s="5" t="s">
        <v>284</v>
      </c>
      <c r="O1477" s="5" t="s">
        <v>10210</v>
      </c>
      <c r="P1477" s="5"/>
      <c r="Q1477" s="5" t="s">
        <v>10264</v>
      </c>
    </row>
    <row r="1478" spans="2:17" x14ac:dyDescent="0.2">
      <c r="B1478" s="5" t="s">
        <v>10194</v>
      </c>
      <c r="C1478" s="6" t="s">
        <v>13589</v>
      </c>
      <c r="D1478" s="4">
        <v>1076</v>
      </c>
      <c r="E1478" s="5" t="s">
        <v>32</v>
      </c>
      <c r="F1478" s="5" t="s">
        <v>9690</v>
      </c>
      <c r="G1478" s="6" t="s">
        <v>14</v>
      </c>
      <c r="H1478" s="4">
        <v>475</v>
      </c>
      <c r="I1478" s="5" t="s">
        <v>22</v>
      </c>
      <c r="J1478" s="5" t="s">
        <v>4160</v>
      </c>
      <c r="K1478" s="5" t="s">
        <v>10265</v>
      </c>
      <c r="L1478" s="5" t="s">
        <v>10266</v>
      </c>
      <c r="M1478" s="5" t="s">
        <v>283</v>
      </c>
      <c r="N1478" s="5" t="s">
        <v>284</v>
      </c>
      <c r="O1478" s="5" t="s">
        <v>10210</v>
      </c>
      <c r="P1478" s="5"/>
      <c r="Q1478" s="5" t="s">
        <v>10267</v>
      </c>
    </row>
    <row r="1479" spans="2:17" x14ac:dyDescent="0.2">
      <c r="B1479" s="5" t="s">
        <v>10194</v>
      </c>
      <c r="C1479" s="6" t="s">
        <v>13589</v>
      </c>
      <c r="D1479" s="4">
        <v>1077</v>
      </c>
      <c r="E1479" s="5" t="s">
        <v>82</v>
      </c>
      <c r="F1479" s="5" t="s">
        <v>10223</v>
      </c>
      <c r="G1479" s="6" t="s">
        <v>14</v>
      </c>
      <c r="H1479" s="4">
        <v>476</v>
      </c>
      <c r="I1479" s="5"/>
      <c r="J1479" s="5" t="s">
        <v>10224</v>
      </c>
      <c r="K1479" s="5" t="s">
        <v>10200</v>
      </c>
      <c r="L1479" s="5" t="s">
        <v>10225</v>
      </c>
      <c r="M1479" s="5" t="s">
        <v>1269</v>
      </c>
      <c r="N1479" s="5" t="s">
        <v>1262</v>
      </c>
      <c r="O1479" s="5" t="s">
        <v>10202</v>
      </c>
      <c r="P1479" s="5"/>
      <c r="Q1479" s="5" t="s">
        <v>10226</v>
      </c>
    </row>
    <row r="1480" spans="2:17" x14ac:dyDescent="0.2">
      <c r="B1480" s="5" t="s">
        <v>10194</v>
      </c>
      <c r="C1480" s="6" t="s">
        <v>13589</v>
      </c>
      <c r="D1480" s="4">
        <v>1078</v>
      </c>
      <c r="E1480" s="5" t="s">
        <v>32</v>
      </c>
      <c r="F1480" s="5" t="s">
        <v>10227</v>
      </c>
      <c r="G1480" s="6" t="s">
        <v>14</v>
      </c>
      <c r="H1480" s="4">
        <v>477</v>
      </c>
      <c r="I1480" s="5" t="s">
        <v>22</v>
      </c>
      <c r="J1480" s="5" t="s">
        <v>10228</v>
      </c>
      <c r="K1480" s="5" t="s">
        <v>10205</v>
      </c>
      <c r="L1480" s="5"/>
      <c r="M1480" s="5" t="s">
        <v>2891</v>
      </c>
      <c r="N1480" s="5" t="s">
        <v>1262</v>
      </c>
      <c r="O1480" s="5" t="s">
        <v>10204</v>
      </c>
      <c r="P1480" s="5"/>
      <c r="Q1480" s="5" t="s">
        <v>10229</v>
      </c>
    </row>
    <row r="1481" spans="2:17" x14ac:dyDescent="0.2">
      <c r="B1481" s="5" t="s">
        <v>10194</v>
      </c>
      <c r="C1481" s="6" t="s">
        <v>13589</v>
      </c>
      <c r="D1481" s="4">
        <v>1079</v>
      </c>
      <c r="E1481" s="5" t="s">
        <v>13</v>
      </c>
      <c r="F1481" s="5" t="s">
        <v>10220</v>
      </c>
      <c r="G1481" s="6" t="s">
        <v>14</v>
      </c>
      <c r="H1481" s="4">
        <v>478</v>
      </c>
      <c r="I1481" s="5"/>
      <c r="J1481" s="5" t="s">
        <v>10221</v>
      </c>
      <c r="K1481" s="5" t="s">
        <v>4848</v>
      </c>
      <c r="L1481" s="5"/>
      <c r="M1481" s="5" t="s">
        <v>1230</v>
      </c>
      <c r="N1481" s="5" t="s">
        <v>1230</v>
      </c>
      <c r="O1481" s="5" t="s">
        <v>10204</v>
      </c>
      <c r="P1481" s="5"/>
      <c r="Q1481" s="5" t="s">
        <v>10222</v>
      </c>
    </row>
    <row r="1482" spans="2:17" x14ac:dyDescent="0.2">
      <c r="B1482" s="5" t="s">
        <v>10194</v>
      </c>
      <c r="C1482" s="6" t="s">
        <v>13589</v>
      </c>
      <c r="D1482" s="4">
        <v>1080</v>
      </c>
      <c r="E1482" s="5" t="s">
        <v>32</v>
      </c>
      <c r="F1482" s="5" t="s">
        <v>10583</v>
      </c>
      <c r="G1482" s="6" t="s">
        <v>14</v>
      </c>
      <c r="H1482" s="4">
        <v>479</v>
      </c>
      <c r="I1482" s="5" t="s">
        <v>22</v>
      </c>
      <c r="J1482" s="5" t="s">
        <v>10584</v>
      </c>
      <c r="K1482" s="5" t="s">
        <v>10431</v>
      </c>
      <c r="L1482" s="5" t="s">
        <v>10585</v>
      </c>
      <c r="M1482" s="5" t="s">
        <v>1526</v>
      </c>
      <c r="N1482" s="5" t="s">
        <v>2147</v>
      </c>
      <c r="O1482" s="5" t="s">
        <v>10204</v>
      </c>
      <c r="P1482" s="5" t="s">
        <v>10586</v>
      </c>
      <c r="Q1482" s="5" t="s">
        <v>10587</v>
      </c>
    </row>
    <row r="1483" spans="2:17" x14ac:dyDescent="0.2">
      <c r="B1483" s="5" t="s">
        <v>10194</v>
      </c>
      <c r="C1483" s="6" t="s">
        <v>13589</v>
      </c>
      <c r="D1483" s="4">
        <v>1086</v>
      </c>
      <c r="E1483" s="5" t="s">
        <v>82</v>
      </c>
      <c r="F1483" s="5" t="s">
        <v>10559</v>
      </c>
      <c r="G1483" s="6" t="s">
        <v>14</v>
      </c>
      <c r="H1483" s="4">
        <v>480</v>
      </c>
      <c r="I1483" s="5"/>
      <c r="J1483" s="5" t="s">
        <v>10560</v>
      </c>
      <c r="K1483" s="5" t="s">
        <v>10385</v>
      </c>
      <c r="L1483" s="5"/>
      <c r="M1483" s="5" t="s">
        <v>399</v>
      </c>
      <c r="N1483" s="5" t="s">
        <v>2134</v>
      </c>
      <c r="O1483" s="5" t="s">
        <v>10197</v>
      </c>
      <c r="P1483" s="5"/>
      <c r="Q1483" s="5" t="s">
        <v>10561</v>
      </c>
    </row>
    <row r="1484" spans="2:17" x14ac:dyDescent="0.2">
      <c r="B1484" s="5" t="s">
        <v>10194</v>
      </c>
      <c r="C1484" s="6" t="s">
        <v>13589</v>
      </c>
      <c r="D1484" s="4">
        <v>1090</v>
      </c>
      <c r="E1484" s="5" t="s">
        <v>35</v>
      </c>
      <c r="F1484" s="5" t="s">
        <v>10217</v>
      </c>
      <c r="G1484" s="6" t="s">
        <v>14</v>
      </c>
      <c r="H1484" s="4">
        <v>481</v>
      </c>
      <c r="I1484" s="5"/>
      <c r="J1484" s="5" t="s">
        <v>10218</v>
      </c>
      <c r="K1484" s="5" t="s">
        <v>4848</v>
      </c>
      <c r="L1484" s="5"/>
      <c r="M1484" s="5" t="s">
        <v>1207</v>
      </c>
      <c r="N1484" s="5" t="s">
        <v>1207</v>
      </c>
      <c r="O1484" s="5" t="s">
        <v>10204</v>
      </c>
      <c r="P1484" s="5"/>
      <c r="Q1484" s="5" t="s">
        <v>10219</v>
      </c>
    </row>
    <row r="1485" spans="2:17" x14ac:dyDescent="0.2">
      <c r="B1485" s="5" t="s">
        <v>10194</v>
      </c>
      <c r="C1485" s="6" t="s">
        <v>13589</v>
      </c>
      <c r="D1485" s="4">
        <v>1091</v>
      </c>
      <c r="E1485" s="5" t="s">
        <v>35</v>
      </c>
      <c r="F1485" s="5" t="s">
        <v>10650</v>
      </c>
      <c r="G1485" s="6" t="s">
        <v>14</v>
      </c>
      <c r="H1485" s="4">
        <v>482</v>
      </c>
      <c r="I1485" s="5"/>
      <c r="J1485" s="5" t="s">
        <v>10650</v>
      </c>
      <c r="K1485" s="5" t="s">
        <v>10385</v>
      </c>
      <c r="L1485" s="5"/>
      <c r="M1485" s="5" t="s">
        <v>5234</v>
      </c>
      <c r="N1485" s="5" t="s">
        <v>3438</v>
      </c>
      <c r="O1485" s="5" t="s">
        <v>10197</v>
      </c>
      <c r="P1485" s="5"/>
      <c r="Q1485" s="5" t="s">
        <v>10651</v>
      </c>
    </row>
    <row r="1486" spans="2:17" x14ac:dyDescent="0.2">
      <c r="B1486" s="5" t="s">
        <v>10194</v>
      </c>
      <c r="C1486" s="6" t="s">
        <v>13589</v>
      </c>
      <c r="D1486" s="4">
        <v>1092</v>
      </c>
      <c r="E1486" s="5" t="s">
        <v>15</v>
      </c>
      <c r="F1486" s="5" t="s">
        <v>10646</v>
      </c>
      <c r="G1486" s="6" t="s">
        <v>14</v>
      </c>
      <c r="H1486" s="4">
        <v>483</v>
      </c>
      <c r="I1486" s="5"/>
      <c r="J1486" s="5" t="s">
        <v>10647</v>
      </c>
      <c r="K1486" s="5" t="s">
        <v>10385</v>
      </c>
      <c r="L1486" s="5" t="s">
        <v>10648</v>
      </c>
      <c r="M1486" s="5" t="s">
        <v>224</v>
      </c>
      <c r="N1486" s="5" t="s">
        <v>224</v>
      </c>
      <c r="O1486" s="5" t="s">
        <v>10197</v>
      </c>
      <c r="P1486" s="5"/>
      <c r="Q1486" s="5" t="s">
        <v>10649</v>
      </c>
    </row>
    <row r="1487" spans="2:17" x14ac:dyDescent="0.2">
      <c r="B1487" s="5" t="s">
        <v>10194</v>
      </c>
      <c r="C1487" s="6" t="s">
        <v>13589</v>
      </c>
      <c r="D1487" s="4">
        <v>1093</v>
      </c>
      <c r="E1487" s="5" t="s">
        <v>32</v>
      </c>
      <c r="F1487" s="5" t="s">
        <v>10212</v>
      </c>
      <c r="G1487" s="6" t="s">
        <v>14</v>
      </c>
      <c r="H1487" s="4">
        <v>484</v>
      </c>
      <c r="I1487" s="5" t="s">
        <v>22</v>
      </c>
      <c r="J1487" s="5" t="s">
        <v>10213</v>
      </c>
      <c r="K1487" s="5" t="s">
        <v>4985</v>
      </c>
      <c r="L1487" s="5" t="s">
        <v>10214</v>
      </c>
      <c r="M1487" s="5" t="s">
        <v>1201</v>
      </c>
      <c r="N1487" s="5" t="s">
        <v>10215</v>
      </c>
      <c r="O1487" s="5" t="s">
        <v>10197</v>
      </c>
      <c r="P1487" s="5"/>
      <c r="Q1487" s="5" t="s">
        <v>10216</v>
      </c>
    </row>
    <row r="1488" spans="2:17" x14ac:dyDescent="0.2">
      <c r="B1488" s="5" t="s">
        <v>10194</v>
      </c>
      <c r="C1488" s="6" t="s">
        <v>13589</v>
      </c>
      <c r="D1488" s="4">
        <v>1094</v>
      </c>
      <c r="E1488" s="5" t="s">
        <v>20</v>
      </c>
      <c r="F1488" s="5" t="s">
        <v>4147</v>
      </c>
      <c r="G1488" s="6" t="s">
        <v>14</v>
      </c>
      <c r="H1488" s="4">
        <v>485</v>
      </c>
      <c r="I1488" s="5" t="s">
        <v>22</v>
      </c>
      <c r="J1488" s="5" t="s">
        <v>10573</v>
      </c>
      <c r="K1488" s="5" t="s">
        <v>10240</v>
      </c>
      <c r="L1488" s="5" t="s">
        <v>10241</v>
      </c>
      <c r="M1488" s="5" t="s">
        <v>3943</v>
      </c>
      <c r="N1488" s="5" t="s">
        <v>1142</v>
      </c>
      <c r="O1488" s="5" t="s">
        <v>10210</v>
      </c>
      <c r="P1488" s="5"/>
      <c r="Q1488" s="5" t="s">
        <v>10683</v>
      </c>
    </row>
    <row r="1489" spans="2:17" x14ac:dyDescent="0.2">
      <c r="B1489" s="5" t="s">
        <v>10194</v>
      </c>
      <c r="C1489" s="6" t="s">
        <v>13589</v>
      </c>
      <c r="D1489" s="4">
        <v>1095</v>
      </c>
      <c r="E1489" s="5" t="s">
        <v>20</v>
      </c>
      <c r="F1489" s="5" t="s">
        <v>4147</v>
      </c>
      <c r="G1489" s="6" t="s">
        <v>14</v>
      </c>
      <c r="H1489" s="4">
        <v>486</v>
      </c>
      <c r="I1489" s="5" t="s">
        <v>22</v>
      </c>
      <c r="J1489" s="5" t="s">
        <v>10573</v>
      </c>
      <c r="K1489" s="5" t="s">
        <v>10240</v>
      </c>
      <c r="L1489" s="5" t="s">
        <v>10241</v>
      </c>
      <c r="M1489" s="5" t="s">
        <v>3943</v>
      </c>
      <c r="N1489" s="5" t="s">
        <v>1142</v>
      </c>
      <c r="O1489" s="5" t="s">
        <v>10210</v>
      </c>
      <c r="P1489" s="5"/>
      <c r="Q1489" s="5" t="s">
        <v>10682</v>
      </c>
    </row>
    <row r="1490" spans="2:17" x14ac:dyDescent="0.2">
      <c r="B1490" s="5" t="s">
        <v>10194</v>
      </c>
      <c r="C1490" s="6" t="s">
        <v>13589</v>
      </c>
      <c r="D1490" s="4">
        <v>1096</v>
      </c>
      <c r="E1490" s="5" t="s">
        <v>32</v>
      </c>
      <c r="F1490" s="5" t="s">
        <v>10678</v>
      </c>
      <c r="G1490" s="6" t="s">
        <v>14</v>
      </c>
      <c r="H1490" s="4">
        <v>487</v>
      </c>
      <c r="I1490" s="5" t="s">
        <v>22</v>
      </c>
      <c r="J1490" s="5" t="s">
        <v>10679</v>
      </c>
      <c r="K1490" s="5" t="s">
        <v>3788</v>
      </c>
      <c r="L1490" s="5" t="s">
        <v>10680</v>
      </c>
      <c r="M1490" s="5" t="s">
        <v>1142</v>
      </c>
      <c r="N1490" s="5" t="s">
        <v>261</v>
      </c>
      <c r="O1490" s="5" t="s">
        <v>10204</v>
      </c>
      <c r="P1490" s="5"/>
      <c r="Q1490" s="5" t="s">
        <v>10681</v>
      </c>
    </row>
    <row r="1491" spans="2:17" x14ac:dyDescent="0.2">
      <c r="B1491" s="5" t="s">
        <v>10194</v>
      </c>
      <c r="C1491" s="6" t="s">
        <v>13589</v>
      </c>
      <c r="D1491" s="4">
        <v>1097</v>
      </c>
      <c r="E1491" s="5" t="s">
        <v>82</v>
      </c>
      <c r="F1491" s="5" t="s">
        <v>10659</v>
      </c>
      <c r="G1491" s="6" t="s">
        <v>14</v>
      </c>
      <c r="H1491" s="4">
        <v>488</v>
      </c>
      <c r="I1491" s="5"/>
      <c r="J1491" s="5" t="s">
        <v>10660</v>
      </c>
      <c r="K1491" s="5" t="s">
        <v>4848</v>
      </c>
      <c r="L1491" s="5"/>
      <c r="M1491" s="5" t="s">
        <v>261</v>
      </c>
      <c r="N1491" s="5" t="s">
        <v>261</v>
      </c>
      <c r="O1491" s="5" t="s">
        <v>10204</v>
      </c>
      <c r="P1491" s="5"/>
      <c r="Q1491" s="5" t="s">
        <v>10661</v>
      </c>
    </row>
    <row r="1492" spans="2:17" x14ac:dyDescent="0.2">
      <c r="B1492" s="5" t="s">
        <v>10194</v>
      </c>
      <c r="C1492" s="6" t="s">
        <v>13589</v>
      </c>
      <c r="D1492" s="4">
        <v>1098</v>
      </c>
      <c r="E1492" s="5" t="s">
        <v>20</v>
      </c>
      <c r="F1492" s="5" t="s">
        <v>10662</v>
      </c>
      <c r="G1492" s="6" t="s">
        <v>14</v>
      </c>
      <c r="H1492" s="4">
        <v>489</v>
      </c>
      <c r="I1492" s="5" t="s">
        <v>22</v>
      </c>
      <c r="J1492" s="5" t="s">
        <v>10663</v>
      </c>
      <c r="K1492" s="5" t="s">
        <v>10664</v>
      </c>
      <c r="L1492" s="5" t="s">
        <v>10665</v>
      </c>
      <c r="M1492" s="5" t="s">
        <v>260</v>
      </c>
      <c r="N1492" s="5" t="s">
        <v>1902</v>
      </c>
      <c r="O1492" s="5" t="s">
        <v>10210</v>
      </c>
      <c r="P1492" s="5"/>
      <c r="Q1492" s="5" t="s">
        <v>10666</v>
      </c>
    </row>
    <row r="1493" spans="2:17" x14ac:dyDescent="0.2">
      <c r="B1493" s="5" t="s">
        <v>10194</v>
      </c>
      <c r="C1493" s="6" t="s">
        <v>13589</v>
      </c>
      <c r="D1493" s="4">
        <v>1099</v>
      </c>
      <c r="E1493" s="5" t="s">
        <v>20</v>
      </c>
      <c r="F1493" s="5" t="s">
        <v>10662</v>
      </c>
      <c r="G1493" s="6" t="s">
        <v>14</v>
      </c>
      <c r="H1493" s="4">
        <v>490</v>
      </c>
      <c r="I1493" s="5" t="s">
        <v>22</v>
      </c>
      <c r="J1493" s="5" t="s">
        <v>10667</v>
      </c>
      <c r="K1493" s="5" t="s">
        <v>10555</v>
      </c>
      <c r="L1493" s="5" t="s">
        <v>10668</v>
      </c>
      <c r="M1493" s="5" t="s">
        <v>260</v>
      </c>
      <c r="N1493" s="5" t="s">
        <v>1902</v>
      </c>
      <c r="O1493" s="5" t="s">
        <v>10210</v>
      </c>
      <c r="P1493" s="5"/>
      <c r="Q1493" s="5" t="s">
        <v>10669</v>
      </c>
    </row>
    <row r="1494" spans="2:17" x14ac:dyDescent="0.2">
      <c r="B1494" s="5" t="s">
        <v>10194</v>
      </c>
      <c r="C1494" s="6" t="s">
        <v>13589</v>
      </c>
      <c r="D1494" s="4">
        <v>1100</v>
      </c>
      <c r="E1494" s="5" t="s">
        <v>20</v>
      </c>
      <c r="F1494" s="5" t="s">
        <v>10662</v>
      </c>
      <c r="G1494" s="6" t="s">
        <v>14</v>
      </c>
      <c r="H1494" s="4">
        <v>491</v>
      </c>
      <c r="I1494" s="5" t="s">
        <v>22</v>
      </c>
      <c r="J1494" s="5" t="s">
        <v>10670</v>
      </c>
      <c r="K1494" s="5" t="s">
        <v>10671</v>
      </c>
      <c r="L1494" s="5" t="s">
        <v>10672</v>
      </c>
      <c r="M1494" s="5" t="s">
        <v>260</v>
      </c>
      <c r="N1494" s="5" t="s">
        <v>1902</v>
      </c>
      <c r="O1494" s="5" t="s">
        <v>10210</v>
      </c>
      <c r="P1494" s="5"/>
      <c r="Q1494" s="5" t="s">
        <v>10673</v>
      </c>
    </row>
    <row r="1495" spans="2:17" x14ac:dyDescent="0.2">
      <c r="B1495" s="5" t="s">
        <v>10194</v>
      </c>
      <c r="C1495" s="6" t="s">
        <v>13589</v>
      </c>
      <c r="D1495" s="4">
        <v>1101</v>
      </c>
      <c r="E1495" s="5" t="s">
        <v>20</v>
      </c>
      <c r="F1495" s="5" t="s">
        <v>10674</v>
      </c>
      <c r="G1495" s="6" t="s">
        <v>14</v>
      </c>
      <c r="H1495" s="4">
        <v>492</v>
      </c>
      <c r="I1495" s="5" t="s">
        <v>22</v>
      </c>
      <c r="J1495" s="5" t="s">
        <v>4194</v>
      </c>
      <c r="K1495" s="5" t="s">
        <v>10675</v>
      </c>
      <c r="L1495" s="5" t="s">
        <v>10676</v>
      </c>
      <c r="M1495" s="5" t="s">
        <v>260</v>
      </c>
      <c r="N1495" s="5" t="s">
        <v>1902</v>
      </c>
      <c r="O1495" s="5" t="s">
        <v>10210</v>
      </c>
      <c r="P1495" s="5"/>
      <c r="Q1495" s="5" t="s">
        <v>10677</v>
      </c>
    </row>
    <row r="1496" spans="2:17" x14ac:dyDescent="0.2">
      <c r="B1496" s="5" t="s">
        <v>10194</v>
      </c>
      <c r="C1496" s="6" t="s">
        <v>13589</v>
      </c>
      <c r="D1496" s="4">
        <v>1102</v>
      </c>
      <c r="E1496" s="5" t="s">
        <v>20</v>
      </c>
      <c r="F1496" s="5" t="s">
        <v>2125</v>
      </c>
      <c r="G1496" s="6" t="s">
        <v>14</v>
      </c>
      <c r="H1496" s="4">
        <v>493</v>
      </c>
      <c r="I1496" s="5" t="s">
        <v>22</v>
      </c>
      <c r="J1496" s="5" t="s">
        <v>10539</v>
      </c>
      <c r="K1496" s="5" t="s">
        <v>10200</v>
      </c>
      <c r="L1496" s="5" t="s">
        <v>10540</v>
      </c>
      <c r="M1496" s="5" t="s">
        <v>127</v>
      </c>
      <c r="N1496" s="5" t="s">
        <v>366</v>
      </c>
      <c r="O1496" s="5" t="s">
        <v>10202</v>
      </c>
      <c r="P1496" s="5"/>
      <c r="Q1496" s="5" t="s">
        <v>10541</v>
      </c>
    </row>
    <row r="1497" spans="2:17" x14ac:dyDescent="0.2">
      <c r="B1497" s="5" t="s">
        <v>10194</v>
      </c>
      <c r="C1497" s="6" t="s">
        <v>13589</v>
      </c>
      <c r="D1497" s="4">
        <v>1103</v>
      </c>
      <c r="E1497" s="5" t="s">
        <v>20</v>
      </c>
      <c r="F1497" s="5" t="s">
        <v>4242</v>
      </c>
      <c r="G1497" s="6" t="s">
        <v>14</v>
      </c>
      <c r="H1497" s="4">
        <v>494</v>
      </c>
      <c r="I1497" s="5" t="s">
        <v>22</v>
      </c>
      <c r="J1497" s="5" t="s">
        <v>10542</v>
      </c>
      <c r="K1497" s="5" t="s">
        <v>10200</v>
      </c>
      <c r="L1497" s="5" t="s">
        <v>10543</v>
      </c>
      <c r="M1497" s="5" t="s">
        <v>127</v>
      </c>
      <c r="N1497" s="5" t="s">
        <v>366</v>
      </c>
      <c r="O1497" s="5" t="s">
        <v>10202</v>
      </c>
      <c r="P1497" s="5"/>
      <c r="Q1497" s="5" t="s">
        <v>10544</v>
      </c>
    </row>
    <row r="1498" spans="2:17" x14ac:dyDescent="0.2">
      <c r="B1498" s="5" t="s">
        <v>10194</v>
      </c>
      <c r="C1498" s="6" t="s">
        <v>13589</v>
      </c>
      <c r="D1498" s="4">
        <v>1104</v>
      </c>
      <c r="E1498" s="5" t="s">
        <v>20</v>
      </c>
      <c r="F1498" s="5" t="s">
        <v>4242</v>
      </c>
      <c r="G1498" s="6" t="s">
        <v>14</v>
      </c>
      <c r="H1498" s="4">
        <v>495</v>
      </c>
      <c r="I1498" s="5" t="s">
        <v>22</v>
      </c>
      <c r="J1498" s="5" t="s">
        <v>10545</v>
      </c>
      <c r="K1498" s="5" t="s">
        <v>10200</v>
      </c>
      <c r="L1498" s="5" t="s">
        <v>10546</v>
      </c>
      <c r="M1498" s="5" t="s">
        <v>127</v>
      </c>
      <c r="N1498" s="5" t="s">
        <v>366</v>
      </c>
      <c r="O1498" s="5" t="s">
        <v>10202</v>
      </c>
      <c r="P1498" s="5"/>
      <c r="Q1498" s="5" t="s">
        <v>10547</v>
      </c>
    </row>
    <row r="1499" spans="2:17" x14ac:dyDescent="0.2">
      <c r="B1499" s="5" t="s">
        <v>10194</v>
      </c>
      <c r="C1499" s="6" t="s">
        <v>13589</v>
      </c>
      <c r="D1499" s="4">
        <v>1105</v>
      </c>
      <c r="E1499" s="5" t="s">
        <v>20</v>
      </c>
      <c r="F1499" s="5" t="s">
        <v>10548</v>
      </c>
      <c r="G1499" s="6" t="s">
        <v>14</v>
      </c>
      <c r="H1499" s="4">
        <v>496</v>
      </c>
      <c r="I1499" s="5" t="s">
        <v>38</v>
      </c>
      <c r="J1499" s="5" t="s">
        <v>4194</v>
      </c>
      <c r="K1499" s="5" t="s">
        <v>10549</v>
      </c>
      <c r="L1499" s="5" t="s">
        <v>10550</v>
      </c>
      <c r="M1499" s="5" t="s">
        <v>127</v>
      </c>
      <c r="N1499" s="5" t="s">
        <v>366</v>
      </c>
      <c r="O1499" s="5" t="s">
        <v>10210</v>
      </c>
      <c r="P1499" s="5" t="s">
        <v>10551</v>
      </c>
      <c r="Q1499" s="5" t="s">
        <v>10552</v>
      </c>
    </row>
    <row r="1500" spans="2:17" x14ac:dyDescent="0.2">
      <c r="B1500" s="5" t="s">
        <v>10194</v>
      </c>
      <c r="C1500" s="6" t="s">
        <v>13589</v>
      </c>
      <c r="D1500" s="4">
        <v>1106</v>
      </c>
      <c r="E1500" s="5" t="s">
        <v>20</v>
      </c>
      <c r="F1500" s="5" t="s">
        <v>10548</v>
      </c>
      <c r="G1500" s="6" t="s">
        <v>14</v>
      </c>
      <c r="H1500" s="4">
        <v>497</v>
      </c>
      <c r="I1500" s="5" t="s">
        <v>38</v>
      </c>
      <c r="J1500" s="5" t="s">
        <v>4176</v>
      </c>
      <c r="K1500" s="5" t="s">
        <v>10553</v>
      </c>
      <c r="L1500" s="5"/>
      <c r="M1500" s="5" t="s">
        <v>127</v>
      </c>
      <c r="N1500" s="5" t="s">
        <v>366</v>
      </c>
      <c r="O1500" s="5" t="s">
        <v>10210</v>
      </c>
      <c r="P1500" s="5"/>
      <c r="Q1500" s="5" t="s">
        <v>10554</v>
      </c>
    </row>
    <row r="1501" spans="2:17" x14ac:dyDescent="0.2">
      <c r="B1501" s="5" t="s">
        <v>10194</v>
      </c>
      <c r="C1501" s="6" t="s">
        <v>13589</v>
      </c>
      <c r="D1501" s="4">
        <v>1107</v>
      </c>
      <c r="E1501" s="5" t="s">
        <v>20</v>
      </c>
      <c r="F1501" s="5" t="s">
        <v>10548</v>
      </c>
      <c r="G1501" s="6" t="s">
        <v>14</v>
      </c>
      <c r="H1501" s="4">
        <v>498</v>
      </c>
      <c r="I1501" s="5" t="s">
        <v>22</v>
      </c>
      <c r="J1501" s="5" t="s">
        <v>4179</v>
      </c>
      <c r="K1501" s="5" t="s">
        <v>10555</v>
      </c>
      <c r="L1501" s="5" t="s">
        <v>10556</v>
      </c>
      <c r="M1501" s="5" t="s">
        <v>127</v>
      </c>
      <c r="N1501" s="5" t="s">
        <v>366</v>
      </c>
      <c r="O1501" s="5" t="s">
        <v>10210</v>
      </c>
      <c r="P1501" s="5" t="s">
        <v>10557</v>
      </c>
      <c r="Q1501" s="5" t="s">
        <v>10558</v>
      </c>
    </row>
    <row r="1502" spans="2:17" x14ac:dyDescent="0.2">
      <c r="B1502" s="5" t="s">
        <v>10194</v>
      </c>
      <c r="C1502" s="6" t="s">
        <v>13589</v>
      </c>
      <c r="D1502" s="4">
        <v>1109</v>
      </c>
      <c r="E1502" s="5" t="s">
        <v>35</v>
      </c>
      <c r="F1502" s="5" t="s">
        <v>10632</v>
      </c>
      <c r="G1502" s="6" t="s">
        <v>14</v>
      </c>
      <c r="H1502" s="4">
        <v>499</v>
      </c>
      <c r="I1502" s="5"/>
      <c r="J1502" s="5" t="s">
        <v>10633</v>
      </c>
      <c r="K1502" s="5" t="s">
        <v>10248</v>
      </c>
      <c r="L1502" s="5" t="s">
        <v>10634</v>
      </c>
      <c r="M1502" s="5" t="s">
        <v>219</v>
      </c>
      <c r="N1502" s="5" t="s">
        <v>485</v>
      </c>
      <c r="O1502" s="5" t="s">
        <v>10197</v>
      </c>
      <c r="P1502" s="5"/>
      <c r="Q1502" s="5" t="s">
        <v>10635</v>
      </c>
    </row>
    <row r="1503" spans="2:17" x14ac:dyDescent="0.2">
      <c r="B1503" s="5" t="s">
        <v>10194</v>
      </c>
      <c r="C1503" s="6" t="s">
        <v>13589</v>
      </c>
      <c r="D1503" s="4">
        <v>1110</v>
      </c>
      <c r="E1503" s="5" t="s">
        <v>35</v>
      </c>
      <c r="F1503" s="5" t="s">
        <v>10632</v>
      </c>
      <c r="G1503" s="6" t="s">
        <v>14</v>
      </c>
      <c r="H1503" s="4">
        <v>500</v>
      </c>
      <c r="I1503" s="5"/>
      <c r="J1503" s="5" t="s">
        <v>10636</v>
      </c>
      <c r="K1503" s="5" t="s">
        <v>10248</v>
      </c>
      <c r="L1503" s="5" t="s">
        <v>10637</v>
      </c>
      <c r="M1503" s="5" t="s">
        <v>219</v>
      </c>
      <c r="N1503" s="5" t="s">
        <v>485</v>
      </c>
      <c r="O1503" s="5" t="s">
        <v>10197</v>
      </c>
      <c r="P1503" s="5"/>
      <c r="Q1503" s="5" t="s">
        <v>10638</v>
      </c>
    </row>
    <row r="1504" spans="2:17" x14ac:dyDescent="0.2">
      <c r="B1504" s="5" t="s">
        <v>10194</v>
      </c>
      <c r="C1504" s="6" t="s">
        <v>13589</v>
      </c>
      <c r="D1504" s="4">
        <v>1111</v>
      </c>
      <c r="E1504" s="5" t="s">
        <v>35</v>
      </c>
      <c r="F1504" s="5" t="s">
        <v>10632</v>
      </c>
      <c r="G1504" s="6" t="s">
        <v>14</v>
      </c>
      <c r="H1504" s="4">
        <v>501</v>
      </c>
      <c r="I1504" s="5"/>
      <c r="J1504" s="5" t="s">
        <v>10639</v>
      </c>
      <c r="K1504" s="5" t="s">
        <v>10248</v>
      </c>
      <c r="L1504" s="5" t="s">
        <v>10640</v>
      </c>
      <c r="M1504" s="5" t="s">
        <v>219</v>
      </c>
      <c r="N1504" s="5" t="s">
        <v>485</v>
      </c>
      <c r="O1504" s="5" t="s">
        <v>10197</v>
      </c>
      <c r="P1504" s="5"/>
      <c r="Q1504" s="5" t="s">
        <v>10641</v>
      </c>
    </row>
    <row r="1505" spans="2:17" x14ac:dyDescent="0.2">
      <c r="B1505" s="5" t="s">
        <v>10194</v>
      </c>
      <c r="C1505" s="6" t="s">
        <v>13589</v>
      </c>
      <c r="D1505" s="4">
        <v>1112</v>
      </c>
      <c r="E1505" s="5" t="s">
        <v>35</v>
      </c>
      <c r="F1505" s="5" t="s">
        <v>10632</v>
      </c>
      <c r="G1505" s="6" t="s">
        <v>14</v>
      </c>
      <c r="H1505" s="4">
        <v>502</v>
      </c>
      <c r="I1505" s="5"/>
      <c r="J1505" s="5" t="s">
        <v>10642</v>
      </c>
      <c r="K1505" s="5" t="s">
        <v>10643</v>
      </c>
      <c r="L1505" s="5" t="s">
        <v>10644</v>
      </c>
      <c r="M1505" s="5" t="s">
        <v>219</v>
      </c>
      <c r="N1505" s="5" t="s">
        <v>485</v>
      </c>
      <c r="O1505" s="5" t="s">
        <v>10197</v>
      </c>
      <c r="P1505" s="5"/>
      <c r="Q1505" s="5" t="s">
        <v>10645</v>
      </c>
    </row>
    <row r="1506" spans="2:17" x14ac:dyDescent="0.2">
      <c r="B1506" s="5" t="s">
        <v>10194</v>
      </c>
      <c r="C1506" s="6" t="s">
        <v>13589</v>
      </c>
      <c r="D1506" s="4">
        <v>1113</v>
      </c>
      <c r="E1506" s="5" t="s">
        <v>35</v>
      </c>
      <c r="F1506" s="5" t="s">
        <v>10626</v>
      </c>
      <c r="G1506" s="6" t="s">
        <v>14</v>
      </c>
      <c r="H1506" s="4">
        <v>503</v>
      </c>
      <c r="I1506" s="5"/>
      <c r="J1506" s="5" t="s">
        <v>10627</v>
      </c>
      <c r="K1506" s="5" t="s">
        <v>4848</v>
      </c>
      <c r="L1506" s="5"/>
      <c r="M1506" s="5" t="s">
        <v>484</v>
      </c>
      <c r="N1506" s="5" t="s">
        <v>485</v>
      </c>
      <c r="O1506" s="5" t="s">
        <v>10204</v>
      </c>
      <c r="P1506" s="5"/>
      <c r="Q1506" s="5" t="s">
        <v>10628</v>
      </c>
    </row>
    <row r="1507" spans="2:17" x14ac:dyDescent="0.2">
      <c r="B1507" s="5" t="s">
        <v>10194</v>
      </c>
      <c r="C1507" s="6" t="s">
        <v>13589</v>
      </c>
      <c r="D1507" s="4">
        <v>1114</v>
      </c>
      <c r="E1507" s="5" t="s">
        <v>35</v>
      </c>
      <c r="F1507" s="5" t="s">
        <v>10626</v>
      </c>
      <c r="G1507" s="6" t="s">
        <v>14</v>
      </c>
      <c r="H1507" s="4">
        <v>504</v>
      </c>
      <c r="I1507" s="5"/>
      <c r="J1507" s="5" t="s">
        <v>10629</v>
      </c>
      <c r="K1507" s="5" t="s">
        <v>10630</v>
      </c>
      <c r="L1507" s="5"/>
      <c r="M1507" s="5" t="s">
        <v>484</v>
      </c>
      <c r="N1507" s="5" t="s">
        <v>485</v>
      </c>
      <c r="O1507" s="5" t="s">
        <v>10204</v>
      </c>
      <c r="P1507" s="5"/>
      <c r="Q1507" s="5" t="s">
        <v>10631</v>
      </c>
    </row>
    <row r="1508" spans="2:17" x14ac:dyDescent="0.2">
      <c r="B1508" s="5" t="s">
        <v>10194</v>
      </c>
      <c r="C1508" s="6" t="s">
        <v>13589</v>
      </c>
      <c r="D1508" s="4">
        <v>1116</v>
      </c>
      <c r="E1508" s="5" t="s">
        <v>32</v>
      </c>
      <c r="F1508" s="5" t="s">
        <v>10524</v>
      </c>
      <c r="G1508" s="6" t="s">
        <v>14</v>
      </c>
      <c r="H1508" s="4">
        <v>505</v>
      </c>
      <c r="I1508" s="5" t="s">
        <v>22</v>
      </c>
      <c r="J1508" s="5" t="s">
        <v>10525</v>
      </c>
      <c r="K1508" s="5" t="s">
        <v>10492</v>
      </c>
      <c r="L1508" s="5" t="s">
        <v>10493</v>
      </c>
      <c r="M1508" s="5" t="s">
        <v>351</v>
      </c>
      <c r="N1508" s="5" t="s">
        <v>352</v>
      </c>
      <c r="O1508" s="5" t="s">
        <v>10202</v>
      </c>
      <c r="P1508" s="5"/>
      <c r="Q1508" s="5" t="s">
        <v>10526</v>
      </c>
    </row>
    <row r="1509" spans="2:17" x14ac:dyDescent="0.2">
      <c r="B1509" s="5" t="s">
        <v>10685</v>
      </c>
      <c r="C1509" s="6" t="s">
        <v>13589</v>
      </c>
      <c r="D1509" s="4">
        <v>1119</v>
      </c>
      <c r="E1509" s="5" t="s">
        <v>32</v>
      </c>
      <c r="F1509" s="5" t="s">
        <v>11061</v>
      </c>
      <c r="G1509" s="6" t="s">
        <v>14</v>
      </c>
      <c r="H1509" s="4">
        <v>506</v>
      </c>
      <c r="I1509" s="5" t="s">
        <v>22</v>
      </c>
      <c r="J1509" s="5" t="s">
        <v>11062</v>
      </c>
      <c r="K1509" s="5" t="s">
        <v>4982</v>
      </c>
      <c r="L1509" s="5"/>
      <c r="M1509" s="5" t="s">
        <v>506</v>
      </c>
      <c r="N1509" s="5" t="s">
        <v>2421</v>
      </c>
      <c r="O1509" s="5" t="s">
        <v>10789</v>
      </c>
      <c r="P1509" s="5"/>
      <c r="Q1509" s="5" t="s">
        <v>11063</v>
      </c>
    </row>
    <row r="1510" spans="2:17" x14ac:dyDescent="0.2">
      <c r="B1510" s="5" t="s">
        <v>10685</v>
      </c>
      <c r="C1510" s="6" t="s">
        <v>13589</v>
      </c>
      <c r="D1510" s="4">
        <v>1120</v>
      </c>
      <c r="E1510" s="5" t="s">
        <v>32</v>
      </c>
      <c r="F1510" s="5" t="s">
        <v>11061</v>
      </c>
      <c r="G1510" s="6" t="s">
        <v>14</v>
      </c>
      <c r="H1510" s="4">
        <v>507</v>
      </c>
      <c r="I1510" s="5" t="s">
        <v>22</v>
      </c>
      <c r="J1510" s="5" t="s">
        <v>11064</v>
      </c>
      <c r="K1510" s="5" t="s">
        <v>11065</v>
      </c>
      <c r="L1510" s="5"/>
      <c r="M1510" s="5" t="s">
        <v>506</v>
      </c>
      <c r="N1510" s="5" t="s">
        <v>2421</v>
      </c>
      <c r="O1510" s="5" t="s">
        <v>10921</v>
      </c>
      <c r="P1510" s="5"/>
      <c r="Q1510" s="5" t="s">
        <v>11066</v>
      </c>
    </row>
    <row r="1511" spans="2:17" x14ac:dyDescent="0.2">
      <c r="B1511" s="5" t="s">
        <v>10685</v>
      </c>
      <c r="C1511" s="6" t="s">
        <v>13589</v>
      </c>
      <c r="D1511" s="4">
        <v>1121</v>
      </c>
      <c r="E1511" s="5" t="s">
        <v>32</v>
      </c>
      <c r="F1511" s="5" t="s">
        <v>11061</v>
      </c>
      <c r="G1511" s="6" t="s">
        <v>14</v>
      </c>
      <c r="H1511" s="4">
        <v>508</v>
      </c>
      <c r="I1511" s="5" t="s">
        <v>22</v>
      </c>
      <c r="J1511" s="5" t="s">
        <v>11067</v>
      </c>
      <c r="K1511" s="5" t="s">
        <v>11068</v>
      </c>
      <c r="L1511" s="5"/>
      <c r="M1511" s="5" t="s">
        <v>506</v>
      </c>
      <c r="N1511" s="5" t="s">
        <v>2421</v>
      </c>
      <c r="O1511" s="5" t="s">
        <v>10789</v>
      </c>
      <c r="P1511" s="5"/>
      <c r="Q1511" s="5" t="s">
        <v>11069</v>
      </c>
    </row>
    <row r="1512" spans="2:17" x14ac:dyDescent="0.2">
      <c r="B1512" s="5" t="s">
        <v>10685</v>
      </c>
      <c r="C1512" s="6" t="s">
        <v>13589</v>
      </c>
      <c r="D1512" s="4">
        <v>1122</v>
      </c>
      <c r="E1512" s="5" t="s">
        <v>32</v>
      </c>
      <c r="F1512" s="5" t="s">
        <v>11061</v>
      </c>
      <c r="G1512" s="6" t="s">
        <v>14</v>
      </c>
      <c r="H1512" s="4">
        <v>509</v>
      </c>
      <c r="I1512" s="5" t="s">
        <v>22</v>
      </c>
      <c r="J1512" s="5" t="s">
        <v>11070</v>
      </c>
      <c r="K1512" s="5" t="s">
        <v>11071</v>
      </c>
      <c r="L1512" s="5"/>
      <c r="M1512" s="5" t="s">
        <v>506</v>
      </c>
      <c r="N1512" s="5" t="s">
        <v>2421</v>
      </c>
      <c r="O1512" s="5" t="s">
        <v>10921</v>
      </c>
      <c r="P1512" s="5"/>
      <c r="Q1512" s="5" t="s">
        <v>11072</v>
      </c>
    </row>
    <row r="1513" spans="2:17" x14ac:dyDescent="0.2">
      <c r="B1513" s="5" t="s">
        <v>10685</v>
      </c>
      <c r="C1513" s="6" t="s">
        <v>13589</v>
      </c>
      <c r="D1513" s="4">
        <v>1123</v>
      </c>
      <c r="E1513" s="5" t="s">
        <v>32</v>
      </c>
      <c r="F1513" s="5" t="s">
        <v>11061</v>
      </c>
      <c r="G1513" s="6" t="s">
        <v>14</v>
      </c>
      <c r="H1513" s="4">
        <v>510</v>
      </c>
      <c r="I1513" s="5" t="s">
        <v>22</v>
      </c>
      <c r="J1513" s="5" t="s">
        <v>11073</v>
      </c>
      <c r="K1513" s="5" t="s">
        <v>11074</v>
      </c>
      <c r="L1513" s="5"/>
      <c r="M1513" s="5" t="s">
        <v>506</v>
      </c>
      <c r="N1513" s="5" t="s">
        <v>2421</v>
      </c>
      <c r="O1513" s="5" t="s">
        <v>10701</v>
      </c>
      <c r="P1513" s="5"/>
      <c r="Q1513" s="5" t="s">
        <v>11075</v>
      </c>
    </row>
    <row r="1514" spans="2:17" x14ac:dyDescent="0.2">
      <c r="B1514" s="5" t="s">
        <v>10685</v>
      </c>
      <c r="C1514" s="6" t="s">
        <v>13589</v>
      </c>
      <c r="D1514" s="4">
        <v>1124</v>
      </c>
      <c r="E1514" s="5" t="s">
        <v>20</v>
      </c>
      <c r="F1514" s="5" t="s">
        <v>11042</v>
      </c>
      <c r="G1514" s="6" t="s">
        <v>14</v>
      </c>
      <c r="H1514" s="4">
        <v>511</v>
      </c>
      <c r="I1514" s="5" t="s">
        <v>22</v>
      </c>
      <c r="J1514" s="5" t="s">
        <v>11043</v>
      </c>
      <c r="K1514" s="5" t="s">
        <v>10699</v>
      </c>
      <c r="L1514" s="5"/>
      <c r="M1514" s="5" t="s">
        <v>2198</v>
      </c>
      <c r="N1514" s="5" t="s">
        <v>1634</v>
      </c>
      <c r="O1514" s="5" t="s">
        <v>10700</v>
      </c>
      <c r="P1514" s="5"/>
      <c r="Q1514" s="5" t="s">
        <v>11044</v>
      </c>
    </row>
    <row r="1515" spans="2:17" x14ac:dyDescent="0.2">
      <c r="B1515" s="5" t="s">
        <v>10685</v>
      </c>
      <c r="C1515" s="6" t="s">
        <v>13589</v>
      </c>
      <c r="D1515" s="4">
        <v>1125</v>
      </c>
      <c r="E1515" s="5" t="s">
        <v>24</v>
      </c>
      <c r="F1515" s="5" t="s">
        <v>11039</v>
      </c>
      <c r="G1515" s="6" t="s">
        <v>14</v>
      </c>
      <c r="H1515" s="4">
        <v>512</v>
      </c>
      <c r="I1515" s="5"/>
      <c r="J1515" s="5" t="s">
        <v>11040</v>
      </c>
      <c r="K1515" s="5" t="s">
        <v>10706</v>
      </c>
      <c r="L1515" s="5"/>
      <c r="M1515" s="5" t="s">
        <v>1625</v>
      </c>
      <c r="N1515" s="5" t="s">
        <v>2285</v>
      </c>
      <c r="O1515" s="5" t="s">
        <v>10695</v>
      </c>
      <c r="P1515" s="5"/>
      <c r="Q1515" s="5" t="s">
        <v>11041</v>
      </c>
    </row>
    <row r="1516" spans="2:17" x14ac:dyDescent="0.2">
      <c r="B1516" s="5" t="s">
        <v>10685</v>
      </c>
      <c r="C1516" s="6" t="s">
        <v>13589</v>
      </c>
      <c r="D1516" s="4">
        <v>1135</v>
      </c>
      <c r="E1516" s="5" t="s">
        <v>20</v>
      </c>
      <c r="F1516" s="5" t="s">
        <v>11002</v>
      </c>
      <c r="G1516" s="6" t="s">
        <v>14</v>
      </c>
      <c r="H1516" s="4">
        <v>513</v>
      </c>
      <c r="I1516" s="5" t="s">
        <v>22</v>
      </c>
      <c r="J1516" s="5" t="s">
        <v>11003</v>
      </c>
      <c r="K1516" s="5" t="s">
        <v>10747</v>
      </c>
      <c r="L1516" s="5"/>
      <c r="M1516" s="5" t="s">
        <v>426</v>
      </c>
      <c r="N1516" s="5" t="s">
        <v>426</v>
      </c>
      <c r="O1516" s="5" t="s">
        <v>10692</v>
      </c>
      <c r="P1516" s="5"/>
      <c r="Q1516" s="5" t="s">
        <v>11004</v>
      </c>
    </row>
    <row r="1517" spans="2:17" x14ac:dyDescent="0.2">
      <c r="B1517" s="5" t="s">
        <v>10685</v>
      </c>
      <c r="C1517" s="6" t="s">
        <v>13589</v>
      </c>
      <c r="D1517" s="4">
        <v>1136</v>
      </c>
      <c r="E1517" s="5" t="s">
        <v>20</v>
      </c>
      <c r="F1517" s="5" t="s">
        <v>11002</v>
      </c>
      <c r="G1517" s="6" t="s">
        <v>14</v>
      </c>
      <c r="H1517" s="4">
        <v>514</v>
      </c>
      <c r="I1517" s="5" t="s">
        <v>38</v>
      </c>
      <c r="J1517" s="5" t="s">
        <v>11003</v>
      </c>
      <c r="K1517" s="5" t="s">
        <v>10747</v>
      </c>
      <c r="L1517" s="5"/>
      <c r="M1517" s="5" t="s">
        <v>4507</v>
      </c>
      <c r="N1517" s="5" t="s">
        <v>422</v>
      </c>
      <c r="O1517" s="5" t="s">
        <v>11005</v>
      </c>
      <c r="P1517" s="5"/>
      <c r="Q1517" s="5" t="s">
        <v>11006</v>
      </c>
    </row>
    <row r="1518" spans="2:17" x14ac:dyDescent="0.2">
      <c r="B1518" s="5" t="s">
        <v>10685</v>
      </c>
      <c r="C1518" s="6" t="s">
        <v>13589</v>
      </c>
      <c r="D1518" s="4">
        <v>1141</v>
      </c>
      <c r="E1518" s="5" t="s">
        <v>13</v>
      </c>
      <c r="F1518" s="5" t="s">
        <v>10715</v>
      </c>
      <c r="G1518" s="6" t="s">
        <v>14</v>
      </c>
      <c r="H1518" s="4">
        <v>515</v>
      </c>
      <c r="I1518" s="5"/>
      <c r="J1518" s="5" t="s">
        <v>10716</v>
      </c>
      <c r="K1518" s="5" t="s">
        <v>10717</v>
      </c>
      <c r="L1518" s="5"/>
      <c r="M1518" s="5" t="s">
        <v>2074</v>
      </c>
      <c r="N1518" s="5" t="s">
        <v>2074</v>
      </c>
      <c r="O1518" s="5" t="s">
        <v>10697</v>
      </c>
      <c r="P1518" s="5"/>
      <c r="Q1518" s="5" t="s">
        <v>10966</v>
      </c>
    </row>
    <row r="1519" spans="2:17" x14ac:dyDescent="0.2">
      <c r="B1519" s="5" t="s">
        <v>10685</v>
      </c>
      <c r="C1519" s="6" t="s">
        <v>13589</v>
      </c>
      <c r="D1519" s="4">
        <v>1148</v>
      </c>
      <c r="E1519" s="5" t="s">
        <v>13</v>
      </c>
      <c r="F1519" s="5" t="s">
        <v>10941</v>
      </c>
      <c r="G1519" s="6" t="s">
        <v>14</v>
      </c>
      <c r="H1519" s="4">
        <v>516</v>
      </c>
      <c r="I1519" s="5"/>
      <c r="J1519" s="5" t="s">
        <v>10942</v>
      </c>
      <c r="K1519" s="5" t="s">
        <v>10943</v>
      </c>
      <c r="L1519" s="5"/>
      <c r="M1519" s="5" t="s">
        <v>2376</v>
      </c>
      <c r="N1519" s="5" t="s">
        <v>2376</v>
      </c>
      <c r="O1519" s="5" t="s">
        <v>10697</v>
      </c>
      <c r="P1519" s="5"/>
      <c r="Q1519" s="5" t="s">
        <v>10944</v>
      </c>
    </row>
    <row r="1520" spans="2:17" x14ac:dyDescent="0.2">
      <c r="B1520" s="5" t="s">
        <v>10685</v>
      </c>
      <c r="C1520" s="6" t="s">
        <v>13589</v>
      </c>
      <c r="D1520" s="4">
        <v>1149</v>
      </c>
      <c r="E1520" s="5" t="s">
        <v>32</v>
      </c>
      <c r="F1520" s="5" t="s">
        <v>10931</v>
      </c>
      <c r="G1520" s="6" t="s">
        <v>14</v>
      </c>
      <c r="H1520" s="4">
        <v>517</v>
      </c>
      <c r="I1520" s="5" t="s">
        <v>22</v>
      </c>
      <c r="J1520" s="5" t="s">
        <v>10932</v>
      </c>
      <c r="K1520" s="5" t="s">
        <v>10705</v>
      </c>
      <c r="L1520" s="5"/>
      <c r="M1520" s="5" t="s">
        <v>1802</v>
      </c>
      <c r="N1520" s="5" t="s">
        <v>337</v>
      </c>
      <c r="O1520" s="5" t="s">
        <v>10695</v>
      </c>
      <c r="P1520" s="5"/>
      <c r="Q1520" s="5" t="s">
        <v>10933</v>
      </c>
    </row>
    <row r="1521" spans="2:17" x14ac:dyDescent="0.2">
      <c r="B1521" s="5" t="s">
        <v>10685</v>
      </c>
      <c r="C1521" s="6" t="s">
        <v>13589</v>
      </c>
      <c r="D1521" s="4">
        <v>1150</v>
      </c>
      <c r="E1521" s="5" t="s">
        <v>32</v>
      </c>
      <c r="F1521" s="5" t="s">
        <v>10934</v>
      </c>
      <c r="G1521" s="6" t="s">
        <v>14</v>
      </c>
      <c r="H1521" s="4">
        <v>518</v>
      </c>
      <c r="I1521" s="5" t="s">
        <v>38</v>
      </c>
      <c r="J1521" s="5" t="s">
        <v>10935</v>
      </c>
      <c r="K1521" s="5" t="s">
        <v>10936</v>
      </c>
      <c r="L1521" s="5"/>
      <c r="M1521" s="5" t="s">
        <v>1802</v>
      </c>
      <c r="N1521" s="5" t="s">
        <v>337</v>
      </c>
      <c r="O1521" s="5" t="s">
        <v>10921</v>
      </c>
      <c r="P1521" s="5"/>
      <c r="Q1521" s="5" t="s">
        <v>10937</v>
      </c>
    </row>
    <row r="1522" spans="2:17" x14ac:dyDescent="0.2">
      <c r="B1522" s="5" t="s">
        <v>10685</v>
      </c>
      <c r="C1522" s="6" t="s">
        <v>13589</v>
      </c>
      <c r="D1522" s="4">
        <v>1151</v>
      </c>
      <c r="E1522" s="5" t="s">
        <v>32</v>
      </c>
      <c r="F1522" s="5" t="s">
        <v>10934</v>
      </c>
      <c r="G1522" s="6" t="s">
        <v>14</v>
      </c>
      <c r="H1522" s="4">
        <v>519</v>
      </c>
      <c r="I1522" s="5" t="s">
        <v>38</v>
      </c>
      <c r="J1522" s="5" t="s">
        <v>10938</v>
      </c>
      <c r="K1522" s="5" t="s">
        <v>10939</v>
      </c>
      <c r="L1522" s="5"/>
      <c r="M1522" s="5" t="s">
        <v>1802</v>
      </c>
      <c r="N1522" s="5" t="s">
        <v>337</v>
      </c>
      <c r="O1522" s="5" t="s">
        <v>10921</v>
      </c>
      <c r="P1522" s="5"/>
      <c r="Q1522" s="5" t="s">
        <v>10940</v>
      </c>
    </row>
    <row r="1523" spans="2:17" x14ac:dyDescent="0.2">
      <c r="B1523" s="5" t="s">
        <v>10685</v>
      </c>
      <c r="C1523" s="6" t="s">
        <v>13589</v>
      </c>
      <c r="D1523" s="4">
        <v>1152</v>
      </c>
      <c r="E1523" s="5" t="s">
        <v>13</v>
      </c>
      <c r="F1523" s="5" t="s">
        <v>10715</v>
      </c>
      <c r="G1523" s="6" t="s">
        <v>14</v>
      </c>
      <c r="H1523" s="4">
        <v>520</v>
      </c>
      <c r="I1523" s="5"/>
      <c r="J1523" s="5" t="s">
        <v>10927</v>
      </c>
      <c r="K1523" s="5" t="s">
        <v>10928</v>
      </c>
      <c r="L1523" s="5"/>
      <c r="M1523" s="5" t="s">
        <v>1416</v>
      </c>
      <c r="N1523" s="5" t="s">
        <v>1416</v>
      </c>
      <c r="O1523" s="5" t="s">
        <v>10929</v>
      </c>
      <c r="P1523" s="5"/>
      <c r="Q1523" s="5" t="s">
        <v>10930</v>
      </c>
    </row>
    <row r="1524" spans="2:17" x14ac:dyDescent="0.2">
      <c r="B1524" s="5" t="s">
        <v>10685</v>
      </c>
      <c r="C1524" s="6" t="s">
        <v>13589</v>
      </c>
      <c r="D1524" s="4">
        <v>1154</v>
      </c>
      <c r="E1524" s="5" t="s">
        <v>13</v>
      </c>
      <c r="F1524" s="5" t="s">
        <v>10715</v>
      </c>
      <c r="G1524" s="6" t="s">
        <v>14</v>
      </c>
      <c r="H1524" s="4">
        <v>521</v>
      </c>
      <c r="I1524" s="5"/>
      <c r="J1524" s="5" t="s">
        <v>10919</v>
      </c>
      <c r="K1524" s="5" t="s">
        <v>10920</v>
      </c>
      <c r="L1524" s="5"/>
      <c r="M1524" s="5" t="s">
        <v>1365</v>
      </c>
      <c r="N1524" s="5" t="s">
        <v>1365</v>
      </c>
      <c r="O1524" s="5" t="s">
        <v>10921</v>
      </c>
      <c r="P1524" s="5"/>
      <c r="Q1524" s="5" t="s">
        <v>10922</v>
      </c>
    </row>
    <row r="1525" spans="2:17" x14ac:dyDescent="0.2">
      <c r="B1525" s="5" t="s">
        <v>10685</v>
      </c>
      <c r="C1525" s="6" t="s">
        <v>13589</v>
      </c>
      <c r="D1525" s="4">
        <v>1155</v>
      </c>
      <c r="E1525" s="5" t="s">
        <v>32</v>
      </c>
      <c r="F1525" s="5" t="s">
        <v>10915</v>
      </c>
      <c r="G1525" s="6" t="s">
        <v>14</v>
      </c>
      <c r="H1525" s="4">
        <v>522</v>
      </c>
      <c r="I1525" s="5" t="s">
        <v>38</v>
      </c>
      <c r="J1525" s="5" t="s">
        <v>10916</v>
      </c>
      <c r="K1525" s="5" t="s">
        <v>10917</v>
      </c>
      <c r="L1525" s="5"/>
      <c r="M1525" s="5" t="s">
        <v>1365</v>
      </c>
      <c r="N1525" s="5" t="s">
        <v>1385</v>
      </c>
      <c r="O1525" s="5" t="s">
        <v>10695</v>
      </c>
      <c r="P1525" s="5"/>
      <c r="Q1525" s="5" t="s">
        <v>10918</v>
      </c>
    </row>
    <row r="1526" spans="2:17" x14ac:dyDescent="0.2">
      <c r="B1526" s="5" t="s">
        <v>10685</v>
      </c>
      <c r="C1526" s="6" t="s">
        <v>13589</v>
      </c>
      <c r="D1526" s="4">
        <v>1156</v>
      </c>
      <c r="E1526" s="5" t="s">
        <v>13</v>
      </c>
      <c r="F1526" s="5" t="s">
        <v>10715</v>
      </c>
      <c r="G1526" s="6" t="s">
        <v>14</v>
      </c>
      <c r="H1526" s="4">
        <v>523</v>
      </c>
      <c r="I1526" s="5"/>
      <c r="J1526" s="5" t="s">
        <v>10913</v>
      </c>
      <c r="K1526" s="5" t="s">
        <v>10693</v>
      </c>
      <c r="L1526" s="5"/>
      <c r="M1526" s="5" t="s">
        <v>296</v>
      </c>
      <c r="N1526" s="5" t="s">
        <v>296</v>
      </c>
      <c r="O1526" s="5" t="s">
        <v>10692</v>
      </c>
      <c r="P1526" s="5"/>
      <c r="Q1526" s="5" t="s">
        <v>10914</v>
      </c>
    </row>
    <row r="1527" spans="2:17" x14ac:dyDescent="0.2">
      <c r="B1527" s="5" t="s">
        <v>10685</v>
      </c>
      <c r="C1527" s="6" t="s">
        <v>13589</v>
      </c>
      <c r="D1527" s="4">
        <v>1157</v>
      </c>
      <c r="E1527" s="5" t="s">
        <v>32</v>
      </c>
      <c r="F1527" s="5" t="s">
        <v>10907</v>
      </c>
      <c r="G1527" s="6" t="s">
        <v>14</v>
      </c>
      <c r="H1527" s="4">
        <v>524</v>
      </c>
      <c r="I1527" s="5" t="s">
        <v>22</v>
      </c>
      <c r="J1527" s="5" t="s">
        <v>10908</v>
      </c>
      <c r="K1527" s="5" t="s">
        <v>10909</v>
      </c>
      <c r="L1527" s="5"/>
      <c r="M1527" s="5" t="s">
        <v>1750</v>
      </c>
      <c r="N1527" s="5" t="s">
        <v>4765</v>
      </c>
      <c r="O1527" s="5" t="s">
        <v>10692</v>
      </c>
      <c r="P1527" s="5"/>
      <c r="Q1527" s="5" t="s">
        <v>10910</v>
      </c>
    </row>
    <row r="1528" spans="2:17" x14ac:dyDescent="0.2">
      <c r="B1528" s="5" t="s">
        <v>10685</v>
      </c>
      <c r="C1528" s="6" t="s">
        <v>13589</v>
      </c>
      <c r="D1528" s="4">
        <v>1165</v>
      </c>
      <c r="E1528" s="5" t="s">
        <v>32</v>
      </c>
      <c r="F1528" s="5" t="s">
        <v>3797</v>
      </c>
      <c r="G1528" s="6" t="s">
        <v>14</v>
      </c>
      <c r="H1528" s="4">
        <v>525</v>
      </c>
      <c r="I1528" s="5" t="s">
        <v>38</v>
      </c>
      <c r="J1528" s="5" t="s">
        <v>10896</v>
      </c>
      <c r="K1528" s="5" t="s">
        <v>10897</v>
      </c>
      <c r="L1528" s="5"/>
      <c r="M1528" s="5" t="s">
        <v>96</v>
      </c>
      <c r="N1528" s="5" t="s">
        <v>284</v>
      </c>
      <c r="O1528" s="5" t="s">
        <v>10692</v>
      </c>
      <c r="P1528" s="5"/>
      <c r="Q1528" s="5" t="s">
        <v>10898</v>
      </c>
    </row>
    <row r="1529" spans="2:17" x14ac:dyDescent="0.2">
      <c r="B1529" s="5" t="s">
        <v>10685</v>
      </c>
      <c r="C1529" s="6" t="s">
        <v>13589</v>
      </c>
      <c r="D1529" s="4">
        <v>1166</v>
      </c>
      <c r="E1529" s="5" t="s">
        <v>32</v>
      </c>
      <c r="F1529" s="5" t="s">
        <v>3797</v>
      </c>
      <c r="G1529" s="6" t="s">
        <v>14</v>
      </c>
      <c r="H1529" s="4">
        <v>526</v>
      </c>
      <c r="I1529" s="5" t="s">
        <v>22</v>
      </c>
      <c r="J1529" s="5" t="s">
        <v>10899</v>
      </c>
      <c r="K1529" s="5" t="s">
        <v>10900</v>
      </c>
      <c r="L1529" s="5"/>
      <c r="M1529" s="5" t="s">
        <v>96</v>
      </c>
      <c r="N1529" s="5" t="s">
        <v>284</v>
      </c>
      <c r="O1529" s="5" t="s">
        <v>10700</v>
      </c>
      <c r="P1529" s="5"/>
      <c r="Q1529" s="5" t="s">
        <v>10901</v>
      </c>
    </row>
    <row r="1530" spans="2:17" x14ac:dyDescent="0.2">
      <c r="B1530" s="5" t="s">
        <v>10685</v>
      </c>
      <c r="C1530" s="6" t="s">
        <v>13589</v>
      </c>
      <c r="D1530" s="4">
        <v>1168</v>
      </c>
      <c r="E1530" s="5" t="s">
        <v>32</v>
      </c>
      <c r="F1530" s="5" t="s">
        <v>10874</v>
      </c>
      <c r="G1530" s="6" t="s">
        <v>14</v>
      </c>
      <c r="H1530" s="4">
        <v>527</v>
      </c>
      <c r="I1530" s="5" t="s">
        <v>38</v>
      </c>
      <c r="J1530" s="5" t="s">
        <v>10875</v>
      </c>
      <c r="K1530" s="5" t="s">
        <v>10696</v>
      </c>
      <c r="L1530" s="5"/>
      <c r="M1530" s="5" t="s">
        <v>97</v>
      </c>
      <c r="N1530" s="5" t="s">
        <v>2328</v>
      </c>
      <c r="O1530" s="5" t="s">
        <v>10697</v>
      </c>
      <c r="P1530" s="5"/>
      <c r="Q1530" s="5" t="s">
        <v>10876</v>
      </c>
    </row>
    <row r="1531" spans="2:17" x14ac:dyDescent="0.2">
      <c r="B1531" s="5" t="s">
        <v>10685</v>
      </c>
      <c r="C1531" s="6" t="s">
        <v>13589</v>
      </c>
      <c r="D1531" s="4">
        <v>1169</v>
      </c>
      <c r="E1531" s="5" t="s">
        <v>32</v>
      </c>
      <c r="F1531" s="5" t="s">
        <v>10874</v>
      </c>
      <c r="G1531" s="6" t="s">
        <v>14</v>
      </c>
      <c r="H1531" s="4">
        <v>528</v>
      </c>
      <c r="I1531" s="5" t="s">
        <v>38</v>
      </c>
      <c r="J1531" s="5" t="s">
        <v>10877</v>
      </c>
      <c r="K1531" s="5" t="s">
        <v>10698</v>
      </c>
      <c r="L1531" s="5"/>
      <c r="M1531" s="5" t="s">
        <v>97</v>
      </c>
      <c r="N1531" s="5" t="s">
        <v>2328</v>
      </c>
      <c r="O1531" s="5" t="s">
        <v>10697</v>
      </c>
      <c r="P1531" s="5"/>
      <c r="Q1531" s="5" t="s">
        <v>10878</v>
      </c>
    </row>
    <row r="1532" spans="2:17" x14ac:dyDescent="0.2">
      <c r="B1532" s="5" t="s">
        <v>10685</v>
      </c>
      <c r="C1532" s="6" t="s">
        <v>13589</v>
      </c>
      <c r="D1532" s="4">
        <v>1170</v>
      </c>
      <c r="E1532" s="5" t="s">
        <v>32</v>
      </c>
      <c r="F1532" s="5" t="s">
        <v>10860</v>
      </c>
      <c r="G1532" s="6" t="s">
        <v>14</v>
      </c>
      <c r="H1532" s="4">
        <v>529</v>
      </c>
      <c r="I1532" s="5" t="s">
        <v>38</v>
      </c>
      <c r="J1532" s="5" t="s">
        <v>10861</v>
      </c>
      <c r="K1532" s="5" t="s">
        <v>10806</v>
      </c>
      <c r="L1532" s="5"/>
      <c r="M1532" s="5" t="s">
        <v>573</v>
      </c>
      <c r="N1532" s="5" t="s">
        <v>1262</v>
      </c>
      <c r="O1532" s="5" t="s">
        <v>10739</v>
      </c>
      <c r="P1532" s="5"/>
      <c r="Q1532" s="5" t="s">
        <v>10862</v>
      </c>
    </row>
    <row r="1533" spans="2:17" x14ac:dyDescent="0.2">
      <c r="B1533" s="5" t="s">
        <v>10685</v>
      </c>
      <c r="C1533" s="6" t="s">
        <v>13589</v>
      </c>
      <c r="D1533" s="4">
        <v>1171</v>
      </c>
      <c r="E1533" s="5" t="s">
        <v>20</v>
      </c>
      <c r="F1533" s="5" t="s">
        <v>10847</v>
      </c>
      <c r="G1533" s="6" t="s">
        <v>14</v>
      </c>
      <c r="H1533" s="4">
        <v>530</v>
      </c>
      <c r="I1533" s="5" t="s">
        <v>38</v>
      </c>
      <c r="J1533" s="5" t="s">
        <v>10848</v>
      </c>
      <c r="K1533" s="5" t="s">
        <v>10849</v>
      </c>
      <c r="L1533" s="5"/>
      <c r="M1533" s="5" t="s">
        <v>573</v>
      </c>
      <c r="N1533" s="5" t="s">
        <v>1262</v>
      </c>
      <c r="O1533" s="5" t="s">
        <v>10697</v>
      </c>
      <c r="P1533" s="5"/>
      <c r="Q1533" s="5" t="s">
        <v>10850</v>
      </c>
    </row>
    <row r="1534" spans="2:17" x14ac:dyDescent="0.2">
      <c r="B1534" s="5" t="s">
        <v>10685</v>
      </c>
      <c r="C1534" s="6" t="s">
        <v>13589</v>
      </c>
      <c r="D1534" s="4">
        <v>1172</v>
      </c>
      <c r="E1534" s="5" t="s">
        <v>24</v>
      </c>
      <c r="F1534" s="5" t="s">
        <v>10863</v>
      </c>
      <c r="G1534" s="6" t="s">
        <v>14</v>
      </c>
      <c r="H1534" s="4">
        <v>531</v>
      </c>
      <c r="I1534" s="5"/>
      <c r="J1534" s="5" t="s">
        <v>10864</v>
      </c>
      <c r="K1534" s="5" t="s">
        <v>10706</v>
      </c>
      <c r="L1534" s="5" t="s">
        <v>10865</v>
      </c>
      <c r="M1534" s="5" t="s">
        <v>573</v>
      </c>
      <c r="N1534" s="5" t="s">
        <v>1262</v>
      </c>
      <c r="O1534" s="5" t="s">
        <v>10695</v>
      </c>
      <c r="P1534" s="5"/>
      <c r="Q1534" s="5" t="s">
        <v>10866</v>
      </c>
    </row>
    <row r="1535" spans="2:17" x14ac:dyDescent="0.2">
      <c r="B1535" s="5" t="s">
        <v>10685</v>
      </c>
      <c r="C1535" s="6" t="s">
        <v>13589</v>
      </c>
      <c r="D1535" s="4">
        <v>1173</v>
      </c>
      <c r="E1535" s="5" t="s">
        <v>24</v>
      </c>
      <c r="F1535" s="5" t="s">
        <v>10863</v>
      </c>
      <c r="G1535" s="6" t="s">
        <v>14</v>
      </c>
      <c r="H1535" s="4">
        <v>532</v>
      </c>
      <c r="I1535" s="5"/>
      <c r="J1535" s="5" t="s">
        <v>10867</v>
      </c>
      <c r="K1535" s="5" t="s">
        <v>10706</v>
      </c>
      <c r="L1535" s="5" t="s">
        <v>10868</v>
      </c>
      <c r="M1535" s="5" t="s">
        <v>573</v>
      </c>
      <c r="N1535" s="5" t="s">
        <v>1262</v>
      </c>
      <c r="O1535" s="5" t="s">
        <v>10695</v>
      </c>
      <c r="P1535" s="5"/>
      <c r="Q1535" s="5" t="s">
        <v>10869</v>
      </c>
    </row>
    <row r="1536" spans="2:17" x14ac:dyDescent="0.2">
      <c r="B1536" s="5" t="s">
        <v>10685</v>
      </c>
      <c r="C1536" s="6" t="s">
        <v>13589</v>
      </c>
      <c r="D1536" s="4">
        <v>1174</v>
      </c>
      <c r="E1536" s="5" t="s">
        <v>24</v>
      </c>
      <c r="F1536" s="5" t="s">
        <v>10863</v>
      </c>
      <c r="G1536" s="6" t="s">
        <v>14</v>
      </c>
      <c r="H1536" s="4">
        <v>533</v>
      </c>
      <c r="I1536" s="5"/>
      <c r="J1536" s="5" t="s">
        <v>10870</v>
      </c>
      <c r="K1536" s="5" t="s">
        <v>10706</v>
      </c>
      <c r="L1536" s="5"/>
      <c r="M1536" s="5" t="s">
        <v>573</v>
      </c>
      <c r="N1536" s="5" t="s">
        <v>1262</v>
      </c>
      <c r="O1536" s="5" t="s">
        <v>10695</v>
      </c>
      <c r="P1536" s="5"/>
      <c r="Q1536" s="5" t="s">
        <v>10871</v>
      </c>
    </row>
    <row r="1537" spans="2:17" x14ac:dyDescent="0.2">
      <c r="B1537" s="5" t="s">
        <v>10685</v>
      </c>
      <c r="C1537" s="6" t="s">
        <v>13589</v>
      </c>
      <c r="D1537" s="4">
        <v>1175</v>
      </c>
      <c r="E1537" s="5" t="s">
        <v>24</v>
      </c>
      <c r="F1537" s="5" t="s">
        <v>10863</v>
      </c>
      <c r="G1537" s="6" t="s">
        <v>14</v>
      </c>
      <c r="H1537" s="4">
        <v>534</v>
      </c>
      <c r="I1537" s="5"/>
      <c r="J1537" s="5" t="s">
        <v>10872</v>
      </c>
      <c r="K1537" s="5" t="s">
        <v>10706</v>
      </c>
      <c r="L1537" s="5"/>
      <c r="M1537" s="5" t="s">
        <v>573</v>
      </c>
      <c r="N1537" s="5" t="s">
        <v>1262</v>
      </c>
      <c r="O1537" s="5" t="s">
        <v>10695</v>
      </c>
      <c r="P1537" s="5"/>
      <c r="Q1537" s="5" t="s">
        <v>10873</v>
      </c>
    </row>
    <row r="1538" spans="2:17" x14ac:dyDescent="0.2">
      <c r="B1538" s="5" t="s">
        <v>10685</v>
      </c>
      <c r="C1538" s="6" t="s">
        <v>13589</v>
      </c>
      <c r="D1538" s="4">
        <v>1176</v>
      </c>
      <c r="E1538" s="5" t="s">
        <v>32</v>
      </c>
      <c r="F1538" s="5" t="s">
        <v>10851</v>
      </c>
      <c r="G1538" s="6" t="s">
        <v>14</v>
      </c>
      <c r="H1538" s="4">
        <v>535</v>
      </c>
      <c r="I1538" s="5" t="s">
        <v>38</v>
      </c>
      <c r="J1538" s="5" t="s">
        <v>10852</v>
      </c>
      <c r="K1538" s="5" t="s">
        <v>10853</v>
      </c>
      <c r="L1538" s="5"/>
      <c r="M1538" s="5" t="s">
        <v>573</v>
      </c>
      <c r="N1538" s="5" t="s">
        <v>1262</v>
      </c>
      <c r="O1538" s="5" t="s">
        <v>10854</v>
      </c>
      <c r="P1538" s="5"/>
      <c r="Q1538" s="5" t="s">
        <v>10855</v>
      </c>
    </row>
    <row r="1539" spans="2:17" x14ac:dyDescent="0.2">
      <c r="B1539" s="5" t="s">
        <v>10685</v>
      </c>
      <c r="C1539" s="6" t="s">
        <v>13589</v>
      </c>
      <c r="D1539" s="4">
        <v>1177</v>
      </c>
      <c r="E1539" s="5" t="s">
        <v>32</v>
      </c>
      <c r="F1539" s="5" t="s">
        <v>10851</v>
      </c>
      <c r="G1539" s="6" t="s">
        <v>14</v>
      </c>
      <c r="H1539" s="4">
        <v>536</v>
      </c>
      <c r="I1539" s="5" t="s">
        <v>38</v>
      </c>
      <c r="J1539" s="5" t="s">
        <v>10856</v>
      </c>
      <c r="K1539" s="5" t="s">
        <v>10857</v>
      </c>
      <c r="L1539" s="5"/>
      <c r="M1539" s="5" t="s">
        <v>573</v>
      </c>
      <c r="N1539" s="5" t="s">
        <v>1262</v>
      </c>
      <c r="O1539" s="5" t="s">
        <v>10858</v>
      </c>
      <c r="P1539" s="5"/>
      <c r="Q1539" s="5" t="s">
        <v>10859</v>
      </c>
    </row>
    <row r="1540" spans="2:17" x14ac:dyDescent="0.2">
      <c r="B1540" s="5" t="s">
        <v>10685</v>
      </c>
      <c r="C1540" s="6" t="s">
        <v>13589</v>
      </c>
      <c r="D1540" s="4">
        <v>1178</v>
      </c>
      <c r="E1540" s="5" t="s">
        <v>32</v>
      </c>
      <c r="F1540" s="5" t="s">
        <v>10822</v>
      </c>
      <c r="G1540" s="6" t="s">
        <v>14</v>
      </c>
      <c r="H1540" s="4">
        <v>537</v>
      </c>
      <c r="I1540" s="5" t="s">
        <v>38</v>
      </c>
      <c r="J1540" s="5" t="s">
        <v>10844</v>
      </c>
      <c r="K1540" s="5" t="s">
        <v>10845</v>
      </c>
      <c r="L1540" s="5"/>
      <c r="M1540" s="5" t="s">
        <v>2891</v>
      </c>
      <c r="N1540" s="5" t="s">
        <v>1258</v>
      </c>
      <c r="O1540" s="5" t="s">
        <v>10739</v>
      </c>
      <c r="P1540" s="5"/>
      <c r="Q1540" s="5" t="s">
        <v>10846</v>
      </c>
    </row>
    <row r="1541" spans="2:17" x14ac:dyDescent="0.2">
      <c r="B1541" s="5" t="s">
        <v>10685</v>
      </c>
      <c r="C1541" s="6" t="s">
        <v>13589</v>
      </c>
      <c r="D1541" s="4">
        <v>1179</v>
      </c>
      <c r="E1541" s="5" t="s">
        <v>32</v>
      </c>
      <c r="F1541" s="5" t="s">
        <v>10841</v>
      </c>
      <c r="G1541" s="6" t="s">
        <v>14</v>
      </c>
      <c r="H1541" s="4">
        <v>538</v>
      </c>
      <c r="I1541" s="5" t="s">
        <v>22</v>
      </c>
      <c r="J1541" s="5" t="s">
        <v>10842</v>
      </c>
      <c r="K1541" s="5" t="s">
        <v>10699</v>
      </c>
      <c r="L1541" s="5"/>
      <c r="M1541" s="5" t="s">
        <v>1262</v>
      </c>
      <c r="N1541" s="5" t="s">
        <v>1263</v>
      </c>
      <c r="O1541" s="5" t="s">
        <v>10700</v>
      </c>
      <c r="P1541" s="5"/>
      <c r="Q1541" s="5" t="s">
        <v>10843</v>
      </c>
    </row>
    <row r="1542" spans="2:17" x14ac:dyDescent="0.2">
      <c r="B1542" s="5" t="s">
        <v>10685</v>
      </c>
      <c r="C1542" s="6" t="s">
        <v>13589</v>
      </c>
      <c r="D1542" s="4">
        <v>1182</v>
      </c>
      <c r="E1542" s="5" t="s">
        <v>32</v>
      </c>
      <c r="F1542" s="5" t="s">
        <v>10809</v>
      </c>
      <c r="G1542" s="6" t="s">
        <v>14</v>
      </c>
      <c r="H1542" s="4">
        <v>539</v>
      </c>
      <c r="I1542" s="5" t="s">
        <v>38</v>
      </c>
      <c r="J1542" s="5" t="s">
        <v>10810</v>
      </c>
      <c r="K1542" s="5" t="s">
        <v>10811</v>
      </c>
      <c r="L1542" s="5"/>
      <c r="M1542" s="5" t="s">
        <v>1915</v>
      </c>
      <c r="N1542" s="5" t="s">
        <v>1247</v>
      </c>
      <c r="O1542" s="5" t="s">
        <v>10697</v>
      </c>
      <c r="P1542" s="5"/>
      <c r="Q1542" s="5" t="s">
        <v>10812</v>
      </c>
    </row>
    <row r="1543" spans="2:17" x14ac:dyDescent="0.2">
      <c r="B1543" s="5" t="s">
        <v>10685</v>
      </c>
      <c r="C1543" s="6" t="s">
        <v>13589</v>
      </c>
      <c r="D1543" s="4">
        <v>1183</v>
      </c>
      <c r="E1543" s="5" t="s">
        <v>32</v>
      </c>
      <c r="F1543" s="5" t="s">
        <v>10809</v>
      </c>
      <c r="G1543" s="6" t="s">
        <v>14</v>
      </c>
      <c r="H1543" s="4">
        <v>540</v>
      </c>
      <c r="I1543" s="5" t="s">
        <v>38</v>
      </c>
      <c r="J1543" s="5" t="s">
        <v>10813</v>
      </c>
      <c r="K1543" s="5" t="s">
        <v>10814</v>
      </c>
      <c r="L1543" s="5"/>
      <c r="M1543" s="5" t="s">
        <v>1915</v>
      </c>
      <c r="N1543" s="5" t="s">
        <v>1247</v>
      </c>
      <c r="O1543" s="5" t="s">
        <v>10697</v>
      </c>
      <c r="P1543" s="5"/>
      <c r="Q1543" s="5" t="s">
        <v>10815</v>
      </c>
    </row>
    <row r="1544" spans="2:17" x14ac:dyDescent="0.2">
      <c r="B1544" s="5" t="s">
        <v>10685</v>
      </c>
      <c r="C1544" s="6" t="s">
        <v>13589</v>
      </c>
      <c r="D1544" s="4">
        <v>1184</v>
      </c>
      <c r="E1544" s="5" t="s">
        <v>32</v>
      </c>
      <c r="F1544" s="5" t="s">
        <v>10809</v>
      </c>
      <c r="G1544" s="6" t="s">
        <v>14</v>
      </c>
      <c r="H1544" s="4">
        <v>541</v>
      </c>
      <c r="I1544" s="5" t="s">
        <v>22</v>
      </c>
      <c r="J1544" s="5" t="s">
        <v>10816</v>
      </c>
      <c r="K1544" s="5" t="s">
        <v>10817</v>
      </c>
      <c r="L1544" s="5"/>
      <c r="M1544" s="5" t="s">
        <v>1915</v>
      </c>
      <c r="N1544" s="5" t="s">
        <v>1247</v>
      </c>
      <c r="O1544" s="5" t="s">
        <v>10697</v>
      </c>
      <c r="P1544" s="5"/>
      <c r="Q1544" s="5" t="s">
        <v>10818</v>
      </c>
    </row>
    <row r="1545" spans="2:17" x14ac:dyDescent="0.2">
      <c r="B1545" s="5" t="s">
        <v>10685</v>
      </c>
      <c r="C1545" s="6" t="s">
        <v>13589</v>
      </c>
      <c r="D1545" s="4">
        <v>1185</v>
      </c>
      <c r="E1545" s="5" t="s">
        <v>32</v>
      </c>
      <c r="F1545" s="5" t="s">
        <v>10809</v>
      </c>
      <c r="G1545" s="6" t="s">
        <v>14</v>
      </c>
      <c r="H1545" s="4">
        <v>542</v>
      </c>
      <c r="I1545" s="5" t="s">
        <v>38</v>
      </c>
      <c r="J1545" s="5" t="s">
        <v>10819</v>
      </c>
      <c r="K1545" s="5" t="s">
        <v>10820</v>
      </c>
      <c r="L1545" s="5"/>
      <c r="M1545" s="5" t="s">
        <v>1915</v>
      </c>
      <c r="N1545" s="5" t="s">
        <v>1247</v>
      </c>
      <c r="O1545" s="5" t="s">
        <v>10697</v>
      </c>
      <c r="P1545" s="5"/>
      <c r="Q1545" s="5" t="s">
        <v>10821</v>
      </c>
    </row>
    <row r="1546" spans="2:17" x14ac:dyDescent="0.2">
      <c r="B1546" s="5" t="s">
        <v>10685</v>
      </c>
      <c r="C1546" s="6" t="s">
        <v>13589</v>
      </c>
      <c r="D1546" s="4">
        <v>1186</v>
      </c>
      <c r="E1546" s="5" t="s">
        <v>32</v>
      </c>
      <c r="F1546" s="5" t="s">
        <v>10822</v>
      </c>
      <c r="G1546" s="6" t="s">
        <v>14</v>
      </c>
      <c r="H1546" s="4">
        <v>543</v>
      </c>
      <c r="I1546" s="5" t="s">
        <v>38</v>
      </c>
      <c r="J1546" s="5" t="s">
        <v>10823</v>
      </c>
      <c r="K1546" s="5" t="s">
        <v>10824</v>
      </c>
      <c r="L1546" s="5"/>
      <c r="M1546" s="5" t="s">
        <v>1915</v>
      </c>
      <c r="N1546" s="5" t="s">
        <v>1247</v>
      </c>
      <c r="O1546" s="5" t="s">
        <v>10697</v>
      </c>
      <c r="P1546" s="5"/>
      <c r="Q1546" s="5" t="s">
        <v>10825</v>
      </c>
    </row>
    <row r="1547" spans="2:17" x14ac:dyDescent="0.2">
      <c r="B1547" s="5" t="s">
        <v>10685</v>
      </c>
      <c r="C1547" s="6" t="s">
        <v>13589</v>
      </c>
      <c r="D1547" s="4">
        <v>1187</v>
      </c>
      <c r="E1547" s="5" t="s">
        <v>32</v>
      </c>
      <c r="F1547" s="5" t="s">
        <v>10822</v>
      </c>
      <c r="G1547" s="6" t="s">
        <v>14</v>
      </c>
      <c r="H1547" s="4">
        <v>544</v>
      </c>
      <c r="I1547" s="5" t="s">
        <v>38</v>
      </c>
      <c r="J1547" s="5" t="s">
        <v>10826</v>
      </c>
      <c r="K1547" s="5" t="s">
        <v>10827</v>
      </c>
      <c r="L1547" s="5"/>
      <c r="M1547" s="5" t="s">
        <v>1915</v>
      </c>
      <c r="N1547" s="5" t="s">
        <v>1247</v>
      </c>
      <c r="O1547" s="5" t="s">
        <v>10697</v>
      </c>
      <c r="P1547" s="5"/>
      <c r="Q1547" s="5" t="s">
        <v>10828</v>
      </c>
    </row>
    <row r="1548" spans="2:17" x14ac:dyDescent="0.2">
      <c r="B1548" s="5" t="s">
        <v>10685</v>
      </c>
      <c r="C1548" s="6" t="s">
        <v>13589</v>
      </c>
      <c r="D1548" s="4">
        <v>1188</v>
      </c>
      <c r="E1548" s="5" t="s">
        <v>32</v>
      </c>
      <c r="F1548" s="5" t="s">
        <v>10822</v>
      </c>
      <c r="G1548" s="6" t="s">
        <v>14</v>
      </c>
      <c r="H1548" s="4">
        <v>545</v>
      </c>
      <c r="I1548" s="5" t="s">
        <v>38</v>
      </c>
      <c r="J1548" s="5" t="s">
        <v>10829</v>
      </c>
      <c r="K1548" s="5" t="s">
        <v>10830</v>
      </c>
      <c r="L1548" s="5"/>
      <c r="M1548" s="5" t="s">
        <v>1915</v>
      </c>
      <c r="N1548" s="5" t="s">
        <v>1247</v>
      </c>
      <c r="O1548" s="5" t="s">
        <v>10697</v>
      </c>
      <c r="P1548" s="5"/>
      <c r="Q1548" s="5" t="s">
        <v>10831</v>
      </c>
    </row>
    <row r="1549" spans="2:17" x14ac:dyDescent="0.2">
      <c r="B1549" s="5" t="s">
        <v>10685</v>
      </c>
      <c r="C1549" s="6" t="s">
        <v>13589</v>
      </c>
      <c r="D1549" s="4">
        <v>1189</v>
      </c>
      <c r="E1549" s="5" t="s">
        <v>32</v>
      </c>
      <c r="F1549" s="5" t="s">
        <v>10822</v>
      </c>
      <c r="G1549" s="6" t="s">
        <v>14</v>
      </c>
      <c r="H1549" s="4">
        <v>546</v>
      </c>
      <c r="I1549" s="5" t="s">
        <v>38</v>
      </c>
      <c r="J1549" s="5" t="s">
        <v>10832</v>
      </c>
      <c r="K1549" s="5" t="s">
        <v>10833</v>
      </c>
      <c r="L1549" s="5"/>
      <c r="M1549" s="5" t="s">
        <v>1915</v>
      </c>
      <c r="N1549" s="5" t="s">
        <v>1247</v>
      </c>
      <c r="O1549" s="5" t="s">
        <v>10697</v>
      </c>
      <c r="P1549" s="5"/>
      <c r="Q1549" s="5" t="s">
        <v>10834</v>
      </c>
    </row>
    <row r="1550" spans="2:17" x14ac:dyDescent="0.2">
      <c r="B1550" s="5" t="s">
        <v>10685</v>
      </c>
      <c r="C1550" s="6" t="s">
        <v>13589</v>
      </c>
      <c r="D1550" s="4">
        <v>1190</v>
      </c>
      <c r="E1550" s="5" t="s">
        <v>32</v>
      </c>
      <c r="F1550" s="5" t="s">
        <v>10822</v>
      </c>
      <c r="G1550" s="6" t="s">
        <v>14</v>
      </c>
      <c r="H1550" s="4">
        <v>547</v>
      </c>
      <c r="I1550" s="5" t="s">
        <v>22</v>
      </c>
      <c r="J1550" s="5" t="s">
        <v>10835</v>
      </c>
      <c r="K1550" s="5" t="s">
        <v>10833</v>
      </c>
      <c r="L1550" s="5"/>
      <c r="M1550" s="5" t="s">
        <v>1915</v>
      </c>
      <c r="N1550" s="5" t="s">
        <v>1247</v>
      </c>
      <c r="O1550" s="5" t="s">
        <v>10697</v>
      </c>
      <c r="P1550" s="5"/>
      <c r="Q1550" s="5" t="s">
        <v>10836</v>
      </c>
    </row>
    <row r="1551" spans="2:17" x14ac:dyDescent="0.2">
      <c r="B1551" s="5" t="s">
        <v>10685</v>
      </c>
      <c r="C1551" s="6" t="s">
        <v>13589</v>
      </c>
      <c r="D1551" s="4">
        <v>1192</v>
      </c>
      <c r="E1551" s="5" t="s">
        <v>32</v>
      </c>
      <c r="F1551" s="5" t="s">
        <v>10750</v>
      </c>
      <c r="G1551" s="6" t="s">
        <v>14</v>
      </c>
      <c r="H1551" s="4">
        <v>548</v>
      </c>
      <c r="I1551" s="5" t="s">
        <v>22</v>
      </c>
      <c r="J1551" s="5" t="s">
        <v>10751</v>
      </c>
      <c r="K1551" s="5" t="s">
        <v>10752</v>
      </c>
      <c r="L1551" s="5"/>
      <c r="M1551" s="5" t="s">
        <v>1915</v>
      </c>
      <c r="N1551" s="5" t="s">
        <v>1247</v>
      </c>
      <c r="O1551" s="5" t="s">
        <v>10704</v>
      </c>
      <c r="P1551" s="5"/>
      <c r="Q1551" s="5" t="s">
        <v>10837</v>
      </c>
    </row>
    <row r="1552" spans="2:17" x14ac:dyDescent="0.2">
      <c r="B1552" s="5" t="s">
        <v>10685</v>
      </c>
      <c r="C1552" s="6" t="s">
        <v>13589</v>
      </c>
      <c r="D1552" s="4">
        <v>1193</v>
      </c>
      <c r="E1552" s="5" t="s">
        <v>32</v>
      </c>
      <c r="F1552" s="5" t="s">
        <v>10750</v>
      </c>
      <c r="G1552" s="6" t="s">
        <v>14</v>
      </c>
      <c r="H1552" s="4">
        <v>549</v>
      </c>
      <c r="I1552" s="5" t="s">
        <v>38</v>
      </c>
      <c r="J1552" s="5" t="s">
        <v>10838</v>
      </c>
      <c r="K1552" s="5" t="s">
        <v>10839</v>
      </c>
      <c r="L1552" s="5"/>
      <c r="M1552" s="5" t="s">
        <v>1915</v>
      </c>
      <c r="N1552" s="5" t="s">
        <v>1247</v>
      </c>
      <c r="O1552" s="5" t="s">
        <v>10704</v>
      </c>
      <c r="P1552" s="5"/>
      <c r="Q1552" s="5" t="s">
        <v>10840</v>
      </c>
    </row>
    <row r="1553" spans="2:17" x14ac:dyDescent="0.2">
      <c r="B1553" s="5" t="s">
        <v>10685</v>
      </c>
      <c r="C1553" s="6" t="s">
        <v>13589</v>
      </c>
      <c r="D1553" s="4">
        <v>1194</v>
      </c>
      <c r="E1553" s="5" t="s">
        <v>32</v>
      </c>
      <c r="F1553" s="5" t="s">
        <v>10791</v>
      </c>
      <c r="G1553" s="6" t="s">
        <v>14</v>
      </c>
      <c r="H1553" s="4">
        <v>550</v>
      </c>
      <c r="I1553" s="5" t="s">
        <v>38</v>
      </c>
      <c r="J1553" s="5" t="s">
        <v>10792</v>
      </c>
      <c r="K1553" s="5" t="s">
        <v>10793</v>
      </c>
      <c r="L1553" s="5"/>
      <c r="M1553" s="5" t="s">
        <v>2863</v>
      </c>
      <c r="N1553" s="5" t="s">
        <v>1247</v>
      </c>
      <c r="O1553" s="5" t="s">
        <v>10704</v>
      </c>
      <c r="P1553" s="5"/>
      <c r="Q1553" s="5" t="s">
        <v>10794</v>
      </c>
    </row>
    <row r="1554" spans="2:17" x14ac:dyDescent="0.2">
      <c r="B1554" s="5" t="s">
        <v>10685</v>
      </c>
      <c r="C1554" s="6" t="s">
        <v>13589</v>
      </c>
      <c r="D1554" s="4">
        <v>1195</v>
      </c>
      <c r="E1554" s="5" t="s">
        <v>32</v>
      </c>
      <c r="F1554" s="5" t="s">
        <v>10791</v>
      </c>
      <c r="G1554" s="6" t="s">
        <v>14</v>
      </c>
      <c r="H1554" s="4">
        <v>551</v>
      </c>
      <c r="I1554" s="5" t="s">
        <v>38</v>
      </c>
      <c r="J1554" s="5" t="s">
        <v>10795</v>
      </c>
      <c r="K1554" s="5" t="s">
        <v>10796</v>
      </c>
      <c r="L1554" s="5"/>
      <c r="M1554" s="5" t="s">
        <v>2863</v>
      </c>
      <c r="N1554" s="5" t="s">
        <v>1247</v>
      </c>
      <c r="O1554" s="5" t="s">
        <v>10704</v>
      </c>
      <c r="P1554" s="5"/>
      <c r="Q1554" s="5" t="s">
        <v>10797</v>
      </c>
    </row>
    <row r="1555" spans="2:17" x14ac:dyDescent="0.2">
      <c r="B1555" s="5" t="s">
        <v>10685</v>
      </c>
      <c r="C1555" s="6" t="s">
        <v>13589</v>
      </c>
      <c r="D1555" s="4">
        <v>1196</v>
      </c>
      <c r="E1555" s="5" t="s">
        <v>56</v>
      </c>
      <c r="F1555" s="5" t="s">
        <v>10786</v>
      </c>
      <c r="G1555" s="6" t="s">
        <v>14</v>
      </c>
      <c r="H1555" s="4">
        <v>552</v>
      </c>
      <c r="I1555" s="5"/>
      <c r="J1555" s="5" t="s">
        <v>10787</v>
      </c>
      <c r="K1555" s="5" t="s">
        <v>10788</v>
      </c>
      <c r="L1555" s="5"/>
      <c r="M1555" s="5" t="s">
        <v>2555</v>
      </c>
      <c r="N1555" s="5" t="s">
        <v>2555</v>
      </c>
      <c r="O1555" s="5" t="s">
        <v>10789</v>
      </c>
      <c r="P1555" s="5"/>
      <c r="Q1555" s="5" t="s">
        <v>10790</v>
      </c>
    </row>
    <row r="1556" spans="2:17" x14ac:dyDescent="0.2">
      <c r="B1556" s="5" t="s">
        <v>10685</v>
      </c>
      <c r="C1556" s="6" t="s">
        <v>13589</v>
      </c>
      <c r="D1556" s="4">
        <v>1197</v>
      </c>
      <c r="E1556" s="5" t="s">
        <v>32</v>
      </c>
      <c r="F1556" s="5" t="s">
        <v>10757</v>
      </c>
      <c r="G1556" s="6" t="s">
        <v>14</v>
      </c>
      <c r="H1556" s="4">
        <v>553</v>
      </c>
      <c r="I1556" s="5" t="s">
        <v>22</v>
      </c>
      <c r="J1556" s="5" t="s">
        <v>10708</v>
      </c>
      <c r="K1556" s="5" t="s">
        <v>10694</v>
      </c>
      <c r="L1556" s="5"/>
      <c r="M1556" s="5" t="s">
        <v>1236</v>
      </c>
      <c r="N1556" s="5" t="s">
        <v>1236</v>
      </c>
      <c r="O1556" s="5" t="s">
        <v>10695</v>
      </c>
      <c r="P1556" s="5"/>
      <c r="Q1556" s="5" t="s">
        <v>10758</v>
      </c>
    </row>
    <row r="1557" spans="2:17" x14ac:dyDescent="0.2">
      <c r="B1557" s="5" t="s">
        <v>10685</v>
      </c>
      <c r="C1557" s="6" t="s">
        <v>13589</v>
      </c>
      <c r="D1557" s="4">
        <v>1198</v>
      </c>
      <c r="E1557" s="5" t="s">
        <v>32</v>
      </c>
      <c r="F1557" s="5" t="s">
        <v>10770</v>
      </c>
      <c r="G1557" s="6" t="s">
        <v>14</v>
      </c>
      <c r="H1557" s="4">
        <v>554</v>
      </c>
      <c r="I1557" s="5" t="s">
        <v>38</v>
      </c>
      <c r="J1557" s="5" t="s">
        <v>10771</v>
      </c>
      <c r="K1557" s="5" t="s">
        <v>10772</v>
      </c>
      <c r="L1557" s="5"/>
      <c r="M1557" s="5" t="s">
        <v>2852</v>
      </c>
      <c r="N1557" s="5" t="s">
        <v>1222</v>
      </c>
      <c r="O1557" s="5" t="s">
        <v>10690</v>
      </c>
      <c r="P1557" s="5"/>
      <c r="Q1557" s="5" t="s">
        <v>10773</v>
      </c>
    </row>
    <row r="1558" spans="2:17" x14ac:dyDescent="0.2">
      <c r="B1558" s="5" t="s">
        <v>10685</v>
      </c>
      <c r="C1558" s="6" t="s">
        <v>13589</v>
      </c>
      <c r="D1558" s="4">
        <v>1199</v>
      </c>
      <c r="E1558" s="5" t="s">
        <v>32</v>
      </c>
      <c r="F1558" s="5" t="s">
        <v>10770</v>
      </c>
      <c r="G1558" s="6" t="s">
        <v>14</v>
      </c>
      <c r="H1558" s="4">
        <v>555</v>
      </c>
      <c r="I1558" s="5" t="s">
        <v>38</v>
      </c>
      <c r="J1558" s="5" t="s">
        <v>10774</v>
      </c>
      <c r="K1558" s="5" t="s">
        <v>10775</v>
      </c>
      <c r="L1558" s="5"/>
      <c r="M1558" s="5" t="s">
        <v>2852</v>
      </c>
      <c r="N1558" s="5" t="s">
        <v>1222</v>
      </c>
      <c r="O1558" s="5" t="s">
        <v>10690</v>
      </c>
      <c r="P1558" s="5"/>
      <c r="Q1558" s="5" t="s">
        <v>10776</v>
      </c>
    </row>
    <row r="1559" spans="2:17" x14ac:dyDescent="0.2">
      <c r="B1559" s="5" t="s">
        <v>10685</v>
      </c>
      <c r="C1559" s="6" t="s">
        <v>13589</v>
      </c>
      <c r="D1559" s="4">
        <v>1200</v>
      </c>
      <c r="E1559" s="5" t="s">
        <v>32</v>
      </c>
      <c r="F1559" s="5" t="s">
        <v>10770</v>
      </c>
      <c r="G1559" s="6" t="s">
        <v>14</v>
      </c>
      <c r="H1559" s="4">
        <v>556</v>
      </c>
      <c r="I1559" s="5" t="s">
        <v>38</v>
      </c>
      <c r="J1559" s="5" t="s">
        <v>10777</v>
      </c>
      <c r="K1559" s="5" t="s">
        <v>10778</v>
      </c>
      <c r="L1559" s="5"/>
      <c r="M1559" s="5" t="s">
        <v>2852</v>
      </c>
      <c r="N1559" s="5" t="s">
        <v>1222</v>
      </c>
      <c r="O1559" s="5" t="s">
        <v>10690</v>
      </c>
      <c r="P1559" s="5"/>
      <c r="Q1559" s="5" t="s">
        <v>10779</v>
      </c>
    </row>
    <row r="1560" spans="2:17" x14ac:dyDescent="0.2">
      <c r="B1560" s="5" t="s">
        <v>10685</v>
      </c>
      <c r="C1560" s="6" t="s">
        <v>13589</v>
      </c>
      <c r="D1560" s="4">
        <v>1201</v>
      </c>
      <c r="E1560" s="5" t="s">
        <v>32</v>
      </c>
      <c r="F1560" s="5" t="s">
        <v>10770</v>
      </c>
      <c r="G1560" s="6" t="s">
        <v>14</v>
      </c>
      <c r="H1560" s="4">
        <v>557</v>
      </c>
      <c r="I1560" s="5" t="s">
        <v>38</v>
      </c>
      <c r="J1560" s="5" t="s">
        <v>10780</v>
      </c>
      <c r="K1560" s="5" t="s">
        <v>10781</v>
      </c>
      <c r="L1560" s="5"/>
      <c r="M1560" s="5" t="s">
        <v>2852</v>
      </c>
      <c r="N1560" s="5" t="s">
        <v>1222</v>
      </c>
      <c r="O1560" s="5" t="s">
        <v>10690</v>
      </c>
      <c r="P1560" s="5"/>
      <c r="Q1560" s="5" t="s">
        <v>10782</v>
      </c>
    </row>
    <row r="1561" spans="2:17" x14ac:dyDescent="0.2">
      <c r="B1561" s="5" t="s">
        <v>10685</v>
      </c>
      <c r="C1561" s="6" t="s">
        <v>13589</v>
      </c>
      <c r="D1561" s="4">
        <v>1202</v>
      </c>
      <c r="E1561" s="5" t="s">
        <v>32</v>
      </c>
      <c r="F1561" s="5" t="s">
        <v>10770</v>
      </c>
      <c r="G1561" s="6" t="s">
        <v>14</v>
      </c>
      <c r="H1561" s="4">
        <v>558</v>
      </c>
      <c r="I1561" s="5" t="s">
        <v>38</v>
      </c>
      <c r="J1561" s="5" t="s">
        <v>10783</v>
      </c>
      <c r="K1561" s="5" t="s">
        <v>10784</v>
      </c>
      <c r="L1561" s="5"/>
      <c r="M1561" s="5" t="s">
        <v>2852</v>
      </c>
      <c r="N1561" s="5" t="s">
        <v>1222</v>
      </c>
      <c r="O1561" s="5" t="s">
        <v>10690</v>
      </c>
      <c r="P1561" s="5"/>
      <c r="Q1561" s="5" t="s">
        <v>10785</v>
      </c>
    </row>
    <row r="1562" spans="2:17" x14ac:dyDescent="0.2">
      <c r="B1562" s="5" t="s">
        <v>10685</v>
      </c>
      <c r="C1562" s="6" t="s">
        <v>13589</v>
      </c>
      <c r="D1562" s="4">
        <v>1204</v>
      </c>
      <c r="E1562" s="5" t="s">
        <v>82</v>
      </c>
      <c r="F1562" s="5" t="s">
        <v>10754</v>
      </c>
      <c r="G1562" s="6" t="s">
        <v>14</v>
      </c>
      <c r="H1562" s="4">
        <v>559</v>
      </c>
      <c r="I1562" s="5"/>
      <c r="J1562" s="5" t="s">
        <v>10755</v>
      </c>
      <c r="K1562" s="5" t="s">
        <v>10706</v>
      </c>
      <c r="L1562" s="5"/>
      <c r="M1562" s="5" t="s">
        <v>1230</v>
      </c>
      <c r="N1562" s="5" t="s">
        <v>1222</v>
      </c>
      <c r="O1562" s="5" t="s">
        <v>10695</v>
      </c>
      <c r="P1562" s="5"/>
      <c r="Q1562" s="5" t="s">
        <v>10756</v>
      </c>
    </row>
    <row r="1563" spans="2:17" x14ac:dyDescent="0.2">
      <c r="B1563" s="5" t="s">
        <v>10685</v>
      </c>
      <c r="C1563" s="6" t="s">
        <v>13589</v>
      </c>
      <c r="D1563" s="4">
        <v>1205</v>
      </c>
      <c r="E1563" s="5" t="s">
        <v>32</v>
      </c>
      <c r="F1563" s="5" t="s">
        <v>10745</v>
      </c>
      <c r="G1563" s="6" t="s">
        <v>14</v>
      </c>
      <c r="H1563" s="4">
        <v>560</v>
      </c>
      <c r="I1563" s="5" t="s">
        <v>22</v>
      </c>
      <c r="J1563" s="5" t="s">
        <v>10746</v>
      </c>
      <c r="K1563" s="5" t="s">
        <v>10747</v>
      </c>
      <c r="L1563" s="5"/>
      <c r="M1563" s="5" t="s">
        <v>1230</v>
      </c>
      <c r="N1563" s="5" t="s">
        <v>1222</v>
      </c>
      <c r="O1563" s="5" t="s">
        <v>10748</v>
      </c>
      <c r="P1563" s="5"/>
      <c r="Q1563" s="5" t="s">
        <v>10749</v>
      </c>
    </row>
    <row r="1564" spans="2:17" x14ac:dyDescent="0.2">
      <c r="B1564" s="5" t="s">
        <v>10685</v>
      </c>
      <c r="C1564" s="6" t="s">
        <v>13589</v>
      </c>
      <c r="D1564" s="4">
        <v>1206</v>
      </c>
      <c r="E1564" s="5" t="s">
        <v>32</v>
      </c>
      <c r="F1564" s="5" t="s">
        <v>6822</v>
      </c>
      <c r="G1564" s="6" t="s">
        <v>14</v>
      </c>
      <c r="H1564" s="4">
        <v>561</v>
      </c>
      <c r="I1564" s="5" t="s">
        <v>22</v>
      </c>
      <c r="J1564" s="5" t="s">
        <v>10764</v>
      </c>
      <c r="K1564" s="5" t="s">
        <v>10765</v>
      </c>
      <c r="L1564" s="5"/>
      <c r="M1564" s="5" t="s">
        <v>2852</v>
      </c>
      <c r="N1564" s="5" t="s">
        <v>1222</v>
      </c>
      <c r="O1564" s="5" t="s">
        <v>10695</v>
      </c>
      <c r="P1564" s="5"/>
      <c r="Q1564" s="5" t="s">
        <v>10766</v>
      </c>
    </row>
    <row r="1565" spans="2:17" x14ac:dyDescent="0.2">
      <c r="B1565" s="5" t="s">
        <v>10685</v>
      </c>
      <c r="C1565" s="6" t="s">
        <v>13589</v>
      </c>
      <c r="D1565" s="4">
        <v>1207</v>
      </c>
      <c r="E1565" s="5" t="s">
        <v>32</v>
      </c>
      <c r="F1565" s="5" t="s">
        <v>6822</v>
      </c>
      <c r="G1565" s="6" t="s">
        <v>14</v>
      </c>
      <c r="H1565" s="4">
        <v>562</v>
      </c>
      <c r="I1565" s="5" t="s">
        <v>38</v>
      </c>
      <c r="J1565" s="5" t="s">
        <v>10767</v>
      </c>
      <c r="K1565" s="5" t="s">
        <v>10768</v>
      </c>
      <c r="L1565" s="5"/>
      <c r="M1565" s="5" t="s">
        <v>2852</v>
      </c>
      <c r="N1565" s="5" t="s">
        <v>1222</v>
      </c>
      <c r="O1565" s="5" t="s">
        <v>10695</v>
      </c>
      <c r="P1565" s="5"/>
      <c r="Q1565" s="5" t="s">
        <v>10769</v>
      </c>
    </row>
    <row r="1566" spans="2:17" x14ac:dyDescent="0.2">
      <c r="B1566" s="5" t="s">
        <v>10685</v>
      </c>
      <c r="C1566" s="6" t="s">
        <v>13589</v>
      </c>
      <c r="D1566" s="4">
        <v>1208</v>
      </c>
      <c r="E1566" s="5" t="s">
        <v>32</v>
      </c>
      <c r="F1566" s="5" t="s">
        <v>10731</v>
      </c>
      <c r="G1566" s="6" t="s">
        <v>14</v>
      </c>
      <c r="H1566" s="4">
        <v>563</v>
      </c>
      <c r="I1566" s="5" t="s">
        <v>38</v>
      </c>
      <c r="J1566" s="5" t="s">
        <v>10732</v>
      </c>
      <c r="K1566" s="5" t="s">
        <v>10733</v>
      </c>
      <c r="L1566" s="5"/>
      <c r="M1566" s="5" t="s">
        <v>1230</v>
      </c>
      <c r="N1566" s="5" t="s">
        <v>1222</v>
      </c>
      <c r="O1566" s="5" t="s">
        <v>10734</v>
      </c>
      <c r="P1566" s="5"/>
      <c r="Q1566" s="5" t="s">
        <v>10735</v>
      </c>
    </row>
    <row r="1567" spans="2:17" x14ac:dyDescent="0.2">
      <c r="B1567" s="5" t="s">
        <v>10685</v>
      </c>
      <c r="C1567" s="6" t="s">
        <v>13589</v>
      </c>
      <c r="D1567" s="4">
        <v>1209</v>
      </c>
      <c r="E1567" s="5" t="s">
        <v>32</v>
      </c>
      <c r="F1567" s="5" t="s">
        <v>10736</v>
      </c>
      <c r="G1567" s="6" t="s">
        <v>14</v>
      </c>
      <c r="H1567" s="4">
        <v>564</v>
      </c>
      <c r="I1567" s="5" t="s">
        <v>38</v>
      </c>
      <c r="J1567" s="5" t="s">
        <v>10737</v>
      </c>
      <c r="K1567" s="5" t="s">
        <v>10738</v>
      </c>
      <c r="L1567" s="5"/>
      <c r="M1567" s="5" t="s">
        <v>1230</v>
      </c>
      <c r="N1567" s="5" t="s">
        <v>1222</v>
      </c>
      <c r="O1567" s="5" t="s">
        <v>10739</v>
      </c>
      <c r="P1567" s="5"/>
      <c r="Q1567" s="5" t="s">
        <v>10740</v>
      </c>
    </row>
    <row r="1568" spans="2:17" x14ac:dyDescent="0.2">
      <c r="B1568" s="5" t="s">
        <v>10685</v>
      </c>
      <c r="C1568" s="6" t="s">
        <v>13589</v>
      </c>
      <c r="D1568" s="4">
        <v>1210</v>
      </c>
      <c r="E1568" s="5" t="s">
        <v>32</v>
      </c>
      <c r="F1568" s="5" t="s">
        <v>10741</v>
      </c>
      <c r="G1568" s="6" t="s">
        <v>14</v>
      </c>
      <c r="H1568" s="4">
        <v>565</v>
      </c>
      <c r="I1568" s="5" t="s">
        <v>38</v>
      </c>
      <c r="J1568" s="5" t="s">
        <v>10742</v>
      </c>
      <c r="K1568" s="5" t="s">
        <v>10743</v>
      </c>
      <c r="L1568" s="5"/>
      <c r="M1568" s="5" t="s">
        <v>1230</v>
      </c>
      <c r="N1568" s="5" t="s">
        <v>1222</v>
      </c>
      <c r="O1568" s="5" t="s">
        <v>10739</v>
      </c>
      <c r="P1568" s="5"/>
      <c r="Q1568" s="5" t="s">
        <v>10744</v>
      </c>
    </row>
    <row r="1569" spans="2:17" x14ac:dyDescent="0.2">
      <c r="B1569" s="5" t="s">
        <v>10685</v>
      </c>
      <c r="C1569" s="6" t="s">
        <v>13589</v>
      </c>
      <c r="D1569" s="4">
        <v>1211</v>
      </c>
      <c r="E1569" s="5" t="s">
        <v>32</v>
      </c>
      <c r="F1569" s="5" t="s">
        <v>10750</v>
      </c>
      <c r="G1569" s="6" t="s">
        <v>14</v>
      </c>
      <c r="H1569" s="4">
        <v>566</v>
      </c>
      <c r="I1569" s="5" t="s">
        <v>22</v>
      </c>
      <c r="J1569" s="5" t="s">
        <v>10751</v>
      </c>
      <c r="K1569" s="5" t="s">
        <v>10752</v>
      </c>
      <c r="L1569" s="5"/>
      <c r="M1569" s="5" t="s">
        <v>1230</v>
      </c>
      <c r="N1569" s="5" t="s">
        <v>1222</v>
      </c>
      <c r="O1569" s="5" t="s">
        <v>10704</v>
      </c>
      <c r="P1569" s="5"/>
      <c r="Q1569" s="5" t="s">
        <v>10753</v>
      </c>
    </row>
    <row r="1570" spans="2:17" x14ac:dyDescent="0.2">
      <c r="B1570" s="5" t="s">
        <v>10685</v>
      </c>
      <c r="C1570" s="6" t="s">
        <v>13589</v>
      </c>
      <c r="D1570" s="4">
        <v>1212</v>
      </c>
      <c r="E1570" s="5" t="s">
        <v>32</v>
      </c>
      <c r="F1570" s="5" t="s">
        <v>10759</v>
      </c>
      <c r="G1570" s="6" t="s">
        <v>14</v>
      </c>
      <c r="H1570" s="4">
        <v>567</v>
      </c>
      <c r="I1570" s="5" t="s">
        <v>38</v>
      </c>
      <c r="J1570" s="5" t="s">
        <v>10760</v>
      </c>
      <c r="K1570" s="5" t="s">
        <v>10761</v>
      </c>
      <c r="L1570" s="5" t="s">
        <v>10762</v>
      </c>
      <c r="M1570" s="5" t="s">
        <v>1236</v>
      </c>
      <c r="N1570" s="5" t="s">
        <v>1222</v>
      </c>
      <c r="O1570" s="5" t="s">
        <v>10695</v>
      </c>
      <c r="P1570" s="5"/>
      <c r="Q1570" s="5" t="s">
        <v>10763</v>
      </c>
    </row>
    <row r="1571" spans="2:17" x14ac:dyDescent="0.2">
      <c r="B1571" s="5" t="s">
        <v>10685</v>
      </c>
      <c r="C1571" s="6" t="s">
        <v>13589</v>
      </c>
      <c r="D1571" s="4">
        <v>1217</v>
      </c>
      <c r="E1571" s="5" t="s">
        <v>32</v>
      </c>
      <c r="F1571" s="5" t="s">
        <v>10686</v>
      </c>
      <c r="G1571" s="6" t="s">
        <v>14</v>
      </c>
      <c r="H1571" s="4">
        <v>568</v>
      </c>
      <c r="I1571" s="5" t="s">
        <v>38</v>
      </c>
      <c r="J1571" s="5" t="s">
        <v>10687</v>
      </c>
      <c r="K1571" s="5" t="s">
        <v>10688</v>
      </c>
      <c r="L1571" s="5"/>
      <c r="M1571" s="5" t="s">
        <v>10689</v>
      </c>
      <c r="N1571" s="5" t="s">
        <v>1723</v>
      </c>
      <c r="O1571" s="5" t="s">
        <v>10690</v>
      </c>
      <c r="P1571" s="5"/>
      <c r="Q1571" s="5" t="s">
        <v>10691</v>
      </c>
    </row>
    <row r="1572" spans="2:17" x14ac:dyDescent="0.2">
      <c r="B1572" s="5" t="s">
        <v>10685</v>
      </c>
      <c r="C1572" s="6" t="s">
        <v>13589</v>
      </c>
      <c r="D1572" s="4">
        <v>1218</v>
      </c>
      <c r="E1572" s="5" t="s">
        <v>32</v>
      </c>
      <c r="F1572" s="5" t="s">
        <v>10686</v>
      </c>
      <c r="G1572" s="6" t="s">
        <v>14</v>
      </c>
      <c r="H1572" s="4">
        <v>569</v>
      </c>
      <c r="I1572" s="5" t="s">
        <v>38</v>
      </c>
      <c r="J1572" s="5" t="s">
        <v>10719</v>
      </c>
      <c r="K1572" s="5" t="s">
        <v>10720</v>
      </c>
      <c r="L1572" s="5"/>
      <c r="M1572" s="5" t="s">
        <v>1218</v>
      </c>
      <c r="N1572" s="5" t="s">
        <v>1723</v>
      </c>
      <c r="O1572" s="5" t="s">
        <v>10690</v>
      </c>
      <c r="P1572" s="5"/>
      <c r="Q1572" s="5" t="s">
        <v>10721</v>
      </c>
    </row>
    <row r="1573" spans="2:17" x14ac:dyDescent="0.2">
      <c r="B1573" s="5" t="s">
        <v>10685</v>
      </c>
      <c r="C1573" s="6" t="s">
        <v>13589</v>
      </c>
      <c r="D1573" s="4">
        <v>1219</v>
      </c>
      <c r="E1573" s="5" t="s">
        <v>32</v>
      </c>
      <c r="F1573" s="5" t="s">
        <v>10686</v>
      </c>
      <c r="G1573" s="6" t="s">
        <v>14</v>
      </c>
      <c r="H1573" s="4">
        <v>570</v>
      </c>
      <c r="I1573" s="5" t="s">
        <v>38</v>
      </c>
      <c r="J1573" s="5" t="s">
        <v>10722</v>
      </c>
      <c r="K1573" s="5" t="s">
        <v>10723</v>
      </c>
      <c r="L1573" s="5"/>
      <c r="M1573" s="5" t="s">
        <v>1218</v>
      </c>
      <c r="N1573" s="5" t="s">
        <v>1723</v>
      </c>
      <c r="O1573" s="5" t="s">
        <v>10690</v>
      </c>
      <c r="P1573" s="5"/>
      <c r="Q1573" s="5" t="s">
        <v>10724</v>
      </c>
    </row>
    <row r="1574" spans="2:17" x14ac:dyDescent="0.2">
      <c r="B1574" s="5" t="s">
        <v>10685</v>
      </c>
      <c r="C1574" s="6" t="s">
        <v>13589</v>
      </c>
      <c r="D1574" s="4">
        <v>1220</v>
      </c>
      <c r="E1574" s="5" t="s">
        <v>13</v>
      </c>
      <c r="F1574" s="5" t="s">
        <v>10715</v>
      </c>
      <c r="G1574" s="6" t="s">
        <v>14</v>
      </c>
      <c r="H1574" s="4">
        <v>571</v>
      </c>
      <c r="I1574" s="5"/>
      <c r="J1574" s="5" t="s">
        <v>10996</v>
      </c>
      <c r="K1574" s="5" t="s">
        <v>10793</v>
      </c>
      <c r="L1574" s="5"/>
      <c r="M1574" s="5" t="s">
        <v>400</v>
      </c>
      <c r="N1574" s="5" t="s">
        <v>400</v>
      </c>
      <c r="O1574" s="5" t="s">
        <v>10929</v>
      </c>
      <c r="P1574" s="5"/>
      <c r="Q1574" s="5" t="s">
        <v>10997</v>
      </c>
    </row>
    <row r="1575" spans="2:17" x14ac:dyDescent="0.2">
      <c r="B1575" s="5" t="s">
        <v>10685</v>
      </c>
      <c r="C1575" s="6" t="s">
        <v>13589</v>
      </c>
      <c r="D1575" s="4">
        <v>1221</v>
      </c>
      <c r="E1575" s="5" t="s">
        <v>13</v>
      </c>
      <c r="F1575" s="5" t="s">
        <v>10715</v>
      </c>
      <c r="G1575" s="6" t="s">
        <v>14</v>
      </c>
      <c r="H1575" s="4">
        <v>572</v>
      </c>
      <c r="I1575" s="5"/>
      <c r="J1575" s="5" t="s">
        <v>10716</v>
      </c>
      <c r="K1575" s="5" t="s">
        <v>10717</v>
      </c>
      <c r="L1575" s="5"/>
      <c r="M1575" s="5" t="s">
        <v>1207</v>
      </c>
      <c r="N1575" s="5" t="s">
        <v>1207</v>
      </c>
      <c r="O1575" s="5" t="s">
        <v>10697</v>
      </c>
      <c r="P1575" s="5"/>
      <c r="Q1575" s="5" t="s">
        <v>10718</v>
      </c>
    </row>
    <row r="1576" spans="2:17" x14ac:dyDescent="0.2">
      <c r="B1576" s="5" t="s">
        <v>10685</v>
      </c>
      <c r="C1576" s="6" t="s">
        <v>13589</v>
      </c>
      <c r="D1576" s="4">
        <v>1222</v>
      </c>
      <c r="E1576" s="5" t="s">
        <v>20</v>
      </c>
      <c r="F1576" s="5" t="s">
        <v>11079</v>
      </c>
      <c r="G1576" s="6" t="s">
        <v>14</v>
      </c>
      <c r="H1576" s="4">
        <v>573</v>
      </c>
      <c r="I1576" s="5" t="s">
        <v>22</v>
      </c>
      <c r="J1576" s="5" t="s">
        <v>11080</v>
      </c>
      <c r="K1576" s="5" t="s">
        <v>4983</v>
      </c>
      <c r="L1576" s="5"/>
      <c r="M1576" s="5" t="s">
        <v>3537</v>
      </c>
      <c r="N1576" s="5" t="s">
        <v>3537</v>
      </c>
      <c r="O1576" s="5" t="s">
        <v>10690</v>
      </c>
      <c r="P1576" s="5"/>
      <c r="Q1576" s="5" t="s">
        <v>11081</v>
      </c>
    </row>
    <row r="1577" spans="2:17" x14ac:dyDescent="0.2">
      <c r="B1577" s="5" t="s">
        <v>10685</v>
      </c>
      <c r="C1577" s="6" t="s">
        <v>13589</v>
      </c>
      <c r="D1577" s="4">
        <v>1224</v>
      </c>
      <c r="E1577" s="5" t="s">
        <v>24</v>
      </c>
      <c r="F1577" s="5" t="s">
        <v>10713</v>
      </c>
      <c r="G1577" s="6" t="s">
        <v>14</v>
      </c>
      <c r="H1577" s="4">
        <v>574</v>
      </c>
      <c r="I1577" s="5"/>
      <c r="J1577" s="5" t="s">
        <v>10702</v>
      </c>
      <c r="K1577" s="5" t="s">
        <v>10703</v>
      </c>
      <c r="L1577" s="5"/>
      <c r="M1577" s="5" t="s">
        <v>1201</v>
      </c>
      <c r="N1577" s="5" t="s">
        <v>1201</v>
      </c>
      <c r="O1577" s="5" t="s">
        <v>10704</v>
      </c>
      <c r="P1577" s="5"/>
      <c r="Q1577" s="5" t="s">
        <v>10714</v>
      </c>
    </row>
    <row r="1578" spans="2:17" x14ac:dyDescent="0.2">
      <c r="B1578" s="5" t="s">
        <v>10685</v>
      </c>
      <c r="C1578" s="6" t="s">
        <v>13589</v>
      </c>
      <c r="D1578" s="4">
        <v>1225</v>
      </c>
      <c r="E1578" s="5" t="s">
        <v>15</v>
      </c>
      <c r="F1578" s="5" t="s">
        <v>11045</v>
      </c>
      <c r="G1578" s="6" t="s">
        <v>14</v>
      </c>
      <c r="H1578" s="4">
        <v>575</v>
      </c>
      <c r="I1578" s="5"/>
      <c r="J1578" s="5" t="s">
        <v>11046</v>
      </c>
      <c r="K1578" s="5" t="s">
        <v>11047</v>
      </c>
      <c r="L1578" s="5"/>
      <c r="M1578" s="5" t="s">
        <v>1658</v>
      </c>
      <c r="N1578" s="5" t="s">
        <v>1658</v>
      </c>
      <c r="O1578" s="5" t="s">
        <v>10739</v>
      </c>
      <c r="P1578" s="5"/>
      <c r="Q1578" s="5" t="s">
        <v>11048</v>
      </c>
    </row>
    <row r="1579" spans="2:17" x14ac:dyDescent="0.2">
      <c r="B1579" s="5" t="s">
        <v>10685</v>
      </c>
      <c r="C1579" s="6" t="s">
        <v>13589</v>
      </c>
      <c r="D1579" s="4">
        <v>1226</v>
      </c>
      <c r="E1579" s="5" t="s">
        <v>32</v>
      </c>
      <c r="F1579" s="5" t="s">
        <v>10709</v>
      </c>
      <c r="G1579" s="6" t="s">
        <v>14</v>
      </c>
      <c r="H1579" s="4">
        <v>576</v>
      </c>
      <c r="I1579" s="5" t="s">
        <v>38</v>
      </c>
      <c r="J1579" s="5" t="s">
        <v>10710</v>
      </c>
      <c r="K1579" s="5" t="s">
        <v>10711</v>
      </c>
      <c r="L1579" s="5"/>
      <c r="M1579" s="5" t="s">
        <v>2807</v>
      </c>
      <c r="N1579" s="5" t="s">
        <v>3998</v>
      </c>
      <c r="O1579" s="5" t="s">
        <v>10697</v>
      </c>
      <c r="P1579" s="5"/>
      <c r="Q1579" s="5" t="s">
        <v>10712</v>
      </c>
    </row>
    <row r="1580" spans="2:17" x14ac:dyDescent="0.2">
      <c r="B1580" s="5" t="s">
        <v>10685</v>
      </c>
      <c r="C1580" s="6" t="s">
        <v>13589</v>
      </c>
      <c r="D1580" s="4">
        <v>1227</v>
      </c>
      <c r="E1580" s="5" t="s">
        <v>13</v>
      </c>
      <c r="F1580" s="5" t="s">
        <v>10715</v>
      </c>
      <c r="G1580" s="6" t="s">
        <v>14</v>
      </c>
      <c r="H1580" s="4">
        <v>577</v>
      </c>
      <c r="I1580" s="5"/>
      <c r="J1580" s="5" t="s">
        <v>10991</v>
      </c>
      <c r="K1580" s="5" t="s">
        <v>10747</v>
      </c>
      <c r="L1580" s="5"/>
      <c r="M1580" s="5" t="s">
        <v>122</v>
      </c>
      <c r="N1580" s="5" t="s">
        <v>122</v>
      </c>
      <c r="O1580" s="5" t="s">
        <v>10929</v>
      </c>
      <c r="P1580" s="5"/>
      <c r="Q1580" s="5" t="s">
        <v>10992</v>
      </c>
    </row>
    <row r="1581" spans="2:17" x14ac:dyDescent="0.2">
      <c r="B1581" s="5" t="s">
        <v>10685</v>
      </c>
      <c r="C1581" s="6" t="s">
        <v>13589</v>
      </c>
      <c r="D1581" s="4">
        <v>1229</v>
      </c>
      <c r="E1581" s="5" t="s">
        <v>32</v>
      </c>
      <c r="F1581" s="5" t="s">
        <v>10984</v>
      </c>
      <c r="G1581" s="6" t="s">
        <v>14</v>
      </c>
      <c r="H1581" s="4">
        <v>578</v>
      </c>
      <c r="I1581" s="5" t="s">
        <v>22</v>
      </c>
      <c r="J1581" s="5" t="s">
        <v>10985</v>
      </c>
      <c r="K1581" s="5" t="s">
        <v>10986</v>
      </c>
      <c r="L1581" s="5"/>
      <c r="M1581" s="5" t="s">
        <v>359</v>
      </c>
      <c r="N1581" s="5" t="s">
        <v>351</v>
      </c>
      <c r="O1581" s="5" t="s">
        <v>10690</v>
      </c>
      <c r="P1581" s="5"/>
      <c r="Q1581" s="5" t="s">
        <v>10987</v>
      </c>
    </row>
    <row r="1582" spans="2:17" x14ac:dyDescent="0.2">
      <c r="B1582" s="5" t="s">
        <v>10685</v>
      </c>
      <c r="C1582" s="6" t="s">
        <v>13589</v>
      </c>
      <c r="D1582" s="4">
        <v>1230</v>
      </c>
      <c r="E1582" s="5" t="s">
        <v>32</v>
      </c>
      <c r="F1582" s="5" t="s">
        <v>7017</v>
      </c>
      <c r="G1582" s="6" t="s">
        <v>14</v>
      </c>
      <c r="H1582" s="4">
        <v>579</v>
      </c>
      <c r="I1582" s="5" t="s">
        <v>22</v>
      </c>
      <c r="J1582" s="5" t="s">
        <v>10979</v>
      </c>
      <c r="K1582" s="5" t="s">
        <v>10761</v>
      </c>
      <c r="L1582" s="5" t="s">
        <v>10906</v>
      </c>
      <c r="M1582" s="5" t="s">
        <v>359</v>
      </c>
      <c r="N1582" s="5" t="s">
        <v>351</v>
      </c>
      <c r="O1582" s="5" t="s">
        <v>10690</v>
      </c>
      <c r="P1582" s="5"/>
      <c r="Q1582" s="5" t="s">
        <v>10980</v>
      </c>
    </row>
    <row r="1583" spans="2:17" x14ac:dyDescent="0.2">
      <c r="B1583" s="5" t="s">
        <v>10685</v>
      </c>
      <c r="C1583" s="6" t="s">
        <v>13589</v>
      </c>
      <c r="D1583" s="4">
        <v>1231</v>
      </c>
      <c r="E1583" s="5" t="s">
        <v>13</v>
      </c>
      <c r="F1583" s="5" t="s">
        <v>10974</v>
      </c>
      <c r="G1583" s="6" t="s">
        <v>14</v>
      </c>
      <c r="H1583" s="4">
        <v>580</v>
      </c>
      <c r="I1583" s="5"/>
      <c r="J1583" s="5" t="s">
        <v>10975</v>
      </c>
      <c r="K1583" s="5" t="s">
        <v>10976</v>
      </c>
      <c r="L1583" s="5"/>
      <c r="M1583" s="5" t="s">
        <v>1470</v>
      </c>
      <c r="N1583" s="5" t="s">
        <v>1470</v>
      </c>
      <c r="O1583" s="5" t="s">
        <v>10977</v>
      </c>
      <c r="P1583" s="5"/>
      <c r="Q1583" s="5" t="s">
        <v>10978</v>
      </c>
    </row>
    <row r="1584" spans="2:17" x14ac:dyDescent="0.2">
      <c r="B1584" s="5" t="s">
        <v>10685</v>
      </c>
      <c r="C1584" s="6" t="s">
        <v>13589</v>
      </c>
      <c r="D1584" s="4">
        <v>1232</v>
      </c>
      <c r="E1584" s="5" t="s">
        <v>32</v>
      </c>
      <c r="F1584" s="5" t="s">
        <v>7017</v>
      </c>
      <c r="G1584" s="6" t="s">
        <v>14</v>
      </c>
      <c r="H1584" s="4">
        <v>581</v>
      </c>
      <c r="I1584" s="5" t="s">
        <v>38</v>
      </c>
      <c r="J1584" s="5" t="s">
        <v>10981</v>
      </c>
      <c r="K1584" s="5" t="s">
        <v>10761</v>
      </c>
      <c r="L1584" s="5" t="s">
        <v>10982</v>
      </c>
      <c r="M1584" s="5" t="s">
        <v>359</v>
      </c>
      <c r="N1584" s="5" t="s">
        <v>1470</v>
      </c>
      <c r="O1584" s="5" t="s">
        <v>10690</v>
      </c>
      <c r="P1584" s="5"/>
      <c r="Q1584" s="5" t="s">
        <v>10983</v>
      </c>
    </row>
    <row r="1585" spans="2:17" x14ac:dyDescent="0.2">
      <c r="B1585" s="5" t="s">
        <v>11086</v>
      </c>
      <c r="C1585" s="6" t="s">
        <v>13589</v>
      </c>
      <c r="D1585" s="4">
        <v>1234</v>
      </c>
      <c r="E1585" s="5" t="s">
        <v>32</v>
      </c>
      <c r="F1585" s="5" t="s">
        <v>11345</v>
      </c>
      <c r="G1585" s="6" t="s">
        <v>14</v>
      </c>
      <c r="H1585" s="4">
        <v>582</v>
      </c>
      <c r="I1585" s="5" t="s">
        <v>22</v>
      </c>
      <c r="J1585" s="5" t="s">
        <v>11346</v>
      </c>
      <c r="K1585" s="5" t="s">
        <v>11347</v>
      </c>
      <c r="L1585" s="5" t="s">
        <v>11348</v>
      </c>
      <c r="M1585" s="5" t="s">
        <v>3906</v>
      </c>
      <c r="N1585" s="5" t="s">
        <v>3906</v>
      </c>
      <c r="O1585" s="5" t="s">
        <v>11089</v>
      </c>
      <c r="P1585" s="5"/>
      <c r="Q1585" s="5" t="s">
        <v>11349</v>
      </c>
    </row>
    <row r="1586" spans="2:17" x14ac:dyDescent="0.2">
      <c r="B1586" s="5" t="s">
        <v>11086</v>
      </c>
      <c r="C1586" s="6" t="s">
        <v>13589</v>
      </c>
      <c r="D1586" s="4">
        <v>1261</v>
      </c>
      <c r="E1586" s="5" t="s">
        <v>13</v>
      </c>
      <c r="F1586" s="5" t="s">
        <v>11247</v>
      </c>
      <c r="G1586" s="6" t="s">
        <v>14</v>
      </c>
      <c r="H1586" s="4">
        <v>583</v>
      </c>
      <c r="I1586" s="5"/>
      <c r="J1586" s="5" t="s">
        <v>11248</v>
      </c>
      <c r="K1586" s="5" t="s">
        <v>11177</v>
      </c>
      <c r="L1586" s="5"/>
      <c r="M1586" s="5" t="s">
        <v>1365</v>
      </c>
      <c r="N1586" s="5" t="s">
        <v>1365</v>
      </c>
      <c r="O1586" s="5" t="s">
        <v>11089</v>
      </c>
      <c r="P1586" s="5"/>
      <c r="Q1586" s="5" t="s">
        <v>11249</v>
      </c>
    </row>
    <row r="1587" spans="2:17" x14ac:dyDescent="0.2">
      <c r="B1587" s="5" t="s">
        <v>11086</v>
      </c>
      <c r="C1587" s="6" t="s">
        <v>13589</v>
      </c>
      <c r="D1587" s="4">
        <v>1262</v>
      </c>
      <c r="E1587" s="5" t="s">
        <v>32</v>
      </c>
      <c r="F1587" s="5" t="s">
        <v>309</v>
      </c>
      <c r="G1587" s="6" t="s">
        <v>14</v>
      </c>
      <c r="H1587" s="4">
        <v>584</v>
      </c>
      <c r="I1587" s="5" t="s">
        <v>22</v>
      </c>
      <c r="J1587" s="5" t="s">
        <v>11225</v>
      </c>
      <c r="K1587" s="5" t="s">
        <v>11177</v>
      </c>
      <c r="L1587" s="5"/>
      <c r="M1587" s="5" t="s">
        <v>301</v>
      </c>
      <c r="N1587" s="5" t="s">
        <v>307</v>
      </c>
      <c r="O1587" s="5" t="s">
        <v>11089</v>
      </c>
      <c r="P1587" s="5"/>
      <c r="Q1587" s="5" t="s">
        <v>11226</v>
      </c>
    </row>
    <row r="1588" spans="2:17" x14ac:dyDescent="0.2">
      <c r="B1588" s="5" t="s">
        <v>11086</v>
      </c>
      <c r="C1588" s="6" t="s">
        <v>13589</v>
      </c>
      <c r="D1588" s="4">
        <v>1263</v>
      </c>
      <c r="E1588" s="5" t="s">
        <v>32</v>
      </c>
      <c r="F1588" s="5" t="s">
        <v>309</v>
      </c>
      <c r="G1588" s="6" t="s">
        <v>14</v>
      </c>
      <c r="H1588" s="4">
        <v>585</v>
      </c>
      <c r="I1588" s="5" t="s">
        <v>22</v>
      </c>
      <c r="J1588" s="5" t="s">
        <v>11221</v>
      </c>
      <c r="K1588" s="5" t="s">
        <v>11222</v>
      </c>
      <c r="L1588" s="5" t="s">
        <v>11223</v>
      </c>
      <c r="M1588" s="5" t="s">
        <v>301</v>
      </c>
      <c r="N1588" s="5" t="s">
        <v>307</v>
      </c>
      <c r="O1588" s="5" t="s">
        <v>11089</v>
      </c>
      <c r="P1588" s="5"/>
      <c r="Q1588" s="5" t="s">
        <v>11224</v>
      </c>
    </row>
    <row r="1589" spans="2:17" x14ac:dyDescent="0.2">
      <c r="B1589" s="5" t="s">
        <v>11086</v>
      </c>
      <c r="C1589" s="6" t="s">
        <v>13589</v>
      </c>
      <c r="D1589" s="4">
        <v>1264</v>
      </c>
      <c r="E1589" s="5" t="s">
        <v>32</v>
      </c>
      <c r="F1589" s="5" t="s">
        <v>309</v>
      </c>
      <c r="G1589" s="6" t="s">
        <v>14</v>
      </c>
      <c r="H1589" s="4">
        <v>586</v>
      </c>
      <c r="I1589" s="5" t="s">
        <v>22</v>
      </c>
      <c r="J1589" s="5" t="s">
        <v>11227</v>
      </c>
      <c r="K1589" s="5" t="s">
        <v>11228</v>
      </c>
      <c r="L1589" s="5" t="s">
        <v>11229</v>
      </c>
      <c r="M1589" s="5" t="s">
        <v>301</v>
      </c>
      <c r="N1589" s="5" t="s">
        <v>307</v>
      </c>
      <c r="O1589" s="5" t="s">
        <v>11089</v>
      </c>
      <c r="P1589" s="5"/>
      <c r="Q1589" s="5" t="s">
        <v>11230</v>
      </c>
    </row>
    <row r="1590" spans="2:17" x14ac:dyDescent="0.2">
      <c r="B1590" s="5" t="s">
        <v>11086</v>
      </c>
      <c r="C1590" s="6" t="s">
        <v>13589</v>
      </c>
      <c r="D1590" s="4">
        <v>1265</v>
      </c>
      <c r="E1590" s="5" t="s">
        <v>32</v>
      </c>
      <c r="F1590" s="5" t="s">
        <v>309</v>
      </c>
      <c r="G1590" s="6" t="s">
        <v>14</v>
      </c>
      <c r="H1590" s="4">
        <v>587</v>
      </c>
      <c r="I1590" s="5" t="s">
        <v>22</v>
      </c>
      <c r="J1590" s="5" t="s">
        <v>11231</v>
      </c>
      <c r="K1590" s="5" t="s">
        <v>11232</v>
      </c>
      <c r="L1590" s="5" t="s">
        <v>11233</v>
      </c>
      <c r="M1590" s="5" t="s">
        <v>301</v>
      </c>
      <c r="N1590" s="5" t="s">
        <v>307</v>
      </c>
      <c r="O1590" s="5" t="s">
        <v>11089</v>
      </c>
      <c r="P1590" s="5"/>
      <c r="Q1590" s="5" t="s">
        <v>11234</v>
      </c>
    </row>
    <row r="1591" spans="2:17" x14ac:dyDescent="0.2">
      <c r="B1591" s="5" t="s">
        <v>11086</v>
      </c>
      <c r="C1591" s="6" t="s">
        <v>13589</v>
      </c>
      <c r="D1591" s="4">
        <v>1266</v>
      </c>
      <c r="E1591" s="5" t="s">
        <v>32</v>
      </c>
      <c r="F1591" s="5" t="s">
        <v>309</v>
      </c>
      <c r="G1591" s="6" t="s">
        <v>14</v>
      </c>
      <c r="H1591" s="4">
        <v>588</v>
      </c>
      <c r="I1591" s="5" t="s">
        <v>22</v>
      </c>
      <c r="J1591" s="5" t="s">
        <v>11235</v>
      </c>
      <c r="K1591" s="5" t="s">
        <v>11115</v>
      </c>
      <c r="L1591" s="5"/>
      <c r="M1591" s="5" t="s">
        <v>301</v>
      </c>
      <c r="N1591" s="5" t="s">
        <v>307</v>
      </c>
      <c r="O1591" s="5" t="s">
        <v>11089</v>
      </c>
      <c r="P1591" s="5"/>
      <c r="Q1591" s="5" t="s">
        <v>11236</v>
      </c>
    </row>
    <row r="1592" spans="2:17" x14ac:dyDescent="0.2">
      <c r="B1592" s="5" t="s">
        <v>11086</v>
      </c>
      <c r="C1592" s="6" t="s">
        <v>13589</v>
      </c>
      <c r="D1592" s="4">
        <v>1267</v>
      </c>
      <c r="E1592" s="5" t="s">
        <v>32</v>
      </c>
      <c r="F1592" s="5" t="s">
        <v>309</v>
      </c>
      <c r="G1592" s="6" t="s">
        <v>14</v>
      </c>
      <c r="H1592" s="4">
        <v>589</v>
      </c>
      <c r="I1592" s="5" t="s">
        <v>38</v>
      </c>
      <c r="J1592" s="5" t="s">
        <v>11237</v>
      </c>
      <c r="K1592" s="5" t="s">
        <v>11238</v>
      </c>
      <c r="L1592" s="5"/>
      <c r="M1592" s="5" t="s">
        <v>301</v>
      </c>
      <c r="N1592" s="5" t="s">
        <v>307</v>
      </c>
      <c r="O1592" s="5" t="s">
        <v>11089</v>
      </c>
      <c r="P1592" s="5"/>
      <c r="Q1592" s="5" t="s">
        <v>11239</v>
      </c>
    </row>
    <row r="1593" spans="2:17" x14ac:dyDescent="0.2">
      <c r="B1593" s="5" t="s">
        <v>11086</v>
      </c>
      <c r="C1593" s="6" t="s">
        <v>13589</v>
      </c>
      <c r="D1593" s="4">
        <v>1268</v>
      </c>
      <c r="E1593" s="5" t="s">
        <v>32</v>
      </c>
      <c r="F1593" s="5" t="s">
        <v>309</v>
      </c>
      <c r="G1593" s="6" t="s">
        <v>14</v>
      </c>
      <c r="H1593" s="4">
        <v>590</v>
      </c>
      <c r="I1593" s="5" t="s">
        <v>38</v>
      </c>
      <c r="J1593" s="5" t="s">
        <v>11240</v>
      </c>
      <c r="K1593" s="5" t="s">
        <v>11241</v>
      </c>
      <c r="L1593" s="5"/>
      <c r="M1593" s="5" t="s">
        <v>301</v>
      </c>
      <c r="N1593" s="5" t="s">
        <v>307</v>
      </c>
      <c r="O1593" s="5" t="s">
        <v>11089</v>
      </c>
      <c r="P1593" s="5"/>
      <c r="Q1593" s="5" t="s">
        <v>11242</v>
      </c>
    </row>
    <row r="1594" spans="2:17" x14ac:dyDescent="0.2">
      <c r="B1594" s="5" t="s">
        <v>11086</v>
      </c>
      <c r="C1594" s="6" t="s">
        <v>13589</v>
      </c>
      <c r="D1594" s="4">
        <v>1269</v>
      </c>
      <c r="E1594" s="5" t="s">
        <v>32</v>
      </c>
      <c r="F1594" s="5" t="s">
        <v>309</v>
      </c>
      <c r="G1594" s="6" t="s">
        <v>14</v>
      </c>
      <c r="H1594" s="4">
        <v>591</v>
      </c>
      <c r="I1594" s="5" t="s">
        <v>22</v>
      </c>
      <c r="J1594" s="5" t="s">
        <v>11243</v>
      </c>
      <c r="K1594" s="5" t="s">
        <v>11232</v>
      </c>
      <c r="L1594" s="5" t="s">
        <v>11244</v>
      </c>
      <c r="M1594" s="5" t="s">
        <v>301</v>
      </c>
      <c r="N1594" s="5" t="s">
        <v>307</v>
      </c>
      <c r="O1594" s="5" t="s">
        <v>11089</v>
      </c>
      <c r="P1594" s="5"/>
      <c r="Q1594" s="5" t="s">
        <v>11245</v>
      </c>
    </row>
    <row r="1595" spans="2:17" x14ac:dyDescent="0.2">
      <c r="B1595" s="5" t="s">
        <v>11086</v>
      </c>
      <c r="C1595" s="6" t="s">
        <v>13589</v>
      </c>
      <c r="D1595" s="4">
        <v>1270</v>
      </c>
      <c r="E1595" s="5" t="s">
        <v>32</v>
      </c>
      <c r="F1595" s="5" t="s">
        <v>309</v>
      </c>
      <c r="G1595" s="6" t="s">
        <v>14</v>
      </c>
      <c r="H1595" s="4">
        <v>592</v>
      </c>
      <c r="I1595" s="5" t="s">
        <v>22</v>
      </c>
      <c r="J1595" s="5" t="s">
        <v>11231</v>
      </c>
      <c r="K1595" s="5" t="s">
        <v>11228</v>
      </c>
      <c r="L1595" s="5"/>
      <c r="M1595" s="5" t="s">
        <v>301</v>
      </c>
      <c r="N1595" s="5" t="s">
        <v>307</v>
      </c>
      <c r="O1595" s="5" t="s">
        <v>11089</v>
      </c>
      <c r="P1595" s="5"/>
      <c r="Q1595" s="5" t="s">
        <v>11246</v>
      </c>
    </row>
    <row r="1596" spans="2:17" x14ac:dyDescent="0.2">
      <c r="B1596" s="5" t="s">
        <v>11086</v>
      </c>
      <c r="C1596" s="6" t="s">
        <v>13589</v>
      </c>
      <c r="D1596" s="4">
        <v>1271</v>
      </c>
      <c r="E1596" s="5" t="s">
        <v>32</v>
      </c>
      <c r="F1596" s="5" t="s">
        <v>309</v>
      </c>
      <c r="G1596" s="6" t="s">
        <v>14</v>
      </c>
      <c r="H1596" s="4">
        <v>593</v>
      </c>
      <c r="I1596" s="5" t="s">
        <v>22</v>
      </c>
      <c r="J1596" s="5" t="s">
        <v>11195</v>
      </c>
      <c r="K1596" s="5" t="s">
        <v>11196</v>
      </c>
      <c r="L1596" s="5"/>
      <c r="M1596" s="5" t="s">
        <v>301</v>
      </c>
      <c r="N1596" s="5" t="s">
        <v>307</v>
      </c>
      <c r="O1596" s="5" t="s">
        <v>11089</v>
      </c>
      <c r="P1596" s="5"/>
      <c r="Q1596" s="5" t="s">
        <v>11197</v>
      </c>
    </row>
    <row r="1597" spans="2:17" x14ac:dyDescent="0.2">
      <c r="B1597" s="5" t="s">
        <v>11086</v>
      </c>
      <c r="C1597" s="6" t="s">
        <v>13589</v>
      </c>
      <c r="D1597" s="4">
        <v>1272</v>
      </c>
      <c r="E1597" s="5" t="s">
        <v>32</v>
      </c>
      <c r="F1597" s="5" t="s">
        <v>309</v>
      </c>
      <c r="G1597" s="6" t="s">
        <v>14</v>
      </c>
      <c r="H1597" s="4">
        <v>594</v>
      </c>
      <c r="I1597" s="5" t="s">
        <v>22</v>
      </c>
      <c r="J1597" s="5" t="s">
        <v>11198</v>
      </c>
      <c r="K1597" s="5" t="s">
        <v>11120</v>
      </c>
      <c r="L1597" s="5"/>
      <c r="M1597" s="5" t="s">
        <v>301</v>
      </c>
      <c r="N1597" s="5" t="s">
        <v>307</v>
      </c>
      <c r="O1597" s="5" t="s">
        <v>11089</v>
      </c>
      <c r="P1597" s="5"/>
      <c r="Q1597" s="5" t="s">
        <v>11199</v>
      </c>
    </row>
    <row r="1598" spans="2:17" x14ac:dyDescent="0.2">
      <c r="B1598" s="5" t="s">
        <v>11086</v>
      </c>
      <c r="C1598" s="6" t="s">
        <v>13589</v>
      </c>
      <c r="D1598" s="4">
        <v>1273</v>
      </c>
      <c r="E1598" s="5" t="s">
        <v>32</v>
      </c>
      <c r="F1598" s="5" t="s">
        <v>309</v>
      </c>
      <c r="G1598" s="6" t="s">
        <v>14</v>
      </c>
      <c r="H1598" s="4">
        <v>595</v>
      </c>
      <c r="I1598" s="5" t="s">
        <v>22</v>
      </c>
      <c r="J1598" s="5" t="s">
        <v>11200</v>
      </c>
      <c r="K1598" s="5" t="s">
        <v>11201</v>
      </c>
      <c r="L1598" s="5"/>
      <c r="M1598" s="5" t="s">
        <v>301</v>
      </c>
      <c r="N1598" s="5" t="s">
        <v>307</v>
      </c>
      <c r="O1598" s="5" t="s">
        <v>11089</v>
      </c>
      <c r="P1598" s="5"/>
      <c r="Q1598" s="5" t="s">
        <v>11202</v>
      </c>
    </row>
    <row r="1599" spans="2:17" x14ac:dyDescent="0.2">
      <c r="B1599" s="5" t="s">
        <v>11086</v>
      </c>
      <c r="C1599" s="6" t="s">
        <v>13589</v>
      </c>
      <c r="D1599" s="4">
        <v>1274</v>
      </c>
      <c r="E1599" s="5" t="s">
        <v>32</v>
      </c>
      <c r="F1599" s="5" t="s">
        <v>309</v>
      </c>
      <c r="G1599" s="6" t="s">
        <v>14</v>
      </c>
      <c r="H1599" s="4">
        <v>596</v>
      </c>
      <c r="I1599" s="5" t="s">
        <v>22</v>
      </c>
      <c r="J1599" s="5" t="s">
        <v>11203</v>
      </c>
      <c r="K1599" s="5" t="s">
        <v>8359</v>
      </c>
      <c r="L1599" s="5"/>
      <c r="M1599" s="5" t="s">
        <v>301</v>
      </c>
      <c r="N1599" s="5" t="s">
        <v>307</v>
      </c>
      <c r="O1599" s="5" t="s">
        <v>11089</v>
      </c>
      <c r="P1599" s="5"/>
      <c r="Q1599" s="5" t="s">
        <v>11204</v>
      </c>
    </row>
    <row r="1600" spans="2:17" x14ac:dyDescent="0.2">
      <c r="B1600" s="5" t="s">
        <v>11086</v>
      </c>
      <c r="C1600" s="6" t="s">
        <v>13589</v>
      </c>
      <c r="D1600" s="4">
        <v>1275</v>
      </c>
      <c r="E1600" s="5" t="s">
        <v>32</v>
      </c>
      <c r="F1600" s="5" t="s">
        <v>309</v>
      </c>
      <c r="G1600" s="6" t="s">
        <v>14</v>
      </c>
      <c r="H1600" s="4">
        <v>597</v>
      </c>
      <c r="I1600" s="5" t="s">
        <v>38</v>
      </c>
      <c r="J1600" s="5" t="s">
        <v>11205</v>
      </c>
      <c r="K1600" s="5" t="s">
        <v>11206</v>
      </c>
      <c r="L1600" s="5"/>
      <c r="M1600" s="5" t="s">
        <v>301</v>
      </c>
      <c r="N1600" s="5" t="s">
        <v>307</v>
      </c>
      <c r="O1600" s="5" t="s">
        <v>11089</v>
      </c>
      <c r="P1600" s="5"/>
      <c r="Q1600" s="5" t="s">
        <v>11207</v>
      </c>
    </row>
    <row r="1601" spans="2:17" x14ac:dyDescent="0.2">
      <c r="B1601" s="5" t="s">
        <v>11086</v>
      </c>
      <c r="C1601" s="6" t="s">
        <v>13589</v>
      </c>
      <c r="D1601" s="4">
        <v>1276</v>
      </c>
      <c r="E1601" s="5" t="s">
        <v>32</v>
      </c>
      <c r="F1601" s="5" t="s">
        <v>309</v>
      </c>
      <c r="G1601" s="6" t="s">
        <v>14</v>
      </c>
      <c r="H1601" s="4">
        <v>598</v>
      </c>
      <c r="I1601" s="5" t="s">
        <v>38</v>
      </c>
      <c r="J1601" s="5" t="s">
        <v>11208</v>
      </c>
      <c r="K1601" s="5" t="s">
        <v>11209</v>
      </c>
      <c r="L1601" s="5"/>
      <c r="M1601" s="5" t="s">
        <v>301</v>
      </c>
      <c r="N1601" s="5" t="s">
        <v>307</v>
      </c>
      <c r="O1601" s="5" t="s">
        <v>11089</v>
      </c>
      <c r="P1601" s="5"/>
      <c r="Q1601" s="5" t="s">
        <v>11210</v>
      </c>
    </row>
    <row r="1602" spans="2:17" x14ac:dyDescent="0.2">
      <c r="B1602" s="5" t="s">
        <v>11086</v>
      </c>
      <c r="C1602" s="6" t="s">
        <v>13589</v>
      </c>
      <c r="D1602" s="4">
        <v>1277</v>
      </c>
      <c r="E1602" s="5" t="s">
        <v>32</v>
      </c>
      <c r="F1602" s="5" t="s">
        <v>309</v>
      </c>
      <c r="G1602" s="6" t="s">
        <v>14</v>
      </c>
      <c r="H1602" s="4">
        <v>599</v>
      </c>
      <c r="I1602" s="5" t="s">
        <v>38</v>
      </c>
      <c r="J1602" s="5" t="s">
        <v>11211</v>
      </c>
      <c r="K1602" s="5" t="s">
        <v>11212</v>
      </c>
      <c r="L1602" s="5"/>
      <c r="M1602" s="5" t="s">
        <v>301</v>
      </c>
      <c r="N1602" s="5" t="s">
        <v>307</v>
      </c>
      <c r="O1602" s="5" t="s">
        <v>11089</v>
      </c>
      <c r="P1602" s="5"/>
      <c r="Q1602" s="5" t="s">
        <v>11213</v>
      </c>
    </row>
    <row r="1603" spans="2:17" x14ac:dyDescent="0.2">
      <c r="B1603" s="5" t="s">
        <v>11086</v>
      </c>
      <c r="C1603" s="6" t="s">
        <v>13589</v>
      </c>
      <c r="D1603" s="4">
        <v>1278</v>
      </c>
      <c r="E1603" s="5" t="s">
        <v>32</v>
      </c>
      <c r="F1603" s="5" t="s">
        <v>309</v>
      </c>
      <c r="G1603" s="6" t="s">
        <v>14</v>
      </c>
      <c r="H1603" s="4">
        <v>600</v>
      </c>
      <c r="I1603" s="5" t="s">
        <v>38</v>
      </c>
      <c r="J1603" s="5" t="s">
        <v>11214</v>
      </c>
      <c r="K1603" s="5" t="s">
        <v>11215</v>
      </c>
      <c r="L1603" s="5"/>
      <c r="M1603" s="5" t="s">
        <v>301</v>
      </c>
      <c r="N1603" s="5" t="s">
        <v>307</v>
      </c>
      <c r="O1603" s="5" t="s">
        <v>11089</v>
      </c>
      <c r="P1603" s="5"/>
      <c r="Q1603" s="5" t="s">
        <v>11216</v>
      </c>
    </row>
    <row r="1604" spans="2:17" x14ac:dyDescent="0.2">
      <c r="B1604" s="5" t="s">
        <v>11086</v>
      </c>
      <c r="C1604" s="6" t="s">
        <v>13589</v>
      </c>
      <c r="D1604" s="4">
        <v>1279</v>
      </c>
      <c r="E1604" s="5" t="s">
        <v>32</v>
      </c>
      <c r="F1604" s="5" t="s">
        <v>309</v>
      </c>
      <c r="G1604" s="6" t="s">
        <v>14</v>
      </c>
      <c r="H1604" s="4">
        <v>601</v>
      </c>
      <c r="I1604" s="5" t="s">
        <v>22</v>
      </c>
      <c r="J1604" s="5" t="s">
        <v>11217</v>
      </c>
      <c r="K1604" s="5" t="s">
        <v>11135</v>
      </c>
      <c r="L1604" s="5"/>
      <c r="M1604" s="5" t="s">
        <v>301</v>
      </c>
      <c r="N1604" s="5" t="s">
        <v>307</v>
      </c>
      <c r="O1604" s="5" t="s">
        <v>11089</v>
      </c>
      <c r="P1604" s="5"/>
      <c r="Q1604" s="5" t="s">
        <v>11218</v>
      </c>
    </row>
    <row r="1605" spans="2:17" x14ac:dyDescent="0.2">
      <c r="B1605" s="5" t="s">
        <v>11086</v>
      </c>
      <c r="C1605" s="6" t="s">
        <v>13589</v>
      </c>
      <c r="D1605" s="4">
        <v>1280</v>
      </c>
      <c r="E1605" s="5" t="s">
        <v>32</v>
      </c>
      <c r="F1605" s="5" t="s">
        <v>309</v>
      </c>
      <c r="G1605" s="6" t="s">
        <v>14</v>
      </c>
      <c r="H1605" s="4">
        <v>602</v>
      </c>
      <c r="I1605" s="5" t="s">
        <v>22</v>
      </c>
      <c r="J1605" s="5" t="s">
        <v>11219</v>
      </c>
      <c r="K1605" s="5" t="s">
        <v>11135</v>
      </c>
      <c r="L1605" s="5"/>
      <c r="M1605" s="5" t="s">
        <v>301</v>
      </c>
      <c r="N1605" s="5" t="s">
        <v>307</v>
      </c>
      <c r="O1605" s="5" t="s">
        <v>11089</v>
      </c>
      <c r="P1605" s="5"/>
      <c r="Q1605" s="5" t="s">
        <v>11220</v>
      </c>
    </row>
    <row r="1606" spans="2:17" x14ac:dyDescent="0.2">
      <c r="B1606" s="5" t="s">
        <v>11086</v>
      </c>
      <c r="C1606" s="6" t="s">
        <v>13589</v>
      </c>
      <c r="D1606" s="4">
        <v>1281</v>
      </c>
      <c r="E1606" s="5" t="s">
        <v>32</v>
      </c>
      <c r="F1606" s="5" t="s">
        <v>11192</v>
      </c>
      <c r="G1606" s="6" t="s">
        <v>14</v>
      </c>
      <c r="H1606" s="4">
        <v>603</v>
      </c>
      <c r="I1606" s="5" t="s">
        <v>38</v>
      </c>
      <c r="J1606" s="5" t="s">
        <v>11193</v>
      </c>
      <c r="K1606" s="5" t="s">
        <v>11088</v>
      </c>
      <c r="L1606" s="5"/>
      <c r="M1606" s="5" t="s">
        <v>1750</v>
      </c>
      <c r="N1606" s="5" t="s">
        <v>1751</v>
      </c>
      <c r="O1606" s="5" t="s">
        <v>11089</v>
      </c>
      <c r="P1606" s="5"/>
      <c r="Q1606" s="5" t="s">
        <v>11194</v>
      </c>
    </row>
    <row r="1607" spans="2:17" x14ac:dyDescent="0.2">
      <c r="B1607" s="5" t="s">
        <v>11086</v>
      </c>
      <c r="C1607" s="6" t="s">
        <v>13589</v>
      </c>
      <c r="D1607" s="4">
        <v>1282</v>
      </c>
      <c r="E1607" s="5" t="s">
        <v>20</v>
      </c>
      <c r="F1607" s="5" t="s">
        <v>11179</v>
      </c>
      <c r="G1607" s="6" t="s">
        <v>14</v>
      </c>
      <c r="H1607" s="4">
        <v>604</v>
      </c>
      <c r="I1607" s="5" t="s">
        <v>22</v>
      </c>
      <c r="J1607" s="5" t="s">
        <v>11185</v>
      </c>
      <c r="K1607" s="5" t="s">
        <v>11126</v>
      </c>
      <c r="L1607" s="5"/>
      <c r="M1607" s="5" t="s">
        <v>96</v>
      </c>
      <c r="N1607" s="5" t="s">
        <v>97</v>
      </c>
      <c r="O1607" s="5" t="s">
        <v>11091</v>
      </c>
      <c r="P1607" s="5"/>
      <c r="Q1607" s="5" t="s">
        <v>11186</v>
      </c>
    </row>
    <row r="1608" spans="2:17" x14ac:dyDescent="0.2">
      <c r="B1608" s="5" t="s">
        <v>11086</v>
      </c>
      <c r="C1608" s="6" t="s">
        <v>13589</v>
      </c>
      <c r="D1608" s="4">
        <v>1283</v>
      </c>
      <c r="E1608" s="5" t="s">
        <v>20</v>
      </c>
      <c r="F1608" s="5" t="s">
        <v>11187</v>
      </c>
      <c r="G1608" s="6" t="s">
        <v>14</v>
      </c>
      <c r="H1608" s="4">
        <v>605</v>
      </c>
      <c r="I1608" s="5" t="s">
        <v>38</v>
      </c>
      <c r="J1608" s="5" t="s">
        <v>11188</v>
      </c>
      <c r="K1608" s="5" t="s">
        <v>11189</v>
      </c>
      <c r="L1608" s="5" t="s">
        <v>11190</v>
      </c>
      <c r="M1608" s="5" t="s">
        <v>96</v>
      </c>
      <c r="N1608" s="5" t="s">
        <v>97</v>
      </c>
      <c r="O1608" s="5" t="s">
        <v>11091</v>
      </c>
      <c r="P1608" s="5"/>
      <c r="Q1608" s="5" t="s">
        <v>11191</v>
      </c>
    </row>
    <row r="1609" spans="2:17" x14ac:dyDescent="0.2">
      <c r="B1609" s="5" t="s">
        <v>11086</v>
      </c>
      <c r="C1609" s="6" t="s">
        <v>13589</v>
      </c>
      <c r="D1609" s="4">
        <v>1284</v>
      </c>
      <c r="E1609" s="5" t="s">
        <v>20</v>
      </c>
      <c r="F1609" s="5" t="s">
        <v>11179</v>
      </c>
      <c r="G1609" s="6" t="s">
        <v>14</v>
      </c>
      <c r="H1609" s="4">
        <v>606</v>
      </c>
      <c r="I1609" s="5" t="s">
        <v>38</v>
      </c>
      <c r="J1609" s="5" t="s">
        <v>11180</v>
      </c>
      <c r="K1609" s="5" t="s">
        <v>11181</v>
      </c>
      <c r="L1609" s="5"/>
      <c r="M1609" s="5" t="s">
        <v>96</v>
      </c>
      <c r="N1609" s="5" t="s">
        <v>97</v>
      </c>
      <c r="O1609" s="5" t="s">
        <v>11091</v>
      </c>
      <c r="P1609" s="5"/>
      <c r="Q1609" s="5" t="s">
        <v>11182</v>
      </c>
    </row>
    <row r="1610" spans="2:17" x14ac:dyDescent="0.2">
      <c r="B1610" s="5" t="s">
        <v>11086</v>
      </c>
      <c r="C1610" s="6" t="s">
        <v>13589</v>
      </c>
      <c r="D1610" s="4">
        <v>1285</v>
      </c>
      <c r="E1610" s="5" t="s">
        <v>20</v>
      </c>
      <c r="F1610" s="5" t="s">
        <v>11179</v>
      </c>
      <c r="G1610" s="6" t="s">
        <v>14</v>
      </c>
      <c r="H1610" s="4">
        <v>607</v>
      </c>
      <c r="I1610" s="5" t="s">
        <v>22</v>
      </c>
      <c r="J1610" s="5" t="s">
        <v>11183</v>
      </c>
      <c r="K1610" s="5" t="s">
        <v>11126</v>
      </c>
      <c r="L1610" s="5"/>
      <c r="M1610" s="5" t="s">
        <v>96</v>
      </c>
      <c r="N1610" s="5" t="s">
        <v>97</v>
      </c>
      <c r="O1610" s="5" t="s">
        <v>11091</v>
      </c>
      <c r="P1610" s="5"/>
      <c r="Q1610" s="5" t="s">
        <v>11184</v>
      </c>
    </row>
    <row r="1611" spans="2:17" x14ac:dyDescent="0.2">
      <c r="B1611" s="5" t="s">
        <v>11086</v>
      </c>
      <c r="C1611" s="6" t="s">
        <v>13589</v>
      </c>
      <c r="D1611" s="4">
        <v>1286</v>
      </c>
      <c r="E1611" s="5" t="s">
        <v>20</v>
      </c>
      <c r="F1611" s="5" t="s">
        <v>9690</v>
      </c>
      <c r="G1611" s="6" t="s">
        <v>14</v>
      </c>
      <c r="H1611" s="4">
        <v>608</v>
      </c>
      <c r="I1611" s="5" t="s">
        <v>22</v>
      </c>
      <c r="J1611" s="5" t="s">
        <v>11176</v>
      </c>
      <c r="K1611" s="5" t="s">
        <v>11177</v>
      </c>
      <c r="L1611" s="5"/>
      <c r="M1611" s="5" t="s">
        <v>283</v>
      </c>
      <c r="N1611" s="5" t="s">
        <v>284</v>
      </c>
      <c r="O1611" s="5" t="s">
        <v>11089</v>
      </c>
      <c r="P1611" s="5"/>
      <c r="Q1611" s="5" t="s">
        <v>11178</v>
      </c>
    </row>
    <row r="1612" spans="2:17" x14ac:dyDescent="0.2">
      <c r="B1612" s="5" t="s">
        <v>11086</v>
      </c>
      <c r="C1612" s="6" t="s">
        <v>13589</v>
      </c>
      <c r="D1612" s="4">
        <v>1299</v>
      </c>
      <c r="E1612" s="5" t="s">
        <v>32</v>
      </c>
      <c r="F1612" s="5" t="s">
        <v>11100</v>
      </c>
      <c r="G1612" s="6" t="s">
        <v>14</v>
      </c>
      <c r="H1612" s="4">
        <v>609</v>
      </c>
      <c r="I1612" s="5" t="s">
        <v>22</v>
      </c>
      <c r="J1612" s="5" t="s">
        <v>11109</v>
      </c>
      <c r="K1612" s="5" t="s">
        <v>11110</v>
      </c>
      <c r="L1612" s="5"/>
      <c r="M1612" s="5" t="s">
        <v>2821</v>
      </c>
      <c r="N1612" s="5" t="s">
        <v>2827</v>
      </c>
      <c r="O1612" s="5" t="s">
        <v>11089</v>
      </c>
      <c r="P1612" s="5"/>
      <c r="Q1612" s="5" t="s">
        <v>11111</v>
      </c>
    </row>
    <row r="1613" spans="2:17" x14ac:dyDescent="0.2">
      <c r="B1613" s="5" t="s">
        <v>11086</v>
      </c>
      <c r="C1613" s="6" t="s">
        <v>13589</v>
      </c>
      <c r="D1613" s="4">
        <v>1300</v>
      </c>
      <c r="E1613" s="5" t="s">
        <v>32</v>
      </c>
      <c r="F1613" s="5" t="s">
        <v>11100</v>
      </c>
      <c r="G1613" s="6" t="s">
        <v>14</v>
      </c>
      <c r="H1613" s="4">
        <v>610</v>
      </c>
      <c r="I1613" s="5" t="s">
        <v>22</v>
      </c>
      <c r="J1613" s="5" t="s">
        <v>11112</v>
      </c>
      <c r="K1613" s="5" t="s">
        <v>4376</v>
      </c>
      <c r="L1613" s="5"/>
      <c r="M1613" s="5" t="s">
        <v>2821</v>
      </c>
      <c r="N1613" s="5" t="s">
        <v>2827</v>
      </c>
      <c r="O1613" s="5" t="s">
        <v>11089</v>
      </c>
      <c r="P1613" s="5"/>
      <c r="Q1613" s="5" t="s">
        <v>11113</v>
      </c>
    </row>
    <row r="1614" spans="2:17" x14ac:dyDescent="0.2">
      <c r="B1614" s="5" t="s">
        <v>11086</v>
      </c>
      <c r="C1614" s="6" t="s">
        <v>13589</v>
      </c>
      <c r="D1614" s="4">
        <v>1301</v>
      </c>
      <c r="E1614" s="5" t="s">
        <v>32</v>
      </c>
      <c r="F1614" s="5" t="s">
        <v>11100</v>
      </c>
      <c r="G1614" s="6" t="s">
        <v>14</v>
      </c>
      <c r="H1614" s="4">
        <v>611</v>
      </c>
      <c r="I1614" s="5" t="s">
        <v>22</v>
      </c>
      <c r="J1614" s="5" t="s">
        <v>11114</v>
      </c>
      <c r="K1614" s="5" t="s">
        <v>11115</v>
      </c>
      <c r="L1614" s="5"/>
      <c r="M1614" s="5" t="s">
        <v>2821</v>
      </c>
      <c r="N1614" s="5" t="s">
        <v>2827</v>
      </c>
      <c r="O1614" s="5" t="s">
        <v>11089</v>
      </c>
      <c r="P1614" s="5"/>
      <c r="Q1614" s="5" t="s">
        <v>11116</v>
      </c>
    </row>
    <row r="1615" spans="2:17" x14ac:dyDescent="0.2">
      <c r="B1615" s="5" t="s">
        <v>11086</v>
      </c>
      <c r="C1615" s="6" t="s">
        <v>13589</v>
      </c>
      <c r="D1615" s="4">
        <v>1302</v>
      </c>
      <c r="E1615" s="5" t="s">
        <v>32</v>
      </c>
      <c r="F1615" s="5" t="s">
        <v>11100</v>
      </c>
      <c r="G1615" s="6" t="s">
        <v>14</v>
      </c>
      <c r="H1615" s="4">
        <v>612</v>
      </c>
      <c r="I1615" s="5" t="s">
        <v>22</v>
      </c>
      <c r="J1615" s="5" t="s">
        <v>11117</v>
      </c>
      <c r="K1615" s="5" t="s">
        <v>11088</v>
      </c>
      <c r="L1615" s="5"/>
      <c r="M1615" s="5" t="s">
        <v>2821</v>
      </c>
      <c r="N1615" s="5" t="s">
        <v>2827</v>
      </c>
      <c r="O1615" s="5" t="s">
        <v>11089</v>
      </c>
      <c r="P1615" s="5"/>
      <c r="Q1615" s="5" t="s">
        <v>11118</v>
      </c>
    </row>
    <row r="1616" spans="2:17" x14ac:dyDescent="0.2">
      <c r="B1616" s="5" t="s">
        <v>11086</v>
      </c>
      <c r="C1616" s="6" t="s">
        <v>13589</v>
      </c>
      <c r="D1616" s="4">
        <v>1303</v>
      </c>
      <c r="E1616" s="5" t="s">
        <v>32</v>
      </c>
      <c r="F1616" s="5" t="s">
        <v>11100</v>
      </c>
      <c r="G1616" s="6" t="s">
        <v>14</v>
      </c>
      <c r="H1616" s="4">
        <v>613</v>
      </c>
      <c r="I1616" s="5" t="s">
        <v>22</v>
      </c>
      <c r="J1616" s="5" t="s">
        <v>11119</v>
      </c>
      <c r="K1616" s="5" t="s">
        <v>11120</v>
      </c>
      <c r="L1616" s="5"/>
      <c r="M1616" s="5" t="s">
        <v>2821</v>
      </c>
      <c r="N1616" s="5" t="s">
        <v>2827</v>
      </c>
      <c r="O1616" s="5" t="s">
        <v>11089</v>
      </c>
      <c r="P1616" s="5"/>
      <c r="Q1616" s="5" t="s">
        <v>11121</v>
      </c>
    </row>
    <row r="1617" spans="2:17" x14ac:dyDescent="0.2">
      <c r="B1617" s="5" t="s">
        <v>11086</v>
      </c>
      <c r="C1617" s="6" t="s">
        <v>13589</v>
      </c>
      <c r="D1617" s="4">
        <v>1304</v>
      </c>
      <c r="E1617" s="5" t="s">
        <v>32</v>
      </c>
      <c r="F1617" s="5" t="s">
        <v>11100</v>
      </c>
      <c r="G1617" s="6" t="s">
        <v>14</v>
      </c>
      <c r="H1617" s="4">
        <v>614</v>
      </c>
      <c r="I1617" s="5" t="s">
        <v>22</v>
      </c>
      <c r="J1617" s="5" t="s">
        <v>11122</v>
      </c>
      <c r="K1617" s="5" t="s">
        <v>11123</v>
      </c>
      <c r="L1617" s="5"/>
      <c r="M1617" s="5" t="s">
        <v>2821</v>
      </c>
      <c r="N1617" s="5" t="s">
        <v>2827</v>
      </c>
      <c r="O1617" s="5" t="s">
        <v>11091</v>
      </c>
      <c r="P1617" s="5"/>
      <c r="Q1617" s="5" t="s">
        <v>11124</v>
      </c>
    </row>
    <row r="1618" spans="2:17" x14ac:dyDescent="0.2">
      <c r="B1618" s="5" t="s">
        <v>11086</v>
      </c>
      <c r="C1618" s="6" t="s">
        <v>13589</v>
      </c>
      <c r="D1618" s="4">
        <v>1305</v>
      </c>
      <c r="E1618" s="5" t="s">
        <v>32</v>
      </c>
      <c r="F1618" s="5" t="s">
        <v>11100</v>
      </c>
      <c r="G1618" s="6" t="s">
        <v>14</v>
      </c>
      <c r="H1618" s="4">
        <v>615</v>
      </c>
      <c r="I1618" s="5" t="s">
        <v>22</v>
      </c>
      <c r="J1618" s="5" t="s">
        <v>11125</v>
      </c>
      <c r="K1618" s="5" t="s">
        <v>11126</v>
      </c>
      <c r="L1618" s="5"/>
      <c r="M1618" s="5" t="s">
        <v>2821</v>
      </c>
      <c r="N1618" s="5" t="s">
        <v>2827</v>
      </c>
      <c r="O1618" s="5" t="s">
        <v>11091</v>
      </c>
      <c r="P1618" s="5"/>
      <c r="Q1618" s="5" t="s">
        <v>11127</v>
      </c>
    </row>
    <row r="1619" spans="2:17" x14ac:dyDescent="0.2">
      <c r="B1619" s="5" t="s">
        <v>11086</v>
      </c>
      <c r="C1619" s="6" t="s">
        <v>13589</v>
      </c>
      <c r="D1619" s="4">
        <v>1306</v>
      </c>
      <c r="E1619" s="5" t="s">
        <v>32</v>
      </c>
      <c r="F1619" s="5" t="s">
        <v>11100</v>
      </c>
      <c r="G1619" s="6" t="s">
        <v>14</v>
      </c>
      <c r="H1619" s="4">
        <v>616</v>
      </c>
      <c r="I1619" s="5" t="s">
        <v>22</v>
      </c>
      <c r="J1619" s="5" t="s">
        <v>11128</v>
      </c>
      <c r="K1619" s="5" t="s">
        <v>11129</v>
      </c>
      <c r="L1619" s="5"/>
      <c r="M1619" s="5" t="s">
        <v>2821</v>
      </c>
      <c r="N1619" s="5" t="s">
        <v>2827</v>
      </c>
      <c r="O1619" s="5" t="s">
        <v>11089</v>
      </c>
      <c r="P1619" s="5"/>
      <c r="Q1619" s="5" t="s">
        <v>11130</v>
      </c>
    </row>
    <row r="1620" spans="2:17" x14ac:dyDescent="0.2">
      <c r="B1620" s="5" t="s">
        <v>11086</v>
      </c>
      <c r="C1620" s="6" t="s">
        <v>13589</v>
      </c>
      <c r="D1620" s="4">
        <v>1307</v>
      </c>
      <c r="E1620" s="5" t="s">
        <v>32</v>
      </c>
      <c r="F1620" s="5" t="s">
        <v>11100</v>
      </c>
      <c r="G1620" s="6" t="s">
        <v>14</v>
      </c>
      <c r="H1620" s="4">
        <v>617</v>
      </c>
      <c r="I1620" s="5" t="s">
        <v>22</v>
      </c>
      <c r="J1620" s="5" t="s">
        <v>11131</v>
      </c>
      <c r="K1620" s="5" t="s">
        <v>11132</v>
      </c>
      <c r="L1620" s="5"/>
      <c r="M1620" s="5" t="s">
        <v>2821</v>
      </c>
      <c r="N1620" s="5" t="s">
        <v>2827</v>
      </c>
      <c r="O1620" s="5" t="s">
        <v>11089</v>
      </c>
      <c r="P1620" s="5"/>
      <c r="Q1620" s="5" t="s">
        <v>11133</v>
      </c>
    </row>
    <row r="1621" spans="2:17" x14ac:dyDescent="0.2">
      <c r="B1621" s="5" t="s">
        <v>11086</v>
      </c>
      <c r="C1621" s="6" t="s">
        <v>13589</v>
      </c>
      <c r="D1621" s="4">
        <v>1308</v>
      </c>
      <c r="E1621" s="5" t="s">
        <v>32</v>
      </c>
      <c r="F1621" s="5" t="s">
        <v>11100</v>
      </c>
      <c r="G1621" s="6" t="s">
        <v>14</v>
      </c>
      <c r="H1621" s="4">
        <v>618</v>
      </c>
      <c r="I1621" s="5" t="s">
        <v>22</v>
      </c>
      <c r="J1621" s="5" t="s">
        <v>11134</v>
      </c>
      <c r="K1621" s="5" t="s">
        <v>11135</v>
      </c>
      <c r="L1621" s="5"/>
      <c r="M1621" s="5" t="s">
        <v>2821</v>
      </c>
      <c r="N1621" s="5" t="s">
        <v>2827</v>
      </c>
      <c r="O1621" s="5" t="s">
        <v>11089</v>
      </c>
      <c r="P1621" s="5"/>
      <c r="Q1621" s="5" t="s">
        <v>11136</v>
      </c>
    </row>
    <row r="1622" spans="2:17" x14ac:dyDescent="0.2">
      <c r="B1622" s="5" t="s">
        <v>11086</v>
      </c>
      <c r="C1622" s="6" t="s">
        <v>13589</v>
      </c>
      <c r="D1622" s="4">
        <v>1309</v>
      </c>
      <c r="E1622" s="5" t="s">
        <v>32</v>
      </c>
      <c r="F1622" s="5" t="s">
        <v>11100</v>
      </c>
      <c r="G1622" s="6" t="s">
        <v>14</v>
      </c>
      <c r="H1622" s="4">
        <v>619</v>
      </c>
      <c r="I1622" s="5" t="s">
        <v>22</v>
      </c>
      <c r="J1622" s="5" t="s">
        <v>11137</v>
      </c>
      <c r="K1622" s="5" t="s">
        <v>11138</v>
      </c>
      <c r="L1622" s="5"/>
      <c r="M1622" s="5" t="s">
        <v>2821</v>
      </c>
      <c r="N1622" s="5" t="s">
        <v>2827</v>
      </c>
      <c r="O1622" s="5" t="s">
        <v>11089</v>
      </c>
      <c r="P1622" s="5"/>
      <c r="Q1622" s="5" t="s">
        <v>11139</v>
      </c>
    </row>
    <row r="1623" spans="2:17" x14ac:dyDescent="0.2">
      <c r="B1623" s="5" t="s">
        <v>11086</v>
      </c>
      <c r="C1623" s="6" t="s">
        <v>13589</v>
      </c>
      <c r="D1623" s="4">
        <v>1310</v>
      </c>
      <c r="E1623" s="5" t="s">
        <v>32</v>
      </c>
      <c r="F1623" s="5" t="s">
        <v>11100</v>
      </c>
      <c r="G1623" s="6" t="s">
        <v>14</v>
      </c>
      <c r="H1623" s="4">
        <v>620</v>
      </c>
      <c r="I1623" s="5" t="s">
        <v>22</v>
      </c>
      <c r="J1623" s="5" t="s">
        <v>11101</v>
      </c>
      <c r="K1623" s="5" t="s">
        <v>11098</v>
      </c>
      <c r="L1623" s="5"/>
      <c r="M1623" s="5" t="s">
        <v>2821</v>
      </c>
      <c r="N1623" s="5" t="s">
        <v>2827</v>
      </c>
      <c r="O1623" s="5" t="s">
        <v>11096</v>
      </c>
      <c r="P1623" s="5"/>
      <c r="Q1623" s="5" t="s">
        <v>11102</v>
      </c>
    </row>
    <row r="1624" spans="2:17" x14ac:dyDescent="0.2">
      <c r="B1624" s="5" t="s">
        <v>11086</v>
      </c>
      <c r="C1624" s="6" t="s">
        <v>13589</v>
      </c>
      <c r="D1624" s="4">
        <v>1311</v>
      </c>
      <c r="E1624" s="5" t="s">
        <v>32</v>
      </c>
      <c r="F1624" s="5" t="s">
        <v>11100</v>
      </c>
      <c r="G1624" s="6" t="s">
        <v>14</v>
      </c>
      <c r="H1624" s="4">
        <v>621</v>
      </c>
      <c r="I1624" s="5" t="s">
        <v>22</v>
      </c>
      <c r="J1624" s="5" t="s">
        <v>11103</v>
      </c>
      <c r="K1624" s="5" t="s">
        <v>4376</v>
      </c>
      <c r="L1624" s="5"/>
      <c r="M1624" s="5" t="s">
        <v>2821</v>
      </c>
      <c r="N1624" s="5" t="s">
        <v>2827</v>
      </c>
      <c r="O1624" s="5" t="s">
        <v>11096</v>
      </c>
      <c r="P1624" s="5"/>
      <c r="Q1624" s="5" t="s">
        <v>11104</v>
      </c>
    </row>
    <row r="1625" spans="2:17" x14ac:dyDescent="0.2">
      <c r="B1625" s="5" t="s">
        <v>11086</v>
      </c>
      <c r="C1625" s="6" t="s">
        <v>13589</v>
      </c>
      <c r="D1625" s="4">
        <v>1312</v>
      </c>
      <c r="E1625" s="5" t="s">
        <v>32</v>
      </c>
      <c r="F1625" s="5" t="s">
        <v>11100</v>
      </c>
      <c r="G1625" s="6" t="s">
        <v>14</v>
      </c>
      <c r="H1625" s="4">
        <v>622</v>
      </c>
      <c r="I1625" s="5" t="s">
        <v>22</v>
      </c>
      <c r="J1625" s="5" t="s">
        <v>11105</v>
      </c>
      <c r="K1625" s="5" t="s">
        <v>11106</v>
      </c>
      <c r="L1625" s="5"/>
      <c r="M1625" s="5" t="s">
        <v>2821</v>
      </c>
      <c r="N1625" s="5" t="s">
        <v>2827</v>
      </c>
      <c r="O1625" s="5" t="s">
        <v>11092</v>
      </c>
      <c r="P1625" s="5"/>
      <c r="Q1625" s="5" t="s">
        <v>11104</v>
      </c>
    </row>
    <row r="1626" spans="2:17" x14ac:dyDescent="0.2">
      <c r="B1626" s="5" t="s">
        <v>11086</v>
      </c>
      <c r="C1626" s="6" t="s">
        <v>13589</v>
      </c>
      <c r="D1626" s="4">
        <v>1313</v>
      </c>
      <c r="E1626" s="5" t="s">
        <v>32</v>
      </c>
      <c r="F1626" s="5" t="s">
        <v>11100</v>
      </c>
      <c r="G1626" s="6" t="s">
        <v>14</v>
      </c>
      <c r="H1626" s="4">
        <v>623</v>
      </c>
      <c r="I1626" s="5" t="s">
        <v>22</v>
      </c>
      <c r="J1626" s="5" t="s">
        <v>11107</v>
      </c>
      <c r="K1626" s="5" t="s">
        <v>11099</v>
      </c>
      <c r="L1626" s="5"/>
      <c r="M1626" s="5" t="s">
        <v>2821</v>
      </c>
      <c r="N1626" s="5" t="s">
        <v>2827</v>
      </c>
      <c r="O1626" s="5" t="s">
        <v>11087</v>
      </c>
      <c r="P1626" s="5"/>
      <c r="Q1626" s="5" t="s">
        <v>11108</v>
      </c>
    </row>
    <row r="1627" spans="2:17" x14ac:dyDescent="0.2">
      <c r="B1627" s="5" t="s">
        <v>11086</v>
      </c>
      <c r="C1627" s="6" t="s">
        <v>13589</v>
      </c>
      <c r="D1627" s="4">
        <v>1316</v>
      </c>
      <c r="E1627" s="5" t="s">
        <v>56</v>
      </c>
      <c r="F1627" s="5" t="s">
        <v>11369</v>
      </c>
      <c r="G1627" s="6" t="s">
        <v>14</v>
      </c>
      <c r="H1627" s="4">
        <v>624</v>
      </c>
      <c r="I1627" s="5"/>
      <c r="J1627" s="5" t="s">
        <v>11370</v>
      </c>
      <c r="K1627" s="5" t="s">
        <v>11371</v>
      </c>
      <c r="L1627" s="5" t="s">
        <v>11372</v>
      </c>
      <c r="M1627" s="5" t="s">
        <v>3537</v>
      </c>
      <c r="N1627" s="5" t="s">
        <v>533</v>
      </c>
      <c r="O1627" s="5" t="s">
        <v>11089</v>
      </c>
      <c r="P1627" s="5"/>
      <c r="Q1627" s="5" t="s">
        <v>11373</v>
      </c>
    </row>
    <row r="1628" spans="2:17" x14ac:dyDescent="0.2">
      <c r="B1628" s="5" t="s">
        <v>11086</v>
      </c>
      <c r="C1628" s="6" t="s">
        <v>13589</v>
      </c>
      <c r="D1628" s="4">
        <v>1317</v>
      </c>
      <c r="E1628" s="5" t="s">
        <v>32</v>
      </c>
      <c r="F1628" s="5" t="s">
        <v>1136</v>
      </c>
      <c r="G1628" s="6" t="s">
        <v>14</v>
      </c>
      <c r="H1628" s="4">
        <v>625</v>
      </c>
      <c r="I1628" s="5" t="s">
        <v>22</v>
      </c>
      <c r="J1628" s="5" t="s">
        <v>11366</v>
      </c>
      <c r="K1628" s="5" t="s">
        <v>11367</v>
      </c>
      <c r="L1628" s="5"/>
      <c r="M1628" s="5" t="s">
        <v>3537</v>
      </c>
      <c r="N1628" s="5" t="s">
        <v>2278</v>
      </c>
      <c r="O1628" s="5" t="s">
        <v>11091</v>
      </c>
      <c r="P1628" s="5"/>
      <c r="Q1628" s="5" t="s">
        <v>11368</v>
      </c>
    </row>
    <row r="1629" spans="2:17" x14ac:dyDescent="0.2">
      <c r="B1629" s="5" t="s">
        <v>11086</v>
      </c>
      <c r="C1629" s="6" t="s">
        <v>13589</v>
      </c>
      <c r="D1629" s="4">
        <v>1318</v>
      </c>
      <c r="E1629" s="5" t="s">
        <v>20</v>
      </c>
      <c r="F1629" s="5" t="s">
        <v>11358</v>
      </c>
      <c r="G1629" s="6" t="s">
        <v>14</v>
      </c>
      <c r="H1629" s="4">
        <v>626</v>
      </c>
      <c r="I1629" s="5" t="s">
        <v>38</v>
      </c>
      <c r="J1629" s="5" t="s">
        <v>11359</v>
      </c>
      <c r="K1629" s="5" t="s">
        <v>11278</v>
      </c>
      <c r="L1629" s="5" t="s">
        <v>11360</v>
      </c>
      <c r="M1629" s="5" t="s">
        <v>1122</v>
      </c>
      <c r="N1629" s="5" t="s">
        <v>260</v>
      </c>
      <c r="O1629" s="5" t="s">
        <v>11089</v>
      </c>
      <c r="P1629" s="5"/>
      <c r="Q1629" s="5" t="s">
        <v>11361</v>
      </c>
    </row>
    <row r="1630" spans="2:17" x14ac:dyDescent="0.2">
      <c r="B1630" s="5" t="s">
        <v>11086</v>
      </c>
      <c r="C1630" s="6" t="s">
        <v>13589</v>
      </c>
      <c r="D1630" s="4">
        <v>1319</v>
      </c>
      <c r="E1630" s="5" t="s">
        <v>20</v>
      </c>
      <c r="F1630" s="5" t="s">
        <v>11362</v>
      </c>
      <c r="G1630" s="6" t="s">
        <v>14</v>
      </c>
      <c r="H1630" s="4">
        <v>627</v>
      </c>
      <c r="I1630" s="5" t="s">
        <v>38</v>
      </c>
      <c r="J1630" s="5" t="s">
        <v>11363</v>
      </c>
      <c r="K1630" s="5" t="s">
        <v>11278</v>
      </c>
      <c r="L1630" s="5" t="s">
        <v>11364</v>
      </c>
      <c r="M1630" s="5" t="s">
        <v>1122</v>
      </c>
      <c r="N1630" s="5" t="s">
        <v>260</v>
      </c>
      <c r="O1630" s="5" t="s">
        <v>11089</v>
      </c>
      <c r="P1630" s="5"/>
      <c r="Q1630" s="5" t="s">
        <v>11365</v>
      </c>
    </row>
    <row r="1631" spans="2:17" x14ac:dyDescent="0.2">
      <c r="B1631" s="5" t="s">
        <v>11086</v>
      </c>
      <c r="C1631" s="6" t="s">
        <v>13589</v>
      </c>
      <c r="D1631" s="4">
        <v>1320</v>
      </c>
      <c r="E1631" s="5" t="s">
        <v>20</v>
      </c>
      <c r="F1631" s="5" t="s">
        <v>7312</v>
      </c>
      <c r="G1631" s="6" t="s">
        <v>14</v>
      </c>
      <c r="H1631" s="4">
        <v>628</v>
      </c>
      <c r="I1631" s="5" t="s">
        <v>38</v>
      </c>
      <c r="J1631" s="5" t="s">
        <v>11350</v>
      </c>
      <c r="K1631" s="5" t="s">
        <v>11351</v>
      </c>
      <c r="L1631" s="5"/>
      <c r="M1631" s="5" t="s">
        <v>1658</v>
      </c>
      <c r="N1631" s="5" t="s">
        <v>496</v>
      </c>
      <c r="O1631" s="5" t="s">
        <v>11091</v>
      </c>
      <c r="P1631" s="5"/>
      <c r="Q1631" s="5" t="s">
        <v>11352</v>
      </c>
    </row>
    <row r="1632" spans="2:17" x14ac:dyDescent="0.2">
      <c r="B1632" s="5" t="s">
        <v>11086</v>
      </c>
      <c r="C1632" s="6" t="s">
        <v>13589</v>
      </c>
      <c r="D1632" s="4">
        <v>1321</v>
      </c>
      <c r="E1632" s="5" t="s">
        <v>32</v>
      </c>
      <c r="F1632" s="5" t="s">
        <v>11264</v>
      </c>
      <c r="G1632" s="6" t="s">
        <v>14</v>
      </c>
      <c r="H1632" s="4">
        <v>629</v>
      </c>
      <c r="I1632" s="5" t="s">
        <v>22</v>
      </c>
      <c r="J1632" s="5" t="s">
        <v>11265</v>
      </c>
      <c r="K1632" s="5" t="s">
        <v>11206</v>
      </c>
      <c r="L1632" s="5"/>
      <c r="M1632" s="5" t="s">
        <v>122</v>
      </c>
      <c r="N1632" s="5" t="s">
        <v>366</v>
      </c>
      <c r="O1632" s="5" t="s">
        <v>11089</v>
      </c>
      <c r="P1632" s="5"/>
      <c r="Q1632" s="5" t="s">
        <v>11266</v>
      </c>
    </row>
    <row r="1633" spans="2:17" x14ac:dyDescent="0.2">
      <c r="B1633" s="5" t="s">
        <v>11377</v>
      </c>
      <c r="C1633" s="6" t="s">
        <v>13589</v>
      </c>
      <c r="D1633" s="4">
        <v>1326</v>
      </c>
      <c r="E1633" s="5" t="s">
        <v>15</v>
      </c>
      <c r="F1633" s="5" t="s">
        <v>11743</v>
      </c>
      <c r="G1633" s="6" t="s">
        <v>14</v>
      </c>
      <c r="H1633" s="4">
        <v>630</v>
      </c>
      <c r="I1633" s="5"/>
      <c r="J1633" s="5" t="s">
        <v>11750</v>
      </c>
      <c r="K1633" s="5" t="s">
        <v>11396</v>
      </c>
      <c r="L1633" s="5"/>
      <c r="M1633" s="5" t="s">
        <v>738</v>
      </c>
      <c r="N1633" s="5" t="s">
        <v>6891</v>
      </c>
      <c r="O1633" s="5" t="s">
        <v>11378</v>
      </c>
      <c r="P1633" s="5"/>
      <c r="Q1633" s="5" t="s">
        <v>11751</v>
      </c>
    </row>
    <row r="1634" spans="2:17" x14ac:dyDescent="0.2">
      <c r="B1634" s="5" t="s">
        <v>11377</v>
      </c>
      <c r="C1634" s="6" t="s">
        <v>13589</v>
      </c>
      <c r="D1634" s="4">
        <v>1327</v>
      </c>
      <c r="E1634" s="5" t="s">
        <v>15</v>
      </c>
      <c r="F1634" s="5" t="s">
        <v>11743</v>
      </c>
      <c r="G1634" s="6" t="s">
        <v>14</v>
      </c>
      <c r="H1634" s="4">
        <v>631</v>
      </c>
      <c r="I1634" s="5"/>
      <c r="J1634" s="5" t="s">
        <v>11752</v>
      </c>
      <c r="K1634" s="5" t="s">
        <v>11753</v>
      </c>
      <c r="L1634" s="5"/>
      <c r="M1634" s="5" t="s">
        <v>738</v>
      </c>
      <c r="N1634" s="5" t="s">
        <v>6891</v>
      </c>
      <c r="O1634" s="5" t="s">
        <v>11378</v>
      </c>
      <c r="P1634" s="5"/>
      <c r="Q1634" s="5" t="s">
        <v>11754</v>
      </c>
    </row>
    <row r="1635" spans="2:17" x14ac:dyDescent="0.2">
      <c r="B1635" s="5" t="s">
        <v>11377</v>
      </c>
      <c r="C1635" s="6" t="s">
        <v>13589</v>
      </c>
      <c r="D1635" s="4">
        <v>1328</v>
      </c>
      <c r="E1635" s="5" t="s">
        <v>32</v>
      </c>
      <c r="F1635" s="5" t="s">
        <v>11743</v>
      </c>
      <c r="G1635" s="6" t="s">
        <v>14</v>
      </c>
      <c r="H1635" s="4">
        <v>632</v>
      </c>
      <c r="I1635" s="5" t="s">
        <v>22</v>
      </c>
      <c r="J1635" s="5" t="s">
        <v>11744</v>
      </c>
      <c r="K1635" s="5" t="s">
        <v>11745</v>
      </c>
      <c r="L1635" s="5"/>
      <c r="M1635" s="5" t="s">
        <v>738</v>
      </c>
      <c r="N1635" s="5" t="s">
        <v>6891</v>
      </c>
      <c r="O1635" s="5" t="s">
        <v>11378</v>
      </c>
      <c r="P1635" s="5"/>
      <c r="Q1635" s="5" t="s">
        <v>11746</v>
      </c>
    </row>
    <row r="1636" spans="2:17" x14ac:dyDescent="0.2">
      <c r="B1636" s="5" t="s">
        <v>11377</v>
      </c>
      <c r="C1636" s="6" t="s">
        <v>13589</v>
      </c>
      <c r="D1636" s="4">
        <v>1329</v>
      </c>
      <c r="E1636" s="5" t="s">
        <v>32</v>
      </c>
      <c r="F1636" s="5" t="s">
        <v>11743</v>
      </c>
      <c r="G1636" s="6" t="s">
        <v>14</v>
      </c>
      <c r="H1636" s="4">
        <v>633</v>
      </c>
      <c r="I1636" s="5" t="s">
        <v>22</v>
      </c>
      <c r="J1636" s="5" t="s">
        <v>11747</v>
      </c>
      <c r="K1636" s="5" t="s">
        <v>11748</v>
      </c>
      <c r="L1636" s="5"/>
      <c r="M1636" s="5" t="s">
        <v>738</v>
      </c>
      <c r="N1636" s="5" t="s">
        <v>6891</v>
      </c>
      <c r="O1636" s="5" t="s">
        <v>11378</v>
      </c>
      <c r="P1636" s="5"/>
      <c r="Q1636" s="5" t="s">
        <v>11749</v>
      </c>
    </row>
    <row r="1637" spans="2:17" x14ac:dyDescent="0.2">
      <c r="B1637" s="5" t="s">
        <v>11377</v>
      </c>
      <c r="C1637" s="6" t="s">
        <v>13589</v>
      </c>
      <c r="D1637" s="4">
        <v>1330</v>
      </c>
      <c r="E1637" s="5" t="s">
        <v>82</v>
      </c>
      <c r="F1637" s="5" t="s">
        <v>11740</v>
      </c>
      <c r="G1637" s="6" t="s">
        <v>14</v>
      </c>
      <c r="H1637" s="4">
        <v>634</v>
      </c>
      <c r="I1637" s="5"/>
      <c r="J1637" s="5" t="s">
        <v>11741</v>
      </c>
      <c r="K1637" s="5" t="s">
        <v>11396</v>
      </c>
      <c r="L1637" s="5"/>
      <c r="M1637" s="5" t="s">
        <v>1668</v>
      </c>
      <c r="N1637" s="5" t="s">
        <v>2421</v>
      </c>
      <c r="O1637" s="5" t="s">
        <v>11378</v>
      </c>
      <c r="P1637" s="5"/>
      <c r="Q1637" s="5" t="s">
        <v>11742</v>
      </c>
    </row>
    <row r="1638" spans="2:17" x14ac:dyDescent="0.2">
      <c r="B1638" s="5" t="s">
        <v>11377</v>
      </c>
      <c r="C1638" s="6" t="s">
        <v>13589</v>
      </c>
      <c r="D1638" s="4">
        <v>1333</v>
      </c>
      <c r="E1638" s="5" t="s">
        <v>32</v>
      </c>
      <c r="F1638" s="5" t="s">
        <v>11726</v>
      </c>
      <c r="G1638" s="6" t="s">
        <v>14</v>
      </c>
      <c r="H1638" s="4">
        <v>635</v>
      </c>
      <c r="I1638" s="5" t="s">
        <v>22</v>
      </c>
      <c r="J1638" s="5" t="s">
        <v>11727</v>
      </c>
      <c r="K1638" s="5" t="s">
        <v>9007</v>
      </c>
      <c r="L1638" s="5"/>
      <c r="M1638" s="5" t="s">
        <v>1073</v>
      </c>
      <c r="N1638" s="5" t="s">
        <v>3906</v>
      </c>
      <c r="O1638" s="5" t="s">
        <v>11384</v>
      </c>
      <c r="P1638" s="5"/>
      <c r="Q1638" s="5" t="s">
        <v>11728</v>
      </c>
    </row>
    <row r="1639" spans="2:17" x14ac:dyDescent="0.2">
      <c r="B1639" s="5" t="s">
        <v>11377</v>
      </c>
      <c r="C1639" s="6" t="s">
        <v>13589</v>
      </c>
      <c r="D1639" s="4">
        <v>1334</v>
      </c>
      <c r="E1639" s="5" t="s">
        <v>32</v>
      </c>
      <c r="F1639" s="5" t="s">
        <v>11711</v>
      </c>
      <c r="G1639" s="6" t="s">
        <v>14</v>
      </c>
      <c r="H1639" s="4">
        <v>636</v>
      </c>
      <c r="I1639" s="5" t="s">
        <v>22</v>
      </c>
      <c r="J1639" s="5" t="s">
        <v>11712</v>
      </c>
      <c r="K1639" s="5" t="s">
        <v>11495</v>
      </c>
      <c r="L1639" s="5"/>
      <c r="M1639" s="5" t="s">
        <v>1894</v>
      </c>
      <c r="N1639" s="5" t="s">
        <v>1894</v>
      </c>
      <c r="O1639" s="5" t="s">
        <v>11387</v>
      </c>
      <c r="P1639" s="5"/>
      <c r="Q1639" s="5" t="s">
        <v>11713</v>
      </c>
    </row>
    <row r="1640" spans="2:17" x14ac:dyDescent="0.2">
      <c r="B1640" s="5" t="s">
        <v>11377</v>
      </c>
      <c r="C1640" s="6" t="s">
        <v>13589</v>
      </c>
      <c r="D1640" s="4">
        <v>1347</v>
      </c>
      <c r="E1640" s="5" t="s">
        <v>32</v>
      </c>
      <c r="F1640" s="5" t="s">
        <v>11665</v>
      </c>
      <c r="G1640" s="6" t="s">
        <v>14</v>
      </c>
      <c r="H1640" s="4">
        <v>637</v>
      </c>
      <c r="I1640" s="5" t="s">
        <v>22</v>
      </c>
      <c r="J1640" s="5" t="s">
        <v>11666</v>
      </c>
      <c r="K1640" s="5" t="s">
        <v>9006</v>
      </c>
      <c r="L1640" s="5"/>
      <c r="M1640" s="5" t="s">
        <v>1596</v>
      </c>
      <c r="N1640" s="5" t="s">
        <v>1596</v>
      </c>
      <c r="O1640" s="5" t="s">
        <v>11384</v>
      </c>
      <c r="P1640" s="5"/>
      <c r="Q1640" s="5" t="s">
        <v>11667</v>
      </c>
    </row>
    <row r="1641" spans="2:17" x14ac:dyDescent="0.2">
      <c r="B1641" s="5" t="s">
        <v>11377</v>
      </c>
      <c r="C1641" s="6" t="s">
        <v>13589</v>
      </c>
      <c r="D1641" s="4">
        <v>1356</v>
      </c>
      <c r="E1641" s="5" t="s">
        <v>15</v>
      </c>
      <c r="F1641" s="5" t="s">
        <v>11626</v>
      </c>
      <c r="G1641" s="6" t="s">
        <v>14</v>
      </c>
      <c r="H1641" s="4">
        <v>638</v>
      </c>
      <c r="I1641" s="5" t="s">
        <v>22</v>
      </c>
      <c r="J1641" s="5" t="s">
        <v>11627</v>
      </c>
      <c r="K1641" s="5" t="s">
        <v>11628</v>
      </c>
      <c r="L1641" s="5"/>
      <c r="M1641" s="5" t="s">
        <v>412</v>
      </c>
      <c r="N1641" s="5" t="s">
        <v>412</v>
      </c>
      <c r="O1641" s="5" t="s">
        <v>11383</v>
      </c>
      <c r="P1641" s="5"/>
      <c r="Q1641" s="5" t="s">
        <v>11629</v>
      </c>
    </row>
    <row r="1642" spans="2:17" x14ac:dyDescent="0.2">
      <c r="B1642" s="5" t="s">
        <v>11377</v>
      </c>
      <c r="C1642" s="6" t="s">
        <v>13589</v>
      </c>
      <c r="D1642" s="4">
        <v>1361</v>
      </c>
      <c r="E1642" s="5" t="s">
        <v>82</v>
      </c>
      <c r="F1642" s="5" t="s">
        <v>11582</v>
      </c>
      <c r="G1642" s="6" t="s">
        <v>14</v>
      </c>
      <c r="H1642" s="4">
        <v>639</v>
      </c>
      <c r="I1642" s="5"/>
      <c r="J1642" s="5" t="s">
        <v>11583</v>
      </c>
      <c r="K1642" s="5" t="s">
        <v>11379</v>
      </c>
      <c r="L1642" s="5"/>
      <c r="M1642" s="5" t="s">
        <v>346</v>
      </c>
      <c r="N1642" s="5" t="s">
        <v>2089</v>
      </c>
      <c r="O1642" s="5" t="s">
        <v>11380</v>
      </c>
      <c r="P1642" s="5"/>
      <c r="Q1642" s="5" t="s">
        <v>11584</v>
      </c>
    </row>
    <row r="1643" spans="2:17" x14ac:dyDescent="0.2">
      <c r="B1643" s="5" t="s">
        <v>11377</v>
      </c>
      <c r="C1643" s="6" t="s">
        <v>13589</v>
      </c>
      <c r="D1643" s="4">
        <v>1362</v>
      </c>
      <c r="E1643" s="5" t="s">
        <v>35</v>
      </c>
      <c r="F1643" s="5" t="s">
        <v>11579</v>
      </c>
      <c r="G1643" s="6" t="s">
        <v>14</v>
      </c>
      <c r="H1643" s="4">
        <v>640</v>
      </c>
      <c r="I1643" s="5"/>
      <c r="J1643" s="5" t="s">
        <v>11580</v>
      </c>
      <c r="K1643" s="5" t="s">
        <v>11533</v>
      </c>
      <c r="L1643" s="5"/>
      <c r="M1643" s="5" t="s">
        <v>1464</v>
      </c>
      <c r="N1643" s="5" t="s">
        <v>2089</v>
      </c>
      <c r="O1643" s="5" t="s">
        <v>11387</v>
      </c>
      <c r="P1643" s="5"/>
      <c r="Q1643" s="5" t="s">
        <v>11581</v>
      </c>
    </row>
    <row r="1644" spans="2:17" x14ac:dyDescent="0.2">
      <c r="B1644" s="5" t="s">
        <v>11377</v>
      </c>
      <c r="C1644" s="6" t="s">
        <v>13589</v>
      </c>
      <c r="D1644" s="4">
        <v>1363</v>
      </c>
      <c r="E1644" s="5" t="s">
        <v>35</v>
      </c>
      <c r="F1644" s="5" t="s">
        <v>11576</v>
      </c>
      <c r="G1644" s="6" t="s">
        <v>14</v>
      </c>
      <c r="H1644" s="4">
        <v>641</v>
      </c>
      <c r="I1644" s="5"/>
      <c r="J1644" s="5" t="s">
        <v>11577</v>
      </c>
      <c r="K1644" s="5" t="s">
        <v>3828</v>
      </c>
      <c r="L1644" s="5"/>
      <c r="M1644" s="5" t="s">
        <v>1821</v>
      </c>
      <c r="N1644" s="5" t="s">
        <v>1821</v>
      </c>
      <c r="O1644" s="5" t="s">
        <v>11387</v>
      </c>
      <c r="P1644" s="5"/>
      <c r="Q1644" s="5" t="s">
        <v>11578</v>
      </c>
    </row>
    <row r="1645" spans="2:17" x14ac:dyDescent="0.2">
      <c r="B1645" s="5" t="s">
        <v>11377</v>
      </c>
      <c r="C1645" s="6" t="s">
        <v>13589</v>
      </c>
      <c r="D1645" s="4">
        <v>1366</v>
      </c>
      <c r="E1645" s="5" t="s">
        <v>35</v>
      </c>
      <c r="F1645" s="5" t="s">
        <v>11556</v>
      </c>
      <c r="G1645" s="6" t="s">
        <v>14</v>
      </c>
      <c r="H1645" s="4">
        <v>642</v>
      </c>
      <c r="I1645" s="5"/>
      <c r="J1645" s="5" t="s">
        <v>11557</v>
      </c>
      <c r="K1645" s="5" t="s">
        <v>11533</v>
      </c>
      <c r="L1645" s="5"/>
      <c r="M1645" s="5" t="s">
        <v>336</v>
      </c>
      <c r="N1645" s="5" t="s">
        <v>106</v>
      </c>
      <c r="O1645" s="5" t="s">
        <v>11387</v>
      </c>
      <c r="P1645" s="5"/>
      <c r="Q1645" s="5" t="s">
        <v>11558</v>
      </c>
    </row>
    <row r="1646" spans="2:17" x14ac:dyDescent="0.2">
      <c r="B1646" s="5" t="s">
        <v>11377</v>
      </c>
      <c r="C1646" s="6" t="s">
        <v>13589</v>
      </c>
      <c r="D1646" s="4">
        <v>1371</v>
      </c>
      <c r="E1646" s="5" t="s">
        <v>35</v>
      </c>
      <c r="F1646" s="5" t="s">
        <v>11531</v>
      </c>
      <c r="G1646" s="6" t="s">
        <v>14</v>
      </c>
      <c r="H1646" s="4">
        <v>643</v>
      </c>
      <c r="I1646" s="5"/>
      <c r="J1646" s="5" t="s">
        <v>11532</v>
      </c>
      <c r="K1646" s="5" t="s">
        <v>11533</v>
      </c>
      <c r="L1646" s="5"/>
      <c r="M1646" s="5" t="s">
        <v>295</v>
      </c>
      <c r="N1646" s="5" t="s">
        <v>295</v>
      </c>
      <c r="O1646" s="5" t="s">
        <v>11387</v>
      </c>
      <c r="P1646" s="5"/>
      <c r="Q1646" s="5" t="s">
        <v>11534</v>
      </c>
    </row>
    <row r="1647" spans="2:17" x14ac:dyDescent="0.2">
      <c r="B1647" s="5" t="s">
        <v>11377</v>
      </c>
      <c r="C1647" s="6" t="s">
        <v>13589</v>
      </c>
      <c r="D1647" s="4">
        <v>1373</v>
      </c>
      <c r="E1647" s="5" t="s">
        <v>32</v>
      </c>
      <c r="F1647" s="5" t="s">
        <v>5841</v>
      </c>
      <c r="G1647" s="6" t="s">
        <v>14</v>
      </c>
      <c r="H1647" s="4">
        <v>644</v>
      </c>
      <c r="I1647" s="5" t="s">
        <v>22</v>
      </c>
      <c r="J1647" s="5" t="s">
        <v>11528</v>
      </c>
      <c r="K1647" s="5" t="s">
        <v>11529</v>
      </c>
      <c r="L1647" s="5"/>
      <c r="M1647" s="5" t="s">
        <v>295</v>
      </c>
      <c r="N1647" s="5" t="s">
        <v>302</v>
      </c>
      <c r="O1647" s="5" t="s">
        <v>11387</v>
      </c>
      <c r="P1647" s="5"/>
      <c r="Q1647" s="5" t="s">
        <v>11530</v>
      </c>
    </row>
    <row r="1648" spans="2:17" x14ac:dyDescent="0.2">
      <c r="B1648" s="5" t="s">
        <v>11377</v>
      </c>
      <c r="C1648" s="6" t="s">
        <v>13589</v>
      </c>
      <c r="D1648" s="4">
        <v>1376</v>
      </c>
      <c r="E1648" s="5" t="s">
        <v>32</v>
      </c>
      <c r="F1648" s="5" t="s">
        <v>11512</v>
      </c>
      <c r="G1648" s="6" t="s">
        <v>14</v>
      </c>
      <c r="H1648" s="4">
        <v>645</v>
      </c>
      <c r="I1648" s="5" t="s">
        <v>22</v>
      </c>
      <c r="J1648" s="5" t="s">
        <v>11513</v>
      </c>
      <c r="K1648" s="5" t="s">
        <v>11514</v>
      </c>
      <c r="L1648" s="5" t="s">
        <v>11515</v>
      </c>
      <c r="M1648" s="5" t="s">
        <v>1750</v>
      </c>
      <c r="N1648" s="5" t="s">
        <v>1751</v>
      </c>
      <c r="O1648" s="5" t="s">
        <v>11378</v>
      </c>
      <c r="P1648" s="5"/>
      <c r="Q1648" s="5" t="s">
        <v>11516</v>
      </c>
    </row>
    <row r="1649" spans="2:17" x14ac:dyDescent="0.2">
      <c r="B1649" s="5" t="s">
        <v>11377</v>
      </c>
      <c r="C1649" s="6" t="s">
        <v>13589</v>
      </c>
      <c r="D1649" s="4">
        <v>1377</v>
      </c>
      <c r="E1649" s="5" t="s">
        <v>32</v>
      </c>
      <c r="F1649" s="5" t="s">
        <v>11512</v>
      </c>
      <c r="G1649" s="6" t="s">
        <v>14</v>
      </c>
      <c r="H1649" s="4">
        <v>646</v>
      </c>
      <c r="I1649" s="5" t="s">
        <v>22</v>
      </c>
      <c r="J1649" s="5" t="s">
        <v>11517</v>
      </c>
      <c r="K1649" s="5" t="s">
        <v>11518</v>
      </c>
      <c r="L1649" s="5" t="s">
        <v>11519</v>
      </c>
      <c r="M1649" s="5" t="s">
        <v>1750</v>
      </c>
      <c r="N1649" s="5" t="s">
        <v>1751</v>
      </c>
      <c r="O1649" s="5" t="s">
        <v>11520</v>
      </c>
      <c r="P1649" s="5"/>
      <c r="Q1649" s="5" t="s">
        <v>11521</v>
      </c>
    </row>
    <row r="1650" spans="2:17" x14ac:dyDescent="0.2">
      <c r="B1650" s="5" t="s">
        <v>11377</v>
      </c>
      <c r="C1650" s="6" t="s">
        <v>13589</v>
      </c>
      <c r="D1650" s="4">
        <v>1378</v>
      </c>
      <c r="E1650" s="5" t="s">
        <v>32</v>
      </c>
      <c r="F1650" s="5" t="s">
        <v>11512</v>
      </c>
      <c r="G1650" s="6" t="s">
        <v>14</v>
      </c>
      <c r="H1650" s="4">
        <v>647</v>
      </c>
      <c r="I1650" s="5" t="s">
        <v>22</v>
      </c>
      <c r="J1650" s="5" t="s">
        <v>11522</v>
      </c>
      <c r="K1650" s="5" t="s">
        <v>11461</v>
      </c>
      <c r="L1650" s="5" t="s">
        <v>11523</v>
      </c>
      <c r="M1650" s="5" t="s">
        <v>1750</v>
      </c>
      <c r="N1650" s="5" t="s">
        <v>1751</v>
      </c>
      <c r="O1650" s="5" t="s">
        <v>11380</v>
      </c>
      <c r="P1650" s="5"/>
      <c r="Q1650" s="5" t="s">
        <v>11524</v>
      </c>
    </row>
    <row r="1651" spans="2:17" x14ac:dyDescent="0.2">
      <c r="B1651" s="5" t="s">
        <v>11377</v>
      </c>
      <c r="C1651" s="6" t="s">
        <v>13589</v>
      </c>
      <c r="D1651" s="4">
        <v>1379</v>
      </c>
      <c r="E1651" s="5" t="s">
        <v>32</v>
      </c>
      <c r="F1651" s="5" t="s">
        <v>11512</v>
      </c>
      <c r="G1651" s="6" t="s">
        <v>14</v>
      </c>
      <c r="H1651" s="4">
        <v>648</v>
      </c>
      <c r="I1651" s="5" t="s">
        <v>22</v>
      </c>
      <c r="J1651" s="5" t="s">
        <v>11525</v>
      </c>
      <c r="K1651" s="5" t="s">
        <v>11526</v>
      </c>
      <c r="L1651" s="5"/>
      <c r="M1651" s="5" t="s">
        <v>1750</v>
      </c>
      <c r="N1651" s="5" t="s">
        <v>1751</v>
      </c>
      <c r="O1651" s="5" t="s">
        <v>11387</v>
      </c>
      <c r="P1651" s="5"/>
      <c r="Q1651" s="5" t="s">
        <v>11527</v>
      </c>
    </row>
    <row r="1652" spans="2:17" x14ac:dyDescent="0.2">
      <c r="B1652" s="5" t="s">
        <v>11377</v>
      </c>
      <c r="C1652" s="6" t="s">
        <v>13589</v>
      </c>
      <c r="D1652" s="4">
        <v>1380</v>
      </c>
      <c r="E1652" s="5" t="s">
        <v>32</v>
      </c>
      <c r="F1652" s="5" t="s">
        <v>11503</v>
      </c>
      <c r="G1652" s="6" t="s">
        <v>14</v>
      </c>
      <c r="H1652" s="4">
        <v>649</v>
      </c>
      <c r="I1652" s="5" t="s">
        <v>22</v>
      </c>
      <c r="J1652" s="5" t="s">
        <v>11504</v>
      </c>
      <c r="K1652" s="5" t="s">
        <v>11505</v>
      </c>
      <c r="L1652" s="5"/>
      <c r="M1652" s="5" t="s">
        <v>291</v>
      </c>
      <c r="N1652" s="5" t="s">
        <v>284</v>
      </c>
      <c r="O1652" s="5" t="s">
        <v>11384</v>
      </c>
      <c r="P1652" s="5"/>
      <c r="Q1652" s="5" t="s">
        <v>11506</v>
      </c>
    </row>
    <row r="1653" spans="2:17" x14ac:dyDescent="0.2">
      <c r="B1653" s="5" t="s">
        <v>11377</v>
      </c>
      <c r="C1653" s="6" t="s">
        <v>13589</v>
      </c>
      <c r="D1653" s="4">
        <v>1387</v>
      </c>
      <c r="E1653" s="5" t="s">
        <v>32</v>
      </c>
      <c r="F1653" s="5" t="s">
        <v>11476</v>
      </c>
      <c r="G1653" s="6" t="s">
        <v>14</v>
      </c>
      <c r="H1653" s="4">
        <v>650</v>
      </c>
      <c r="I1653" s="5" t="s">
        <v>22</v>
      </c>
      <c r="J1653" s="5" t="s">
        <v>11477</v>
      </c>
      <c r="K1653" s="5" t="s">
        <v>11478</v>
      </c>
      <c r="L1653" s="5"/>
      <c r="M1653" s="5" t="s">
        <v>1269</v>
      </c>
      <c r="N1653" s="5" t="s">
        <v>1258</v>
      </c>
      <c r="O1653" s="5" t="s">
        <v>11384</v>
      </c>
      <c r="P1653" s="5"/>
      <c r="Q1653" s="5" t="s">
        <v>11479</v>
      </c>
    </row>
    <row r="1654" spans="2:17" x14ac:dyDescent="0.2">
      <c r="B1654" s="5" t="s">
        <v>11377</v>
      </c>
      <c r="C1654" s="6" t="s">
        <v>13589</v>
      </c>
      <c r="D1654" s="4">
        <v>1389</v>
      </c>
      <c r="E1654" s="5" t="s">
        <v>32</v>
      </c>
      <c r="F1654" s="5" t="s">
        <v>11459</v>
      </c>
      <c r="G1654" s="6" t="s">
        <v>14</v>
      </c>
      <c r="H1654" s="4">
        <v>651</v>
      </c>
      <c r="I1654" s="5" t="s">
        <v>22</v>
      </c>
      <c r="J1654" s="5" t="s">
        <v>11460</v>
      </c>
      <c r="K1654" s="5" t="s">
        <v>11461</v>
      </c>
      <c r="L1654" s="5" t="s">
        <v>11462</v>
      </c>
      <c r="M1654" s="5" t="s">
        <v>1236</v>
      </c>
      <c r="N1654" s="5" t="s">
        <v>1222</v>
      </c>
      <c r="O1654" s="5" t="s">
        <v>11380</v>
      </c>
      <c r="P1654" s="5"/>
      <c r="Q1654" s="5" t="s">
        <v>11463</v>
      </c>
    </row>
    <row r="1655" spans="2:17" x14ac:dyDescent="0.2">
      <c r="B1655" s="5" t="s">
        <v>11377</v>
      </c>
      <c r="C1655" s="6" t="s">
        <v>13589</v>
      </c>
      <c r="D1655" s="4">
        <v>1390</v>
      </c>
      <c r="E1655" s="5" t="s">
        <v>32</v>
      </c>
      <c r="F1655" s="5" t="s">
        <v>11459</v>
      </c>
      <c r="G1655" s="6" t="s">
        <v>14</v>
      </c>
      <c r="H1655" s="4">
        <v>652</v>
      </c>
      <c r="I1655" s="5" t="s">
        <v>22</v>
      </c>
      <c r="J1655" s="5" t="s">
        <v>11464</v>
      </c>
      <c r="K1655" s="5" t="s">
        <v>11465</v>
      </c>
      <c r="L1655" s="5" t="s">
        <v>11466</v>
      </c>
      <c r="M1655" s="5" t="s">
        <v>1236</v>
      </c>
      <c r="N1655" s="5" t="s">
        <v>1222</v>
      </c>
      <c r="O1655" s="5" t="s">
        <v>11387</v>
      </c>
      <c r="P1655" s="5"/>
      <c r="Q1655" s="5" t="s">
        <v>11467</v>
      </c>
    </row>
    <row r="1656" spans="2:17" x14ac:dyDescent="0.2">
      <c r="B1656" s="5" t="s">
        <v>11377</v>
      </c>
      <c r="C1656" s="6" t="s">
        <v>13589</v>
      </c>
      <c r="D1656" s="4">
        <v>1391</v>
      </c>
      <c r="E1656" s="5" t="s">
        <v>32</v>
      </c>
      <c r="F1656" s="5" t="s">
        <v>11459</v>
      </c>
      <c r="G1656" s="6" t="s">
        <v>14</v>
      </c>
      <c r="H1656" s="4">
        <v>653</v>
      </c>
      <c r="I1656" s="5" t="s">
        <v>22</v>
      </c>
      <c r="J1656" s="5" t="s">
        <v>11468</v>
      </c>
      <c r="K1656" s="5" t="s">
        <v>11461</v>
      </c>
      <c r="L1656" s="5" t="s">
        <v>11469</v>
      </c>
      <c r="M1656" s="5" t="s">
        <v>1236</v>
      </c>
      <c r="N1656" s="5" t="s">
        <v>1222</v>
      </c>
      <c r="O1656" s="5" t="s">
        <v>11380</v>
      </c>
      <c r="P1656" s="5"/>
      <c r="Q1656" s="5" t="s">
        <v>11470</v>
      </c>
    </row>
    <row r="1657" spans="2:17" x14ac:dyDescent="0.2">
      <c r="B1657" s="5" t="s">
        <v>11377</v>
      </c>
      <c r="C1657" s="6" t="s">
        <v>13589</v>
      </c>
      <c r="D1657" s="4">
        <v>1393</v>
      </c>
      <c r="E1657" s="5" t="s">
        <v>35</v>
      </c>
      <c r="F1657" s="5" t="s">
        <v>11450</v>
      </c>
      <c r="G1657" s="6" t="s">
        <v>14</v>
      </c>
      <c r="H1657" s="4">
        <v>654</v>
      </c>
      <c r="I1657" s="5"/>
      <c r="J1657" s="5" t="s">
        <v>11451</v>
      </c>
      <c r="K1657" s="5" t="s">
        <v>11379</v>
      </c>
      <c r="L1657" s="5"/>
      <c r="M1657" s="5" t="s">
        <v>2821</v>
      </c>
      <c r="N1657" s="5" t="s">
        <v>1723</v>
      </c>
      <c r="O1657" s="5" t="s">
        <v>11380</v>
      </c>
      <c r="P1657" s="5"/>
      <c r="Q1657" s="5" t="s">
        <v>11452</v>
      </c>
    </row>
    <row r="1658" spans="2:17" x14ac:dyDescent="0.2">
      <c r="B1658" s="5" t="s">
        <v>11377</v>
      </c>
      <c r="C1658" s="6" t="s">
        <v>13589</v>
      </c>
      <c r="D1658" s="4">
        <v>1394</v>
      </c>
      <c r="E1658" s="5" t="s">
        <v>35</v>
      </c>
      <c r="F1658" s="5" t="s">
        <v>11450</v>
      </c>
      <c r="G1658" s="6" t="s">
        <v>14</v>
      </c>
      <c r="H1658" s="4">
        <v>655</v>
      </c>
      <c r="I1658" s="5"/>
      <c r="J1658" s="5" t="s">
        <v>11402</v>
      </c>
      <c r="K1658" s="5" t="s">
        <v>3828</v>
      </c>
      <c r="L1658" s="5"/>
      <c r="M1658" s="5" t="s">
        <v>2821</v>
      </c>
      <c r="N1658" s="5" t="s">
        <v>1723</v>
      </c>
      <c r="O1658" s="5" t="s">
        <v>11387</v>
      </c>
      <c r="P1658" s="5"/>
      <c r="Q1658" s="5" t="s">
        <v>11453</v>
      </c>
    </row>
    <row r="1659" spans="2:17" x14ac:dyDescent="0.2">
      <c r="B1659" s="5" t="s">
        <v>11377</v>
      </c>
      <c r="C1659" s="6" t="s">
        <v>13589</v>
      </c>
      <c r="D1659" s="4">
        <v>1395</v>
      </c>
      <c r="E1659" s="5" t="s">
        <v>15</v>
      </c>
      <c r="F1659" s="5" t="s">
        <v>11447</v>
      </c>
      <c r="G1659" s="6" t="s">
        <v>14</v>
      </c>
      <c r="H1659" s="4">
        <v>656</v>
      </c>
      <c r="I1659" s="5"/>
      <c r="J1659" s="5" t="s">
        <v>11448</v>
      </c>
      <c r="K1659" s="5" t="s">
        <v>3828</v>
      </c>
      <c r="L1659" s="5"/>
      <c r="M1659" s="5" t="s">
        <v>2821</v>
      </c>
      <c r="N1659" s="5" t="s">
        <v>1723</v>
      </c>
      <c r="O1659" s="5" t="s">
        <v>11387</v>
      </c>
      <c r="P1659" s="5"/>
      <c r="Q1659" s="5" t="s">
        <v>11449</v>
      </c>
    </row>
    <row r="1660" spans="2:17" x14ac:dyDescent="0.2">
      <c r="B1660" s="5" t="s">
        <v>11377</v>
      </c>
      <c r="C1660" s="6" t="s">
        <v>13589</v>
      </c>
      <c r="D1660" s="4">
        <v>1398</v>
      </c>
      <c r="E1660" s="5" t="s">
        <v>32</v>
      </c>
      <c r="F1660" s="5" t="s">
        <v>11726</v>
      </c>
      <c r="G1660" s="6" t="s">
        <v>14</v>
      </c>
      <c r="H1660" s="4">
        <v>657</v>
      </c>
      <c r="I1660" s="5" t="s">
        <v>38</v>
      </c>
      <c r="J1660" s="5" t="s">
        <v>11729</v>
      </c>
      <c r="K1660" s="5" t="s">
        <v>11478</v>
      </c>
      <c r="L1660" s="5"/>
      <c r="M1660" s="5" t="s">
        <v>1073</v>
      </c>
      <c r="N1660" s="5" t="s">
        <v>224</v>
      </c>
      <c r="O1660" s="5" t="s">
        <v>11384</v>
      </c>
      <c r="P1660" s="5"/>
      <c r="Q1660" s="5" t="s">
        <v>5095</v>
      </c>
    </row>
    <row r="1661" spans="2:17" x14ac:dyDescent="0.2">
      <c r="B1661" s="5" t="s">
        <v>11377</v>
      </c>
      <c r="C1661" s="6" t="s">
        <v>13589</v>
      </c>
      <c r="D1661" s="4">
        <v>1401</v>
      </c>
      <c r="E1661" s="5" t="s">
        <v>35</v>
      </c>
      <c r="F1661" s="5" t="s">
        <v>11417</v>
      </c>
      <c r="G1661" s="6" t="s">
        <v>14</v>
      </c>
      <c r="H1661" s="4">
        <v>658</v>
      </c>
      <c r="I1661" s="5"/>
      <c r="J1661" s="5" t="s">
        <v>4359</v>
      </c>
      <c r="K1661" s="5" t="s">
        <v>11418</v>
      </c>
      <c r="L1661" s="5"/>
      <c r="M1661" s="5" t="s">
        <v>1715</v>
      </c>
      <c r="N1661" s="5" t="s">
        <v>1208</v>
      </c>
      <c r="O1661" s="5" t="s">
        <v>11384</v>
      </c>
      <c r="P1661" s="5"/>
      <c r="Q1661" s="5" t="s">
        <v>11419</v>
      </c>
    </row>
    <row r="1662" spans="2:17" x14ac:dyDescent="0.2">
      <c r="B1662" s="5" t="s">
        <v>11377</v>
      </c>
      <c r="C1662" s="6" t="s">
        <v>13589</v>
      </c>
      <c r="D1662" s="4">
        <v>1402</v>
      </c>
      <c r="E1662" s="5" t="s">
        <v>13</v>
      </c>
      <c r="F1662" s="5" t="s">
        <v>11409</v>
      </c>
      <c r="G1662" s="6" t="s">
        <v>14</v>
      </c>
      <c r="H1662" s="4">
        <v>659</v>
      </c>
      <c r="I1662" s="5"/>
      <c r="J1662" s="5" t="s">
        <v>11410</v>
      </c>
      <c r="K1662" s="5" t="s">
        <v>11394</v>
      </c>
      <c r="L1662" s="5"/>
      <c r="M1662" s="5" t="s">
        <v>1208</v>
      </c>
      <c r="N1662" s="5" t="s">
        <v>1208</v>
      </c>
      <c r="O1662" s="5" t="s">
        <v>11383</v>
      </c>
      <c r="P1662" s="5"/>
      <c r="Q1662" s="5" t="s">
        <v>11411</v>
      </c>
    </row>
    <row r="1663" spans="2:17" x14ac:dyDescent="0.2">
      <c r="B1663" s="5" t="s">
        <v>11377</v>
      </c>
      <c r="C1663" s="6" t="s">
        <v>13589</v>
      </c>
      <c r="D1663" s="4">
        <v>1416</v>
      </c>
      <c r="E1663" s="5" t="s">
        <v>32</v>
      </c>
      <c r="F1663" s="5" t="s">
        <v>11771</v>
      </c>
      <c r="G1663" s="6" t="s">
        <v>14</v>
      </c>
      <c r="H1663" s="4">
        <v>660</v>
      </c>
      <c r="I1663" s="5" t="s">
        <v>22</v>
      </c>
      <c r="J1663" s="5" t="s">
        <v>11772</v>
      </c>
      <c r="K1663" s="5" t="s">
        <v>11773</v>
      </c>
      <c r="L1663" s="5"/>
      <c r="M1663" s="5" t="s">
        <v>4315</v>
      </c>
      <c r="N1663" s="5" t="s">
        <v>260</v>
      </c>
      <c r="O1663" s="5" t="s">
        <v>11383</v>
      </c>
      <c r="P1663" s="5"/>
      <c r="Q1663" s="5" t="s">
        <v>11774</v>
      </c>
    </row>
    <row r="1664" spans="2:17" x14ac:dyDescent="0.2">
      <c r="B1664" s="5" t="s">
        <v>11377</v>
      </c>
      <c r="C1664" s="6" t="s">
        <v>13589</v>
      </c>
      <c r="D1664" s="4">
        <v>1417</v>
      </c>
      <c r="E1664" s="5" t="s">
        <v>15</v>
      </c>
      <c r="F1664" s="5" t="s">
        <v>11397</v>
      </c>
      <c r="G1664" s="6" t="s">
        <v>14</v>
      </c>
      <c r="H1664" s="4">
        <v>661</v>
      </c>
      <c r="I1664" s="5"/>
      <c r="J1664" s="5" t="s">
        <v>11398</v>
      </c>
      <c r="K1664" s="5" t="s">
        <v>11399</v>
      </c>
      <c r="L1664" s="5"/>
      <c r="M1664" s="5" t="s">
        <v>2807</v>
      </c>
      <c r="N1664" s="5" t="s">
        <v>3997</v>
      </c>
      <c r="O1664" s="5" t="s">
        <v>11380</v>
      </c>
      <c r="P1664" s="5"/>
      <c r="Q1664" s="5" t="s">
        <v>11400</v>
      </c>
    </row>
    <row r="1665" spans="2:17" x14ac:dyDescent="0.2">
      <c r="B1665" s="5" t="s">
        <v>11377</v>
      </c>
      <c r="C1665" s="6" t="s">
        <v>13589</v>
      </c>
      <c r="D1665" s="4">
        <v>1419</v>
      </c>
      <c r="E1665" s="5" t="s">
        <v>32</v>
      </c>
      <c r="F1665" s="5" t="s">
        <v>11766</v>
      </c>
      <c r="G1665" s="6" t="s">
        <v>14</v>
      </c>
      <c r="H1665" s="4">
        <v>662</v>
      </c>
      <c r="I1665" s="5" t="s">
        <v>22</v>
      </c>
      <c r="J1665" s="5" t="s">
        <v>11767</v>
      </c>
      <c r="K1665" s="5" t="s">
        <v>11393</v>
      </c>
      <c r="L1665" s="5"/>
      <c r="M1665" s="5" t="s">
        <v>1122</v>
      </c>
      <c r="N1665" s="5" t="s">
        <v>1150</v>
      </c>
      <c r="O1665" s="5" t="s">
        <v>11383</v>
      </c>
      <c r="P1665" s="5"/>
      <c r="Q1665" s="5" t="s">
        <v>11768</v>
      </c>
    </row>
    <row r="1666" spans="2:17" x14ac:dyDescent="0.2">
      <c r="B1666" s="5" t="s">
        <v>11377</v>
      </c>
      <c r="C1666" s="6" t="s">
        <v>13589</v>
      </c>
      <c r="D1666" s="4">
        <v>1420</v>
      </c>
      <c r="E1666" s="5" t="s">
        <v>32</v>
      </c>
      <c r="F1666" s="5" t="s">
        <v>89</v>
      </c>
      <c r="G1666" s="6" t="s">
        <v>14</v>
      </c>
      <c r="H1666" s="4">
        <v>663</v>
      </c>
      <c r="I1666" s="5" t="s">
        <v>22</v>
      </c>
      <c r="J1666" s="5" t="s">
        <v>11769</v>
      </c>
      <c r="K1666" s="5" t="s">
        <v>11495</v>
      </c>
      <c r="L1666" s="5"/>
      <c r="M1666" s="5" t="s">
        <v>1122</v>
      </c>
      <c r="N1666" s="5" t="s">
        <v>1902</v>
      </c>
      <c r="O1666" s="5" t="s">
        <v>11387</v>
      </c>
      <c r="P1666" s="5"/>
      <c r="Q1666" s="5" t="s">
        <v>11770</v>
      </c>
    </row>
    <row r="1667" spans="2:17" x14ac:dyDescent="0.2">
      <c r="B1667" s="5" t="s">
        <v>11377</v>
      </c>
      <c r="C1667" s="6" t="s">
        <v>13589</v>
      </c>
      <c r="D1667" s="4">
        <v>1423</v>
      </c>
      <c r="E1667" s="5" t="s">
        <v>32</v>
      </c>
      <c r="F1667" s="5" t="s">
        <v>11585</v>
      </c>
      <c r="G1667" s="6" t="s">
        <v>14</v>
      </c>
      <c r="H1667" s="4">
        <v>664</v>
      </c>
      <c r="I1667" s="5" t="s">
        <v>22</v>
      </c>
      <c r="J1667" s="5" t="s">
        <v>11586</v>
      </c>
      <c r="K1667" s="5" t="s">
        <v>11587</v>
      </c>
      <c r="L1667" s="5" t="s">
        <v>11588</v>
      </c>
      <c r="M1667" s="5" t="s">
        <v>359</v>
      </c>
      <c r="N1667" s="5" t="s">
        <v>3094</v>
      </c>
      <c r="O1667" s="5" t="s">
        <v>11380</v>
      </c>
      <c r="P1667" s="5"/>
      <c r="Q1667" s="5" t="s">
        <v>11589</v>
      </c>
    </row>
    <row r="1668" spans="2:17" x14ac:dyDescent="0.2">
      <c r="B1668" s="5" t="s">
        <v>11775</v>
      </c>
      <c r="C1668" s="6" t="s">
        <v>13589</v>
      </c>
      <c r="D1668" s="4">
        <v>1427</v>
      </c>
      <c r="E1668" s="5" t="s">
        <v>13</v>
      </c>
      <c r="F1668" s="5" t="s">
        <v>12391</v>
      </c>
      <c r="G1668" s="6" t="s">
        <v>14</v>
      </c>
      <c r="H1668" s="4">
        <v>665</v>
      </c>
      <c r="I1668" s="5"/>
      <c r="J1668" s="5" t="s">
        <v>12392</v>
      </c>
      <c r="K1668" s="5" t="s">
        <v>11798</v>
      </c>
      <c r="L1668" s="5"/>
      <c r="M1668" s="5" t="s">
        <v>5430</v>
      </c>
      <c r="N1668" s="5" t="s">
        <v>5430</v>
      </c>
      <c r="O1668" s="5" t="s">
        <v>11782</v>
      </c>
      <c r="P1668" s="5"/>
      <c r="Q1668" s="5" t="s">
        <v>12393</v>
      </c>
    </row>
    <row r="1669" spans="2:17" x14ac:dyDescent="0.2">
      <c r="B1669" s="5" t="s">
        <v>11775</v>
      </c>
      <c r="C1669" s="6" t="s">
        <v>13589</v>
      </c>
      <c r="D1669" s="4">
        <v>1428</v>
      </c>
      <c r="E1669" s="5" t="s">
        <v>20</v>
      </c>
      <c r="F1669" s="5" t="s">
        <v>12291</v>
      </c>
      <c r="G1669" s="6" t="s">
        <v>14</v>
      </c>
      <c r="H1669" s="4">
        <v>666</v>
      </c>
      <c r="I1669" s="5" t="s">
        <v>22</v>
      </c>
      <c r="J1669" s="5" t="s">
        <v>12319</v>
      </c>
      <c r="K1669" s="5" t="s">
        <v>12320</v>
      </c>
      <c r="L1669" s="5"/>
      <c r="M1669" s="5" t="s">
        <v>479</v>
      </c>
      <c r="N1669" s="5" t="s">
        <v>3906</v>
      </c>
      <c r="O1669" s="5" t="s">
        <v>11783</v>
      </c>
      <c r="P1669" s="5" t="s">
        <v>12321</v>
      </c>
      <c r="Q1669" s="5" t="s">
        <v>12322</v>
      </c>
    </row>
    <row r="1670" spans="2:17" x14ac:dyDescent="0.2">
      <c r="B1670" s="5" t="s">
        <v>11775</v>
      </c>
      <c r="C1670" s="6" t="s">
        <v>13589</v>
      </c>
      <c r="D1670" s="4">
        <v>1429</v>
      </c>
      <c r="E1670" s="5" t="s">
        <v>20</v>
      </c>
      <c r="F1670" s="5" t="s">
        <v>12291</v>
      </c>
      <c r="G1670" s="6" t="s">
        <v>14</v>
      </c>
      <c r="H1670" s="4">
        <v>667</v>
      </c>
      <c r="I1670" s="5" t="s">
        <v>22</v>
      </c>
      <c r="J1670" s="5" t="s">
        <v>12326</v>
      </c>
      <c r="K1670" s="5" t="s">
        <v>12327</v>
      </c>
      <c r="L1670" s="5"/>
      <c r="M1670" s="5" t="s">
        <v>479</v>
      </c>
      <c r="N1670" s="5" t="s">
        <v>3906</v>
      </c>
      <c r="O1670" s="5" t="s">
        <v>11783</v>
      </c>
      <c r="P1670" s="5"/>
      <c r="Q1670" s="5" t="s">
        <v>12328</v>
      </c>
    </row>
    <row r="1671" spans="2:17" x14ac:dyDescent="0.2">
      <c r="B1671" s="5" t="s">
        <v>11775</v>
      </c>
      <c r="C1671" s="6" t="s">
        <v>13589</v>
      </c>
      <c r="D1671" s="4">
        <v>1430</v>
      </c>
      <c r="E1671" s="5" t="s">
        <v>20</v>
      </c>
      <c r="F1671" s="5" t="s">
        <v>12291</v>
      </c>
      <c r="G1671" s="6" t="s">
        <v>14</v>
      </c>
      <c r="H1671" s="4">
        <v>668</v>
      </c>
      <c r="I1671" s="5" t="s">
        <v>22</v>
      </c>
      <c r="J1671" s="5" t="s">
        <v>12351</v>
      </c>
      <c r="K1671" s="5" t="s">
        <v>12352</v>
      </c>
      <c r="L1671" s="5" t="s">
        <v>12353</v>
      </c>
      <c r="M1671" s="5" t="s">
        <v>479</v>
      </c>
      <c r="N1671" s="5" t="s">
        <v>3906</v>
      </c>
      <c r="O1671" s="5" t="s">
        <v>11783</v>
      </c>
      <c r="P1671" s="5"/>
      <c r="Q1671" s="5" t="s">
        <v>12354</v>
      </c>
    </row>
    <row r="1672" spans="2:17" x14ac:dyDescent="0.2">
      <c r="B1672" s="5" t="s">
        <v>11775</v>
      </c>
      <c r="C1672" s="6" t="s">
        <v>13589</v>
      </c>
      <c r="D1672" s="4">
        <v>1431</v>
      </c>
      <c r="E1672" s="5" t="s">
        <v>20</v>
      </c>
      <c r="F1672" s="5" t="s">
        <v>12291</v>
      </c>
      <c r="G1672" s="6" t="s">
        <v>14</v>
      </c>
      <c r="H1672" s="4">
        <v>669</v>
      </c>
      <c r="I1672" s="5" t="s">
        <v>38</v>
      </c>
      <c r="J1672" s="5" t="s">
        <v>12355</v>
      </c>
      <c r="K1672" s="5" t="s">
        <v>12356</v>
      </c>
      <c r="L1672" s="5" t="s">
        <v>12357</v>
      </c>
      <c r="M1672" s="5" t="s">
        <v>479</v>
      </c>
      <c r="N1672" s="5" t="s">
        <v>3906</v>
      </c>
      <c r="O1672" s="5" t="s">
        <v>11783</v>
      </c>
      <c r="P1672" s="5"/>
      <c r="Q1672" s="5" t="s">
        <v>12358</v>
      </c>
    </row>
    <row r="1673" spans="2:17" x14ac:dyDescent="0.2">
      <c r="B1673" s="5" t="s">
        <v>11775</v>
      </c>
      <c r="C1673" s="6" t="s">
        <v>13589</v>
      </c>
      <c r="D1673" s="4">
        <v>1432</v>
      </c>
      <c r="E1673" s="5" t="s">
        <v>20</v>
      </c>
      <c r="F1673" s="5" t="s">
        <v>12291</v>
      </c>
      <c r="G1673" s="6" t="s">
        <v>14</v>
      </c>
      <c r="H1673" s="4">
        <v>670</v>
      </c>
      <c r="I1673" s="5" t="s">
        <v>38</v>
      </c>
      <c r="J1673" s="5" t="s">
        <v>12359</v>
      </c>
      <c r="K1673" s="5" t="s">
        <v>12360</v>
      </c>
      <c r="L1673" s="5"/>
      <c r="M1673" s="5" t="s">
        <v>479</v>
      </c>
      <c r="N1673" s="5" t="s">
        <v>3906</v>
      </c>
      <c r="O1673" s="5" t="s">
        <v>11783</v>
      </c>
      <c r="P1673" s="5"/>
      <c r="Q1673" s="5" t="s">
        <v>12361</v>
      </c>
    </row>
    <row r="1674" spans="2:17" x14ac:dyDescent="0.2">
      <c r="B1674" s="5" t="s">
        <v>11775</v>
      </c>
      <c r="C1674" s="6" t="s">
        <v>13589</v>
      </c>
      <c r="D1674" s="4">
        <v>1433</v>
      </c>
      <c r="E1674" s="5" t="s">
        <v>20</v>
      </c>
      <c r="F1674" s="5" t="s">
        <v>12291</v>
      </c>
      <c r="G1674" s="6" t="s">
        <v>14</v>
      </c>
      <c r="H1674" s="4">
        <v>671</v>
      </c>
      <c r="I1674" s="5" t="s">
        <v>38</v>
      </c>
      <c r="J1674" s="5" t="s">
        <v>12362</v>
      </c>
      <c r="K1674" s="5" t="s">
        <v>12150</v>
      </c>
      <c r="L1674" s="5"/>
      <c r="M1674" s="5" t="s">
        <v>479</v>
      </c>
      <c r="N1674" s="5" t="s">
        <v>3906</v>
      </c>
      <c r="O1674" s="5" t="s">
        <v>11783</v>
      </c>
      <c r="P1674" s="5"/>
      <c r="Q1674" s="5" t="s">
        <v>12363</v>
      </c>
    </row>
    <row r="1675" spans="2:17" x14ac:dyDescent="0.2">
      <c r="B1675" s="5" t="s">
        <v>11775</v>
      </c>
      <c r="C1675" s="6" t="s">
        <v>13589</v>
      </c>
      <c r="D1675" s="4">
        <v>1434</v>
      </c>
      <c r="E1675" s="5" t="s">
        <v>20</v>
      </c>
      <c r="F1675" s="5" t="s">
        <v>12291</v>
      </c>
      <c r="G1675" s="6" t="s">
        <v>14</v>
      </c>
      <c r="H1675" s="4">
        <v>672</v>
      </c>
      <c r="I1675" s="5" t="s">
        <v>22</v>
      </c>
      <c r="J1675" s="5" t="s">
        <v>12298</v>
      </c>
      <c r="K1675" s="5" t="s">
        <v>11804</v>
      </c>
      <c r="L1675" s="5"/>
      <c r="M1675" s="5" t="s">
        <v>479</v>
      </c>
      <c r="N1675" s="5" t="s">
        <v>3906</v>
      </c>
      <c r="O1675" s="5" t="s">
        <v>11782</v>
      </c>
      <c r="P1675" s="5"/>
      <c r="Q1675" s="5" t="s">
        <v>12299</v>
      </c>
    </row>
    <row r="1676" spans="2:17" x14ac:dyDescent="0.2">
      <c r="B1676" s="5" t="s">
        <v>11775</v>
      </c>
      <c r="C1676" s="6" t="s">
        <v>13589</v>
      </c>
      <c r="D1676" s="4">
        <v>1435</v>
      </c>
      <c r="E1676" s="5" t="s">
        <v>20</v>
      </c>
      <c r="F1676" s="5" t="s">
        <v>12291</v>
      </c>
      <c r="G1676" s="6" t="s">
        <v>14</v>
      </c>
      <c r="H1676" s="4">
        <v>673</v>
      </c>
      <c r="I1676" s="5" t="s">
        <v>22</v>
      </c>
      <c r="J1676" s="5" t="s">
        <v>12300</v>
      </c>
      <c r="K1676" s="5" t="s">
        <v>12039</v>
      </c>
      <c r="L1676" s="5"/>
      <c r="M1676" s="5" t="s">
        <v>479</v>
      </c>
      <c r="N1676" s="5" t="s">
        <v>3906</v>
      </c>
      <c r="O1676" s="5" t="s">
        <v>11782</v>
      </c>
      <c r="P1676" s="5"/>
      <c r="Q1676" s="5" t="s">
        <v>12301</v>
      </c>
    </row>
    <row r="1677" spans="2:17" x14ac:dyDescent="0.2">
      <c r="B1677" s="5" t="s">
        <v>11775</v>
      </c>
      <c r="C1677" s="6" t="s">
        <v>13589</v>
      </c>
      <c r="D1677" s="4">
        <v>1436</v>
      </c>
      <c r="E1677" s="5" t="s">
        <v>20</v>
      </c>
      <c r="F1677" s="5" t="s">
        <v>12291</v>
      </c>
      <c r="G1677" s="6" t="s">
        <v>14</v>
      </c>
      <c r="H1677" s="4">
        <v>674</v>
      </c>
      <c r="I1677" s="5" t="s">
        <v>22</v>
      </c>
      <c r="J1677" s="5" t="s">
        <v>12302</v>
      </c>
      <c r="K1677" s="5" t="s">
        <v>12303</v>
      </c>
      <c r="L1677" s="5"/>
      <c r="M1677" s="5" t="s">
        <v>479</v>
      </c>
      <c r="N1677" s="5" t="s">
        <v>3906</v>
      </c>
      <c r="O1677" s="5" t="s">
        <v>11782</v>
      </c>
      <c r="P1677" s="5"/>
      <c r="Q1677" s="5" t="s">
        <v>12304</v>
      </c>
    </row>
    <row r="1678" spans="2:17" x14ac:dyDescent="0.2">
      <c r="B1678" s="5" t="s">
        <v>11775</v>
      </c>
      <c r="C1678" s="6" t="s">
        <v>13589</v>
      </c>
      <c r="D1678" s="4">
        <v>1437</v>
      </c>
      <c r="E1678" s="5" t="s">
        <v>20</v>
      </c>
      <c r="F1678" s="5" t="s">
        <v>12291</v>
      </c>
      <c r="G1678" s="6" t="s">
        <v>14</v>
      </c>
      <c r="H1678" s="4">
        <v>675</v>
      </c>
      <c r="I1678" s="5" t="s">
        <v>22</v>
      </c>
      <c r="J1678" s="5" t="s">
        <v>12364</v>
      </c>
      <c r="K1678" s="5" t="s">
        <v>11801</v>
      </c>
      <c r="L1678" s="5" t="s">
        <v>12365</v>
      </c>
      <c r="M1678" s="5" t="s">
        <v>479</v>
      </c>
      <c r="N1678" s="5" t="s">
        <v>3906</v>
      </c>
      <c r="O1678" s="5" t="s">
        <v>11780</v>
      </c>
      <c r="P1678" s="5"/>
      <c r="Q1678" s="5" t="s">
        <v>12366</v>
      </c>
    </row>
    <row r="1679" spans="2:17" x14ac:dyDescent="0.2">
      <c r="B1679" s="5" t="s">
        <v>11775</v>
      </c>
      <c r="C1679" s="6" t="s">
        <v>13589</v>
      </c>
      <c r="D1679" s="4">
        <v>1438</v>
      </c>
      <c r="E1679" s="5" t="s">
        <v>20</v>
      </c>
      <c r="F1679" s="5" t="s">
        <v>12291</v>
      </c>
      <c r="G1679" s="6" t="s">
        <v>14</v>
      </c>
      <c r="H1679" s="4">
        <v>676</v>
      </c>
      <c r="I1679" s="5" t="s">
        <v>22</v>
      </c>
      <c r="J1679" s="5" t="s">
        <v>12367</v>
      </c>
      <c r="K1679" s="5" t="s">
        <v>12368</v>
      </c>
      <c r="L1679" s="5"/>
      <c r="M1679" s="5" t="s">
        <v>479</v>
      </c>
      <c r="N1679" s="5" t="s">
        <v>3906</v>
      </c>
      <c r="O1679" s="5" t="s">
        <v>11780</v>
      </c>
      <c r="P1679" s="5"/>
      <c r="Q1679" s="5" t="s">
        <v>12369</v>
      </c>
    </row>
    <row r="1680" spans="2:17" x14ac:dyDescent="0.2">
      <c r="B1680" s="5" t="s">
        <v>11775</v>
      </c>
      <c r="C1680" s="6" t="s">
        <v>13589</v>
      </c>
      <c r="D1680" s="4">
        <v>1439</v>
      </c>
      <c r="E1680" s="5" t="s">
        <v>20</v>
      </c>
      <c r="F1680" s="5" t="s">
        <v>12291</v>
      </c>
      <c r="G1680" s="6" t="s">
        <v>14</v>
      </c>
      <c r="H1680" s="4">
        <v>677</v>
      </c>
      <c r="I1680" s="5" t="s">
        <v>22</v>
      </c>
      <c r="J1680" s="5" t="s">
        <v>12292</v>
      </c>
      <c r="K1680" s="5" t="s">
        <v>12293</v>
      </c>
      <c r="L1680" s="5" t="s">
        <v>11787</v>
      </c>
      <c r="M1680" s="5" t="s">
        <v>479</v>
      </c>
      <c r="N1680" s="5" t="s">
        <v>3906</v>
      </c>
      <c r="O1680" s="5" t="s">
        <v>11783</v>
      </c>
      <c r="P1680" s="5"/>
      <c r="Q1680" s="5" t="s">
        <v>12294</v>
      </c>
    </row>
    <row r="1681" spans="2:17" x14ac:dyDescent="0.2">
      <c r="B1681" s="5" t="s">
        <v>11775</v>
      </c>
      <c r="C1681" s="6" t="s">
        <v>13589</v>
      </c>
      <c r="D1681" s="4">
        <v>1440</v>
      </c>
      <c r="E1681" s="5" t="s">
        <v>20</v>
      </c>
      <c r="F1681" s="5" t="s">
        <v>12291</v>
      </c>
      <c r="G1681" s="6" t="s">
        <v>14</v>
      </c>
      <c r="H1681" s="4">
        <v>678</v>
      </c>
      <c r="I1681" s="5" t="s">
        <v>22</v>
      </c>
      <c r="J1681" s="5" t="s">
        <v>12295</v>
      </c>
      <c r="K1681" s="5" t="s">
        <v>11778</v>
      </c>
      <c r="L1681" s="5" t="s">
        <v>12296</v>
      </c>
      <c r="M1681" s="5" t="s">
        <v>479</v>
      </c>
      <c r="N1681" s="5" t="s">
        <v>3906</v>
      </c>
      <c r="O1681" s="5" t="s">
        <v>11780</v>
      </c>
      <c r="P1681" s="5"/>
      <c r="Q1681" s="5" t="s">
        <v>12297</v>
      </c>
    </row>
    <row r="1682" spans="2:17" x14ac:dyDescent="0.2">
      <c r="B1682" s="5" t="s">
        <v>11775</v>
      </c>
      <c r="C1682" s="6" t="s">
        <v>13589</v>
      </c>
      <c r="D1682" s="4">
        <v>1441</v>
      </c>
      <c r="E1682" s="5" t="s">
        <v>20</v>
      </c>
      <c r="F1682" s="5" t="s">
        <v>12291</v>
      </c>
      <c r="G1682" s="6" t="s">
        <v>14</v>
      </c>
      <c r="H1682" s="4">
        <v>679</v>
      </c>
      <c r="I1682" s="5" t="s">
        <v>22</v>
      </c>
      <c r="J1682" s="5" t="s">
        <v>12305</v>
      </c>
      <c r="K1682" s="5" t="s">
        <v>11799</v>
      </c>
      <c r="L1682" s="5" t="s">
        <v>12306</v>
      </c>
      <c r="M1682" s="5" t="s">
        <v>479</v>
      </c>
      <c r="N1682" s="5" t="s">
        <v>3906</v>
      </c>
      <c r="O1682" s="5" t="s">
        <v>11782</v>
      </c>
      <c r="P1682" s="5"/>
      <c r="Q1682" s="5" t="s">
        <v>12307</v>
      </c>
    </row>
    <row r="1683" spans="2:17" x14ac:dyDescent="0.2">
      <c r="B1683" s="5" t="s">
        <v>11775</v>
      </c>
      <c r="C1683" s="6" t="s">
        <v>13589</v>
      </c>
      <c r="D1683" s="4">
        <v>1442</v>
      </c>
      <c r="E1683" s="5" t="s">
        <v>20</v>
      </c>
      <c r="F1683" s="5" t="s">
        <v>12291</v>
      </c>
      <c r="G1683" s="6" t="s">
        <v>14</v>
      </c>
      <c r="H1683" s="4">
        <v>680</v>
      </c>
      <c r="I1683" s="5" t="s">
        <v>22</v>
      </c>
      <c r="J1683" s="5" t="s">
        <v>12308</v>
      </c>
      <c r="K1683" s="5" t="s">
        <v>12309</v>
      </c>
      <c r="L1683" s="5"/>
      <c r="M1683" s="5" t="s">
        <v>479</v>
      </c>
      <c r="N1683" s="5" t="s">
        <v>3906</v>
      </c>
      <c r="O1683" s="5" t="s">
        <v>11782</v>
      </c>
      <c r="P1683" s="5"/>
      <c r="Q1683" s="5" t="s">
        <v>12310</v>
      </c>
    </row>
    <row r="1684" spans="2:17" x14ac:dyDescent="0.2">
      <c r="B1684" s="5" t="s">
        <v>11775</v>
      </c>
      <c r="C1684" s="6" t="s">
        <v>13589</v>
      </c>
      <c r="D1684" s="4">
        <v>1443</v>
      </c>
      <c r="E1684" s="5" t="s">
        <v>20</v>
      </c>
      <c r="F1684" s="5" t="s">
        <v>12291</v>
      </c>
      <c r="G1684" s="6" t="s">
        <v>14</v>
      </c>
      <c r="H1684" s="4">
        <v>681</v>
      </c>
      <c r="I1684" s="5" t="s">
        <v>22</v>
      </c>
      <c r="J1684" s="5" t="s">
        <v>12311</v>
      </c>
      <c r="K1684" s="5" t="s">
        <v>12312</v>
      </c>
      <c r="L1684" s="5" t="s">
        <v>12313</v>
      </c>
      <c r="M1684" s="5" t="s">
        <v>479</v>
      </c>
      <c r="N1684" s="5" t="s">
        <v>3906</v>
      </c>
      <c r="O1684" s="5" t="s">
        <v>11782</v>
      </c>
      <c r="P1684" s="5"/>
      <c r="Q1684" s="5" t="s">
        <v>9462</v>
      </c>
    </row>
    <row r="1685" spans="2:17" x14ac:dyDescent="0.2">
      <c r="B1685" s="5" t="s">
        <v>11775</v>
      </c>
      <c r="C1685" s="6" t="s">
        <v>13589</v>
      </c>
      <c r="D1685" s="4">
        <v>1444</v>
      </c>
      <c r="E1685" s="5" t="s">
        <v>20</v>
      </c>
      <c r="F1685" s="5" t="s">
        <v>12291</v>
      </c>
      <c r="G1685" s="6" t="s">
        <v>14</v>
      </c>
      <c r="H1685" s="4">
        <v>682</v>
      </c>
      <c r="I1685" s="5" t="s">
        <v>22</v>
      </c>
      <c r="J1685" s="5" t="s">
        <v>12314</v>
      </c>
      <c r="K1685" s="5" t="s">
        <v>11799</v>
      </c>
      <c r="L1685" s="5"/>
      <c r="M1685" s="5" t="s">
        <v>479</v>
      </c>
      <c r="N1685" s="5" t="s">
        <v>3906</v>
      </c>
      <c r="O1685" s="5" t="s">
        <v>11782</v>
      </c>
      <c r="P1685" s="5"/>
      <c r="Q1685" s="5" t="s">
        <v>9543</v>
      </c>
    </row>
    <row r="1686" spans="2:17" x14ac:dyDescent="0.2">
      <c r="B1686" s="5" t="s">
        <v>11775</v>
      </c>
      <c r="C1686" s="6" t="s">
        <v>13589</v>
      </c>
      <c r="D1686" s="4">
        <v>1445</v>
      </c>
      <c r="E1686" s="5" t="s">
        <v>20</v>
      </c>
      <c r="F1686" s="5" t="s">
        <v>12291</v>
      </c>
      <c r="G1686" s="6" t="s">
        <v>14</v>
      </c>
      <c r="H1686" s="4">
        <v>683</v>
      </c>
      <c r="I1686" s="5" t="s">
        <v>22</v>
      </c>
      <c r="J1686" s="5" t="s">
        <v>12315</v>
      </c>
      <c r="K1686" s="5" t="s">
        <v>12316</v>
      </c>
      <c r="L1686" s="5" t="s">
        <v>12317</v>
      </c>
      <c r="M1686" s="5" t="s">
        <v>479</v>
      </c>
      <c r="N1686" s="5" t="s">
        <v>3906</v>
      </c>
      <c r="O1686" s="5" t="s">
        <v>11782</v>
      </c>
      <c r="P1686" s="5"/>
      <c r="Q1686" s="5" t="s">
        <v>12318</v>
      </c>
    </row>
    <row r="1687" spans="2:17" x14ac:dyDescent="0.2">
      <c r="B1687" s="5" t="s">
        <v>11775</v>
      </c>
      <c r="C1687" s="6" t="s">
        <v>13589</v>
      </c>
      <c r="D1687" s="4">
        <v>1446</v>
      </c>
      <c r="E1687" s="5" t="s">
        <v>20</v>
      </c>
      <c r="F1687" s="5" t="s">
        <v>12291</v>
      </c>
      <c r="G1687" s="6" t="s">
        <v>14</v>
      </c>
      <c r="H1687" s="4">
        <v>684</v>
      </c>
      <c r="I1687" s="5" t="s">
        <v>22</v>
      </c>
      <c r="J1687" s="5" t="s">
        <v>12323</v>
      </c>
      <c r="K1687" s="5" t="s">
        <v>12324</v>
      </c>
      <c r="L1687" s="5"/>
      <c r="M1687" s="5" t="s">
        <v>479</v>
      </c>
      <c r="N1687" s="5" t="s">
        <v>3906</v>
      </c>
      <c r="O1687" s="5" t="s">
        <v>11780</v>
      </c>
      <c r="P1687" s="5"/>
      <c r="Q1687" s="5" t="s">
        <v>12325</v>
      </c>
    </row>
    <row r="1688" spans="2:17" x14ac:dyDescent="0.2">
      <c r="B1688" s="5" t="s">
        <v>11775</v>
      </c>
      <c r="C1688" s="6" t="s">
        <v>13589</v>
      </c>
      <c r="D1688" s="4">
        <v>1447</v>
      </c>
      <c r="E1688" s="5" t="s">
        <v>20</v>
      </c>
      <c r="F1688" s="5" t="s">
        <v>12291</v>
      </c>
      <c r="G1688" s="6" t="s">
        <v>14</v>
      </c>
      <c r="H1688" s="4">
        <v>685</v>
      </c>
      <c r="I1688" s="5" t="s">
        <v>22</v>
      </c>
      <c r="J1688" s="5" t="s">
        <v>12329</v>
      </c>
      <c r="K1688" s="5" t="s">
        <v>11800</v>
      </c>
      <c r="L1688" s="5" t="s">
        <v>12330</v>
      </c>
      <c r="M1688" s="5" t="s">
        <v>479</v>
      </c>
      <c r="N1688" s="5" t="s">
        <v>3906</v>
      </c>
      <c r="O1688" s="5" t="s">
        <v>11782</v>
      </c>
      <c r="P1688" s="5"/>
      <c r="Q1688" s="5" t="s">
        <v>12331</v>
      </c>
    </row>
    <row r="1689" spans="2:17" x14ac:dyDescent="0.2">
      <c r="B1689" s="5" t="s">
        <v>11775</v>
      </c>
      <c r="C1689" s="6" t="s">
        <v>13589</v>
      </c>
      <c r="D1689" s="4">
        <v>1448</v>
      </c>
      <c r="E1689" s="5" t="s">
        <v>20</v>
      </c>
      <c r="F1689" s="5" t="s">
        <v>12291</v>
      </c>
      <c r="G1689" s="6" t="s">
        <v>14</v>
      </c>
      <c r="H1689" s="4">
        <v>686</v>
      </c>
      <c r="I1689" s="5" t="s">
        <v>22</v>
      </c>
      <c r="J1689" s="5" t="s">
        <v>12332</v>
      </c>
      <c r="K1689" s="5" t="s">
        <v>12333</v>
      </c>
      <c r="L1689" s="5" t="s">
        <v>12334</v>
      </c>
      <c r="M1689" s="5" t="s">
        <v>479</v>
      </c>
      <c r="N1689" s="5" t="s">
        <v>3906</v>
      </c>
      <c r="O1689" s="5" t="s">
        <v>11780</v>
      </c>
      <c r="P1689" s="5"/>
      <c r="Q1689" s="5" t="s">
        <v>12335</v>
      </c>
    </row>
    <row r="1690" spans="2:17" x14ac:dyDescent="0.2">
      <c r="B1690" s="5" t="s">
        <v>11775</v>
      </c>
      <c r="C1690" s="6" t="s">
        <v>13589</v>
      </c>
      <c r="D1690" s="4">
        <v>1449</v>
      </c>
      <c r="E1690" s="5" t="s">
        <v>20</v>
      </c>
      <c r="F1690" s="5" t="s">
        <v>12291</v>
      </c>
      <c r="G1690" s="6" t="s">
        <v>14</v>
      </c>
      <c r="H1690" s="4">
        <v>687</v>
      </c>
      <c r="I1690" s="5" t="s">
        <v>22</v>
      </c>
      <c r="J1690" s="5" t="s">
        <v>12336</v>
      </c>
      <c r="K1690" s="5" t="s">
        <v>12337</v>
      </c>
      <c r="L1690" s="5"/>
      <c r="M1690" s="5" t="s">
        <v>479</v>
      </c>
      <c r="N1690" s="5" t="s">
        <v>3906</v>
      </c>
      <c r="O1690" s="5" t="s">
        <v>11782</v>
      </c>
      <c r="P1690" s="5"/>
      <c r="Q1690" s="5" t="s">
        <v>12338</v>
      </c>
    </row>
    <row r="1691" spans="2:17" x14ac:dyDescent="0.2">
      <c r="B1691" s="5" t="s">
        <v>11775</v>
      </c>
      <c r="C1691" s="6" t="s">
        <v>13589</v>
      </c>
      <c r="D1691" s="4">
        <v>1450</v>
      </c>
      <c r="E1691" s="5" t="s">
        <v>20</v>
      </c>
      <c r="F1691" s="5" t="s">
        <v>12291</v>
      </c>
      <c r="G1691" s="6" t="s">
        <v>14</v>
      </c>
      <c r="H1691" s="4">
        <v>688</v>
      </c>
      <c r="I1691" s="5" t="s">
        <v>38</v>
      </c>
      <c r="J1691" s="5" t="s">
        <v>12339</v>
      </c>
      <c r="K1691" s="5" t="s">
        <v>12340</v>
      </c>
      <c r="L1691" s="5"/>
      <c r="M1691" s="5" t="s">
        <v>479</v>
      </c>
      <c r="N1691" s="5" t="s">
        <v>3906</v>
      </c>
      <c r="O1691" s="5" t="s">
        <v>11782</v>
      </c>
      <c r="P1691" s="5"/>
      <c r="Q1691" s="5" t="s">
        <v>12341</v>
      </c>
    </row>
    <row r="1692" spans="2:17" x14ac:dyDescent="0.2">
      <c r="B1692" s="5" t="s">
        <v>11775</v>
      </c>
      <c r="C1692" s="6" t="s">
        <v>13589</v>
      </c>
      <c r="D1692" s="4">
        <v>1451</v>
      </c>
      <c r="E1692" s="5" t="s">
        <v>20</v>
      </c>
      <c r="F1692" s="5" t="s">
        <v>12291</v>
      </c>
      <c r="G1692" s="6" t="s">
        <v>14</v>
      </c>
      <c r="H1692" s="4">
        <v>689</v>
      </c>
      <c r="I1692" s="5" t="s">
        <v>38</v>
      </c>
      <c r="J1692" s="5" t="s">
        <v>12342</v>
      </c>
      <c r="K1692" s="5" t="s">
        <v>12343</v>
      </c>
      <c r="L1692" s="5"/>
      <c r="M1692" s="5" t="s">
        <v>479</v>
      </c>
      <c r="N1692" s="5" t="s">
        <v>3906</v>
      </c>
      <c r="O1692" s="5" t="s">
        <v>11782</v>
      </c>
      <c r="P1692" s="5"/>
      <c r="Q1692" s="5" t="s">
        <v>12344</v>
      </c>
    </row>
    <row r="1693" spans="2:17" x14ac:dyDescent="0.2">
      <c r="B1693" s="5" t="s">
        <v>11775</v>
      </c>
      <c r="C1693" s="6" t="s">
        <v>13589</v>
      </c>
      <c r="D1693" s="4">
        <v>1452</v>
      </c>
      <c r="E1693" s="5" t="s">
        <v>20</v>
      </c>
      <c r="F1693" s="5" t="s">
        <v>12291</v>
      </c>
      <c r="G1693" s="6" t="s">
        <v>14</v>
      </c>
      <c r="H1693" s="4">
        <v>690</v>
      </c>
      <c r="I1693" s="5" t="s">
        <v>38</v>
      </c>
      <c r="J1693" s="5" t="s">
        <v>12345</v>
      </c>
      <c r="K1693" s="5" t="s">
        <v>12346</v>
      </c>
      <c r="L1693" s="5"/>
      <c r="M1693" s="5" t="s">
        <v>479</v>
      </c>
      <c r="N1693" s="5" t="s">
        <v>3906</v>
      </c>
      <c r="O1693" s="5" t="s">
        <v>11782</v>
      </c>
      <c r="P1693" s="5"/>
      <c r="Q1693" s="5" t="s">
        <v>12347</v>
      </c>
    </row>
    <row r="1694" spans="2:17" x14ac:dyDescent="0.2">
      <c r="B1694" s="5" t="s">
        <v>11775</v>
      </c>
      <c r="C1694" s="6" t="s">
        <v>13589</v>
      </c>
      <c r="D1694" s="4">
        <v>1453</v>
      </c>
      <c r="E1694" s="5" t="s">
        <v>20</v>
      </c>
      <c r="F1694" s="5" t="s">
        <v>12291</v>
      </c>
      <c r="G1694" s="6" t="s">
        <v>14</v>
      </c>
      <c r="H1694" s="4">
        <v>691</v>
      </c>
      <c r="I1694" s="5" t="s">
        <v>38</v>
      </c>
      <c r="J1694" s="5" t="s">
        <v>12348</v>
      </c>
      <c r="K1694" s="5" t="s">
        <v>12349</v>
      </c>
      <c r="L1694" s="5"/>
      <c r="M1694" s="5" t="s">
        <v>479</v>
      </c>
      <c r="N1694" s="5" t="s">
        <v>3906</v>
      </c>
      <c r="O1694" s="5" t="s">
        <v>11782</v>
      </c>
      <c r="P1694" s="5"/>
      <c r="Q1694" s="5" t="s">
        <v>12350</v>
      </c>
    </row>
    <row r="1695" spans="2:17" x14ac:dyDescent="0.2">
      <c r="B1695" s="5" t="s">
        <v>11775</v>
      </c>
      <c r="C1695" s="6" t="s">
        <v>13589</v>
      </c>
      <c r="D1695" s="4">
        <v>1459</v>
      </c>
      <c r="E1695" s="5" t="s">
        <v>32</v>
      </c>
      <c r="F1695" s="5" t="s">
        <v>12274</v>
      </c>
      <c r="G1695" s="6" t="s">
        <v>14</v>
      </c>
      <c r="H1695" s="4">
        <v>692</v>
      </c>
      <c r="I1695" s="5" t="s">
        <v>38</v>
      </c>
      <c r="J1695" s="5" t="s">
        <v>12275</v>
      </c>
      <c r="K1695" s="5" t="s">
        <v>12276</v>
      </c>
      <c r="L1695" s="5" t="s">
        <v>12277</v>
      </c>
      <c r="M1695" s="5" t="s">
        <v>2198</v>
      </c>
      <c r="N1695" s="5" t="s">
        <v>1634</v>
      </c>
      <c r="O1695" s="5" t="s">
        <v>11783</v>
      </c>
      <c r="P1695" s="5"/>
      <c r="Q1695" s="5" t="s">
        <v>12278</v>
      </c>
    </row>
    <row r="1696" spans="2:17" x14ac:dyDescent="0.2">
      <c r="B1696" s="5" t="s">
        <v>11775</v>
      </c>
      <c r="C1696" s="6" t="s">
        <v>13589</v>
      </c>
      <c r="D1696" s="4">
        <v>1461</v>
      </c>
      <c r="E1696" s="5" t="s">
        <v>20</v>
      </c>
      <c r="F1696" s="5" t="s">
        <v>1845</v>
      </c>
      <c r="G1696" s="6" t="s">
        <v>14</v>
      </c>
      <c r="H1696" s="4">
        <v>693</v>
      </c>
      <c r="I1696" s="5" t="s">
        <v>38</v>
      </c>
      <c r="J1696" s="5" t="s">
        <v>12268</v>
      </c>
      <c r="K1696" s="5" t="s">
        <v>12269</v>
      </c>
      <c r="L1696" s="5"/>
      <c r="M1696" s="5" t="s">
        <v>1843</v>
      </c>
      <c r="N1696" s="5" t="s">
        <v>1844</v>
      </c>
      <c r="O1696" s="5" t="s">
        <v>11783</v>
      </c>
      <c r="P1696" s="5"/>
      <c r="Q1696" s="5" t="s">
        <v>12270</v>
      </c>
    </row>
    <row r="1697" spans="2:17" x14ac:dyDescent="0.2">
      <c r="B1697" s="5" t="s">
        <v>11775</v>
      </c>
      <c r="C1697" s="6" t="s">
        <v>13589</v>
      </c>
      <c r="D1697" s="4">
        <v>1462</v>
      </c>
      <c r="E1697" s="5" t="s">
        <v>20</v>
      </c>
      <c r="F1697" s="5" t="s">
        <v>1845</v>
      </c>
      <c r="G1697" s="6" t="s">
        <v>14</v>
      </c>
      <c r="H1697" s="4">
        <v>694</v>
      </c>
      <c r="I1697" s="5" t="s">
        <v>38</v>
      </c>
      <c r="J1697" s="5" t="s">
        <v>12271</v>
      </c>
      <c r="K1697" s="5" t="s">
        <v>12269</v>
      </c>
      <c r="L1697" s="5" t="s">
        <v>12272</v>
      </c>
      <c r="M1697" s="5" t="s">
        <v>1843</v>
      </c>
      <c r="N1697" s="5" t="s">
        <v>1844</v>
      </c>
      <c r="O1697" s="5" t="s">
        <v>11783</v>
      </c>
      <c r="P1697" s="5"/>
      <c r="Q1697" s="5" t="s">
        <v>12273</v>
      </c>
    </row>
    <row r="1698" spans="2:17" x14ac:dyDescent="0.2">
      <c r="B1698" s="5" t="s">
        <v>11775</v>
      </c>
      <c r="C1698" s="6" t="s">
        <v>13589</v>
      </c>
      <c r="D1698" s="4">
        <v>1466</v>
      </c>
      <c r="E1698" s="5" t="s">
        <v>15</v>
      </c>
      <c r="F1698" s="5" t="s">
        <v>12250</v>
      </c>
      <c r="G1698" s="6" t="s">
        <v>14</v>
      </c>
      <c r="H1698" s="4">
        <v>695</v>
      </c>
      <c r="I1698" s="5"/>
      <c r="J1698" s="5" t="s">
        <v>12251</v>
      </c>
      <c r="K1698" s="5" t="s">
        <v>12252</v>
      </c>
      <c r="L1698" s="5"/>
      <c r="M1698" s="5" t="s">
        <v>443</v>
      </c>
      <c r="N1698" s="5" t="s">
        <v>157</v>
      </c>
      <c r="O1698" s="5" t="s">
        <v>11783</v>
      </c>
      <c r="P1698" s="5"/>
      <c r="Q1698" s="5" t="s">
        <v>12253</v>
      </c>
    </row>
    <row r="1699" spans="2:17" x14ac:dyDescent="0.2">
      <c r="B1699" s="5" t="s">
        <v>11775</v>
      </c>
      <c r="C1699" s="6" t="s">
        <v>13589</v>
      </c>
      <c r="D1699" s="4">
        <v>1474</v>
      </c>
      <c r="E1699" s="5" t="s">
        <v>32</v>
      </c>
      <c r="F1699" s="5" t="s">
        <v>12101</v>
      </c>
      <c r="G1699" s="6" t="s">
        <v>14</v>
      </c>
      <c r="H1699" s="4">
        <v>696</v>
      </c>
      <c r="I1699" s="5" t="s">
        <v>38</v>
      </c>
      <c r="J1699" s="5" t="s">
        <v>12102</v>
      </c>
      <c r="K1699" s="5" t="s">
        <v>11786</v>
      </c>
      <c r="L1699" s="5" t="s">
        <v>11787</v>
      </c>
      <c r="M1699" s="5" t="s">
        <v>1436</v>
      </c>
      <c r="N1699" s="5" t="s">
        <v>1437</v>
      </c>
      <c r="O1699" s="5" t="s">
        <v>11783</v>
      </c>
      <c r="P1699" s="5"/>
      <c r="Q1699" s="5" t="s">
        <v>12103</v>
      </c>
    </row>
    <row r="1700" spans="2:17" x14ac:dyDescent="0.2">
      <c r="B1700" s="5" t="s">
        <v>11775</v>
      </c>
      <c r="C1700" s="6" t="s">
        <v>13589</v>
      </c>
      <c r="D1700" s="4">
        <v>1475</v>
      </c>
      <c r="E1700" s="5" t="s">
        <v>32</v>
      </c>
      <c r="F1700" s="5" t="s">
        <v>12097</v>
      </c>
      <c r="G1700" s="6" t="s">
        <v>14</v>
      </c>
      <c r="H1700" s="4">
        <v>697</v>
      </c>
      <c r="I1700" s="5" t="s">
        <v>22</v>
      </c>
      <c r="J1700" s="5" t="s">
        <v>12098</v>
      </c>
      <c r="K1700" s="5" t="s">
        <v>12099</v>
      </c>
      <c r="L1700" s="5"/>
      <c r="M1700" s="5" t="s">
        <v>112</v>
      </c>
      <c r="N1700" s="5" t="s">
        <v>337</v>
      </c>
      <c r="O1700" s="5" t="s">
        <v>11782</v>
      </c>
      <c r="P1700" s="5"/>
      <c r="Q1700" s="5" t="s">
        <v>12100</v>
      </c>
    </row>
    <row r="1701" spans="2:17" x14ac:dyDescent="0.2">
      <c r="B1701" s="5" t="s">
        <v>11775</v>
      </c>
      <c r="C1701" s="6" t="s">
        <v>13589</v>
      </c>
      <c r="D1701" s="4">
        <v>1476</v>
      </c>
      <c r="E1701" s="5" t="s">
        <v>35</v>
      </c>
      <c r="F1701" s="5" t="s">
        <v>12089</v>
      </c>
      <c r="G1701" s="6" t="s">
        <v>14</v>
      </c>
      <c r="H1701" s="4">
        <v>698</v>
      </c>
      <c r="I1701" s="5"/>
      <c r="J1701" s="5" t="s">
        <v>12090</v>
      </c>
      <c r="K1701" s="5" t="s">
        <v>12087</v>
      </c>
      <c r="L1701" s="5"/>
      <c r="M1701" s="5" t="s">
        <v>645</v>
      </c>
      <c r="N1701" s="5" t="s">
        <v>645</v>
      </c>
      <c r="O1701" s="5" t="s">
        <v>11780</v>
      </c>
      <c r="P1701" s="5"/>
      <c r="Q1701" s="5" t="s">
        <v>12091</v>
      </c>
    </row>
    <row r="1702" spans="2:17" x14ac:dyDescent="0.2">
      <c r="B1702" s="5" t="s">
        <v>11775</v>
      </c>
      <c r="C1702" s="6" t="s">
        <v>13589</v>
      </c>
      <c r="D1702" s="4">
        <v>1479</v>
      </c>
      <c r="E1702" s="5" t="s">
        <v>13</v>
      </c>
      <c r="F1702" s="5" t="s">
        <v>12082</v>
      </c>
      <c r="G1702" s="6" t="s">
        <v>14</v>
      </c>
      <c r="H1702" s="4">
        <v>699</v>
      </c>
      <c r="I1702" s="5"/>
      <c r="J1702" s="5" t="s">
        <v>12083</v>
      </c>
      <c r="K1702" s="5" t="s">
        <v>12029</v>
      </c>
      <c r="L1702" s="5"/>
      <c r="M1702" s="5" t="s">
        <v>1365</v>
      </c>
      <c r="N1702" s="5" t="s">
        <v>1365</v>
      </c>
      <c r="O1702" s="5" t="s">
        <v>11780</v>
      </c>
      <c r="P1702" s="5"/>
      <c r="Q1702" s="5" t="s">
        <v>12084</v>
      </c>
    </row>
    <row r="1703" spans="2:17" x14ac:dyDescent="0.2">
      <c r="B1703" s="5" t="s">
        <v>11775</v>
      </c>
      <c r="C1703" s="6" t="s">
        <v>13589</v>
      </c>
      <c r="D1703" s="4">
        <v>1480</v>
      </c>
      <c r="E1703" s="5" t="s">
        <v>20</v>
      </c>
      <c r="F1703" s="5" t="s">
        <v>7708</v>
      </c>
      <c r="G1703" s="6" t="s">
        <v>14</v>
      </c>
      <c r="H1703" s="4">
        <v>700</v>
      </c>
      <c r="I1703" s="5" t="s">
        <v>22</v>
      </c>
      <c r="J1703" s="5" t="s">
        <v>12032</v>
      </c>
      <c r="K1703" s="5" t="s">
        <v>11791</v>
      </c>
      <c r="L1703" s="5"/>
      <c r="M1703" s="5" t="s">
        <v>295</v>
      </c>
      <c r="N1703" s="5" t="s">
        <v>295</v>
      </c>
      <c r="O1703" s="5" t="s">
        <v>11780</v>
      </c>
      <c r="P1703" s="5"/>
      <c r="Q1703" s="5" t="s">
        <v>12033</v>
      </c>
    </row>
    <row r="1704" spans="2:17" x14ac:dyDescent="0.2">
      <c r="B1704" s="5" t="s">
        <v>11775</v>
      </c>
      <c r="C1704" s="6" t="s">
        <v>13589</v>
      </c>
      <c r="D1704" s="4">
        <v>1481</v>
      </c>
      <c r="E1704" s="5" t="s">
        <v>32</v>
      </c>
      <c r="F1704" s="5" t="s">
        <v>12034</v>
      </c>
      <c r="G1704" s="6" t="s">
        <v>14</v>
      </c>
      <c r="H1704" s="4">
        <v>701</v>
      </c>
      <c r="I1704" s="5" t="s">
        <v>22</v>
      </c>
      <c r="J1704" s="5" t="s">
        <v>12035</v>
      </c>
      <c r="K1704" s="5" t="s">
        <v>12029</v>
      </c>
      <c r="L1704" s="5"/>
      <c r="M1704" s="5" t="s">
        <v>295</v>
      </c>
      <c r="N1704" s="5" t="s">
        <v>302</v>
      </c>
      <c r="O1704" s="5" t="s">
        <v>11780</v>
      </c>
      <c r="P1704" s="5"/>
      <c r="Q1704" s="5" t="s">
        <v>12036</v>
      </c>
    </row>
    <row r="1705" spans="2:17" x14ac:dyDescent="0.2">
      <c r="B1705" s="5" t="s">
        <v>11775</v>
      </c>
      <c r="C1705" s="6" t="s">
        <v>13589</v>
      </c>
      <c r="D1705" s="4">
        <v>1487</v>
      </c>
      <c r="E1705" s="5" t="s">
        <v>20</v>
      </c>
      <c r="F1705" s="5" t="s">
        <v>12076</v>
      </c>
      <c r="G1705" s="6" t="s">
        <v>14</v>
      </c>
      <c r="H1705" s="4">
        <v>702</v>
      </c>
      <c r="I1705" s="5" t="s">
        <v>22</v>
      </c>
      <c r="J1705" s="5" t="s">
        <v>12077</v>
      </c>
      <c r="K1705" s="5" t="s">
        <v>10684</v>
      </c>
      <c r="L1705" s="5"/>
      <c r="M1705" s="5" t="s">
        <v>312</v>
      </c>
      <c r="N1705" s="5" t="s">
        <v>302</v>
      </c>
      <c r="O1705" s="5" t="s">
        <v>11782</v>
      </c>
      <c r="P1705" s="5"/>
      <c r="Q1705" s="5" t="s">
        <v>12078</v>
      </c>
    </row>
    <row r="1706" spans="2:17" x14ac:dyDescent="0.2">
      <c r="B1706" s="5" t="s">
        <v>11775</v>
      </c>
      <c r="C1706" s="6" t="s">
        <v>13589</v>
      </c>
      <c r="D1706" s="4">
        <v>1489</v>
      </c>
      <c r="E1706" s="5" t="s">
        <v>32</v>
      </c>
      <c r="F1706" s="5" t="s">
        <v>10441</v>
      </c>
      <c r="G1706" s="6" t="s">
        <v>14</v>
      </c>
      <c r="H1706" s="4">
        <v>703</v>
      </c>
      <c r="I1706" s="5" t="s">
        <v>38</v>
      </c>
      <c r="J1706" s="5" t="s">
        <v>10442</v>
      </c>
      <c r="K1706" s="5" t="s">
        <v>10443</v>
      </c>
      <c r="L1706" s="5" t="s">
        <v>12041</v>
      </c>
      <c r="M1706" s="5" t="s">
        <v>301</v>
      </c>
      <c r="N1706" s="5" t="s">
        <v>307</v>
      </c>
      <c r="O1706" s="5" t="s">
        <v>11783</v>
      </c>
      <c r="P1706" s="5"/>
      <c r="Q1706" s="5" t="s">
        <v>12042</v>
      </c>
    </row>
    <row r="1707" spans="2:17" x14ac:dyDescent="0.2">
      <c r="B1707" s="5" t="s">
        <v>11775</v>
      </c>
      <c r="C1707" s="6" t="s">
        <v>13589</v>
      </c>
      <c r="D1707" s="4">
        <v>1490</v>
      </c>
      <c r="E1707" s="5" t="s">
        <v>32</v>
      </c>
      <c r="F1707" s="5" t="s">
        <v>11864</v>
      </c>
      <c r="G1707" s="6" t="s">
        <v>14</v>
      </c>
      <c r="H1707" s="4">
        <v>704</v>
      </c>
      <c r="I1707" s="5" t="s">
        <v>38</v>
      </c>
      <c r="J1707" s="5" t="s">
        <v>12046</v>
      </c>
      <c r="K1707" s="5" t="s">
        <v>12047</v>
      </c>
      <c r="L1707" s="5" t="s">
        <v>12048</v>
      </c>
      <c r="M1707" s="5" t="s">
        <v>301</v>
      </c>
      <c r="N1707" s="5" t="s">
        <v>307</v>
      </c>
      <c r="O1707" s="5" t="s">
        <v>11783</v>
      </c>
      <c r="P1707" s="5"/>
      <c r="Q1707" s="5" t="s">
        <v>12049</v>
      </c>
    </row>
    <row r="1708" spans="2:17" x14ac:dyDescent="0.2">
      <c r="B1708" s="5" t="s">
        <v>11775</v>
      </c>
      <c r="C1708" s="6" t="s">
        <v>13589</v>
      </c>
      <c r="D1708" s="4">
        <v>1491</v>
      </c>
      <c r="E1708" s="5" t="s">
        <v>32</v>
      </c>
      <c r="F1708" s="5" t="s">
        <v>11864</v>
      </c>
      <c r="G1708" s="6" t="s">
        <v>14</v>
      </c>
      <c r="H1708" s="4">
        <v>705</v>
      </c>
      <c r="I1708" s="5" t="s">
        <v>38</v>
      </c>
      <c r="J1708" s="5" t="s">
        <v>323</v>
      </c>
      <c r="K1708" s="5" t="s">
        <v>11807</v>
      </c>
      <c r="L1708" s="5" t="s">
        <v>12050</v>
      </c>
      <c r="M1708" s="5" t="s">
        <v>301</v>
      </c>
      <c r="N1708" s="5" t="s">
        <v>307</v>
      </c>
      <c r="O1708" s="5" t="s">
        <v>11783</v>
      </c>
      <c r="P1708" s="5"/>
      <c r="Q1708" s="5" t="s">
        <v>12051</v>
      </c>
    </row>
    <row r="1709" spans="2:17" x14ac:dyDescent="0.2">
      <c r="B1709" s="5" t="s">
        <v>11775</v>
      </c>
      <c r="C1709" s="6" t="s">
        <v>13589</v>
      </c>
      <c r="D1709" s="4">
        <v>1492</v>
      </c>
      <c r="E1709" s="5" t="s">
        <v>32</v>
      </c>
      <c r="F1709" s="5" t="s">
        <v>11864</v>
      </c>
      <c r="G1709" s="6" t="s">
        <v>14</v>
      </c>
      <c r="H1709" s="4">
        <v>706</v>
      </c>
      <c r="I1709" s="5" t="s">
        <v>38</v>
      </c>
      <c r="J1709" s="5" t="s">
        <v>319</v>
      </c>
      <c r="K1709" s="5" t="s">
        <v>11807</v>
      </c>
      <c r="L1709" s="5" t="s">
        <v>12052</v>
      </c>
      <c r="M1709" s="5" t="s">
        <v>301</v>
      </c>
      <c r="N1709" s="5" t="s">
        <v>307</v>
      </c>
      <c r="O1709" s="5" t="s">
        <v>11783</v>
      </c>
      <c r="P1709" s="5"/>
      <c r="Q1709" s="5" t="s">
        <v>12053</v>
      </c>
    </row>
    <row r="1710" spans="2:17" x14ac:dyDescent="0.2">
      <c r="B1710" s="5" t="s">
        <v>11775</v>
      </c>
      <c r="C1710" s="6" t="s">
        <v>13589</v>
      </c>
      <c r="D1710" s="4">
        <v>1493</v>
      </c>
      <c r="E1710" s="5" t="s">
        <v>32</v>
      </c>
      <c r="F1710" s="5" t="s">
        <v>11864</v>
      </c>
      <c r="G1710" s="6" t="s">
        <v>14</v>
      </c>
      <c r="H1710" s="4">
        <v>707</v>
      </c>
      <c r="I1710" s="5" t="s">
        <v>22</v>
      </c>
      <c r="J1710" s="5" t="s">
        <v>317</v>
      </c>
      <c r="K1710" s="5" t="s">
        <v>11854</v>
      </c>
      <c r="L1710" s="5" t="s">
        <v>12054</v>
      </c>
      <c r="M1710" s="5" t="s">
        <v>301</v>
      </c>
      <c r="N1710" s="5" t="s">
        <v>307</v>
      </c>
      <c r="O1710" s="5" t="s">
        <v>11783</v>
      </c>
      <c r="P1710" s="5"/>
      <c r="Q1710" s="5" t="s">
        <v>12055</v>
      </c>
    </row>
    <row r="1711" spans="2:17" x14ac:dyDescent="0.2">
      <c r="B1711" s="5" t="s">
        <v>11775</v>
      </c>
      <c r="C1711" s="6" t="s">
        <v>13589</v>
      </c>
      <c r="D1711" s="4">
        <v>1494</v>
      </c>
      <c r="E1711" s="5" t="s">
        <v>32</v>
      </c>
      <c r="F1711" s="5" t="s">
        <v>11864</v>
      </c>
      <c r="G1711" s="6" t="s">
        <v>14</v>
      </c>
      <c r="H1711" s="4">
        <v>708</v>
      </c>
      <c r="I1711" s="5" t="s">
        <v>22</v>
      </c>
      <c r="J1711" s="5" t="s">
        <v>315</v>
      </c>
      <c r="K1711" s="5" t="s">
        <v>11854</v>
      </c>
      <c r="L1711" s="5" t="s">
        <v>12056</v>
      </c>
      <c r="M1711" s="5" t="s">
        <v>301</v>
      </c>
      <c r="N1711" s="5" t="s">
        <v>307</v>
      </c>
      <c r="O1711" s="5" t="s">
        <v>11783</v>
      </c>
      <c r="P1711" s="5"/>
      <c r="Q1711" s="5" t="s">
        <v>12057</v>
      </c>
    </row>
    <row r="1712" spans="2:17" x14ac:dyDescent="0.2">
      <c r="B1712" s="5" t="s">
        <v>11775</v>
      </c>
      <c r="C1712" s="6" t="s">
        <v>13589</v>
      </c>
      <c r="D1712" s="4">
        <v>1495</v>
      </c>
      <c r="E1712" s="5" t="s">
        <v>32</v>
      </c>
      <c r="F1712" s="5" t="s">
        <v>11864</v>
      </c>
      <c r="G1712" s="6" t="s">
        <v>14</v>
      </c>
      <c r="H1712" s="4">
        <v>709</v>
      </c>
      <c r="I1712" s="5" t="s">
        <v>22</v>
      </c>
      <c r="J1712" s="5" t="s">
        <v>313</v>
      </c>
      <c r="K1712" s="5" t="s">
        <v>11854</v>
      </c>
      <c r="L1712" s="5" t="s">
        <v>12058</v>
      </c>
      <c r="M1712" s="5" t="s">
        <v>301</v>
      </c>
      <c r="N1712" s="5" t="s">
        <v>307</v>
      </c>
      <c r="O1712" s="5" t="s">
        <v>11783</v>
      </c>
      <c r="P1712" s="5"/>
      <c r="Q1712" s="5" t="s">
        <v>12059</v>
      </c>
    </row>
    <row r="1713" spans="2:17" x14ac:dyDescent="0.2">
      <c r="B1713" s="5" t="s">
        <v>11775</v>
      </c>
      <c r="C1713" s="6" t="s">
        <v>13589</v>
      </c>
      <c r="D1713" s="4">
        <v>1496</v>
      </c>
      <c r="E1713" s="5" t="s">
        <v>32</v>
      </c>
      <c r="F1713" s="5" t="s">
        <v>11864</v>
      </c>
      <c r="G1713" s="6" t="s">
        <v>14</v>
      </c>
      <c r="H1713" s="4">
        <v>710</v>
      </c>
      <c r="I1713" s="5" t="s">
        <v>38</v>
      </c>
      <c r="J1713" s="5" t="s">
        <v>10457</v>
      </c>
      <c r="K1713" s="5" t="s">
        <v>12008</v>
      </c>
      <c r="L1713" s="5" t="s">
        <v>12009</v>
      </c>
      <c r="M1713" s="5" t="s">
        <v>301</v>
      </c>
      <c r="N1713" s="5" t="s">
        <v>307</v>
      </c>
      <c r="O1713" s="5" t="s">
        <v>11783</v>
      </c>
      <c r="P1713" s="5"/>
      <c r="Q1713" s="5" t="s">
        <v>12060</v>
      </c>
    </row>
    <row r="1714" spans="2:17" x14ac:dyDescent="0.2">
      <c r="B1714" s="5" t="s">
        <v>11775</v>
      </c>
      <c r="C1714" s="6" t="s">
        <v>13589</v>
      </c>
      <c r="D1714" s="4">
        <v>1497</v>
      </c>
      <c r="E1714" s="5" t="s">
        <v>32</v>
      </c>
      <c r="F1714" s="5" t="s">
        <v>11864</v>
      </c>
      <c r="G1714" s="6" t="s">
        <v>14</v>
      </c>
      <c r="H1714" s="4">
        <v>711</v>
      </c>
      <c r="I1714" s="5" t="s">
        <v>38</v>
      </c>
      <c r="J1714" s="5" t="s">
        <v>12043</v>
      </c>
      <c r="K1714" s="5" t="s">
        <v>12008</v>
      </c>
      <c r="L1714" s="5" t="s">
        <v>12044</v>
      </c>
      <c r="M1714" s="5" t="s">
        <v>301</v>
      </c>
      <c r="N1714" s="5" t="s">
        <v>307</v>
      </c>
      <c r="O1714" s="5" t="s">
        <v>11783</v>
      </c>
      <c r="P1714" s="5"/>
      <c r="Q1714" s="5" t="s">
        <v>12045</v>
      </c>
    </row>
    <row r="1715" spans="2:17" x14ac:dyDescent="0.2">
      <c r="B1715" s="5" t="s">
        <v>11775</v>
      </c>
      <c r="C1715" s="6" t="s">
        <v>13589</v>
      </c>
      <c r="D1715" s="4">
        <v>1498</v>
      </c>
      <c r="E1715" s="5" t="s">
        <v>24</v>
      </c>
      <c r="F1715" s="5" t="s">
        <v>12024</v>
      </c>
      <c r="G1715" s="6" t="s">
        <v>14</v>
      </c>
      <c r="H1715" s="4">
        <v>712</v>
      </c>
      <c r="I1715" s="5"/>
      <c r="J1715" s="5" t="s">
        <v>12025</v>
      </c>
      <c r="K1715" s="5" t="s">
        <v>11798</v>
      </c>
      <c r="L1715" s="5"/>
      <c r="M1715" s="5" t="s">
        <v>96</v>
      </c>
      <c r="N1715" s="5" t="s">
        <v>96</v>
      </c>
      <c r="O1715" s="5" t="s">
        <v>11782</v>
      </c>
      <c r="P1715" s="5"/>
      <c r="Q1715" s="5" t="s">
        <v>12026</v>
      </c>
    </row>
    <row r="1716" spans="2:17" x14ac:dyDescent="0.2">
      <c r="B1716" s="5" t="s">
        <v>11775</v>
      </c>
      <c r="C1716" s="6" t="s">
        <v>13589</v>
      </c>
      <c r="D1716" s="4">
        <v>1500</v>
      </c>
      <c r="E1716" s="5" t="s">
        <v>32</v>
      </c>
      <c r="F1716" s="5" t="s">
        <v>12019</v>
      </c>
      <c r="G1716" s="6" t="s">
        <v>14</v>
      </c>
      <c r="H1716" s="4">
        <v>713</v>
      </c>
      <c r="I1716" s="5" t="s">
        <v>22</v>
      </c>
      <c r="J1716" s="5" t="s">
        <v>12020</v>
      </c>
      <c r="K1716" s="5" t="s">
        <v>12021</v>
      </c>
      <c r="L1716" s="5" t="s">
        <v>12022</v>
      </c>
      <c r="M1716" s="5" t="s">
        <v>96</v>
      </c>
      <c r="N1716" s="5" t="s">
        <v>291</v>
      </c>
      <c r="O1716" s="5" t="s">
        <v>11783</v>
      </c>
      <c r="P1716" s="5"/>
      <c r="Q1716" s="5" t="s">
        <v>12023</v>
      </c>
    </row>
    <row r="1717" spans="2:17" x14ac:dyDescent="0.2">
      <c r="B1717" s="5" t="s">
        <v>11775</v>
      </c>
      <c r="C1717" s="6" t="s">
        <v>13589</v>
      </c>
      <c r="D1717" s="4">
        <v>1501</v>
      </c>
      <c r="E1717" s="5" t="s">
        <v>32</v>
      </c>
      <c r="F1717" s="5" t="s">
        <v>12027</v>
      </c>
      <c r="G1717" s="6" t="s">
        <v>14</v>
      </c>
      <c r="H1717" s="4">
        <v>714</v>
      </c>
      <c r="I1717" s="5" t="s">
        <v>22</v>
      </c>
      <c r="J1717" s="5" t="s">
        <v>12028</v>
      </c>
      <c r="K1717" s="5" t="s">
        <v>12029</v>
      </c>
      <c r="L1717" s="5" t="s">
        <v>12030</v>
      </c>
      <c r="M1717" s="5" t="s">
        <v>1343</v>
      </c>
      <c r="N1717" s="5" t="s">
        <v>97</v>
      </c>
      <c r="O1717" s="5" t="s">
        <v>11780</v>
      </c>
      <c r="P1717" s="5"/>
      <c r="Q1717" s="5" t="s">
        <v>12031</v>
      </c>
    </row>
    <row r="1718" spans="2:17" x14ac:dyDescent="0.2">
      <c r="B1718" s="5" t="s">
        <v>11775</v>
      </c>
      <c r="C1718" s="6" t="s">
        <v>13589</v>
      </c>
      <c r="D1718" s="4">
        <v>1502</v>
      </c>
      <c r="E1718" s="5" t="s">
        <v>20</v>
      </c>
      <c r="F1718" s="5" t="s">
        <v>12014</v>
      </c>
      <c r="G1718" s="6" t="s">
        <v>14</v>
      </c>
      <c r="H1718" s="4">
        <v>715</v>
      </c>
      <c r="I1718" s="5" t="s">
        <v>22</v>
      </c>
      <c r="J1718" s="5" t="s">
        <v>12015</v>
      </c>
      <c r="K1718" s="5" t="s">
        <v>11784</v>
      </c>
      <c r="L1718" s="5"/>
      <c r="M1718" s="5" t="s">
        <v>96</v>
      </c>
      <c r="N1718" s="5" t="s">
        <v>97</v>
      </c>
      <c r="O1718" s="5" t="s">
        <v>11782</v>
      </c>
      <c r="P1718" s="5"/>
      <c r="Q1718" s="5" t="s">
        <v>12016</v>
      </c>
    </row>
    <row r="1719" spans="2:17" x14ac:dyDescent="0.2">
      <c r="B1719" s="5" t="s">
        <v>11775</v>
      </c>
      <c r="C1719" s="6" t="s">
        <v>13589</v>
      </c>
      <c r="D1719" s="4">
        <v>1503</v>
      </c>
      <c r="E1719" s="5" t="s">
        <v>20</v>
      </c>
      <c r="F1719" s="5" t="s">
        <v>11814</v>
      </c>
      <c r="G1719" s="6" t="s">
        <v>14</v>
      </c>
      <c r="H1719" s="4">
        <v>716</v>
      </c>
      <c r="I1719" s="5" t="s">
        <v>22</v>
      </c>
      <c r="J1719" s="5" t="s">
        <v>12017</v>
      </c>
      <c r="K1719" s="5" t="s">
        <v>11806</v>
      </c>
      <c r="L1719" s="5"/>
      <c r="M1719" s="5" t="s">
        <v>96</v>
      </c>
      <c r="N1719" s="5" t="s">
        <v>97</v>
      </c>
      <c r="O1719" s="5" t="s">
        <v>11782</v>
      </c>
      <c r="P1719" s="5"/>
      <c r="Q1719" s="5" t="s">
        <v>12018</v>
      </c>
    </row>
    <row r="1720" spans="2:17" x14ac:dyDescent="0.2">
      <c r="B1720" s="5" t="s">
        <v>11775</v>
      </c>
      <c r="C1720" s="6" t="s">
        <v>13589</v>
      </c>
      <c r="D1720" s="4">
        <v>1504</v>
      </c>
      <c r="E1720" s="5" t="s">
        <v>32</v>
      </c>
      <c r="F1720" s="5" t="s">
        <v>11776</v>
      </c>
      <c r="G1720" s="6" t="s">
        <v>14</v>
      </c>
      <c r="H1720" s="4">
        <v>717</v>
      </c>
      <c r="I1720" s="5" t="s">
        <v>22</v>
      </c>
      <c r="J1720" s="5" t="s">
        <v>11998</v>
      </c>
      <c r="K1720" s="5" t="s">
        <v>11778</v>
      </c>
      <c r="L1720" s="5" t="s">
        <v>11779</v>
      </c>
      <c r="M1720" s="5" t="s">
        <v>97</v>
      </c>
      <c r="N1720" s="5" t="s">
        <v>284</v>
      </c>
      <c r="O1720" s="5" t="s">
        <v>11780</v>
      </c>
      <c r="P1720" s="5"/>
      <c r="Q1720" s="5" t="s">
        <v>11999</v>
      </c>
    </row>
    <row r="1721" spans="2:17" x14ac:dyDescent="0.2">
      <c r="B1721" s="5" t="s">
        <v>11775</v>
      </c>
      <c r="C1721" s="6" t="s">
        <v>13589</v>
      </c>
      <c r="D1721" s="4">
        <v>1505</v>
      </c>
      <c r="E1721" s="5" t="s">
        <v>32</v>
      </c>
      <c r="F1721" s="5" t="s">
        <v>11776</v>
      </c>
      <c r="G1721" s="6" t="s">
        <v>14</v>
      </c>
      <c r="H1721" s="4">
        <v>718</v>
      </c>
      <c r="I1721" s="5" t="s">
        <v>22</v>
      </c>
      <c r="J1721" s="5" t="s">
        <v>11777</v>
      </c>
      <c r="K1721" s="5" t="s">
        <v>11778</v>
      </c>
      <c r="L1721" s="5" t="s">
        <v>11779</v>
      </c>
      <c r="M1721" s="5" t="s">
        <v>2779</v>
      </c>
      <c r="N1721" s="5" t="s">
        <v>284</v>
      </c>
      <c r="O1721" s="5" t="s">
        <v>11780</v>
      </c>
      <c r="P1721" s="5"/>
      <c r="Q1721" s="5" t="s">
        <v>11781</v>
      </c>
    </row>
    <row r="1722" spans="2:17" x14ac:dyDescent="0.2">
      <c r="B1722" s="5" t="s">
        <v>11775</v>
      </c>
      <c r="C1722" s="6" t="s">
        <v>13589</v>
      </c>
      <c r="D1722" s="4">
        <v>1506</v>
      </c>
      <c r="E1722" s="5" t="s">
        <v>32</v>
      </c>
      <c r="F1722" s="5" t="s">
        <v>9690</v>
      </c>
      <c r="G1722" s="6" t="s">
        <v>14</v>
      </c>
      <c r="H1722" s="4">
        <v>719</v>
      </c>
      <c r="I1722" s="5" t="s">
        <v>22</v>
      </c>
      <c r="J1722" s="5" t="s">
        <v>10405</v>
      </c>
      <c r="K1722" s="5" t="s">
        <v>10443</v>
      </c>
      <c r="L1722" s="5" t="s">
        <v>11803</v>
      </c>
      <c r="M1722" s="5" t="s">
        <v>283</v>
      </c>
      <c r="N1722" s="5" t="s">
        <v>284</v>
      </c>
      <c r="O1722" s="5" t="s">
        <v>11783</v>
      </c>
      <c r="P1722" s="5"/>
      <c r="Q1722" s="5" t="s">
        <v>4879</v>
      </c>
    </row>
    <row r="1723" spans="2:17" x14ac:dyDescent="0.2">
      <c r="B1723" s="5" t="s">
        <v>11775</v>
      </c>
      <c r="C1723" s="6" t="s">
        <v>13589</v>
      </c>
      <c r="D1723" s="4">
        <v>1507</v>
      </c>
      <c r="E1723" s="5" t="s">
        <v>32</v>
      </c>
      <c r="F1723" s="5" t="s">
        <v>12007</v>
      </c>
      <c r="G1723" s="6" t="s">
        <v>14</v>
      </c>
      <c r="H1723" s="4">
        <v>720</v>
      </c>
      <c r="I1723" s="5" t="s">
        <v>22</v>
      </c>
      <c r="J1723" s="5" t="s">
        <v>280</v>
      </c>
      <c r="K1723" s="5" t="s">
        <v>12008</v>
      </c>
      <c r="L1723" s="5" t="s">
        <v>12009</v>
      </c>
      <c r="M1723" s="5" t="s">
        <v>283</v>
      </c>
      <c r="N1723" s="5" t="s">
        <v>284</v>
      </c>
      <c r="O1723" s="5" t="s">
        <v>11783</v>
      </c>
      <c r="P1723" s="5"/>
      <c r="Q1723" s="5" t="s">
        <v>12010</v>
      </c>
    </row>
    <row r="1724" spans="2:17" x14ac:dyDescent="0.2">
      <c r="B1724" s="5" t="s">
        <v>11775</v>
      </c>
      <c r="C1724" s="6" t="s">
        <v>13589</v>
      </c>
      <c r="D1724" s="4">
        <v>1508</v>
      </c>
      <c r="E1724" s="5" t="s">
        <v>32</v>
      </c>
      <c r="F1724" s="5" t="s">
        <v>10230</v>
      </c>
      <c r="G1724" s="6" t="s">
        <v>14</v>
      </c>
      <c r="H1724" s="4">
        <v>721</v>
      </c>
      <c r="I1724" s="5" t="s">
        <v>22</v>
      </c>
      <c r="J1724" s="5" t="s">
        <v>10407</v>
      </c>
      <c r="K1724" s="5" t="s">
        <v>11785</v>
      </c>
      <c r="L1724" s="5" t="s">
        <v>10266</v>
      </c>
      <c r="M1724" s="5" t="s">
        <v>283</v>
      </c>
      <c r="N1724" s="5" t="s">
        <v>284</v>
      </c>
      <c r="O1724" s="5" t="s">
        <v>11783</v>
      </c>
      <c r="P1724" s="5"/>
      <c r="Q1724" s="5" t="s">
        <v>12000</v>
      </c>
    </row>
    <row r="1725" spans="2:17" x14ac:dyDescent="0.2">
      <c r="B1725" s="5" t="s">
        <v>11775</v>
      </c>
      <c r="C1725" s="6" t="s">
        <v>13589</v>
      </c>
      <c r="D1725" s="4">
        <v>1509</v>
      </c>
      <c r="E1725" s="5" t="s">
        <v>32</v>
      </c>
      <c r="F1725" s="5" t="s">
        <v>10230</v>
      </c>
      <c r="G1725" s="6" t="s">
        <v>14</v>
      </c>
      <c r="H1725" s="4">
        <v>722</v>
      </c>
      <c r="I1725" s="5" t="s">
        <v>22</v>
      </c>
      <c r="J1725" s="5" t="s">
        <v>12001</v>
      </c>
      <c r="K1725" s="5" t="s">
        <v>12002</v>
      </c>
      <c r="L1725" s="5"/>
      <c r="M1725" s="5" t="s">
        <v>283</v>
      </c>
      <c r="N1725" s="5" t="s">
        <v>284</v>
      </c>
      <c r="O1725" s="5" t="s">
        <v>11783</v>
      </c>
      <c r="P1725" s="5"/>
      <c r="Q1725" s="5" t="s">
        <v>12003</v>
      </c>
    </row>
    <row r="1726" spans="2:17" x14ac:dyDescent="0.2">
      <c r="B1726" s="5" t="s">
        <v>11775</v>
      </c>
      <c r="C1726" s="6" t="s">
        <v>13589</v>
      </c>
      <c r="D1726" s="4">
        <v>1510</v>
      </c>
      <c r="E1726" s="5" t="s">
        <v>32</v>
      </c>
      <c r="F1726" s="5" t="s">
        <v>9690</v>
      </c>
      <c r="G1726" s="6" t="s">
        <v>14</v>
      </c>
      <c r="H1726" s="4">
        <v>723</v>
      </c>
      <c r="I1726" s="5" t="s">
        <v>22</v>
      </c>
      <c r="J1726" s="5" t="s">
        <v>12004</v>
      </c>
      <c r="K1726" s="5" t="s">
        <v>11883</v>
      </c>
      <c r="L1726" s="5" t="s">
        <v>12005</v>
      </c>
      <c r="M1726" s="5" t="s">
        <v>283</v>
      </c>
      <c r="N1726" s="5" t="s">
        <v>284</v>
      </c>
      <c r="O1726" s="5" t="s">
        <v>11783</v>
      </c>
      <c r="P1726" s="5"/>
      <c r="Q1726" s="5" t="s">
        <v>12006</v>
      </c>
    </row>
    <row r="1727" spans="2:17" x14ac:dyDescent="0.2">
      <c r="B1727" s="5" t="s">
        <v>11775</v>
      </c>
      <c r="C1727" s="6" t="s">
        <v>13589</v>
      </c>
      <c r="D1727" s="4">
        <v>1511</v>
      </c>
      <c r="E1727" s="5" t="s">
        <v>32</v>
      </c>
      <c r="F1727" s="5" t="s">
        <v>11886</v>
      </c>
      <c r="G1727" s="6" t="s">
        <v>14</v>
      </c>
      <c r="H1727" s="4">
        <v>724</v>
      </c>
      <c r="I1727" s="5" t="s">
        <v>38</v>
      </c>
      <c r="J1727" s="5" t="s">
        <v>11929</v>
      </c>
      <c r="K1727" s="5" t="s">
        <v>11930</v>
      </c>
      <c r="L1727" s="5" t="s">
        <v>11931</v>
      </c>
      <c r="M1727" s="5" t="s">
        <v>573</v>
      </c>
      <c r="N1727" s="5" t="s">
        <v>573</v>
      </c>
      <c r="O1727" s="5" t="s">
        <v>11782</v>
      </c>
      <c r="P1727" s="5"/>
      <c r="Q1727" s="5" t="s">
        <v>11932</v>
      </c>
    </row>
    <row r="1728" spans="2:17" x14ac:dyDescent="0.2">
      <c r="B1728" s="5" t="s">
        <v>11775</v>
      </c>
      <c r="C1728" s="6" t="s">
        <v>13589</v>
      </c>
      <c r="D1728" s="4">
        <v>1513</v>
      </c>
      <c r="E1728" s="5" t="s">
        <v>32</v>
      </c>
      <c r="F1728" s="5" t="s">
        <v>11886</v>
      </c>
      <c r="G1728" s="6" t="s">
        <v>14</v>
      </c>
      <c r="H1728" s="4">
        <v>725</v>
      </c>
      <c r="I1728" s="5" t="s">
        <v>22</v>
      </c>
      <c r="J1728" s="5" t="s">
        <v>11914</v>
      </c>
      <c r="K1728" s="5" t="s">
        <v>11915</v>
      </c>
      <c r="L1728" s="5"/>
      <c r="M1728" s="5" t="s">
        <v>573</v>
      </c>
      <c r="N1728" s="5" t="s">
        <v>1262</v>
      </c>
      <c r="O1728" s="5" t="s">
        <v>11782</v>
      </c>
      <c r="P1728" s="5"/>
      <c r="Q1728" s="5" t="s">
        <v>11916</v>
      </c>
    </row>
    <row r="1729" spans="2:17" x14ac:dyDescent="0.2">
      <c r="B1729" s="5" t="s">
        <v>11775</v>
      </c>
      <c r="C1729" s="6" t="s">
        <v>13589</v>
      </c>
      <c r="D1729" s="4">
        <v>1514</v>
      </c>
      <c r="E1729" s="5" t="s">
        <v>32</v>
      </c>
      <c r="F1729" s="5" t="s">
        <v>11886</v>
      </c>
      <c r="G1729" s="6" t="s">
        <v>14</v>
      </c>
      <c r="H1729" s="4">
        <v>726</v>
      </c>
      <c r="I1729" s="5" t="s">
        <v>22</v>
      </c>
      <c r="J1729" s="5" t="s">
        <v>11891</v>
      </c>
      <c r="K1729" s="5" t="s">
        <v>11892</v>
      </c>
      <c r="L1729" s="5"/>
      <c r="M1729" s="5" t="s">
        <v>1262</v>
      </c>
      <c r="N1729" s="5" t="s">
        <v>1262</v>
      </c>
      <c r="O1729" s="5" t="s">
        <v>11783</v>
      </c>
      <c r="P1729" s="5"/>
      <c r="Q1729" s="5" t="s">
        <v>11893</v>
      </c>
    </row>
    <row r="1730" spans="2:17" x14ac:dyDescent="0.2">
      <c r="B1730" s="5" t="s">
        <v>11775</v>
      </c>
      <c r="C1730" s="6" t="s">
        <v>13589</v>
      </c>
      <c r="D1730" s="4">
        <v>1515</v>
      </c>
      <c r="E1730" s="5" t="s">
        <v>20</v>
      </c>
      <c r="F1730" s="5" t="s">
        <v>11881</v>
      </c>
      <c r="G1730" s="6" t="s">
        <v>14</v>
      </c>
      <c r="H1730" s="4">
        <v>727</v>
      </c>
      <c r="I1730" s="5" t="s">
        <v>22</v>
      </c>
      <c r="J1730" s="5" t="s">
        <v>11882</v>
      </c>
      <c r="K1730" s="5" t="s">
        <v>11883</v>
      </c>
      <c r="L1730" s="5" t="s">
        <v>11884</v>
      </c>
      <c r="M1730" s="5" t="s">
        <v>1262</v>
      </c>
      <c r="N1730" s="5" t="s">
        <v>1262</v>
      </c>
      <c r="O1730" s="5" t="s">
        <v>11783</v>
      </c>
      <c r="P1730" s="5"/>
      <c r="Q1730" s="5" t="s">
        <v>11885</v>
      </c>
    </row>
    <row r="1731" spans="2:17" x14ac:dyDescent="0.2">
      <c r="B1731" s="5" t="s">
        <v>11775</v>
      </c>
      <c r="C1731" s="6" t="s">
        <v>13589</v>
      </c>
      <c r="D1731" s="4">
        <v>1516</v>
      </c>
      <c r="E1731" s="5" t="s">
        <v>32</v>
      </c>
      <c r="F1731" s="5" t="s">
        <v>11886</v>
      </c>
      <c r="G1731" s="6" t="s">
        <v>14</v>
      </c>
      <c r="H1731" s="4">
        <v>728</v>
      </c>
      <c r="I1731" s="5" t="s">
        <v>22</v>
      </c>
      <c r="J1731" s="5" t="s">
        <v>11887</v>
      </c>
      <c r="K1731" s="5" t="s">
        <v>11888</v>
      </c>
      <c r="L1731" s="5" t="s">
        <v>11889</v>
      </c>
      <c r="M1731" s="5" t="s">
        <v>1262</v>
      </c>
      <c r="N1731" s="5" t="s">
        <v>1262</v>
      </c>
      <c r="O1731" s="5" t="s">
        <v>11783</v>
      </c>
      <c r="P1731" s="5"/>
      <c r="Q1731" s="5" t="s">
        <v>11890</v>
      </c>
    </row>
    <row r="1732" spans="2:17" x14ac:dyDescent="0.2">
      <c r="B1732" s="5" t="s">
        <v>11775</v>
      </c>
      <c r="C1732" s="6" t="s">
        <v>13589</v>
      </c>
      <c r="D1732" s="4">
        <v>1517</v>
      </c>
      <c r="E1732" s="5" t="s">
        <v>32</v>
      </c>
      <c r="F1732" s="5" t="s">
        <v>11886</v>
      </c>
      <c r="G1732" s="6" t="s">
        <v>14</v>
      </c>
      <c r="H1732" s="4">
        <v>729</v>
      </c>
      <c r="I1732" s="5" t="s">
        <v>22</v>
      </c>
      <c r="J1732" s="5" t="s">
        <v>11944</v>
      </c>
      <c r="K1732" s="5" t="s">
        <v>11790</v>
      </c>
      <c r="L1732" s="5" t="s">
        <v>11945</v>
      </c>
      <c r="M1732" s="5" t="s">
        <v>573</v>
      </c>
      <c r="N1732" s="5" t="s">
        <v>1258</v>
      </c>
      <c r="O1732" s="5" t="s">
        <v>11783</v>
      </c>
      <c r="P1732" s="5"/>
      <c r="Q1732" s="5" t="s">
        <v>11946</v>
      </c>
    </row>
    <row r="1733" spans="2:17" x14ac:dyDescent="0.2">
      <c r="B1733" s="5" t="s">
        <v>11775</v>
      </c>
      <c r="C1733" s="6" t="s">
        <v>13589</v>
      </c>
      <c r="D1733" s="4">
        <v>1518</v>
      </c>
      <c r="E1733" s="5" t="s">
        <v>32</v>
      </c>
      <c r="F1733" s="5" t="s">
        <v>11886</v>
      </c>
      <c r="G1733" s="6" t="s">
        <v>14</v>
      </c>
      <c r="H1733" s="4">
        <v>730</v>
      </c>
      <c r="I1733" s="5" t="s">
        <v>22</v>
      </c>
      <c r="J1733" s="5" t="s">
        <v>11947</v>
      </c>
      <c r="K1733" s="5" t="s">
        <v>11790</v>
      </c>
      <c r="L1733" s="5" t="s">
        <v>11948</v>
      </c>
      <c r="M1733" s="5" t="s">
        <v>573</v>
      </c>
      <c r="N1733" s="5" t="s">
        <v>1258</v>
      </c>
      <c r="O1733" s="5" t="s">
        <v>11783</v>
      </c>
      <c r="P1733" s="5"/>
      <c r="Q1733" s="5" t="s">
        <v>11949</v>
      </c>
    </row>
    <row r="1734" spans="2:17" x14ac:dyDescent="0.2">
      <c r="B1734" s="5" t="s">
        <v>11775</v>
      </c>
      <c r="C1734" s="6" t="s">
        <v>13589</v>
      </c>
      <c r="D1734" s="4">
        <v>1519</v>
      </c>
      <c r="E1734" s="5" t="s">
        <v>32</v>
      </c>
      <c r="F1734" s="5" t="s">
        <v>11886</v>
      </c>
      <c r="G1734" s="6" t="s">
        <v>14</v>
      </c>
      <c r="H1734" s="4">
        <v>731</v>
      </c>
      <c r="I1734" s="5" t="s">
        <v>22</v>
      </c>
      <c r="J1734" s="5" t="s">
        <v>11950</v>
      </c>
      <c r="K1734" s="5" t="s">
        <v>11951</v>
      </c>
      <c r="L1734" s="5" t="s">
        <v>11952</v>
      </c>
      <c r="M1734" s="5" t="s">
        <v>573</v>
      </c>
      <c r="N1734" s="5" t="s">
        <v>1258</v>
      </c>
      <c r="O1734" s="5" t="s">
        <v>11783</v>
      </c>
      <c r="P1734" s="5"/>
      <c r="Q1734" s="5" t="s">
        <v>11953</v>
      </c>
    </row>
    <row r="1735" spans="2:17" x14ac:dyDescent="0.2">
      <c r="B1735" s="5" t="s">
        <v>11775</v>
      </c>
      <c r="C1735" s="6" t="s">
        <v>13589</v>
      </c>
      <c r="D1735" s="4">
        <v>1520</v>
      </c>
      <c r="E1735" s="5" t="s">
        <v>32</v>
      </c>
      <c r="F1735" s="5" t="s">
        <v>11886</v>
      </c>
      <c r="G1735" s="6" t="s">
        <v>14</v>
      </c>
      <c r="H1735" s="4">
        <v>732</v>
      </c>
      <c r="I1735" s="5" t="s">
        <v>22</v>
      </c>
      <c r="J1735" s="5" t="s">
        <v>11954</v>
      </c>
      <c r="K1735" s="5" t="s">
        <v>11790</v>
      </c>
      <c r="L1735" s="5" t="s">
        <v>11955</v>
      </c>
      <c r="M1735" s="5" t="s">
        <v>573</v>
      </c>
      <c r="N1735" s="5" t="s">
        <v>1258</v>
      </c>
      <c r="O1735" s="5" t="s">
        <v>11783</v>
      </c>
      <c r="P1735" s="5"/>
      <c r="Q1735" s="5" t="s">
        <v>11956</v>
      </c>
    </row>
    <row r="1736" spans="2:17" x14ac:dyDescent="0.2">
      <c r="B1736" s="5" t="s">
        <v>11775</v>
      </c>
      <c r="C1736" s="6" t="s">
        <v>13589</v>
      </c>
      <c r="D1736" s="4">
        <v>1521</v>
      </c>
      <c r="E1736" s="5" t="s">
        <v>32</v>
      </c>
      <c r="F1736" s="5" t="s">
        <v>11886</v>
      </c>
      <c r="G1736" s="6" t="s">
        <v>14</v>
      </c>
      <c r="H1736" s="4">
        <v>733</v>
      </c>
      <c r="I1736" s="5" t="s">
        <v>22</v>
      </c>
      <c r="J1736" s="5" t="s">
        <v>11957</v>
      </c>
      <c r="K1736" s="5" t="s">
        <v>11951</v>
      </c>
      <c r="L1736" s="5" t="s">
        <v>11958</v>
      </c>
      <c r="M1736" s="5" t="s">
        <v>573</v>
      </c>
      <c r="N1736" s="5" t="s">
        <v>1258</v>
      </c>
      <c r="O1736" s="5" t="s">
        <v>11783</v>
      </c>
      <c r="P1736" s="5"/>
      <c r="Q1736" s="5" t="s">
        <v>11959</v>
      </c>
    </row>
    <row r="1737" spans="2:17" x14ac:dyDescent="0.2">
      <c r="B1737" s="5" t="s">
        <v>11775</v>
      </c>
      <c r="C1737" s="6" t="s">
        <v>13589</v>
      </c>
      <c r="D1737" s="4">
        <v>1522</v>
      </c>
      <c r="E1737" s="5" t="s">
        <v>32</v>
      </c>
      <c r="F1737" s="5" t="s">
        <v>11886</v>
      </c>
      <c r="G1737" s="6" t="s">
        <v>14</v>
      </c>
      <c r="H1737" s="4">
        <v>734</v>
      </c>
      <c r="I1737" s="5" t="s">
        <v>22</v>
      </c>
      <c r="J1737" s="5" t="s">
        <v>11960</v>
      </c>
      <c r="K1737" s="5" t="s">
        <v>11790</v>
      </c>
      <c r="L1737" s="5" t="s">
        <v>11961</v>
      </c>
      <c r="M1737" s="5" t="s">
        <v>573</v>
      </c>
      <c r="N1737" s="5" t="s">
        <v>1258</v>
      </c>
      <c r="O1737" s="5" t="s">
        <v>11783</v>
      </c>
      <c r="P1737" s="5"/>
      <c r="Q1737" s="5" t="s">
        <v>11962</v>
      </c>
    </row>
    <row r="1738" spans="2:17" x14ac:dyDescent="0.2">
      <c r="B1738" s="5" t="s">
        <v>11775</v>
      </c>
      <c r="C1738" s="6" t="s">
        <v>13589</v>
      </c>
      <c r="D1738" s="4">
        <v>1523</v>
      </c>
      <c r="E1738" s="5" t="s">
        <v>32</v>
      </c>
      <c r="F1738" s="5" t="s">
        <v>11886</v>
      </c>
      <c r="G1738" s="6" t="s">
        <v>14</v>
      </c>
      <c r="H1738" s="4">
        <v>735</v>
      </c>
      <c r="I1738" s="5" t="s">
        <v>22</v>
      </c>
      <c r="J1738" s="5" t="s">
        <v>11963</v>
      </c>
      <c r="K1738" s="5" t="s">
        <v>11790</v>
      </c>
      <c r="L1738" s="5"/>
      <c r="M1738" s="5" t="s">
        <v>573</v>
      </c>
      <c r="N1738" s="5" t="s">
        <v>1258</v>
      </c>
      <c r="O1738" s="5" t="s">
        <v>11783</v>
      </c>
      <c r="P1738" s="5"/>
      <c r="Q1738" s="5" t="s">
        <v>11964</v>
      </c>
    </row>
    <row r="1739" spans="2:17" x14ac:dyDescent="0.2">
      <c r="B1739" s="5" t="s">
        <v>11775</v>
      </c>
      <c r="C1739" s="6" t="s">
        <v>13589</v>
      </c>
      <c r="D1739" s="4">
        <v>1524</v>
      </c>
      <c r="E1739" s="5" t="s">
        <v>32</v>
      </c>
      <c r="F1739" s="5" t="s">
        <v>11886</v>
      </c>
      <c r="G1739" s="6" t="s">
        <v>14</v>
      </c>
      <c r="H1739" s="4">
        <v>736</v>
      </c>
      <c r="I1739" s="5" t="s">
        <v>22</v>
      </c>
      <c r="J1739" s="5" t="s">
        <v>11965</v>
      </c>
      <c r="K1739" s="5" t="s">
        <v>11790</v>
      </c>
      <c r="L1739" s="5" t="s">
        <v>11966</v>
      </c>
      <c r="M1739" s="5" t="s">
        <v>573</v>
      </c>
      <c r="N1739" s="5" t="s">
        <v>1258</v>
      </c>
      <c r="O1739" s="5" t="s">
        <v>11783</v>
      </c>
      <c r="P1739" s="5"/>
      <c r="Q1739" s="5" t="s">
        <v>11967</v>
      </c>
    </row>
    <row r="1740" spans="2:17" x14ac:dyDescent="0.2">
      <c r="B1740" s="5" t="s">
        <v>11775</v>
      </c>
      <c r="C1740" s="6" t="s">
        <v>13589</v>
      </c>
      <c r="D1740" s="4">
        <v>1525</v>
      </c>
      <c r="E1740" s="5" t="s">
        <v>32</v>
      </c>
      <c r="F1740" s="5" t="s">
        <v>11886</v>
      </c>
      <c r="G1740" s="6" t="s">
        <v>14</v>
      </c>
      <c r="H1740" s="4">
        <v>737</v>
      </c>
      <c r="I1740" s="5" t="s">
        <v>22</v>
      </c>
      <c r="J1740" s="5" t="s">
        <v>11968</v>
      </c>
      <c r="K1740" s="5" t="s">
        <v>11790</v>
      </c>
      <c r="L1740" s="5" t="s">
        <v>11969</v>
      </c>
      <c r="M1740" s="5" t="s">
        <v>573</v>
      </c>
      <c r="N1740" s="5" t="s">
        <v>1258</v>
      </c>
      <c r="O1740" s="5" t="s">
        <v>11783</v>
      </c>
      <c r="P1740" s="5"/>
      <c r="Q1740" s="5" t="s">
        <v>11970</v>
      </c>
    </row>
    <row r="1741" spans="2:17" x14ac:dyDescent="0.2">
      <c r="B1741" s="5" t="s">
        <v>11775</v>
      </c>
      <c r="C1741" s="6" t="s">
        <v>13589</v>
      </c>
      <c r="D1741" s="4">
        <v>1526</v>
      </c>
      <c r="E1741" s="5" t="s">
        <v>32</v>
      </c>
      <c r="F1741" s="5" t="s">
        <v>11886</v>
      </c>
      <c r="G1741" s="6" t="s">
        <v>14</v>
      </c>
      <c r="H1741" s="4">
        <v>738</v>
      </c>
      <c r="I1741" s="5" t="s">
        <v>22</v>
      </c>
      <c r="J1741" s="5" t="s">
        <v>11971</v>
      </c>
      <c r="K1741" s="5" t="s">
        <v>11951</v>
      </c>
      <c r="L1741" s="5" t="s">
        <v>11972</v>
      </c>
      <c r="M1741" s="5" t="s">
        <v>573</v>
      </c>
      <c r="N1741" s="5" t="s">
        <v>1258</v>
      </c>
      <c r="O1741" s="5" t="s">
        <v>11783</v>
      </c>
      <c r="P1741" s="5"/>
      <c r="Q1741" s="5" t="s">
        <v>11973</v>
      </c>
    </row>
    <row r="1742" spans="2:17" x14ac:dyDescent="0.2">
      <c r="B1742" s="5" t="s">
        <v>11775</v>
      </c>
      <c r="C1742" s="6" t="s">
        <v>13589</v>
      </c>
      <c r="D1742" s="4">
        <v>1527</v>
      </c>
      <c r="E1742" s="5" t="s">
        <v>32</v>
      </c>
      <c r="F1742" s="5" t="s">
        <v>11886</v>
      </c>
      <c r="G1742" s="6" t="s">
        <v>14</v>
      </c>
      <c r="H1742" s="4">
        <v>739</v>
      </c>
      <c r="I1742" s="5" t="s">
        <v>22</v>
      </c>
      <c r="J1742" s="5" t="s">
        <v>11974</v>
      </c>
      <c r="K1742" s="5" t="s">
        <v>11790</v>
      </c>
      <c r="L1742" s="5" t="s">
        <v>11975</v>
      </c>
      <c r="M1742" s="5" t="s">
        <v>573</v>
      </c>
      <c r="N1742" s="5" t="s">
        <v>1258</v>
      </c>
      <c r="O1742" s="5" t="s">
        <v>11783</v>
      </c>
      <c r="P1742" s="5"/>
      <c r="Q1742" s="5" t="s">
        <v>11976</v>
      </c>
    </row>
    <row r="1743" spans="2:17" x14ac:dyDescent="0.2">
      <c r="B1743" s="5" t="s">
        <v>11775</v>
      </c>
      <c r="C1743" s="6" t="s">
        <v>13589</v>
      </c>
      <c r="D1743" s="4">
        <v>1528</v>
      </c>
      <c r="E1743" s="5" t="s">
        <v>32</v>
      </c>
      <c r="F1743" s="5" t="s">
        <v>11886</v>
      </c>
      <c r="G1743" s="6" t="s">
        <v>14</v>
      </c>
      <c r="H1743" s="4">
        <v>740</v>
      </c>
      <c r="I1743" s="5" t="s">
        <v>22</v>
      </c>
      <c r="J1743" s="5" t="s">
        <v>11977</v>
      </c>
      <c r="K1743" s="5" t="s">
        <v>11978</v>
      </c>
      <c r="L1743" s="5" t="s">
        <v>11979</v>
      </c>
      <c r="M1743" s="5" t="s">
        <v>573</v>
      </c>
      <c r="N1743" s="5" t="s">
        <v>1258</v>
      </c>
      <c r="O1743" s="5" t="s">
        <v>11783</v>
      </c>
      <c r="P1743" s="5"/>
      <c r="Q1743" s="5" t="s">
        <v>11980</v>
      </c>
    </row>
    <row r="1744" spans="2:17" x14ac:dyDescent="0.2">
      <c r="B1744" s="5" t="s">
        <v>11775</v>
      </c>
      <c r="C1744" s="6" t="s">
        <v>13589</v>
      </c>
      <c r="D1744" s="4">
        <v>1529</v>
      </c>
      <c r="E1744" s="5" t="s">
        <v>32</v>
      </c>
      <c r="F1744" s="5" t="s">
        <v>11886</v>
      </c>
      <c r="G1744" s="6" t="s">
        <v>14</v>
      </c>
      <c r="H1744" s="4">
        <v>741</v>
      </c>
      <c r="I1744" s="5" t="s">
        <v>22</v>
      </c>
      <c r="J1744" s="5" t="s">
        <v>11981</v>
      </c>
      <c r="K1744" s="5" t="s">
        <v>11790</v>
      </c>
      <c r="L1744" s="5" t="s">
        <v>11982</v>
      </c>
      <c r="M1744" s="5" t="s">
        <v>573</v>
      </c>
      <c r="N1744" s="5" t="s">
        <v>1258</v>
      </c>
      <c r="O1744" s="5" t="s">
        <v>11783</v>
      </c>
      <c r="P1744" s="5"/>
      <c r="Q1744" s="5" t="s">
        <v>11983</v>
      </c>
    </row>
    <row r="1745" spans="2:17" x14ac:dyDescent="0.2">
      <c r="B1745" s="5" t="s">
        <v>11775</v>
      </c>
      <c r="C1745" s="6" t="s">
        <v>13589</v>
      </c>
      <c r="D1745" s="4">
        <v>1530</v>
      </c>
      <c r="E1745" s="5" t="s">
        <v>32</v>
      </c>
      <c r="F1745" s="5" t="s">
        <v>11886</v>
      </c>
      <c r="G1745" s="6" t="s">
        <v>14</v>
      </c>
      <c r="H1745" s="4">
        <v>742</v>
      </c>
      <c r="I1745" s="5" t="s">
        <v>22</v>
      </c>
      <c r="J1745" s="5" t="s">
        <v>11984</v>
      </c>
      <c r="K1745" s="5" t="s">
        <v>11790</v>
      </c>
      <c r="L1745" s="5" t="s">
        <v>11985</v>
      </c>
      <c r="M1745" s="5" t="s">
        <v>573</v>
      </c>
      <c r="N1745" s="5" t="s">
        <v>1258</v>
      </c>
      <c r="O1745" s="5" t="s">
        <v>11783</v>
      </c>
      <c r="P1745" s="5"/>
      <c r="Q1745" s="5" t="s">
        <v>11986</v>
      </c>
    </row>
    <row r="1746" spans="2:17" x14ac:dyDescent="0.2">
      <c r="B1746" s="5" t="s">
        <v>11775</v>
      </c>
      <c r="C1746" s="6" t="s">
        <v>13589</v>
      </c>
      <c r="D1746" s="4">
        <v>1531</v>
      </c>
      <c r="E1746" s="5" t="s">
        <v>32</v>
      </c>
      <c r="F1746" s="5" t="s">
        <v>11886</v>
      </c>
      <c r="G1746" s="6" t="s">
        <v>14</v>
      </c>
      <c r="H1746" s="4">
        <v>743</v>
      </c>
      <c r="I1746" s="5" t="s">
        <v>22</v>
      </c>
      <c r="J1746" s="5" t="s">
        <v>11987</v>
      </c>
      <c r="K1746" s="5" t="s">
        <v>11790</v>
      </c>
      <c r="L1746" s="5" t="s">
        <v>11988</v>
      </c>
      <c r="M1746" s="5" t="s">
        <v>573</v>
      </c>
      <c r="N1746" s="5" t="s">
        <v>1258</v>
      </c>
      <c r="O1746" s="5" t="s">
        <v>11783</v>
      </c>
      <c r="P1746" s="5"/>
      <c r="Q1746" s="5" t="s">
        <v>11989</v>
      </c>
    </row>
    <row r="1747" spans="2:17" x14ac:dyDescent="0.2">
      <c r="B1747" s="5" t="s">
        <v>11775</v>
      </c>
      <c r="C1747" s="6" t="s">
        <v>13589</v>
      </c>
      <c r="D1747" s="4">
        <v>1532</v>
      </c>
      <c r="E1747" s="5" t="s">
        <v>32</v>
      </c>
      <c r="F1747" s="5" t="s">
        <v>11886</v>
      </c>
      <c r="G1747" s="6" t="s">
        <v>14</v>
      </c>
      <c r="H1747" s="4">
        <v>744</v>
      </c>
      <c r="I1747" s="5" t="s">
        <v>22</v>
      </c>
      <c r="J1747" s="5" t="s">
        <v>11990</v>
      </c>
      <c r="K1747" s="5" t="s">
        <v>11951</v>
      </c>
      <c r="L1747" s="5" t="s">
        <v>11991</v>
      </c>
      <c r="M1747" s="5" t="s">
        <v>573</v>
      </c>
      <c r="N1747" s="5" t="s">
        <v>1258</v>
      </c>
      <c r="O1747" s="5" t="s">
        <v>11783</v>
      </c>
      <c r="P1747" s="5"/>
      <c r="Q1747" s="5" t="s">
        <v>11992</v>
      </c>
    </row>
    <row r="1748" spans="2:17" x14ac:dyDescent="0.2">
      <c r="B1748" s="5" t="s">
        <v>11775</v>
      </c>
      <c r="C1748" s="6" t="s">
        <v>13589</v>
      </c>
      <c r="D1748" s="4">
        <v>1533</v>
      </c>
      <c r="E1748" s="5" t="s">
        <v>32</v>
      </c>
      <c r="F1748" s="5" t="s">
        <v>11886</v>
      </c>
      <c r="G1748" s="6" t="s">
        <v>14</v>
      </c>
      <c r="H1748" s="4">
        <v>745</v>
      </c>
      <c r="I1748" s="5" t="s">
        <v>22</v>
      </c>
      <c r="J1748" s="5" t="s">
        <v>11993</v>
      </c>
      <c r="K1748" s="5" t="s">
        <v>11951</v>
      </c>
      <c r="L1748" s="5" t="s">
        <v>11994</v>
      </c>
      <c r="M1748" s="5" t="s">
        <v>573</v>
      </c>
      <c r="N1748" s="5" t="s">
        <v>1258</v>
      </c>
      <c r="O1748" s="5" t="s">
        <v>11783</v>
      </c>
      <c r="P1748" s="5"/>
      <c r="Q1748" s="5" t="s">
        <v>11995</v>
      </c>
    </row>
    <row r="1749" spans="2:17" x14ac:dyDescent="0.2">
      <c r="B1749" s="5" t="s">
        <v>11775</v>
      </c>
      <c r="C1749" s="6" t="s">
        <v>13589</v>
      </c>
      <c r="D1749" s="4">
        <v>1534</v>
      </c>
      <c r="E1749" s="5" t="s">
        <v>32</v>
      </c>
      <c r="F1749" s="5" t="s">
        <v>11886</v>
      </c>
      <c r="G1749" s="6" t="s">
        <v>14</v>
      </c>
      <c r="H1749" s="4">
        <v>746</v>
      </c>
      <c r="I1749" s="5" t="s">
        <v>22</v>
      </c>
      <c r="J1749" s="5" t="s">
        <v>11923</v>
      </c>
      <c r="K1749" s="5" t="s">
        <v>11924</v>
      </c>
      <c r="L1749" s="5"/>
      <c r="M1749" s="5" t="s">
        <v>573</v>
      </c>
      <c r="N1749" s="5" t="s">
        <v>1258</v>
      </c>
      <c r="O1749" s="5" t="s">
        <v>11782</v>
      </c>
      <c r="P1749" s="5"/>
      <c r="Q1749" s="5" t="s">
        <v>11925</v>
      </c>
    </row>
    <row r="1750" spans="2:17" x14ac:dyDescent="0.2">
      <c r="B1750" s="5" t="s">
        <v>11775</v>
      </c>
      <c r="C1750" s="6" t="s">
        <v>13589</v>
      </c>
      <c r="D1750" s="4">
        <v>1535</v>
      </c>
      <c r="E1750" s="5" t="s">
        <v>32</v>
      </c>
      <c r="F1750" s="5" t="s">
        <v>11886</v>
      </c>
      <c r="G1750" s="6" t="s">
        <v>14</v>
      </c>
      <c r="H1750" s="4">
        <v>747</v>
      </c>
      <c r="I1750" s="5" t="s">
        <v>38</v>
      </c>
      <c r="J1750" s="5" t="s">
        <v>11935</v>
      </c>
      <c r="K1750" s="5" t="s">
        <v>11936</v>
      </c>
      <c r="L1750" s="5" t="s">
        <v>11937</v>
      </c>
      <c r="M1750" s="5" t="s">
        <v>573</v>
      </c>
      <c r="N1750" s="5" t="s">
        <v>1258</v>
      </c>
      <c r="O1750" s="5" t="s">
        <v>11782</v>
      </c>
      <c r="P1750" s="5"/>
      <c r="Q1750" s="5" t="s">
        <v>11938</v>
      </c>
    </row>
    <row r="1751" spans="2:17" x14ac:dyDescent="0.2">
      <c r="B1751" s="5" t="s">
        <v>11775</v>
      </c>
      <c r="C1751" s="6" t="s">
        <v>13589</v>
      </c>
      <c r="D1751" s="4">
        <v>1536</v>
      </c>
      <c r="E1751" s="5" t="s">
        <v>32</v>
      </c>
      <c r="F1751" s="5" t="s">
        <v>11897</v>
      </c>
      <c r="G1751" s="6" t="s">
        <v>14</v>
      </c>
      <c r="H1751" s="4">
        <v>748</v>
      </c>
      <c r="I1751" s="5" t="s">
        <v>38</v>
      </c>
      <c r="J1751" s="5" t="s">
        <v>11898</v>
      </c>
      <c r="K1751" s="5" t="s">
        <v>11807</v>
      </c>
      <c r="L1751" s="5" t="s">
        <v>11899</v>
      </c>
      <c r="M1751" s="5" t="s">
        <v>1269</v>
      </c>
      <c r="N1751" s="5" t="s">
        <v>1258</v>
      </c>
      <c r="O1751" s="5" t="s">
        <v>11783</v>
      </c>
      <c r="P1751" s="5"/>
      <c r="Q1751" s="5" t="s">
        <v>11900</v>
      </c>
    </row>
    <row r="1752" spans="2:17" x14ac:dyDescent="0.2">
      <c r="B1752" s="5" t="s">
        <v>11775</v>
      </c>
      <c r="C1752" s="6" t="s">
        <v>13589</v>
      </c>
      <c r="D1752" s="4">
        <v>1537</v>
      </c>
      <c r="E1752" s="5" t="s">
        <v>32</v>
      </c>
      <c r="F1752" s="5" t="s">
        <v>11886</v>
      </c>
      <c r="G1752" s="6" t="s">
        <v>14</v>
      </c>
      <c r="H1752" s="4">
        <v>749</v>
      </c>
      <c r="I1752" s="5" t="s">
        <v>38</v>
      </c>
      <c r="J1752" s="5" t="s">
        <v>11904</v>
      </c>
      <c r="K1752" s="5" t="s">
        <v>11905</v>
      </c>
      <c r="L1752" s="5"/>
      <c r="M1752" s="5" t="s">
        <v>573</v>
      </c>
      <c r="N1752" s="5" t="s">
        <v>1258</v>
      </c>
      <c r="O1752" s="5" t="s">
        <v>11783</v>
      </c>
      <c r="P1752" s="5"/>
      <c r="Q1752" s="5" t="s">
        <v>11906</v>
      </c>
    </row>
    <row r="1753" spans="2:17" x14ac:dyDescent="0.2">
      <c r="B1753" s="5" t="s">
        <v>11775</v>
      </c>
      <c r="C1753" s="6" t="s">
        <v>13589</v>
      </c>
      <c r="D1753" s="4">
        <v>1538</v>
      </c>
      <c r="E1753" s="5" t="s">
        <v>32</v>
      </c>
      <c r="F1753" s="5" t="s">
        <v>11886</v>
      </c>
      <c r="G1753" s="6" t="s">
        <v>14</v>
      </c>
      <c r="H1753" s="4">
        <v>750</v>
      </c>
      <c r="I1753" s="5" t="s">
        <v>22</v>
      </c>
      <c r="J1753" s="5" t="s">
        <v>11907</v>
      </c>
      <c r="K1753" s="5" t="s">
        <v>11908</v>
      </c>
      <c r="L1753" s="5" t="s">
        <v>11909</v>
      </c>
      <c r="M1753" s="5" t="s">
        <v>573</v>
      </c>
      <c r="N1753" s="5" t="s">
        <v>1258</v>
      </c>
      <c r="O1753" s="5" t="s">
        <v>11783</v>
      </c>
      <c r="P1753" s="5"/>
      <c r="Q1753" s="5" t="s">
        <v>11910</v>
      </c>
    </row>
    <row r="1754" spans="2:17" x14ac:dyDescent="0.2">
      <c r="B1754" s="5" t="s">
        <v>11775</v>
      </c>
      <c r="C1754" s="6" t="s">
        <v>13589</v>
      </c>
      <c r="D1754" s="4">
        <v>1539</v>
      </c>
      <c r="E1754" s="5" t="s">
        <v>32</v>
      </c>
      <c r="F1754" s="5" t="s">
        <v>11886</v>
      </c>
      <c r="G1754" s="6" t="s">
        <v>14</v>
      </c>
      <c r="H1754" s="4">
        <v>751</v>
      </c>
      <c r="I1754" s="5" t="s">
        <v>22</v>
      </c>
      <c r="J1754" s="5" t="s">
        <v>11911</v>
      </c>
      <c r="K1754" s="5" t="s">
        <v>11912</v>
      </c>
      <c r="L1754" s="5"/>
      <c r="M1754" s="5" t="s">
        <v>573</v>
      </c>
      <c r="N1754" s="5" t="s">
        <v>1258</v>
      </c>
      <c r="O1754" s="5" t="s">
        <v>11783</v>
      </c>
      <c r="P1754" s="5"/>
      <c r="Q1754" s="5" t="s">
        <v>11913</v>
      </c>
    </row>
    <row r="1755" spans="2:17" x14ac:dyDescent="0.2">
      <c r="B1755" s="5" t="s">
        <v>11775</v>
      </c>
      <c r="C1755" s="6" t="s">
        <v>13589</v>
      </c>
      <c r="D1755" s="4">
        <v>1540</v>
      </c>
      <c r="E1755" s="5" t="s">
        <v>32</v>
      </c>
      <c r="F1755" s="5" t="s">
        <v>11886</v>
      </c>
      <c r="G1755" s="6" t="s">
        <v>14</v>
      </c>
      <c r="H1755" s="4">
        <v>752</v>
      </c>
      <c r="I1755" s="5" t="s">
        <v>38</v>
      </c>
      <c r="J1755" s="5" t="s">
        <v>11917</v>
      </c>
      <c r="K1755" s="5" t="s">
        <v>10684</v>
      </c>
      <c r="L1755" s="5" t="s">
        <v>11918</v>
      </c>
      <c r="M1755" s="5" t="s">
        <v>573</v>
      </c>
      <c r="N1755" s="5" t="s">
        <v>1258</v>
      </c>
      <c r="O1755" s="5" t="s">
        <v>11782</v>
      </c>
      <c r="P1755" s="5"/>
      <c r="Q1755" s="5" t="s">
        <v>11919</v>
      </c>
    </row>
    <row r="1756" spans="2:17" x14ac:dyDescent="0.2">
      <c r="B1756" s="5" t="s">
        <v>11775</v>
      </c>
      <c r="C1756" s="6" t="s">
        <v>13589</v>
      </c>
      <c r="D1756" s="4">
        <v>1541</v>
      </c>
      <c r="E1756" s="5" t="s">
        <v>32</v>
      </c>
      <c r="F1756" s="5" t="s">
        <v>11886</v>
      </c>
      <c r="G1756" s="6" t="s">
        <v>14</v>
      </c>
      <c r="H1756" s="4">
        <v>753</v>
      </c>
      <c r="I1756" s="5" t="s">
        <v>38</v>
      </c>
      <c r="J1756" s="5" t="s">
        <v>11920</v>
      </c>
      <c r="K1756" s="5" t="s">
        <v>10684</v>
      </c>
      <c r="L1756" s="5" t="s">
        <v>11921</v>
      </c>
      <c r="M1756" s="5" t="s">
        <v>573</v>
      </c>
      <c r="N1756" s="5" t="s">
        <v>1258</v>
      </c>
      <c r="O1756" s="5" t="s">
        <v>11782</v>
      </c>
      <c r="P1756" s="5"/>
      <c r="Q1756" s="5" t="s">
        <v>11922</v>
      </c>
    </row>
    <row r="1757" spans="2:17" x14ac:dyDescent="0.2">
      <c r="B1757" s="5" t="s">
        <v>11775</v>
      </c>
      <c r="C1757" s="6" t="s">
        <v>13589</v>
      </c>
      <c r="D1757" s="4">
        <v>1542</v>
      </c>
      <c r="E1757" s="5" t="s">
        <v>32</v>
      </c>
      <c r="F1757" s="5" t="s">
        <v>11886</v>
      </c>
      <c r="G1757" s="6" t="s">
        <v>14</v>
      </c>
      <c r="H1757" s="4">
        <v>754</v>
      </c>
      <c r="I1757" s="5" t="s">
        <v>38</v>
      </c>
      <c r="J1757" s="5" t="s">
        <v>11926</v>
      </c>
      <c r="K1757" s="5" t="s">
        <v>10684</v>
      </c>
      <c r="L1757" s="5" t="s">
        <v>11927</v>
      </c>
      <c r="M1757" s="5" t="s">
        <v>573</v>
      </c>
      <c r="N1757" s="5" t="s">
        <v>1258</v>
      </c>
      <c r="O1757" s="5" t="s">
        <v>11782</v>
      </c>
      <c r="P1757" s="5"/>
      <c r="Q1757" s="5" t="s">
        <v>11928</v>
      </c>
    </row>
    <row r="1758" spans="2:17" x14ac:dyDescent="0.2">
      <c r="B1758" s="5" t="s">
        <v>11775</v>
      </c>
      <c r="C1758" s="6" t="s">
        <v>13589</v>
      </c>
      <c r="D1758" s="4">
        <v>1543</v>
      </c>
      <c r="E1758" s="5" t="s">
        <v>32</v>
      </c>
      <c r="F1758" s="5" t="s">
        <v>11886</v>
      </c>
      <c r="G1758" s="6" t="s">
        <v>14</v>
      </c>
      <c r="H1758" s="4">
        <v>755</v>
      </c>
      <c r="I1758" s="5" t="s">
        <v>22</v>
      </c>
      <c r="J1758" s="5" t="s">
        <v>11933</v>
      </c>
      <c r="K1758" s="5" t="s">
        <v>10684</v>
      </c>
      <c r="L1758" s="5"/>
      <c r="M1758" s="5" t="s">
        <v>573</v>
      </c>
      <c r="N1758" s="5" t="s">
        <v>1258</v>
      </c>
      <c r="O1758" s="5" t="s">
        <v>11782</v>
      </c>
      <c r="P1758" s="5"/>
      <c r="Q1758" s="5" t="s">
        <v>11934</v>
      </c>
    </row>
    <row r="1759" spans="2:17" x14ac:dyDescent="0.2">
      <c r="B1759" s="5" t="s">
        <v>11775</v>
      </c>
      <c r="C1759" s="6" t="s">
        <v>13589</v>
      </c>
      <c r="D1759" s="4">
        <v>1544</v>
      </c>
      <c r="E1759" s="5" t="s">
        <v>32</v>
      </c>
      <c r="F1759" s="5" t="s">
        <v>11886</v>
      </c>
      <c r="G1759" s="6" t="s">
        <v>14</v>
      </c>
      <c r="H1759" s="4">
        <v>756</v>
      </c>
      <c r="I1759" s="5" t="s">
        <v>22</v>
      </c>
      <c r="J1759" s="5" t="s">
        <v>11939</v>
      </c>
      <c r="K1759" s="5" t="s">
        <v>10684</v>
      </c>
      <c r="L1759" s="5" t="s">
        <v>11940</v>
      </c>
      <c r="M1759" s="5" t="s">
        <v>573</v>
      </c>
      <c r="N1759" s="5" t="s">
        <v>1258</v>
      </c>
      <c r="O1759" s="5" t="s">
        <v>11782</v>
      </c>
      <c r="P1759" s="5"/>
      <c r="Q1759" s="5" t="s">
        <v>11941</v>
      </c>
    </row>
    <row r="1760" spans="2:17" x14ac:dyDescent="0.2">
      <c r="B1760" s="5" t="s">
        <v>11775</v>
      </c>
      <c r="C1760" s="6" t="s">
        <v>13589</v>
      </c>
      <c r="D1760" s="4">
        <v>1545</v>
      </c>
      <c r="E1760" s="5" t="s">
        <v>32</v>
      </c>
      <c r="F1760" s="5" t="s">
        <v>11886</v>
      </c>
      <c r="G1760" s="6" t="s">
        <v>14</v>
      </c>
      <c r="H1760" s="4">
        <v>757</v>
      </c>
      <c r="I1760" s="5" t="s">
        <v>22</v>
      </c>
      <c r="J1760" s="5" t="s">
        <v>11942</v>
      </c>
      <c r="K1760" s="5" t="s">
        <v>10684</v>
      </c>
      <c r="L1760" s="5"/>
      <c r="M1760" s="5" t="s">
        <v>573</v>
      </c>
      <c r="N1760" s="5" t="s">
        <v>1258</v>
      </c>
      <c r="O1760" s="5" t="s">
        <v>11782</v>
      </c>
      <c r="P1760" s="5"/>
      <c r="Q1760" s="5" t="s">
        <v>11943</v>
      </c>
    </row>
    <row r="1761" spans="2:17" x14ac:dyDescent="0.2">
      <c r="B1761" s="5" t="s">
        <v>11775</v>
      </c>
      <c r="C1761" s="6" t="s">
        <v>13589</v>
      </c>
      <c r="D1761" s="4">
        <v>1546</v>
      </c>
      <c r="E1761" s="5" t="s">
        <v>24</v>
      </c>
      <c r="F1761" s="5" t="s">
        <v>11901</v>
      </c>
      <c r="G1761" s="6" t="s">
        <v>14</v>
      </c>
      <c r="H1761" s="4">
        <v>758</v>
      </c>
      <c r="I1761" s="5"/>
      <c r="J1761" s="5" t="s">
        <v>11902</v>
      </c>
      <c r="K1761" s="5" t="s">
        <v>11798</v>
      </c>
      <c r="L1761" s="5"/>
      <c r="M1761" s="5" t="s">
        <v>1269</v>
      </c>
      <c r="N1761" s="5" t="s">
        <v>1263</v>
      </c>
      <c r="O1761" s="5" t="s">
        <v>11782</v>
      </c>
      <c r="P1761" s="5"/>
      <c r="Q1761" s="5" t="s">
        <v>11903</v>
      </c>
    </row>
    <row r="1762" spans="2:17" x14ac:dyDescent="0.2">
      <c r="B1762" s="5" t="s">
        <v>11775</v>
      </c>
      <c r="C1762" s="6" t="s">
        <v>13589</v>
      </c>
      <c r="D1762" s="4">
        <v>1547</v>
      </c>
      <c r="E1762" s="5" t="s">
        <v>24</v>
      </c>
      <c r="F1762" s="5" t="s">
        <v>11886</v>
      </c>
      <c r="G1762" s="6" t="s">
        <v>14</v>
      </c>
      <c r="H1762" s="4">
        <v>759</v>
      </c>
      <c r="I1762" s="5"/>
      <c r="J1762" s="5" t="s">
        <v>11996</v>
      </c>
      <c r="K1762" s="5" t="s">
        <v>11798</v>
      </c>
      <c r="L1762" s="5"/>
      <c r="M1762" s="5" t="s">
        <v>573</v>
      </c>
      <c r="N1762" s="5" t="s">
        <v>1263</v>
      </c>
      <c r="O1762" s="5" t="s">
        <v>11782</v>
      </c>
      <c r="P1762" s="5"/>
      <c r="Q1762" s="5" t="s">
        <v>11997</v>
      </c>
    </row>
    <row r="1763" spans="2:17" x14ac:dyDescent="0.2">
      <c r="B1763" s="5" t="s">
        <v>11775</v>
      </c>
      <c r="C1763" s="6" t="s">
        <v>13589</v>
      </c>
      <c r="D1763" s="4">
        <v>1549</v>
      </c>
      <c r="E1763" s="5" t="s">
        <v>24</v>
      </c>
      <c r="F1763" s="5" t="s">
        <v>11875</v>
      </c>
      <c r="G1763" s="6" t="s">
        <v>14</v>
      </c>
      <c r="H1763" s="4">
        <v>760</v>
      </c>
      <c r="I1763" s="5"/>
      <c r="J1763" s="5" t="s">
        <v>11876</v>
      </c>
      <c r="K1763" s="5" t="s">
        <v>11790</v>
      </c>
      <c r="L1763" s="5"/>
      <c r="M1763" s="5" t="s">
        <v>2304</v>
      </c>
      <c r="N1763" s="5" t="s">
        <v>1247</v>
      </c>
      <c r="O1763" s="5" t="s">
        <v>11783</v>
      </c>
      <c r="P1763" s="5"/>
      <c r="Q1763" s="5" t="s">
        <v>11877</v>
      </c>
    </row>
    <row r="1764" spans="2:17" x14ac:dyDescent="0.2">
      <c r="B1764" s="5" t="s">
        <v>11775</v>
      </c>
      <c r="C1764" s="6" t="s">
        <v>13589</v>
      </c>
      <c r="D1764" s="4">
        <v>1551</v>
      </c>
      <c r="E1764" s="5" t="s">
        <v>13</v>
      </c>
      <c r="F1764" s="5" t="s">
        <v>11868</v>
      </c>
      <c r="G1764" s="6" t="s">
        <v>14</v>
      </c>
      <c r="H1764" s="4">
        <v>761</v>
      </c>
      <c r="I1764" s="5"/>
      <c r="J1764" s="5" t="s">
        <v>11869</v>
      </c>
      <c r="K1764" s="5" t="s">
        <v>11854</v>
      </c>
      <c r="L1764" s="5" t="s">
        <v>11870</v>
      </c>
      <c r="M1764" s="5" t="s">
        <v>1247</v>
      </c>
      <c r="N1764" s="5" t="s">
        <v>1247</v>
      </c>
      <c r="O1764" s="5" t="s">
        <v>11783</v>
      </c>
      <c r="P1764" s="5"/>
      <c r="Q1764" s="5" t="s">
        <v>11871</v>
      </c>
    </row>
    <row r="1765" spans="2:17" x14ac:dyDescent="0.2">
      <c r="B1765" s="5" t="s">
        <v>11775</v>
      </c>
      <c r="C1765" s="6" t="s">
        <v>13589</v>
      </c>
      <c r="D1765" s="4">
        <v>1552</v>
      </c>
      <c r="E1765" s="5" t="s">
        <v>32</v>
      </c>
      <c r="F1765" s="5" t="s">
        <v>11864</v>
      </c>
      <c r="G1765" s="6" t="s">
        <v>14</v>
      </c>
      <c r="H1765" s="4">
        <v>762</v>
      </c>
      <c r="I1765" s="5" t="s">
        <v>38</v>
      </c>
      <c r="J1765" s="5" t="s">
        <v>11865</v>
      </c>
      <c r="K1765" s="5" t="s">
        <v>11854</v>
      </c>
      <c r="L1765" s="5" t="s">
        <v>11866</v>
      </c>
      <c r="M1765" s="5" t="s">
        <v>1247</v>
      </c>
      <c r="N1765" s="5" t="s">
        <v>1236</v>
      </c>
      <c r="O1765" s="5" t="s">
        <v>11783</v>
      </c>
      <c r="P1765" s="5"/>
      <c r="Q1765" s="5" t="s">
        <v>11867</v>
      </c>
    </row>
    <row r="1766" spans="2:17" x14ac:dyDescent="0.2">
      <c r="B1766" s="5" t="s">
        <v>11775</v>
      </c>
      <c r="C1766" s="6" t="s">
        <v>13589</v>
      </c>
      <c r="D1766" s="4">
        <v>1554</v>
      </c>
      <c r="E1766" s="5" t="s">
        <v>32</v>
      </c>
      <c r="F1766" s="5" t="s">
        <v>11852</v>
      </c>
      <c r="G1766" s="6" t="s">
        <v>14</v>
      </c>
      <c r="H1766" s="4">
        <v>763</v>
      </c>
      <c r="I1766" s="5" t="s">
        <v>38</v>
      </c>
      <c r="J1766" s="5" t="s">
        <v>11853</v>
      </c>
      <c r="K1766" s="5" t="s">
        <v>11854</v>
      </c>
      <c r="L1766" s="5" t="s">
        <v>11855</v>
      </c>
      <c r="M1766" s="5" t="s">
        <v>1230</v>
      </c>
      <c r="N1766" s="5" t="s">
        <v>1226</v>
      </c>
      <c r="O1766" s="5" t="s">
        <v>11783</v>
      </c>
      <c r="P1766" s="5"/>
      <c r="Q1766" s="5" t="s">
        <v>11856</v>
      </c>
    </row>
    <row r="1767" spans="2:17" x14ac:dyDescent="0.2">
      <c r="B1767" s="5" t="s">
        <v>11775</v>
      </c>
      <c r="C1767" s="6" t="s">
        <v>13589</v>
      </c>
      <c r="D1767" s="4">
        <v>1557</v>
      </c>
      <c r="E1767" s="5" t="s">
        <v>32</v>
      </c>
      <c r="F1767" s="5" t="s">
        <v>12226</v>
      </c>
      <c r="G1767" s="6" t="s">
        <v>14</v>
      </c>
      <c r="H1767" s="4">
        <v>764</v>
      </c>
      <c r="I1767" s="5" t="s">
        <v>22</v>
      </c>
      <c r="J1767" s="5" t="s">
        <v>8278</v>
      </c>
      <c r="K1767" s="5" t="s">
        <v>12227</v>
      </c>
      <c r="L1767" s="5"/>
      <c r="M1767" s="5" t="s">
        <v>1526</v>
      </c>
      <c r="N1767" s="5" t="s">
        <v>2147</v>
      </c>
      <c r="O1767" s="5" t="s">
        <v>11780</v>
      </c>
      <c r="P1767" s="5"/>
      <c r="Q1767" s="5" t="s">
        <v>12228</v>
      </c>
    </row>
    <row r="1768" spans="2:17" x14ac:dyDescent="0.2">
      <c r="B1768" s="5" t="s">
        <v>11775</v>
      </c>
      <c r="C1768" s="6" t="s">
        <v>13589</v>
      </c>
      <c r="D1768" s="4">
        <v>1558</v>
      </c>
      <c r="E1768" s="5" t="s">
        <v>32</v>
      </c>
      <c r="F1768" s="5" t="s">
        <v>12229</v>
      </c>
      <c r="G1768" s="6" t="s">
        <v>14</v>
      </c>
      <c r="H1768" s="4">
        <v>765</v>
      </c>
      <c r="I1768" s="5" t="s">
        <v>22</v>
      </c>
      <c r="J1768" s="5" t="s">
        <v>8260</v>
      </c>
      <c r="K1768" s="5" t="s">
        <v>11801</v>
      </c>
      <c r="L1768" s="5" t="s">
        <v>8261</v>
      </c>
      <c r="M1768" s="5" t="s">
        <v>1526</v>
      </c>
      <c r="N1768" s="5" t="s">
        <v>2147</v>
      </c>
      <c r="O1768" s="5" t="s">
        <v>11780</v>
      </c>
      <c r="P1768" s="5"/>
      <c r="Q1768" s="5" t="s">
        <v>12230</v>
      </c>
    </row>
    <row r="1769" spans="2:17" x14ac:dyDescent="0.2">
      <c r="B1769" s="5" t="s">
        <v>11775</v>
      </c>
      <c r="C1769" s="6" t="s">
        <v>13589</v>
      </c>
      <c r="D1769" s="4">
        <v>1560</v>
      </c>
      <c r="E1769" s="5" t="s">
        <v>32</v>
      </c>
      <c r="F1769" s="5" t="s">
        <v>11830</v>
      </c>
      <c r="G1769" s="6" t="s">
        <v>14</v>
      </c>
      <c r="H1769" s="4">
        <v>766</v>
      </c>
      <c r="I1769" s="5" t="s">
        <v>22</v>
      </c>
      <c r="J1769" s="5" t="s">
        <v>11831</v>
      </c>
      <c r="K1769" s="5" t="s">
        <v>11832</v>
      </c>
      <c r="L1769" s="5" t="s">
        <v>11833</v>
      </c>
      <c r="M1769" s="5" t="s">
        <v>2827</v>
      </c>
      <c r="N1769" s="5" t="s">
        <v>2827</v>
      </c>
      <c r="O1769" s="5" t="s">
        <v>11782</v>
      </c>
      <c r="P1769" s="5"/>
      <c r="Q1769" s="5" t="s">
        <v>11834</v>
      </c>
    </row>
    <row r="1770" spans="2:17" x14ac:dyDescent="0.2">
      <c r="B1770" s="5" t="s">
        <v>11775</v>
      </c>
      <c r="C1770" s="6" t="s">
        <v>13589</v>
      </c>
      <c r="D1770" s="4">
        <v>1561</v>
      </c>
      <c r="E1770" s="5" t="s">
        <v>24</v>
      </c>
      <c r="F1770" s="5" t="s">
        <v>11835</v>
      </c>
      <c r="G1770" s="6" t="s">
        <v>14</v>
      </c>
      <c r="H1770" s="4">
        <v>767</v>
      </c>
      <c r="I1770" s="5"/>
      <c r="J1770" s="5" t="s">
        <v>11836</v>
      </c>
      <c r="K1770" s="5" t="s">
        <v>11837</v>
      </c>
      <c r="L1770" s="5"/>
      <c r="M1770" s="5" t="s">
        <v>2827</v>
      </c>
      <c r="N1770" s="5" t="s">
        <v>2827</v>
      </c>
      <c r="O1770" s="5" t="s">
        <v>11783</v>
      </c>
      <c r="P1770" s="5"/>
      <c r="Q1770" s="5" t="s">
        <v>11838</v>
      </c>
    </row>
    <row r="1771" spans="2:17" x14ac:dyDescent="0.2">
      <c r="B1771" s="5" t="s">
        <v>11775</v>
      </c>
      <c r="C1771" s="6" t="s">
        <v>13589</v>
      </c>
      <c r="D1771" s="4">
        <v>1562</v>
      </c>
      <c r="E1771" s="5" t="s">
        <v>24</v>
      </c>
      <c r="F1771" s="5" t="s">
        <v>11839</v>
      </c>
      <c r="G1771" s="6" t="s">
        <v>14</v>
      </c>
      <c r="H1771" s="4">
        <v>768</v>
      </c>
      <c r="I1771" s="5"/>
      <c r="J1771" s="5" t="s">
        <v>11840</v>
      </c>
      <c r="K1771" s="5" t="s">
        <v>11798</v>
      </c>
      <c r="L1771" s="5"/>
      <c r="M1771" s="5" t="s">
        <v>2827</v>
      </c>
      <c r="N1771" s="5" t="s">
        <v>2827</v>
      </c>
      <c r="O1771" s="5" t="s">
        <v>11782</v>
      </c>
      <c r="P1771" s="5"/>
      <c r="Q1771" s="5" t="s">
        <v>11841</v>
      </c>
    </row>
    <row r="1772" spans="2:17" x14ac:dyDescent="0.2">
      <c r="B1772" s="5" t="s">
        <v>11775</v>
      </c>
      <c r="C1772" s="6" t="s">
        <v>13589</v>
      </c>
      <c r="D1772" s="4">
        <v>1563</v>
      </c>
      <c r="E1772" s="5" t="s">
        <v>32</v>
      </c>
      <c r="F1772" s="5" t="s">
        <v>11842</v>
      </c>
      <c r="G1772" s="6" t="s">
        <v>14</v>
      </c>
      <c r="H1772" s="4">
        <v>769</v>
      </c>
      <c r="I1772" s="5" t="s">
        <v>22</v>
      </c>
      <c r="J1772" s="5" t="s">
        <v>11843</v>
      </c>
      <c r="K1772" s="5" t="s">
        <v>11844</v>
      </c>
      <c r="L1772" s="5" t="s">
        <v>11845</v>
      </c>
      <c r="M1772" s="5" t="s">
        <v>548</v>
      </c>
      <c r="N1772" s="5" t="s">
        <v>1723</v>
      </c>
      <c r="O1772" s="5" t="s">
        <v>11780</v>
      </c>
      <c r="P1772" s="5"/>
      <c r="Q1772" s="5" t="s">
        <v>11846</v>
      </c>
    </row>
    <row r="1773" spans="2:17" x14ac:dyDescent="0.2">
      <c r="B1773" s="5" t="s">
        <v>11775</v>
      </c>
      <c r="C1773" s="6" t="s">
        <v>13589</v>
      </c>
      <c r="D1773" s="4">
        <v>1568</v>
      </c>
      <c r="E1773" s="5" t="s">
        <v>20</v>
      </c>
      <c r="F1773" s="5" t="s">
        <v>11814</v>
      </c>
      <c r="G1773" s="6" t="s">
        <v>14</v>
      </c>
      <c r="H1773" s="4">
        <v>770</v>
      </c>
      <c r="I1773" s="5" t="s">
        <v>22</v>
      </c>
      <c r="J1773" s="5" t="s">
        <v>11815</v>
      </c>
      <c r="K1773" s="5" t="s">
        <v>95</v>
      </c>
      <c r="L1773" s="5"/>
      <c r="M1773" s="5" t="s">
        <v>1715</v>
      </c>
      <c r="N1773" s="5" t="s">
        <v>1715</v>
      </c>
      <c r="O1773" s="5" t="s">
        <v>11782</v>
      </c>
      <c r="P1773" s="5"/>
      <c r="Q1773" s="5" t="s">
        <v>11816</v>
      </c>
    </row>
    <row r="1774" spans="2:17" x14ac:dyDescent="0.2">
      <c r="B1774" s="5" t="s">
        <v>11775</v>
      </c>
      <c r="C1774" s="6" t="s">
        <v>13589</v>
      </c>
      <c r="D1774" s="4">
        <v>1570</v>
      </c>
      <c r="E1774" s="5" t="s">
        <v>24</v>
      </c>
      <c r="F1774" s="5" t="s">
        <v>11811</v>
      </c>
      <c r="G1774" s="6" t="s">
        <v>14</v>
      </c>
      <c r="H1774" s="4">
        <v>771</v>
      </c>
      <c r="I1774" s="5"/>
      <c r="J1774" s="5" t="s">
        <v>11812</v>
      </c>
      <c r="K1774" s="5" t="s">
        <v>11798</v>
      </c>
      <c r="L1774" s="5"/>
      <c r="M1774" s="5" t="s">
        <v>1208</v>
      </c>
      <c r="N1774" s="5" t="s">
        <v>1208</v>
      </c>
      <c r="O1774" s="5" t="s">
        <v>11782</v>
      </c>
      <c r="P1774" s="5"/>
      <c r="Q1774" s="5" t="s">
        <v>11813</v>
      </c>
    </row>
    <row r="1775" spans="2:17" x14ac:dyDescent="0.2">
      <c r="B1775" s="5" t="s">
        <v>11775</v>
      </c>
      <c r="C1775" s="6" t="s">
        <v>13589</v>
      </c>
      <c r="D1775" s="4">
        <v>1574</v>
      </c>
      <c r="E1775" s="5" t="s">
        <v>13</v>
      </c>
      <c r="F1775" s="5" t="s">
        <v>12406</v>
      </c>
      <c r="G1775" s="6" t="s">
        <v>14</v>
      </c>
      <c r="H1775" s="4">
        <v>772</v>
      </c>
      <c r="I1775" s="5"/>
      <c r="J1775" s="5" t="s">
        <v>12407</v>
      </c>
      <c r="K1775" s="5" t="s">
        <v>11798</v>
      </c>
      <c r="L1775" s="5"/>
      <c r="M1775" s="5" t="s">
        <v>1122</v>
      </c>
      <c r="N1775" s="5" t="s">
        <v>1122</v>
      </c>
      <c r="O1775" s="5" t="s">
        <v>11782</v>
      </c>
      <c r="P1775" s="5"/>
      <c r="Q1775" s="5" t="s">
        <v>12408</v>
      </c>
    </row>
    <row r="1776" spans="2:17" x14ac:dyDescent="0.2">
      <c r="B1776" s="5" t="s">
        <v>11775</v>
      </c>
      <c r="C1776" s="6" t="s">
        <v>13589</v>
      </c>
      <c r="D1776" s="4">
        <v>1575</v>
      </c>
      <c r="E1776" s="5" t="s">
        <v>24</v>
      </c>
      <c r="F1776" s="5" t="s">
        <v>11808</v>
      </c>
      <c r="G1776" s="6" t="s">
        <v>14</v>
      </c>
      <c r="H1776" s="4">
        <v>773</v>
      </c>
      <c r="I1776" s="5"/>
      <c r="J1776" s="5" t="s">
        <v>11809</v>
      </c>
      <c r="K1776" s="5" t="s">
        <v>11798</v>
      </c>
      <c r="L1776" s="5"/>
      <c r="M1776" s="5" t="s">
        <v>2811</v>
      </c>
      <c r="N1776" s="5" t="s">
        <v>2811</v>
      </c>
      <c r="O1776" s="5" t="s">
        <v>11782</v>
      </c>
      <c r="P1776" s="5"/>
      <c r="Q1776" s="5" t="s">
        <v>11810</v>
      </c>
    </row>
    <row r="1777" spans="2:17" x14ac:dyDescent="0.2">
      <c r="B1777" s="5" t="s">
        <v>11775</v>
      </c>
      <c r="C1777" s="6" t="s">
        <v>13589</v>
      </c>
      <c r="D1777" s="4">
        <v>1576</v>
      </c>
      <c r="E1777" s="5" t="s">
        <v>13</v>
      </c>
      <c r="F1777" s="5" t="s">
        <v>12378</v>
      </c>
      <c r="G1777" s="6" t="s">
        <v>14</v>
      </c>
      <c r="H1777" s="4">
        <v>774</v>
      </c>
      <c r="I1777" s="5"/>
      <c r="J1777" s="5" t="s">
        <v>12379</v>
      </c>
      <c r="K1777" s="5" t="s">
        <v>11798</v>
      </c>
      <c r="L1777" s="5"/>
      <c r="M1777" s="5" t="s">
        <v>489</v>
      </c>
      <c r="N1777" s="5" t="s">
        <v>489</v>
      </c>
      <c r="O1777" s="5" t="s">
        <v>11782</v>
      </c>
      <c r="P1777" s="5"/>
      <c r="Q1777" s="5" t="s">
        <v>12380</v>
      </c>
    </row>
    <row r="1778" spans="2:17" x14ac:dyDescent="0.2">
      <c r="B1778" s="5" t="s">
        <v>11775</v>
      </c>
      <c r="C1778" s="6" t="s">
        <v>13589</v>
      </c>
      <c r="D1778" s="4">
        <v>1577</v>
      </c>
      <c r="E1778" s="5" t="s">
        <v>35</v>
      </c>
      <c r="F1778" s="5" t="s">
        <v>12381</v>
      </c>
      <c r="G1778" s="6" t="s">
        <v>14</v>
      </c>
      <c r="H1778" s="4">
        <v>775</v>
      </c>
      <c r="I1778" s="5" t="s">
        <v>22</v>
      </c>
      <c r="J1778" s="5" t="s">
        <v>12382</v>
      </c>
      <c r="K1778" s="5" t="s">
        <v>11798</v>
      </c>
      <c r="L1778" s="5"/>
      <c r="M1778" s="5" t="s">
        <v>489</v>
      </c>
      <c r="N1778" s="5" t="s">
        <v>1651</v>
      </c>
      <c r="O1778" s="5" t="s">
        <v>11782</v>
      </c>
      <c r="P1778" s="5"/>
      <c r="Q1778" s="5" t="s">
        <v>12383</v>
      </c>
    </row>
    <row r="1779" spans="2:17" x14ac:dyDescent="0.2">
      <c r="B1779" s="5" t="s">
        <v>11775</v>
      </c>
      <c r="C1779" s="6" t="s">
        <v>13589</v>
      </c>
      <c r="D1779" s="4">
        <v>1578</v>
      </c>
      <c r="E1779" s="5" t="s">
        <v>35</v>
      </c>
      <c r="F1779" s="5" t="s">
        <v>12381</v>
      </c>
      <c r="G1779" s="6" t="s">
        <v>14</v>
      </c>
      <c r="H1779" s="4">
        <v>776</v>
      </c>
      <c r="I1779" s="5"/>
      <c r="J1779" s="5" t="s">
        <v>12384</v>
      </c>
      <c r="K1779" s="5" t="s">
        <v>11798</v>
      </c>
      <c r="L1779" s="5"/>
      <c r="M1779" s="5" t="s">
        <v>489</v>
      </c>
      <c r="N1779" s="5" t="s">
        <v>1651</v>
      </c>
      <c r="O1779" s="5" t="s">
        <v>11782</v>
      </c>
      <c r="P1779" s="5"/>
      <c r="Q1779" s="5" t="s">
        <v>12385</v>
      </c>
    </row>
    <row r="1780" spans="2:17" x14ac:dyDescent="0.2">
      <c r="B1780" s="5" t="s">
        <v>11775</v>
      </c>
      <c r="C1780" s="6" t="s">
        <v>13589</v>
      </c>
      <c r="D1780" s="4">
        <v>1579</v>
      </c>
      <c r="E1780" s="5" t="s">
        <v>35</v>
      </c>
      <c r="F1780" s="5" t="s">
        <v>12381</v>
      </c>
      <c r="G1780" s="6" t="s">
        <v>14</v>
      </c>
      <c r="H1780" s="4">
        <v>777</v>
      </c>
      <c r="I1780" s="5"/>
      <c r="J1780" s="5" t="s">
        <v>12386</v>
      </c>
      <c r="K1780" s="5" t="s">
        <v>11798</v>
      </c>
      <c r="L1780" s="5"/>
      <c r="M1780" s="5" t="s">
        <v>489</v>
      </c>
      <c r="N1780" s="5" t="s">
        <v>1651</v>
      </c>
      <c r="O1780" s="5" t="s">
        <v>11782</v>
      </c>
      <c r="P1780" s="5"/>
      <c r="Q1780" s="5" t="s">
        <v>12387</v>
      </c>
    </row>
    <row r="1781" spans="2:17" x14ac:dyDescent="0.2">
      <c r="B1781" s="5" t="s">
        <v>11775</v>
      </c>
      <c r="C1781" s="6" t="s">
        <v>13589</v>
      </c>
      <c r="D1781" s="4">
        <v>1580</v>
      </c>
      <c r="E1781" s="5" t="s">
        <v>20</v>
      </c>
      <c r="F1781" s="5" t="s">
        <v>4171</v>
      </c>
      <c r="G1781" s="6" t="s">
        <v>14</v>
      </c>
      <c r="H1781" s="4">
        <v>778</v>
      </c>
      <c r="I1781" s="5" t="s">
        <v>22</v>
      </c>
      <c r="J1781" s="5" t="s">
        <v>12186</v>
      </c>
      <c r="K1781" s="5" t="s">
        <v>12187</v>
      </c>
      <c r="L1781" s="5" t="s">
        <v>12188</v>
      </c>
      <c r="M1781" s="5" t="s">
        <v>127</v>
      </c>
      <c r="N1781" s="5" t="s">
        <v>366</v>
      </c>
      <c r="O1781" s="5" t="s">
        <v>11783</v>
      </c>
      <c r="P1781" s="5"/>
      <c r="Q1781" s="5" t="s">
        <v>12189</v>
      </c>
    </row>
    <row r="1782" spans="2:17" x14ac:dyDescent="0.2">
      <c r="B1782" s="5" t="s">
        <v>11775</v>
      </c>
      <c r="C1782" s="6" t="s">
        <v>13589</v>
      </c>
      <c r="D1782" s="4">
        <v>1581</v>
      </c>
      <c r="E1782" s="5" t="s">
        <v>20</v>
      </c>
      <c r="F1782" s="5" t="s">
        <v>4171</v>
      </c>
      <c r="G1782" s="6" t="s">
        <v>14</v>
      </c>
      <c r="H1782" s="4">
        <v>779</v>
      </c>
      <c r="I1782" s="5" t="s">
        <v>22</v>
      </c>
      <c r="J1782" s="5" t="s">
        <v>12190</v>
      </c>
      <c r="K1782" s="5" t="s">
        <v>12191</v>
      </c>
      <c r="L1782" s="5" t="s">
        <v>12192</v>
      </c>
      <c r="M1782" s="5" t="s">
        <v>127</v>
      </c>
      <c r="N1782" s="5" t="s">
        <v>366</v>
      </c>
      <c r="O1782" s="5" t="s">
        <v>11783</v>
      </c>
      <c r="P1782" s="5"/>
      <c r="Q1782" s="5" t="s">
        <v>12193</v>
      </c>
    </row>
    <row r="1783" spans="2:17" x14ac:dyDescent="0.2">
      <c r="B1783" s="5" t="s">
        <v>11775</v>
      </c>
      <c r="C1783" s="6" t="s">
        <v>13589</v>
      </c>
      <c r="D1783" s="4">
        <v>1582</v>
      </c>
      <c r="E1783" s="5" t="s">
        <v>20</v>
      </c>
      <c r="F1783" s="5" t="s">
        <v>4171</v>
      </c>
      <c r="G1783" s="6" t="s">
        <v>14</v>
      </c>
      <c r="H1783" s="4">
        <v>780</v>
      </c>
      <c r="I1783" s="5" t="s">
        <v>22</v>
      </c>
      <c r="J1783" s="5" t="s">
        <v>12194</v>
      </c>
      <c r="K1783" s="5" t="s">
        <v>12195</v>
      </c>
      <c r="L1783" s="5" t="s">
        <v>12196</v>
      </c>
      <c r="M1783" s="5" t="s">
        <v>127</v>
      </c>
      <c r="N1783" s="5" t="s">
        <v>366</v>
      </c>
      <c r="O1783" s="5" t="s">
        <v>11783</v>
      </c>
      <c r="P1783" s="5"/>
      <c r="Q1783" s="5" t="s">
        <v>12197</v>
      </c>
    </row>
    <row r="1784" spans="2:17" x14ac:dyDescent="0.2">
      <c r="B1784" s="5" t="s">
        <v>11775</v>
      </c>
      <c r="C1784" s="6" t="s">
        <v>13589</v>
      </c>
      <c r="D1784" s="4">
        <v>1583</v>
      </c>
      <c r="E1784" s="5" t="s">
        <v>20</v>
      </c>
      <c r="F1784" s="5" t="s">
        <v>4171</v>
      </c>
      <c r="G1784" s="6" t="s">
        <v>14</v>
      </c>
      <c r="H1784" s="4">
        <v>781</v>
      </c>
      <c r="I1784" s="5" t="s">
        <v>22</v>
      </c>
      <c r="J1784" s="5" t="s">
        <v>12198</v>
      </c>
      <c r="K1784" s="5" t="s">
        <v>12199</v>
      </c>
      <c r="L1784" s="5" t="s">
        <v>12200</v>
      </c>
      <c r="M1784" s="5" t="s">
        <v>127</v>
      </c>
      <c r="N1784" s="5" t="s">
        <v>366</v>
      </c>
      <c r="O1784" s="5" t="s">
        <v>11783</v>
      </c>
      <c r="P1784" s="5"/>
      <c r="Q1784" s="5" t="s">
        <v>12201</v>
      </c>
    </row>
    <row r="1785" spans="2:17" x14ac:dyDescent="0.2">
      <c r="B1785" s="5" t="s">
        <v>11775</v>
      </c>
      <c r="C1785" s="6" t="s">
        <v>13589</v>
      </c>
      <c r="D1785" s="4">
        <v>1584</v>
      </c>
      <c r="E1785" s="5" t="s">
        <v>20</v>
      </c>
      <c r="F1785" s="5" t="s">
        <v>4171</v>
      </c>
      <c r="G1785" s="6" t="s">
        <v>14</v>
      </c>
      <c r="H1785" s="4">
        <v>782</v>
      </c>
      <c r="I1785" s="5" t="s">
        <v>22</v>
      </c>
      <c r="J1785" s="5" t="s">
        <v>12202</v>
      </c>
      <c r="K1785" s="5" t="s">
        <v>12203</v>
      </c>
      <c r="L1785" s="5" t="s">
        <v>12204</v>
      </c>
      <c r="M1785" s="5" t="s">
        <v>127</v>
      </c>
      <c r="N1785" s="5" t="s">
        <v>366</v>
      </c>
      <c r="O1785" s="5" t="s">
        <v>11783</v>
      </c>
      <c r="P1785" s="5"/>
      <c r="Q1785" s="5" t="s">
        <v>12205</v>
      </c>
    </row>
    <row r="1786" spans="2:17" x14ac:dyDescent="0.2">
      <c r="B1786" s="5" t="s">
        <v>11775</v>
      </c>
      <c r="C1786" s="6" t="s">
        <v>13589</v>
      </c>
      <c r="D1786" s="4">
        <v>1585</v>
      </c>
      <c r="E1786" s="5" t="s">
        <v>20</v>
      </c>
      <c r="F1786" s="5" t="s">
        <v>4171</v>
      </c>
      <c r="G1786" s="6" t="s">
        <v>14</v>
      </c>
      <c r="H1786" s="4">
        <v>783</v>
      </c>
      <c r="I1786" s="5" t="s">
        <v>22</v>
      </c>
      <c r="J1786" s="5" t="s">
        <v>12206</v>
      </c>
      <c r="K1786" s="5" t="s">
        <v>11790</v>
      </c>
      <c r="L1786" s="5" t="s">
        <v>12207</v>
      </c>
      <c r="M1786" s="5" t="s">
        <v>127</v>
      </c>
      <c r="N1786" s="5" t="s">
        <v>366</v>
      </c>
      <c r="O1786" s="5" t="s">
        <v>11783</v>
      </c>
      <c r="P1786" s="5"/>
      <c r="Q1786" s="5" t="s">
        <v>12208</v>
      </c>
    </row>
    <row r="1787" spans="2:17" x14ac:dyDescent="0.2">
      <c r="B1787" s="5" t="s">
        <v>11775</v>
      </c>
      <c r="C1787" s="6" t="s">
        <v>13589</v>
      </c>
      <c r="D1787" s="4">
        <v>1586</v>
      </c>
      <c r="E1787" s="5" t="s">
        <v>20</v>
      </c>
      <c r="F1787" s="5" t="s">
        <v>4171</v>
      </c>
      <c r="G1787" s="6" t="s">
        <v>14</v>
      </c>
      <c r="H1787" s="4">
        <v>784</v>
      </c>
      <c r="I1787" s="5" t="s">
        <v>22</v>
      </c>
      <c r="J1787" s="5" t="s">
        <v>12209</v>
      </c>
      <c r="K1787" s="5" t="s">
        <v>11978</v>
      </c>
      <c r="L1787" s="5" t="s">
        <v>12210</v>
      </c>
      <c r="M1787" s="5" t="s">
        <v>127</v>
      </c>
      <c r="N1787" s="5" t="s">
        <v>366</v>
      </c>
      <c r="O1787" s="5" t="s">
        <v>11783</v>
      </c>
      <c r="P1787" s="5"/>
      <c r="Q1787" s="5" t="s">
        <v>12211</v>
      </c>
    </row>
    <row r="1788" spans="2:17" x14ac:dyDescent="0.2">
      <c r="B1788" s="5" t="s">
        <v>11775</v>
      </c>
      <c r="C1788" s="6" t="s">
        <v>13589</v>
      </c>
      <c r="D1788" s="4">
        <v>1587</v>
      </c>
      <c r="E1788" s="5" t="s">
        <v>20</v>
      </c>
      <c r="F1788" s="5" t="s">
        <v>4171</v>
      </c>
      <c r="G1788" s="6" t="s">
        <v>14</v>
      </c>
      <c r="H1788" s="4">
        <v>785</v>
      </c>
      <c r="I1788" s="5" t="s">
        <v>38</v>
      </c>
      <c r="J1788" s="5" t="s">
        <v>12149</v>
      </c>
      <c r="K1788" s="5" t="s">
        <v>12150</v>
      </c>
      <c r="L1788" s="5" t="s">
        <v>12151</v>
      </c>
      <c r="M1788" s="5" t="s">
        <v>127</v>
      </c>
      <c r="N1788" s="5" t="s">
        <v>366</v>
      </c>
      <c r="O1788" s="5" t="s">
        <v>11783</v>
      </c>
      <c r="P1788" s="5"/>
      <c r="Q1788" s="5" t="s">
        <v>12152</v>
      </c>
    </row>
    <row r="1789" spans="2:17" x14ac:dyDescent="0.2">
      <c r="B1789" s="5" t="s">
        <v>11775</v>
      </c>
      <c r="C1789" s="6" t="s">
        <v>13589</v>
      </c>
      <c r="D1789" s="4">
        <v>1588</v>
      </c>
      <c r="E1789" s="5" t="s">
        <v>20</v>
      </c>
      <c r="F1789" s="5" t="s">
        <v>4171</v>
      </c>
      <c r="G1789" s="6" t="s">
        <v>14</v>
      </c>
      <c r="H1789" s="4">
        <v>786</v>
      </c>
      <c r="I1789" s="5" t="s">
        <v>38</v>
      </c>
      <c r="J1789" s="5" t="s">
        <v>12153</v>
      </c>
      <c r="K1789" s="5" t="s">
        <v>12150</v>
      </c>
      <c r="L1789" s="5"/>
      <c r="M1789" s="5" t="s">
        <v>127</v>
      </c>
      <c r="N1789" s="5" t="s">
        <v>366</v>
      </c>
      <c r="O1789" s="5" t="s">
        <v>11783</v>
      </c>
      <c r="P1789" s="5"/>
      <c r="Q1789" s="5" t="s">
        <v>12154</v>
      </c>
    </row>
    <row r="1790" spans="2:17" x14ac:dyDescent="0.2">
      <c r="B1790" s="5" t="s">
        <v>11775</v>
      </c>
      <c r="C1790" s="6" t="s">
        <v>13589</v>
      </c>
      <c r="D1790" s="4">
        <v>1589</v>
      </c>
      <c r="E1790" s="5" t="s">
        <v>20</v>
      </c>
      <c r="F1790" s="5" t="s">
        <v>4171</v>
      </c>
      <c r="G1790" s="6" t="s">
        <v>14</v>
      </c>
      <c r="H1790" s="4">
        <v>787</v>
      </c>
      <c r="I1790" s="5" t="s">
        <v>22</v>
      </c>
      <c r="J1790" s="5" t="s">
        <v>12155</v>
      </c>
      <c r="K1790" s="5" t="s">
        <v>12156</v>
      </c>
      <c r="L1790" s="5" t="s">
        <v>12157</v>
      </c>
      <c r="M1790" s="5" t="s">
        <v>127</v>
      </c>
      <c r="N1790" s="5" t="s">
        <v>366</v>
      </c>
      <c r="O1790" s="5" t="s">
        <v>11783</v>
      </c>
      <c r="P1790" s="5"/>
      <c r="Q1790" s="5" t="s">
        <v>12158</v>
      </c>
    </row>
    <row r="1791" spans="2:17" x14ac:dyDescent="0.2">
      <c r="B1791" s="5" t="s">
        <v>11775</v>
      </c>
      <c r="C1791" s="6" t="s">
        <v>13589</v>
      </c>
      <c r="D1791" s="4">
        <v>1590</v>
      </c>
      <c r="E1791" s="5" t="s">
        <v>20</v>
      </c>
      <c r="F1791" s="5" t="s">
        <v>4171</v>
      </c>
      <c r="G1791" s="6" t="s">
        <v>14</v>
      </c>
      <c r="H1791" s="4">
        <v>788</v>
      </c>
      <c r="I1791" s="5" t="s">
        <v>22</v>
      </c>
      <c r="J1791" s="5" t="s">
        <v>12159</v>
      </c>
      <c r="K1791" s="5" t="s">
        <v>12160</v>
      </c>
      <c r="L1791" s="5" t="s">
        <v>12161</v>
      </c>
      <c r="M1791" s="5" t="s">
        <v>127</v>
      </c>
      <c r="N1791" s="5" t="s">
        <v>366</v>
      </c>
      <c r="O1791" s="5" t="s">
        <v>11783</v>
      </c>
      <c r="P1791" s="5"/>
      <c r="Q1791" s="5" t="s">
        <v>12162</v>
      </c>
    </row>
    <row r="1792" spans="2:17" x14ac:dyDescent="0.2">
      <c r="B1792" s="5" t="s">
        <v>11775</v>
      </c>
      <c r="C1792" s="6" t="s">
        <v>13589</v>
      </c>
      <c r="D1792" s="4">
        <v>1591</v>
      </c>
      <c r="E1792" s="5" t="s">
        <v>20</v>
      </c>
      <c r="F1792" s="5" t="s">
        <v>4171</v>
      </c>
      <c r="G1792" s="6" t="s">
        <v>14</v>
      </c>
      <c r="H1792" s="4">
        <v>789</v>
      </c>
      <c r="I1792" s="5" t="s">
        <v>38</v>
      </c>
      <c r="J1792" s="5" t="s">
        <v>12163</v>
      </c>
      <c r="K1792" s="5" t="s">
        <v>12164</v>
      </c>
      <c r="L1792" s="5" t="s">
        <v>12165</v>
      </c>
      <c r="M1792" s="5" t="s">
        <v>127</v>
      </c>
      <c r="N1792" s="5" t="s">
        <v>366</v>
      </c>
      <c r="O1792" s="5" t="s">
        <v>11783</v>
      </c>
      <c r="P1792" s="5"/>
      <c r="Q1792" s="5" t="s">
        <v>12166</v>
      </c>
    </row>
    <row r="1793" spans="2:17" x14ac:dyDescent="0.2">
      <c r="B1793" s="5" t="s">
        <v>11775</v>
      </c>
      <c r="C1793" s="6" t="s">
        <v>13589</v>
      </c>
      <c r="D1793" s="4">
        <v>1592</v>
      </c>
      <c r="E1793" s="5" t="s">
        <v>20</v>
      </c>
      <c r="F1793" s="5" t="s">
        <v>4171</v>
      </c>
      <c r="G1793" s="6" t="s">
        <v>14</v>
      </c>
      <c r="H1793" s="4">
        <v>790</v>
      </c>
      <c r="I1793" s="5" t="s">
        <v>38</v>
      </c>
      <c r="J1793" s="5" t="s">
        <v>12167</v>
      </c>
      <c r="K1793" s="5" t="s">
        <v>11888</v>
      </c>
      <c r="L1793" s="5" t="s">
        <v>12168</v>
      </c>
      <c r="M1793" s="5" t="s">
        <v>127</v>
      </c>
      <c r="N1793" s="5" t="s">
        <v>366</v>
      </c>
      <c r="O1793" s="5" t="s">
        <v>11783</v>
      </c>
      <c r="P1793" s="5"/>
      <c r="Q1793" s="5" t="s">
        <v>12169</v>
      </c>
    </row>
    <row r="1794" spans="2:17" x14ac:dyDescent="0.2">
      <c r="B1794" s="5" t="s">
        <v>11775</v>
      </c>
      <c r="C1794" s="6" t="s">
        <v>13589</v>
      </c>
      <c r="D1794" s="4">
        <v>1593</v>
      </c>
      <c r="E1794" s="5" t="s">
        <v>20</v>
      </c>
      <c r="F1794" s="5" t="s">
        <v>4171</v>
      </c>
      <c r="G1794" s="6" t="s">
        <v>14</v>
      </c>
      <c r="H1794" s="4">
        <v>791</v>
      </c>
      <c r="I1794" s="5" t="s">
        <v>38</v>
      </c>
      <c r="J1794" s="5" t="s">
        <v>12170</v>
      </c>
      <c r="K1794" s="5" t="s">
        <v>11888</v>
      </c>
      <c r="L1794" s="5" t="s">
        <v>12171</v>
      </c>
      <c r="M1794" s="5" t="s">
        <v>127</v>
      </c>
      <c r="N1794" s="5" t="s">
        <v>366</v>
      </c>
      <c r="O1794" s="5" t="s">
        <v>11783</v>
      </c>
      <c r="P1794" s="5"/>
      <c r="Q1794" s="5" t="s">
        <v>12172</v>
      </c>
    </row>
    <row r="1795" spans="2:17" x14ac:dyDescent="0.2">
      <c r="B1795" s="5" t="s">
        <v>11775</v>
      </c>
      <c r="C1795" s="6" t="s">
        <v>13589</v>
      </c>
      <c r="D1795" s="4">
        <v>1594</v>
      </c>
      <c r="E1795" s="5" t="s">
        <v>20</v>
      </c>
      <c r="F1795" s="5" t="s">
        <v>4171</v>
      </c>
      <c r="G1795" s="6" t="s">
        <v>14</v>
      </c>
      <c r="H1795" s="4">
        <v>792</v>
      </c>
      <c r="I1795" s="5" t="s">
        <v>38</v>
      </c>
      <c r="J1795" s="5" t="s">
        <v>12173</v>
      </c>
      <c r="K1795" s="5" t="s">
        <v>11892</v>
      </c>
      <c r="L1795" s="5" t="s">
        <v>12174</v>
      </c>
      <c r="M1795" s="5" t="s">
        <v>127</v>
      </c>
      <c r="N1795" s="5" t="s">
        <v>366</v>
      </c>
      <c r="O1795" s="5" t="s">
        <v>11783</v>
      </c>
      <c r="P1795" s="5"/>
      <c r="Q1795" s="5" t="s">
        <v>12175</v>
      </c>
    </row>
    <row r="1796" spans="2:17" x14ac:dyDescent="0.2">
      <c r="B1796" s="5" t="s">
        <v>11775</v>
      </c>
      <c r="C1796" s="6" t="s">
        <v>13589</v>
      </c>
      <c r="D1796" s="4">
        <v>1595</v>
      </c>
      <c r="E1796" s="5" t="s">
        <v>20</v>
      </c>
      <c r="F1796" s="5" t="s">
        <v>4171</v>
      </c>
      <c r="G1796" s="6" t="s">
        <v>14</v>
      </c>
      <c r="H1796" s="4">
        <v>793</v>
      </c>
      <c r="I1796" s="5" t="s">
        <v>22</v>
      </c>
      <c r="J1796" s="5" t="s">
        <v>12176</v>
      </c>
      <c r="K1796" s="5" t="s">
        <v>12177</v>
      </c>
      <c r="L1796" s="5" t="s">
        <v>12178</v>
      </c>
      <c r="M1796" s="5" t="s">
        <v>127</v>
      </c>
      <c r="N1796" s="5" t="s">
        <v>366</v>
      </c>
      <c r="O1796" s="5" t="s">
        <v>11783</v>
      </c>
      <c r="P1796" s="5"/>
      <c r="Q1796" s="5" t="s">
        <v>12179</v>
      </c>
    </row>
    <row r="1797" spans="2:17" x14ac:dyDescent="0.2">
      <c r="B1797" s="5" t="s">
        <v>11775</v>
      </c>
      <c r="C1797" s="6" t="s">
        <v>13589</v>
      </c>
      <c r="D1797" s="4">
        <v>1596</v>
      </c>
      <c r="E1797" s="5" t="s">
        <v>20</v>
      </c>
      <c r="F1797" s="5" t="s">
        <v>4171</v>
      </c>
      <c r="G1797" s="6" t="s">
        <v>14</v>
      </c>
      <c r="H1797" s="4">
        <v>794</v>
      </c>
      <c r="I1797" s="5" t="s">
        <v>38</v>
      </c>
      <c r="J1797" s="5" t="s">
        <v>12180</v>
      </c>
      <c r="K1797" s="5" t="s">
        <v>12181</v>
      </c>
      <c r="L1797" s="5"/>
      <c r="M1797" s="5" t="s">
        <v>127</v>
      </c>
      <c r="N1797" s="5" t="s">
        <v>366</v>
      </c>
      <c r="O1797" s="5" t="s">
        <v>11783</v>
      </c>
      <c r="P1797" s="5"/>
      <c r="Q1797" s="5" t="s">
        <v>12182</v>
      </c>
    </row>
    <row r="1798" spans="2:17" x14ac:dyDescent="0.2">
      <c r="B1798" s="5" t="s">
        <v>11775</v>
      </c>
      <c r="C1798" s="6" t="s">
        <v>13589</v>
      </c>
      <c r="D1798" s="4">
        <v>1597</v>
      </c>
      <c r="E1798" s="5" t="s">
        <v>20</v>
      </c>
      <c r="F1798" s="5" t="s">
        <v>4171</v>
      </c>
      <c r="G1798" s="6" t="s">
        <v>14</v>
      </c>
      <c r="H1798" s="4">
        <v>795</v>
      </c>
      <c r="I1798" s="5" t="s">
        <v>38</v>
      </c>
      <c r="J1798" s="5" t="s">
        <v>12183</v>
      </c>
      <c r="K1798" s="5" t="s">
        <v>12184</v>
      </c>
      <c r="L1798" s="5"/>
      <c r="M1798" s="5" t="s">
        <v>127</v>
      </c>
      <c r="N1798" s="5" t="s">
        <v>366</v>
      </c>
      <c r="O1798" s="5" t="s">
        <v>11783</v>
      </c>
      <c r="P1798" s="5"/>
      <c r="Q1798" s="5" t="s">
        <v>12185</v>
      </c>
    </row>
    <row r="1799" spans="2:17" x14ac:dyDescent="0.2">
      <c r="B1799" s="5" t="s">
        <v>11775</v>
      </c>
      <c r="C1799" s="6" t="s">
        <v>13589</v>
      </c>
      <c r="D1799" s="4">
        <v>1598</v>
      </c>
      <c r="E1799" s="5" t="s">
        <v>20</v>
      </c>
      <c r="F1799" s="5" t="s">
        <v>4171</v>
      </c>
      <c r="G1799" s="6" t="s">
        <v>14</v>
      </c>
      <c r="H1799" s="4">
        <v>796</v>
      </c>
      <c r="I1799" s="5" t="s">
        <v>38</v>
      </c>
      <c r="J1799" s="5" t="s">
        <v>12123</v>
      </c>
      <c r="K1799" s="5" t="s">
        <v>12124</v>
      </c>
      <c r="L1799" s="5" t="s">
        <v>12125</v>
      </c>
      <c r="M1799" s="5" t="s">
        <v>127</v>
      </c>
      <c r="N1799" s="5" t="s">
        <v>366</v>
      </c>
      <c r="O1799" s="5" t="s">
        <v>11783</v>
      </c>
      <c r="P1799" s="5"/>
      <c r="Q1799" s="5" t="s">
        <v>12126</v>
      </c>
    </row>
    <row r="1800" spans="2:17" x14ac:dyDescent="0.2">
      <c r="B1800" s="5" t="s">
        <v>11775</v>
      </c>
      <c r="C1800" s="6" t="s">
        <v>13589</v>
      </c>
      <c r="D1800" s="4">
        <v>1599</v>
      </c>
      <c r="E1800" s="5" t="s">
        <v>20</v>
      </c>
      <c r="F1800" s="5" t="s">
        <v>4171</v>
      </c>
      <c r="G1800" s="6" t="s">
        <v>14</v>
      </c>
      <c r="H1800" s="4">
        <v>797</v>
      </c>
      <c r="I1800" s="5" t="s">
        <v>22</v>
      </c>
      <c r="J1800" s="5" t="s">
        <v>12127</v>
      </c>
      <c r="K1800" s="5" t="s">
        <v>11888</v>
      </c>
      <c r="L1800" s="5" t="s">
        <v>12128</v>
      </c>
      <c r="M1800" s="5" t="s">
        <v>127</v>
      </c>
      <c r="N1800" s="5" t="s">
        <v>366</v>
      </c>
      <c r="O1800" s="5" t="s">
        <v>11783</v>
      </c>
      <c r="P1800" s="5"/>
      <c r="Q1800" s="5" t="s">
        <v>12129</v>
      </c>
    </row>
    <row r="1801" spans="2:17" x14ac:dyDescent="0.2">
      <c r="B1801" s="5" t="s">
        <v>11775</v>
      </c>
      <c r="C1801" s="6" t="s">
        <v>13589</v>
      </c>
      <c r="D1801" s="4">
        <v>1600</v>
      </c>
      <c r="E1801" s="5" t="s">
        <v>20</v>
      </c>
      <c r="F1801" s="5" t="s">
        <v>4171</v>
      </c>
      <c r="G1801" s="6" t="s">
        <v>14</v>
      </c>
      <c r="H1801" s="4">
        <v>798</v>
      </c>
      <c r="I1801" s="5" t="s">
        <v>22</v>
      </c>
      <c r="J1801" s="5" t="s">
        <v>12130</v>
      </c>
      <c r="K1801" s="5" t="s">
        <v>12131</v>
      </c>
      <c r="L1801" s="5"/>
      <c r="M1801" s="5" t="s">
        <v>127</v>
      </c>
      <c r="N1801" s="5" t="s">
        <v>366</v>
      </c>
      <c r="O1801" s="5" t="s">
        <v>11783</v>
      </c>
      <c r="P1801" s="5"/>
      <c r="Q1801" s="5" t="s">
        <v>12132</v>
      </c>
    </row>
    <row r="1802" spans="2:17" x14ac:dyDescent="0.2">
      <c r="B1802" s="5" t="s">
        <v>11775</v>
      </c>
      <c r="C1802" s="6" t="s">
        <v>13589</v>
      </c>
      <c r="D1802" s="4">
        <v>1603</v>
      </c>
      <c r="E1802" s="5" t="s">
        <v>32</v>
      </c>
      <c r="F1802" s="5" t="s">
        <v>12370</v>
      </c>
      <c r="G1802" s="6" t="s">
        <v>14</v>
      </c>
      <c r="H1802" s="4">
        <v>799</v>
      </c>
      <c r="I1802" s="5" t="s">
        <v>38</v>
      </c>
      <c r="J1802" s="5" t="s">
        <v>12371</v>
      </c>
      <c r="K1802" s="5" t="s">
        <v>12372</v>
      </c>
      <c r="L1802" s="5"/>
      <c r="M1802" s="5" t="s">
        <v>484</v>
      </c>
      <c r="N1802" s="5" t="s">
        <v>2224</v>
      </c>
      <c r="O1802" s="5" t="s">
        <v>11783</v>
      </c>
      <c r="P1802" s="5"/>
      <c r="Q1802" s="5" t="s">
        <v>12373</v>
      </c>
    </row>
    <row r="1803" spans="2:17" x14ac:dyDescent="0.2">
      <c r="B1803" s="5" t="s">
        <v>11775</v>
      </c>
      <c r="C1803" s="6" t="s">
        <v>13589</v>
      </c>
      <c r="D1803" s="4">
        <v>1604</v>
      </c>
      <c r="E1803" s="5" t="s">
        <v>32</v>
      </c>
      <c r="F1803" s="5" t="s">
        <v>12370</v>
      </c>
      <c r="G1803" s="6" t="s">
        <v>14</v>
      </c>
      <c r="H1803" s="4">
        <v>800</v>
      </c>
      <c r="I1803" s="5" t="s">
        <v>38</v>
      </c>
      <c r="J1803" s="5" t="s">
        <v>12374</v>
      </c>
      <c r="K1803" s="5" t="s">
        <v>12375</v>
      </c>
      <c r="L1803" s="5" t="s">
        <v>12376</v>
      </c>
      <c r="M1803" s="5" t="s">
        <v>219</v>
      </c>
      <c r="N1803" s="5" t="s">
        <v>485</v>
      </c>
      <c r="O1803" s="5" t="s">
        <v>11783</v>
      </c>
      <c r="P1803" s="5"/>
      <c r="Q1803" s="5" t="s">
        <v>12377</v>
      </c>
    </row>
    <row r="1804" spans="2:17" x14ac:dyDescent="0.2">
      <c r="B1804" s="5" t="s">
        <v>11775</v>
      </c>
      <c r="C1804" s="6" t="s">
        <v>13589</v>
      </c>
      <c r="D1804" s="4">
        <v>1605</v>
      </c>
      <c r="E1804" s="5" t="s">
        <v>20</v>
      </c>
      <c r="F1804" s="5" t="s">
        <v>12136</v>
      </c>
      <c r="G1804" s="6" t="s">
        <v>14</v>
      </c>
      <c r="H1804" s="4">
        <v>801</v>
      </c>
      <c r="I1804" s="5" t="s">
        <v>38</v>
      </c>
      <c r="J1804" s="5" t="s">
        <v>12137</v>
      </c>
      <c r="K1804" s="5" t="s">
        <v>11905</v>
      </c>
      <c r="L1804" s="5"/>
      <c r="M1804" s="5" t="s">
        <v>127</v>
      </c>
      <c r="N1804" s="5" t="s">
        <v>359</v>
      </c>
      <c r="O1804" s="5" t="s">
        <v>11783</v>
      </c>
      <c r="P1804" s="5"/>
      <c r="Q1804" s="5" t="s">
        <v>12138</v>
      </c>
    </row>
    <row r="1805" spans="2:17" x14ac:dyDescent="0.2">
      <c r="B1805" s="5" t="s">
        <v>11775</v>
      </c>
      <c r="C1805" s="6" t="s">
        <v>13589</v>
      </c>
      <c r="D1805" s="4">
        <v>1606</v>
      </c>
      <c r="E1805" s="5" t="s">
        <v>20</v>
      </c>
      <c r="F1805" s="5" t="s">
        <v>4171</v>
      </c>
      <c r="G1805" s="6" t="s">
        <v>14</v>
      </c>
      <c r="H1805" s="4">
        <v>802</v>
      </c>
      <c r="I1805" s="5" t="s">
        <v>22</v>
      </c>
      <c r="J1805" s="5" t="s">
        <v>12139</v>
      </c>
      <c r="K1805" s="5" t="s">
        <v>12140</v>
      </c>
      <c r="L1805" s="5" t="s">
        <v>12141</v>
      </c>
      <c r="M1805" s="5" t="s">
        <v>127</v>
      </c>
      <c r="N1805" s="5" t="s">
        <v>359</v>
      </c>
      <c r="O1805" s="5" t="s">
        <v>11783</v>
      </c>
      <c r="P1805" s="5"/>
      <c r="Q1805" s="5" t="s">
        <v>12142</v>
      </c>
    </row>
    <row r="1806" spans="2:17" x14ac:dyDescent="0.2">
      <c r="B1806" s="5" t="s">
        <v>11775</v>
      </c>
      <c r="C1806" s="6" t="s">
        <v>13589</v>
      </c>
      <c r="D1806" s="4">
        <v>1607</v>
      </c>
      <c r="E1806" s="5" t="s">
        <v>20</v>
      </c>
      <c r="F1806" s="5" t="s">
        <v>12136</v>
      </c>
      <c r="G1806" s="6" t="s">
        <v>14</v>
      </c>
      <c r="H1806" s="4">
        <v>803</v>
      </c>
      <c r="I1806" s="5" t="s">
        <v>38</v>
      </c>
      <c r="J1806" s="5" t="s">
        <v>12143</v>
      </c>
      <c r="K1806" s="5" t="s">
        <v>12144</v>
      </c>
      <c r="L1806" s="5" t="s">
        <v>12145</v>
      </c>
      <c r="M1806" s="5" t="s">
        <v>127</v>
      </c>
      <c r="N1806" s="5" t="s">
        <v>359</v>
      </c>
      <c r="O1806" s="5" t="s">
        <v>11783</v>
      </c>
      <c r="P1806" s="5"/>
      <c r="Q1806" s="5" t="s">
        <v>12146</v>
      </c>
    </row>
    <row r="1807" spans="2:17" x14ac:dyDescent="0.2">
      <c r="B1807" s="5" t="s">
        <v>11775</v>
      </c>
      <c r="C1807" s="6" t="s">
        <v>13589</v>
      </c>
      <c r="D1807" s="4">
        <v>1608</v>
      </c>
      <c r="E1807" s="5" t="s">
        <v>20</v>
      </c>
      <c r="F1807" s="5" t="s">
        <v>12136</v>
      </c>
      <c r="G1807" s="6" t="s">
        <v>14</v>
      </c>
      <c r="H1807" s="4">
        <v>804</v>
      </c>
      <c r="I1807" s="5" t="s">
        <v>38</v>
      </c>
      <c r="J1807" s="5" t="s">
        <v>12147</v>
      </c>
      <c r="K1807" s="5" t="s">
        <v>12144</v>
      </c>
      <c r="L1807" s="5" t="s">
        <v>12145</v>
      </c>
      <c r="M1807" s="5" t="s">
        <v>127</v>
      </c>
      <c r="N1807" s="5" t="s">
        <v>359</v>
      </c>
      <c r="O1807" s="5" t="s">
        <v>11783</v>
      </c>
      <c r="P1807" s="5"/>
      <c r="Q1807" s="5" t="s">
        <v>12148</v>
      </c>
    </row>
    <row r="1808" spans="2:17" x14ac:dyDescent="0.2">
      <c r="B1808" s="5" t="s">
        <v>11775</v>
      </c>
      <c r="C1808" s="6" t="s">
        <v>13589</v>
      </c>
      <c r="D1808" s="4">
        <v>1609</v>
      </c>
      <c r="E1808" s="5" t="s">
        <v>24</v>
      </c>
      <c r="F1808" s="5" t="s">
        <v>12120</v>
      </c>
      <c r="G1808" s="6" t="s">
        <v>14</v>
      </c>
      <c r="H1808" s="4">
        <v>805</v>
      </c>
      <c r="I1808" s="5"/>
      <c r="J1808" s="5" t="s">
        <v>12121</v>
      </c>
      <c r="K1808" s="5" t="s">
        <v>11798</v>
      </c>
      <c r="L1808" s="5"/>
      <c r="M1808" s="5" t="s">
        <v>362</v>
      </c>
      <c r="N1808" s="5" t="s">
        <v>351</v>
      </c>
      <c r="O1808" s="5" t="s">
        <v>11782</v>
      </c>
      <c r="P1808" s="5"/>
      <c r="Q1808" s="5" t="s">
        <v>12122</v>
      </c>
    </row>
    <row r="1809" spans="2:17" x14ac:dyDescent="0.2">
      <c r="B1809" s="5" t="s">
        <v>11775</v>
      </c>
      <c r="C1809" s="6" t="s">
        <v>13589</v>
      </c>
      <c r="D1809" s="4">
        <v>1610</v>
      </c>
      <c r="E1809" s="5" t="s">
        <v>13</v>
      </c>
      <c r="F1809" s="5" t="s">
        <v>12107</v>
      </c>
      <c r="G1809" s="6" t="s">
        <v>14</v>
      </c>
      <c r="H1809" s="4">
        <v>806</v>
      </c>
      <c r="I1809" s="5"/>
      <c r="J1809" s="5" t="s">
        <v>12108</v>
      </c>
      <c r="K1809" s="5" t="s">
        <v>11798</v>
      </c>
      <c r="L1809" s="5"/>
      <c r="M1809" s="5" t="s">
        <v>1470</v>
      </c>
      <c r="N1809" s="5" t="s">
        <v>1470</v>
      </c>
      <c r="O1809" s="5" t="s">
        <v>11782</v>
      </c>
      <c r="P1809" s="5"/>
      <c r="Q1809" s="5" t="s">
        <v>12109</v>
      </c>
    </row>
    <row r="1810" spans="2:17" x14ac:dyDescent="0.2">
      <c r="B1810" s="5" t="s">
        <v>11775</v>
      </c>
      <c r="C1810" s="6" t="s">
        <v>13589</v>
      </c>
      <c r="D1810" s="4">
        <v>1612</v>
      </c>
      <c r="E1810" s="5" t="s">
        <v>32</v>
      </c>
      <c r="F1810" s="5" t="s">
        <v>354</v>
      </c>
      <c r="G1810" s="6" t="s">
        <v>14</v>
      </c>
      <c r="H1810" s="4">
        <v>807</v>
      </c>
      <c r="I1810" s="5" t="s">
        <v>22</v>
      </c>
      <c r="J1810" s="5" t="s">
        <v>12110</v>
      </c>
      <c r="K1810" s="5" t="s">
        <v>11786</v>
      </c>
      <c r="L1810" s="5" t="s">
        <v>11787</v>
      </c>
      <c r="M1810" s="5" t="s">
        <v>351</v>
      </c>
      <c r="N1810" s="5" t="s">
        <v>352</v>
      </c>
      <c r="O1810" s="5" t="s">
        <v>11783</v>
      </c>
      <c r="P1810" s="5"/>
      <c r="Q1810" s="5" t="s">
        <v>12111</v>
      </c>
    </row>
    <row r="1811" spans="2:17" x14ac:dyDescent="0.2">
      <c r="B1811" s="5" t="s">
        <v>11775</v>
      </c>
      <c r="C1811" s="6" t="s">
        <v>13589</v>
      </c>
      <c r="D1811" s="4">
        <v>1613</v>
      </c>
      <c r="E1811" s="5" t="s">
        <v>82</v>
      </c>
      <c r="F1811" s="5" t="s">
        <v>348</v>
      </c>
      <c r="G1811" s="6" t="s">
        <v>14</v>
      </c>
      <c r="H1811" s="4">
        <v>808</v>
      </c>
      <c r="I1811" s="5"/>
      <c r="J1811" s="5" t="s">
        <v>12112</v>
      </c>
      <c r="K1811" s="5" t="s">
        <v>11854</v>
      </c>
      <c r="L1811" s="5" t="s">
        <v>12056</v>
      </c>
      <c r="M1811" s="5" t="s">
        <v>351</v>
      </c>
      <c r="N1811" s="5" t="s">
        <v>352</v>
      </c>
      <c r="O1811" s="5" t="s">
        <v>11783</v>
      </c>
      <c r="P1811" s="5"/>
      <c r="Q1811" s="5" t="s">
        <v>12113</v>
      </c>
    </row>
    <row r="1812" spans="2:17" x14ac:dyDescent="0.2">
      <c r="B1812" s="5" t="s">
        <v>11775</v>
      </c>
      <c r="C1812" s="6" t="s">
        <v>13589</v>
      </c>
      <c r="D1812" s="4">
        <v>1614</v>
      </c>
      <c r="E1812" s="5" t="s">
        <v>82</v>
      </c>
      <c r="F1812" s="5" t="s">
        <v>348</v>
      </c>
      <c r="G1812" s="6" t="s">
        <v>14</v>
      </c>
      <c r="H1812" s="4">
        <v>809</v>
      </c>
      <c r="I1812" s="5"/>
      <c r="J1812" s="5" t="s">
        <v>321</v>
      </c>
      <c r="K1812" s="5" t="s">
        <v>12047</v>
      </c>
      <c r="L1812" s="5" t="s">
        <v>12048</v>
      </c>
      <c r="M1812" s="5" t="s">
        <v>351</v>
      </c>
      <c r="N1812" s="5" t="s">
        <v>352</v>
      </c>
      <c r="O1812" s="5" t="s">
        <v>11783</v>
      </c>
      <c r="P1812" s="5"/>
      <c r="Q1812" s="5" t="s">
        <v>12114</v>
      </c>
    </row>
    <row r="1813" spans="2:17" x14ac:dyDescent="0.2">
      <c r="B1813" s="5" t="s">
        <v>12409</v>
      </c>
      <c r="C1813" s="6" t="s">
        <v>13589</v>
      </c>
      <c r="D1813" s="4">
        <v>1620</v>
      </c>
      <c r="E1813" s="5" t="s">
        <v>35</v>
      </c>
      <c r="F1813" s="5" t="s">
        <v>13001</v>
      </c>
      <c r="G1813" s="6" t="s">
        <v>14</v>
      </c>
      <c r="H1813" s="4">
        <v>810</v>
      </c>
      <c r="I1813" s="5"/>
      <c r="J1813" s="5" t="s">
        <v>13002</v>
      </c>
      <c r="K1813" s="5" t="s">
        <v>12412</v>
      </c>
      <c r="L1813" s="5"/>
      <c r="M1813" s="5" t="s">
        <v>1043</v>
      </c>
      <c r="N1813" s="5" t="s">
        <v>215</v>
      </c>
      <c r="O1813" s="5" t="s">
        <v>12411</v>
      </c>
      <c r="P1813" s="5" t="s">
        <v>13003</v>
      </c>
      <c r="Q1813" s="5" t="s">
        <v>13004</v>
      </c>
    </row>
    <row r="1814" spans="2:17" x14ac:dyDescent="0.2">
      <c r="B1814" s="5" t="s">
        <v>12409</v>
      </c>
      <c r="C1814" s="6" t="s">
        <v>13589</v>
      </c>
      <c r="D1814" s="4">
        <v>1622</v>
      </c>
      <c r="E1814" s="5" t="s">
        <v>32</v>
      </c>
      <c r="F1814" s="5" t="s">
        <v>12764</v>
      </c>
      <c r="G1814" s="6" t="s">
        <v>14</v>
      </c>
      <c r="H1814" s="4">
        <v>811</v>
      </c>
      <c r="I1814" s="5" t="s">
        <v>22</v>
      </c>
      <c r="J1814" s="5" t="s">
        <v>12932</v>
      </c>
      <c r="K1814" s="5" t="s">
        <v>12933</v>
      </c>
      <c r="L1814" s="5" t="s">
        <v>12934</v>
      </c>
      <c r="M1814" s="5" t="s">
        <v>1843</v>
      </c>
      <c r="N1814" s="5" t="s">
        <v>1844</v>
      </c>
      <c r="O1814" s="5" t="s">
        <v>12429</v>
      </c>
      <c r="P1814" s="5" t="s">
        <v>12935</v>
      </c>
      <c r="Q1814" s="5" t="s">
        <v>12936</v>
      </c>
    </row>
    <row r="1815" spans="2:17" x14ac:dyDescent="0.2">
      <c r="B1815" s="5" t="s">
        <v>12409</v>
      </c>
      <c r="C1815" s="6" t="s">
        <v>13589</v>
      </c>
      <c r="D1815" s="4">
        <v>1623</v>
      </c>
      <c r="E1815" s="5" t="s">
        <v>32</v>
      </c>
      <c r="F1815" s="5" t="s">
        <v>12764</v>
      </c>
      <c r="G1815" s="6" t="s">
        <v>14</v>
      </c>
      <c r="H1815" s="4">
        <v>812</v>
      </c>
      <c r="I1815" s="5" t="s">
        <v>22</v>
      </c>
      <c r="J1815" s="5" t="s">
        <v>12937</v>
      </c>
      <c r="K1815" s="5" t="s">
        <v>12420</v>
      </c>
      <c r="L1815" s="5" t="s">
        <v>12938</v>
      </c>
      <c r="M1815" s="5" t="s">
        <v>1843</v>
      </c>
      <c r="N1815" s="5" t="s">
        <v>1844</v>
      </c>
      <c r="O1815" s="5" t="s">
        <v>12417</v>
      </c>
      <c r="P1815" s="5"/>
      <c r="Q1815" s="5" t="s">
        <v>12939</v>
      </c>
    </row>
    <row r="1816" spans="2:17" x14ac:dyDescent="0.2">
      <c r="B1816" s="5" t="s">
        <v>12409</v>
      </c>
      <c r="C1816" s="6" t="s">
        <v>13589</v>
      </c>
      <c r="D1816" s="4">
        <v>1624</v>
      </c>
      <c r="E1816" s="5" t="s">
        <v>82</v>
      </c>
      <c r="F1816" s="5" t="s">
        <v>12792</v>
      </c>
      <c r="G1816" s="6" t="s">
        <v>14</v>
      </c>
      <c r="H1816" s="4">
        <v>813</v>
      </c>
      <c r="I1816" s="5" t="s">
        <v>22</v>
      </c>
      <c r="J1816" s="5" t="s">
        <v>12992</v>
      </c>
      <c r="K1816" s="5" t="s">
        <v>12993</v>
      </c>
      <c r="L1816" s="5" t="s">
        <v>12994</v>
      </c>
      <c r="M1816" s="5" t="s">
        <v>1843</v>
      </c>
      <c r="N1816" s="5" t="s">
        <v>1844</v>
      </c>
      <c r="O1816" s="5" t="s">
        <v>12429</v>
      </c>
      <c r="P1816" s="5" t="s">
        <v>12995</v>
      </c>
      <c r="Q1816" s="5" t="s">
        <v>12996</v>
      </c>
    </row>
    <row r="1817" spans="2:17" x14ac:dyDescent="0.2">
      <c r="B1817" s="5" t="s">
        <v>12409</v>
      </c>
      <c r="C1817" s="6" t="s">
        <v>13589</v>
      </c>
      <c r="D1817" s="4">
        <v>1625</v>
      </c>
      <c r="E1817" s="5" t="s">
        <v>20</v>
      </c>
      <c r="F1817" s="5" t="s">
        <v>12764</v>
      </c>
      <c r="G1817" s="6" t="s">
        <v>14</v>
      </c>
      <c r="H1817" s="4">
        <v>814</v>
      </c>
      <c r="I1817" s="5" t="s">
        <v>22</v>
      </c>
      <c r="J1817" s="5" t="s">
        <v>12765</v>
      </c>
      <c r="K1817" s="5" t="s">
        <v>12766</v>
      </c>
      <c r="L1817" s="5" t="s">
        <v>12767</v>
      </c>
      <c r="M1817" s="5" t="s">
        <v>1843</v>
      </c>
      <c r="N1817" s="5" t="s">
        <v>1844</v>
      </c>
      <c r="O1817" s="5" t="s">
        <v>12413</v>
      </c>
      <c r="P1817" s="5" t="s">
        <v>12768</v>
      </c>
      <c r="Q1817" s="5" t="s">
        <v>12769</v>
      </c>
    </row>
    <row r="1818" spans="2:17" x14ac:dyDescent="0.2">
      <c r="B1818" s="5" t="s">
        <v>12409</v>
      </c>
      <c r="C1818" s="6" t="s">
        <v>13589</v>
      </c>
      <c r="D1818" s="4">
        <v>1626</v>
      </c>
      <c r="E1818" s="5" t="s">
        <v>32</v>
      </c>
      <c r="F1818" s="5" t="s">
        <v>12764</v>
      </c>
      <c r="G1818" s="6" t="s">
        <v>14</v>
      </c>
      <c r="H1818" s="4">
        <v>815</v>
      </c>
      <c r="I1818" s="5" t="s">
        <v>22</v>
      </c>
      <c r="J1818" s="5" t="s">
        <v>12940</v>
      </c>
      <c r="K1818" s="5" t="s">
        <v>12941</v>
      </c>
      <c r="L1818" s="5"/>
      <c r="M1818" s="5" t="s">
        <v>1843</v>
      </c>
      <c r="N1818" s="5" t="s">
        <v>1844</v>
      </c>
      <c r="O1818" s="5" t="s">
        <v>12418</v>
      </c>
      <c r="P1818" s="5"/>
      <c r="Q1818" s="5" t="s">
        <v>12942</v>
      </c>
    </row>
    <row r="1819" spans="2:17" x14ac:dyDescent="0.2">
      <c r="B1819" s="5" t="s">
        <v>12409</v>
      </c>
      <c r="C1819" s="6" t="s">
        <v>13589</v>
      </c>
      <c r="D1819" s="4">
        <v>1627</v>
      </c>
      <c r="E1819" s="5" t="s">
        <v>32</v>
      </c>
      <c r="F1819" s="5" t="s">
        <v>12764</v>
      </c>
      <c r="G1819" s="6" t="s">
        <v>14</v>
      </c>
      <c r="H1819" s="4">
        <v>816</v>
      </c>
      <c r="I1819" s="5" t="s">
        <v>22</v>
      </c>
      <c r="J1819" s="5" t="s">
        <v>12943</v>
      </c>
      <c r="K1819" s="5" t="s">
        <v>74</v>
      </c>
      <c r="L1819" s="5" t="s">
        <v>12944</v>
      </c>
      <c r="M1819" s="5" t="s">
        <v>1843</v>
      </c>
      <c r="N1819" s="5" t="s">
        <v>1844</v>
      </c>
      <c r="O1819" s="5" t="s">
        <v>12418</v>
      </c>
      <c r="P1819" s="5"/>
      <c r="Q1819" s="5" t="s">
        <v>12945</v>
      </c>
    </row>
    <row r="1820" spans="2:17" x14ac:dyDescent="0.2">
      <c r="B1820" s="5" t="s">
        <v>12409</v>
      </c>
      <c r="C1820" s="6" t="s">
        <v>13589</v>
      </c>
      <c r="D1820" s="4">
        <v>1628</v>
      </c>
      <c r="E1820" s="5" t="s">
        <v>32</v>
      </c>
      <c r="F1820" s="5" t="s">
        <v>12764</v>
      </c>
      <c r="G1820" s="6" t="s">
        <v>14</v>
      </c>
      <c r="H1820" s="4">
        <v>817</v>
      </c>
      <c r="I1820" s="5" t="s">
        <v>22</v>
      </c>
      <c r="J1820" s="5" t="s">
        <v>12946</v>
      </c>
      <c r="K1820" s="5" t="s">
        <v>12947</v>
      </c>
      <c r="L1820" s="5" t="s">
        <v>12948</v>
      </c>
      <c r="M1820" s="5" t="s">
        <v>1843</v>
      </c>
      <c r="N1820" s="5" t="s">
        <v>1844</v>
      </c>
      <c r="O1820" s="5" t="s">
        <v>12418</v>
      </c>
      <c r="P1820" s="5"/>
      <c r="Q1820" s="5" t="s">
        <v>12949</v>
      </c>
    </row>
    <row r="1821" spans="2:17" x14ac:dyDescent="0.2">
      <c r="B1821" s="5" t="s">
        <v>12409</v>
      </c>
      <c r="C1821" s="6" t="s">
        <v>13589</v>
      </c>
      <c r="D1821" s="4">
        <v>1629</v>
      </c>
      <c r="E1821" s="5" t="s">
        <v>32</v>
      </c>
      <c r="F1821" s="5" t="s">
        <v>12764</v>
      </c>
      <c r="G1821" s="6" t="s">
        <v>14</v>
      </c>
      <c r="H1821" s="4">
        <v>818</v>
      </c>
      <c r="I1821" s="5" t="s">
        <v>22</v>
      </c>
      <c r="J1821" s="5" t="s">
        <v>12770</v>
      </c>
      <c r="K1821" s="5" t="s">
        <v>74</v>
      </c>
      <c r="L1821" s="5" t="s">
        <v>12771</v>
      </c>
      <c r="M1821" s="5" t="s">
        <v>1843</v>
      </c>
      <c r="N1821" s="5" t="s">
        <v>1844</v>
      </c>
      <c r="O1821" s="5" t="s">
        <v>12418</v>
      </c>
      <c r="P1821" s="5"/>
      <c r="Q1821" s="5" t="s">
        <v>12772</v>
      </c>
    </row>
    <row r="1822" spans="2:17" x14ac:dyDescent="0.2">
      <c r="B1822" s="5" t="s">
        <v>12409</v>
      </c>
      <c r="C1822" s="6" t="s">
        <v>13589</v>
      </c>
      <c r="D1822" s="4">
        <v>1630</v>
      </c>
      <c r="E1822" s="5" t="s">
        <v>82</v>
      </c>
      <c r="F1822" s="5" t="s">
        <v>12950</v>
      </c>
      <c r="G1822" s="6" t="s">
        <v>14</v>
      </c>
      <c r="H1822" s="4">
        <v>819</v>
      </c>
      <c r="I1822" s="5" t="s">
        <v>22</v>
      </c>
      <c r="J1822" s="5" t="s">
        <v>12951</v>
      </c>
      <c r="K1822" s="5" t="s">
        <v>74</v>
      </c>
      <c r="L1822" s="5"/>
      <c r="M1822" s="5" t="s">
        <v>1843</v>
      </c>
      <c r="N1822" s="5" t="s">
        <v>1844</v>
      </c>
      <c r="O1822" s="5" t="s">
        <v>12418</v>
      </c>
      <c r="P1822" s="5"/>
      <c r="Q1822" s="5" t="s">
        <v>12952</v>
      </c>
    </row>
    <row r="1823" spans="2:17" x14ac:dyDescent="0.2">
      <c r="B1823" s="5" t="s">
        <v>12409</v>
      </c>
      <c r="C1823" s="6" t="s">
        <v>13589</v>
      </c>
      <c r="D1823" s="4">
        <v>1631</v>
      </c>
      <c r="E1823" s="5" t="s">
        <v>32</v>
      </c>
      <c r="F1823" s="5" t="s">
        <v>12764</v>
      </c>
      <c r="G1823" s="6" t="s">
        <v>14</v>
      </c>
      <c r="H1823" s="4">
        <v>820</v>
      </c>
      <c r="I1823" s="5" t="s">
        <v>22</v>
      </c>
      <c r="J1823" s="5" t="s">
        <v>12773</v>
      </c>
      <c r="K1823" s="5" t="s">
        <v>12774</v>
      </c>
      <c r="L1823" s="5" t="s">
        <v>12775</v>
      </c>
      <c r="M1823" s="5" t="s">
        <v>1843</v>
      </c>
      <c r="N1823" s="5" t="s">
        <v>1844</v>
      </c>
      <c r="O1823" s="5" t="s">
        <v>12414</v>
      </c>
      <c r="P1823" s="5"/>
      <c r="Q1823" s="5" t="s">
        <v>12776</v>
      </c>
    </row>
    <row r="1824" spans="2:17" x14ac:dyDescent="0.2">
      <c r="B1824" s="5" t="s">
        <v>12409</v>
      </c>
      <c r="C1824" s="6" t="s">
        <v>13589</v>
      </c>
      <c r="D1824" s="4">
        <v>1632</v>
      </c>
      <c r="E1824" s="5" t="s">
        <v>35</v>
      </c>
      <c r="F1824" s="5" t="s">
        <v>12760</v>
      </c>
      <c r="G1824" s="6" t="s">
        <v>14</v>
      </c>
      <c r="H1824" s="4">
        <v>821</v>
      </c>
      <c r="I1824" s="5" t="s">
        <v>22</v>
      </c>
      <c r="J1824" s="5" t="s">
        <v>12761</v>
      </c>
      <c r="K1824" s="5" t="s">
        <v>12416</v>
      </c>
      <c r="L1824" s="5"/>
      <c r="M1824" s="5" t="s">
        <v>1844</v>
      </c>
      <c r="N1824" s="5" t="s">
        <v>1844</v>
      </c>
      <c r="O1824" s="5" t="s">
        <v>12413</v>
      </c>
      <c r="P1824" s="5" t="s">
        <v>12762</v>
      </c>
      <c r="Q1824" s="5" t="s">
        <v>12763</v>
      </c>
    </row>
    <row r="1825" spans="2:17" x14ac:dyDescent="0.2">
      <c r="B1825" s="5" t="s">
        <v>12409</v>
      </c>
      <c r="C1825" s="6" t="s">
        <v>13589</v>
      </c>
      <c r="D1825" s="4">
        <v>1633</v>
      </c>
      <c r="E1825" s="5" t="s">
        <v>32</v>
      </c>
      <c r="F1825" s="5" t="s">
        <v>12764</v>
      </c>
      <c r="G1825" s="6" t="s">
        <v>14</v>
      </c>
      <c r="H1825" s="4">
        <v>822</v>
      </c>
      <c r="I1825" s="5" t="s">
        <v>22</v>
      </c>
      <c r="J1825" s="5" t="s">
        <v>12777</v>
      </c>
      <c r="K1825" s="5" t="s">
        <v>12778</v>
      </c>
      <c r="L1825" s="5"/>
      <c r="M1825" s="5" t="s">
        <v>1843</v>
      </c>
      <c r="N1825" s="5" t="s">
        <v>1844</v>
      </c>
      <c r="O1825" s="5" t="s">
        <v>12421</v>
      </c>
      <c r="P1825" s="5"/>
      <c r="Q1825" s="5" t="s">
        <v>12779</v>
      </c>
    </row>
    <row r="1826" spans="2:17" x14ac:dyDescent="0.2">
      <c r="B1826" s="5" t="s">
        <v>12409</v>
      </c>
      <c r="C1826" s="6" t="s">
        <v>13589</v>
      </c>
      <c r="D1826" s="4">
        <v>1634</v>
      </c>
      <c r="E1826" s="5" t="s">
        <v>32</v>
      </c>
      <c r="F1826" s="5" t="s">
        <v>12764</v>
      </c>
      <c r="G1826" s="6" t="s">
        <v>14</v>
      </c>
      <c r="H1826" s="4">
        <v>823</v>
      </c>
      <c r="I1826" s="5" t="s">
        <v>22</v>
      </c>
      <c r="J1826" s="5" t="s">
        <v>12780</v>
      </c>
      <c r="K1826" s="5" t="s">
        <v>12781</v>
      </c>
      <c r="L1826" s="5" t="s">
        <v>12490</v>
      </c>
      <c r="M1826" s="5" t="s">
        <v>1843</v>
      </c>
      <c r="N1826" s="5" t="s">
        <v>1844</v>
      </c>
      <c r="O1826" s="5" t="s">
        <v>12418</v>
      </c>
      <c r="P1826" s="5"/>
      <c r="Q1826" s="5" t="s">
        <v>12782</v>
      </c>
    </row>
    <row r="1827" spans="2:17" x14ac:dyDescent="0.2">
      <c r="B1827" s="5" t="s">
        <v>12409</v>
      </c>
      <c r="C1827" s="6" t="s">
        <v>13589</v>
      </c>
      <c r="D1827" s="4">
        <v>1635</v>
      </c>
      <c r="E1827" s="5" t="s">
        <v>82</v>
      </c>
      <c r="F1827" s="5" t="s">
        <v>12953</v>
      </c>
      <c r="G1827" s="6" t="s">
        <v>14</v>
      </c>
      <c r="H1827" s="4">
        <v>824</v>
      </c>
      <c r="I1827" s="5" t="s">
        <v>22</v>
      </c>
      <c r="J1827" s="5" t="s">
        <v>12954</v>
      </c>
      <c r="K1827" s="5" t="s">
        <v>12955</v>
      </c>
      <c r="L1827" s="5"/>
      <c r="M1827" s="5" t="s">
        <v>1843</v>
      </c>
      <c r="N1827" s="5" t="s">
        <v>1844</v>
      </c>
      <c r="O1827" s="5" t="s">
        <v>12417</v>
      </c>
      <c r="P1827" s="5"/>
      <c r="Q1827" s="5" t="s">
        <v>12956</v>
      </c>
    </row>
    <row r="1828" spans="2:17" x14ac:dyDescent="0.2">
      <c r="B1828" s="5" t="s">
        <v>12409</v>
      </c>
      <c r="C1828" s="6" t="s">
        <v>13589</v>
      </c>
      <c r="D1828" s="4">
        <v>1636</v>
      </c>
      <c r="E1828" s="5" t="s">
        <v>32</v>
      </c>
      <c r="F1828" s="5" t="s">
        <v>12764</v>
      </c>
      <c r="G1828" s="6" t="s">
        <v>14</v>
      </c>
      <c r="H1828" s="4">
        <v>825</v>
      </c>
      <c r="I1828" s="5" t="s">
        <v>22</v>
      </c>
      <c r="J1828" s="5" t="s">
        <v>12783</v>
      </c>
      <c r="K1828" s="5" t="s">
        <v>12784</v>
      </c>
      <c r="L1828" s="5" t="s">
        <v>12785</v>
      </c>
      <c r="M1828" s="5" t="s">
        <v>1843</v>
      </c>
      <c r="N1828" s="5" t="s">
        <v>1844</v>
      </c>
      <c r="O1828" s="5" t="s">
        <v>12459</v>
      </c>
      <c r="P1828" s="5" t="s">
        <v>12786</v>
      </c>
      <c r="Q1828" s="5" t="s">
        <v>12787</v>
      </c>
    </row>
    <row r="1829" spans="2:17" x14ac:dyDescent="0.2">
      <c r="B1829" s="5" t="s">
        <v>12409</v>
      </c>
      <c r="C1829" s="6" t="s">
        <v>13589</v>
      </c>
      <c r="D1829" s="4">
        <v>1637</v>
      </c>
      <c r="E1829" s="5" t="s">
        <v>32</v>
      </c>
      <c r="F1829" s="5" t="s">
        <v>12764</v>
      </c>
      <c r="G1829" s="6" t="s">
        <v>14</v>
      </c>
      <c r="H1829" s="4">
        <v>826</v>
      </c>
      <c r="I1829" s="5" t="s">
        <v>22</v>
      </c>
      <c r="J1829" s="5" t="s">
        <v>12788</v>
      </c>
      <c r="K1829" s="5" t="s">
        <v>12789</v>
      </c>
      <c r="L1829" s="5" t="s">
        <v>12790</v>
      </c>
      <c r="M1829" s="5" t="s">
        <v>1843</v>
      </c>
      <c r="N1829" s="5" t="s">
        <v>1844</v>
      </c>
      <c r="O1829" s="5" t="s">
        <v>12418</v>
      </c>
      <c r="P1829" s="5"/>
      <c r="Q1829" s="5" t="s">
        <v>12791</v>
      </c>
    </row>
    <row r="1830" spans="2:17" x14ac:dyDescent="0.2">
      <c r="B1830" s="5" t="s">
        <v>12409</v>
      </c>
      <c r="C1830" s="6" t="s">
        <v>13589</v>
      </c>
      <c r="D1830" s="4">
        <v>1638</v>
      </c>
      <c r="E1830" s="5" t="s">
        <v>32</v>
      </c>
      <c r="F1830" s="5" t="s">
        <v>12764</v>
      </c>
      <c r="G1830" s="6" t="s">
        <v>14</v>
      </c>
      <c r="H1830" s="4">
        <v>827</v>
      </c>
      <c r="I1830" s="5" t="s">
        <v>22</v>
      </c>
      <c r="J1830" s="5" t="s">
        <v>12792</v>
      </c>
      <c r="K1830" s="5" t="s">
        <v>12661</v>
      </c>
      <c r="L1830" s="5"/>
      <c r="M1830" s="5" t="s">
        <v>1843</v>
      </c>
      <c r="N1830" s="5" t="s">
        <v>1844</v>
      </c>
      <c r="O1830" s="5" t="s">
        <v>12413</v>
      </c>
      <c r="P1830" s="5" t="s">
        <v>12793</v>
      </c>
      <c r="Q1830" s="5" t="s">
        <v>12794</v>
      </c>
    </row>
    <row r="1831" spans="2:17" x14ac:dyDescent="0.2">
      <c r="B1831" s="5" t="s">
        <v>12409</v>
      </c>
      <c r="C1831" s="6" t="s">
        <v>13589</v>
      </c>
      <c r="D1831" s="4">
        <v>1639</v>
      </c>
      <c r="E1831" s="5" t="s">
        <v>32</v>
      </c>
      <c r="F1831" s="5" t="s">
        <v>12764</v>
      </c>
      <c r="G1831" s="6" t="s">
        <v>14</v>
      </c>
      <c r="H1831" s="4">
        <v>828</v>
      </c>
      <c r="I1831" s="5" t="s">
        <v>22</v>
      </c>
      <c r="J1831" s="5" t="s">
        <v>12795</v>
      </c>
      <c r="K1831" s="5" t="s">
        <v>12789</v>
      </c>
      <c r="L1831" s="5" t="s">
        <v>12796</v>
      </c>
      <c r="M1831" s="5" t="s">
        <v>1843</v>
      </c>
      <c r="N1831" s="5" t="s">
        <v>1844</v>
      </c>
      <c r="O1831" s="5" t="s">
        <v>12418</v>
      </c>
      <c r="P1831" s="5"/>
      <c r="Q1831" s="5" t="s">
        <v>12797</v>
      </c>
    </row>
    <row r="1832" spans="2:17" x14ac:dyDescent="0.2">
      <c r="B1832" s="5" t="s">
        <v>12409</v>
      </c>
      <c r="C1832" s="6" t="s">
        <v>13589</v>
      </c>
      <c r="D1832" s="4">
        <v>1640</v>
      </c>
      <c r="E1832" s="5" t="s">
        <v>82</v>
      </c>
      <c r="F1832" s="5" t="s">
        <v>12792</v>
      </c>
      <c r="G1832" s="6" t="s">
        <v>14</v>
      </c>
      <c r="H1832" s="4">
        <v>829</v>
      </c>
      <c r="I1832" s="5" t="s">
        <v>22</v>
      </c>
      <c r="J1832" s="5" t="s">
        <v>12957</v>
      </c>
      <c r="K1832" s="5" t="s">
        <v>12958</v>
      </c>
      <c r="L1832" s="5" t="s">
        <v>12959</v>
      </c>
      <c r="M1832" s="5" t="s">
        <v>1843</v>
      </c>
      <c r="N1832" s="5" t="s">
        <v>1844</v>
      </c>
      <c r="O1832" s="5" t="s">
        <v>12421</v>
      </c>
      <c r="P1832" s="5" t="s">
        <v>12960</v>
      </c>
      <c r="Q1832" s="5" t="s">
        <v>12961</v>
      </c>
    </row>
    <row r="1833" spans="2:17" x14ac:dyDescent="0.2">
      <c r="B1833" s="5" t="s">
        <v>12409</v>
      </c>
      <c r="C1833" s="6" t="s">
        <v>13589</v>
      </c>
      <c r="D1833" s="4">
        <v>1641</v>
      </c>
      <c r="E1833" s="5" t="s">
        <v>82</v>
      </c>
      <c r="F1833" s="5" t="s">
        <v>12792</v>
      </c>
      <c r="G1833" s="6" t="s">
        <v>14</v>
      </c>
      <c r="H1833" s="4">
        <v>830</v>
      </c>
      <c r="I1833" s="5" t="s">
        <v>22</v>
      </c>
      <c r="J1833" s="5" t="s">
        <v>12962</v>
      </c>
      <c r="K1833" s="5" t="s">
        <v>7677</v>
      </c>
      <c r="L1833" s="5" t="s">
        <v>12963</v>
      </c>
      <c r="M1833" s="5" t="s">
        <v>1843</v>
      </c>
      <c r="N1833" s="5" t="s">
        <v>1844</v>
      </c>
      <c r="O1833" s="5" t="s">
        <v>12423</v>
      </c>
      <c r="P1833" s="5" t="s">
        <v>12964</v>
      </c>
      <c r="Q1833" s="5" t="s">
        <v>12965</v>
      </c>
    </row>
    <row r="1834" spans="2:17" x14ac:dyDescent="0.2">
      <c r="B1834" s="5" t="s">
        <v>12409</v>
      </c>
      <c r="C1834" s="6" t="s">
        <v>13589</v>
      </c>
      <c r="D1834" s="4">
        <v>1642</v>
      </c>
      <c r="E1834" s="5" t="s">
        <v>82</v>
      </c>
      <c r="F1834" s="5" t="s">
        <v>12792</v>
      </c>
      <c r="G1834" s="6" t="s">
        <v>14</v>
      </c>
      <c r="H1834" s="4">
        <v>831</v>
      </c>
      <c r="I1834" s="5" t="s">
        <v>22</v>
      </c>
      <c r="J1834" s="5" t="s">
        <v>12966</v>
      </c>
      <c r="K1834" s="5" t="s">
        <v>12967</v>
      </c>
      <c r="L1834" s="5" t="s">
        <v>12968</v>
      </c>
      <c r="M1834" s="5" t="s">
        <v>1843</v>
      </c>
      <c r="N1834" s="5" t="s">
        <v>1844</v>
      </c>
      <c r="O1834" s="5" t="s">
        <v>12527</v>
      </c>
      <c r="P1834" s="5" t="s">
        <v>12969</v>
      </c>
      <c r="Q1834" s="5" t="s">
        <v>12970</v>
      </c>
    </row>
    <row r="1835" spans="2:17" x14ac:dyDescent="0.2">
      <c r="B1835" s="5" t="s">
        <v>12409</v>
      </c>
      <c r="C1835" s="6" t="s">
        <v>13589</v>
      </c>
      <c r="D1835" s="4">
        <v>1643</v>
      </c>
      <c r="E1835" s="5" t="s">
        <v>82</v>
      </c>
      <c r="F1835" s="5" t="s">
        <v>12971</v>
      </c>
      <c r="G1835" s="6" t="s">
        <v>14</v>
      </c>
      <c r="H1835" s="4">
        <v>832</v>
      </c>
      <c r="I1835" s="5" t="s">
        <v>22</v>
      </c>
      <c r="J1835" s="5" t="s">
        <v>12972</v>
      </c>
      <c r="K1835" s="5" t="s">
        <v>12973</v>
      </c>
      <c r="L1835" s="5" t="s">
        <v>12974</v>
      </c>
      <c r="M1835" s="5" t="s">
        <v>1843</v>
      </c>
      <c r="N1835" s="5" t="s">
        <v>1844</v>
      </c>
      <c r="O1835" s="5" t="s">
        <v>12421</v>
      </c>
      <c r="P1835" s="5" t="s">
        <v>12975</v>
      </c>
      <c r="Q1835" s="5" t="s">
        <v>12976</v>
      </c>
    </row>
    <row r="1836" spans="2:17" x14ac:dyDescent="0.2">
      <c r="B1836" s="5" t="s">
        <v>12409</v>
      </c>
      <c r="C1836" s="6" t="s">
        <v>13589</v>
      </c>
      <c r="D1836" s="4">
        <v>1644</v>
      </c>
      <c r="E1836" s="5" t="s">
        <v>82</v>
      </c>
      <c r="F1836" s="5" t="s">
        <v>12953</v>
      </c>
      <c r="G1836" s="6" t="s">
        <v>14</v>
      </c>
      <c r="H1836" s="4">
        <v>833</v>
      </c>
      <c r="I1836" s="5"/>
      <c r="J1836" s="5" t="s">
        <v>12954</v>
      </c>
      <c r="K1836" s="5" t="s">
        <v>12955</v>
      </c>
      <c r="L1836" s="5"/>
      <c r="M1836" s="5" t="s">
        <v>1843</v>
      </c>
      <c r="N1836" s="5" t="s">
        <v>1844</v>
      </c>
      <c r="O1836" s="5" t="s">
        <v>12417</v>
      </c>
      <c r="P1836" s="5" t="s">
        <v>12977</v>
      </c>
      <c r="Q1836" s="5" t="s">
        <v>12978</v>
      </c>
    </row>
    <row r="1837" spans="2:17" x14ac:dyDescent="0.2">
      <c r="B1837" s="5" t="s">
        <v>12409</v>
      </c>
      <c r="C1837" s="6" t="s">
        <v>13589</v>
      </c>
      <c r="D1837" s="4">
        <v>1645</v>
      </c>
      <c r="E1837" s="5" t="s">
        <v>82</v>
      </c>
      <c r="F1837" s="5" t="s">
        <v>12979</v>
      </c>
      <c r="G1837" s="6" t="s">
        <v>14</v>
      </c>
      <c r="H1837" s="4">
        <v>834</v>
      </c>
      <c r="I1837" s="5"/>
      <c r="J1837" s="5" t="s">
        <v>12980</v>
      </c>
      <c r="K1837" s="5" t="s">
        <v>12415</v>
      </c>
      <c r="L1837" s="5" t="s">
        <v>12981</v>
      </c>
      <c r="M1837" s="5" t="s">
        <v>1843</v>
      </c>
      <c r="N1837" s="5" t="s">
        <v>1844</v>
      </c>
      <c r="O1837" s="5" t="s">
        <v>12418</v>
      </c>
      <c r="P1837" s="5" t="s">
        <v>12982</v>
      </c>
      <c r="Q1837" s="5" t="s">
        <v>12983</v>
      </c>
    </row>
    <row r="1838" spans="2:17" x14ac:dyDescent="0.2">
      <c r="B1838" s="5" t="s">
        <v>12409</v>
      </c>
      <c r="C1838" s="6" t="s">
        <v>13589</v>
      </c>
      <c r="D1838" s="4">
        <v>1646</v>
      </c>
      <c r="E1838" s="5" t="s">
        <v>82</v>
      </c>
      <c r="F1838" s="5" t="s">
        <v>12979</v>
      </c>
      <c r="G1838" s="6" t="s">
        <v>14</v>
      </c>
      <c r="H1838" s="4">
        <v>835</v>
      </c>
      <c r="I1838" s="5"/>
      <c r="J1838" s="5" t="s">
        <v>12984</v>
      </c>
      <c r="K1838" s="5" t="s">
        <v>12434</v>
      </c>
      <c r="L1838" s="5"/>
      <c r="M1838" s="5" t="s">
        <v>1843</v>
      </c>
      <c r="N1838" s="5" t="s">
        <v>1844</v>
      </c>
      <c r="O1838" s="5" t="s">
        <v>12414</v>
      </c>
      <c r="P1838" s="5" t="s">
        <v>12985</v>
      </c>
      <c r="Q1838" s="5" t="s">
        <v>12986</v>
      </c>
    </row>
    <row r="1839" spans="2:17" x14ac:dyDescent="0.2">
      <c r="B1839" s="5" t="s">
        <v>12409</v>
      </c>
      <c r="C1839" s="6" t="s">
        <v>13589</v>
      </c>
      <c r="D1839" s="4">
        <v>1647</v>
      </c>
      <c r="E1839" s="5" t="s">
        <v>82</v>
      </c>
      <c r="F1839" s="5" t="s">
        <v>12979</v>
      </c>
      <c r="G1839" s="6" t="s">
        <v>14</v>
      </c>
      <c r="H1839" s="4">
        <v>836</v>
      </c>
      <c r="I1839" s="5"/>
      <c r="J1839" s="5" t="s">
        <v>12987</v>
      </c>
      <c r="K1839" s="5" t="s">
        <v>12988</v>
      </c>
      <c r="L1839" s="5" t="s">
        <v>12989</v>
      </c>
      <c r="M1839" s="5" t="s">
        <v>1843</v>
      </c>
      <c r="N1839" s="5" t="s">
        <v>1844</v>
      </c>
      <c r="O1839" s="5" t="s">
        <v>12418</v>
      </c>
      <c r="P1839" s="5" t="s">
        <v>12990</v>
      </c>
      <c r="Q1839" s="5" t="s">
        <v>12991</v>
      </c>
    </row>
    <row r="1840" spans="2:17" x14ac:dyDescent="0.2">
      <c r="B1840" s="5" t="s">
        <v>12409</v>
      </c>
      <c r="C1840" s="6" t="s">
        <v>13589</v>
      </c>
      <c r="D1840" s="4">
        <v>1648</v>
      </c>
      <c r="E1840" s="5" t="s">
        <v>32</v>
      </c>
      <c r="F1840" s="5" t="s">
        <v>12764</v>
      </c>
      <c r="G1840" s="6" t="s">
        <v>14</v>
      </c>
      <c r="H1840" s="4">
        <v>837</v>
      </c>
      <c r="I1840" s="5" t="s">
        <v>38</v>
      </c>
      <c r="J1840" s="5" t="s">
        <v>12798</v>
      </c>
      <c r="K1840" s="5" t="s">
        <v>74</v>
      </c>
      <c r="L1840" s="5" t="s">
        <v>12799</v>
      </c>
      <c r="M1840" s="5" t="s">
        <v>1843</v>
      </c>
      <c r="N1840" s="5" t="s">
        <v>1844</v>
      </c>
      <c r="O1840" s="5" t="s">
        <v>12418</v>
      </c>
      <c r="P1840" s="5"/>
      <c r="Q1840" s="5" t="s">
        <v>12800</v>
      </c>
    </row>
    <row r="1841" spans="2:17" x14ac:dyDescent="0.2">
      <c r="B1841" s="5" t="s">
        <v>12409</v>
      </c>
      <c r="C1841" s="6" t="s">
        <v>13589</v>
      </c>
      <c r="D1841" s="4">
        <v>1649</v>
      </c>
      <c r="E1841" s="5" t="s">
        <v>32</v>
      </c>
      <c r="F1841" s="5" t="s">
        <v>12764</v>
      </c>
      <c r="G1841" s="6" t="s">
        <v>14</v>
      </c>
      <c r="H1841" s="4">
        <v>838</v>
      </c>
      <c r="I1841" s="5" t="s">
        <v>38</v>
      </c>
      <c r="J1841" s="5" t="s">
        <v>12801</v>
      </c>
      <c r="K1841" s="5" t="s">
        <v>76</v>
      </c>
      <c r="L1841" s="5" t="s">
        <v>12802</v>
      </c>
      <c r="M1841" s="5" t="s">
        <v>1843</v>
      </c>
      <c r="N1841" s="5" t="s">
        <v>1844</v>
      </c>
      <c r="O1841" s="5" t="s">
        <v>12414</v>
      </c>
      <c r="P1841" s="5" t="s">
        <v>12803</v>
      </c>
      <c r="Q1841" s="5" t="s">
        <v>12804</v>
      </c>
    </row>
    <row r="1842" spans="2:17" x14ac:dyDescent="0.2">
      <c r="B1842" s="5" t="s">
        <v>12409</v>
      </c>
      <c r="C1842" s="6" t="s">
        <v>13589</v>
      </c>
      <c r="D1842" s="4">
        <v>1650</v>
      </c>
      <c r="E1842" s="5" t="s">
        <v>32</v>
      </c>
      <c r="F1842" s="5" t="s">
        <v>12764</v>
      </c>
      <c r="G1842" s="6" t="s">
        <v>14</v>
      </c>
      <c r="H1842" s="4">
        <v>839</v>
      </c>
      <c r="I1842" s="5" t="s">
        <v>38</v>
      </c>
      <c r="J1842" s="5" t="s">
        <v>12805</v>
      </c>
      <c r="K1842" s="5" t="s">
        <v>76</v>
      </c>
      <c r="L1842" s="5" t="s">
        <v>12806</v>
      </c>
      <c r="M1842" s="5" t="s">
        <v>1843</v>
      </c>
      <c r="N1842" s="5" t="s">
        <v>1844</v>
      </c>
      <c r="O1842" s="5" t="s">
        <v>12414</v>
      </c>
      <c r="P1842" s="5" t="s">
        <v>12807</v>
      </c>
      <c r="Q1842" s="5" t="s">
        <v>12808</v>
      </c>
    </row>
    <row r="1843" spans="2:17" x14ac:dyDescent="0.2">
      <c r="B1843" s="5" t="s">
        <v>12409</v>
      </c>
      <c r="C1843" s="6" t="s">
        <v>13589</v>
      </c>
      <c r="D1843" s="4">
        <v>1651</v>
      </c>
      <c r="E1843" s="5" t="s">
        <v>32</v>
      </c>
      <c r="F1843" s="5" t="s">
        <v>12764</v>
      </c>
      <c r="G1843" s="6" t="s">
        <v>14</v>
      </c>
      <c r="H1843" s="4">
        <v>840</v>
      </c>
      <c r="I1843" s="5" t="s">
        <v>38</v>
      </c>
      <c r="J1843" s="5" t="s">
        <v>12809</v>
      </c>
      <c r="K1843" s="5" t="s">
        <v>12810</v>
      </c>
      <c r="L1843" s="5"/>
      <c r="M1843" s="5" t="s">
        <v>1843</v>
      </c>
      <c r="N1843" s="5" t="s">
        <v>1844</v>
      </c>
      <c r="O1843" s="5" t="s">
        <v>12429</v>
      </c>
      <c r="P1843" s="5"/>
      <c r="Q1843" s="5" t="s">
        <v>12811</v>
      </c>
    </row>
    <row r="1844" spans="2:17" x14ac:dyDescent="0.2">
      <c r="B1844" s="5" t="s">
        <v>12409</v>
      </c>
      <c r="C1844" s="6" t="s">
        <v>13589</v>
      </c>
      <c r="D1844" s="4">
        <v>1652</v>
      </c>
      <c r="E1844" s="5" t="s">
        <v>32</v>
      </c>
      <c r="F1844" s="5" t="s">
        <v>12764</v>
      </c>
      <c r="G1844" s="6" t="s">
        <v>14</v>
      </c>
      <c r="H1844" s="4">
        <v>841</v>
      </c>
      <c r="I1844" s="5" t="s">
        <v>38</v>
      </c>
      <c r="J1844" s="5" t="s">
        <v>12812</v>
      </c>
      <c r="K1844" s="5" t="s">
        <v>12813</v>
      </c>
      <c r="L1844" s="5" t="s">
        <v>12814</v>
      </c>
      <c r="M1844" s="5" t="s">
        <v>1843</v>
      </c>
      <c r="N1844" s="5" t="s">
        <v>1844</v>
      </c>
      <c r="O1844" s="5" t="s">
        <v>12413</v>
      </c>
      <c r="P1844" s="5"/>
      <c r="Q1844" s="5" t="s">
        <v>12815</v>
      </c>
    </row>
    <row r="1845" spans="2:17" x14ac:dyDescent="0.2">
      <c r="B1845" s="5" t="s">
        <v>12409</v>
      </c>
      <c r="C1845" s="6" t="s">
        <v>13589</v>
      </c>
      <c r="D1845" s="4">
        <v>1653</v>
      </c>
      <c r="E1845" s="5" t="s">
        <v>32</v>
      </c>
      <c r="F1845" s="5" t="s">
        <v>12764</v>
      </c>
      <c r="G1845" s="6" t="s">
        <v>14</v>
      </c>
      <c r="H1845" s="4">
        <v>842</v>
      </c>
      <c r="I1845" s="5" t="s">
        <v>38</v>
      </c>
      <c r="J1845" s="5" t="s">
        <v>12816</v>
      </c>
      <c r="K1845" s="5" t="s">
        <v>75</v>
      </c>
      <c r="L1845" s="5" t="s">
        <v>12817</v>
      </c>
      <c r="M1845" s="5" t="s">
        <v>1843</v>
      </c>
      <c r="N1845" s="5" t="s">
        <v>1844</v>
      </c>
      <c r="O1845" s="5" t="s">
        <v>12413</v>
      </c>
      <c r="P1845" s="5"/>
      <c r="Q1845" s="5" t="s">
        <v>12818</v>
      </c>
    </row>
    <row r="1846" spans="2:17" x14ac:dyDescent="0.2">
      <c r="B1846" s="5" t="s">
        <v>12409</v>
      </c>
      <c r="C1846" s="6" t="s">
        <v>13589</v>
      </c>
      <c r="D1846" s="4">
        <v>1654</v>
      </c>
      <c r="E1846" s="5" t="s">
        <v>32</v>
      </c>
      <c r="F1846" s="5" t="s">
        <v>12764</v>
      </c>
      <c r="G1846" s="6" t="s">
        <v>14</v>
      </c>
      <c r="H1846" s="4">
        <v>843</v>
      </c>
      <c r="I1846" s="5" t="s">
        <v>38</v>
      </c>
      <c r="J1846" s="5" t="s">
        <v>12819</v>
      </c>
      <c r="K1846" s="5" t="s">
        <v>12415</v>
      </c>
      <c r="L1846" s="5" t="s">
        <v>12820</v>
      </c>
      <c r="M1846" s="5" t="s">
        <v>1843</v>
      </c>
      <c r="N1846" s="5" t="s">
        <v>1844</v>
      </c>
      <c r="O1846" s="5" t="s">
        <v>12821</v>
      </c>
      <c r="P1846" s="5"/>
      <c r="Q1846" s="5" t="s">
        <v>12822</v>
      </c>
    </row>
    <row r="1847" spans="2:17" x14ac:dyDescent="0.2">
      <c r="B1847" s="5" t="s">
        <v>12409</v>
      </c>
      <c r="C1847" s="6" t="s">
        <v>13589</v>
      </c>
      <c r="D1847" s="4">
        <v>1655</v>
      </c>
      <c r="E1847" s="5" t="s">
        <v>32</v>
      </c>
      <c r="F1847" s="5" t="s">
        <v>12764</v>
      </c>
      <c r="G1847" s="6" t="s">
        <v>14</v>
      </c>
      <c r="H1847" s="4">
        <v>844</v>
      </c>
      <c r="I1847" s="5" t="s">
        <v>38</v>
      </c>
      <c r="J1847" s="5" t="s">
        <v>12823</v>
      </c>
      <c r="K1847" s="5" t="s">
        <v>12824</v>
      </c>
      <c r="L1847" s="5" t="s">
        <v>12825</v>
      </c>
      <c r="M1847" s="5" t="s">
        <v>1843</v>
      </c>
      <c r="N1847" s="5" t="s">
        <v>1844</v>
      </c>
      <c r="O1847" s="5" t="s">
        <v>12423</v>
      </c>
      <c r="P1847" s="5" t="s">
        <v>12826</v>
      </c>
      <c r="Q1847" s="5" t="s">
        <v>12827</v>
      </c>
    </row>
    <row r="1848" spans="2:17" x14ac:dyDescent="0.2">
      <c r="B1848" s="5" t="s">
        <v>12409</v>
      </c>
      <c r="C1848" s="6" t="s">
        <v>13589</v>
      </c>
      <c r="D1848" s="4">
        <v>1656</v>
      </c>
      <c r="E1848" s="5" t="s">
        <v>32</v>
      </c>
      <c r="F1848" s="5" t="s">
        <v>12764</v>
      </c>
      <c r="G1848" s="6" t="s">
        <v>14</v>
      </c>
      <c r="H1848" s="4">
        <v>845</v>
      </c>
      <c r="I1848" s="5" t="s">
        <v>38</v>
      </c>
      <c r="J1848" s="5" t="s">
        <v>12828</v>
      </c>
      <c r="K1848" s="5" t="s">
        <v>12432</v>
      </c>
      <c r="L1848" s="5" t="s">
        <v>12829</v>
      </c>
      <c r="M1848" s="5" t="s">
        <v>1843</v>
      </c>
      <c r="N1848" s="5" t="s">
        <v>1844</v>
      </c>
      <c r="O1848" s="5" t="s">
        <v>12417</v>
      </c>
      <c r="P1848" s="5" t="s">
        <v>12830</v>
      </c>
      <c r="Q1848" s="5" t="s">
        <v>12831</v>
      </c>
    </row>
    <row r="1849" spans="2:17" x14ac:dyDescent="0.2">
      <c r="B1849" s="5" t="s">
        <v>12409</v>
      </c>
      <c r="C1849" s="6" t="s">
        <v>13589</v>
      </c>
      <c r="D1849" s="4">
        <v>1657</v>
      </c>
      <c r="E1849" s="5" t="s">
        <v>32</v>
      </c>
      <c r="F1849" s="5" t="s">
        <v>12764</v>
      </c>
      <c r="G1849" s="6" t="s">
        <v>14</v>
      </c>
      <c r="H1849" s="4">
        <v>846</v>
      </c>
      <c r="I1849" s="5" t="s">
        <v>38</v>
      </c>
      <c r="J1849" s="5" t="s">
        <v>12832</v>
      </c>
      <c r="K1849" s="5" t="s">
        <v>12833</v>
      </c>
      <c r="L1849" s="5" t="s">
        <v>12834</v>
      </c>
      <c r="M1849" s="5" t="s">
        <v>1843</v>
      </c>
      <c r="N1849" s="5" t="s">
        <v>1844</v>
      </c>
      <c r="O1849" s="5" t="s">
        <v>12417</v>
      </c>
      <c r="P1849" s="5" t="s">
        <v>12835</v>
      </c>
      <c r="Q1849" s="5" t="s">
        <v>12836</v>
      </c>
    </row>
    <row r="1850" spans="2:17" x14ac:dyDescent="0.2">
      <c r="B1850" s="5" t="s">
        <v>12409</v>
      </c>
      <c r="C1850" s="6" t="s">
        <v>13589</v>
      </c>
      <c r="D1850" s="4">
        <v>1658</v>
      </c>
      <c r="E1850" s="5" t="s">
        <v>32</v>
      </c>
      <c r="F1850" s="5" t="s">
        <v>12764</v>
      </c>
      <c r="G1850" s="6" t="s">
        <v>14</v>
      </c>
      <c r="H1850" s="4">
        <v>847</v>
      </c>
      <c r="I1850" s="5" t="s">
        <v>38</v>
      </c>
      <c r="J1850" s="5" t="s">
        <v>12837</v>
      </c>
      <c r="K1850" s="5" t="s">
        <v>12838</v>
      </c>
      <c r="L1850" s="5"/>
      <c r="M1850" s="5" t="s">
        <v>1843</v>
      </c>
      <c r="N1850" s="5" t="s">
        <v>1844</v>
      </c>
      <c r="O1850" s="5" t="s">
        <v>12418</v>
      </c>
      <c r="P1850" s="5"/>
      <c r="Q1850" s="5" t="s">
        <v>12839</v>
      </c>
    </row>
    <row r="1851" spans="2:17" x14ac:dyDescent="0.2">
      <c r="B1851" s="5" t="s">
        <v>12409</v>
      </c>
      <c r="C1851" s="6" t="s">
        <v>13589</v>
      </c>
      <c r="D1851" s="4">
        <v>1659</v>
      </c>
      <c r="E1851" s="5" t="s">
        <v>32</v>
      </c>
      <c r="F1851" s="5" t="s">
        <v>12764</v>
      </c>
      <c r="G1851" s="6" t="s">
        <v>14</v>
      </c>
      <c r="H1851" s="4">
        <v>848</v>
      </c>
      <c r="I1851" s="5" t="s">
        <v>38</v>
      </c>
      <c r="J1851" s="5" t="s">
        <v>12840</v>
      </c>
      <c r="K1851" s="5" t="s">
        <v>12841</v>
      </c>
      <c r="L1851" s="5" t="s">
        <v>12842</v>
      </c>
      <c r="M1851" s="5" t="s">
        <v>1843</v>
      </c>
      <c r="N1851" s="5" t="s">
        <v>1844</v>
      </c>
      <c r="O1851" s="5" t="s">
        <v>12417</v>
      </c>
      <c r="P1851" s="5" t="s">
        <v>12843</v>
      </c>
      <c r="Q1851" s="5" t="s">
        <v>12844</v>
      </c>
    </row>
    <row r="1852" spans="2:17" x14ac:dyDescent="0.2">
      <c r="B1852" s="5" t="s">
        <v>12409</v>
      </c>
      <c r="C1852" s="6" t="s">
        <v>13589</v>
      </c>
      <c r="D1852" s="4">
        <v>1660</v>
      </c>
      <c r="E1852" s="5" t="s">
        <v>32</v>
      </c>
      <c r="F1852" s="5" t="s">
        <v>12764</v>
      </c>
      <c r="G1852" s="6" t="s">
        <v>14</v>
      </c>
      <c r="H1852" s="4">
        <v>849</v>
      </c>
      <c r="I1852" s="5" t="s">
        <v>38</v>
      </c>
      <c r="J1852" s="5" t="s">
        <v>12845</v>
      </c>
      <c r="K1852" s="5" t="s">
        <v>12846</v>
      </c>
      <c r="L1852" s="5" t="s">
        <v>12847</v>
      </c>
      <c r="M1852" s="5" t="s">
        <v>1843</v>
      </c>
      <c r="N1852" s="5" t="s">
        <v>1844</v>
      </c>
      <c r="O1852" s="5" t="s">
        <v>12423</v>
      </c>
      <c r="P1852" s="5" t="s">
        <v>12848</v>
      </c>
      <c r="Q1852" s="5" t="s">
        <v>12849</v>
      </c>
    </row>
    <row r="1853" spans="2:17" x14ac:dyDescent="0.2">
      <c r="B1853" s="5" t="s">
        <v>12409</v>
      </c>
      <c r="C1853" s="6" t="s">
        <v>13589</v>
      </c>
      <c r="D1853" s="4">
        <v>1661</v>
      </c>
      <c r="E1853" s="5" t="s">
        <v>32</v>
      </c>
      <c r="F1853" s="5" t="s">
        <v>12764</v>
      </c>
      <c r="G1853" s="6" t="s">
        <v>14</v>
      </c>
      <c r="H1853" s="4">
        <v>850</v>
      </c>
      <c r="I1853" s="5" t="s">
        <v>38</v>
      </c>
      <c r="J1853" s="5" t="s">
        <v>12850</v>
      </c>
      <c r="K1853" s="5" t="s">
        <v>12851</v>
      </c>
      <c r="L1853" s="5" t="s">
        <v>12852</v>
      </c>
      <c r="M1853" s="5" t="s">
        <v>1843</v>
      </c>
      <c r="N1853" s="5" t="s">
        <v>1844</v>
      </c>
      <c r="O1853" s="5" t="s">
        <v>12418</v>
      </c>
      <c r="P1853" s="5"/>
      <c r="Q1853" s="5" t="s">
        <v>12853</v>
      </c>
    </row>
    <row r="1854" spans="2:17" x14ac:dyDescent="0.2">
      <c r="B1854" s="5" t="s">
        <v>12409</v>
      </c>
      <c r="C1854" s="6" t="s">
        <v>13589</v>
      </c>
      <c r="D1854" s="4">
        <v>1662</v>
      </c>
      <c r="E1854" s="5" t="s">
        <v>32</v>
      </c>
      <c r="F1854" s="5" t="s">
        <v>12764</v>
      </c>
      <c r="G1854" s="6" t="s">
        <v>14</v>
      </c>
      <c r="H1854" s="4">
        <v>851</v>
      </c>
      <c r="I1854" s="5" t="s">
        <v>38</v>
      </c>
      <c r="J1854" s="5" t="s">
        <v>12854</v>
      </c>
      <c r="K1854" s="5" t="s">
        <v>76</v>
      </c>
      <c r="L1854" s="5" t="s">
        <v>12855</v>
      </c>
      <c r="M1854" s="5" t="s">
        <v>1843</v>
      </c>
      <c r="N1854" s="5" t="s">
        <v>1844</v>
      </c>
      <c r="O1854" s="5" t="s">
        <v>12414</v>
      </c>
      <c r="P1854" s="5" t="s">
        <v>12856</v>
      </c>
      <c r="Q1854" s="5" t="s">
        <v>12857</v>
      </c>
    </row>
    <row r="1855" spans="2:17" x14ac:dyDescent="0.2">
      <c r="B1855" s="5" t="s">
        <v>12409</v>
      </c>
      <c r="C1855" s="6" t="s">
        <v>13589</v>
      </c>
      <c r="D1855" s="4">
        <v>1663</v>
      </c>
      <c r="E1855" s="5" t="s">
        <v>32</v>
      </c>
      <c r="F1855" s="5" t="s">
        <v>12764</v>
      </c>
      <c r="G1855" s="6" t="s">
        <v>14</v>
      </c>
      <c r="H1855" s="4">
        <v>852</v>
      </c>
      <c r="I1855" s="5" t="s">
        <v>38</v>
      </c>
      <c r="J1855" s="5" t="s">
        <v>12858</v>
      </c>
      <c r="K1855" s="5" t="s">
        <v>12859</v>
      </c>
      <c r="L1855" s="5" t="s">
        <v>12860</v>
      </c>
      <c r="M1855" s="5" t="s">
        <v>1843</v>
      </c>
      <c r="N1855" s="5" t="s">
        <v>1844</v>
      </c>
      <c r="O1855" s="5" t="s">
        <v>12417</v>
      </c>
      <c r="P1855" s="5"/>
      <c r="Q1855" s="5" t="s">
        <v>12861</v>
      </c>
    </row>
    <row r="1856" spans="2:17" x14ac:dyDescent="0.2">
      <c r="B1856" s="5" t="s">
        <v>12409</v>
      </c>
      <c r="C1856" s="6" t="s">
        <v>13589</v>
      </c>
      <c r="D1856" s="4">
        <v>1664</v>
      </c>
      <c r="E1856" s="5" t="s">
        <v>32</v>
      </c>
      <c r="F1856" s="5" t="s">
        <v>12764</v>
      </c>
      <c r="G1856" s="6" t="s">
        <v>14</v>
      </c>
      <c r="H1856" s="4">
        <v>853</v>
      </c>
      <c r="I1856" s="5" t="s">
        <v>22</v>
      </c>
      <c r="J1856" s="5" t="s">
        <v>12862</v>
      </c>
      <c r="K1856" s="5" t="s">
        <v>12863</v>
      </c>
      <c r="L1856" s="5" t="s">
        <v>12437</v>
      </c>
      <c r="M1856" s="5" t="s">
        <v>1843</v>
      </c>
      <c r="N1856" s="5" t="s">
        <v>1844</v>
      </c>
      <c r="O1856" s="5" t="s">
        <v>12429</v>
      </c>
      <c r="P1856" s="5"/>
      <c r="Q1856" s="5" t="s">
        <v>12864</v>
      </c>
    </row>
    <row r="1857" spans="2:17" x14ac:dyDescent="0.2">
      <c r="B1857" s="5" t="s">
        <v>12409</v>
      </c>
      <c r="C1857" s="6" t="s">
        <v>13589</v>
      </c>
      <c r="D1857" s="4">
        <v>1665</v>
      </c>
      <c r="E1857" s="5" t="s">
        <v>32</v>
      </c>
      <c r="F1857" s="5" t="s">
        <v>12764</v>
      </c>
      <c r="G1857" s="6" t="s">
        <v>14</v>
      </c>
      <c r="H1857" s="4">
        <v>854</v>
      </c>
      <c r="I1857" s="5" t="s">
        <v>22</v>
      </c>
      <c r="J1857" s="5" t="s">
        <v>12865</v>
      </c>
      <c r="K1857" s="5" t="s">
        <v>76</v>
      </c>
      <c r="L1857" s="5" t="s">
        <v>12866</v>
      </c>
      <c r="M1857" s="5" t="s">
        <v>1843</v>
      </c>
      <c r="N1857" s="5" t="s">
        <v>1844</v>
      </c>
      <c r="O1857" s="5" t="s">
        <v>12414</v>
      </c>
      <c r="P1857" s="5" t="s">
        <v>12856</v>
      </c>
      <c r="Q1857" s="5" t="s">
        <v>12867</v>
      </c>
    </row>
    <row r="1858" spans="2:17" x14ac:dyDescent="0.2">
      <c r="B1858" s="5" t="s">
        <v>12409</v>
      </c>
      <c r="C1858" s="6" t="s">
        <v>13589</v>
      </c>
      <c r="D1858" s="4">
        <v>1666</v>
      </c>
      <c r="E1858" s="5" t="s">
        <v>32</v>
      </c>
      <c r="F1858" s="5" t="s">
        <v>12764</v>
      </c>
      <c r="G1858" s="6" t="s">
        <v>14</v>
      </c>
      <c r="H1858" s="4">
        <v>855</v>
      </c>
      <c r="I1858" s="5" t="s">
        <v>22</v>
      </c>
      <c r="J1858" s="5" t="s">
        <v>12868</v>
      </c>
      <c r="K1858" s="5" t="s">
        <v>12869</v>
      </c>
      <c r="L1858" s="5" t="s">
        <v>12870</v>
      </c>
      <c r="M1858" s="5" t="s">
        <v>1843</v>
      </c>
      <c r="N1858" s="5" t="s">
        <v>1844</v>
      </c>
      <c r="O1858" s="5" t="s">
        <v>12418</v>
      </c>
      <c r="P1858" s="5" t="s">
        <v>12871</v>
      </c>
      <c r="Q1858" s="5" t="s">
        <v>12872</v>
      </c>
    </row>
    <row r="1859" spans="2:17" x14ac:dyDescent="0.2">
      <c r="B1859" s="5" t="s">
        <v>12409</v>
      </c>
      <c r="C1859" s="6" t="s">
        <v>13589</v>
      </c>
      <c r="D1859" s="4">
        <v>1667</v>
      </c>
      <c r="E1859" s="5" t="s">
        <v>32</v>
      </c>
      <c r="F1859" s="5" t="s">
        <v>12764</v>
      </c>
      <c r="G1859" s="6" t="s">
        <v>14</v>
      </c>
      <c r="H1859" s="4">
        <v>856</v>
      </c>
      <c r="I1859" s="5" t="s">
        <v>22</v>
      </c>
      <c r="J1859" s="5" t="s">
        <v>12873</v>
      </c>
      <c r="K1859" s="5" t="s">
        <v>7677</v>
      </c>
      <c r="L1859" s="5" t="s">
        <v>12874</v>
      </c>
      <c r="M1859" s="5" t="s">
        <v>1843</v>
      </c>
      <c r="N1859" s="5" t="s">
        <v>1844</v>
      </c>
      <c r="O1859" s="5" t="s">
        <v>12423</v>
      </c>
      <c r="P1859" s="5" t="s">
        <v>12875</v>
      </c>
      <c r="Q1859" s="5" t="s">
        <v>12876</v>
      </c>
    </row>
    <row r="1860" spans="2:17" x14ac:dyDescent="0.2">
      <c r="B1860" s="5" t="s">
        <v>12409</v>
      </c>
      <c r="C1860" s="6" t="s">
        <v>13589</v>
      </c>
      <c r="D1860" s="4">
        <v>1668</v>
      </c>
      <c r="E1860" s="5" t="s">
        <v>32</v>
      </c>
      <c r="F1860" s="5" t="s">
        <v>12764</v>
      </c>
      <c r="G1860" s="6" t="s">
        <v>14</v>
      </c>
      <c r="H1860" s="4">
        <v>857</v>
      </c>
      <c r="I1860" s="5" t="s">
        <v>22</v>
      </c>
      <c r="J1860" s="5" t="s">
        <v>12877</v>
      </c>
      <c r="K1860" s="5" t="s">
        <v>12878</v>
      </c>
      <c r="L1860" s="5"/>
      <c r="M1860" s="5" t="s">
        <v>1843</v>
      </c>
      <c r="N1860" s="5" t="s">
        <v>1844</v>
      </c>
      <c r="O1860" s="5" t="s">
        <v>12414</v>
      </c>
      <c r="P1860" s="5" t="s">
        <v>12879</v>
      </c>
      <c r="Q1860" s="5" t="s">
        <v>12880</v>
      </c>
    </row>
    <row r="1861" spans="2:17" x14ac:dyDescent="0.2">
      <c r="B1861" s="5" t="s">
        <v>12409</v>
      </c>
      <c r="C1861" s="6" t="s">
        <v>13589</v>
      </c>
      <c r="D1861" s="4">
        <v>1669</v>
      </c>
      <c r="E1861" s="5" t="s">
        <v>32</v>
      </c>
      <c r="F1861" s="5" t="s">
        <v>12764</v>
      </c>
      <c r="G1861" s="6" t="s">
        <v>14</v>
      </c>
      <c r="H1861" s="4">
        <v>858</v>
      </c>
      <c r="I1861" s="5" t="s">
        <v>22</v>
      </c>
      <c r="J1861" s="5" t="s">
        <v>12881</v>
      </c>
      <c r="K1861" s="5" t="s">
        <v>7677</v>
      </c>
      <c r="L1861" s="5" t="s">
        <v>12882</v>
      </c>
      <c r="M1861" s="5" t="s">
        <v>1843</v>
      </c>
      <c r="N1861" s="5" t="s">
        <v>1844</v>
      </c>
      <c r="O1861" s="5" t="s">
        <v>12423</v>
      </c>
      <c r="P1861" s="5" t="s">
        <v>12883</v>
      </c>
      <c r="Q1861" s="5" t="s">
        <v>12884</v>
      </c>
    </row>
    <row r="1862" spans="2:17" x14ac:dyDescent="0.2">
      <c r="B1862" s="5" t="s">
        <v>12409</v>
      </c>
      <c r="C1862" s="6" t="s">
        <v>13589</v>
      </c>
      <c r="D1862" s="4">
        <v>1670</v>
      </c>
      <c r="E1862" s="5" t="s">
        <v>32</v>
      </c>
      <c r="F1862" s="5" t="s">
        <v>12764</v>
      </c>
      <c r="G1862" s="6" t="s">
        <v>14</v>
      </c>
      <c r="H1862" s="4">
        <v>859</v>
      </c>
      <c r="I1862" s="5" t="s">
        <v>22</v>
      </c>
      <c r="J1862" s="5" t="s">
        <v>12885</v>
      </c>
      <c r="K1862" s="5" t="s">
        <v>12886</v>
      </c>
      <c r="L1862" s="5"/>
      <c r="M1862" s="5" t="s">
        <v>1843</v>
      </c>
      <c r="N1862" s="5" t="s">
        <v>1844</v>
      </c>
      <c r="O1862" s="5" t="s">
        <v>12413</v>
      </c>
      <c r="P1862" s="5"/>
      <c r="Q1862" s="5" t="s">
        <v>12887</v>
      </c>
    </row>
    <row r="1863" spans="2:17" x14ac:dyDescent="0.2">
      <c r="B1863" s="5" t="s">
        <v>12409</v>
      </c>
      <c r="C1863" s="6" t="s">
        <v>13589</v>
      </c>
      <c r="D1863" s="4">
        <v>1671</v>
      </c>
      <c r="E1863" s="5" t="s">
        <v>32</v>
      </c>
      <c r="F1863" s="5" t="s">
        <v>12764</v>
      </c>
      <c r="G1863" s="6" t="s">
        <v>14</v>
      </c>
      <c r="H1863" s="4">
        <v>860</v>
      </c>
      <c r="I1863" s="5" t="s">
        <v>22</v>
      </c>
      <c r="J1863" s="5" t="s">
        <v>12888</v>
      </c>
      <c r="K1863" s="5" t="s">
        <v>12889</v>
      </c>
      <c r="L1863" s="5" t="s">
        <v>12890</v>
      </c>
      <c r="M1863" s="5" t="s">
        <v>1843</v>
      </c>
      <c r="N1863" s="5" t="s">
        <v>1844</v>
      </c>
      <c r="O1863" s="5" t="s">
        <v>12413</v>
      </c>
      <c r="P1863" s="5" t="s">
        <v>12891</v>
      </c>
      <c r="Q1863" s="5" t="s">
        <v>12892</v>
      </c>
    </row>
    <row r="1864" spans="2:17" x14ac:dyDescent="0.2">
      <c r="B1864" s="5" t="s">
        <v>12409</v>
      </c>
      <c r="C1864" s="6" t="s">
        <v>13589</v>
      </c>
      <c r="D1864" s="4">
        <v>1672</v>
      </c>
      <c r="E1864" s="5" t="s">
        <v>32</v>
      </c>
      <c r="F1864" s="5" t="s">
        <v>12764</v>
      </c>
      <c r="G1864" s="6" t="s">
        <v>14</v>
      </c>
      <c r="H1864" s="4">
        <v>861</v>
      </c>
      <c r="I1864" s="5" t="s">
        <v>22</v>
      </c>
      <c r="J1864" s="5" t="s">
        <v>12893</v>
      </c>
      <c r="K1864" s="5" t="s">
        <v>12535</v>
      </c>
      <c r="L1864" s="5"/>
      <c r="M1864" s="5" t="s">
        <v>1843</v>
      </c>
      <c r="N1864" s="5" t="s">
        <v>1844</v>
      </c>
      <c r="O1864" s="5" t="s">
        <v>12414</v>
      </c>
      <c r="P1864" s="5" t="s">
        <v>12894</v>
      </c>
      <c r="Q1864" s="5" t="s">
        <v>12895</v>
      </c>
    </row>
    <row r="1865" spans="2:17" x14ac:dyDescent="0.2">
      <c r="B1865" s="5" t="s">
        <v>12409</v>
      </c>
      <c r="C1865" s="6" t="s">
        <v>13589</v>
      </c>
      <c r="D1865" s="4">
        <v>1673</v>
      </c>
      <c r="E1865" s="5" t="s">
        <v>32</v>
      </c>
      <c r="F1865" s="5" t="s">
        <v>12764</v>
      </c>
      <c r="G1865" s="6" t="s">
        <v>14</v>
      </c>
      <c r="H1865" s="4">
        <v>862</v>
      </c>
      <c r="I1865" s="5" t="s">
        <v>22</v>
      </c>
      <c r="J1865" s="5" t="s">
        <v>12517</v>
      </c>
      <c r="K1865" s="5" t="s">
        <v>12514</v>
      </c>
      <c r="L1865" s="5" t="s">
        <v>12896</v>
      </c>
      <c r="M1865" s="5" t="s">
        <v>1843</v>
      </c>
      <c r="N1865" s="5" t="s">
        <v>1844</v>
      </c>
      <c r="O1865" s="5" t="s">
        <v>12414</v>
      </c>
      <c r="P1865" s="5" t="s">
        <v>12897</v>
      </c>
      <c r="Q1865" s="5" t="s">
        <v>12898</v>
      </c>
    </row>
    <row r="1866" spans="2:17" x14ac:dyDescent="0.2">
      <c r="B1866" s="5" t="s">
        <v>12409</v>
      </c>
      <c r="C1866" s="6" t="s">
        <v>13589</v>
      </c>
      <c r="D1866" s="4">
        <v>1674</v>
      </c>
      <c r="E1866" s="5" t="s">
        <v>32</v>
      </c>
      <c r="F1866" s="5" t="s">
        <v>12764</v>
      </c>
      <c r="G1866" s="6" t="s">
        <v>14</v>
      </c>
      <c r="H1866" s="4">
        <v>863</v>
      </c>
      <c r="I1866" s="5" t="s">
        <v>22</v>
      </c>
      <c r="J1866" s="5" t="s">
        <v>12899</v>
      </c>
      <c r="K1866" s="5" t="s">
        <v>12900</v>
      </c>
      <c r="L1866" s="5" t="s">
        <v>12901</v>
      </c>
      <c r="M1866" s="5" t="s">
        <v>1843</v>
      </c>
      <c r="N1866" s="5" t="s">
        <v>1844</v>
      </c>
      <c r="O1866" s="5" t="s">
        <v>12414</v>
      </c>
      <c r="P1866" s="5" t="s">
        <v>12902</v>
      </c>
      <c r="Q1866" s="5" t="s">
        <v>12903</v>
      </c>
    </row>
    <row r="1867" spans="2:17" x14ac:dyDescent="0.2">
      <c r="B1867" s="5" t="s">
        <v>12409</v>
      </c>
      <c r="C1867" s="6" t="s">
        <v>13589</v>
      </c>
      <c r="D1867" s="4">
        <v>1675</v>
      </c>
      <c r="E1867" s="5" t="s">
        <v>32</v>
      </c>
      <c r="F1867" s="5" t="s">
        <v>12764</v>
      </c>
      <c r="G1867" s="6" t="s">
        <v>14</v>
      </c>
      <c r="H1867" s="4">
        <v>864</v>
      </c>
      <c r="I1867" s="5" t="s">
        <v>22</v>
      </c>
      <c r="J1867" s="5" t="s">
        <v>12904</v>
      </c>
      <c r="K1867" s="5" t="s">
        <v>12889</v>
      </c>
      <c r="L1867" s="5" t="s">
        <v>12905</v>
      </c>
      <c r="M1867" s="5" t="s">
        <v>1843</v>
      </c>
      <c r="N1867" s="5" t="s">
        <v>1844</v>
      </c>
      <c r="O1867" s="5" t="s">
        <v>12413</v>
      </c>
      <c r="P1867" s="5"/>
      <c r="Q1867" s="5" t="s">
        <v>12906</v>
      </c>
    </row>
    <row r="1868" spans="2:17" x14ac:dyDescent="0.2">
      <c r="B1868" s="5" t="s">
        <v>12409</v>
      </c>
      <c r="C1868" s="6" t="s">
        <v>13589</v>
      </c>
      <c r="D1868" s="4">
        <v>1676</v>
      </c>
      <c r="E1868" s="5" t="s">
        <v>32</v>
      </c>
      <c r="F1868" s="5" t="s">
        <v>12764</v>
      </c>
      <c r="G1868" s="6" t="s">
        <v>14</v>
      </c>
      <c r="H1868" s="4">
        <v>865</v>
      </c>
      <c r="I1868" s="5" t="s">
        <v>22</v>
      </c>
      <c r="J1868" s="5" t="s">
        <v>12907</v>
      </c>
      <c r="K1868" s="5" t="s">
        <v>12908</v>
      </c>
      <c r="L1868" s="5" t="s">
        <v>12909</v>
      </c>
      <c r="M1868" s="5" t="s">
        <v>1843</v>
      </c>
      <c r="N1868" s="5" t="s">
        <v>1844</v>
      </c>
      <c r="O1868" s="5" t="s">
        <v>12459</v>
      </c>
      <c r="P1868" s="5" t="s">
        <v>12910</v>
      </c>
      <c r="Q1868" s="5" t="s">
        <v>12911</v>
      </c>
    </row>
    <row r="1869" spans="2:17" x14ac:dyDescent="0.2">
      <c r="B1869" s="5" t="s">
        <v>12409</v>
      </c>
      <c r="C1869" s="6" t="s">
        <v>13589</v>
      </c>
      <c r="D1869" s="4">
        <v>1677</v>
      </c>
      <c r="E1869" s="5" t="s">
        <v>32</v>
      </c>
      <c r="F1869" s="5" t="s">
        <v>12764</v>
      </c>
      <c r="G1869" s="6" t="s">
        <v>14</v>
      </c>
      <c r="H1869" s="4">
        <v>866</v>
      </c>
      <c r="I1869" s="5" t="s">
        <v>22</v>
      </c>
      <c r="J1869" s="5" t="s">
        <v>12912</v>
      </c>
      <c r="K1869" s="5" t="s">
        <v>12431</v>
      </c>
      <c r="L1869" s="5" t="s">
        <v>12913</v>
      </c>
      <c r="M1869" s="5" t="s">
        <v>1843</v>
      </c>
      <c r="N1869" s="5" t="s">
        <v>1844</v>
      </c>
      <c r="O1869" s="5" t="s">
        <v>12423</v>
      </c>
      <c r="P1869" s="5" t="s">
        <v>12914</v>
      </c>
      <c r="Q1869" s="5" t="s">
        <v>12915</v>
      </c>
    </row>
    <row r="1870" spans="2:17" x14ac:dyDescent="0.2">
      <c r="B1870" s="5" t="s">
        <v>12409</v>
      </c>
      <c r="C1870" s="6" t="s">
        <v>13589</v>
      </c>
      <c r="D1870" s="4">
        <v>1678</v>
      </c>
      <c r="E1870" s="5" t="s">
        <v>32</v>
      </c>
      <c r="F1870" s="5" t="s">
        <v>12764</v>
      </c>
      <c r="G1870" s="6" t="s">
        <v>14</v>
      </c>
      <c r="H1870" s="4">
        <v>867</v>
      </c>
      <c r="I1870" s="5" t="s">
        <v>22</v>
      </c>
      <c r="J1870" s="5" t="s">
        <v>12916</v>
      </c>
      <c r="K1870" s="5" t="s">
        <v>12917</v>
      </c>
      <c r="L1870" s="5" t="s">
        <v>12918</v>
      </c>
      <c r="M1870" s="5" t="s">
        <v>1843</v>
      </c>
      <c r="N1870" s="5" t="s">
        <v>1844</v>
      </c>
      <c r="O1870" s="5" t="s">
        <v>12418</v>
      </c>
      <c r="P1870" s="5"/>
      <c r="Q1870" s="5" t="s">
        <v>12919</v>
      </c>
    </row>
    <row r="1871" spans="2:17" x14ac:dyDescent="0.2">
      <c r="B1871" s="5" t="s">
        <v>12409</v>
      </c>
      <c r="C1871" s="6" t="s">
        <v>13589</v>
      </c>
      <c r="D1871" s="4">
        <v>1679</v>
      </c>
      <c r="E1871" s="5" t="s">
        <v>32</v>
      </c>
      <c r="F1871" s="5" t="s">
        <v>12764</v>
      </c>
      <c r="G1871" s="6" t="s">
        <v>14</v>
      </c>
      <c r="H1871" s="4">
        <v>868</v>
      </c>
      <c r="I1871" s="5" t="s">
        <v>22</v>
      </c>
      <c r="J1871" s="5" t="s">
        <v>12920</v>
      </c>
      <c r="K1871" s="5" t="s">
        <v>12470</v>
      </c>
      <c r="L1871" s="5" t="s">
        <v>12921</v>
      </c>
      <c r="M1871" s="5" t="s">
        <v>1843</v>
      </c>
      <c r="N1871" s="5" t="s">
        <v>1844</v>
      </c>
      <c r="O1871" s="5" t="s">
        <v>12423</v>
      </c>
      <c r="P1871" s="5" t="s">
        <v>12922</v>
      </c>
      <c r="Q1871" s="5" t="s">
        <v>12923</v>
      </c>
    </row>
    <row r="1872" spans="2:17" x14ac:dyDescent="0.2">
      <c r="B1872" s="5" t="s">
        <v>12409</v>
      </c>
      <c r="C1872" s="6" t="s">
        <v>13589</v>
      </c>
      <c r="D1872" s="4">
        <v>1680</v>
      </c>
      <c r="E1872" s="5" t="s">
        <v>32</v>
      </c>
      <c r="F1872" s="5" t="s">
        <v>12764</v>
      </c>
      <c r="G1872" s="6" t="s">
        <v>14</v>
      </c>
      <c r="H1872" s="4">
        <v>869</v>
      </c>
      <c r="I1872" s="5" t="s">
        <v>22</v>
      </c>
      <c r="J1872" s="5" t="s">
        <v>12924</v>
      </c>
      <c r="K1872" s="5" t="s">
        <v>12470</v>
      </c>
      <c r="L1872" s="5" t="s">
        <v>12925</v>
      </c>
      <c r="M1872" s="5" t="s">
        <v>1843</v>
      </c>
      <c r="N1872" s="5" t="s">
        <v>1844</v>
      </c>
      <c r="O1872" s="5" t="s">
        <v>12423</v>
      </c>
      <c r="P1872" s="5" t="s">
        <v>12926</v>
      </c>
      <c r="Q1872" s="5" t="s">
        <v>12927</v>
      </c>
    </row>
    <row r="1873" spans="2:17" x14ac:dyDescent="0.2">
      <c r="B1873" s="5" t="s">
        <v>12409</v>
      </c>
      <c r="C1873" s="6" t="s">
        <v>13589</v>
      </c>
      <c r="D1873" s="4">
        <v>1681</v>
      </c>
      <c r="E1873" s="5" t="s">
        <v>32</v>
      </c>
      <c r="F1873" s="5" t="s">
        <v>12764</v>
      </c>
      <c r="G1873" s="6" t="s">
        <v>14</v>
      </c>
      <c r="H1873" s="4">
        <v>870</v>
      </c>
      <c r="I1873" s="5" t="s">
        <v>22</v>
      </c>
      <c r="J1873" s="5" t="s">
        <v>12928</v>
      </c>
      <c r="K1873" s="5" t="s">
        <v>77</v>
      </c>
      <c r="L1873" s="5" t="s">
        <v>12929</v>
      </c>
      <c r="M1873" s="5" t="s">
        <v>1843</v>
      </c>
      <c r="N1873" s="5" t="s">
        <v>1844</v>
      </c>
      <c r="O1873" s="5" t="s">
        <v>12414</v>
      </c>
      <c r="P1873" s="5" t="s">
        <v>12930</v>
      </c>
      <c r="Q1873" s="5" t="s">
        <v>12931</v>
      </c>
    </row>
    <row r="1874" spans="2:17" x14ac:dyDescent="0.2">
      <c r="B1874" s="5" t="s">
        <v>12409</v>
      </c>
      <c r="C1874" s="6" t="s">
        <v>13589</v>
      </c>
      <c r="D1874" s="4">
        <v>1686</v>
      </c>
      <c r="E1874" s="5" t="s">
        <v>13</v>
      </c>
      <c r="F1874" s="5" t="s">
        <v>79</v>
      </c>
      <c r="G1874" s="6" t="s">
        <v>14</v>
      </c>
      <c r="H1874" s="4">
        <v>871</v>
      </c>
      <c r="I1874" s="5"/>
      <c r="J1874" s="5" t="s">
        <v>12686</v>
      </c>
      <c r="K1874" s="5" t="s">
        <v>12416</v>
      </c>
      <c r="L1874" s="5"/>
      <c r="M1874" s="5" t="s">
        <v>804</v>
      </c>
      <c r="N1874" s="5" t="s">
        <v>346</v>
      </c>
      <c r="O1874" s="5" t="s">
        <v>12413</v>
      </c>
      <c r="P1874" s="5"/>
      <c r="Q1874" s="5" t="s">
        <v>12687</v>
      </c>
    </row>
    <row r="1875" spans="2:17" x14ac:dyDescent="0.2">
      <c r="B1875" s="5" t="s">
        <v>12409</v>
      </c>
      <c r="C1875" s="6" t="s">
        <v>13589</v>
      </c>
      <c r="D1875" s="4">
        <v>1687</v>
      </c>
      <c r="E1875" s="5" t="s">
        <v>15</v>
      </c>
      <c r="F1875" s="5" t="s">
        <v>12688</v>
      </c>
      <c r="G1875" s="6" t="s">
        <v>14</v>
      </c>
      <c r="H1875" s="4">
        <v>872</v>
      </c>
      <c r="I1875" s="5"/>
      <c r="J1875" s="5" t="s">
        <v>12692</v>
      </c>
      <c r="K1875" s="5" t="s">
        <v>76</v>
      </c>
      <c r="L1875" s="5"/>
      <c r="M1875" s="5" t="s">
        <v>3094</v>
      </c>
      <c r="N1875" s="5" t="s">
        <v>346</v>
      </c>
      <c r="O1875" s="5" t="s">
        <v>12414</v>
      </c>
      <c r="P1875" s="5" t="s">
        <v>12693</v>
      </c>
      <c r="Q1875" s="5" t="s">
        <v>12694</v>
      </c>
    </row>
    <row r="1876" spans="2:17" x14ac:dyDescent="0.2">
      <c r="B1876" s="5" t="s">
        <v>12409</v>
      </c>
      <c r="C1876" s="6" t="s">
        <v>13589</v>
      </c>
      <c r="D1876" s="4">
        <v>1688</v>
      </c>
      <c r="E1876" s="5" t="s">
        <v>15</v>
      </c>
      <c r="F1876" s="5" t="s">
        <v>12695</v>
      </c>
      <c r="G1876" s="6" t="s">
        <v>14</v>
      </c>
      <c r="H1876" s="4">
        <v>873</v>
      </c>
      <c r="I1876" s="5"/>
      <c r="J1876" s="5" t="s">
        <v>12696</v>
      </c>
      <c r="K1876" s="5" t="s">
        <v>77</v>
      </c>
      <c r="L1876" s="5"/>
      <c r="M1876" s="5" t="s">
        <v>3094</v>
      </c>
      <c r="N1876" s="5" t="s">
        <v>346</v>
      </c>
      <c r="O1876" s="5" t="s">
        <v>12414</v>
      </c>
      <c r="P1876" s="5" t="s">
        <v>12697</v>
      </c>
      <c r="Q1876" s="5" t="s">
        <v>12698</v>
      </c>
    </row>
    <row r="1877" spans="2:17" x14ac:dyDescent="0.2">
      <c r="B1877" s="5" t="s">
        <v>12409</v>
      </c>
      <c r="C1877" s="6" t="s">
        <v>13589</v>
      </c>
      <c r="D1877" s="4">
        <v>1689</v>
      </c>
      <c r="E1877" s="5" t="s">
        <v>15</v>
      </c>
      <c r="F1877" s="5" t="s">
        <v>12695</v>
      </c>
      <c r="G1877" s="6" t="s">
        <v>14</v>
      </c>
      <c r="H1877" s="4">
        <v>874</v>
      </c>
      <c r="I1877" s="5"/>
      <c r="J1877" s="5" t="s">
        <v>12699</v>
      </c>
      <c r="K1877" s="5" t="s">
        <v>78</v>
      </c>
      <c r="L1877" s="5"/>
      <c r="M1877" s="5" t="s">
        <v>3094</v>
      </c>
      <c r="N1877" s="5" t="s">
        <v>346</v>
      </c>
      <c r="O1877" s="5" t="s">
        <v>12423</v>
      </c>
      <c r="P1877" s="5" t="s">
        <v>12690</v>
      </c>
      <c r="Q1877" s="5" t="s">
        <v>12700</v>
      </c>
    </row>
    <row r="1878" spans="2:17" x14ac:dyDescent="0.2">
      <c r="B1878" s="5" t="s">
        <v>12409</v>
      </c>
      <c r="C1878" s="6" t="s">
        <v>13589</v>
      </c>
      <c r="D1878" s="4">
        <v>1690</v>
      </c>
      <c r="E1878" s="5" t="s">
        <v>15</v>
      </c>
      <c r="F1878" s="5" t="s">
        <v>12695</v>
      </c>
      <c r="G1878" s="6" t="s">
        <v>14</v>
      </c>
      <c r="H1878" s="4">
        <v>875</v>
      </c>
      <c r="I1878" s="5"/>
      <c r="J1878" s="5" t="s">
        <v>12701</v>
      </c>
      <c r="K1878" s="5" t="s">
        <v>12420</v>
      </c>
      <c r="L1878" s="5"/>
      <c r="M1878" s="5" t="s">
        <v>3094</v>
      </c>
      <c r="N1878" s="5" t="s">
        <v>346</v>
      </c>
      <c r="O1878" s="5" t="s">
        <v>12417</v>
      </c>
      <c r="P1878" s="5" t="s">
        <v>12702</v>
      </c>
      <c r="Q1878" s="5" t="s">
        <v>12703</v>
      </c>
    </row>
    <row r="1879" spans="2:17" x14ac:dyDescent="0.2">
      <c r="B1879" s="5" t="s">
        <v>12409</v>
      </c>
      <c r="C1879" s="6" t="s">
        <v>13589</v>
      </c>
      <c r="D1879" s="4">
        <v>1691</v>
      </c>
      <c r="E1879" s="5" t="s">
        <v>15</v>
      </c>
      <c r="F1879" s="5" t="s">
        <v>12688</v>
      </c>
      <c r="G1879" s="6" t="s">
        <v>14</v>
      </c>
      <c r="H1879" s="4">
        <v>876</v>
      </c>
      <c r="I1879" s="5"/>
      <c r="J1879" s="5" t="s">
        <v>12689</v>
      </c>
      <c r="K1879" s="5" t="s">
        <v>12426</v>
      </c>
      <c r="L1879" s="5"/>
      <c r="M1879" s="5" t="s">
        <v>3094</v>
      </c>
      <c r="N1879" s="5" t="s">
        <v>346</v>
      </c>
      <c r="O1879" s="5" t="s">
        <v>12413</v>
      </c>
      <c r="P1879" s="5" t="s">
        <v>12690</v>
      </c>
      <c r="Q1879" s="5" t="s">
        <v>12691</v>
      </c>
    </row>
    <row r="1880" spans="2:17" x14ac:dyDescent="0.2">
      <c r="B1880" s="5" t="s">
        <v>12409</v>
      </c>
      <c r="C1880" s="6" t="s">
        <v>13589</v>
      </c>
      <c r="D1880" s="4">
        <v>1697</v>
      </c>
      <c r="E1880" s="5" t="s">
        <v>35</v>
      </c>
      <c r="F1880" s="5" t="s">
        <v>12424</v>
      </c>
      <c r="G1880" s="6" t="s">
        <v>14</v>
      </c>
      <c r="H1880" s="4">
        <v>877</v>
      </c>
      <c r="I1880" s="5"/>
      <c r="J1880" s="5" t="s">
        <v>12667</v>
      </c>
      <c r="K1880" s="5" t="s">
        <v>12419</v>
      </c>
      <c r="L1880" s="5"/>
      <c r="M1880" s="5" t="s">
        <v>1416</v>
      </c>
      <c r="N1880" s="5" t="s">
        <v>296</v>
      </c>
      <c r="O1880" s="5" t="s">
        <v>12417</v>
      </c>
      <c r="P1880" s="5"/>
      <c r="Q1880" s="5" t="s">
        <v>12668</v>
      </c>
    </row>
    <row r="1881" spans="2:17" x14ac:dyDescent="0.2">
      <c r="B1881" s="5" t="s">
        <v>12409</v>
      </c>
      <c r="C1881" s="6" t="s">
        <v>13589</v>
      </c>
      <c r="D1881" s="4">
        <v>1699</v>
      </c>
      <c r="E1881" s="5" t="s">
        <v>32</v>
      </c>
      <c r="F1881" s="5" t="s">
        <v>12653</v>
      </c>
      <c r="G1881" s="6" t="s">
        <v>14</v>
      </c>
      <c r="H1881" s="4">
        <v>878</v>
      </c>
      <c r="I1881" s="5" t="s">
        <v>22</v>
      </c>
      <c r="J1881" s="5" t="s">
        <v>12654</v>
      </c>
      <c r="K1881" s="5" t="s">
        <v>12425</v>
      </c>
      <c r="L1881" s="5"/>
      <c r="M1881" s="5" t="s">
        <v>312</v>
      </c>
      <c r="N1881" s="5" t="s">
        <v>302</v>
      </c>
      <c r="O1881" s="5" t="s">
        <v>12418</v>
      </c>
      <c r="P1881" s="5"/>
      <c r="Q1881" s="5" t="s">
        <v>12655</v>
      </c>
    </row>
    <row r="1882" spans="2:17" x14ac:dyDescent="0.2">
      <c r="B1882" s="5" t="s">
        <v>12409</v>
      </c>
      <c r="C1882" s="6" t="s">
        <v>13589</v>
      </c>
      <c r="D1882" s="4">
        <v>1700</v>
      </c>
      <c r="E1882" s="5" t="s">
        <v>32</v>
      </c>
      <c r="F1882" s="5" t="s">
        <v>6483</v>
      </c>
      <c r="G1882" s="6" t="s">
        <v>14</v>
      </c>
      <c r="H1882" s="4">
        <v>879</v>
      </c>
      <c r="I1882" s="5" t="s">
        <v>22</v>
      </c>
      <c r="J1882" s="5" t="s">
        <v>12656</v>
      </c>
      <c r="K1882" s="5" t="s">
        <v>12657</v>
      </c>
      <c r="L1882" s="5"/>
      <c r="M1882" s="5" t="s">
        <v>312</v>
      </c>
      <c r="N1882" s="5" t="s">
        <v>302</v>
      </c>
      <c r="O1882" s="5" t="s">
        <v>12658</v>
      </c>
      <c r="P1882" s="5" t="s">
        <v>12659</v>
      </c>
      <c r="Q1882" s="5" t="s">
        <v>6102</v>
      </c>
    </row>
    <row r="1883" spans="2:17" x14ac:dyDescent="0.2">
      <c r="B1883" s="5" t="s">
        <v>12409</v>
      </c>
      <c r="C1883" s="6" t="s">
        <v>13589</v>
      </c>
      <c r="D1883" s="4">
        <v>1703</v>
      </c>
      <c r="E1883" s="5" t="s">
        <v>32</v>
      </c>
      <c r="F1883" s="5" t="s">
        <v>12506</v>
      </c>
      <c r="G1883" s="6" t="s">
        <v>14</v>
      </c>
      <c r="H1883" s="4">
        <v>880</v>
      </c>
      <c r="I1883" s="5" t="s">
        <v>22</v>
      </c>
      <c r="J1883" s="5" t="s">
        <v>12507</v>
      </c>
      <c r="K1883" s="5" t="s">
        <v>12508</v>
      </c>
      <c r="L1883" s="5" t="s">
        <v>12437</v>
      </c>
      <c r="M1883" s="5" t="s">
        <v>96</v>
      </c>
      <c r="N1883" s="5" t="s">
        <v>291</v>
      </c>
      <c r="O1883" s="5" t="s">
        <v>12429</v>
      </c>
      <c r="P1883" s="5"/>
      <c r="Q1883" s="5" t="s">
        <v>12509</v>
      </c>
    </row>
    <row r="1884" spans="2:17" x14ac:dyDescent="0.2">
      <c r="B1884" s="5" t="s">
        <v>12409</v>
      </c>
      <c r="C1884" s="6" t="s">
        <v>13589</v>
      </c>
      <c r="D1884" s="4">
        <v>1704</v>
      </c>
      <c r="E1884" s="5" t="s">
        <v>32</v>
      </c>
      <c r="F1884" s="5" t="s">
        <v>12506</v>
      </c>
      <c r="G1884" s="6" t="s">
        <v>14</v>
      </c>
      <c r="H1884" s="4">
        <v>881</v>
      </c>
      <c r="I1884" s="5" t="s">
        <v>22</v>
      </c>
      <c r="J1884" s="5" t="s">
        <v>12510</v>
      </c>
      <c r="K1884" s="5" t="s">
        <v>12415</v>
      </c>
      <c r="L1884" s="5" t="s">
        <v>12511</v>
      </c>
      <c r="M1884" s="5" t="s">
        <v>96</v>
      </c>
      <c r="N1884" s="5" t="s">
        <v>291</v>
      </c>
      <c r="O1884" s="5" t="s">
        <v>12414</v>
      </c>
      <c r="P1884" s="5"/>
      <c r="Q1884" s="5" t="s">
        <v>12512</v>
      </c>
    </row>
    <row r="1885" spans="2:17" x14ac:dyDescent="0.2">
      <c r="B1885" s="5" t="s">
        <v>12409</v>
      </c>
      <c r="C1885" s="6" t="s">
        <v>13589</v>
      </c>
      <c r="D1885" s="4">
        <v>1705</v>
      </c>
      <c r="E1885" s="5" t="s">
        <v>32</v>
      </c>
      <c r="F1885" s="5" t="s">
        <v>12506</v>
      </c>
      <c r="G1885" s="6" t="s">
        <v>14</v>
      </c>
      <c r="H1885" s="4">
        <v>882</v>
      </c>
      <c r="I1885" s="5" t="s">
        <v>22</v>
      </c>
      <c r="J1885" s="5" t="s">
        <v>12513</v>
      </c>
      <c r="K1885" s="5" t="s">
        <v>12514</v>
      </c>
      <c r="L1885" s="5" t="s">
        <v>12515</v>
      </c>
      <c r="M1885" s="5" t="s">
        <v>96</v>
      </c>
      <c r="N1885" s="5" t="s">
        <v>291</v>
      </c>
      <c r="O1885" s="5" t="s">
        <v>12414</v>
      </c>
      <c r="P1885" s="5"/>
      <c r="Q1885" s="5" t="s">
        <v>12516</v>
      </c>
    </row>
    <row r="1886" spans="2:17" x14ac:dyDescent="0.2">
      <c r="B1886" s="5" t="s">
        <v>12409</v>
      </c>
      <c r="C1886" s="6" t="s">
        <v>13589</v>
      </c>
      <c r="D1886" s="4">
        <v>1706</v>
      </c>
      <c r="E1886" s="5" t="s">
        <v>32</v>
      </c>
      <c r="F1886" s="5" t="s">
        <v>12506</v>
      </c>
      <c r="G1886" s="6" t="s">
        <v>14</v>
      </c>
      <c r="H1886" s="4">
        <v>883</v>
      </c>
      <c r="I1886" s="5" t="s">
        <v>38</v>
      </c>
      <c r="J1886" s="5" t="s">
        <v>12517</v>
      </c>
      <c r="K1886" s="5" t="s">
        <v>12410</v>
      </c>
      <c r="L1886" s="5" t="s">
        <v>12518</v>
      </c>
      <c r="M1886" s="5" t="s">
        <v>96</v>
      </c>
      <c r="N1886" s="5" t="s">
        <v>291</v>
      </c>
      <c r="O1886" s="5" t="s">
        <v>12414</v>
      </c>
      <c r="P1886" s="5"/>
      <c r="Q1886" s="5" t="s">
        <v>12519</v>
      </c>
    </row>
    <row r="1887" spans="2:17" x14ac:dyDescent="0.2">
      <c r="B1887" s="5" t="s">
        <v>12409</v>
      </c>
      <c r="C1887" s="6" t="s">
        <v>13589</v>
      </c>
      <c r="D1887" s="4">
        <v>1707</v>
      </c>
      <c r="E1887" s="5" t="s">
        <v>32</v>
      </c>
      <c r="F1887" s="5" t="s">
        <v>12506</v>
      </c>
      <c r="G1887" s="6" t="s">
        <v>14</v>
      </c>
      <c r="H1887" s="4">
        <v>884</v>
      </c>
      <c r="I1887" s="5" t="s">
        <v>22</v>
      </c>
      <c r="J1887" s="5" t="s">
        <v>12520</v>
      </c>
      <c r="K1887" s="5" t="s">
        <v>12521</v>
      </c>
      <c r="L1887" s="5"/>
      <c r="M1887" s="5" t="s">
        <v>96</v>
      </c>
      <c r="N1887" s="5" t="s">
        <v>291</v>
      </c>
      <c r="O1887" s="5" t="s">
        <v>12414</v>
      </c>
      <c r="P1887" s="5" t="s">
        <v>12522</v>
      </c>
      <c r="Q1887" s="5" t="s">
        <v>12523</v>
      </c>
    </row>
    <row r="1888" spans="2:17" x14ac:dyDescent="0.2">
      <c r="B1888" s="5" t="s">
        <v>12409</v>
      </c>
      <c r="C1888" s="6" t="s">
        <v>13589</v>
      </c>
      <c r="D1888" s="4">
        <v>1708</v>
      </c>
      <c r="E1888" s="5" t="s">
        <v>32</v>
      </c>
      <c r="F1888" s="5" t="s">
        <v>12506</v>
      </c>
      <c r="G1888" s="6" t="s">
        <v>14</v>
      </c>
      <c r="H1888" s="4">
        <v>885</v>
      </c>
      <c r="I1888" s="5" t="s">
        <v>22</v>
      </c>
      <c r="J1888" s="5" t="s">
        <v>12524</v>
      </c>
      <c r="K1888" s="5" t="s">
        <v>12525</v>
      </c>
      <c r="L1888" s="5" t="s">
        <v>12526</v>
      </c>
      <c r="M1888" s="5" t="s">
        <v>96</v>
      </c>
      <c r="N1888" s="5" t="s">
        <v>291</v>
      </c>
      <c r="O1888" s="5" t="s">
        <v>12527</v>
      </c>
      <c r="P1888" s="5"/>
      <c r="Q1888" s="5" t="s">
        <v>12528</v>
      </c>
    </row>
    <row r="1889" spans="2:17" x14ac:dyDescent="0.2">
      <c r="B1889" s="5" t="s">
        <v>12409</v>
      </c>
      <c r="C1889" s="6" t="s">
        <v>13589</v>
      </c>
      <c r="D1889" s="4">
        <v>1709</v>
      </c>
      <c r="E1889" s="5" t="s">
        <v>32</v>
      </c>
      <c r="F1889" s="5" t="s">
        <v>12506</v>
      </c>
      <c r="G1889" s="6" t="s">
        <v>14</v>
      </c>
      <c r="H1889" s="4">
        <v>886</v>
      </c>
      <c r="I1889" s="5" t="s">
        <v>22</v>
      </c>
      <c r="J1889" s="5" t="s">
        <v>12529</v>
      </c>
      <c r="K1889" s="5" t="s">
        <v>12530</v>
      </c>
      <c r="L1889" s="5" t="s">
        <v>12531</v>
      </c>
      <c r="M1889" s="5" t="s">
        <v>96</v>
      </c>
      <c r="N1889" s="5" t="s">
        <v>291</v>
      </c>
      <c r="O1889" s="5" t="s">
        <v>12532</v>
      </c>
      <c r="P1889" s="5"/>
      <c r="Q1889" s="5" t="s">
        <v>12533</v>
      </c>
    </row>
    <row r="1890" spans="2:17" x14ac:dyDescent="0.2">
      <c r="B1890" s="5" t="s">
        <v>12409</v>
      </c>
      <c r="C1890" s="6" t="s">
        <v>13589</v>
      </c>
      <c r="D1890" s="4">
        <v>1710</v>
      </c>
      <c r="E1890" s="5" t="s">
        <v>32</v>
      </c>
      <c r="F1890" s="5" t="s">
        <v>12506</v>
      </c>
      <c r="G1890" s="6" t="s">
        <v>14</v>
      </c>
      <c r="H1890" s="4">
        <v>887</v>
      </c>
      <c r="I1890" s="5" t="s">
        <v>22</v>
      </c>
      <c r="J1890" s="5" t="s">
        <v>12534</v>
      </c>
      <c r="K1890" s="5" t="s">
        <v>12535</v>
      </c>
      <c r="L1890" s="5" t="s">
        <v>12536</v>
      </c>
      <c r="M1890" s="5" t="s">
        <v>96</v>
      </c>
      <c r="N1890" s="5" t="s">
        <v>291</v>
      </c>
      <c r="O1890" s="5" t="s">
        <v>12414</v>
      </c>
      <c r="P1890" s="5"/>
      <c r="Q1890" s="5" t="s">
        <v>12537</v>
      </c>
    </row>
    <row r="1891" spans="2:17" x14ac:dyDescent="0.2">
      <c r="B1891" s="5" t="s">
        <v>12409</v>
      </c>
      <c r="C1891" s="6" t="s">
        <v>13589</v>
      </c>
      <c r="D1891" s="4">
        <v>1711</v>
      </c>
      <c r="E1891" s="5" t="s">
        <v>35</v>
      </c>
      <c r="F1891" s="5" t="s">
        <v>12646</v>
      </c>
      <c r="G1891" s="6" t="s">
        <v>14</v>
      </c>
      <c r="H1891" s="4">
        <v>888</v>
      </c>
      <c r="I1891" s="5" t="s">
        <v>22</v>
      </c>
      <c r="J1891" s="5" t="s">
        <v>12647</v>
      </c>
      <c r="K1891" s="5" t="s">
        <v>12430</v>
      </c>
      <c r="L1891" s="5"/>
      <c r="M1891" s="5" t="s">
        <v>96</v>
      </c>
      <c r="N1891" s="5" t="s">
        <v>291</v>
      </c>
      <c r="O1891" s="5" t="s">
        <v>12414</v>
      </c>
      <c r="P1891" s="5"/>
      <c r="Q1891" s="5" t="s">
        <v>12648</v>
      </c>
    </row>
    <row r="1892" spans="2:17" x14ac:dyDescent="0.2">
      <c r="B1892" s="5" t="s">
        <v>12409</v>
      </c>
      <c r="C1892" s="6" t="s">
        <v>13589</v>
      </c>
      <c r="D1892" s="4">
        <v>1712</v>
      </c>
      <c r="E1892" s="5" t="s">
        <v>82</v>
      </c>
      <c r="F1892" s="5" t="s">
        <v>12635</v>
      </c>
      <c r="G1892" s="6" t="s">
        <v>14</v>
      </c>
      <c r="H1892" s="4">
        <v>889</v>
      </c>
      <c r="I1892" s="5" t="s">
        <v>22</v>
      </c>
      <c r="J1892" s="5" t="s">
        <v>12636</v>
      </c>
      <c r="K1892" s="5" t="s">
        <v>12430</v>
      </c>
      <c r="L1892" s="5"/>
      <c r="M1892" s="5" t="s">
        <v>96</v>
      </c>
      <c r="N1892" s="5" t="s">
        <v>291</v>
      </c>
      <c r="O1892" s="5" t="s">
        <v>12414</v>
      </c>
      <c r="P1892" s="5" t="s">
        <v>12637</v>
      </c>
      <c r="Q1892" s="5" t="s">
        <v>12638</v>
      </c>
    </row>
    <row r="1893" spans="2:17" x14ac:dyDescent="0.2">
      <c r="B1893" s="5" t="s">
        <v>12409</v>
      </c>
      <c r="C1893" s="6" t="s">
        <v>13589</v>
      </c>
      <c r="D1893" s="4">
        <v>1713</v>
      </c>
      <c r="E1893" s="5" t="s">
        <v>32</v>
      </c>
      <c r="F1893" s="5" t="s">
        <v>12506</v>
      </c>
      <c r="G1893" s="6" t="s">
        <v>14</v>
      </c>
      <c r="H1893" s="4">
        <v>890</v>
      </c>
      <c r="I1893" s="5" t="s">
        <v>22</v>
      </c>
      <c r="J1893" s="5" t="s">
        <v>12538</v>
      </c>
      <c r="K1893" s="5" t="s">
        <v>12430</v>
      </c>
      <c r="L1893" s="5" t="s">
        <v>12539</v>
      </c>
      <c r="M1893" s="5" t="s">
        <v>96</v>
      </c>
      <c r="N1893" s="5" t="s">
        <v>291</v>
      </c>
      <c r="O1893" s="5" t="s">
        <v>12414</v>
      </c>
      <c r="P1893" s="5"/>
      <c r="Q1893" s="5" t="s">
        <v>12540</v>
      </c>
    </row>
    <row r="1894" spans="2:17" x14ac:dyDescent="0.2">
      <c r="B1894" s="5" t="s">
        <v>12409</v>
      </c>
      <c r="C1894" s="6" t="s">
        <v>13589</v>
      </c>
      <c r="D1894" s="4">
        <v>1714</v>
      </c>
      <c r="E1894" s="5" t="s">
        <v>82</v>
      </c>
      <c r="F1894" s="5" t="s">
        <v>12639</v>
      </c>
      <c r="G1894" s="6" t="s">
        <v>14</v>
      </c>
      <c r="H1894" s="4">
        <v>891</v>
      </c>
      <c r="I1894" s="5"/>
      <c r="J1894" s="5" t="s">
        <v>12640</v>
      </c>
      <c r="K1894" s="5" t="s">
        <v>12589</v>
      </c>
      <c r="L1894" s="5" t="s">
        <v>12641</v>
      </c>
      <c r="M1894" s="5" t="s">
        <v>96</v>
      </c>
      <c r="N1894" s="5" t="s">
        <v>291</v>
      </c>
      <c r="O1894" s="5" t="s">
        <v>12414</v>
      </c>
      <c r="P1894" s="5"/>
      <c r="Q1894" s="5" t="s">
        <v>12642</v>
      </c>
    </row>
    <row r="1895" spans="2:17" x14ac:dyDescent="0.2">
      <c r="B1895" s="5" t="s">
        <v>12409</v>
      </c>
      <c r="C1895" s="6" t="s">
        <v>13589</v>
      </c>
      <c r="D1895" s="4">
        <v>1715</v>
      </c>
      <c r="E1895" s="5" t="s">
        <v>32</v>
      </c>
      <c r="F1895" s="5" t="s">
        <v>12506</v>
      </c>
      <c r="G1895" s="6" t="s">
        <v>14</v>
      </c>
      <c r="H1895" s="4">
        <v>892</v>
      </c>
      <c r="I1895" s="5" t="s">
        <v>22</v>
      </c>
      <c r="J1895" s="5" t="s">
        <v>12541</v>
      </c>
      <c r="K1895" s="5" t="s">
        <v>12542</v>
      </c>
      <c r="L1895" s="5"/>
      <c r="M1895" s="5" t="s">
        <v>96</v>
      </c>
      <c r="N1895" s="5" t="s">
        <v>291</v>
      </c>
      <c r="O1895" s="5" t="s">
        <v>12417</v>
      </c>
      <c r="P1895" s="5" t="s">
        <v>12543</v>
      </c>
      <c r="Q1895" s="5" t="s">
        <v>12544</v>
      </c>
    </row>
    <row r="1896" spans="2:17" x14ac:dyDescent="0.2">
      <c r="B1896" s="5" t="s">
        <v>12409</v>
      </c>
      <c r="C1896" s="6" t="s">
        <v>13589</v>
      </c>
      <c r="D1896" s="4">
        <v>1716</v>
      </c>
      <c r="E1896" s="5" t="s">
        <v>32</v>
      </c>
      <c r="F1896" s="5" t="s">
        <v>12506</v>
      </c>
      <c r="G1896" s="6" t="s">
        <v>14</v>
      </c>
      <c r="H1896" s="4">
        <v>893</v>
      </c>
      <c r="I1896" s="5" t="s">
        <v>22</v>
      </c>
      <c r="J1896" s="5" t="s">
        <v>12545</v>
      </c>
      <c r="K1896" s="5" t="s">
        <v>12428</v>
      </c>
      <c r="L1896" s="5"/>
      <c r="M1896" s="5" t="s">
        <v>96</v>
      </c>
      <c r="N1896" s="5" t="s">
        <v>291</v>
      </c>
      <c r="O1896" s="5" t="s">
        <v>12414</v>
      </c>
      <c r="P1896" s="5"/>
      <c r="Q1896" s="5" t="s">
        <v>12546</v>
      </c>
    </row>
    <row r="1897" spans="2:17" x14ac:dyDescent="0.2">
      <c r="B1897" s="5" t="s">
        <v>12409</v>
      </c>
      <c r="C1897" s="6" t="s">
        <v>13589</v>
      </c>
      <c r="D1897" s="4">
        <v>1717</v>
      </c>
      <c r="E1897" s="5" t="s">
        <v>32</v>
      </c>
      <c r="F1897" s="5" t="s">
        <v>12506</v>
      </c>
      <c r="G1897" s="6" t="s">
        <v>14</v>
      </c>
      <c r="H1897" s="4">
        <v>894</v>
      </c>
      <c r="I1897" s="5" t="s">
        <v>22</v>
      </c>
      <c r="J1897" s="5" t="s">
        <v>12547</v>
      </c>
      <c r="K1897" s="5" t="s">
        <v>12548</v>
      </c>
      <c r="L1897" s="5" t="s">
        <v>12549</v>
      </c>
      <c r="M1897" s="5" t="s">
        <v>96</v>
      </c>
      <c r="N1897" s="5" t="s">
        <v>291</v>
      </c>
      <c r="O1897" s="5" t="s">
        <v>12417</v>
      </c>
      <c r="P1897" s="5" t="s">
        <v>12550</v>
      </c>
      <c r="Q1897" s="5" t="s">
        <v>12551</v>
      </c>
    </row>
    <row r="1898" spans="2:17" x14ac:dyDescent="0.2">
      <c r="B1898" s="5" t="s">
        <v>12409</v>
      </c>
      <c r="C1898" s="6" t="s">
        <v>13589</v>
      </c>
      <c r="D1898" s="4">
        <v>1718</v>
      </c>
      <c r="E1898" s="5" t="s">
        <v>32</v>
      </c>
      <c r="F1898" s="5" t="s">
        <v>12506</v>
      </c>
      <c r="G1898" s="6" t="s">
        <v>14</v>
      </c>
      <c r="H1898" s="4">
        <v>895</v>
      </c>
      <c r="I1898" s="5" t="s">
        <v>22</v>
      </c>
      <c r="J1898" s="5" t="s">
        <v>12552</v>
      </c>
      <c r="K1898" s="5" t="s">
        <v>371</v>
      </c>
      <c r="L1898" s="5" t="s">
        <v>12553</v>
      </c>
      <c r="M1898" s="5" t="s">
        <v>96</v>
      </c>
      <c r="N1898" s="5" t="s">
        <v>291</v>
      </c>
      <c r="O1898" s="5" t="s">
        <v>12414</v>
      </c>
      <c r="P1898" s="5" t="s">
        <v>12550</v>
      </c>
      <c r="Q1898" s="5" t="s">
        <v>12554</v>
      </c>
    </row>
    <row r="1899" spans="2:17" x14ac:dyDescent="0.2">
      <c r="B1899" s="5" t="s">
        <v>12409</v>
      </c>
      <c r="C1899" s="6" t="s">
        <v>13589</v>
      </c>
      <c r="D1899" s="4">
        <v>1719</v>
      </c>
      <c r="E1899" s="5" t="s">
        <v>32</v>
      </c>
      <c r="F1899" s="5" t="s">
        <v>12506</v>
      </c>
      <c r="G1899" s="6" t="s">
        <v>14</v>
      </c>
      <c r="H1899" s="4">
        <v>896</v>
      </c>
      <c r="I1899" s="5" t="s">
        <v>22</v>
      </c>
      <c r="J1899" s="5" t="s">
        <v>12555</v>
      </c>
      <c r="K1899" s="5" t="s">
        <v>12428</v>
      </c>
      <c r="L1899" s="5" t="s">
        <v>12556</v>
      </c>
      <c r="M1899" s="5" t="s">
        <v>96</v>
      </c>
      <c r="N1899" s="5" t="s">
        <v>291</v>
      </c>
      <c r="O1899" s="5" t="s">
        <v>12414</v>
      </c>
      <c r="P1899" s="5" t="s">
        <v>12550</v>
      </c>
      <c r="Q1899" s="5" t="s">
        <v>12557</v>
      </c>
    </row>
    <row r="1900" spans="2:17" x14ac:dyDescent="0.2">
      <c r="B1900" s="5" t="s">
        <v>12409</v>
      </c>
      <c r="C1900" s="6" t="s">
        <v>13589</v>
      </c>
      <c r="D1900" s="4">
        <v>1720</v>
      </c>
      <c r="E1900" s="5" t="s">
        <v>32</v>
      </c>
      <c r="F1900" s="5" t="s">
        <v>12506</v>
      </c>
      <c r="G1900" s="6" t="s">
        <v>14</v>
      </c>
      <c r="H1900" s="4">
        <v>897</v>
      </c>
      <c r="I1900" s="5" t="s">
        <v>22</v>
      </c>
      <c r="J1900" s="5" t="s">
        <v>12558</v>
      </c>
      <c r="K1900" s="5" t="s">
        <v>371</v>
      </c>
      <c r="L1900" s="5" t="s">
        <v>12559</v>
      </c>
      <c r="M1900" s="5" t="s">
        <v>96</v>
      </c>
      <c r="N1900" s="5" t="s">
        <v>291</v>
      </c>
      <c r="O1900" s="5" t="s">
        <v>12414</v>
      </c>
      <c r="P1900" s="5" t="s">
        <v>12550</v>
      </c>
      <c r="Q1900" s="5" t="s">
        <v>12560</v>
      </c>
    </row>
    <row r="1901" spans="2:17" x14ac:dyDescent="0.2">
      <c r="B1901" s="5" t="s">
        <v>12409</v>
      </c>
      <c r="C1901" s="6" t="s">
        <v>13589</v>
      </c>
      <c r="D1901" s="4">
        <v>1721</v>
      </c>
      <c r="E1901" s="5" t="s">
        <v>32</v>
      </c>
      <c r="F1901" s="5" t="s">
        <v>12506</v>
      </c>
      <c r="G1901" s="6" t="s">
        <v>14</v>
      </c>
      <c r="H1901" s="4">
        <v>898</v>
      </c>
      <c r="I1901" s="5" t="s">
        <v>22</v>
      </c>
      <c r="J1901" s="5" t="s">
        <v>12561</v>
      </c>
      <c r="K1901" s="5" t="s">
        <v>371</v>
      </c>
      <c r="L1901" s="5" t="s">
        <v>12562</v>
      </c>
      <c r="M1901" s="5" t="s">
        <v>96</v>
      </c>
      <c r="N1901" s="5" t="s">
        <v>291</v>
      </c>
      <c r="O1901" s="5" t="s">
        <v>12414</v>
      </c>
      <c r="P1901" s="5" t="s">
        <v>12550</v>
      </c>
      <c r="Q1901" s="5" t="s">
        <v>12563</v>
      </c>
    </row>
    <row r="1902" spans="2:17" x14ac:dyDescent="0.2">
      <c r="B1902" s="5" t="s">
        <v>12409</v>
      </c>
      <c r="C1902" s="6" t="s">
        <v>13589</v>
      </c>
      <c r="D1902" s="4">
        <v>1722</v>
      </c>
      <c r="E1902" s="5" t="s">
        <v>32</v>
      </c>
      <c r="F1902" s="5" t="s">
        <v>12506</v>
      </c>
      <c r="G1902" s="6" t="s">
        <v>14</v>
      </c>
      <c r="H1902" s="4">
        <v>899</v>
      </c>
      <c r="I1902" s="5" t="s">
        <v>22</v>
      </c>
      <c r="J1902" s="5" t="s">
        <v>12564</v>
      </c>
      <c r="K1902" s="5" t="s">
        <v>371</v>
      </c>
      <c r="L1902" s="5" t="s">
        <v>12565</v>
      </c>
      <c r="M1902" s="5" t="s">
        <v>96</v>
      </c>
      <c r="N1902" s="5" t="s">
        <v>291</v>
      </c>
      <c r="O1902" s="5" t="s">
        <v>12414</v>
      </c>
      <c r="P1902" s="5" t="s">
        <v>12550</v>
      </c>
      <c r="Q1902" s="5" t="s">
        <v>12566</v>
      </c>
    </row>
    <row r="1903" spans="2:17" x14ac:dyDescent="0.2">
      <c r="B1903" s="5" t="s">
        <v>12409</v>
      </c>
      <c r="C1903" s="6" t="s">
        <v>13589</v>
      </c>
      <c r="D1903" s="4">
        <v>1723</v>
      </c>
      <c r="E1903" s="5" t="s">
        <v>32</v>
      </c>
      <c r="F1903" s="5" t="s">
        <v>12506</v>
      </c>
      <c r="G1903" s="6" t="s">
        <v>14</v>
      </c>
      <c r="H1903" s="4">
        <v>900</v>
      </c>
      <c r="I1903" s="5" t="s">
        <v>22</v>
      </c>
      <c r="J1903" s="5" t="s">
        <v>12567</v>
      </c>
      <c r="K1903" s="5" t="s">
        <v>12568</v>
      </c>
      <c r="L1903" s="5"/>
      <c r="M1903" s="5" t="s">
        <v>96</v>
      </c>
      <c r="N1903" s="5" t="s">
        <v>291</v>
      </c>
      <c r="O1903" s="5" t="s">
        <v>12527</v>
      </c>
      <c r="P1903" s="5" t="s">
        <v>12569</v>
      </c>
      <c r="Q1903" s="5" t="s">
        <v>12570</v>
      </c>
    </row>
    <row r="1904" spans="2:17" x14ac:dyDescent="0.2">
      <c r="B1904" s="5" t="s">
        <v>12409</v>
      </c>
      <c r="C1904" s="6" t="s">
        <v>13589</v>
      </c>
      <c r="D1904" s="4">
        <v>1724</v>
      </c>
      <c r="E1904" s="5" t="s">
        <v>32</v>
      </c>
      <c r="F1904" s="5" t="s">
        <v>12506</v>
      </c>
      <c r="G1904" s="6" t="s">
        <v>14</v>
      </c>
      <c r="H1904" s="4">
        <v>901</v>
      </c>
      <c r="I1904" s="5" t="s">
        <v>22</v>
      </c>
      <c r="J1904" s="5" t="s">
        <v>12571</v>
      </c>
      <c r="K1904" s="5" t="s">
        <v>12572</v>
      </c>
      <c r="L1904" s="5"/>
      <c r="M1904" s="5" t="s">
        <v>96</v>
      </c>
      <c r="N1904" s="5" t="s">
        <v>291</v>
      </c>
      <c r="O1904" s="5" t="s">
        <v>12527</v>
      </c>
      <c r="P1904" s="5" t="s">
        <v>12573</v>
      </c>
      <c r="Q1904" s="5" t="s">
        <v>12574</v>
      </c>
    </row>
    <row r="1905" spans="2:17" x14ac:dyDescent="0.2">
      <c r="B1905" s="5" t="s">
        <v>12409</v>
      </c>
      <c r="C1905" s="6" t="s">
        <v>13589</v>
      </c>
      <c r="D1905" s="4">
        <v>1725</v>
      </c>
      <c r="E1905" s="5" t="s">
        <v>32</v>
      </c>
      <c r="F1905" s="5" t="s">
        <v>12506</v>
      </c>
      <c r="G1905" s="6" t="s">
        <v>14</v>
      </c>
      <c r="H1905" s="4">
        <v>902</v>
      </c>
      <c r="I1905" s="5" t="s">
        <v>22</v>
      </c>
      <c r="J1905" s="5" t="s">
        <v>12575</v>
      </c>
      <c r="K1905" s="5" t="s">
        <v>12576</v>
      </c>
      <c r="L1905" s="5"/>
      <c r="M1905" s="5" t="s">
        <v>96</v>
      </c>
      <c r="N1905" s="5" t="s">
        <v>291</v>
      </c>
      <c r="O1905" s="5" t="s">
        <v>12414</v>
      </c>
      <c r="P1905" s="5" t="s">
        <v>12550</v>
      </c>
      <c r="Q1905" s="5" t="s">
        <v>12577</v>
      </c>
    </row>
    <row r="1906" spans="2:17" x14ac:dyDescent="0.2">
      <c r="B1906" s="5" t="s">
        <v>12409</v>
      </c>
      <c r="C1906" s="6" t="s">
        <v>13589</v>
      </c>
      <c r="D1906" s="4">
        <v>1726</v>
      </c>
      <c r="E1906" s="5" t="s">
        <v>32</v>
      </c>
      <c r="F1906" s="5" t="s">
        <v>12506</v>
      </c>
      <c r="G1906" s="6" t="s">
        <v>14</v>
      </c>
      <c r="H1906" s="4">
        <v>903</v>
      </c>
      <c r="I1906" s="5" t="s">
        <v>22</v>
      </c>
      <c r="J1906" s="5" t="s">
        <v>12578</v>
      </c>
      <c r="K1906" s="5" t="s">
        <v>12579</v>
      </c>
      <c r="L1906" s="5"/>
      <c r="M1906" s="5" t="s">
        <v>96</v>
      </c>
      <c r="N1906" s="5" t="s">
        <v>291</v>
      </c>
      <c r="O1906" s="5" t="s">
        <v>12414</v>
      </c>
      <c r="P1906" s="5"/>
      <c r="Q1906" s="5" t="s">
        <v>12580</v>
      </c>
    </row>
    <row r="1907" spans="2:17" x14ac:dyDescent="0.2">
      <c r="B1907" s="5" t="s">
        <v>12409</v>
      </c>
      <c r="C1907" s="6" t="s">
        <v>13589</v>
      </c>
      <c r="D1907" s="4">
        <v>1727</v>
      </c>
      <c r="E1907" s="5" t="s">
        <v>32</v>
      </c>
      <c r="F1907" s="5" t="s">
        <v>12506</v>
      </c>
      <c r="G1907" s="6" t="s">
        <v>14</v>
      </c>
      <c r="H1907" s="4">
        <v>904</v>
      </c>
      <c r="I1907" s="5" t="s">
        <v>22</v>
      </c>
      <c r="J1907" s="5" t="s">
        <v>12581</v>
      </c>
      <c r="K1907" s="5" t="s">
        <v>12582</v>
      </c>
      <c r="L1907" s="5" t="s">
        <v>12583</v>
      </c>
      <c r="M1907" s="5" t="s">
        <v>96</v>
      </c>
      <c r="N1907" s="5" t="s">
        <v>291</v>
      </c>
      <c r="O1907" s="5" t="s">
        <v>12414</v>
      </c>
      <c r="P1907" s="5"/>
      <c r="Q1907" s="5" t="s">
        <v>12584</v>
      </c>
    </row>
    <row r="1908" spans="2:17" x14ac:dyDescent="0.2">
      <c r="B1908" s="5" t="s">
        <v>12409</v>
      </c>
      <c r="C1908" s="6" t="s">
        <v>13589</v>
      </c>
      <c r="D1908" s="4">
        <v>1728</v>
      </c>
      <c r="E1908" s="5" t="s">
        <v>32</v>
      </c>
      <c r="F1908" s="5" t="s">
        <v>12506</v>
      </c>
      <c r="G1908" s="6" t="s">
        <v>14</v>
      </c>
      <c r="H1908" s="4">
        <v>905</v>
      </c>
      <c r="I1908" s="5" t="s">
        <v>22</v>
      </c>
      <c r="J1908" s="5" t="s">
        <v>12585</v>
      </c>
      <c r="K1908" s="5" t="s">
        <v>12586</v>
      </c>
      <c r="L1908" s="5"/>
      <c r="M1908" s="5" t="s">
        <v>96</v>
      </c>
      <c r="N1908" s="5" t="s">
        <v>291</v>
      </c>
      <c r="O1908" s="5" t="s">
        <v>12414</v>
      </c>
      <c r="P1908" s="5"/>
      <c r="Q1908" s="5" t="s">
        <v>12587</v>
      </c>
    </row>
    <row r="1909" spans="2:17" x14ac:dyDescent="0.2">
      <c r="B1909" s="5" t="s">
        <v>12409</v>
      </c>
      <c r="C1909" s="6" t="s">
        <v>13589</v>
      </c>
      <c r="D1909" s="4">
        <v>1729</v>
      </c>
      <c r="E1909" s="5" t="s">
        <v>32</v>
      </c>
      <c r="F1909" s="5" t="s">
        <v>12506</v>
      </c>
      <c r="G1909" s="6" t="s">
        <v>14</v>
      </c>
      <c r="H1909" s="4">
        <v>906</v>
      </c>
      <c r="I1909" s="5" t="s">
        <v>22</v>
      </c>
      <c r="J1909" s="5" t="s">
        <v>12588</v>
      </c>
      <c r="K1909" s="5" t="s">
        <v>12589</v>
      </c>
      <c r="L1909" s="5" t="s">
        <v>12590</v>
      </c>
      <c r="M1909" s="5" t="s">
        <v>96</v>
      </c>
      <c r="N1909" s="5" t="s">
        <v>291</v>
      </c>
      <c r="O1909" s="5" t="s">
        <v>12414</v>
      </c>
      <c r="P1909" s="5"/>
      <c r="Q1909" s="5" t="s">
        <v>12591</v>
      </c>
    </row>
    <row r="1910" spans="2:17" x14ac:dyDescent="0.2">
      <c r="B1910" s="5" t="s">
        <v>12409</v>
      </c>
      <c r="C1910" s="6" t="s">
        <v>13589</v>
      </c>
      <c r="D1910" s="4">
        <v>1730</v>
      </c>
      <c r="E1910" s="5" t="s">
        <v>32</v>
      </c>
      <c r="F1910" s="5" t="s">
        <v>12506</v>
      </c>
      <c r="G1910" s="6" t="s">
        <v>14</v>
      </c>
      <c r="H1910" s="4">
        <v>907</v>
      </c>
      <c r="I1910" s="5" t="s">
        <v>22</v>
      </c>
      <c r="J1910" s="5" t="s">
        <v>12592</v>
      </c>
      <c r="K1910" s="5" t="s">
        <v>12586</v>
      </c>
      <c r="L1910" s="5" t="s">
        <v>12593</v>
      </c>
      <c r="M1910" s="5" t="s">
        <v>96</v>
      </c>
      <c r="N1910" s="5" t="s">
        <v>291</v>
      </c>
      <c r="O1910" s="5" t="s">
        <v>12414</v>
      </c>
      <c r="P1910" s="5"/>
      <c r="Q1910" s="5" t="s">
        <v>12594</v>
      </c>
    </row>
    <row r="1911" spans="2:17" x14ac:dyDescent="0.2">
      <c r="B1911" s="5" t="s">
        <v>12409</v>
      </c>
      <c r="C1911" s="6" t="s">
        <v>13589</v>
      </c>
      <c r="D1911" s="4">
        <v>1731</v>
      </c>
      <c r="E1911" s="5" t="s">
        <v>32</v>
      </c>
      <c r="F1911" s="5" t="s">
        <v>12506</v>
      </c>
      <c r="G1911" s="6" t="s">
        <v>14</v>
      </c>
      <c r="H1911" s="4">
        <v>908</v>
      </c>
      <c r="I1911" s="5" t="s">
        <v>22</v>
      </c>
      <c r="J1911" s="5" t="s">
        <v>12595</v>
      </c>
      <c r="K1911" s="5" t="s">
        <v>12596</v>
      </c>
      <c r="L1911" s="5" t="s">
        <v>12597</v>
      </c>
      <c r="M1911" s="5" t="s">
        <v>96</v>
      </c>
      <c r="N1911" s="5" t="s">
        <v>291</v>
      </c>
      <c r="O1911" s="5" t="s">
        <v>12414</v>
      </c>
      <c r="P1911" s="5"/>
      <c r="Q1911" s="5" t="s">
        <v>12598</v>
      </c>
    </row>
    <row r="1912" spans="2:17" x14ac:dyDescent="0.2">
      <c r="B1912" s="5" t="s">
        <v>12409</v>
      </c>
      <c r="C1912" s="6" t="s">
        <v>13589</v>
      </c>
      <c r="D1912" s="4">
        <v>1732</v>
      </c>
      <c r="E1912" s="5" t="s">
        <v>32</v>
      </c>
      <c r="F1912" s="5" t="s">
        <v>12506</v>
      </c>
      <c r="G1912" s="6" t="s">
        <v>14</v>
      </c>
      <c r="H1912" s="4">
        <v>909</v>
      </c>
      <c r="I1912" s="5" t="s">
        <v>22</v>
      </c>
      <c r="J1912" s="5" t="s">
        <v>12599</v>
      </c>
      <c r="K1912" s="5" t="s">
        <v>12589</v>
      </c>
      <c r="L1912" s="5" t="s">
        <v>12600</v>
      </c>
      <c r="M1912" s="5" t="s">
        <v>96</v>
      </c>
      <c r="N1912" s="5" t="s">
        <v>291</v>
      </c>
      <c r="O1912" s="5" t="s">
        <v>12414</v>
      </c>
      <c r="P1912" s="5"/>
      <c r="Q1912" s="5" t="s">
        <v>12601</v>
      </c>
    </row>
    <row r="1913" spans="2:17" x14ac:dyDescent="0.2">
      <c r="B1913" s="5" t="s">
        <v>12409</v>
      </c>
      <c r="C1913" s="6" t="s">
        <v>13589</v>
      </c>
      <c r="D1913" s="4">
        <v>1733</v>
      </c>
      <c r="E1913" s="5" t="s">
        <v>32</v>
      </c>
      <c r="F1913" s="5" t="s">
        <v>12506</v>
      </c>
      <c r="G1913" s="6" t="s">
        <v>14</v>
      </c>
      <c r="H1913" s="4">
        <v>910</v>
      </c>
      <c r="I1913" s="5" t="s">
        <v>22</v>
      </c>
      <c r="J1913" s="5" t="s">
        <v>12602</v>
      </c>
      <c r="K1913" s="5" t="s">
        <v>12586</v>
      </c>
      <c r="L1913" s="5" t="s">
        <v>12603</v>
      </c>
      <c r="M1913" s="5" t="s">
        <v>96</v>
      </c>
      <c r="N1913" s="5" t="s">
        <v>291</v>
      </c>
      <c r="O1913" s="5" t="s">
        <v>12414</v>
      </c>
      <c r="P1913" s="5"/>
      <c r="Q1913" s="5" t="s">
        <v>12604</v>
      </c>
    </row>
    <row r="1914" spans="2:17" x14ac:dyDescent="0.2">
      <c r="B1914" s="5" t="s">
        <v>12409</v>
      </c>
      <c r="C1914" s="6" t="s">
        <v>13589</v>
      </c>
      <c r="D1914" s="4">
        <v>1734</v>
      </c>
      <c r="E1914" s="5" t="s">
        <v>32</v>
      </c>
      <c r="F1914" s="5" t="s">
        <v>12506</v>
      </c>
      <c r="G1914" s="6" t="s">
        <v>14</v>
      </c>
      <c r="H1914" s="4">
        <v>911</v>
      </c>
      <c r="I1914" s="5" t="s">
        <v>22</v>
      </c>
      <c r="J1914" s="5" t="s">
        <v>12605</v>
      </c>
      <c r="K1914" s="5" t="s">
        <v>12586</v>
      </c>
      <c r="L1914" s="5" t="s">
        <v>12606</v>
      </c>
      <c r="M1914" s="5" t="s">
        <v>96</v>
      </c>
      <c r="N1914" s="5" t="s">
        <v>291</v>
      </c>
      <c r="O1914" s="5" t="s">
        <v>12414</v>
      </c>
      <c r="P1914" s="5"/>
      <c r="Q1914" s="5" t="s">
        <v>12607</v>
      </c>
    </row>
    <row r="1915" spans="2:17" x14ac:dyDescent="0.2">
      <c r="B1915" s="5" t="s">
        <v>12409</v>
      </c>
      <c r="C1915" s="6" t="s">
        <v>13589</v>
      </c>
      <c r="D1915" s="4">
        <v>1735</v>
      </c>
      <c r="E1915" s="5" t="s">
        <v>32</v>
      </c>
      <c r="F1915" s="5" t="s">
        <v>12506</v>
      </c>
      <c r="G1915" s="6" t="s">
        <v>14</v>
      </c>
      <c r="H1915" s="4">
        <v>912</v>
      </c>
      <c r="I1915" s="5" t="s">
        <v>22</v>
      </c>
      <c r="J1915" s="5" t="s">
        <v>12608</v>
      </c>
      <c r="K1915" s="5" t="s">
        <v>12586</v>
      </c>
      <c r="L1915" s="5" t="s">
        <v>12609</v>
      </c>
      <c r="M1915" s="5" t="s">
        <v>96</v>
      </c>
      <c r="N1915" s="5" t="s">
        <v>291</v>
      </c>
      <c r="O1915" s="5" t="s">
        <v>12414</v>
      </c>
      <c r="P1915" s="5"/>
      <c r="Q1915" s="5" t="s">
        <v>12610</v>
      </c>
    </row>
    <row r="1916" spans="2:17" x14ac:dyDescent="0.2">
      <c r="B1916" s="5" t="s">
        <v>12409</v>
      </c>
      <c r="C1916" s="6" t="s">
        <v>13589</v>
      </c>
      <c r="D1916" s="4">
        <v>1736</v>
      </c>
      <c r="E1916" s="5" t="s">
        <v>32</v>
      </c>
      <c r="F1916" s="5" t="s">
        <v>12506</v>
      </c>
      <c r="G1916" s="6" t="s">
        <v>14</v>
      </c>
      <c r="H1916" s="4">
        <v>913</v>
      </c>
      <c r="I1916" s="5" t="s">
        <v>22</v>
      </c>
      <c r="J1916" s="5" t="s">
        <v>12611</v>
      </c>
      <c r="K1916" s="5" t="s">
        <v>12586</v>
      </c>
      <c r="L1916" s="5" t="s">
        <v>12612</v>
      </c>
      <c r="M1916" s="5" t="s">
        <v>96</v>
      </c>
      <c r="N1916" s="5" t="s">
        <v>291</v>
      </c>
      <c r="O1916" s="5" t="s">
        <v>12414</v>
      </c>
      <c r="P1916" s="5" t="s">
        <v>12550</v>
      </c>
      <c r="Q1916" s="5" t="s">
        <v>12613</v>
      </c>
    </row>
    <row r="1917" spans="2:17" x14ac:dyDescent="0.2">
      <c r="B1917" s="5" t="s">
        <v>12409</v>
      </c>
      <c r="C1917" s="6" t="s">
        <v>13589</v>
      </c>
      <c r="D1917" s="4">
        <v>1737</v>
      </c>
      <c r="E1917" s="5" t="s">
        <v>32</v>
      </c>
      <c r="F1917" s="5" t="s">
        <v>12506</v>
      </c>
      <c r="G1917" s="6" t="s">
        <v>14</v>
      </c>
      <c r="H1917" s="4">
        <v>914</v>
      </c>
      <c r="I1917" s="5" t="s">
        <v>22</v>
      </c>
      <c r="J1917" s="5" t="s">
        <v>12614</v>
      </c>
      <c r="K1917" s="5" t="s">
        <v>12586</v>
      </c>
      <c r="L1917" s="5" t="s">
        <v>12615</v>
      </c>
      <c r="M1917" s="5" t="s">
        <v>96</v>
      </c>
      <c r="N1917" s="5" t="s">
        <v>291</v>
      </c>
      <c r="O1917" s="5" t="s">
        <v>12414</v>
      </c>
      <c r="P1917" s="5"/>
      <c r="Q1917" s="5" t="s">
        <v>12616</v>
      </c>
    </row>
    <row r="1918" spans="2:17" x14ac:dyDescent="0.2">
      <c r="B1918" s="5" t="s">
        <v>12409</v>
      </c>
      <c r="C1918" s="6" t="s">
        <v>13589</v>
      </c>
      <c r="D1918" s="4">
        <v>1738</v>
      </c>
      <c r="E1918" s="5" t="s">
        <v>32</v>
      </c>
      <c r="F1918" s="5" t="s">
        <v>12506</v>
      </c>
      <c r="G1918" s="6" t="s">
        <v>14</v>
      </c>
      <c r="H1918" s="4">
        <v>915</v>
      </c>
      <c r="I1918" s="5" t="s">
        <v>22</v>
      </c>
      <c r="J1918" s="5" t="s">
        <v>12617</v>
      </c>
      <c r="K1918" s="5" t="s">
        <v>77</v>
      </c>
      <c r="L1918" s="5"/>
      <c r="M1918" s="5" t="s">
        <v>96</v>
      </c>
      <c r="N1918" s="5" t="s">
        <v>291</v>
      </c>
      <c r="O1918" s="5" t="s">
        <v>12414</v>
      </c>
      <c r="P1918" s="5"/>
      <c r="Q1918" s="5" t="s">
        <v>12618</v>
      </c>
    </row>
    <row r="1919" spans="2:17" x14ac:dyDescent="0.2">
      <c r="B1919" s="5" t="s">
        <v>12409</v>
      </c>
      <c r="C1919" s="6" t="s">
        <v>13589</v>
      </c>
      <c r="D1919" s="4">
        <v>1739</v>
      </c>
      <c r="E1919" s="5" t="s">
        <v>32</v>
      </c>
      <c r="F1919" s="5" t="s">
        <v>12506</v>
      </c>
      <c r="G1919" s="6" t="s">
        <v>14</v>
      </c>
      <c r="H1919" s="4">
        <v>916</v>
      </c>
      <c r="I1919" s="5" t="s">
        <v>22</v>
      </c>
      <c r="J1919" s="5" t="s">
        <v>12619</v>
      </c>
      <c r="K1919" s="5" t="s">
        <v>77</v>
      </c>
      <c r="L1919" s="5" t="s">
        <v>12620</v>
      </c>
      <c r="M1919" s="5" t="s">
        <v>96</v>
      </c>
      <c r="N1919" s="5" t="s">
        <v>291</v>
      </c>
      <c r="O1919" s="5" t="s">
        <v>12417</v>
      </c>
      <c r="P1919" s="5"/>
      <c r="Q1919" s="5" t="s">
        <v>12621</v>
      </c>
    </row>
    <row r="1920" spans="2:17" x14ac:dyDescent="0.2">
      <c r="B1920" s="5" t="s">
        <v>12409</v>
      </c>
      <c r="C1920" s="6" t="s">
        <v>13589</v>
      </c>
      <c r="D1920" s="4">
        <v>1740</v>
      </c>
      <c r="E1920" s="5" t="s">
        <v>32</v>
      </c>
      <c r="F1920" s="5" t="s">
        <v>12506</v>
      </c>
      <c r="G1920" s="6" t="s">
        <v>14</v>
      </c>
      <c r="H1920" s="4">
        <v>917</v>
      </c>
      <c r="I1920" s="5" t="s">
        <v>22</v>
      </c>
      <c r="J1920" s="5" t="s">
        <v>12622</v>
      </c>
      <c r="K1920" s="5" t="s">
        <v>12542</v>
      </c>
      <c r="L1920" s="5"/>
      <c r="M1920" s="5" t="s">
        <v>96</v>
      </c>
      <c r="N1920" s="5" t="s">
        <v>291</v>
      </c>
      <c r="O1920" s="5" t="s">
        <v>12414</v>
      </c>
      <c r="P1920" s="5" t="s">
        <v>12623</v>
      </c>
      <c r="Q1920" s="5" t="s">
        <v>12624</v>
      </c>
    </row>
    <row r="1921" spans="2:17" x14ac:dyDescent="0.2">
      <c r="B1921" s="5" t="s">
        <v>12409</v>
      </c>
      <c r="C1921" s="6" t="s">
        <v>13589</v>
      </c>
      <c r="D1921" s="4">
        <v>1741</v>
      </c>
      <c r="E1921" s="5" t="s">
        <v>32</v>
      </c>
      <c r="F1921" s="5" t="s">
        <v>12506</v>
      </c>
      <c r="G1921" s="6" t="s">
        <v>14</v>
      </c>
      <c r="H1921" s="4">
        <v>918</v>
      </c>
      <c r="I1921" s="5" t="s">
        <v>22</v>
      </c>
      <c r="J1921" s="5" t="s">
        <v>12625</v>
      </c>
      <c r="K1921" s="5" t="s">
        <v>12435</v>
      </c>
      <c r="L1921" s="5" t="s">
        <v>12626</v>
      </c>
      <c r="M1921" s="5" t="s">
        <v>96</v>
      </c>
      <c r="N1921" s="5" t="s">
        <v>291</v>
      </c>
      <c r="O1921" s="5" t="s">
        <v>12417</v>
      </c>
      <c r="P1921" s="5" t="s">
        <v>12627</v>
      </c>
      <c r="Q1921" s="5" t="s">
        <v>12628</v>
      </c>
    </row>
    <row r="1922" spans="2:17" x14ac:dyDescent="0.2">
      <c r="B1922" s="5" t="s">
        <v>12409</v>
      </c>
      <c r="C1922" s="6" t="s">
        <v>13589</v>
      </c>
      <c r="D1922" s="4">
        <v>1742</v>
      </c>
      <c r="E1922" s="5" t="s">
        <v>32</v>
      </c>
      <c r="F1922" s="5" t="s">
        <v>12506</v>
      </c>
      <c r="G1922" s="6" t="s">
        <v>14</v>
      </c>
      <c r="H1922" s="4">
        <v>919</v>
      </c>
      <c r="I1922" s="5" t="s">
        <v>22</v>
      </c>
      <c r="J1922" s="5" t="s">
        <v>12629</v>
      </c>
      <c r="K1922" s="5" t="s">
        <v>12430</v>
      </c>
      <c r="L1922" s="5"/>
      <c r="M1922" s="5" t="s">
        <v>96</v>
      </c>
      <c r="N1922" s="5" t="s">
        <v>291</v>
      </c>
      <c r="O1922" s="5" t="s">
        <v>12414</v>
      </c>
      <c r="P1922" s="5" t="s">
        <v>12630</v>
      </c>
      <c r="Q1922" s="5" t="s">
        <v>12631</v>
      </c>
    </row>
    <row r="1923" spans="2:17" x14ac:dyDescent="0.2">
      <c r="B1923" s="5" t="s">
        <v>12409</v>
      </c>
      <c r="C1923" s="6" t="s">
        <v>13589</v>
      </c>
      <c r="D1923" s="4">
        <v>1743</v>
      </c>
      <c r="E1923" s="5" t="s">
        <v>32</v>
      </c>
      <c r="F1923" s="5" t="s">
        <v>12506</v>
      </c>
      <c r="G1923" s="6" t="s">
        <v>14</v>
      </c>
      <c r="H1923" s="4">
        <v>920</v>
      </c>
      <c r="I1923" s="5" t="s">
        <v>22</v>
      </c>
      <c r="J1923" s="5" t="s">
        <v>12632</v>
      </c>
      <c r="K1923" s="5" t="s">
        <v>12586</v>
      </c>
      <c r="L1923" s="5" t="s">
        <v>12633</v>
      </c>
      <c r="M1923" s="5" t="s">
        <v>96</v>
      </c>
      <c r="N1923" s="5" t="s">
        <v>291</v>
      </c>
      <c r="O1923" s="5" t="s">
        <v>12414</v>
      </c>
      <c r="P1923" s="5"/>
      <c r="Q1923" s="5" t="s">
        <v>12634</v>
      </c>
    </row>
    <row r="1924" spans="2:17" x14ac:dyDescent="0.2">
      <c r="B1924" s="5" t="s">
        <v>12409</v>
      </c>
      <c r="C1924" s="6" t="s">
        <v>13589</v>
      </c>
      <c r="D1924" s="4">
        <v>1744</v>
      </c>
      <c r="E1924" s="5" t="s">
        <v>82</v>
      </c>
      <c r="F1924" s="5" t="s">
        <v>12639</v>
      </c>
      <c r="G1924" s="6" t="s">
        <v>14</v>
      </c>
      <c r="H1924" s="4">
        <v>921</v>
      </c>
      <c r="I1924" s="5"/>
      <c r="J1924" s="5" t="s">
        <v>12643</v>
      </c>
      <c r="K1924" s="5" t="s">
        <v>12644</v>
      </c>
      <c r="L1924" s="5" t="s">
        <v>12645</v>
      </c>
      <c r="M1924" s="5" t="s">
        <v>96</v>
      </c>
      <c r="N1924" s="5" t="s">
        <v>291</v>
      </c>
      <c r="O1924" s="5" t="s">
        <v>12414</v>
      </c>
      <c r="P1924" s="5"/>
      <c r="Q1924" s="5" t="s">
        <v>2051</v>
      </c>
    </row>
    <row r="1925" spans="2:17" x14ac:dyDescent="0.2">
      <c r="B1925" s="5" t="s">
        <v>12409</v>
      </c>
      <c r="C1925" s="6" t="s">
        <v>13589</v>
      </c>
      <c r="D1925" s="4">
        <v>1746</v>
      </c>
      <c r="E1925" s="5" t="s">
        <v>13</v>
      </c>
      <c r="F1925" s="5" t="s">
        <v>12484</v>
      </c>
      <c r="G1925" s="6" t="s">
        <v>14</v>
      </c>
      <c r="H1925" s="4">
        <v>922</v>
      </c>
      <c r="I1925" s="5" t="s">
        <v>22</v>
      </c>
      <c r="J1925" s="5" t="s">
        <v>12485</v>
      </c>
      <c r="K1925" s="5" t="s">
        <v>12486</v>
      </c>
      <c r="L1925" s="5"/>
      <c r="M1925" s="5" t="s">
        <v>2891</v>
      </c>
      <c r="N1925" s="5" t="s">
        <v>1262</v>
      </c>
      <c r="O1925" s="5" t="s">
        <v>12418</v>
      </c>
      <c r="P1925" s="5" t="s">
        <v>12487</v>
      </c>
      <c r="Q1925" s="5" t="s">
        <v>3280</v>
      </c>
    </row>
    <row r="1926" spans="2:17" x14ac:dyDescent="0.2">
      <c r="B1926" s="5" t="s">
        <v>12409</v>
      </c>
      <c r="C1926" s="6" t="s">
        <v>13589</v>
      </c>
      <c r="D1926" s="4">
        <v>1751</v>
      </c>
      <c r="E1926" s="5" t="s">
        <v>13</v>
      </c>
      <c r="F1926" s="5" t="s">
        <v>12481</v>
      </c>
      <c r="G1926" s="6" t="s">
        <v>14</v>
      </c>
      <c r="H1926" s="4">
        <v>923</v>
      </c>
      <c r="I1926" s="5"/>
      <c r="J1926" s="5" t="s">
        <v>12482</v>
      </c>
      <c r="K1926" s="5" t="s">
        <v>12420</v>
      </c>
      <c r="L1926" s="5"/>
      <c r="M1926" s="5" t="s">
        <v>1247</v>
      </c>
      <c r="N1926" s="5" t="s">
        <v>1247</v>
      </c>
      <c r="O1926" s="5" t="s">
        <v>12417</v>
      </c>
      <c r="P1926" s="5"/>
      <c r="Q1926" s="5" t="s">
        <v>12483</v>
      </c>
    </row>
    <row r="1927" spans="2:17" x14ac:dyDescent="0.2">
      <c r="B1927" s="5" t="s">
        <v>12409</v>
      </c>
      <c r="C1927" s="6" t="s">
        <v>13589</v>
      </c>
      <c r="D1927" s="4">
        <v>1753</v>
      </c>
      <c r="E1927" s="5" t="s">
        <v>20</v>
      </c>
      <c r="F1927" s="5" t="s">
        <v>12477</v>
      </c>
      <c r="G1927" s="6" t="s">
        <v>14</v>
      </c>
      <c r="H1927" s="4">
        <v>924</v>
      </c>
      <c r="I1927" s="5" t="s">
        <v>22</v>
      </c>
      <c r="J1927" s="5" t="s">
        <v>12478</v>
      </c>
      <c r="K1927" s="5" t="s">
        <v>12433</v>
      </c>
      <c r="L1927" s="5"/>
      <c r="M1927" s="5" t="s">
        <v>548</v>
      </c>
      <c r="N1927" s="5" t="s">
        <v>2821</v>
      </c>
      <c r="O1927" s="5" t="s">
        <v>12418</v>
      </c>
      <c r="P1927" s="5" t="s">
        <v>12479</v>
      </c>
      <c r="Q1927" s="5" t="s">
        <v>12480</v>
      </c>
    </row>
    <row r="1928" spans="2:17" x14ac:dyDescent="0.2">
      <c r="B1928" s="5" t="s">
        <v>12409</v>
      </c>
      <c r="C1928" s="6" t="s">
        <v>13589</v>
      </c>
      <c r="D1928" s="4">
        <v>1754</v>
      </c>
      <c r="E1928" s="5" t="s">
        <v>13</v>
      </c>
      <c r="F1928" s="5" t="s">
        <v>12466</v>
      </c>
      <c r="G1928" s="6" t="s">
        <v>14</v>
      </c>
      <c r="H1928" s="4">
        <v>925</v>
      </c>
      <c r="I1928" s="5"/>
      <c r="J1928" s="5" t="s">
        <v>12467</v>
      </c>
      <c r="K1928" s="5" t="s">
        <v>12428</v>
      </c>
      <c r="L1928" s="5"/>
      <c r="M1928" s="5" t="s">
        <v>2821</v>
      </c>
      <c r="N1928" s="5" t="s">
        <v>2827</v>
      </c>
      <c r="O1928" s="5" t="s">
        <v>12414</v>
      </c>
      <c r="P1928" s="5"/>
      <c r="Q1928" s="5" t="s">
        <v>12468</v>
      </c>
    </row>
    <row r="1929" spans="2:17" x14ac:dyDescent="0.2">
      <c r="B1929" s="5" t="s">
        <v>12409</v>
      </c>
      <c r="C1929" s="6" t="s">
        <v>13589</v>
      </c>
      <c r="D1929" s="4">
        <v>1755</v>
      </c>
      <c r="E1929" s="5" t="s">
        <v>32</v>
      </c>
      <c r="F1929" s="5" t="s">
        <v>1719</v>
      </c>
      <c r="G1929" s="6" t="s">
        <v>14</v>
      </c>
      <c r="H1929" s="4">
        <v>926</v>
      </c>
      <c r="I1929" s="5" t="s">
        <v>22</v>
      </c>
      <c r="J1929" s="5" t="s">
        <v>12469</v>
      </c>
      <c r="K1929" s="5" t="s">
        <v>12470</v>
      </c>
      <c r="L1929" s="5" t="s">
        <v>12471</v>
      </c>
      <c r="M1929" s="5" t="s">
        <v>1218</v>
      </c>
      <c r="N1929" s="5" t="s">
        <v>1723</v>
      </c>
      <c r="O1929" s="5" t="s">
        <v>12423</v>
      </c>
      <c r="P1929" s="5"/>
      <c r="Q1929" s="5" t="s">
        <v>12472</v>
      </c>
    </row>
    <row r="1930" spans="2:17" x14ac:dyDescent="0.2">
      <c r="B1930" s="5" t="s">
        <v>12409</v>
      </c>
      <c r="C1930" s="6" t="s">
        <v>13589</v>
      </c>
      <c r="D1930" s="4">
        <v>1756</v>
      </c>
      <c r="E1930" s="5" t="s">
        <v>32</v>
      </c>
      <c r="F1930" s="5" t="s">
        <v>1719</v>
      </c>
      <c r="G1930" s="6" t="s">
        <v>14</v>
      </c>
      <c r="H1930" s="4">
        <v>927</v>
      </c>
      <c r="I1930" s="5" t="s">
        <v>38</v>
      </c>
      <c r="J1930" s="5" t="s">
        <v>12473</v>
      </c>
      <c r="K1930" s="5" t="s">
        <v>12474</v>
      </c>
      <c r="L1930" s="5" t="s">
        <v>12475</v>
      </c>
      <c r="M1930" s="5" t="s">
        <v>1218</v>
      </c>
      <c r="N1930" s="5" t="s">
        <v>1723</v>
      </c>
      <c r="O1930" s="5" t="s">
        <v>12423</v>
      </c>
      <c r="P1930" s="5"/>
      <c r="Q1930" s="5" t="s">
        <v>12476</v>
      </c>
    </row>
    <row r="1931" spans="2:17" x14ac:dyDescent="0.2">
      <c r="B1931" s="5" t="s">
        <v>12409</v>
      </c>
      <c r="C1931" s="6" t="s">
        <v>13589</v>
      </c>
      <c r="D1931" s="4">
        <v>1757</v>
      </c>
      <c r="E1931" s="5" t="s">
        <v>15</v>
      </c>
      <c r="F1931" s="5" t="s">
        <v>13037</v>
      </c>
      <c r="G1931" s="6" t="s">
        <v>14</v>
      </c>
      <c r="H1931" s="4">
        <v>928</v>
      </c>
      <c r="I1931" s="5"/>
      <c r="J1931" s="5" t="s">
        <v>13038</v>
      </c>
      <c r="K1931" s="5" t="s">
        <v>13039</v>
      </c>
      <c r="L1931" s="5"/>
      <c r="M1931" s="5" t="s">
        <v>5234</v>
      </c>
      <c r="N1931" s="5" t="s">
        <v>3438</v>
      </c>
      <c r="O1931" s="5" t="s">
        <v>12429</v>
      </c>
      <c r="P1931" s="5"/>
      <c r="Q1931" s="5" t="s">
        <v>13040</v>
      </c>
    </row>
    <row r="1932" spans="2:17" x14ac:dyDescent="0.2">
      <c r="B1932" s="5" t="s">
        <v>12409</v>
      </c>
      <c r="C1932" s="6" t="s">
        <v>13589</v>
      </c>
      <c r="D1932" s="4">
        <v>1758</v>
      </c>
      <c r="E1932" s="5" t="s">
        <v>15</v>
      </c>
      <c r="F1932" s="5" t="s">
        <v>13037</v>
      </c>
      <c r="G1932" s="6" t="s">
        <v>14</v>
      </c>
      <c r="H1932" s="4">
        <v>929</v>
      </c>
      <c r="I1932" s="5"/>
      <c r="J1932" s="5" t="s">
        <v>13041</v>
      </c>
      <c r="K1932" s="5" t="s">
        <v>13042</v>
      </c>
      <c r="L1932" s="5"/>
      <c r="M1932" s="5" t="s">
        <v>5234</v>
      </c>
      <c r="N1932" s="5" t="s">
        <v>3438</v>
      </c>
      <c r="O1932" s="5" t="s">
        <v>12414</v>
      </c>
      <c r="P1932" s="5"/>
      <c r="Q1932" s="5" t="s">
        <v>13043</v>
      </c>
    </row>
    <row r="1933" spans="2:17" x14ac:dyDescent="0.2">
      <c r="B1933" s="5" t="s">
        <v>12409</v>
      </c>
      <c r="C1933" s="6" t="s">
        <v>13589</v>
      </c>
      <c r="D1933" s="4">
        <v>1759</v>
      </c>
      <c r="E1933" s="5" t="s">
        <v>15</v>
      </c>
      <c r="F1933" s="5" t="s">
        <v>13037</v>
      </c>
      <c r="G1933" s="6" t="s">
        <v>14</v>
      </c>
      <c r="H1933" s="4">
        <v>930</v>
      </c>
      <c r="I1933" s="5"/>
      <c r="J1933" s="5" t="s">
        <v>13044</v>
      </c>
      <c r="K1933" s="5" t="s">
        <v>13045</v>
      </c>
      <c r="L1933" s="5"/>
      <c r="M1933" s="5" t="s">
        <v>5234</v>
      </c>
      <c r="N1933" s="5" t="s">
        <v>3438</v>
      </c>
      <c r="O1933" s="5" t="s">
        <v>12411</v>
      </c>
      <c r="P1933" s="5"/>
      <c r="Q1933" s="5" t="s">
        <v>13046</v>
      </c>
    </row>
    <row r="1934" spans="2:17" x14ac:dyDescent="0.2">
      <c r="B1934" s="5" t="s">
        <v>12409</v>
      </c>
      <c r="C1934" s="6" t="s">
        <v>13589</v>
      </c>
      <c r="D1934" s="4">
        <v>1760</v>
      </c>
      <c r="E1934" s="5" t="s">
        <v>15</v>
      </c>
      <c r="F1934" s="5" t="s">
        <v>13037</v>
      </c>
      <c r="G1934" s="6" t="s">
        <v>14</v>
      </c>
      <c r="H1934" s="4">
        <v>931</v>
      </c>
      <c r="I1934" s="5"/>
      <c r="J1934" s="5" t="s">
        <v>13047</v>
      </c>
      <c r="K1934" s="5" t="s">
        <v>13048</v>
      </c>
      <c r="L1934" s="5"/>
      <c r="M1934" s="5" t="s">
        <v>5234</v>
      </c>
      <c r="N1934" s="5" t="s">
        <v>3438</v>
      </c>
      <c r="O1934" s="5" t="s">
        <v>12411</v>
      </c>
      <c r="P1934" s="5"/>
      <c r="Q1934" s="5" t="s">
        <v>13049</v>
      </c>
    </row>
    <row r="1935" spans="2:17" x14ac:dyDescent="0.2">
      <c r="B1935" s="5" t="s">
        <v>12409</v>
      </c>
      <c r="C1935" s="6" t="s">
        <v>13589</v>
      </c>
      <c r="D1935" s="4">
        <v>1761</v>
      </c>
      <c r="E1935" s="5" t="s">
        <v>15</v>
      </c>
      <c r="F1935" s="5" t="s">
        <v>13037</v>
      </c>
      <c r="G1935" s="6" t="s">
        <v>14</v>
      </c>
      <c r="H1935" s="4">
        <v>932</v>
      </c>
      <c r="I1935" s="5"/>
      <c r="J1935" s="5" t="s">
        <v>13034</v>
      </c>
      <c r="K1935" s="5" t="s">
        <v>77</v>
      </c>
      <c r="L1935" s="5"/>
      <c r="M1935" s="5" t="s">
        <v>5234</v>
      </c>
      <c r="N1935" s="5" t="s">
        <v>3438</v>
      </c>
      <c r="O1935" s="5" t="s">
        <v>12459</v>
      </c>
      <c r="P1935" s="5"/>
      <c r="Q1935" s="5" t="s">
        <v>13050</v>
      </c>
    </row>
    <row r="1936" spans="2:17" x14ac:dyDescent="0.2">
      <c r="B1936" s="5" t="s">
        <v>12409</v>
      </c>
      <c r="C1936" s="6" t="s">
        <v>13589</v>
      </c>
      <c r="D1936" s="4">
        <v>1762</v>
      </c>
      <c r="E1936" s="5" t="s">
        <v>35</v>
      </c>
      <c r="F1936" s="5" t="s">
        <v>12737</v>
      </c>
      <c r="G1936" s="6" t="s">
        <v>14</v>
      </c>
      <c r="H1936" s="4">
        <v>933</v>
      </c>
      <c r="I1936" s="5"/>
      <c r="J1936" s="5" t="s">
        <v>12738</v>
      </c>
      <c r="K1936" s="5" t="s">
        <v>12420</v>
      </c>
      <c r="L1936" s="5"/>
      <c r="M1936" s="5" t="s">
        <v>2134</v>
      </c>
      <c r="N1936" s="5" t="s">
        <v>11618</v>
      </c>
      <c r="O1936" s="5" t="s">
        <v>12417</v>
      </c>
      <c r="P1936" s="5"/>
      <c r="Q1936" s="5" t="s">
        <v>12739</v>
      </c>
    </row>
    <row r="1937" spans="2:17" x14ac:dyDescent="0.2">
      <c r="B1937" s="5" t="s">
        <v>12409</v>
      </c>
      <c r="C1937" s="6" t="s">
        <v>13589</v>
      </c>
      <c r="D1937" s="4">
        <v>1763</v>
      </c>
      <c r="E1937" s="5" t="s">
        <v>35</v>
      </c>
      <c r="F1937" s="5" t="s">
        <v>12462</v>
      </c>
      <c r="G1937" s="6" t="s">
        <v>14</v>
      </c>
      <c r="H1937" s="4">
        <v>934</v>
      </c>
      <c r="I1937" s="5"/>
      <c r="J1937" s="5" t="s">
        <v>12463</v>
      </c>
      <c r="K1937" s="5" t="s">
        <v>12464</v>
      </c>
      <c r="L1937" s="5"/>
      <c r="M1937" s="5" t="s">
        <v>1200</v>
      </c>
      <c r="N1937" s="5" t="s">
        <v>1715</v>
      </c>
      <c r="O1937" s="5" t="s">
        <v>12423</v>
      </c>
      <c r="P1937" s="5"/>
      <c r="Q1937" s="5" t="s">
        <v>12465</v>
      </c>
    </row>
    <row r="1938" spans="2:17" x14ac:dyDescent="0.2">
      <c r="B1938" s="5" t="s">
        <v>12409</v>
      </c>
      <c r="C1938" s="6" t="s">
        <v>13589</v>
      </c>
      <c r="D1938" s="4">
        <v>1764</v>
      </c>
      <c r="E1938" s="5" t="s">
        <v>15</v>
      </c>
      <c r="F1938" s="5" t="s">
        <v>12454</v>
      </c>
      <c r="G1938" s="6" t="s">
        <v>14</v>
      </c>
      <c r="H1938" s="4">
        <v>935</v>
      </c>
      <c r="I1938" s="5"/>
      <c r="J1938" s="5" t="s">
        <v>12457</v>
      </c>
      <c r="K1938" s="5" t="s">
        <v>12458</v>
      </c>
      <c r="L1938" s="5"/>
      <c r="M1938" s="5" t="s">
        <v>1200</v>
      </c>
      <c r="N1938" s="5" t="s">
        <v>1715</v>
      </c>
      <c r="O1938" s="5" t="s">
        <v>12459</v>
      </c>
      <c r="P1938" s="5" t="s">
        <v>12460</v>
      </c>
      <c r="Q1938" s="5" t="s">
        <v>12461</v>
      </c>
    </row>
    <row r="1939" spans="2:17" x14ac:dyDescent="0.2">
      <c r="B1939" s="5" t="s">
        <v>12409</v>
      </c>
      <c r="C1939" s="6" t="s">
        <v>13589</v>
      </c>
      <c r="D1939" s="4">
        <v>1765</v>
      </c>
      <c r="E1939" s="5" t="s">
        <v>15</v>
      </c>
      <c r="F1939" s="5" t="s">
        <v>12454</v>
      </c>
      <c r="G1939" s="6" t="s">
        <v>14</v>
      </c>
      <c r="H1939" s="4">
        <v>936</v>
      </c>
      <c r="I1939" s="5"/>
      <c r="J1939" s="5" t="s">
        <v>12455</v>
      </c>
      <c r="K1939" s="5" t="s">
        <v>78</v>
      </c>
      <c r="L1939" s="5"/>
      <c r="M1939" s="5" t="s">
        <v>1200</v>
      </c>
      <c r="N1939" s="5" t="s">
        <v>1715</v>
      </c>
      <c r="O1939" s="5" t="s">
        <v>12423</v>
      </c>
      <c r="P1939" s="5"/>
      <c r="Q1939" s="5" t="s">
        <v>12456</v>
      </c>
    </row>
    <row r="1940" spans="2:17" x14ac:dyDescent="0.2">
      <c r="B1940" s="5" t="s">
        <v>12409</v>
      </c>
      <c r="C1940" s="6" t="s">
        <v>13589</v>
      </c>
      <c r="D1940" s="4">
        <v>1767</v>
      </c>
      <c r="E1940" s="5" t="s">
        <v>32</v>
      </c>
      <c r="F1940" s="5" t="s">
        <v>12442</v>
      </c>
      <c r="G1940" s="6" t="s">
        <v>14</v>
      </c>
      <c r="H1940" s="4">
        <v>937</v>
      </c>
      <c r="I1940" s="5" t="s">
        <v>22</v>
      </c>
      <c r="J1940" s="5" t="s">
        <v>12443</v>
      </c>
      <c r="K1940" s="5" t="s">
        <v>12444</v>
      </c>
      <c r="L1940" s="5"/>
      <c r="M1940" s="5" t="s">
        <v>1201</v>
      </c>
      <c r="N1940" s="5" t="s">
        <v>1208</v>
      </c>
      <c r="O1940" s="5" t="s">
        <v>12417</v>
      </c>
      <c r="P1940" s="5" t="s">
        <v>12445</v>
      </c>
      <c r="Q1940" s="5" t="s">
        <v>12446</v>
      </c>
    </row>
    <row r="1941" spans="2:17" x14ac:dyDescent="0.2">
      <c r="B1941" s="5" t="s">
        <v>12409</v>
      </c>
      <c r="C1941" s="6" t="s">
        <v>13589</v>
      </c>
      <c r="D1941" s="4">
        <v>1768</v>
      </c>
      <c r="E1941" s="5" t="s">
        <v>32</v>
      </c>
      <c r="F1941" s="5" t="s">
        <v>12442</v>
      </c>
      <c r="G1941" s="6" t="s">
        <v>14</v>
      </c>
      <c r="H1941" s="4">
        <v>938</v>
      </c>
      <c r="I1941" s="5" t="s">
        <v>38</v>
      </c>
      <c r="J1941" s="5" t="s">
        <v>12447</v>
      </c>
      <c r="K1941" s="5" t="s">
        <v>12419</v>
      </c>
      <c r="L1941" s="5"/>
      <c r="M1941" s="5" t="s">
        <v>1201</v>
      </c>
      <c r="N1941" s="5" t="s">
        <v>1208</v>
      </c>
      <c r="O1941" s="5" t="s">
        <v>12417</v>
      </c>
      <c r="P1941" s="5" t="s">
        <v>12448</v>
      </c>
      <c r="Q1941" s="5" t="s">
        <v>12449</v>
      </c>
    </row>
    <row r="1942" spans="2:17" x14ac:dyDescent="0.2">
      <c r="B1942" s="5" t="s">
        <v>12409</v>
      </c>
      <c r="C1942" s="6" t="s">
        <v>13589</v>
      </c>
      <c r="D1942" s="4">
        <v>1769</v>
      </c>
      <c r="E1942" s="5" t="s">
        <v>35</v>
      </c>
      <c r="F1942" s="5" t="s">
        <v>12442</v>
      </c>
      <c r="G1942" s="6" t="s">
        <v>14</v>
      </c>
      <c r="H1942" s="4">
        <v>939</v>
      </c>
      <c r="I1942" s="5"/>
      <c r="J1942" s="5" t="s">
        <v>12450</v>
      </c>
      <c r="K1942" s="5" t="s">
        <v>12419</v>
      </c>
      <c r="L1942" s="5" t="s">
        <v>12451</v>
      </c>
      <c r="M1942" s="5" t="s">
        <v>1201</v>
      </c>
      <c r="N1942" s="5" t="s">
        <v>1208</v>
      </c>
      <c r="O1942" s="5" t="s">
        <v>12417</v>
      </c>
      <c r="P1942" s="5" t="s">
        <v>12452</v>
      </c>
      <c r="Q1942" s="5" t="s">
        <v>12453</v>
      </c>
    </row>
    <row r="1943" spans="2:17" x14ac:dyDescent="0.2">
      <c r="B1943" s="5" t="s">
        <v>12409</v>
      </c>
      <c r="C1943" s="6" t="s">
        <v>13589</v>
      </c>
      <c r="D1943" s="4">
        <v>1771</v>
      </c>
      <c r="E1943" s="5" t="s">
        <v>13</v>
      </c>
      <c r="F1943" s="5" t="s">
        <v>12438</v>
      </c>
      <c r="G1943" s="6" t="s">
        <v>14</v>
      </c>
      <c r="H1943" s="4">
        <v>940</v>
      </c>
      <c r="I1943" s="5"/>
      <c r="J1943" s="5" t="s">
        <v>12439</v>
      </c>
      <c r="K1943" s="5" t="s">
        <v>12428</v>
      </c>
      <c r="L1943" s="5" t="s">
        <v>12440</v>
      </c>
      <c r="M1943" s="5" t="s">
        <v>3997</v>
      </c>
      <c r="N1943" s="5" t="s">
        <v>3997</v>
      </c>
      <c r="O1943" s="5" t="s">
        <v>12414</v>
      </c>
      <c r="P1943" s="5"/>
      <c r="Q1943" s="5" t="s">
        <v>12441</v>
      </c>
    </row>
    <row r="1944" spans="2:17" x14ac:dyDescent="0.2">
      <c r="B1944" s="5" t="s">
        <v>12409</v>
      </c>
      <c r="C1944" s="6" t="s">
        <v>13589</v>
      </c>
      <c r="D1944" s="4">
        <v>1772</v>
      </c>
      <c r="E1944" s="5" t="s">
        <v>15</v>
      </c>
      <c r="F1944" s="5" t="s">
        <v>13033</v>
      </c>
      <c r="G1944" s="6" t="s">
        <v>14</v>
      </c>
      <c r="H1944" s="4">
        <v>941</v>
      </c>
      <c r="I1944" s="5"/>
      <c r="J1944" s="5" t="s">
        <v>13034</v>
      </c>
      <c r="K1944" s="5" t="s">
        <v>77</v>
      </c>
      <c r="L1944" s="5"/>
      <c r="M1944" s="5" t="s">
        <v>5234</v>
      </c>
      <c r="N1944" s="5" t="s">
        <v>496</v>
      </c>
      <c r="O1944" s="5" t="s">
        <v>12414</v>
      </c>
      <c r="P1944" s="5" t="s">
        <v>13035</v>
      </c>
      <c r="Q1944" s="5" t="s">
        <v>13036</v>
      </c>
    </row>
    <row r="1945" spans="2:17" x14ac:dyDescent="0.2">
      <c r="B1945" s="5" t="s">
        <v>12409</v>
      </c>
      <c r="C1945" s="6" t="s">
        <v>13589</v>
      </c>
      <c r="D1945" s="4">
        <v>1780</v>
      </c>
      <c r="E1945" s="5" t="s">
        <v>35</v>
      </c>
      <c r="F1945" s="5" t="s">
        <v>13009</v>
      </c>
      <c r="G1945" s="6" t="s">
        <v>14</v>
      </c>
      <c r="H1945" s="4">
        <v>942</v>
      </c>
      <c r="I1945" s="5"/>
      <c r="J1945" s="5" t="s">
        <v>13010</v>
      </c>
      <c r="K1945" s="5" t="s">
        <v>13011</v>
      </c>
      <c r="L1945" s="5"/>
      <c r="M1945" s="5" t="s">
        <v>489</v>
      </c>
      <c r="N1945" s="5" t="s">
        <v>3422</v>
      </c>
      <c r="O1945" s="5" t="s">
        <v>12418</v>
      </c>
      <c r="P1945" s="5" t="s">
        <v>13012</v>
      </c>
      <c r="Q1945" s="5" t="s">
        <v>13013</v>
      </c>
    </row>
    <row r="1946" spans="2:17" x14ac:dyDescent="0.2">
      <c r="B1946" s="5" t="s">
        <v>12409</v>
      </c>
      <c r="C1946" s="6" t="s">
        <v>13589</v>
      </c>
      <c r="D1946" s="4">
        <v>1782</v>
      </c>
      <c r="E1946" s="5" t="s">
        <v>15</v>
      </c>
      <c r="F1946" s="5" t="s">
        <v>12728</v>
      </c>
      <c r="G1946" s="6" t="s">
        <v>14</v>
      </c>
      <c r="H1946" s="4">
        <v>943</v>
      </c>
      <c r="I1946" s="5"/>
      <c r="J1946" s="5" t="s">
        <v>12729</v>
      </c>
      <c r="K1946" s="5" t="s">
        <v>74</v>
      </c>
      <c r="L1946" s="5"/>
      <c r="M1946" s="5" t="s">
        <v>127</v>
      </c>
      <c r="N1946" s="5" t="s">
        <v>366</v>
      </c>
      <c r="O1946" s="5" t="s">
        <v>12418</v>
      </c>
      <c r="P1946" s="5" t="s">
        <v>12730</v>
      </c>
      <c r="Q1946" s="5" t="s">
        <v>12731</v>
      </c>
    </row>
    <row r="1947" spans="2:17" x14ac:dyDescent="0.2">
      <c r="B1947" s="5" t="s">
        <v>12409</v>
      </c>
      <c r="C1947" s="6" t="s">
        <v>13589</v>
      </c>
      <c r="D1947" s="4">
        <v>1783</v>
      </c>
      <c r="E1947" s="5" t="s">
        <v>20</v>
      </c>
      <c r="F1947" s="5" t="s">
        <v>12709</v>
      </c>
      <c r="G1947" s="6" t="s">
        <v>14</v>
      </c>
      <c r="H1947" s="4">
        <v>944</v>
      </c>
      <c r="I1947" s="5" t="s">
        <v>22</v>
      </c>
      <c r="J1947" s="5" t="s">
        <v>12710</v>
      </c>
      <c r="K1947" s="5" t="s">
        <v>77</v>
      </c>
      <c r="L1947" s="5"/>
      <c r="M1947" s="5" t="s">
        <v>127</v>
      </c>
      <c r="N1947" s="5" t="s">
        <v>366</v>
      </c>
      <c r="O1947" s="5" t="s">
        <v>12414</v>
      </c>
      <c r="P1947" s="5" t="s">
        <v>12711</v>
      </c>
      <c r="Q1947" s="5" t="s">
        <v>12712</v>
      </c>
    </row>
    <row r="1948" spans="2:17" x14ac:dyDescent="0.2">
      <c r="B1948" s="5" t="s">
        <v>12409</v>
      </c>
      <c r="C1948" s="6" t="s">
        <v>13589</v>
      </c>
      <c r="D1948" s="4">
        <v>1784</v>
      </c>
      <c r="E1948" s="5" t="s">
        <v>20</v>
      </c>
      <c r="F1948" s="5" t="s">
        <v>12713</v>
      </c>
      <c r="G1948" s="6" t="s">
        <v>14</v>
      </c>
      <c r="H1948" s="4">
        <v>945</v>
      </c>
      <c r="I1948" s="5" t="s">
        <v>22</v>
      </c>
      <c r="J1948" s="5" t="s">
        <v>12714</v>
      </c>
      <c r="K1948" s="5" t="s">
        <v>12425</v>
      </c>
      <c r="L1948" s="5" t="s">
        <v>12715</v>
      </c>
      <c r="M1948" s="5" t="s">
        <v>127</v>
      </c>
      <c r="N1948" s="5" t="s">
        <v>366</v>
      </c>
      <c r="O1948" s="5" t="s">
        <v>12418</v>
      </c>
      <c r="P1948" s="5" t="s">
        <v>12716</v>
      </c>
      <c r="Q1948" s="5" t="s">
        <v>12717</v>
      </c>
    </row>
    <row r="1949" spans="2:17" x14ac:dyDescent="0.2">
      <c r="B1949" s="5" t="s">
        <v>12409</v>
      </c>
      <c r="C1949" s="6" t="s">
        <v>13589</v>
      </c>
      <c r="D1949" s="4">
        <v>1785</v>
      </c>
      <c r="E1949" s="5" t="s">
        <v>20</v>
      </c>
      <c r="F1949" s="5" t="s">
        <v>12709</v>
      </c>
      <c r="G1949" s="6" t="s">
        <v>14</v>
      </c>
      <c r="H1949" s="4">
        <v>946</v>
      </c>
      <c r="I1949" s="5" t="s">
        <v>22</v>
      </c>
      <c r="J1949" s="5" t="s">
        <v>374</v>
      </c>
      <c r="K1949" s="5" t="s">
        <v>371</v>
      </c>
      <c r="L1949" s="5"/>
      <c r="M1949" s="5" t="s">
        <v>127</v>
      </c>
      <c r="N1949" s="5" t="s">
        <v>366</v>
      </c>
      <c r="O1949" s="5" t="s">
        <v>12414</v>
      </c>
      <c r="P1949" s="5" t="s">
        <v>12718</v>
      </c>
      <c r="Q1949" s="5" t="s">
        <v>12719</v>
      </c>
    </row>
    <row r="1950" spans="2:17" x14ac:dyDescent="0.2">
      <c r="B1950" s="5" t="s">
        <v>12409</v>
      </c>
      <c r="C1950" s="6" t="s">
        <v>13589</v>
      </c>
      <c r="D1950" s="4">
        <v>1786</v>
      </c>
      <c r="E1950" s="5" t="s">
        <v>20</v>
      </c>
      <c r="F1950" s="5" t="s">
        <v>12709</v>
      </c>
      <c r="G1950" s="6" t="s">
        <v>14</v>
      </c>
      <c r="H1950" s="4">
        <v>947</v>
      </c>
      <c r="I1950" s="5" t="s">
        <v>22</v>
      </c>
      <c r="J1950" s="5" t="s">
        <v>12720</v>
      </c>
      <c r="K1950" s="5" t="s">
        <v>12425</v>
      </c>
      <c r="L1950" s="5"/>
      <c r="M1950" s="5" t="s">
        <v>127</v>
      </c>
      <c r="N1950" s="5" t="s">
        <v>366</v>
      </c>
      <c r="O1950" s="5" t="s">
        <v>12418</v>
      </c>
      <c r="P1950" s="5" t="s">
        <v>12721</v>
      </c>
      <c r="Q1950" s="5" t="s">
        <v>12722</v>
      </c>
    </row>
    <row r="1951" spans="2:17" x14ac:dyDescent="0.2">
      <c r="B1951" s="5" t="s">
        <v>12409</v>
      </c>
      <c r="C1951" s="6" t="s">
        <v>13589</v>
      </c>
      <c r="D1951" s="4">
        <v>1787</v>
      </c>
      <c r="E1951" s="5" t="s">
        <v>20</v>
      </c>
      <c r="F1951" s="5" t="s">
        <v>12709</v>
      </c>
      <c r="G1951" s="6" t="s">
        <v>14</v>
      </c>
      <c r="H1951" s="4">
        <v>948</v>
      </c>
      <c r="I1951" s="5" t="s">
        <v>38</v>
      </c>
      <c r="J1951" s="5" t="s">
        <v>12723</v>
      </c>
      <c r="K1951" s="5" t="s">
        <v>12724</v>
      </c>
      <c r="L1951" s="5"/>
      <c r="M1951" s="5" t="s">
        <v>127</v>
      </c>
      <c r="N1951" s="5" t="s">
        <v>366</v>
      </c>
      <c r="O1951" s="5" t="s">
        <v>12414</v>
      </c>
      <c r="P1951" s="5"/>
      <c r="Q1951" s="5" t="s">
        <v>12725</v>
      </c>
    </row>
    <row r="1952" spans="2:17" x14ac:dyDescent="0.2">
      <c r="B1952" s="5" t="s">
        <v>12409</v>
      </c>
      <c r="C1952" s="6" t="s">
        <v>13589</v>
      </c>
      <c r="D1952" s="4">
        <v>1788</v>
      </c>
      <c r="E1952" s="5" t="s">
        <v>20</v>
      </c>
      <c r="F1952" s="5" t="s">
        <v>12709</v>
      </c>
      <c r="G1952" s="6" t="s">
        <v>14</v>
      </c>
      <c r="H1952" s="4">
        <v>949</v>
      </c>
      <c r="I1952" s="5" t="s">
        <v>38</v>
      </c>
      <c r="J1952" s="5" t="s">
        <v>12726</v>
      </c>
      <c r="K1952" s="5" t="s">
        <v>12428</v>
      </c>
      <c r="L1952" s="5"/>
      <c r="M1952" s="5" t="s">
        <v>127</v>
      </c>
      <c r="N1952" s="5" t="s">
        <v>366</v>
      </c>
      <c r="O1952" s="5" t="s">
        <v>12414</v>
      </c>
      <c r="P1952" s="5"/>
      <c r="Q1952" s="5" t="s">
        <v>12727</v>
      </c>
    </row>
    <row r="1953" spans="2:17" x14ac:dyDescent="0.2">
      <c r="B1953" s="5" t="s">
        <v>12409</v>
      </c>
      <c r="C1953" s="6" t="s">
        <v>13589</v>
      </c>
      <c r="D1953" s="4">
        <v>1789</v>
      </c>
      <c r="E1953" s="5" t="s">
        <v>15</v>
      </c>
      <c r="F1953" s="5" t="s">
        <v>13072</v>
      </c>
      <c r="G1953" s="6" t="s">
        <v>14</v>
      </c>
      <c r="H1953" s="4">
        <v>950</v>
      </c>
      <c r="I1953" s="5"/>
      <c r="J1953" s="5" t="s">
        <v>13073</v>
      </c>
      <c r="K1953" s="5" t="s">
        <v>12415</v>
      </c>
      <c r="L1953" s="5"/>
      <c r="M1953" s="5" t="s">
        <v>2262</v>
      </c>
      <c r="N1953" s="5" t="s">
        <v>256</v>
      </c>
      <c r="O1953" s="5" t="s">
        <v>12411</v>
      </c>
      <c r="P1953" s="5"/>
      <c r="Q1953" s="5" t="s">
        <v>13074</v>
      </c>
    </row>
    <row r="1954" spans="2:17" x14ac:dyDescent="0.2">
      <c r="B1954" s="5" t="s">
        <v>12409</v>
      </c>
      <c r="C1954" s="6" t="s">
        <v>13589</v>
      </c>
      <c r="D1954" s="4">
        <v>1790</v>
      </c>
      <c r="E1954" s="5" t="s">
        <v>15</v>
      </c>
      <c r="F1954" s="5" t="s">
        <v>13072</v>
      </c>
      <c r="G1954" s="6" t="s">
        <v>14</v>
      </c>
      <c r="H1954" s="4">
        <v>951</v>
      </c>
      <c r="I1954" s="5"/>
      <c r="J1954" s="5" t="s">
        <v>13075</v>
      </c>
      <c r="K1954" s="5" t="s">
        <v>12416</v>
      </c>
      <c r="L1954" s="5"/>
      <c r="M1954" s="5" t="s">
        <v>2262</v>
      </c>
      <c r="N1954" s="5" t="s">
        <v>256</v>
      </c>
      <c r="O1954" s="5" t="s">
        <v>12413</v>
      </c>
      <c r="P1954" s="5"/>
      <c r="Q1954" s="5" t="s">
        <v>13076</v>
      </c>
    </row>
    <row r="1955" spans="2:17" x14ac:dyDescent="0.2">
      <c r="B1955" s="5" t="s">
        <v>12409</v>
      </c>
      <c r="C1955" s="6" t="s">
        <v>13589</v>
      </c>
      <c r="D1955" s="4">
        <v>1791</v>
      </c>
      <c r="E1955" s="5" t="s">
        <v>15</v>
      </c>
      <c r="F1955" s="5" t="s">
        <v>13068</v>
      </c>
      <c r="G1955" s="6" t="s">
        <v>14</v>
      </c>
      <c r="H1955" s="4">
        <v>952</v>
      </c>
      <c r="I1955" s="5"/>
      <c r="J1955" s="5" t="s">
        <v>13069</v>
      </c>
      <c r="K1955" s="5" t="s">
        <v>74</v>
      </c>
      <c r="L1955" s="5"/>
      <c r="M1955" s="5" t="s">
        <v>529</v>
      </c>
      <c r="N1955" s="5" t="s">
        <v>529</v>
      </c>
      <c r="O1955" s="5" t="s">
        <v>12418</v>
      </c>
      <c r="P1955" s="5" t="s">
        <v>13070</v>
      </c>
      <c r="Q1955" s="5" t="s">
        <v>13071</v>
      </c>
    </row>
    <row r="1956" spans="2:17" x14ac:dyDescent="0.2">
      <c r="B1956" s="5" t="s">
        <v>12409</v>
      </c>
      <c r="C1956" s="6" t="s">
        <v>13589</v>
      </c>
      <c r="D1956" s="4">
        <v>1793</v>
      </c>
      <c r="E1956" s="5" t="s">
        <v>15</v>
      </c>
      <c r="F1956" s="5" t="s">
        <v>12704</v>
      </c>
      <c r="G1956" s="6" t="s">
        <v>14</v>
      </c>
      <c r="H1956" s="4">
        <v>953</v>
      </c>
      <c r="I1956" s="5"/>
      <c r="J1956" s="5" t="s">
        <v>12705</v>
      </c>
      <c r="K1956" s="5" t="s">
        <v>12706</v>
      </c>
      <c r="L1956" s="5"/>
      <c r="M1956" s="5" t="s">
        <v>359</v>
      </c>
      <c r="N1956" s="5" t="s">
        <v>351</v>
      </c>
      <c r="O1956" s="5" t="s">
        <v>12414</v>
      </c>
      <c r="P1956" s="5"/>
      <c r="Q1956" s="5" t="s">
        <v>12707</v>
      </c>
    </row>
    <row r="1957" spans="2:17" x14ac:dyDescent="0.2">
      <c r="B1957" s="5" t="s">
        <v>13091</v>
      </c>
      <c r="C1957" s="6" t="s">
        <v>13589</v>
      </c>
      <c r="D1957" s="4">
        <v>1794</v>
      </c>
      <c r="E1957" s="5" t="s">
        <v>20</v>
      </c>
      <c r="F1957" s="5" t="s">
        <v>13332</v>
      </c>
      <c r="G1957" s="6" t="s">
        <v>14</v>
      </c>
      <c r="H1957" s="4">
        <v>954</v>
      </c>
      <c r="I1957" s="5" t="s">
        <v>22</v>
      </c>
      <c r="J1957" s="5" t="s">
        <v>13330</v>
      </c>
      <c r="K1957" s="5" t="s">
        <v>13331</v>
      </c>
      <c r="L1957" s="5"/>
      <c r="M1957" s="5" t="s">
        <v>1118</v>
      </c>
      <c r="N1957" s="5" t="s">
        <v>3478</v>
      </c>
      <c r="O1957" s="5" t="s">
        <v>13093</v>
      </c>
      <c r="P1957" s="5"/>
      <c r="Q1957" s="5" t="s">
        <v>13113</v>
      </c>
    </row>
    <row r="1958" spans="2:17" x14ac:dyDescent="0.2">
      <c r="B1958" s="5" t="s">
        <v>13091</v>
      </c>
      <c r="C1958" s="6" t="s">
        <v>13589</v>
      </c>
      <c r="D1958" s="4">
        <v>1795</v>
      </c>
      <c r="E1958" s="5" t="s">
        <v>82</v>
      </c>
      <c r="F1958" s="5" t="s">
        <v>13332</v>
      </c>
      <c r="G1958" s="6" t="s">
        <v>14</v>
      </c>
      <c r="H1958" s="4">
        <v>955</v>
      </c>
      <c r="I1958" s="5"/>
      <c r="J1958" s="5" t="s">
        <v>13335</v>
      </c>
      <c r="K1958" s="5" t="s">
        <v>13331</v>
      </c>
      <c r="L1958" s="5"/>
      <c r="M1958" s="5" t="s">
        <v>1118</v>
      </c>
      <c r="N1958" s="5" t="s">
        <v>3478</v>
      </c>
      <c r="O1958" s="5" t="s">
        <v>13093</v>
      </c>
      <c r="P1958" s="5"/>
      <c r="Q1958" s="5" t="s">
        <v>13336</v>
      </c>
    </row>
    <row r="1959" spans="2:17" x14ac:dyDescent="0.2">
      <c r="B1959" s="5" t="s">
        <v>13091</v>
      </c>
      <c r="C1959" s="6" t="s">
        <v>13589</v>
      </c>
      <c r="D1959" s="4">
        <v>1796</v>
      </c>
      <c r="E1959" s="5" t="s">
        <v>20</v>
      </c>
      <c r="F1959" s="5" t="s">
        <v>13332</v>
      </c>
      <c r="G1959" s="6" t="s">
        <v>14</v>
      </c>
      <c r="H1959" s="4">
        <v>956</v>
      </c>
      <c r="I1959" s="5" t="s">
        <v>22</v>
      </c>
      <c r="J1959" s="5" t="s">
        <v>13333</v>
      </c>
      <c r="K1959" s="5" t="s">
        <v>13331</v>
      </c>
      <c r="L1959" s="5"/>
      <c r="M1959" s="5" t="s">
        <v>1118</v>
      </c>
      <c r="N1959" s="5" t="s">
        <v>3478</v>
      </c>
      <c r="O1959" s="5" t="s">
        <v>13093</v>
      </c>
      <c r="P1959" s="5"/>
      <c r="Q1959" s="5" t="s">
        <v>13334</v>
      </c>
    </row>
    <row r="1960" spans="2:17" x14ac:dyDescent="0.2">
      <c r="B1960" s="5" t="s">
        <v>13091</v>
      </c>
      <c r="C1960" s="6" t="s">
        <v>13589</v>
      </c>
      <c r="D1960" s="4">
        <v>1797</v>
      </c>
      <c r="E1960" s="5" t="s">
        <v>82</v>
      </c>
      <c r="F1960" s="5" t="s">
        <v>13332</v>
      </c>
      <c r="G1960" s="6" t="s">
        <v>14</v>
      </c>
      <c r="H1960" s="4">
        <v>957</v>
      </c>
      <c r="I1960" s="5"/>
      <c r="J1960" s="5" t="s">
        <v>13337</v>
      </c>
      <c r="K1960" s="5" t="s">
        <v>13331</v>
      </c>
      <c r="L1960" s="5"/>
      <c r="M1960" s="5" t="s">
        <v>1118</v>
      </c>
      <c r="N1960" s="5" t="s">
        <v>3478</v>
      </c>
      <c r="O1960" s="5" t="s">
        <v>13093</v>
      </c>
      <c r="P1960" s="5"/>
      <c r="Q1960" s="5" t="s">
        <v>13338</v>
      </c>
    </row>
    <row r="1961" spans="2:17" x14ac:dyDescent="0.2">
      <c r="B1961" s="5" t="s">
        <v>13091</v>
      </c>
      <c r="C1961" s="6" t="s">
        <v>13589</v>
      </c>
      <c r="D1961" s="4">
        <v>1798</v>
      </c>
      <c r="E1961" s="5" t="s">
        <v>32</v>
      </c>
      <c r="F1961" s="5" t="s">
        <v>13325</v>
      </c>
      <c r="G1961" s="6" t="s">
        <v>14</v>
      </c>
      <c r="H1961" s="4">
        <v>958</v>
      </c>
      <c r="I1961" s="5" t="s">
        <v>22</v>
      </c>
      <c r="J1961" s="5" t="s">
        <v>13326</v>
      </c>
      <c r="K1961" s="5" t="s">
        <v>13327</v>
      </c>
      <c r="L1961" s="5"/>
      <c r="M1961" s="5" t="s">
        <v>506</v>
      </c>
      <c r="N1961" s="5" t="s">
        <v>2421</v>
      </c>
      <c r="O1961" s="5" t="s">
        <v>13093</v>
      </c>
      <c r="P1961" s="5"/>
      <c r="Q1961" s="5" t="s">
        <v>13328</v>
      </c>
    </row>
    <row r="1962" spans="2:17" x14ac:dyDescent="0.2">
      <c r="B1962" s="5" t="s">
        <v>13091</v>
      </c>
      <c r="C1962" s="6" t="s">
        <v>13589</v>
      </c>
      <c r="D1962" s="4">
        <v>1804</v>
      </c>
      <c r="E1962" s="5" t="s">
        <v>32</v>
      </c>
      <c r="F1962" s="5" t="s">
        <v>13286</v>
      </c>
      <c r="G1962" s="6" t="s">
        <v>14</v>
      </c>
      <c r="H1962" s="4">
        <v>959</v>
      </c>
      <c r="I1962" s="5" t="s">
        <v>38</v>
      </c>
      <c r="J1962" s="5" t="s">
        <v>13287</v>
      </c>
      <c r="K1962" s="5" t="s">
        <v>13270</v>
      </c>
      <c r="L1962" s="5"/>
      <c r="M1962" s="5" t="s">
        <v>2198</v>
      </c>
      <c r="N1962" s="5" t="s">
        <v>2199</v>
      </c>
      <c r="O1962" s="5" t="s">
        <v>13098</v>
      </c>
      <c r="P1962" s="5"/>
      <c r="Q1962" s="5" t="s">
        <v>13288</v>
      </c>
    </row>
    <row r="1963" spans="2:17" x14ac:dyDescent="0.2">
      <c r="B1963" s="5" t="s">
        <v>13091</v>
      </c>
      <c r="C1963" s="6" t="s">
        <v>13589</v>
      </c>
      <c r="D1963" s="4">
        <v>1811</v>
      </c>
      <c r="E1963" s="5" t="s">
        <v>24</v>
      </c>
      <c r="F1963" s="5" t="s">
        <v>13266</v>
      </c>
      <c r="G1963" s="6" t="s">
        <v>14</v>
      </c>
      <c r="H1963" s="4">
        <v>960</v>
      </c>
      <c r="I1963" s="5"/>
      <c r="J1963" s="5" t="s">
        <v>13266</v>
      </c>
      <c r="K1963" s="5" t="s">
        <v>13095</v>
      </c>
      <c r="L1963" s="5"/>
      <c r="M1963" s="5" t="s">
        <v>185</v>
      </c>
      <c r="N1963" s="5" t="s">
        <v>185</v>
      </c>
      <c r="O1963" s="5" t="s">
        <v>13093</v>
      </c>
      <c r="P1963" s="5"/>
      <c r="Q1963" s="5" t="s">
        <v>13267</v>
      </c>
    </row>
    <row r="1964" spans="2:17" x14ac:dyDescent="0.2">
      <c r="B1964" s="5" t="s">
        <v>13091</v>
      </c>
      <c r="C1964" s="6" t="s">
        <v>13589</v>
      </c>
      <c r="D1964" s="4">
        <v>1822</v>
      </c>
      <c r="E1964" s="5" t="s">
        <v>56</v>
      </c>
      <c r="F1964" s="5" t="s">
        <v>13092</v>
      </c>
      <c r="G1964" s="6" t="s">
        <v>14</v>
      </c>
      <c r="H1964" s="4">
        <v>961</v>
      </c>
      <c r="I1964" s="5"/>
      <c r="J1964" s="5" t="s">
        <v>13094</v>
      </c>
      <c r="K1964" s="5" t="s">
        <v>13095</v>
      </c>
      <c r="L1964" s="5"/>
      <c r="M1964" s="5" t="s">
        <v>426</v>
      </c>
      <c r="N1964" s="5" t="s">
        <v>142</v>
      </c>
      <c r="O1964" s="5" t="s">
        <v>13093</v>
      </c>
      <c r="P1964" s="5"/>
      <c r="Q1964" s="5" t="s">
        <v>13244</v>
      </c>
    </row>
    <row r="1965" spans="2:17" x14ac:dyDescent="0.2">
      <c r="B1965" s="5" t="s">
        <v>13091</v>
      </c>
      <c r="C1965" s="6" t="s">
        <v>13589</v>
      </c>
      <c r="D1965" s="4">
        <v>1823</v>
      </c>
      <c r="E1965" s="5" t="s">
        <v>82</v>
      </c>
      <c r="F1965" s="5" t="s">
        <v>13240</v>
      </c>
      <c r="G1965" s="6" t="s">
        <v>14</v>
      </c>
      <c r="H1965" s="4">
        <v>962</v>
      </c>
      <c r="I1965" s="5"/>
      <c r="J1965" s="5" t="s">
        <v>13241</v>
      </c>
      <c r="K1965" s="5" t="s">
        <v>13242</v>
      </c>
      <c r="L1965" s="5"/>
      <c r="M1965" s="5" t="s">
        <v>423</v>
      </c>
      <c r="N1965" s="5" t="s">
        <v>423</v>
      </c>
      <c r="O1965" s="5" t="s">
        <v>13100</v>
      </c>
      <c r="P1965" s="5"/>
      <c r="Q1965" s="5" t="s">
        <v>13243</v>
      </c>
    </row>
    <row r="1966" spans="2:17" x14ac:dyDescent="0.2">
      <c r="B1966" s="5" t="s">
        <v>13091</v>
      </c>
      <c r="C1966" s="6" t="s">
        <v>13589</v>
      </c>
      <c r="D1966" s="4">
        <v>1824</v>
      </c>
      <c r="E1966" s="5" t="s">
        <v>32</v>
      </c>
      <c r="F1966" s="5" t="s">
        <v>13237</v>
      </c>
      <c r="G1966" s="6" t="s">
        <v>14</v>
      </c>
      <c r="H1966" s="4">
        <v>963</v>
      </c>
      <c r="I1966" s="5" t="s">
        <v>22</v>
      </c>
      <c r="J1966" s="5" t="s">
        <v>13238</v>
      </c>
      <c r="K1966" s="5" t="s">
        <v>13095</v>
      </c>
      <c r="L1966" s="5"/>
      <c r="M1966" s="5" t="s">
        <v>921</v>
      </c>
      <c r="N1966" s="5" t="s">
        <v>417</v>
      </c>
      <c r="O1966" s="5" t="s">
        <v>13093</v>
      </c>
      <c r="P1966" s="5"/>
      <c r="Q1966" s="5" t="s">
        <v>13239</v>
      </c>
    </row>
    <row r="1967" spans="2:17" x14ac:dyDescent="0.2">
      <c r="B1967" s="5" t="s">
        <v>13091</v>
      </c>
      <c r="C1967" s="6" t="s">
        <v>13589</v>
      </c>
      <c r="D1967" s="4">
        <v>1825</v>
      </c>
      <c r="E1967" s="5" t="s">
        <v>32</v>
      </c>
      <c r="F1967" s="5" t="s">
        <v>13231</v>
      </c>
      <c r="G1967" s="6" t="s">
        <v>14</v>
      </c>
      <c r="H1967" s="4">
        <v>964</v>
      </c>
      <c r="I1967" s="5" t="s">
        <v>22</v>
      </c>
      <c r="J1967" s="5" t="s">
        <v>13232</v>
      </c>
      <c r="K1967" s="5" t="s">
        <v>5034</v>
      </c>
      <c r="L1967" s="5"/>
      <c r="M1967" s="5" t="s">
        <v>2152</v>
      </c>
      <c r="N1967" s="5" t="s">
        <v>2152</v>
      </c>
      <c r="O1967" s="5" t="s">
        <v>13100</v>
      </c>
      <c r="P1967" s="5"/>
      <c r="Q1967" s="5" t="s">
        <v>13233</v>
      </c>
    </row>
    <row r="1968" spans="2:17" x14ac:dyDescent="0.2">
      <c r="B1968" s="5" t="s">
        <v>13091</v>
      </c>
      <c r="C1968" s="6" t="s">
        <v>13589</v>
      </c>
      <c r="D1968" s="4">
        <v>1826</v>
      </c>
      <c r="E1968" s="5" t="s">
        <v>20</v>
      </c>
      <c r="F1968" s="5" t="s">
        <v>13224</v>
      </c>
      <c r="G1968" s="6" t="s">
        <v>14</v>
      </c>
      <c r="H1968" s="4">
        <v>965</v>
      </c>
      <c r="I1968" s="5" t="s">
        <v>22</v>
      </c>
      <c r="J1968" s="5" t="s">
        <v>13225</v>
      </c>
      <c r="K1968" s="5" t="s">
        <v>13099</v>
      </c>
      <c r="L1968" s="5"/>
      <c r="M1968" s="5" t="s">
        <v>1832</v>
      </c>
      <c r="N1968" s="5" t="s">
        <v>804</v>
      </c>
      <c r="O1968" s="5" t="s">
        <v>13100</v>
      </c>
      <c r="P1968" s="5"/>
      <c r="Q1968" s="5" t="s">
        <v>13161</v>
      </c>
    </row>
    <row r="1969" spans="2:17" x14ac:dyDescent="0.2">
      <c r="B1969" s="5" t="s">
        <v>13091</v>
      </c>
      <c r="C1969" s="6" t="s">
        <v>13589</v>
      </c>
      <c r="D1969" s="4">
        <v>1829</v>
      </c>
      <c r="E1969" s="5" t="s">
        <v>32</v>
      </c>
      <c r="F1969" s="5" t="s">
        <v>13214</v>
      </c>
      <c r="G1969" s="6" t="s">
        <v>14</v>
      </c>
      <c r="H1969" s="4">
        <v>966</v>
      </c>
      <c r="I1969" s="5" t="s">
        <v>22</v>
      </c>
      <c r="J1969" s="5" t="s">
        <v>13215</v>
      </c>
      <c r="K1969" s="5" t="s">
        <v>13104</v>
      </c>
      <c r="L1969" s="5" t="s">
        <v>13216</v>
      </c>
      <c r="M1969" s="5" t="s">
        <v>1436</v>
      </c>
      <c r="N1969" s="5" t="s">
        <v>1442</v>
      </c>
      <c r="O1969" s="5" t="s">
        <v>13105</v>
      </c>
      <c r="P1969" s="5"/>
      <c r="Q1969" s="5" t="s">
        <v>13217</v>
      </c>
    </row>
    <row r="1970" spans="2:17" x14ac:dyDescent="0.2">
      <c r="B1970" s="5" t="s">
        <v>13091</v>
      </c>
      <c r="C1970" s="6" t="s">
        <v>13589</v>
      </c>
      <c r="D1970" s="4">
        <v>1830</v>
      </c>
      <c r="E1970" s="5" t="s">
        <v>32</v>
      </c>
      <c r="F1970" s="5" t="s">
        <v>13214</v>
      </c>
      <c r="G1970" s="6" t="s">
        <v>14</v>
      </c>
      <c r="H1970" s="4">
        <v>967</v>
      </c>
      <c r="I1970" s="5" t="s">
        <v>22</v>
      </c>
      <c r="J1970" s="5" t="s">
        <v>13218</v>
      </c>
      <c r="K1970" s="5" t="s">
        <v>13104</v>
      </c>
      <c r="L1970" s="5" t="s">
        <v>13219</v>
      </c>
      <c r="M1970" s="5" t="s">
        <v>1436</v>
      </c>
      <c r="N1970" s="5" t="s">
        <v>1442</v>
      </c>
      <c r="O1970" s="5" t="s">
        <v>13105</v>
      </c>
      <c r="P1970" s="5"/>
      <c r="Q1970" s="5" t="s">
        <v>13220</v>
      </c>
    </row>
    <row r="1971" spans="2:17" x14ac:dyDescent="0.2">
      <c r="B1971" s="5" t="s">
        <v>13091</v>
      </c>
      <c r="C1971" s="6" t="s">
        <v>13589</v>
      </c>
      <c r="D1971" s="4">
        <v>1831</v>
      </c>
      <c r="E1971" s="5" t="s">
        <v>15</v>
      </c>
      <c r="F1971" s="5" t="s">
        <v>13213</v>
      </c>
      <c r="G1971" s="6" t="s">
        <v>14</v>
      </c>
      <c r="H1971" s="4">
        <v>968</v>
      </c>
      <c r="I1971" s="5"/>
      <c r="J1971" s="5" t="s">
        <v>13118</v>
      </c>
      <c r="K1971" s="5" t="s">
        <v>13095</v>
      </c>
      <c r="L1971" s="5"/>
      <c r="M1971" s="5" t="s">
        <v>1415</v>
      </c>
      <c r="N1971" s="5" t="s">
        <v>1416</v>
      </c>
      <c r="O1971" s="5" t="s">
        <v>13093</v>
      </c>
      <c r="P1971" s="5"/>
      <c r="Q1971" s="5" t="s">
        <v>13106</v>
      </c>
    </row>
    <row r="1972" spans="2:17" x14ac:dyDescent="0.2">
      <c r="B1972" s="5" t="s">
        <v>13091</v>
      </c>
      <c r="C1972" s="6" t="s">
        <v>13589</v>
      </c>
      <c r="D1972" s="4">
        <v>1832</v>
      </c>
      <c r="E1972" s="5" t="s">
        <v>24</v>
      </c>
      <c r="F1972" s="5" t="s">
        <v>13210</v>
      </c>
      <c r="G1972" s="6" t="s">
        <v>14</v>
      </c>
      <c r="H1972" s="4">
        <v>969</v>
      </c>
      <c r="I1972" s="5"/>
      <c r="J1972" s="5" t="s">
        <v>13211</v>
      </c>
      <c r="K1972" s="5" t="s">
        <v>13108</v>
      </c>
      <c r="L1972" s="5"/>
      <c r="M1972" s="5" t="s">
        <v>1416</v>
      </c>
      <c r="N1972" s="5" t="s">
        <v>1957</v>
      </c>
      <c r="O1972" s="5" t="s">
        <v>13098</v>
      </c>
      <c r="P1972" s="5"/>
      <c r="Q1972" s="5" t="s">
        <v>13212</v>
      </c>
    </row>
    <row r="1973" spans="2:17" x14ac:dyDescent="0.2">
      <c r="B1973" s="5" t="s">
        <v>13091</v>
      </c>
      <c r="C1973" s="6" t="s">
        <v>13589</v>
      </c>
      <c r="D1973" s="4">
        <v>1833</v>
      </c>
      <c r="E1973" s="5" t="s">
        <v>24</v>
      </c>
      <c r="F1973" s="5" t="s">
        <v>13207</v>
      </c>
      <c r="G1973" s="6" t="s">
        <v>14</v>
      </c>
      <c r="H1973" s="4">
        <v>970</v>
      </c>
      <c r="I1973" s="5"/>
      <c r="J1973" s="5" t="s">
        <v>13208</v>
      </c>
      <c r="K1973" s="5" t="s">
        <v>13095</v>
      </c>
      <c r="L1973" s="5"/>
      <c r="M1973" s="5" t="s">
        <v>330</v>
      </c>
      <c r="N1973" s="5" t="s">
        <v>331</v>
      </c>
      <c r="O1973" s="5" t="s">
        <v>13093</v>
      </c>
      <c r="P1973" s="5"/>
      <c r="Q1973" s="5" t="s">
        <v>13209</v>
      </c>
    </row>
    <row r="1974" spans="2:17" x14ac:dyDescent="0.2">
      <c r="B1974" s="5" t="s">
        <v>13091</v>
      </c>
      <c r="C1974" s="6" t="s">
        <v>13589</v>
      </c>
      <c r="D1974" s="4">
        <v>1834</v>
      </c>
      <c r="E1974" s="5" t="s">
        <v>82</v>
      </c>
      <c r="F1974" s="5" t="s">
        <v>13204</v>
      </c>
      <c r="G1974" s="6" t="s">
        <v>14</v>
      </c>
      <c r="H1974" s="4">
        <v>971</v>
      </c>
      <c r="I1974" s="5"/>
      <c r="J1974" s="5" t="s">
        <v>13205</v>
      </c>
      <c r="K1974" s="5" t="s">
        <v>13097</v>
      </c>
      <c r="L1974" s="5"/>
      <c r="M1974" s="5" t="s">
        <v>312</v>
      </c>
      <c r="N1974" s="5" t="s">
        <v>301</v>
      </c>
      <c r="O1974" s="5" t="s">
        <v>13098</v>
      </c>
      <c r="P1974" s="5"/>
      <c r="Q1974" s="5" t="s">
        <v>13206</v>
      </c>
    </row>
    <row r="1975" spans="2:17" x14ac:dyDescent="0.2">
      <c r="B1975" s="5" t="s">
        <v>13091</v>
      </c>
      <c r="C1975" s="6" t="s">
        <v>13589</v>
      </c>
      <c r="D1975" s="4">
        <v>1835</v>
      </c>
      <c r="E1975" s="5" t="s">
        <v>32</v>
      </c>
      <c r="F1975" s="5" t="s">
        <v>13194</v>
      </c>
      <c r="G1975" s="6" t="s">
        <v>14</v>
      </c>
      <c r="H1975" s="4">
        <v>972</v>
      </c>
      <c r="I1975" s="5" t="s">
        <v>22</v>
      </c>
      <c r="J1975" s="5" t="s">
        <v>13195</v>
      </c>
      <c r="K1975" s="5" t="s">
        <v>13182</v>
      </c>
      <c r="L1975" s="5" t="s">
        <v>13196</v>
      </c>
      <c r="M1975" s="5" t="s">
        <v>295</v>
      </c>
      <c r="N1975" s="5" t="s">
        <v>302</v>
      </c>
      <c r="O1975" s="5" t="s">
        <v>13098</v>
      </c>
      <c r="P1975" s="5"/>
      <c r="Q1975" s="5" t="s">
        <v>13197</v>
      </c>
    </row>
    <row r="1976" spans="2:17" x14ac:dyDescent="0.2">
      <c r="B1976" s="5" t="s">
        <v>13091</v>
      </c>
      <c r="C1976" s="6" t="s">
        <v>13589</v>
      </c>
      <c r="D1976" s="4">
        <v>1836</v>
      </c>
      <c r="E1976" s="5" t="s">
        <v>32</v>
      </c>
      <c r="F1976" s="5" t="s">
        <v>13194</v>
      </c>
      <c r="G1976" s="6" t="s">
        <v>14</v>
      </c>
      <c r="H1976" s="4">
        <v>973</v>
      </c>
      <c r="I1976" s="5" t="s">
        <v>22</v>
      </c>
      <c r="J1976" s="5" t="s">
        <v>13198</v>
      </c>
      <c r="K1976" s="5" t="s">
        <v>13182</v>
      </c>
      <c r="L1976" s="5" t="s">
        <v>13199</v>
      </c>
      <c r="M1976" s="5" t="s">
        <v>295</v>
      </c>
      <c r="N1976" s="5" t="s">
        <v>302</v>
      </c>
      <c r="O1976" s="5" t="s">
        <v>13098</v>
      </c>
      <c r="P1976" s="5"/>
      <c r="Q1976" s="5" t="s">
        <v>13200</v>
      </c>
    </row>
    <row r="1977" spans="2:17" x14ac:dyDescent="0.2">
      <c r="B1977" s="5" t="s">
        <v>13091</v>
      </c>
      <c r="C1977" s="6" t="s">
        <v>13589</v>
      </c>
      <c r="D1977" s="4">
        <v>1837</v>
      </c>
      <c r="E1977" s="5" t="s">
        <v>32</v>
      </c>
      <c r="F1977" s="5" t="s">
        <v>13194</v>
      </c>
      <c r="G1977" s="6" t="s">
        <v>14</v>
      </c>
      <c r="H1977" s="4">
        <v>974</v>
      </c>
      <c r="I1977" s="5" t="s">
        <v>22</v>
      </c>
      <c r="J1977" s="5" t="s">
        <v>13201</v>
      </c>
      <c r="K1977" s="5" t="s">
        <v>13182</v>
      </c>
      <c r="L1977" s="5" t="s">
        <v>13202</v>
      </c>
      <c r="M1977" s="5" t="s">
        <v>295</v>
      </c>
      <c r="N1977" s="5" t="s">
        <v>302</v>
      </c>
      <c r="O1977" s="5" t="s">
        <v>13098</v>
      </c>
      <c r="P1977" s="5"/>
      <c r="Q1977" s="5" t="s">
        <v>13203</v>
      </c>
    </row>
    <row r="1978" spans="2:17" x14ac:dyDescent="0.2">
      <c r="B1978" s="5" t="s">
        <v>13091</v>
      </c>
      <c r="C1978" s="6" t="s">
        <v>13589</v>
      </c>
      <c r="D1978" s="4">
        <v>1844</v>
      </c>
      <c r="E1978" s="5" t="s">
        <v>32</v>
      </c>
      <c r="F1978" s="5" t="s">
        <v>13368</v>
      </c>
      <c r="G1978" s="6" t="s">
        <v>14</v>
      </c>
      <c r="H1978" s="4">
        <v>975</v>
      </c>
      <c r="I1978" s="5" t="s">
        <v>38</v>
      </c>
      <c r="J1978" s="5" t="s">
        <v>13369</v>
      </c>
      <c r="K1978" s="5" t="s">
        <v>13370</v>
      </c>
      <c r="L1978" s="5"/>
      <c r="M1978" s="5" t="s">
        <v>1157</v>
      </c>
      <c r="N1978" s="5" t="s">
        <v>1736</v>
      </c>
      <c r="O1978" s="5" t="s">
        <v>13098</v>
      </c>
      <c r="P1978" s="5"/>
      <c r="Q1978" s="5" t="s">
        <v>13371</v>
      </c>
    </row>
    <row r="1979" spans="2:17" x14ac:dyDescent="0.2">
      <c r="B1979" s="5" t="s">
        <v>13091</v>
      </c>
      <c r="C1979" s="6" t="s">
        <v>13589</v>
      </c>
      <c r="D1979" s="4">
        <v>1846</v>
      </c>
      <c r="E1979" s="5" t="s">
        <v>82</v>
      </c>
      <c r="F1979" s="5" t="s">
        <v>13162</v>
      </c>
      <c r="G1979" s="6" t="s">
        <v>14</v>
      </c>
      <c r="H1979" s="4">
        <v>976</v>
      </c>
      <c r="I1979" s="5"/>
      <c r="J1979" s="5" t="s">
        <v>13163</v>
      </c>
      <c r="K1979" s="5" t="s">
        <v>13108</v>
      </c>
      <c r="L1979" s="5"/>
      <c r="M1979" s="5" t="s">
        <v>1269</v>
      </c>
      <c r="N1979" s="5" t="s">
        <v>1263</v>
      </c>
      <c r="O1979" s="5" t="s">
        <v>13098</v>
      </c>
      <c r="P1979" s="5"/>
      <c r="Q1979" s="5" t="s">
        <v>13164</v>
      </c>
    </row>
    <row r="1980" spans="2:17" x14ac:dyDescent="0.2">
      <c r="B1980" s="5" t="s">
        <v>13091</v>
      </c>
      <c r="C1980" s="6" t="s">
        <v>13589</v>
      </c>
      <c r="D1980" s="4">
        <v>1847</v>
      </c>
      <c r="E1980" s="5" t="s">
        <v>32</v>
      </c>
      <c r="F1980" s="5" t="s">
        <v>13160</v>
      </c>
      <c r="G1980" s="6" t="s">
        <v>14</v>
      </c>
      <c r="H1980" s="4">
        <v>977</v>
      </c>
      <c r="I1980" s="5" t="s">
        <v>22</v>
      </c>
      <c r="J1980" s="5" t="s">
        <v>13122</v>
      </c>
      <c r="K1980" s="5" t="s">
        <v>13101</v>
      </c>
      <c r="L1980" s="5"/>
      <c r="M1980" s="5" t="s">
        <v>1269</v>
      </c>
      <c r="N1980" s="5" t="s">
        <v>1263</v>
      </c>
      <c r="O1980" s="5" t="s">
        <v>13098</v>
      </c>
      <c r="P1980" s="5"/>
      <c r="Q1980" s="5" t="s">
        <v>13161</v>
      </c>
    </row>
    <row r="1981" spans="2:17" x14ac:dyDescent="0.2">
      <c r="B1981" s="5" t="s">
        <v>13091</v>
      </c>
      <c r="C1981" s="6" t="s">
        <v>13589</v>
      </c>
      <c r="D1981" s="4">
        <v>1848</v>
      </c>
      <c r="E1981" s="5" t="s">
        <v>82</v>
      </c>
      <c r="F1981" s="5" t="s">
        <v>13165</v>
      </c>
      <c r="G1981" s="6" t="s">
        <v>14</v>
      </c>
      <c r="H1981" s="4">
        <v>978</v>
      </c>
      <c r="I1981" s="5"/>
      <c r="J1981" s="5" t="s">
        <v>13166</v>
      </c>
      <c r="K1981" s="5" t="s">
        <v>13095</v>
      </c>
      <c r="L1981" s="5"/>
      <c r="M1981" s="5" t="s">
        <v>1269</v>
      </c>
      <c r="N1981" s="5" t="s">
        <v>1263</v>
      </c>
      <c r="O1981" s="5" t="s">
        <v>13098</v>
      </c>
      <c r="P1981" s="5"/>
      <c r="Q1981" s="5" t="s">
        <v>13167</v>
      </c>
    </row>
    <row r="1982" spans="2:17" x14ac:dyDescent="0.2">
      <c r="B1982" s="5" t="s">
        <v>13091</v>
      </c>
      <c r="C1982" s="6" t="s">
        <v>13589</v>
      </c>
      <c r="D1982" s="4">
        <v>1849</v>
      </c>
      <c r="E1982" s="5" t="s">
        <v>82</v>
      </c>
      <c r="F1982" s="5" t="s">
        <v>13168</v>
      </c>
      <c r="G1982" s="6" t="s">
        <v>14</v>
      </c>
      <c r="H1982" s="4">
        <v>979</v>
      </c>
      <c r="I1982" s="5"/>
      <c r="J1982" s="5" t="s">
        <v>13169</v>
      </c>
      <c r="K1982" s="5" t="s">
        <v>13095</v>
      </c>
      <c r="L1982" s="5"/>
      <c r="M1982" s="5" t="s">
        <v>1269</v>
      </c>
      <c r="N1982" s="5" t="s">
        <v>1263</v>
      </c>
      <c r="O1982" s="5" t="s">
        <v>13093</v>
      </c>
      <c r="P1982" s="5"/>
      <c r="Q1982" s="5" t="s">
        <v>13170</v>
      </c>
    </row>
    <row r="1983" spans="2:17" x14ac:dyDescent="0.2">
      <c r="B1983" s="5" t="s">
        <v>13091</v>
      </c>
      <c r="C1983" s="6" t="s">
        <v>13589</v>
      </c>
      <c r="D1983" s="4">
        <v>1850</v>
      </c>
      <c r="E1983" s="5" t="s">
        <v>20</v>
      </c>
      <c r="F1983" s="5" t="s">
        <v>13156</v>
      </c>
      <c r="G1983" s="6" t="s">
        <v>14</v>
      </c>
      <c r="H1983" s="4">
        <v>980</v>
      </c>
      <c r="I1983" s="5" t="s">
        <v>38</v>
      </c>
      <c r="J1983" s="5" t="s">
        <v>13157</v>
      </c>
      <c r="K1983" s="5" t="s">
        <v>8168</v>
      </c>
      <c r="L1983" s="5" t="s">
        <v>13158</v>
      </c>
      <c r="M1983" s="5" t="s">
        <v>1269</v>
      </c>
      <c r="N1983" s="5" t="s">
        <v>1263</v>
      </c>
      <c r="O1983" s="5" t="s">
        <v>13093</v>
      </c>
      <c r="P1983" s="5"/>
      <c r="Q1983" s="5" t="s">
        <v>13159</v>
      </c>
    </row>
    <row r="1984" spans="2:17" x14ac:dyDescent="0.2">
      <c r="B1984" s="5" t="s">
        <v>13091</v>
      </c>
      <c r="C1984" s="6" t="s">
        <v>13589</v>
      </c>
      <c r="D1984" s="4">
        <v>1851</v>
      </c>
      <c r="E1984" s="5" t="s">
        <v>32</v>
      </c>
      <c r="F1984" s="5" t="s">
        <v>13140</v>
      </c>
      <c r="G1984" s="6" t="s">
        <v>14</v>
      </c>
      <c r="H1984" s="4">
        <v>981</v>
      </c>
      <c r="I1984" s="5" t="s">
        <v>22</v>
      </c>
      <c r="J1984" s="5" t="s">
        <v>13141</v>
      </c>
      <c r="K1984" s="5" t="s">
        <v>13142</v>
      </c>
      <c r="L1984" s="5"/>
      <c r="M1984" s="5" t="s">
        <v>1915</v>
      </c>
      <c r="N1984" s="5" t="s">
        <v>1247</v>
      </c>
      <c r="O1984" s="5" t="s">
        <v>13098</v>
      </c>
      <c r="P1984" s="5"/>
      <c r="Q1984" s="5" t="s">
        <v>13143</v>
      </c>
    </row>
    <row r="1985" spans="2:17" x14ac:dyDescent="0.2">
      <c r="B1985" s="5" t="s">
        <v>13091</v>
      </c>
      <c r="C1985" s="6" t="s">
        <v>13589</v>
      </c>
      <c r="D1985" s="4">
        <v>1852</v>
      </c>
      <c r="E1985" s="5" t="s">
        <v>32</v>
      </c>
      <c r="F1985" s="5" t="s">
        <v>13144</v>
      </c>
      <c r="G1985" s="6" t="s">
        <v>14</v>
      </c>
      <c r="H1985" s="4">
        <v>982</v>
      </c>
      <c r="I1985" s="5" t="s">
        <v>38</v>
      </c>
      <c r="J1985" s="5" t="s">
        <v>13145</v>
      </c>
      <c r="K1985" s="5" t="s">
        <v>13146</v>
      </c>
      <c r="L1985" s="5" t="s">
        <v>13147</v>
      </c>
      <c r="M1985" s="5" t="s">
        <v>1915</v>
      </c>
      <c r="N1985" s="5" t="s">
        <v>1247</v>
      </c>
      <c r="O1985" s="5" t="s">
        <v>13098</v>
      </c>
      <c r="P1985" s="5"/>
      <c r="Q1985" s="5" t="s">
        <v>13148</v>
      </c>
    </row>
    <row r="1986" spans="2:17" x14ac:dyDescent="0.2">
      <c r="B1986" s="5" t="s">
        <v>13091</v>
      </c>
      <c r="C1986" s="6" t="s">
        <v>13589</v>
      </c>
      <c r="D1986" s="4">
        <v>1853</v>
      </c>
      <c r="E1986" s="5" t="s">
        <v>32</v>
      </c>
      <c r="F1986" s="5" t="s">
        <v>13144</v>
      </c>
      <c r="G1986" s="6" t="s">
        <v>14</v>
      </c>
      <c r="H1986" s="4">
        <v>983</v>
      </c>
      <c r="I1986" s="5" t="s">
        <v>38</v>
      </c>
      <c r="J1986" s="5" t="s">
        <v>13149</v>
      </c>
      <c r="K1986" s="5" t="s">
        <v>13150</v>
      </c>
      <c r="L1986" s="5"/>
      <c r="M1986" s="5" t="s">
        <v>1915</v>
      </c>
      <c r="N1986" s="5" t="s">
        <v>1247</v>
      </c>
      <c r="O1986" s="5" t="s">
        <v>13098</v>
      </c>
      <c r="P1986" s="5"/>
      <c r="Q1986" s="5" t="s">
        <v>11093</v>
      </c>
    </row>
    <row r="1987" spans="2:17" x14ac:dyDescent="0.2">
      <c r="B1987" s="5" t="s">
        <v>13091</v>
      </c>
      <c r="C1987" s="6" t="s">
        <v>13589</v>
      </c>
      <c r="D1987" s="4">
        <v>1854</v>
      </c>
      <c r="E1987" s="5" t="s">
        <v>32</v>
      </c>
      <c r="F1987" s="5" t="s">
        <v>13144</v>
      </c>
      <c r="G1987" s="6" t="s">
        <v>14</v>
      </c>
      <c r="H1987" s="4">
        <v>984</v>
      </c>
      <c r="I1987" s="5" t="s">
        <v>38</v>
      </c>
      <c r="J1987" s="5" t="s">
        <v>13151</v>
      </c>
      <c r="K1987" s="5" t="s">
        <v>13152</v>
      </c>
      <c r="L1987" s="5" t="s">
        <v>13153</v>
      </c>
      <c r="M1987" s="5" t="s">
        <v>1915</v>
      </c>
      <c r="N1987" s="5" t="s">
        <v>1247</v>
      </c>
      <c r="O1987" s="5" t="s">
        <v>13098</v>
      </c>
      <c r="P1987" s="5"/>
      <c r="Q1987" s="5" t="s">
        <v>13154</v>
      </c>
    </row>
    <row r="1988" spans="2:17" x14ac:dyDescent="0.2">
      <c r="B1988" s="5" t="s">
        <v>13091</v>
      </c>
      <c r="C1988" s="6" t="s">
        <v>13589</v>
      </c>
      <c r="D1988" s="4">
        <v>1855</v>
      </c>
      <c r="E1988" s="5" t="s">
        <v>56</v>
      </c>
      <c r="F1988" s="5" t="s">
        <v>13155</v>
      </c>
      <c r="G1988" s="6" t="s">
        <v>14</v>
      </c>
      <c r="H1988" s="4">
        <v>985</v>
      </c>
      <c r="I1988" s="5"/>
      <c r="J1988" s="5" t="s">
        <v>13155</v>
      </c>
      <c r="K1988" s="5" t="s">
        <v>13095</v>
      </c>
      <c r="L1988" s="5"/>
      <c r="M1988" s="5" t="s">
        <v>1915</v>
      </c>
      <c r="N1988" s="5" t="s">
        <v>1247</v>
      </c>
      <c r="O1988" s="5" t="s">
        <v>13093</v>
      </c>
      <c r="P1988" s="5"/>
      <c r="Q1988" s="5" t="s">
        <v>13096</v>
      </c>
    </row>
    <row r="1989" spans="2:17" x14ac:dyDescent="0.2">
      <c r="B1989" s="5" t="s">
        <v>13091</v>
      </c>
      <c r="C1989" s="6" t="s">
        <v>13589</v>
      </c>
      <c r="D1989" s="4">
        <v>1857</v>
      </c>
      <c r="E1989" s="5" t="s">
        <v>32</v>
      </c>
      <c r="F1989" s="5" t="s">
        <v>13121</v>
      </c>
      <c r="G1989" s="6" t="s">
        <v>14</v>
      </c>
      <c r="H1989" s="4">
        <v>986</v>
      </c>
      <c r="I1989" s="5" t="s">
        <v>22</v>
      </c>
      <c r="J1989" s="5" t="s">
        <v>13122</v>
      </c>
      <c r="K1989" s="5" t="s">
        <v>13101</v>
      </c>
      <c r="L1989" s="5"/>
      <c r="M1989" s="5" t="s">
        <v>1230</v>
      </c>
      <c r="N1989" s="5" t="s">
        <v>1222</v>
      </c>
      <c r="O1989" s="5" t="s">
        <v>13098</v>
      </c>
      <c r="P1989" s="5"/>
      <c r="Q1989" s="5" t="s">
        <v>13123</v>
      </c>
    </row>
    <row r="1990" spans="2:17" x14ac:dyDescent="0.2">
      <c r="B1990" s="5" t="s">
        <v>13091</v>
      </c>
      <c r="C1990" s="6" t="s">
        <v>13589</v>
      </c>
      <c r="D1990" s="4">
        <v>1858</v>
      </c>
      <c r="E1990" s="5" t="s">
        <v>32</v>
      </c>
      <c r="F1990" s="5" t="s">
        <v>13124</v>
      </c>
      <c r="G1990" s="6" t="s">
        <v>14</v>
      </c>
      <c r="H1990" s="4">
        <v>987</v>
      </c>
      <c r="I1990" s="5" t="s">
        <v>38</v>
      </c>
      <c r="J1990" s="5" t="s">
        <v>13125</v>
      </c>
      <c r="K1990" s="5" t="s">
        <v>13126</v>
      </c>
      <c r="L1990" s="5"/>
      <c r="M1990" s="5" t="s">
        <v>1230</v>
      </c>
      <c r="N1990" s="5" t="s">
        <v>1222</v>
      </c>
      <c r="O1990" s="5" t="s">
        <v>13098</v>
      </c>
      <c r="P1990" s="5"/>
      <c r="Q1990" s="5" t="s">
        <v>13127</v>
      </c>
    </row>
    <row r="1991" spans="2:17" x14ac:dyDescent="0.2">
      <c r="B1991" s="5" t="s">
        <v>13091</v>
      </c>
      <c r="C1991" s="6" t="s">
        <v>13589</v>
      </c>
      <c r="D1991" s="4">
        <v>1859</v>
      </c>
      <c r="E1991" s="5" t="s">
        <v>32</v>
      </c>
      <c r="F1991" s="5" t="s">
        <v>10741</v>
      </c>
      <c r="G1991" s="6" t="s">
        <v>14</v>
      </c>
      <c r="H1991" s="4">
        <v>988</v>
      </c>
      <c r="I1991" s="5" t="s">
        <v>22</v>
      </c>
      <c r="J1991" s="5" t="s">
        <v>13128</v>
      </c>
      <c r="K1991" s="5" t="s">
        <v>13129</v>
      </c>
      <c r="L1991" s="5" t="s">
        <v>13130</v>
      </c>
      <c r="M1991" s="5" t="s">
        <v>1230</v>
      </c>
      <c r="N1991" s="5" t="s">
        <v>1222</v>
      </c>
      <c r="O1991" s="5" t="s">
        <v>13098</v>
      </c>
      <c r="P1991" s="5"/>
      <c r="Q1991" s="5" t="s">
        <v>13131</v>
      </c>
    </row>
    <row r="1992" spans="2:17" x14ac:dyDescent="0.2">
      <c r="B1992" s="5" t="s">
        <v>13091</v>
      </c>
      <c r="C1992" s="6" t="s">
        <v>13589</v>
      </c>
      <c r="D1992" s="4">
        <v>1860</v>
      </c>
      <c r="E1992" s="5" t="s">
        <v>32</v>
      </c>
      <c r="F1992" s="5" t="s">
        <v>10741</v>
      </c>
      <c r="G1992" s="6" t="s">
        <v>14</v>
      </c>
      <c r="H1992" s="4">
        <v>989</v>
      </c>
      <c r="I1992" s="5" t="s">
        <v>38</v>
      </c>
      <c r="J1992" s="5" t="s">
        <v>13132</v>
      </c>
      <c r="K1992" s="5" t="s">
        <v>13129</v>
      </c>
      <c r="L1992" s="5" t="s">
        <v>13133</v>
      </c>
      <c r="M1992" s="5" t="s">
        <v>1230</v>
      </c>
      <c r="N1992" s="5" t="s">
        <v>1222</v>
      </c>
      <c r="O1992" s="5" t="s">
        <v>13098</v>
      </c>
      <c r="P1992" s="5"/>
      <c r="Q1992" s="5" t="s">
        <v>11097</v>
      </c>
    </row>
    <row r="1993" spans="2:17" x14ac:dyDescent="0.2">
      <c r="B1993" s="5" t="s">
        <v>13091</v>
      </c>
      <c r="C1993" s="6" t="s">
        <v>13589</v>
      </c>
      <c r="D1993" s="4">
        <v>1861</v>
      </c>
      <c r="E1993" s="5" t="s">
        <v>32</v>
      </c>
      <c r="F1993" s="5" t="s">
        <v>13134</v>
      </c>
      <c r="G1993" s="6" t="s">
        <v>14</v>
      </c>
      <c r="H1993" s="4">
        <v>990</v>
      </c>
      <c r="I1993" s="5" t="s">
        <v>22</v>
      </c>
      <c r="J1993" s="5" t="s">
        <v>13135</v>
      </c>
      <c r="K1993" s="5" t="s">
        <v>13136</v>
      </c>
      <c r="L1993" s="5"/>
      <c r="M1993" s="5" t="s">
        <v>1230</v>
      </c>
      <c r="N1993" s="5" t="s">
        <v>1222</v>
      </c>
      <c r="O1993" s="5" t="s">
        <v>13098</v>
      </c>
      <c r="P1993" s="5"/>
      <c r="Q1993" s="5" t="s">
        <v>13137</v>
      </c>
    </row>
    <row r="1994" spans="2:17" x14ac:dyDescent="0.2">
      <c r="B1994" s="5" t="s">
        <v>13091</v>
      </c>
      <c r="C1994" s="6" t="s">
        <v>13589</v>
      </c>
      <c r="D1994" s="4">
        <v>1862</v>
      </c>
      <c r="E1994" s="5" t="s">
        <v>32</v>
      </c>
      <c r="F1994" s="5" t="s">
        <v>13228</v>
      </c>
      <c r="G1994" s="6" t="s">
        <v>14</v>
      </c>
      <c r="H1994" s="4">
        <v>991</v>
      </c>
      <c r="I1994" s="5" t="s">
        <v>22</v>
      </c>
      <c r="J1994" s="5" t="s">
        <v>13229</v>
      </c>
      <c r="K1994" s="5" t="s">
        <v>13099</v>
      </c>
      <c r="L1994" s="5"/>
      <c r="M1994" s="5" t="s">
        <v>1520</v>
      </c>
      <c r="N1994" s="5" t="s">
        <v>1520</v>
      </c>
      <c r="O1994" s="5" t="s">
        <v>13100</v>
      </c>
      <c r="P1994" s="5"/>
      <c r="Q1994" s="5" t="s">
        <v>13230</v>
      </c>
    </row>
    <row r="1995" spans="2:17" x14ac:dyDescent="0.2">
      <c r="B1995" s="5" t="s">
        <v>13091</v>
      </c>
      <c r="C1995" s="6" t="s">
        <v>13589</v>
      </c>
      <c r="D1995" s="4">
        <v>1863</v>
      </c>
      <c r="E1995" s="5" t="s">
        <v>13</v>
      </c>
      <c r="F1995" s="5" t="s">
        <v>13226</v>
      </c>
      <c r="G1995" s="6" t="s">
        <v>14</v>
      </c>
      <c r="H1995" s="4">
        <v>992</v>
      </c>
      <c r="I1995" s="5"/>
      <c r="J1995" s="5"/>
      <c r="K1995" s="5" t="s">
        <v>13095</v>
      </c>
      <c r="L1995" s="5"/>
      <c r="M1995" s="5" t="s">
        <v>400</v>
      </c>
      <c r="N1995" s="5" t="s">
        <v>400</v>
      </c>
      <c r="O1995" s="5" t="s">
        <v>13093</v>
      </c>
      <c r="P1995" s="5"/>
      <c r="Q1995" s="5" t="s">
        <v>13227</v>
      </c>
    </row>
    <row r="1996" spans="2:17" x14ac:dyDescent="0.2">
      <c r="B1996" s="5" t="s">
        <v>13091</v>
      </c>
      <c r="C1996" s="6" t="s">
        <v>13589</v>
      </c>
      <c r="D1996" s="4">
        <v>1864</v>
      </c>
      <c r="E1996" s="5" t="s">
        <v>15</v>
      </c>
      <c r="F1996" s="5" t="s">
        <v>13114</v>
      </c>
      <c r="G1996" s="6" t="s">
        <v>14</v>
      </c>
      <c r="H1996" s="4">
        <v>993</v>
      </c>
      <c r="I1996" s="5"/>
      <c r="J1996" s="5" t="s">
        <v>13115</v>
      </c>
      <c r="K1996" s="5" t="s">
        <v>13095</v>
      </c>
      <c r="L1996" s="5"/>
      <c r="M1996" s="5" t="s">
        <v>1207</v>
      </c>
      <c r="N1996" s="5" t="s">
        <v>1200</v>
      </c>
      <c r="O1996" s="5" t="s">
        <v>13093</v>
      </c>
      <c r="P1996" s="5"/>
      <c r="Q1996" s="5" t="s">
        <v>13116</v>
      </c>
    </row>
    <row r="1997" spans="2:17" x14ac:dyDescent="0.2">
      <c r="B1997" s="5" t="s">
        <v>13091</v>
      </c>
      <c r="C1997" s="6" t="s">
        <v>13589</v>
      </c>
      <c r="D1997" s="4">
        <v>1865</v>
      </c>
      <c r="E1997" s="5" t="s">
        <v>15</v>
      </c>
      <c r="F1997" s="5" t="s">
        <v>13117</v>
      </c>
      <c r="G1997" s="6" t="s">
        <v>14</v>
      </c>
      <c r="H1997" s="4">
        <v>994</v>
      </c>
      <c r="I1997" s="5"/>
      <c r="J1997" s="5" t="s">
        <v>13118</v>
      </c>
      <c r="K1997" s="5" t="s">
        <v>13095</v>
      </c>
      <c r="L1997" s="5" t="s">
        <v>13119</v>
      </c>
      <c r="M1997" s="5" t="s">
        <v>1207</v>
      </c>
      <c r="N1997" s="5" t="s">
        <v>1200</v>
      </c>
      <c r="O1997" s="5" t="s">
        <v>13093</v>
      </c>
      <c r="P1997" s="5"/>
      <c r="Q1997" s="5" t="s">
        <v>13120</v>
      </c>
    </row>
    <row r="1998" spans="2:17" x14ac:dyDescent="0.2">
      <c r="B1998" s="5" t="s">
        <v>13091</v>
      </c>
      <c r="C1998" s="6" t="s">
        <v>13589</v>
      </c>
      <c r="D1998" s="4">
        <v>1866</v>
      </c>
      <c r="E1998" s="5" t="s">
        <v>15</v>
      </c>
      <c r="F1998" s="5" t="s">
        <v>13320</v>
      </c>
      <c r="G1998" s="6" t="s">
        <v>14</v>
      </c>
      <c r="H1998" s="4">
        <v>995</v>
      </c>
      <c r="I1998" s="5"/>
      <c r="J1998" s="5" t="s">
        <v>13320</v>
      </c>
      <c r="K1998" s="5" t="s">
        <v>13095</v>
      </c>
      <c r="L1998" s="5"/>
      <c r="M1998" s="5" t="s">
        <v>224</v>
      </c>
      <c r="N1998" s="5" t="s">
        <v>224</v>
      </c>
      <c r="O1998" s="5" t="s">
        <v>13093</v>
      </c>
      <c r="P1998" s="5"/>
      <c r="Q1998" s="5" t="s">
        <v>13120</v>
      </c>
    </row>
    <row r="1999" spans="2:17" x14ac:dyDescent="0.2">
      <c r="B1999" s="5" t="s">
        <v>13091</v>
      </c>
      <c r="C1999" s="6" t="s">
        <v>13589</v>
      </c>
      <c r="D1999" s="4">
        <v>1867</v>
      </c>
      <c r="E1999" s="5" t="s">
        <v>82</v>
      </c>
      <c r="F1999" s="5" t="s">
        <v>13317</v>
      </c>
      <c r="G1999" s="6" t="s">
        <v>14</v>
      </c>
      <c r="H1999" s="4">
        <v>996</v>
      </c>
      <c r="I1999" s="5"/>
      <c r="J1999" s="5" t="s">
        <v>13321</v>
      </c>
      <c r="K1999" s="5" t="s">
        <v>13099</v>
      </c>
      <c r="L1999" s="5"/>
      <c r="M1999" s="5" t="s">
        <v>224</v>
      </c>
      <c r="N1999" s="5" t="s">
        <v>224</v>
      </c>
      <c r="O1999" s="5" t="s">
        <v>13100</v>
      </c>
      <c r="P1999" s="5"/>
      <c r="Q1999" s="5" t="s">
        <v>13322</v>
      </c>
    </row>
    <row r="2000" spans="2:17" x14ac:dyDescent="0.2">
      <c r="B2000" s="5" t="s">
        <v>13091</v>
      </c>
      <c r="C2000" s="6" t="s">
        <v>13589</v>
      </c>
      <c r="D2000" s="4">
        <v>1868</v>
      </c>
      <c r="E2000" s="5" t="s">
        <v>82</v>
      </c>
      <c r="F2000" s="5" t="s">
        <v>13317</v>
      </c>
      <c r="G2000" s="6" t="s">
        <v>14</v>
      </c>
      <c r="H2000" s="4">
        <v>997</v>
      </c>
      <c r="I2000" s="5"/>
      <c r="J2000" s="5" t="s">
        <v>13323</v>
      </c>
      <c r="K2000" s="5" t="s">
        <v>13109</v>
      </c>
      <c r="L2000" s="5"/>
      <c r="M2000" s="5" t="s">
        <v>224</v>
      </c>
      <c r="N2000" s="5" t="s">
        <v>224</v>
      </c>
      <c r="O2000" s="5" t="s">
        <v>13100</v>
      </c>
      <c r="P2000" s="5"/>
      <c r="Q2000" s="5" t="s">
        <v>13324</v>
      </c>
    </row>
    <row r="2001" spans="2:17" x14ac:dyDescent="0.2">
      <c r="B2001" s="5" t="s">
        <v>13091</v>
      </c>
      <c r="C2001" s="6" t="s">
        <v>13589</v>
      </c>
      <c r="D2001" s="4">
        <v>1869</v>
      </c>
      <c r="E2001" s="5" t="s">
        <v>32</v>
      </c>
      <c r="F2001" s="5" t="s">
        <v>13317</v>
      </c>
      <c r="G2001" s="6" t="s">
        <v>14</v>
      </c>
      <c r="H2001" s="4">
        <v>998</v>
      </c>
      <c r="I2001" s="5" t="s">
        <v>22</v>
      </c>
      <c r="J2001" s="5" t="s">
        <v>13318</v>
      </c>
      <c r="K2001" s="5" t="s">
        <v>5034</v>
      </c>
      <c r="L2001" s="5"/>
      <c r="M2001" s="5" t="s">
        <v>224</v>
      </c>
      <c r="N2001" s="5" t="s">
        <v>224</v>
      </c>
      <c r="O2001" s="5" t="s">
        <v>13100</v>
      </c>
      <c r="P2001" s="5"/>
      <c r="Q2001" s="5" t="s">
        <v>13319</v>
      </c>
    </row>
    <row r="2002" spans="2:17" x14ac:dyDescent="0.2">
      <c r="B2002" s="5" t="s">
        <v>13091</v>
      </c>
      <c r="C2002" s="6" t="s">
        <v>13589</v>
      </c>
      <c r="D2002" s="4">
        <v>1870</v>
      </c>
      <c r="E2002" s="5" t="s">
        <v>32</v>
      </c>
      <c r="F2002" s="5" t="s">
        <v>13314</v>
      </c>
      <c r="G2002" s="6" t="s">
        <v>14</v>
      </c>
      <c r="H2002" s="4">
        <v>999</v>
      </c>
      <c r="I2002" s="5" t="s">
        <v>22</v>
      </c>
      <c r="J2002" s="5" t="s">
        <v>13315</v>
      </c>
      <c r="K2002" s="5" t="s">
        <v>792</v>
      </c>
      <c r="L2002" s="5"/>
      <c r="M2002" s="5" t="s">
        <v>224</v>
      </c>
      <c r="N2002" s="5" t="s">
        <v>224</v>
      </c>
      <c r="O2002" s="5" t="s">
        <v>13100</v>
      </c>
      <c r="P2002" s="5"/>
      <c r="Q2002" s="5" t="s">
        <v>13316</v>
      </c>
    </row>
    <row r="2003" spans="2:17" x14ac:dyDescent="0.2">
      <c r="B2003" s="5" t="s">
        <v>13091</v>
      </c>
      <c r="C2003" s="6" t="s">
        <v>13589</v>
      </c>
      <c r="D2003" s="4">
        <v>1871</v>
      </c>
      <c r="E2003" s="5" t="s">
        <v>82</v>
      </c>
      <c r="F2003" s="5" t="s">
        <v>13311</v>
      </c>
      <c r="G2003" s="6" t="s">
        <v>14</v>
      </c>
      <c r="H2003" s="4">
        <v>1000</v>
      </c>
      <c r="I2003" s="5"/>
      <c r="J2003" s="5" t="s">
        <v>13312</v>
      </c>
      <c r="K2003" s="5" t="s">
        <v>13107</v>
      </c>
      <c r="L2003" s="5"/>
      <c r="M2003" s="5" t="s">
        <v>1062</v>
      </c>
      <c r="N2003" s="5" t="s">
        <v>1650</v>
      </c>
      <c r="O2003" s="5" t="s">
        <v>13093</v>
      </c>
      <c r="P2003" s="5"/>
      <c r="Q2003" s="5" t="s">
        <v>13313</v>
      </c>
    </row>
    <row r="2004" spans="2:17" x14ac:dyDescent="0.2">
      <c r="B2004" s="5" t="s">
        <v>13091</v>
      </c>
      <c r="C2004" s="6" t="s">
        <v>13589</v>
      </c>
      <c r="D2004" s="4">
        <v>1873</v>
      </c>
      <c r="E2004" s="5" t="s">
        <v>82</v>
      </c>
      <c r="F2004" s="5" t="s">
        <v>13366</v>
      </c>
      <c r="G2004" s="6" t="s">
        <v>14</v>
      </c>
      <c r="H2004" s="4">
        <v>1001</v>
      </c>
      <c r="I2004" s="5"/>
      <c r="J2004" s="5" t="s">
        <v>13303</v>
      </c>
      <c r="K2004" s="5" t="s">
        <v>13126</v>
      </c>
      <c r="L2004" s="5"/>
      <c r="M2004" s="5" t="s">
        <v>260</v>
      </c>
      <c r="N2004" s="5" t="s">
        <v>260</v>
      </c>
      <c r="O2004" s="5" t="s">
        <v>13098</v>
      </c>
      <c r="P2004" s="5"/>
      <c r="Q2004" s="5" t="s">
        <v>13367</v>
      </c>
    </row>
    <row r="2005" spans="2:17" x14ac:dyDescent="0.2">
      <c r="B2005" s="5" t="s">
        <v>13091</v>
      </c>
      <c r="C2005" s="6" t="s">
        <v>13589</v>
      </c>
      <c r="D2005" s="4">
        <v>1874</v>
      </c>
      <c r="E2005" s="5" t="s">
        <v>24</v>
      </c>
      <c r="F2005" s="5" t="s">
        <v>13111</v>
      </c>
      <c r="G2005" s="6" t="s">
        <v>14</v>
      </c>
      <c r="H2005" s="4">
        <v>1002</v>
      </c>
      <c r="I2005" s="5"/>
      <c r="J2005" s="5" t="s">
        <v>13112</v>
      </c>
      <c r="K2005" s="5" t="s">
        <v>13108</v>
      </c>
      <c r="L2005" s="5"/>
      <c r="M2005" s="5" t="s">
        <v>3997</v>
      </c>
      <c r="N2005" s="5" t="s">
        <v>3997</v>
      </c>
      <c r="O2005" s="5" t="s">
        <v>13098</v>
      </c>
      <c r="P2005" s="5"/>
      <c r="Q2005" s="5" t="s">
        <v>13113</v>
      </c>
    </row>
    <row r="2006" spans="2:17" x14ac:dyDescent="0.2">
      <c r="B2006" s="5" t="s">
        <v>13091</v>
      </c>
      <c r="C2006" s="6" t="s">
        <v>13589</v>
      </c>
      <c r="D2006" s="4">
        <v>1875</v>
      </c>
      <c r="E2006" s="5" t="s">
        <v>20</v>
      </c>
      <c r="F2006" s="5" t="s">
        <v>13351</v>
      </c>
      <c r="G2006" s="6" t="s">
        <v>14</v>
      </c>
      <c r="H2006" s="4">
        <v>1003</v>
      </c>
      <c r="I2006" s="5" t="s">
        <v>22</v>
      </c>
      <c r="J2006" s="5" t="s">
        <v>13352</v>
      </c>
      <c r="K2006" s="5" t="s">
        <v>13182</v>
      </c>
      <c r="L2006" s="5"/>
      <c r="M2006" s="5" t="s">
        <v>260</v>
      </c>
      <c r="N2006" s="5" t="s">
        <v>261</v>
      </c>
      <c r="O2006" s="5" t="s">
        <v>13093</v>
      </c>
      <c r="P2006" s="5"/>
      <c r="Q2006" s="5" t="s">
        <v>13353</v>
      </c>
    </row>
    <row r="2007" spans="2:17" x14ac:dyDescent="0.2">
      <c r="B2007" s="5" t="s">
        <v>13091</v>
      </c>
      <c r="C2007" s="6" t="s">
        <v>13589</v>
      </c>
      <c r="D2007" s="4">
        <v>1876</v>
      </c>
      <c r="E2007" s="5" t="s">
        <v>82</v>
      </c>
      <c r="F2007" s="5" t="s">
        <v>13363</v>
      </c>
      <c r="G2007" s="6" t="s">
        <v>14</v>
      </c>
      <c r="H2007" s="4">
        <v>1004</v>
      </c>
      <c r="I2007" s="5"/>
      <c r="J2007" s="5" t="s">
        <v>13364</v>
      </c>
      <c r="K2007" s="5" t="s">
        <v>13270</v>
      </c>
      <c r="L2007" s="5"/>
      <c r="M2007" s="5" t="s">
        <v>260</v>
      </c>
      <c r="N2007" s="5" t="s">
        <v>261</v>
      </c>
      <c r="O2007" s="5" t="s">
        <v>13098</v>
      </c>
      <c r="P2007" s="5"/>
      <c r="Q2007" s="5" t="s">
        <v>13365</v>
      </c>
    </row>
    <row r="2008" spans="2:17" x14ac:dyDescent="0.2">
      <c r="B2008" s="5" t="s">
        <v>13091</v>
      </c>
      <c r="C2008" s="6" t="s">
        <v>13589</v>
      </c>
      <c r="D2008" s="4">
        <v>1880</v>
      </c>
      <c r="E2008" s="5" t="s">
        <v>82</v>
      </c>
      <c r="F2008" s="5" t="s">
        <v>13302</v>
      </c>
      <c r="G2008" s="6" t="s">
        <v>14</v>
      </c>
      <c r="H2008" s="4">
        <v>1005</v>
      </c>
      <c r="I2008" s="5"/>
      <c r="J2008" s="5" t="s">
        <v>13303</v>
      </c>
      <c r="K2008" s="5" t="s">
        <v>13126</v>
      </c>
      <c r="L2008" s="5"/>
      <c r="M2008" s="5" t="s">
        <v>484</v>
      </c>
      <c r="N2008" s="5" t="s">
        <v>484</v>
      </c>
      <c r="O2008" s="5" t="s">
        <v>13098</v>
      </c>
      <c r="P2008" s="5"/>
      <c r="Q2008" s="5" t="s">
        <v>13304</v>
      </c>
    </row>
    <row r="2009" spans="2:17" x14ac:dyDescent="0.2">
      <c r="B2009" s="5" t="s">
        <v>5681</v>
      </c>
      <c r="C2009" s="6" t="s">
        <v>13589</v>
      </c>
      <c r="D2009" s="4">
        <v>225</v>
      </c>
      <c r="E2009" s="5" t="s">
        <v>20</v>
      </c>
      <c r="F2009" s="5" t="s">
        <v>5802</v>
      </c>
      <c r="G2009" s="6" t="s">
        <v>36</v>
      </c>
      <c r="H2009" s="4"/>
      <c r="I2009" s="5" t="s">
        <v>22</v>
      </c>
      <c r="J2009" s="5" t="s">
        <v>5803</v>
      </c>
      <c r="K2009" s="5" t="s">
        <v>5708</v>
      </c>
      <c r="L2009" s="5"/>
      <c r="M2009" s="5" t="s">
        <v>283</v>
      </c>
      <c r="N2009" s="5" t="s">
        <v>283</v>
      </c>
      <c r="O2009" s="5" t="s">
        <v>5694</v>
      </c>
      <c r="P2009" s="5"/>
      <c r="Q2009" s="5" t="s">
        <v>5804</v>
      </c>
    </row>
    <row r="2010" spans="2:17" x14ac:dyDescent="0.2">
      <c r="B2010" s="5" t="s">
        <v>8364</v>
      </c>
      <c r="C2010" s="6" t="s">
        <v>13589</v>
      </c>
      <c r="D2010" s="4">
        <v>367</v>
      </c>
      <c r="E2010" s="5" t="s">
        <v>20</v>
      </c>
      <c r="F2010" s="5" t="s">
        <v>8456</v>
      </c>
      <c r="G2010" s="6" t="s">
        <v>36</v>
      </c>
      <c r="H2010" s="4"/>
      <c r="I2010" s="5" t="s">
        <v>22</v>
      </c>
      <c r="J2010" s="5" t="s">
        <v>8457</v>
      </c>
      <c r="K2010" s="5" t="s">
        <v>31</v>
      </c>
      <c r="L2010" s="5"/>
      <c r="M2010" s="5" t="s">
        <v>8458</v>
      </c>
      <c r="N2010" s="5" t="s">
        <v>330</v>
      </c>
      <c r="O2010" s="5" t="s">
        <v>8368</v>
      </c>
      <c r="P2010" s="5"/>
      <c r="Q2010" s="5" t="s">
        <v>8459</v>
      </c>
    </row>
    <row r="2011" spans="2:17" x14ac:dyDescent="0.2">
      <c r="B2011" s="5" t="s">
        <v>8683</v>
      </c>
      <c r="C2011" s="6" t="s">
        <v>13589</v>
      </c>
      <c r="D2011" s="4">
        <v>517</v>
      </c>
      <c r="E2011" s="5" t="s">
        <v>20</v>
      </c>
      <c r="F2011" s="5" t="s">
        <v>5802</v>
      </c>
      <c r="G2011" s="6" t="s">
        <v>36</v>
      </c>
      <c r="H2011" s="4"/>
      <c r="I2011" s="5" t="s">
        <v>22</v>
      </c>
      <c r="J2011" s="5" t="s">
        <v>5803</v>
      </c>
      <c r="K2011" s="5" t="s">
        <v>5708</v>
      </c>
      <c r="L2011" s="5"/>
      <c r="M2011" s="5" t="s">
        <v>283</v>
      </c>
      <c r="N2011" s="5" t="s">
        <v>283</v>
      </c>
      <c r="O2011" s="5" t="s">
        <v>5694</v>
      </c>
      <c r="P2011" s="5"/>
      <c r="Q2011" s="5" t="s">
        <v>8729</v>
      </c>
    </row>
    <row r="2012" spans="2:17" x14ac:dyDescent="0.2">
      <c r="B2012" s="5" t="s">
        <v>9008</v>
      </c>
      <c r="C2012" s="6" t="s">
        <v>13589</v>
      </c>
      <c r="D2012" s="4">
        <v>622</v>
      </c>
      <c r="E2012" s="5" t="s">
        <v>20</v>
      </c>
      <c r="F2012" s="5" t="s">
        <v>9266</v>
      </c>
      <c r="G2012" s="6" t="s">
        <v>36</v>
      </c>
      <c r="H2012" s="4"/>
      <c r="I2012" s="5" t="s">
        <v>22</v>
      </c>
      <c r="J2012" s="5" t="s">
        <v>9267</v>
      </c>
      <c r="K2012" s="5" t="s">
        <v>9082</v>
      </c>
      <c r="L2012" s="5"/>
      <c r="M2012" s="5" t="s">
        <v>341</v>
      </c>
      <c r="N2012" s="5" t="s">
        <v>1821</v>
      </c>
      <c r="O2012" s="5" t="s">
        <v>9019</v>
      </c>
      <c r="P2012" s="5"/>
      <c r="Q2012" s="5" t="s">
        <v>9268</v>
      </c>
    </row>
    <row r="2013" spans="2:17" x14ac:dyDescent="0.2">
      <c r="B2013" s="5" t="s">
        <v>9008</v>
      </c>
      <c r="C2013" s="6" t="s">
        <v>13589</v>
      </c>
      <c r="D2013" s="4">
        <v>710</v>
      </c>
      <c r="E2013" s="5" t="s">
        <v>20</v>
      </c>
      <c r="F2013" s="5" t="s">
        <v>9060</v>
      </c>
      <c r="G2013" s="6" t="s">
        <v>36</v>
      </c>
      <c r="H2013" s="4"/>
      <c r="I2013" s="5" t="s">
        <v>22</v>
      </c>
      <c r="J2013" s="5" t="s">
        <v>9025</v>
      </c>
      <c r="K2013" s="5" t="s">
        <v>9015</v>
      </c>
      <c r="L2013" s="5"/>
      <c r="M2013" s="5" t="s">
        <v>1207</v>
      </c>
      <c r="N2013" s="5" t="s">
        <v>1208</v>
      </c>
      <c r="O2013" s="5" t="s">
        <v>9016</v>
      </c>
      <c r="P2013" s="5"/>
      <c r="Q2013" s="5" t="s">
        <v>9061</v>
      </c>
    </row>
    <row r="2014" spans="2:17" x14ac:dyDescent="0.2">
      <c r="B2014" s="5" t="s">
        <v>9008</v>
      </c>
      <c r="C2014" s="6" t="s">
        <v>13589</v>
      </c>
      <c r="D2014" s="4">
        <v>736</v>
      </c>
      <c r="E2014" s="5" t="s">
        <v>24</v>
      </c>
      <c r="F2014" s="5" t="s">
        <v>9548</v>
      </c>
      <c r="G2014" s="6" t="s">
        <v>36</v>
      </c>
      <c r="H2014" s="4"/>
      <c r="I2014" s="5"/>
      <c r="J2014" s="5" t="s">
        <v>9522</v>
      </c>
      <c r="K2014" s="5" t="s">
        <v>4973</v>
      </c>
      <c r="L2014" s="5"/>
      <c r="M2014" s="5" t="s">
        <v>525</v>
      </c>
      <c r="N2014" s="5" t="s">
        <v>351</v>
      </c>
      <c r="O2014" s="5" t="s">
        <v>9012</v>
      </c>
      <c r="P2014" s="5"/>
      <c r="Q2014" s="5" t="s">
        <v>9549</v>
      </c>
    </row>
    <row r="2015" spans="2:17" x14ac:dyDescent="0.2">
      <c r="B2015" s="5" t="s">
        <v>9550</v>
      </c>
      <c r="C2015" s="6" t="s">
        <v>13589</v>
      </c>
      <c r="D2015" s="4">
        <v>851</v>
      </c>
      <c r="E2015" s="5" t="s">
        <v>82</v>
      </c>
      <c r="F2015" s="5" t="s">
        <v>9724</v>
      </c>
      <c r="G2015" s="6" t="s">
        <v>36</v>
      </c>
      <c r="H2015" s="4"/>
      <c r="I2015" s="5"/>
      <c r="J2015" s="5" t="s">
        <v>9725</v>
      </c>
      <c r="K2015" s="5" t="s">
        <v>9598</v>
      </c>
      <c r="L2015" s="5"/>
      <c r="M2015" s="5" t="s">
        <v>1957</v>
      </c>
      <c r="N2015" s="5" t="s">
        <v>330</v>
      </c>
      <c r="O2015" s="5" t="s">
        <v>9582</v>
      </c>
      <c r="P2015" s="5"/>
      <c r="Q2015" s="5" t="s">
        <v>9726</v>
      </c>
    </row>
    <row r="2016" spans="2:17" x14ac:dyDescent="0.2">
      <c r="B2016" s="5" t="s">
        <v>5246</v>
      </c>
      <c r="C2016" s="6" t="s">
        <v>13589</v>
      </c>
      <c r="D2016" s="4">
        <v>59</v>
      </c>
      <c r="E2016" s="5" t="s">
        <v>15</v>
      </c>
      <c r="F2016" s="5" t="s">
        <v>5437</v>
      </c>
      <c r="G2016" s="6" t="s">
        <v>47</v>
      </c>
      <c r="H2016" s="4"/>
      <c r="I2016" s="5"/>
      <c r="J2016" s="5" t="s">
        <v>5438</v>
      </c>
      <c r="K2016" s="5" t="s">
        <v>5140</v>
      </c>
      <c r="L2016" s="5" t="s">
        <v>5439</v>
      </c>
      <c r="M2016" s="5" t="s">
        <v>1691</v>
      </c>
      <c r="N2016" s="5" t="s">
        <v>1108</v>
      </c>
      <c r="O2016" s="5" t="s">
        <v>5011</v>
      </c>
      <c r="P2016" s="5"/>
      <c r="Q2016" s="5" t="s">
        <v>5440</v>
      </c>
    </row>
    <row r="2017" spans="2:17" x14ac:dyDescent="0.2">
      <c r="B2017" s="5" t="s">
        <v>5246</v>
      </c>
      <c r="C2017" s="6" t="s">
        <v>13589</v>
      </c>
      <c r="D2017" s="4">
        <v>61</v>
      </c>
      <c r="E2017" s="5" t="s">
        <v>20</v>
      </c>
      <c r="F2017" s="5" t="s">
        <v>5428</v>
      </c>
      <c r="G2017" s="6" t="s">
        <v>47</v>
      </c>
      <c r="H2017" s="4"/>
      <c r="I2017" s="5" t="s">
        <v>22</v>
      </c>
      <c r="J2017" s="5" t="s">
        <v>5429</v>
      </c>
      <c r="K2017" s="5" t="s">
        <v>5007</v>
      </c>
      <c r="L2017" s="5" t="s">
        <v>5352</v>
      </c>
      <c r="M2017" s="5" t="s">
        <v>3773</v>
      </c>
      <c r="N2017" s="5" t="s">
        <v>5430</v>
      </c>
      <c r="O2017" s="5" t="s">
        <v>5005</v>
      </c>
      <c r="P2017" s="5"/>
      <c r="Q2017" s="5" t="s">
        <v>5431</v>
      </c>
    </row>
    <row r="2018" spans="2:17" x14ac:dyDescent="0.2">
      <c r="B2018" s="5" t="s">
        <v>5246</v>
      </c>
      <c r="C2018" s="6" t="s">
        <v>13589</v>
      </c>
      <c r="D2018" s="4">
        <v>81</v>
      </c>
      <c r="E2018" s="5" t="s">
        <v>20</v>
      </c>
      <c r="F2018" s="5" t="s">
        <v>5345</v>
      </c>
      <c r="G2018" s="6" t="s">
        <v>47</v>
      </c>
      <c r="H2018" s="4"/>
      <c r="I2018" s="5" t="s">
        <v>22</v>
      </c>
      <c r="J2018" s="5" t="s">
        <v>5346</v>
      </c>
      <c r="K2018" s="5" t="s">
        <v>5347</v>
      </c>
      <c r="L2018" s="5"/>
      <c r="M2018" s="5" t="s">
        <v>3893</v>
      </c>
      <c r="N2018" s="5" t="s">
        <v>1596</v>
      </c>
      <c r="O2018" s="5" t="s">
        <v>5011</v>
      </c>
      <c r="P2018" s="5"/>
      <c r="Q2018" s="5" t="s">
        <v>5348</v>
      </c>
    </row>
    <row r="2019" spans="2:17" x14ac:dyDescent="0.2">
      <c r="B2019" s="5" t="s">
        <v>5246</v>
      </c>
      <c r="C2019" s="6" t="s">
        <v>13589</v>
      </c>
      <c r="D2019" s="4">
        <v>82</v>
      </c>
      <c r="E2019" s="5" t="s">
        <v>20</v>
      </c>
      <c r="F2019" s="5" t="s">
        <v>5345</v>
      </c>
      <c r="G2019" s="6" t="s">
        <v>47</v>
      </c>
      <c r="H2019" s="4"/>
      <c r="I2019" s="5" t="s">
        <v>22</v>
      </c>
      <c r="J2019" s="5" t="s">
        <v>5349</v>
      </c>
      <c r="K2019" s="5" t="s">
        <v>5007</v>
      </c>
      <c r="L2019" s="5"/>
      <c r="M2019" s="5" t="s">
        <v>3893</v>
      </c>
      <c r="N2019" s="5" t="s">
        <v>1596</v>
      </c>
      <c r="O2019" s="5" t="s">
        <v>5005</v>
      </c>
      <c r="P2019" s="5"/>
      <c r="Q2019" s="5" t="s">
        <v>5350</v>
      </c>
    </row>
    <row r="2020" spans="2:17" x14ac:dyDescent="0.2">
      <c r="B2020" s="5" t="s">
        <v>5246</v>
      </c>
      <c r="C2020" s="6" t="s">
        <v>13589</v>
      </c>
      <c r="D2020" s="4">
        <v>83</v>
      </c>
      <c r="E2020" s="5" t="s">
        <v>20</v>
      </c>
      <c r="F2020" s="5" t="s">
        <v>5345</v>
      </c>
      <c r="G2020" s="6" t="s">
        <v>47</v>
      </c>
      <c r="H2020" s="4"/>
      <c r="I2020" s="5" t="s">
        <v>22</v>
      </c>
      <c r="J2020" s="5" t="s">
        <v>5351</v>
      </c>
      <c r="K2020" s="5" t="s">
        <v>5007</v>
      </c>
      <c r="L2020" s="5" t="s">
        <v>5352</v>
      </c>
      <c r="M2020" s="5" t="s">
        <v>3893</v>
      </c>
      <c r="N2020" s="5" t="s">
        <v>1596</v>
      </c>
      <c r="O2020" s="5" t="s">
        <v>5005</v>
      </c>
      <c r="P2020" s="5"/>
      <c r="Q2020" s="5" t="s">
        <v>5353</v>
      </c>
    </row>
    <row r="2021" spans="2:17" x14ac:dyDescent="0.2">
      <c r="B2021" s="5" t="s">
        <v>5246</v>
      </c>
      <c r="C2021" s="6" t="s">
        <v>13589</v>
      </c>
      <c r="D2021" s="4">
        <v>84</v>
      </c>
      <c r="E2021" s="5" t="s">
        <v>82</v>
      </c>
      <c r="F2021" s="5" t="s">
        <v>5341</v>
      </c>
      <c r="G2021" s="6" t="s">
        <v>47</v>
      </c>
      <c r="H2021" s="4"/>
      <c r="I2021" s="5"/>
      <c r="J2021" s="5" t="s">
        <v>5342</v>
      </c>
      <c r="K2021" s="5" t="s">
        <v>5343</v>
      </c>
      <c r="L2021" s="5"/>
      <c r="M2021" s="5" t="s">
        <v>938</v>
      </c>
      <c r="N2021" s="5" t="s">
        <v>174</v>
      </c>
      <c r="O2021" s="5" t="s">
        <v>5011</v>
      </c>
      <c r="P2021" s="5"/>
      <c r="Q2021" s="5" t="s">
        <v>5344</v>
      </c>
    </row>
    <row r="2022" spans="2:17" x14ac:dyDescent="0.2">
      <c r="B2022" s="5" t="s">
        <v>5451</v>
      </c>
      <c r="C2022" s="6" t="s">
        <v>13589</v>
      </c>
      <c r="D2022" s="4">
        <v>164</v>
      </c>
      <c r="E2022" s="5" t="s">
        <v>82</v>
      </c>
      <c r="F2022" s="5" t="s">
        <v>5502</v>
      </c>
      <c r="G2022" s="6" t="s">
        <v>47</v>
      </c>
      <c r="H2022" s="4"/>
      <c r="I2022" s="5"/>
      <c r="J2022" s="5" t="s">
        <v>5503</v>
      </c>
      <c r="K2022" s="5" t="s">
        <v>5001</v>
      </c>
      <c r="L2022" s="5"/>
      <c r="M2022" s="5" t="s">
        <v>295</v>
      </c>
      <c r="N2022" s="5" t="s">
        <v>307</v>
      </c>
      <c r="O2022" s="5" t="s">
        <v>5453</v>
      </c>
      <c r="P2022" s="5"/>
      <c r="Q2022" s="5" t="s">
        <v>5504</v>
      </c>
    </row>
    <row r="2023" spans="2:17" x14ac:dyDescent="0.2">
      <c r="B2023" s="5" t="s">
        <v>5451</v>
      </c>
      <c r="C2023" s="6" t="s">
        <v>13589</v>
      </c>
      <c r="D2023" s="4">
        <v>165</v>
      </c>
      <c r="E2023" s="5" t="s">
        <v>82</v>
      </c>
      <c r="F2023" s="5" t="s">
        <v>5505</v>
      </c>
      <c r="G2023" s="6" t="s">
        <v>47</v>
      </c>
      <c r="H2023" s="4"/>
      <c r="I2023" s="5"/>
      <c r="J2023" s="5" t="s">
        <v>5503</v>
      </c>
      <c r="K2023" s="5" t="s">
        <v>5001</v>
      </c>
      <c r="L2023" s="5"/>
      <c r="M2023" s="5" t="s">
        <v>295</v>
      </c>
      <c r="N2023" s="5" t="s">
        <v>307</v>
      </c>
      <c r="O2023" s="5" t="s">
        <v>5453</v>
      </c>
      <c r="P2023" s="5"/>
      <c r="Q2023" s="5" t="s">
        <v>5506</v>
      </c>
    </row>
    <row r="2024" spans="2:17" x14ac:dyDescent="0.2">
      <c r="B2024" s="5" t="s">
        <v>5681</v>
      </c>
      <c r="C2024" s="6" t="s">
        <v>13589</v>
      </c>
      <c r="D2024" s="4">
        <v>239</v>
      </c>
      <c r="E2024" s="5" t="s">
        <v>20</v>
      </c>
      <c r="F2024" s="5" t="s">
        <v>5799</v>
      </c>
      <c r="G2024" s="6" t="s">
        <v>47</v>
      </c>
      <c r="H2024" s="4"/>
      <c r="I2024" s="5" t="s">
        <v>22</v>
      </c>
      <c r="J2024" s="5" t="s">
        <v>5800</v>
      </c>
      <c r="K2024" s="5" t="s">
        <v>5686</v>
      </c>
      <c r="L2024" s="5"/>
      <c r="M2024" s="5" t="s">
        <v>291</v>
      </c>
      <c r="N2024" s="5" t="s">
        <v>284</v>
      </c>
      <c r="O2024" s="5" t="s">
        <v>5687</v>
      </c>
      <c r="P2024" s="5"/>
      <c r="Q2024" s="5" t="s">
        <v>5801</v>
      </c>
    </row>
    <row r="2025" spans="2:17" x14ac:dyDescent="0.2">
      <c r="B2025" s="5" t="s">
        <v>5681</v>
      </c>
      <c r="C2025" s="6" t="s">
        <v>13589</v>
      </c>
      <c r="D2025" s="4">
        <v>240</v>
      </c>
      <c r="E2025" s="5" t="s">
        <v>20</v>
      </c>
      <c r="F2025" s="5" t="s">
        <v>5796</v>
      </c>
      <c r="G2025" s="6" t="s">
        <v>47</v>
      </c>
      <c r="H2025" s="4"/>
      <c r="I2025" s="5" t="s">
        <v>22</v>
      </c>
      <c r="J2025" s="5" t="s">
        <v>5797</v>
      </c>
      <c r="K2025" s="5" t="s">
        <v>5686</v>
      </c>
      <c r="L2025" s="5"/>
      <c r="M2025" s="5" t="s">
        <v>291</v>
      </c>
      <c r="N2025" s="5" t="s">
        <v>284</v>
      </c>
      <c r="O2025" s="5" t="s">
        <v>5687</v>
      </c>
      <c r="P2025" s="5"/>
      <c r="Q2025" s="5" t="s">
        <v>5798</v>
      </c>
    </row>
    <row r="2026" spans="2:17" x14ac:dyDescent="0.2">
      <c r="B2026" s="5" t="s">
        <v>5681</v>
      </c>
      <c r="C2026" s="6" t="s">
        <v>13589</v>
      </c>
      <c r="D2026" s="4">
        <v>263</v>
      </c>
      <c r="E2026" s="5" t="s">
        <v>20</v>
      </c>
      <c r="F2026" s="5" t="s">
        <v>5734</v>
      </c>
      <c r="G2026" s="6" t="s">
        <v>47</v>
      </c>
      <c r="H2026" s="4"/>
      <c r="I2026" s="5" t="s">
        <v>22</v>
      </c>
      <c r="J2026" s="5" t="s">
        <v>5735</v>
      </c>
      <c r="K2026" s="5" t="s">
        <v>5736</v>
      </c>
      <c r="L2026" s="5"/>
      <c r="M2026" s="5" t="s">
        <v>5737</v>
      </c>
      <c r="N2026" s="5" t="s">
        <v>2821</v>
      </c>
      <c r="O2026" s="5" t="s">
        <v>5690</v>
      </c>
      <c r="P2026" s="5"/>
      <c r="Q2026" s="5" t="s">
        <v>5738</v>
      </c>
    </row>
    <row r="2027" spans="2:17" x14ac:dyDescent="0.2">
      <c r="B2027" s="5" t="s">
        <v>8190</v>
      </c>
      <c r="C2027" s="6" t="s">
        <v>13589</v>
      </c>
      <c r="D2027" s="4">
        <v>291</v>
      </c>
      <c r="E2027" s="5" t="s">
        <v>20</v>
      </c>
      <c r="F2027" s="5" t="s">
        <v>8361</v>
      </c>
      <c r="G2027" s="6" t="s">
        <v>47</v>
      </c>
      <c r="H2027" s="4"/>
      <c r="I2027" s="5" t="s">
        <v>22</v>
      </c>
      <c r="J2027" s="5" t="s">
        <v>3802</v>
      </c>
      <c r="K2027" s="5" t="s">
        <v>8362</v>
      </c>
      <c r="L2027" s="5"/>
      <c r="M2027" s="5" t="s">
        <v>1159</v>
      </c>
      <c r="N2027" s="5" t="s">
        <v>3893</v>
      </c>
      <c r="O2027" s="5" t="s">
        <v>8194</v>
      </c>
      <c r="P2027" s="5"/>
      <c r="Q2027" s="5" t="s">
        <v>8363</v>
      </c>
    </row>
    <row r="2028" spans="2:17" x14ac:dyDescent="0.2">
      <c r="B2028" s="5" t="s">
        <v>8364</v>
      </c>
      <c r="C2028" s="6" t="s">
        <v>13589</v>
      </c>
      <c r="D2028" s="4">
        <v>343</v>
      </c>
      <c r="E2028" s="5" t="s">
        <v>20</v>
      </c>
      <c r="F2028" s="5" t="s">
        <v>8542</v>
      </c>
      <c r="G2028" s="6" t="s">
        <v>47</v>
      </c>
      <c r="H2028" s="4"/>
      <c r="I2028" s="5" t="s">
        <v>22</v>
      </c>
      <c r="J2028" s="5" t="s">
        <v>8543</v>
      </c>
      <c r="K2028" s="5" t="s">
        <v>8449</v>
      </c>
      <c r="L2028" s="5"/>
      <c r="M2028" s="5" t="s">
        <v>185</v>
      </c>
      <c r="N2028" s="5" t="s">
        <v>179</v>
      </c>
      <c r="O2028" s="5" t="s">
        <v>8372</v>
      </c>
      <c r="P2028" s="5"/>
      <c r="Q2028" s="5" t="s">
        <v>8544</v>
      </c>
    </row>
    <row r="2029" spans="2:17" x14ac:dyDescent="0.2">
      <c r="B2029" s="5" t="s">
        <v>8364</v>
      </c>
      <c r="C2029" s="6" t="s">
        <v>13589</v>
      </c>
      <c r="D2029" s="4">
        <v>386</v>
      </c>
      <c r="E2029" s="5" t="s">
        <v>20</v>
      </c>
      <c r="F2029" s="5" t="s">
        <v>8394</v>
      </c>
      <c r="G2029" s="6" t="s">
        <v>47</v>
      </c>
      <c r="H2029" s="4"/>
      <c r="I2029" s="5" t="s">
        <v>22</v>
      </c>
      <c r="J2029" s="5" t="s">
        <v>8395</v>
      </c>
      <c r="K2029" s="5" t="s">
        <v>7815</v>
      </c>
      <c r="L2029" s="5"/>
      <c r="M2029" s="5" t="s">
        <v>1251</v>
      </c>
      <c r="N2029" s="5" t="s">
        <v>1251</v>
      </c>
      <c r="O2029" s="5" t="s">
        <v>8372</v>
      </c>
      <c r="P2029" s="5"/>
      <c r="Q2029" s="5" t="s">
        <v>8396</v>
      </c>
    </row>
    <row r="2030" spans="2:17" x14ac:dyDescent="0.2">
      <c r="B2030" s="5" t="s">
        <v>8364</v>
      </c>
      <c r="C2030" s="6" t="s">
        <v>13589</v>
      </c>
      <c r="D2030" s="4">
        <v>387</v>
      </c>
      <c r="E2030" s="5" t="s">
        <v>20</v>
      </c>
      <c r="F2030" s="5" t="s">
        <v>8394</v>
      </c>
      <c r="G2030" s="6" t="s">
        <v>47</v>
      </c>
      <c r="H2030" s="4"/>
      <c r="I2030" s="5" t="s">
        <v>22</v>
      </c>
      <c r="J2030" s="5" t="s">
        <v>8397</v>
      </c>
      <c r="K2030" s="5" t="s">
        <v>7815</v>
      </c>
      <c r="L2030" s="5"/>
      <c r="M2030" s="5" t="s">
        <v>1251</v>
      </c>
      <c r="N2030" s="5" t="s">
        <v>1251</v>
      </c>
      <c r="O2030" s="5" t="s">
        <v>8372</v>
      </c>
      <c r="P2030" s="5"/>
      <c r="Q2030" s="5" t="s">
        <v>8398</v>
      </c>
    </row>
    <row r="2031" spans="2:17" x14ac:dyDescent="0.2">
      <c r="B2031" s="5" t="s">
        <v>8683</v>
      </c>
      <c r="C2031" s="6" t="s">
        <v>13589</v>
      </c>
      <c r="D2031" s="4">
        <v>498</v>
      </c>
      <c r="E2031" s="5" t="s">
        <v>24</v>
      </c>
      <c r="F2031" s="5" t="s">
        <v>8775</v>
      </c>
      <c r="G2031" s="6" t="s">
        <v>47</v>
      </c>
      <c r="H2031" s="4"/>
      <c r="I2031" s="5"/>
      <c r="J2031" s="5" t="s">
        <v>8776</v>
      </c>
      <c r="K2031" s="5" t="s">
        <v>5686</v>
      </c>
      <c r="L2031" s="5"/>
      <c r="M2031" s="5" t="s">
        <v>2473</v>
      </c>
      <c r="N2031" s="5" t="s">
        <v>2473</v>
      </c>
      <c r="O2031" s="5" t="s">
        <v>5687</v>
      </c>
      <c r="P2031" s="5"/>
      <c r="Q2031" s="5" t="s">
        <v>8777</v>
      </c>
    </row>
    <row r="2032" spans="2:17" x14ac:dyDescent="0.2">
      <c r="B2032" s="5" t="s">
        <v>8683</v>
      </c>
      <c r="C2032" s="6" t="s">
        <v>13589</v>
      </c>
      <c r="D2032" s="4">
        <v>529</v>
      </c>
      <c r="E2032" s="5" t="s">
        <v>20</v>
      </c>
      <c r="F2032" s="5" t="s">
        <v>5796</v>
      </c>
      <c r="G2032" s="6" t="s">
        <v>47</v>
      </c>
      <c r="H2032" s="4"/>
      <c r="I2032" s="5" t="s">
        <v>22</v>
      </c>
      <c r="J2032" s="5" t="s">
        <v>5797</v>
      </c>
      <c r="K2032" s="5" t="s">
        <v>5686</v>
      </c>
      <c r="L2032" s="5"/>
      <c r="M2032" s="5" t="s">
        <v>291</v>
      </c>
      <c r="N2032" s="5" t="s">
        <v>284</v>
      </c>
      <c r="O2032" s="5" t="s">
        <v>5687</v>
      </c>
      <c r="P2032" s="5"/>
      <c r="Q2032" s="5" t="s">
        <v>8728</v>
      </c>
    </row>
    <row r="2033" spans="2:17" x14ac:dyDescent="0.2">
      <c r="B2033" s="5" t="s">
        <v>8683</v>
      </c>
      <c r="C2033" s="6" t="s">
        <v>13589</v>
      </c>
      <c r="D2033" s="4">
        <v>553</v>
      </c>
      <c r="E2033" s="5" t="s">
        <v>20</v>
      </c>
      <c r="F2033" s="5" t="s">
        <v>5734</v>
      </c>
      <c r="G2033" s="6" t="s">
        <v>47</v>
      </c>
      <c r="H2033" s="4"/>
      <c r="I2033" s="5" t="s">
        <v>22</v>
      </c>
      <c r="J2033" s="5" t="s">
        <v>5735</v>
      </c>
      <c r="K2033" s="5" t="s">
        <v>5736</v>
      </c>
      <c r="L2033" s="5"/>
      <c r="M2033" s="5" t="s">
        <v>5737</v>
      </c>
      <c r="N2033" s="5" t="s">
        <v>2821</v>
      </c>
      <c r="O2033" s="5" t="s">
        <v>5690</v>
      </c>
      <c r="P2033" s="5"/>
      <c r="Q2033" s="5" t="s">
        <v>8694</v>
      </c>
    </row>
    <row r="2034" spans="2:17" x14ac:dyDescent="0.2">
      <c r="B2034" s="5" t="s">
        <v>9008</v>
      </c>
      <c r="C2034" s="6" t="s">
        <v>13589</v>
      </c>
      <c r="D2034" s="4">
        <v>575</v>
      </c>
      <c r="E2034" s="5" t="s">
        <v>13</v>
      </c>
      <c r="F2034" s="5" t="s">
        <v>9508</v>
      </c>
      <c r="G2034" s="6" t="s">
        <v>47</v>
      </c>
      <c r="H2034" s="4"/>
      <c r="I2034" s="5"/>
      <c r="J2034" s="5" t="s">
        <v>9509</v>
      </c>
      <c r="K2034" s="5" t="s">
        <v>9046</v>
      </c>
      <c r="L2034" s="5"/>
      <c r="M2034" s="5" t="s">
        <v>229</v>
      </c>
      <c r="N2034" s="5" t="s">
        <v>229</v>
      </c>
      <c r="O2034" s="5" t="s">
        <v>9020</v>
      </c>
      <c r="P2034" s="5"/>
      <c r="Q2034" s="5" t="s">
        <v>9510</v>
      </c>
    </row>
    <row r="2035" spans="2:17" x14ac:dyDescent="0.2">
      <c r="B2035" s="5" t="s">
        <v>9550</v>
      </c>
      <c r="C2035" s="6" t="s">
        <v>13589</v>
      </c>
      <c r="D2035" s="4">
        <v>911</v>
      </c>
      <c r="E2035" s="5" t="s">
        <v>15</v>
      </c>
      <c r="F2035" s="5" t="s">
        <v>9637</v>
      </c>
      <c r="G2035" s="6" t="s">
        <v>47</v>
      </c>
      <c r="H2035" s="4"/>
      <c r="I2035" s="5"/>
      <c r="J2035" s="5" t="s">
        <v>9589</v>
      </c>
      <c r="K2035" s="5" t="s">
        <v>9573</v>
      </c>
      <c r="L2035" s="5"/>
      <c r="M2035" s="5" t="s">
        <v>1207</v>
      </c>
      <c r="N2035" s="5" t="s">
        <v>1208</v>
      </c>
      <c r="O2035" s="5" t="s">
        <v>9557</v>
      </c>
      <c r="P2035" s="5"/>
      <c r="Q2035" s="5" t="s">
        <v>9638</v>
      </c>
    </row>
    <row r="2036" spans="2:17" x14ac:dyDescent="0.2">
      <c r="B2036" s="5" t="s">
        <v>10194</v>
      </c>
      <c r="C2036" s="6" t="s">
        <v>13589</v>
      </c>
      <c r="D2036" s="4">
        <v>976</v>
      </c>
      <c r="E2036" s="5" t="s">
        <v>20</v>
      </c>
      <c r="F2036" s="5" t="s">
        <v>10598</v>
      </c>
      <c r="G2036" s="6" t="s">
        <v>47</v>
      </c>
      <c r="H2036" s="4"/>
      <c r="I2036" s="5" t="s">
        <v>22</v>
      </c>
      <c r="J2036" s="5" t="s">
        <v>10599</v>
      </c>
      <c r="K2036" s="5" t="s">
        <v>10350</v>
      </c>
      <c r="L2036" s="5" t="s">
        <v>10600</v>
      </c>
      <c r="M2036" s="5" t="s">
        <v>422</v>
      </c>
      <c r="N2036" s="5" t="s">
        <v>423</v>
      </c>
      <c r="O2036" s="5" t="s">
        <v>10210</v>
      </c>
      <c r="P2036" s="5"/>
      <c r="Q2036" s="5" t="s">
        <v>10601</v>
      </c>
    </row>
    <row r="2037" spans="2:17" x14ac:dyDescent="0.2">
      <c r="B2037" s="5" t="s">
        <v>10194</v>
      </c>
      <c r="C2037" s="6" t="s">
        <v>13589</v>
      </c>
      <c r="D2037" s="4">
        <v>977</v>
      </c>
      <c r="E2037" s="5" t="s">
        <v>13</v>
      </c>
      <c r="F2037" s="5" t="s">
        <v>10602</v>
      </c>
      <c r="G2037" s="6" t="s">
        <v>47</v>
      </c>
      <c r="H2037" s="4"/>
      <c r="I2037" s="5"/>
      <c r="J2037" s="5" t="s">
        <v>10603</v>
      </c>
      <c r="K2037" s="5" t="s">
        <v>10269</v>
      </c>
      <c r="L2037" s="5"/>
      <c r="M2037" s="5" t="s">
        <v>422</v>
      </c>
      <c r="N2037" s="5" t="s">
        <v>423</v>
      </c>
      <c r="O2037" s="5" t="s">
        <v>10270</v>
      </c>
      <c r="P2037" s="5"/>
      <c r="Q2037" s="5" t="s">
        <v>10604</v>
      </c>
    </row>
    <row r="2038" spans="2:17" x14ac:dyDescent="0.2">
      <c r="B2038" s="5" t="s">
        <v>10194</v>
      </c>
      <c r="C2038" s="6" t="s">
        <v>13589</v>
      </c>
      <c r="D2038" s="4">
        <v>1009</v>
      </c>
      <c r="E2038" s="5" t="s">
        <v>24</v>
      </c>
      <c r="F2038" s="5" t="s">
        <v>10479</v>
      </c>
      <c r="G2038" s="6" t="s">
        <v>47</v>
      </c>
      <c r="H2038" s="4"/>
      <c r="I2038" s="5"/>
      <c r="J2038" s="5" t="s">
        <v>10480</v>
      </c>
      <c r="K2038" s="5" t="s">
        <v>4985</v>
      </c>
      <c r="L2038" s="5"/>
      <c r="M2038" s="5" t="s">
        <v>312</v>
      </c>
      <c r="N2038" s="5" t="s">
        <v>1929</v>
      </c>
      <c r="O2038" s="5" t="s">
        <v>10197</v>
      </c>
      <c r="P2038" s="5"/>
      <c r="Q2038" s="5" t="s">
        <v>10481</v>
      </c>
    </row>
    <row r="2039" spans="2:17" x14ac:dyDescent="0.2">
      <c r="B2039" s="5" t="s">
        <v>10685</v>
      </c>
      <c r="C2039" s="6" t="s">
        <v>13589</v>
      </c>
      <c r="D2039" s="4">
        <v>1181</v>
      </c>
      <c r="E2039" s="5" t="s">
        <v>15</v>
      </c>
      <c r="F2039" s="5" t="s">
        <v>10798</v>
      </c>
      <c r="G2039" s="6" t="s">
        <v>47</v>
      </c>
      <c r="H2039" s="4"/>
      <c r="I2039" s="5"/>
      <c r="J2039" s="5" t="s">
        <v>10799</v>
      </c>
      <c r="K2039" s="5" t="s">
        <v>10699</v>
      </c>
      <c r="L2039" s="5"/>
      <c r="M2039" s="5" t="s">
        <v>2863</v>
      </c>
      <c r="N2039" s="5" t="s">
        <v>1247</v>
      </c>
      <c r="O2039" s="5" t="s">
        <v>10700</v>
      </c>
      <c r="P2039" s="5"/>
      <c r="Q2039" s="5" t="s">
        <v>10800</v>
      </c>
    </row>
    <row r="2040" spans="2:17" x14ac:dyDescent="0.2">
      <c r="B2040" s="5" t="s">
        <v>10685</v>
      </c>
      <c r="C2040" s="6" t="s">
        <v>13589</v>
      </c>
      <c r="D2040" s="4">
        <v>1203</v>
      </c>
      <c r="E2040" s="5" t="s">
        <v>56</v>
      </c>
      <c r="F2040" s="5" t="s">
        <v>10728</v>
      </c>
      <c r="G2040" s="6" t="s">
        <v>47</v>
      </c>
      <c r="H2040" s="4"/>
      <c r="I2040" s="5" t="s">
        <v>38</v>
      </c>
      <c r="J2040" s="5" t="s">
        <v>10729</v>
      </c>
      <c r="K2040" s="5" t="s">
        <v>10699</v>
      </c>
      <c r="L2040" s="5"/>
      <c r="M2040" s="5" t="s">
        <v>1226</v>
      </c>
      <c r="N2040" s="5" t="s">
        <v>1222</v>
      </c>
      <c r="O2040" s="5" t="s">
        <v>10700</v>
      </c>
      <c r="P2040" s="5"/>
      <c r="Q2040" s="5" t="s">
        <v>10730</v>
      </c>
    </row>
    <row r="2041" spans="2:17" x14ac:dyDescent="0.2">
      <c r="B2041" s="5" t="s">
        <v>10685</v>
      </c>
      <c r="C2041" s="6" t="s">
        <v>13589</v>
      </c>
      <c r="D2041" s="4">
        <v>1213</v>
      </c>
      <c r="E2041" s="5" t="s">
        <v>56</v>
      </c>
      <c r="F2041" s="5" t="s">
        <v>11083</v>
      </c>
      <c r="G2041" s="6" t="s">
        <v>47</v>
      </c>
      <c r="H2041" s="4"/>
      <c r="I2041" s="5"/>
      <c r="J2041" s="5" t="s">
        <v>11084</v>
      </c>
      <c r="K2041" s="5" t="s">
        <v>11082</v>
      </c>
      <c r="L2041" s="5"/>
      <c r="M2041" s="5" t="s">
        <v>1903</v>
      </c>
      <c r="N2041" s="5" t="s">
        <v>548</v>
      </c>
      <c r="O2041" s="5" t="s">
        <v>10700</v>
      </c>
      <c r="P2041" s="5"/>
      <c r="Q2041" s="5" t="s">
        <v>11085</v>
      </c>
    </row>
    <row r="2042" spans="2:17" x14ac:dyDescent="0.2">
      <c r="B2042" s="5" t="s">
        <v>11086</v>
      </c>
      <c r="C2042" s="6" t="s">
        <v>13589</v>
      </c>
      <c r="D2042" s="4">
        <v>1287</v>
      </c>
      <c r="E2042" s="5" t="s">
        <v>20</v>
      </c>
      <c r="F2042" s="5" t="s">
        <v>11140</v>
      </c>
      <c r="G2042" s="6" t="s">
        <v>47</v>
      </c>
      <c r="H2042" s="4"/>
      <c r="I2042" s="5" t="s">
        <v>22</v>
      </c>
      <c r="J2042" s="5" t="s">
        <v>11141</v>
      </c>
      <c r="K2042" s="5" t="s">
        <v>11142</v>
      </c>
      <c r="L2042" s="5" t="s">
        <v>11143</v>
      </c>
      <c r="M2042" s="5" t="s">
        <v>2304</v>
      </c>
      <c r="N2042" s="5" t="s">
        <v>2863</v>
      </c>
      <c r="O2042" s="5" t="s">
        <v>11089</v>
      </c>
      <c r="P2042" s="5"/>
      <c r="Q2042" s="5" t="s">
        <v>11144</v>
      </c>
    </row>
    <row r="2043" spans="2:17" x14ac:dyDescent="0.2">
      <c r="B2043" s="5" t="s">
        <v>11086</v>
      </c>
      <c r="C2043" s="6" t="s">
        <v>13589</v>
      </c>
      <c r="D2043" s="4">
        <v>1288</v>
      </c>
      <c r="E2043" s="5" t="s">
        <v>20</v>
      </c>
      <c r="F2043" s="5" t="s">
        <v>11140</v>
      </c>
      <c r="G2043" s="6" t="s">
        <v>47</v>
      </c>
      <c r="H2043" s="4"/>
      <c r="I2043" s="5" t="s">
        <v>22</v>
      </c>
      <c r="J2043" s="5" t="s">
        <v>11145</v>
      </c>
      <c r="K2043" s="5" t="s">
        <v>4376</v>
      </c>
      <c r="L2043" s="5" t="s">
        <v>11146</v>
      </c>
      <c r="M2043" s="5" t="s">
        <v>2304</v>
      </c>
      <c r="N2043" s="5" t="s">
        <v>2863</v>
      </c>
      <c r="O2043" s="5" t="s">
        <v>11089</v>
      </c>
      <c r="P2043" s="5"/>
      <c r="Q2043" s="5" t="s">
        <v>11147</v>
      </c>
    </row>
    <row r="2044" spans="2:17" x14ac:dyDescent="0.2">
      <c r="B2044" s="5" t="s">
        <v>11086</v>
      </c>
      <c r="C2044" s="6" t="s">
        <v>13589</v>
      </c>
      <c r="D2044" s="4">
        <v>1289</v>
      </c>
      <c r="E2044" s="5" t="s">
        <v>20</v>
      </c>
      <c r="F2044" s="5" t="s">
        <v>11140</v>
      </c>
      <c r="G2044" s="6" t="s">
        <v>47</v>
      </c>
      <c r="H2044" s="4"/>
      <c r="I2044" s="5" t="s">
        <v>22</v>
      </c>
      <c r="J2044" s="5" t="s">
        <v>11148</v>
      </c>
      <c r="K2044" s="5" t="s">
        <v>4376</v>
      </c>
      <c r="L2044" s="5" t="s">
        <v>11149</v>
      </c>
      <c r="M2044" s="5" t="s">
        <v>2304</v>
      </c>
      <c r="N2044" s="5" t="s">
        <v>2863</v>
      </c>
      <c r="O2044" s="5" t="s">
        <v>11089</v>
      </c>
      <c r="P2044" s="5"/>
      <c r="Q2044" s="5" t="s">
        <v>11150</v>
      </c>
    </row>
    <row r="2045" spans="2:17" x14ac:dyDescent="0.2">
      <c r="B2045" s="5" t="s">
        <v>11086</v>
      </c>
      <c r="C2045" s="6" t="s">
        <v>13589</v>
      </c>
      <c r="D2045" s="4">
        <v>1290</v>
      </c>
      <c r="E2045" s="5" t="s">
        <v>20</v>
      </c>
      <c r="F2045" s="5" t="s">
        <v>11140</v>
      </c>
      <c r="G2045" s="6" t="s">
        <v>47</v>
      </c>
      <c r="H2045" s="4"/>
      <c r="I2045" s="5" t="s">
        <v>22</v>
      </c>
      <c r="J2045" s="5" t="s">
        <v>11151</v>
      </c>
      <c r="K2045" s="5" t="s">
        <v>11152</v>
      </c>
      <c r="L2045" s="5" t="s">
        <v>11153</v>
      </c>
      <c r="M2045" s="5" t="s">
        <v>2304</v>
      </c>
      <c r="N2045" s="5" t="s">
        <v>2863</v>
      </c>
      <c r="O2045" s="5" t="s">
        <v>11089</v>
      </c>
      <c r="P2045" s="5"/>
      <c r="Q2045" s="5" t="s">
        <v>11154</v>
      </c>
    </row>
    <row r="2046" spans="2:17" x14ac:dyDescent="0.2">
      <c r="B2046" s="5" t="s">
        <v>11086</v>
      </c>
      <c r="C2046" s="6" t="s">
        <v>13589</v>
      </c>
      <c r="D2046" s="4">
        <v>1291</v>
      </c>
      <c r="E2046" s="5" t="s">
        <v>20</v>
      </c>
      <c r="F2046" s="5" t="s">
        <v>11140</v>
      </c>
      <c r="G2046" s="6" t="s">
        <v>47</v>
      </c>
      <c r="H2046" s="4"/>
      <c r="I2046" s="5" t="s">
        <v>22</v>
      </c>
      <c r="J2046" s="5" t="s">
        <v>11155</v>
      </c>
      <c r="K2046" s="5" t="s">
        <v>4376</v>
      </c>
      <c r="L2046" s="5" t="s">
        <v>11149</v>
      </c>
      <c r="M2046" s="5" t="s">
        <v>2304</v>
      </c>
      <c r="N2046" s="5" t="s">
        <v>2863</v>
      </c>
      <c r="O2046" s="5" t="s">
        <v>11089</v>
      </c>
      <c r="P2046" s="5"/>
      <c r="Q2046" s="5" t="s">
        <v>11156</v>
      </c>
    </row>
    <row r="2047" spans="2:17" x14ac:dyDescent="0.2">
      <c r="B2047" s="5" t="s">
        <v>11086</v>
      </c>
      <c r="C2047" s="6" t="s">
        <v>13589</v>
      </c>
      <c r="D2047" s="4">
        <v>1292</v>
      </c>
      <c r="E2047" s="5" t="s">
        <v>20</v>
      </c>
      <c r="F2047" s="5" t="s">
        <v>11140</v>
      </c>
      <c r="G2047" s="6" t="s">
        <v>47</v>
      </c>
      <c r="H2047" s="4"/>
      <c r="I2047" s="5" t="s">
        <v>22</v>
      </c>
      <c r="J2047" s="5" t="s">
        <v>11157</v>
      </c>
      <c r="K2047" s="5" t="s">
        <v>4376</v>
      </c>
      <c r="L2047" s="5" t="s">
        <v>11158</v>
      </c>
      <c r="M2047" s="5" t="s">
        <v>2304</v>
      </c>
      <c r="N2047" s="5" t="s">
        <v>2863</v>
      </c>
      <c r="O2047" s="5" t="s">
        <v>11089</v>
      </c>
      <c r="P2047" s="5"/>
      <c r="Q2047" s="5" t="s">
        <v>11159</v>
      </c>
    </row>
    <row r="2048" spans="2:17" x14ac:dyDescent="0.2">
      <c r="B2048" s="5" t="s">
        <v>11086</v>
      </c>
      <c r="C2048" s="6" t="s">
        <v>13589</v>
      </c>
      <c r="D2048" s="4">
        <v>1293</v>
      </c>
      <c r="E2048" s="5" t="s">
        <v>20</v>
      </c>
      <c r="F2048" s="5" t="s">
        <v>11140</v>
      </c>
      <c r="G2048" s="6" t="s">
        <v>47</v>
      </c>
      <c r="H2048" s="4"/>
      <c r="I2048" s="5" t="s">
        <v>22</v>
      </c>
      <c r="J2048" s="5" t="s">
        <v>11160</v>
      </c>
      <c r="K2048" s="5" t="s">
        <v>11152</v>
      </c>
      <c r="L2048" s="5" t="s">
        <v>11161</v>
      </c>
      <c r="M2048" s="5" t="s">
        <v>2304</v>
      </c>
      <c r="N2048" s="5" t="s">
        <v>2863</v>
      </c>
      <c r="O2048" s="5" t="s">
        <v>11089</v>
      </c>
      <c r="P2048" s="5"/>
      <c r="Q2048" s="5" t="s">
        <v>11162</v>
      </c>
    </row>
    <row r="2049" spans="2:17" x14ac:dyDescent="0.2">
      <c r="B2049" s="5" t="s">
        <v>11086</v>
      </c>
      <c r="C2049" s="6" t="s">
        <v>13589</v>
      </c>
      <c r="D2049" s="4">
        <v>1294</v>
      </c>
      <c r="E2049" s="5" t="s">
        <v>20</v>
      </c>
      <c r="F2049" s="5" t="s">
        <v>11140</v>
      </c>
      <c r="G2049" s="6" t="s">
        <v>47</v>
      </c>
      <c r="H2049" s="4"/>
      <c r="I2049" s="5" t="s">
        <v>22</v>
      </c>
      <c r="J2049" s="5" t="s">
        <v>11163</v>
      </c>
      <c r="K2049" s="5" t="s">
        <v>4376</v>
      </c>
      <c r="L2049" s="5" t="s">
        <v>11149</v>
      </c>
      <c r="M2049" s="5" t="s">
        <v>2304</v>
      </c>
      <c r="N2049" s="5" t="s">
        <v>2863</v>
      </c>
      <c r="O2049" s="5" t="s">
        <v>11089</v>
      </c>
      <c r="P2049" s="5"/>
      <c r="Q2049" s="5" t="s">
        <v>11164</v>
      </c>
    </row>
    <row r="2050" spans="2:17" x14ac:dyDescent="0.2">
      <c r="B2050" s="5" t="s">
        <v>11086</v>
      </c>
      <c r="C2050" s="6" t="s">
        <v>13589</v>
      </c>
      <c r="D2050" s="4">
        <v>1295</v>
      </c>
      <c r="E2050" s="5" t="s">
        <v>20</v>
      </c>
      <c r="F2050" s="5" t="s">
        <v>11140</v>
      </c>
      <c r="G2050" s="6" t="s">
        <v>47</v>
      </c>
      <c r="H2050" s="4"/>
      <c r="I2050" s="5" t="s">
        <v>22</v>
      </c>
      <c r="J2050" s="5" t="s">
        <v>11165</v>
      </c>
      <c r="K2050" s="5" t="s">
        <v>4376</v>
      </c>
      <c r="L2050" s="5" t="s">
        <v>11166</v>
      </c>
      <c r="M2050" s="5" t="s">
        <v>2304</v>
      </c>
      <c r="N2050" s="5" t="s">
        <v>2863</v>
      </c>
      <c r="O2050" s="5" t="s">
        <v>11089</v>
      </c>
      <c r="P2050" s="5"/>
      <c r="Q2050" s="5" t="s">
        <v>11167</v>
      </c>
    </row>
    <row r="2051" spans="2:17" x14ac:dyDescent="0.2">
      <c r="B2051" s="5" t="s">
        <v>11086</v>
      </c>
      <c r="C2051" s="6" t="s">
        <v>13589</v>
      </c>
      <c r="D2051" s="4">
        <v>1296</v>
      </c>
      <c r="E2051" s="5" t="s">
        <v>20</v>
      </c>
      <c r="F2051" s="5" t="s">
        <v>11140</v>
      </c>
      <c r="G2051" s="6" t="s">
        <v>47</v>
      </c>
      <c r="H2051" s="4"/>
      <c r="I2051" s="5" t="s">
        <v>22</v>
      </c>
      <c r="J2051" s="5" t="s">
        <v>11168</v>
      </c>
      <c r="K2051" s="5" t="s">
        <v>4376</v>
      </c>
      <c r="L2051" s="5" t="s">
        <v>11166</v>
      </c>
      <c r="M2051" s="5" t="s">
        <v>2304</v>
      </c>
      <c r="N2051" s="5" t="s">
        <v>2863</v>
      </c>
      <c r="O2051" s="5" t="s">
        <v>11089</v>
      </c>
      <c r="P2051" s="5"/>
      <c r="Q2051" s="5" t="s">
        <v>11169</v>
      </c>
    </row>
    <row r="2052" spans="2:17" x14ac:dyDescent="0.2">
      <c r="B2052" s="5" t="s">
        <v>11086</v>
      </c>
      <c r="C2052" s="6" t="s">
        <v>13589</v>
      </c>
      <c r="D2052" s="4">
        <v>1297</v>
      </c>
      <c r="E2052" s="5" t="s">
        <v>20</v>
      </c>
      <c r="F2052" s="5" t="s">
        <v>11140</v>
      </c>
      <c r="G2052" s="6" t="s">
        <v>47</v>
      </c>
      <c r="H2052" s="4"/>
      <c r="I2052" s="5" t="s">
        <v>22</v>
      </c>
      <c r="J2052" s="5" t="s">
        <v>11170</v>
      </c>
      <c r="K2052" s="5" t="s">
        <v>4376</v>
      </c>
      <c r="L2052" s="5" t="s">
        <v>11166</v>
      </c>
      <c r="M2052" s="5" t="s">
        <v>2304</v>
      </c>
      <c r="N2052" s="5" t="s">
        <v>2863</v>
      </c>
      <c r="O2052" s="5" t="s">
        <v>11089</v>
      </c>
      <c r="P2052" s="5"/>
      <c r="Q2052" s="5" t="s">
        <v>11171</v>
      </c>
    </row>
    <row r="2053" spans="2:17" x14ac:dyDescent="0.2">
      <c r="B2053" s="5" t="s">
        <v>11086</v>
      </c>
      <c r="C2053" s="6" t="s">
        <v>13589</v>
      </c>
      <c r="D2053" s="4">
        <v>1298</v>
      </c>
      <c r="E2053" s="5" t="s">
        <v>20</v>
      </c>
      <c r="F2053" s="5" t="s">
        <v>11140</v>
      </c>
      <c r="G2053" s="6" t="s">
        <v>47</v>
      </c>
      <c r="H2053" s="4"/>
      <c r="I2053" s="5" t="s">
        <v>22</v>
      </c>
      <c r="J2053" s="5" t="s">
        <v>11172</v>
      </c>
      <c r="K2053" s="5" t="s">
        <v>11173</v>
      </c>
      <c r="L2053" s="5" t="s">
        <v>11174</v>
      </c>
      <c r="M2053" s="5" t="s">
        <v>2304</v>
      </c>
      <c r="N2053" s="5" t="s">
        <v>2863</v>
      </c>
      <c r="O2053" s="5" t="s">
        <v>11089</v>
      </c>
      <c r="P2053" s="5"/>
      <c r="Q2053" s="5" t="s">
        <v>11175</v>
      </c>
    </row>
    <row r="2054" spans="2:17" x14ac:dyDescent="0.2">
      <c r="B2054" s="5" t="s">
        <v>11775</v>
      </c>
      <c r="C2054" s="6" t="s">
        <v>13589</v>
      </c>
      <c r="D2054" s="4">
        <v>1478</v>
      </c>
      <c r="E2054" s="5" t="s">
        <v>35</v>
      </c>
      <c r="F2054" s="5" t="s">
        <v>12085</v>
      </c>
      <c r="G2054" s="6" t="s">
        <v>47</v>
      </c>
      <c r="H2054" s="4"/>
      <c r="I2054" s="5"/>
      <c r="J2054" s="5" t="s">
        <v>12086</v>
      </c>
      <c r="K2054" s="5" t="s">
        <v>12087</v>
      </c>
      <c r="L2054" s="5"/>
      <c r="M2054" s="5" t="s">
        <v>1377</v>
      </c>
      <c r="N2054" s="5" t="s">
        <v>1377</v>
      </c>
      <c r="O2054" s="5" t="s">
        <v>11780</v>
      </c>
      <c r="P2054" s="5"/>
      <c r="Q2054" s="5" t="s">
        <v>12088</v>
      </c>
    </row>
    <row r="2055" spans="2:17" x14ac:dyDescent="0.2">
      <c r="B2055" s="5" t="s">
        <v>11775</v>
      </c>
      <c r="C2055" s="6" t="s">
        <v>13589</v>
      </c>
      <c r="D2055" s="4">
        <v>1486</v>
      </c>
      <c r="E2055" s="5" t="s">
        <v>82</v>
      </c>
      <c r="F2055" s="5" t="s">
        <v>12037</v>
      </c>
      <c r="G2055" s="6" t="s">
        <v>47</v>
      </c>
      <c r="H2055" s="4"/>
      <c r="I2055" s="5"/>
      <c r="J2055" s="5" t="s">
        <v>12038</v>
      </c>
      <c r="K2055" s="5" t="s">
        <v>12039</v>
      </c>
      <c r="L2055" s="5"/>
      <c r="M2055" s="5" t="s">
        <v>295</v>
      </c>
      <c r="N2055" s="5" t="s">
        <v>302</v>
      </c>
      <c r="O2055" s="5" t="s">
        <v>11782</v>
      </c>
      <c r="P2055" s="5"/>
      <c r="Q2055" s="5" t="s">
        <v>12040</v>
      </c>
    </row>
    <row r="2056" spans="2:17" x14ac:dyDescent="0.2">
      <c r="B2056" s="5" t="s">
        <v>12409</v>
      </c>
      <c r="C2056" s="6" t="s">
        <v>13589</v>
      </c>
      <c r="D2056" s="4">
        <v>1702</v>
      </c>
      <c r="E2056" s="5" t="s">
        <v>15</v>
      </c>
      <c r="F2056" s="5" t="s">
        <v>12660</v>
      </c>
      <c r="G2056" s="6" t="s">
        <v>47</v>
      </c>
      <c r="H2056" s="4"/>
      <c r="I2056" s="5"/>
      <c r="J2056" s="5" t="s">
        <v>12650</v>
      </c>
      <c r="K2056" s="5" t="s">
        <v>12661</v>
      </c>
      <c r="L2056" s="5" t="s">
        <v>12662</v>
      </c>
      <c r="M2056" s="5" t="s">
        <v>312</v>
      </c>
      <c r="N2056" s="5" t="s">
        <v>1929</v>
      </c>
      <c r="O2056" s="5" t="s">
        <v>12417</v>
      </c>
      <c r="P2056" s="5"/>
      <c r="Q2056" s="5" t="s">
        <v>12663</v>
      </c>
    </row>
    <row r="2057" spans="2:17" x14ac:dyDescent="0.2">
      <c r="B2057" s="5" t="s">
        <v>13091</v>
      </c>
      <c r="C2057" s="6" t="s">
        <v>13589</v>
      </c>
      <c r="D2057" s="4">
        <v>1856</v>
      </c>
      <c r="E2057" s="5" t="s">
        <v>82</v>
      </c>
      <c r="F2057" s="5" t="s">
        <v>13138</v>
      </c>
      <c r="G2057" s="6" t="s">
        <v>47</v>
      </c>
      <c r="H2057" s="4"/>
      <c r="I2057" s="5"/>
      <c r="J2057" s="5"/>
      <c r="K2057" s="5" t="s">
        <v>13139</v>
      </c>
      <c r="L2057" s="5"/>
      <c r="M2057" s="5" t="s">
        <v>2852</v>
      </c>
      <c r="N2057" s="5" t="s">
        <v>2852</v>
      </c>
      <c r="O2057" s="5" t="s">
        <v>13098</v>
      </c>
      <c r="P2057" s="5"/>
      <c r="Q2057" s="5" t="s">
        <v>11094</v>
      </c>
    </row>
    <row r="2058" spans="2:17" x14ac:dyDescent="0.2">
      <c r="B2058" s="5" t="s">
        <v>8683</v>
      </c>
      <c r="C2058" s="6" t="s">
        <v>13589</v>
      </c>
      <c r="D2058" s="4">
        <v>447</v>
      </c>
      <c r="E2058" s="5" t="s">
        <v>20</v>
      </c>
      <c r="F2058" s="5" t="s">
        <v>8911</v>
      </c>
      <c r="G2058" s="6" t="s">
        <v>643</v>
      </c>
      <c r="H2058" s="4"/>
      <c r="I2058" s="5" t="s">
        <v>38</v>
      </c>
      <c r="J2058" s="5" t="s">
        <v>8931</v>
      </c>
      <c r="K2058" s="5" t="s">
        <v>8917</v>
      </c>
      <c r="L2058" s="5"/>
      <c r="M2058" s="5" t="s">
        <v>170</v>
      </c>
      <c r="N2058" s="5" t="s">
        <v>443</v>
      </c>
      <c r="O2058" s="5" t="s">
        <v>5684</v>
      </c>
      <c r="P2058" s="5"/>
      <c r="Q2058" s="5" t="s">
        <v>8932</v>
      </c>
    </row>
    <row r="2059" spans="2:17" x14ac:dyDescent="0.2">
      <c r="B2059" s="5" t="s">
        <v>8683</v>
      </c>
      <c r="C2059" s="6" t="s">
        <v>13589</v>
      </c>
      <c r="D2059" s="4">
        <v>450</v>
      </c>
      <c r="E2059" s="5" t="s">
        <v>20</v>
      </c>
      <c r="F2059" s="5" t="s">
        <v>8911</v>
      </c>
      <c r="G2059" s="6" t="s">
        <v>643</v>
      </c>
      <c r="H2059" s="4"/>
      <c r="I2059" s="5" t="s">
        <v>38</v>
      </c>
      <c r="J2059" s="5" t="s">
        <v>8912</v>
      </c>
      <c r="K2059" s="5" t="s">
        <v>8913</v>
      </c>
      <c r="L2059" s="5" t="s">
        <v>8914</v>
      </c>
      <c r="M2059" s="5" t="s">
        <v>170</v>
      </c>
      <c r="N2059" s="5" t="s">
        <v>437</v>
      </c>
      <c r="O2059" s="5" t="s">
        <v>5684</v>
      </c>
      <c r="P2059" s="5"/>
      <c r="Q2059" s="5" t="s">
        <v>8915</v>
      </c>
    </row>
    <row r="2060" spans="2:17" x14ac:dyDescent="0.2">
      <c r="B2060" s="5" t="s">
        <v>8683</v>
      </c>
      <c r="C2060" s="6" t="s">
        <v>13589</v>
      </c>
      <c r="D2060" s="4">
        <v>451</v>
      </c>
      <c r="E2060" s="5" t="s">
        <v>20</v>
      </c>
      <c r="F2060" s="5" t="s">
        <v>8911</v>
      </c>
      <c r="G2060" s="6" t="s">
        <v>643</v>
      </c>
      <c r="H2060" s="4"/>
      <c r="I2060" s="5" t="s">
        <v>38</v>
      </c>
      <c r="J2060" s="5" t="s">
        <v>8916</v>
      </c>
      <c r="K2060" s="5" t="s">
        <v>8917</v>
      </c>
      <c r="L2060" s="5" t="s">
        <v>8918</v>
      </c>
      <c r="M2060" s="5" t="s">
        <v>170</v>
      </c>
      <c r="N2060" s="5" t="s">
        <v>437</v>
      </c>
      <c r="O2060" s="5" t="s">
        <v>5684</v>
      </c>
      <c r="P2060" s="5"/>
      <c r="Q2060" s="5" t="s">
        <v>8919</v>
      </c>
    </row>
    <row r="2061" spans="2:17" x14ac:dyDescent="0.2">
      <c r="B2061" s="5" t="s">
        <v>8683</v>
      </c>
      <c r="C2061" s="6" t="s">
        <v>13589</v>
      </c>
      <c r="D2061" s="4">
        <v>452</v>
      </c>
      <c r="E2061" s="5" t="s">
        <v>20</v>
      </c>
      <c r="F2061" s="5" t="s">
        <v>8911</v>
      </c>
      <c r="G2061" s="6" t="s">
        <v>643</v>
      </c>
      <c r="H2061" s="4"/>
      <c r="I2061" s="5" t="s">
        <v>38</v>
      </c>
      <c r="J2061" s="5" t="s">
        <v>8920</v>
      </c>
      <c r="K2061" s="5" t="s">
        <v>8913</v>
      </c>
      <c r="L2061" s="5" t="s">
        <v>8921</v>
      </c>
      <c r="M2061" s="5" t="s">
        <v>170</v>
      </c>
      <c r="N2061" s="5" t="s">
        <v>437</v>
      </c>
      <c r="O2061" s="5" t="s">
        <v>5684</v>
      </c>
      <c r="P2061" s="5"/>
      <c r="Q2061" s="5" t="s">
        <v>8922</v>
      </c>
    </row>
    <row r="2062" spans="2:17" x14ac:dyDescent="0.2">
      <c r="B2062" s="5" t="s">
        <v>8683</v>
      </c>
      <c r="C2062" s="6" t="s">
        <v>13589</v>
      </c>
      <c r="D2062" s="4">
        <v>453</v>
      </c>
      <c r="E2062" s="5" t="s">
        <v>24</v>
      </c>
      <c r="F2062" s="5" t="s">
        <v>8936</v>
      </c>
      <c r="G2062" s="6" t="s">
        <v>643</v>
      </c>
      <c r="H2062" s="4"/>
      <c r="I2062" s="5"/>
      <c r="J2062" s="5" t="s">
        <v>8937</v>
      </c>
      <c r="K2062" s="5" t="s">
        <v>8938</v>
      </c>
      <c r="L2062" s="5"/>
      <c r="M2062" s="5" t="s">
        <v>170</v>
      </c>
      <c r="N2062" s="5" t="s">
        <v>437</v>
      </c>
      <c r="O2062" s="5" t="s">
        <v>5684</v>
      </c>
      <c r="P2062" s="5"/>
      <c r="Q2062" s="5" t="s">
        <v>8939</v>
      </c>
    </row>
    <row r="2063" spans="2:17" x14ac:dyDescent="0.2">
      <c r="B2063" s="5" t="s">
        <v>8683</v>
      </c>
      <c r="C2063" s="6" t="s">
        <v>13589</v>
      </c>
      <c r="D2063" s="4">
        <v>454</v>
      </c>
      <c r="E2063" s="5" t="s">
        <v>20</v>
      </c>
      <c r="F2063" s="5" t="s">
        <v>8908</v>
      </c>
      <c r="G2063" s="6" t="s">
        <v>643</v>
      </c>
      <c r="H2063" s="4"/>
      <c r="I2063" s="5" t="s">
        <v>38</v>
      </c>
      <c r="J2063" s="5" t="s">
        <v>8909</v>
      </c>
      <c r="K2063" s="5" t="s">
        <v>3800</v>
      </c>
      <c r="L2063" s="5"/>
      <c r="M2063" s="5" t="s">
        <v>443</v>
      </c>
      <c r="N2063" s="5" t="s">
        <v>437</v>
      </c>
      <c r="O2063" s="5" t="s">
        <v>5684</v>
      </c>
      <c r="P2063" s="5"/>
      <c r="Q2063" s="5" t="s">
        <v>8910</v>
      </c>
    </row>
    <row r="2064" spans="2:17" x14ac:dyDescent="0.2">
      <c r="B2064" s="5" t="s">
        <v>8683</v>
      </c>
      <c r="C2064" s="6" t="s">
        <v>13589</v>
      </c>
      <c r="D2064" s="4">
        <v>455</v>
      </c>
      <c r="E2064" s="5" t="s">
        <v>20</v>
      </c>
      <c r="F2064" s="5" t="s">
        <v>8908</v>
      </c>
      <c r="G2064" s="6" t="s">
        <v>643</v>
      </c>
      <c r="H2064" s="4"/>
      <c r="I2064" s="5" t="s">
        <v>38</v>
      </c>
      <c r="J2064" s="5" t="s">
        <v>8923</v>
      </c>
      <c r="K2064" s="5" t="s">
        <v>8924</v>
      </c>
      <c r="L2064" s="5" t="s">
        <v>8925</v>
      </c>
      <c r="M2064" s="5" t="s">
        <v>170</v>
      </c>
      <c r="N2064" s="5" t="s">
        <v>437</v>
      </c>
      <c r="O2064" s="5" t="s">
        <v>5684</v>
      </c>
      <c r="P2064" s="5"/>
      <c r="Q2064" s="5" t="s">
        <v>8926</v>
      </c>
    </row>
    <row r="2065" spans="2:17" x14ac:dyDescent="0.2">
      <c r="B2065" s="5" t="s">
        <v>8683</v>
      </c>
      <c r="C2065" s="6" t="s">
        <v>13589</v>
      </c>
      <c r="D2065" s="4">
        <v>456</v>
      </c>
      <c r="E2065" s="5" t="s">
        <v>20</v>
      </c>
      <c r="F2065" s="5" t="s">
        <v>8908</v>
      </c>
      <c r="G2065" s="6" t="s">
        <v>643</v>
      </c>
      <c r="H2065" s="4"/>
      <c r="I2065" s="5" t="s">
        <v>38</v>
      </c>
      <c r="J2065" s="5" t="s">
        <v>8927</v>
      </c>
      <c r="K2065" s="5" t="s">
        <v>8928</v>
      </c>
      <c r="L2065" s="5" t="s">
        <v>8929</v>
      </c>
      <c r="M2065" s="5" t="s">
        <v>170</v>
      </c>
      <c r="N2065" s="5" t="s">
        <v>437</v>
      </c>
      <c r="O2065" s="5" t="s">
        <v>5684</v>
      </c>
      <c r="P2065" s="5"/>
      <c r="Q2065" s="5" t="s">
        <v>8930</v>
      </c>
    </row>
    <row r="2066" spans="2:17" x14ac:dyDescent="0.2">
      <c r="B2066" s="5" t="s">
        <v>8683</v>
      </c>
      <c r="C2066" s="6" t="s">
        <v>13589</v>
      </c>
      <c r="D2066" s="4">
        <v>457</v>
      </c>
      <c r="E2066" s="5" t="s">
        <v>20</v>
      </c>
      <c r="F2066" s="5" t="s">
        <v>8933</v>
      </c>
      <c r="G2066" s="6" t="s">
        <v>643</v>
      </c>
      <c r="H2066" s="4"/>
      <c r="I2066" s="5" t="s">
        <v>38</v>
      </c>
      <c r="J2066" s="5" t="s">
        <v>8934</v>
      </c>
      <c r="K2066" s="5" t="s">
        <v>8917</v>
      </c>
      <c r="L2066" s="5"/>
      <c r="M2066" s="5" t="s">
        <v>170</v>
      </c>
      <c r="N2066" s="5" t="s">
        <v>437</v>
      </c>
      <c r="O2066" s="5" t="s">
        <v>5684</v>
      </c>
      <c r="P2066" s="5"/>
      <c r="Q2066" s="5" t="s">
        <v>8935</v>
      </c>
    </row>
    <row r="2067" spans="2:17" x14ac:dyDescent="0.2">
      <c r="B2067" s="5" t="s">
        <v>9550</v>
      </c>
      <c r="C2067" s="6" t="s">
        <v>13589</v>
      </c>
      <c r="D2067" s="4">
        <v>925</v>
      </c>
      <c r="E2067" s="5" t="s">
        <v>20</v>
      </c>
      <c r="F2067" s="5" t="s">
        <v>10190</v>
      </c>
      <c r="G2067" s="6" t="s">
        <v>643</v>
      </c>
      <c r="H2067" s="4"/>
      <c r="I2067" s="5" t="s">
        <v>22</v>
      </c>
      <c r="J2067" s="5" t="s">
        <v>4725</v>
      </c>
      <c r="K2067" s="5" t="s">
        <v>50</v>
      </c>
      <c r="L2067" s="5"/>
      <c r="M2067" s="5" t="s">
        <v>1158</v>
      </c>
      <c r="N2067" s="5" t="s">
        <v>132</v>
      </c>
      <c r="O2067" s="5" t="s">
        <v>3795</v>
      </c>
      <c r="P2067" s="5"/>
      <c r="Q2067" s="5" t="s">
        <v>10191</v>
      </c>
    </row>
    <row r="2068" spans="2:17" x14ac:dyDescent="0.2">
      <c r="B2068" s="5" t="s">
        <v>10685</v>
      </c>
      <c r="C2068" s="6" t="s">
        <v>13589</v>
      </c>
      <c r="D2068" s="4">
        <v>1130</v>
      </c>
      <c r="E2068" s="5" t="s">
        <v>20</v>
      </c>
      <c r="F2068" s="5" t="s">
        <v>11010</v>
      </c>
      <c r="G2068" s="6" t="s">
        <v>643</v>
      </c>
      <c r="H2068" s="4"/>
      <c r="I2068" s="5" t="s">
        <v>38</v>
      </c>
      <c r="J2068" s="5" t="s">
        <v>8931</v>
      </c>
      <c r="K2068" s="5" t="s">
        <v>10917</v>
      </c>
      <c r="L2068" s="5" t="s">
        <v>11017</v>
      </c>
      <c r="M2068" s="5" t="s">
        <v>443</v>
      </c>
      <c r="N2068" s="5" t="s">
        <v>443</v>
      </c>
      <c r="O2068" s="5" t="s">
        <v>10695</v>
      </c>
      <c r="P2068" s="5"/>
      <c r="Q2068" s="5" t="s">
        <v>11018</v>
      </c>
    </row>
    <row r="2069" spans="2:17" x14ac:dyDescent="0.2">
      <c r="B2069" s="5" t="s">
        <v>10685</v>
      </c>
      <c r="C2069" s="6" t="s">
        <v>13589</v>
      </c>
      <c r="D2069" s="4">
        <v>1133</v>
      </c>
      <c r="E2069" s="5" t="s">
        <v>20</v>
      </c>
      <c r="F2069" s="5" t="s">
        <v>11010</v>
      </c>
      <c r="G2069" s="6" t="s">
        <v>643</v>
      </c>
      <c r="H2069" s="4"/>
      <c r="I2069" s="5" t="s">
        <v>38</v>
      </c>
      <c r="J2069" s="5" t="s">
        <v>11011</v>
      </c>
      <c r="K2069" s="5" t="s">
        <v>10917</v>
      </c>
      <c r="L2069" s="5" t="s">
        <v>11012</v>
      </c>
      <c r="M2069" s="5" t="s">
        <v>153</v>
      </c>
      <c r="N2069" s="5" t="s">
        <v>153</v>
      </c>
      <c r="O2069" s="5" t="s">
        <v>10695</v>
      </c>
      <c r="P2069" s="5"/>
      <c r="Q2069" s="5" t="s">
        <v>11013</v>
      </c>
    </row>
    <row r="2070" spans="2:17" x14ac:dyDescent="0.2">
      <c r="B2070" s="5" t="s">
        <v>10685</v>
      </c>
      <c r="C2070" s="6" t="s">
        <v>13589</v>
      </c>
      <c r="D2070" s="4">
        <v>1134</v>
      </c>
      <c r="E2070" s="5" t="s">
        <v>20</v>
      </c>
      <c r="F2070" s="5" t="s">
        <v>11010</v>
      </c>
      <c r="G2070" s="6" t="s">
        <v>643</v>
      </c>
      <c r="H2070" s="4"/>
      <c r="I2070" s="5" t="s">
        <v>38</v>
      </c>
      <c r="J2070" s="5" t="s">
        <v>11014</v>
      </c>
      <c r="K2070" s="5" t="s">
        <v>10917</v>
      </c>
      <c r="L2070" s="5" t="s">
        <v>11015</v>
      </c>
      <c r="M2070" s="5" t="s">
        <v>153</v>
      </c>
      <c r="N2070" s="5" t="s">
        <v>153</v>
      </c>
      <c r="O2070" s="5" t="s">
        <v>10695</v>
      </c>
      <c r="P2070" s="5"/>
      <c r="Q2070" s="5" t="s">
        <v>11016</v>
      </c>
    </row>
    <row r="2071" spans="2:17" x14ac:dyDescent="0.2">
      <c r="B2071" s="5" t="s">
        <v>11377</v>
      </c>
      <c r="C2071" s="6" t="s">
        <v>13589</v>
      </c>
      <c r="D2071" s="4">
        <v>1396</v>
      </c>
      <c r="E2071" s="5" t="s">
        <v>20</v>
      </c>
      <c r="F2071" s="5" t="s">
        <v>11620</v>
      </c>
      <c r="G2071" s="6" t="s">
        <v>643</v>
      </c>
      <c r="H2071" s="4"/>
      <c r="I2071" s="5" t="s">
        <v>22</v>
      </c>
      <c r="J2071" s="5" t="s">
        <v>11621</v>
      </c>
      <c r="K2071" s="5" t="s">
        <v>11622</v>
      </c>
      <c r="L2071" s="5" t="s">
        <v>11623</v>
      </c>
      <c r="M2071" s="5" t="s">
        <v>11624</v>
      </c>
      <c r="N2071" s="5" t="s">
        <v>2134</v>
      </c>
      <c r="O2071" s="5" t="s">
        <v>11378</v>
      </c>
      <c r="P2071" s="5"/>
      <c r="Q2071" s="5" t="s">
        <v>11625</v>
      </c>
    </row>
    <row r="2072" spans="2:17" x14ac:dyDescent="0.2">
      <c r="B2072" s="5" t="s">
        <v>11377</v>
      </c>
      <c r="C2072" s="6" t="s">
        <v>13589</v>
      </c>
      <c r="D2072" s="4">
        <v>1418</v>
      </c>
      <c r="E2072" s="5" t="s">
        <v>20</v>
      </c>
      <c r="F2072" s="5" t="s">
        <v>11722</v>
      </c>
      <c r="G2072" s="6" t="s">
        <v>643</v>
      </c>
      <c r="H2072" s="4"/>
      <c r="I2072" s="5" t="s">
        <v>38</v>
      </c>
      <c r="J2072" s="5" t="s">
        <v>11723</v>
      </c>
      <c r="K2072" s="5" t="s">
        <v>11628</v>
      </c>
      <c r="L2072" s="5" t="s">
        <v>11724</v>
      </c>
      <c r="M2072" s="5" t="s">
        <v>495</v>
      </c>
      <c r="N2072" s="5" t="s">
        <v>496</v>
      </c>
      <c r="O2072" s="5" t="s">
        <v>11383</v>
      </c>
      <c r="P2072" s="5"/>
      <c r="Q2072" s="5" t="s">
        <v>11725</v>
      </c>
    </row>
    <row r="2073" spans="2:17" x14ac:dyDescent="0.2">
      <c r="B2073" s="5" t="s">
        <v>5681</v>
      </c>
      <c r="C2073" s="6" t="s">
        <v>13589</v>
      </c>
      <c r="D2073" s="4">
        <v>259</v>
      </c>
      <c r="E2073" s="5" t="s">
        <v>20</v>
      </c>
      <c r="F2073" s="5" t="s">
        <v>5739</v>
      </c>
      <c r="G2073" s="6" t="s">
        <v>524</v>
      </c>
      <c r="H2073" s="4"/>
      <c r="I2073" s="5" t="s">
        <v>22</v>
      </c>
      <c r="J2073" s="5" t="s">
        <v>5746</v>
      </c>
      <c r="K2073" s="5" t="s">
        <v>5704</v>
      </c>
      <c r="L2073" s="5"/>
      <c r="M2073" s="5" t="s">
        <v>2555</v>
      </c>
      <c r="N2073" s="5" t="s">
        <v>1230</v>
      </c>
      <c r="O2073" s="5" t="s">
        <v>5697</v>
      </c>
      <c r="P2073" s="5"/>
      <c r="Q2073" s="5" t="s">
        <v>5747</v>
      </c>
    </row>
    <row r="2074" spans="2:17" x14ac:dyDescent="0.2">
      <c r="B2074" s="5" t="s">
        <v>5681</v>
      </c>
      <c r="C2074" s="6" t="s">
        <v>13589</v>
      </c>
      <c r="D2074" s="4">
        <v>261</v>
      </c>
      <c r="E2074" s="5" t="s">
        <v>20</v>
      </c>
      <c r="F2074" s="5" t="s">
        <v>5739</v>
      </c>
      <c r="G2074" s="6" t="s">
        <v>524</v>
      </c>
      <c r="H2074" s="4"/>
      <c r="I2074" s="5" t="s">
        <v>22</v>
      </c>
      <c r="J2074" s="5" t="s">
        <v>5740</v>
      </c>
      <c r="K2074" s="5" t="s">
        <v>5689</v>
      </c>
      <c r="L2074" s="5" t="s">
        <v>5741</v>
      </c>
      <c r="M2074" s="5" t="s">
        <v>1230</v>
      </c>
      <c r="N2074" s="5" t="s">
        <v>1222</v>
      </c>
      <c r="O2074" s="5" t="s">
        <v>5690</v>
      </c>
      <c r="P2074" s="5"/>
      <c r="Q2074" s="5" t="s">
        <v>5742</v>
      </c>
    </row>
    <row r="2075" spans="2:17" x14ac:dyDescent="0.2">
      <c r="B2075" s="5" t="s">
        <v>8683</v>
      </c>
      <c r="C2075" s="6" t="s">
        <v>13589</v>
      </c>
      <c r="D2075" s="4">
        <v>549</v>
      </c>
      <c r="E2075" s="5" t="s">
        <v>20</v>
      </c>
      <c r="F2075" s="5" t="s">
        <v>5739</v>
      </c>
      <c r="G2075" s="6" t="s">
        <v>524</v>
      </c>
      <c r="H2075" s="4"/>
      <c r="I2075" s="5" t="s">
        <v>22</v>
      </c>
      <c r="J2075" s="5" t="s">
        <v>5746</v>
      </c>
      <c r="K2075" s="5" t="s">
        <v>5704</v>
      </c>
      <c r="L2075" s="5"/>
      <c r="M2075" s="5" t="s">
        <v>2555</v>
      </c>
      <c r="N2075" s="5" t="s">
        <v>1230</v>
      </c>
      <c r="O2075" s="5" t="s">
        <v>5697</v>
      </c>
      <c r="P2075" s="5"/>
      <c r="Q2075" s="5" t="s">
        <v>8700</v>
      </c>
    </row>
    <row r="2076" spans="2:17" x14ac:dyDescent="0.2">
      <c r="B2076" s="5" t="s">
        <v>8683</v>
      </c>
      <c r="C2076" s="6" t="s">
        <v>13589</v>
      </c>
      <c r="D2076" s="4">
        <v>552</v>
      </c>
      <c r="E2076" s="5" t="s">
        <v>20</v>
      </c>
      <c r="F2076" s="5" t="s">
        <v>5739</v>
      </c>
      <c r="G2076" s="6" t="s">
        <v>524</v>
      </c>
      <c r="H2076" s="4"/>
      <c r="I2076" s="5" t="s">
        <v>22</v>
      </c>
      <c r="J2076" s="5" t="s">
        <v>5740</v>
      </c>
      <c r="K2076" s="5" t="s">
        <v>5689</v>
      </c>
      <c r="L2076" s="5"/>
      <c r="M2076" s="5" t="s">
        <v>1230</v>
      </c>
      <c r="N2076" s="5" t="s">
        <v>1222</v>
      </c>
      <c r="O2076" s="5" t="s">
        <v>5690</v>
      </c>
      <c r="P2076" s="5"/>
      <c r="Q2076" s="5" t="s">
        <v>8695</v>
      </c>
    </row>
    <row r="2077" spans="2:17" x14ac:dyDescent="0.2">
      <c r="B2077" s="5" t="s">
        <v>8683</v>
      </c>
      <c r="C2077" s="6" t="s">
        <v>13589</v>
      </c>
      <c r="D2077" s="4">
        <v>566</v>
      </c>
      <c r="E2077" s="5" t="s">
        <v>20</v>
      </c>
      <c r="F2077" s="5" t="s">
        <v>8696</v>
      </c>
      <c r="G2077" s="6" t="s">
        <v>524</v>
      </c>
      <c r="H2077" s="4"/>
      <c r="I2077" s="5" t="s">
        <v>38</v>
      </c>
      <c r="J2077" s="5" t="s">
        <v>5740</v>
      </c>
      <c r="K2077" s="5" t="s">
        <v>5689</v>
      </c>
      <c r="L2077" s="5" t="s">
        <v>8697</v>
      </c>
      <c r="M2077" s="5" t="s">
        <v>1230</v>
      </c>
      <c r="N2077" s="5" t="s">
        <v>1470</v>
      </c>
      <c r="O2077" s="5" t="s">
        <v>5690</v>
      </c>
      <c r="P2077" s="5"/>
      <c r="Q2077" s="5" t="s">
        <v>8698</v>
      </c>
    </row>
    <row r="2078" spans="2:17" x14ac:dyDescent="0.2">
      <c r="B2078" s="5" t="s">
        <v>9550</v>
      </c>
      <c r="C2078" s="6" t="s">
        <v>13589</v>
      </c>
      <c r="D2078" s="4">
        <v>742</v>
      </c>
      <c r="E2078" s="5" t="s">
        <v>82</v>
      </c>
      <c r="F2078" s="5" t="s">
        <v>10105</v>
      </c>
      <c r="G2078" s="6" t="s">
        <v>524</v>
      </c>
      <c r="H2078" s="4"/>
      <c r="I2078" s="5"/>
      <c r="J2078" s="5" t="s">
        <v>10109</v>
      </c>
      <c r="K2078" s="5" t="s">
        <v>33</v>
      </c>
      <c r="L2078" s="5"/>
      <c r="M2078" s="5" t="s">
        <v>10107</v>
      </c>
      <c r="N2078" s="5" t="s">
        <v>3779</v>
      </c>
      <c r="O2078" s="5" t="s">
        <v>3795</v>
      </c>
      <c r="P2078" s="5"/>
      <c r="Q2078" s="5" t="s">
        <v>10110</v>
      </c>
    </row>
    <row r="2079" spans="2:17" x14ac:dyDescent="0.2">
      <c r="B2079" s="5" t="s">
        <v>9550</v>
      </c>
      <c r="C2079" s="6" t="s">
        <v>13589</v>
      </c>
      <c r="D2079" s="4">
        <v>743</v>
      </c>
      <c r="E2079" s="5" t="s">
        <v>82</v>
      </c>
      <c r="F2079" s="5" t="s">
        <v>10105</v>
      </c>
      <c r="G2079" s="6" t="s">
        <v>524</v>
      </c>
      <c r="H2079" s="4"/>
      <c r="I2079" s="5"/>
      <c r="J2079" s="5" t="s">
        <v>10106</v>
      </c>
      <c r="K2079" s="5" t="s">
        <v>9601</v>
      </c>
      <c r="L2079" s="5"/>
      <c r="M2079" s="5" t="s">
        <v>10107</v>
      </c>
      <c r="N2079" s="5" t="s">
        <v>3779</v>
      </c>
      <c r="O2079" s="5" t="s">
        <v>3795</v>
      </c>
      <c r="P2079" s="5"/>
      <c r="Q2079" s="5" t="s">
        <v>10108</v>
      </c>
    </row>
    <row r="2080" spans="2:17" x14ac:dyDescent="0.2">
      <c r="B2080" s="5" t="s">
        <v>9550</v>
      </c>
      <c r="C2080" s="6" t="s">
        <v>13589</v>
      </c>
      <c r="D2080" s="4">
        <v>905</v>
      </c>
      <c r="E2080" s="5" t="s">
        <v>35</v>
      </c>
      <c r="F2080" s="5" t="s">
        <v>10063</v>
      </c>
      <c r="G2080" s="6" t="s">
        <v>524</v>
      </c>
      <c r="H2080" s="4"/>
      <c r="I2080" s="5"/>
      <c r="J2080" s="5" t="s">
        <v>61</v>
      </c>
      <c r="K2080" s="5" t="s">
        <v>9603</v>
      </c>
      <c r="L2080" s="5"/>
      <c r="M2080" s="5" t="s">
        <v>5234</v>
      </c>
      <c r="N2080" s="5" t="s">
        <v>224</v>
      </c>
      <c r="O2080" s="5" t="s">
        <v>5014</v>
      </c>
      <c r="P2080" s="5"/>
      <c r="Q2080" s="5" t="s">
        <v>10064</v>
      </c>
    </row>
    <row r="2081" spans="2:17" x14ac:dyDescent="0.2">
      <c r="B2081" s="5" t="s">
        <v>11086</v>
      </c>
      <c r="C2081" s="6" t="s">
        <v>13589</v>
      </c>
      <c r="D2081" s="4">
        <v>1314</v>
      </c>
      <c r="E2081" s="5" t="s">
        <v>20</v>
      </c>
      <c r="F2081" s="5" t="s">
        <v>11267</v>
      </c>
      <c r="G2081" s="6" t="s">
        <v>524</v>
      </c>
      <c r="H2081" s="4"/>
      <c r="I2081" s="5" t="s">
        <v>22</v>
      </c>
      <c r="J2081" s="5" t="s">
        <v>11268</v>
      </c>
      <c r="K2081" s="5" t="s">
        <v>11135</v>
      </c>
      <c r="L2081" s="5"/>
      <c r="M2081" s="5" t="s">
        <v>866</v>
      </c>
      <c r="N2081" s="5" t="s">
        <v>2134</v>
      </c>
      <c r="O2081" s="5" t="s">
        <v>11089</v>
      </c>
      <c r="P2081" s="5"/>
      <c r="Q2081" s="5" t="s">
        <v>11269</v>
      </c>
    </row>
    <row r="2082" spans="2:17" x14ac:dyDescent="0.2">
      <c r="B2082" s="5" t="s">
        <v>11086</v>
      </c>
      <c r="C2082" s="6" t="s">
        <v>13589</v>
      </c>
      <c r="D2082" s="4">
        <v>1315</v>
      </c>
      <c r="E2082" s="5" t="s">
        <v>20</v>
      </c>
      <c r="F2082" s="5" t="s">
        <v>11267</v>
      </c>
      <c r="G2082" s="6" t="s">
        <v>524</v>
      </c>
      <c r="H2082" s="4"/>
      <c r="I2082" s="5" t="s">
        <v>22</v>
      </c>
      <c r="J2082" s="5" t="s">
        <v>11270</v>
      </c>
      <c r="K2082" s="5" t="s">
        <v>11088</v>
      </c>
      <c r="L2082" s="5"/>
      <c r="M2082" s="5" t="s">
        <v>866</v>
      </c>
      <c r="N2082" s="5" t="s">
        <v>2134</v>
      </c>
      <c r="O2082" s="5" t="s">
        <v>11089</v>
      </c>
      <c r="P2082" s="5"/>
      <c r="Q2082" s="5" t="s">
        <v>11271</v>
      </c>
    </row>
    <row r="2083" spans="2:17" x14ac:dyDescent="0.2">
      <c r="B2083" s="5" t="s">
        <v>11377</v>
      </c>
      <c r="C2083" s="6" t="s">
        <v>13589</v>
      </c>
      <c r="D2083" s="4">
        <v>1384</v>
      </c>
      <c r="E2083" s="5" t="s">
        <v>15</v>
      </c>
      <c r="F2083" s="5" t="s">
        <v>11498</v>
      </c>
      <c r="G2083" s="6" t="s">
        <v>524</v>
      </c>
      <c r="H2083" s="4"/>
      <c r="I2083" s="5"/>
      <c r="J2083" s="5" t="s">
        <v>11499</v>
      </c>
      <c r="K2083" s="5" t="s">
        <v>11500</v>
      </c>
      <c r="L2083" s="5" t="s">
        <v>11501</v>
      </c>
      <c r="M2083" s="5" t="s">
        <v>2328</v>
      </c>
      <c r="N2083" s="5" t="s">
        <v>1269</v>
      </c>
      <c r="O2083" s="5" t="s">
        <v>11387</v>
      </c>
      <c r="P2083" s="5"/>
      <c r="Q2083" s="5" t="s">
        <v>11502</v>
      </c>
    </row>
    <row r="2084" spans="2:17" x14ac:dyDescent="0.2">
      <c r="B2084" s="5" t="s">
        <v>11377</v>
      </c>
      <c r="C2084" s="6" t="s">
        <v>13589</v>
      </c>
      <c r="D2084" s="4">
        <v>1385</v>
      </c>
      <c r="E2084" s="5" t="s">
        <v>20</v>
      </c>
      <c r="F2084" s="5" t="s">
        <v>11493</v>
      </c>
      <c r="G2084" s="6" t="s">
        <v>524</v>
      </c>
      <c r="H2084" s="4"/>
      <c r="I2084" s="5" t="s">
        <v>22</v>
      </c>
      <c r="J2084" s="5" t="s">
        <v>11494</v>
      </c>
      <c r="K2084" s="5" t="s">
        <v>11495</v>
      </c>
      <c r="L2084" s="5" t="s">
        <v>11496</v>
      </c>
      <c r="M2084" s="5" t="s">
        <v>2328</v>
      </c>
      <c r="N2084" s="5" t="s">
        <v>1269</v>
      </c>
      <c r="O2084" s="5" t="s">
        <v>11387</v>
      </c>
      <c r="P2084" s="5"/>
      <c r="Q2084" s="5" t="s">
        <v>11497</v>
      </c>
    </row>
    <row r="2085" spans="2:17" x14ac:dyDescent="0.2">
      <c r="B2085" s="5" t="s">
        <v>11775</v>
      </c>
      <c r="C2085" s="6" t="s">
        <v>13589</v>
      </c>
      <c r="D2085" s="4">
        <v>1499</v>
      </c>
      <c r="E2085" s="5" t="s">
        <v>20</v>
      </c>
      <c r="F2085" s="5" t="s">
        <v>12011</v>
      </c>
      <c r="G2085" s="6" t="s">
        <v>524</v>
      </c>
      <c r="H2085" s="4"/>
      <c r="I2085" s="5" t="s">
        <v>22</v>
      </c>
      <c r="J2085" s="5" t="s">
        <v>12012</v>
      </c>
      <c r="K2085" s="5" t="s">
        <v>11791</v>
      </c>
      <c r="L2085" s="5"/>
      <c r="M2085" s="5" t="s">
        <v>96</v>
      </c>
      <c r="N2085" s="5" t="s">
        <v>283</v>
      </c>
      <c r="O2085" s="5" t="s">
        <v>11780</v>
      </c>
      <c r="P2085" s="5"/>
      <c r="Q2085" s="5" t="s">
        <v>12013</v>
      </c>
    </row>
    <row r="2086" spans="2:17" x14ac:dyDescent="0.2">
      <c r="B2086" s="5" t="s">
        <v>5246</v>
      </c>
      <c r="C2086" s="6" t="s">
        <v>13589</v>
      </c>
      <c r="D2086" s="4">
        <v>75</v>
      </c>
      <c r="E2086" s="5" t="s">
        <v>20</v>
      </c>
      <c r="F2086" s="5" t="s">
        <v>5367</v>
      </c>
      <c r="G2086" s="6" t="s">
        <v>45</v>
      </c>
      <c r="H2086" s="4"/>
      <c r="I2086" s="5" t="s">
        <v>22</v>
      </c>
      <c r="J2086" s="5" t="s">
        <v>5368</v>
      </c>
      <c r="K2086" s="5" t="s">
        <v>5018</v>
      </c>
      <c r="L2086" s="5"/>
      <c r="M2086" s="5" t="s">
        <v>5369</v>
      </c>
      <c r="N2086" s="5" t="s">
        <v>1634</v>
      </c>
      <c r="O2086" s="5" t="s">
        <v>5014</v>
      </c>
      <c r="P2086" s="5"/>
      <c r="Q2086" s="5" t="s">
        <v>2385</v>
      </c>
    </row>
    <row r="2087" spans="2:17" x14ac:dyDescent="0.2">
      <c r="B2087" s="5" t="s">
        <v>5246</v>
      </c>
      <c r="C2087" s="6" t="s">
        <v>13589</v>
      </c>
      <c r="D2087" s="4">
        <v>90</v>
      </c>
      <c r="E2087" s="5" t="s">
        <v>20</v>
      </c>
      <c r="F2087" s="5" t="s">
        <v>5306</v>
      </c>
      <c r="G2087" s="6" t="s">
        <v>45</v>
      </c>
      <c r="H2087" s="4"/>
      <c r="I2087" s="5" t="s">
        <v>22</v>
      </c>
      <c r="J2087" s="5" t="s">
        <v>5307</v>
      </c>
      <c r="K2087" s="5" t="s">
        <v>5013</v>
      </c>
      <c r="L2087" s="5"/>
      <c r="M2087" s="5" t="s">
        <v>3662</v>
      </c>
      <c r="N2087" s="5" t="s">
        <v>433</v>
      </c>
      <c r="O2087" s="5" t="s">
        <v>5010</v>
      </c>
      <c r="P2087" s="5"/>
      <c r="Q2087" s="5" t="s">
        <v>5308</v>
      </c>
    </row>
    <row r="2088" spans="2:17" x14ac:dyDescent="0.2">
      <c r="B2088" s="5" t="s">
        <v>5246</v>
      </c>
      <c r="C2088" s="6" t="s">
        <v>13589</v>
      </c>
      <c r="D2088" s="4">
        <v>91</v>
      </c>
      <c r="E2088" s="5" t="s">
        <v>20</v>
      </c>
      <c r="F2088" s="5" t="s">
        <v>5306</v>
      </c>
      <c r="G2088" s="6" t="s">
        <v>45</v>
      </c>
      <c r="H2088" s="4"/>
      <c r="I2088" s="5" t="s">
        <v>22</v>
      </c>
      <c r="J2088" s="5" t="s">
        <v>5309</v>
      </c>
      <c r="K2088" s="5" t="s">
        <v>5139</v>
      </c>
      <c r="L2088" s="5"/>
      <c r="M2088" s="5" t="s">
        <v>3662</v>
      </c>
      <c r="N2088" s="5" t="s">
        <v>433</v>
      </c>
      <c r="O2088" s="5" t="s">
        <v>5010</v>
      </c>
      <c r="P2088" s="5"/>
      <c r="Q2088" s="5" t="s">
        <v>5310</v>
      </c>
    </row>
    <row r="2089" spans="2:17" x14ac:dyDescent="0.2">
      <c r="B2089" s="5" t="s">
        <v>5246</v>
      </c>
      <c r="C2089" s="6" t="s">
        <v>13589</v>
      </c>
      <c r="D2089" s="4">
        <v>92</v>
      </c>
      <c r="E2089" s="5" t="s">
        <v>20</v>
      </c>
      <c r="F2089" s="5" t="s">
        <v>5306</v>
      </c>
      <c r="G2089" s="6" t="s">
        <v>45</v>
      </c>
      <c r="H2089" s="4"/>
      <c r="I2089" s="5" t="s">
        <v>22</v>
      </c>
      <c r="J2089" s="5" t="s">
        <v>5311</v>
      </c>
      <c r="K2089" s="5" t="s">
        <v>5139</v>
      </c>
      <c r="L2089" s="5" t="s">
        <v>5312</v>
      </c>
      <c r="M2089" s="5" t="s">
        <v>3662</v>
      </c>
      <c r="N2089" s="5" t="s">
        <v>433</v>
      </c>
      <c r="O2089" s="5" t="s">
        <v>5010</v>
      </c>
      <c r="P2089" s="5"/>
      <c r="Q2089" s="5" t="s">
        <v>5313</v>
      </c>
    </row>
    <row r="2090" spans="2:17" x14ac:dyDescent="0.2">
      <c r="B2090" s="5" t="s">
        <v>5246</v>
      </c>
      <c r="C2090" s="6" t="s">
        <v>13589</v>
      </c>
      <c r="D2090" s="4">
        <v>93</v>
      </c>
      <c r="E2090" s="5" t="s">
        <v>20</v>
      </c>
      <c r="F2090" s="5" t="s">
        <v>5306</v>
      </c>
      <c r="G2090" s="6" t="s">
        <v>45</v>
      </c>
      <c r="H2090" s="4"/>
      <c r="I2090" s="5" t="s">
        <v>22</v>
      </c>
      <c r="J2090" s="5" t="s">
        <v>5314</v>
      </c>
      <c r="K2090" s="5" t="s">
        <v>5315</v>
      </c>
      <c r="L2090" s="5"/>
      <c r="M2090" s="5" t="s">
        <v>3662</v>
      </c>
      <c r="N2090" s="5" t="s">
        <v>433</v>
      </c>
      <c r="O2090" s="5" t="s">
        <v>5005</v>
      </c>
      <c r="P2090" s="5"/>
      <c r="Q2090" s="5" t="s">
        <v>5316</v>
      </c>
    </row>
    <row r="2091" spans="2:17" x14ac:dyDescent="0.2">
      <c r="B2091" s="5" t="s">
        <v>5246</v>
      </c>
      <c r="C2091" s="6" t="s">
        <v>13589</v>
      </c>
      <c r="D2091" s="4">
        <v>94</v>
      </c>
      <c r="E2091" s="5" t="s">
        <v>20</v>
      </c>
      <c r="F2091" s="5" t="s">
        <v>5306</v>
      </c>
      <c r="G2091" s="6" t="s">
        <v>45</v>
      </c>
      <c r="H2091" s="4"/>
      <c r="I2091" s="5" t="s">
        <v>22</v>
      </c>
      <c r="J2091" s="5" t="s">
        <v>5317</v>
      </c>
      <c r="K2091" s="5" t="s">
        <v>5318</v>
      </c>
      <c r="L2091" s="5" t="s">
        <v>5319</v>
      </c>
      <c r="M2091" s="5" t="s">
        <v>3662</v>
      </c>
      <c r="N2091" s="5" t="s">
        <v>433</v>
      </c>
      <c r="O2091" s="5" t="s">
        <v>5005</v>
      </c>
      <c r="P2091" s="5"/>
      <c r="Q2091" s="5" t="s">
        <v>5320</v>
      </c>
    </row>
    <row r="2092" spans="2:17" x14ac:dyDescent="0.2">
      <c r="B2092" s="5" t="s">
        <v>5246</v>
      </c>
      <c r="C2092" s="6" t="s">
        <v>13589</v>
      </c>
      <c r="D2092" s="4">
        <v>95</v>
      </c>
      <c r="E2092" s="5" t="s">
        <v>20</v>
      </c>
      <c r="F2092" s="5" t="s">
        <v>5306</v>
      </c>
      <c r="G2092" s="6" t="s">
        <v>45</v>
      </c>
      <c r="H2092" s="4"/>
      <c r="I2092" s="5" t="s">
        <v>22</v>
      </c>
      <c r="J2092" s="5" t="s">
        <v>5314</v>
      </c>
      <c r="K2092" s="5" t="s">
        <v>5318</v>
      </c>
      <c r="L2092" s="5" t="s">
        <v>5321</v>
      </c>
      <c r="M2092" s="5" t="s">
        <v>3662</v>
      </c>
      <c r="N2092" s="5" t="s">
        <v>433</v>
      </c>
      <c r="O2092" s="5" t="s">
        <v>5005</v>
      </c>
      <c r="P2092" s="5"/>
      <c r="Q2092" s="5" t="s">
        <v>5322</v>
      </c>
    </row>
    <row r="2093" spans="2:17" x14ac:dyDescent="0.2">
      <c r="B2093" s="5" t="s">
        <v>5246</v>
      </c>
      <c r="C2093" s="6" t="s">
        <v>13589</v>
      </c>
      <c r="D2093" s="4">
        <v>96</v>
      </c>
      <c r="E2093" s="5" t="s">
        <v>20</v>
      </c>
      <c r="F2093" s="5" t="s">
        <v>5306</v>
      </c>
      <c r="G2093" s="6" t="s">
        <v>45</v>
      </c>
      <c r="H2093" s="4"/>
      <c r="I2093" s="5" t="s">
        <v>22</v>
      </c>
      <c r="J2093" s="5" t="s">
        <v>5323</v>
      </c>
      <c r="K2093" s="5" t="s">
        <v>5019</v>
      </c>
      <c r="L2093" s="5" t="s">
        <v>5324</v>
      </c>
      <c r="M2093" s="5" t="s">
        <v>3662</v>
      </c>
      <c r="N2093" s="5" t="s">
        <v>433</v>
      </c>
      <c r="O2093" s="5" t="s">
        <v>5138</v>
      </c>
      <c r="P2093" s="5"/>
      <c r="Q2093" s="5" t="s">
        <v>5325</v>
      </c>
    </row>
    <row r="2094" spans="2:17" x14ac:dyDescent="0.2">
      <c r="B2094" s="5" t="s">
        <v>9550</v>
      </c>
      <c r="C2094" s="6" t="s">
        <v>13589</v>
      </c>
      <c r="D2094" s="4">
        <v>792</v>
      </c>
      <c r="E2094" s="5" t="s">
        <v>20</v>
      </c>
      <c r="F2094" s="5" t="s">
        <v>9913</v>
      </c>
      <c r="G2094" s="6" t="s">
        <v>45</v>
      </c>
      <c r="H2094" s="4"/>
      <c r="I2094" s="5" t="s">
        <v>22</v>
      </c>
      <c r="J2094" s="5" t="s">
        <v>9914</v>
      </c>
      <c r="K2094" s="5" t="s">
        <v>9567</v>
      </c>
      <c r="L2094" s="5"/>
      <c r="M2094" s="5" t="s">
        <v>3662</v>
      </c>
      <c r="N2094" s="5" t="s">
        <v>433</v>
      </c>
      <c r="O2094" s="5" t="s">
        <v>9568</v>
      </c>
      <c r="P2094" s="5"/>
      <c r="Q2094" s="5" t="s">
        <v>9915</v>
      </c>
    </row>
    <row r="2095" spans="2:17" x14ac:dyDescent="0.2">
      <c r="B2095" s="5" t="s">
        <v>9550</v>
      </c>
      <c r="C2095" s="6" t="s">
        <v>13589</v>
      </c>
      <c r="D2095" s="4">
        <v>793</v>
      </c>
      <c r="E2095" s="5" t="s">
        <v>20</v>
      </c>
      <c r="F2095" s="5" t="s">
        <v>9913</v>
      </c>
      <c r="G2095" s="6" t="s">
        <v>45</v>
      </c>
      <c r="H2095" s="4"/>
      <c r="I2095" s="5" t="s">
        <v>22</v>
      </c>
      <c r="J2095" s="5" t="s">
        <v>9916</v>
      </c>
      <c r="K2095" s="5" t="s">
        <v>9561</v>
      </c>
      <c r="L2095" s="5"/>
      <c r="M2095" s="5" t="s">
        <v>3662</v>
      </c>
      <c r="N2095" s="5" t="s">
        <v>433</v>
      </c>
      <c r="O2095" s="5" t="s">
        <v>9557</v>
      </c>
      <c r="P2095" s="5"/>
      <c r="Q2095" s="5" t="s">
        <v>9917</v>
      </c>
    </row>
    <row r="2096" spans="2:17" x14ac:dyDescent="0.2">
      <c r="B2096" s="5" t="s">
        <v>9550</v>
      </c>
      <c r="C2096" s="6" t="s">
        <v>13589</v>
      </c>
      <c r="D2096" s="4">
        <v>794</v>
      </c>
      <c r="E2096" s="5" t="s">
        <v>20</v>
      </c>
      <c r="F2096" s="5" t="s">
        <v>9913</v>
      </c>
      <c r="G2096" s="6" t="s">
        <v>45</v>
      </c>
      <c r="H2096" s="4"/>
      <c r="I2096" s="5" t="s">
        <v>22</v>
      </c>
      <c r="J2096" s="5" t="s">
        <v>9918</v>
      </c>
      <c r="K2096" s="5" t="s">
        <v>9573</v>
      </c>
      <c r="L2096" s="5"/>
      <c r="M2096" s="5" t="s">
        <v>3662</v>
      </c>
      <c r="N2096" s="5" t="s">
        <v>433</v>
      </c>
      <c r="O2096" s="5" t="s">
        <v>9557</v>
      </c>
      <c r="P2096" s="5"/>
      <c r="Q2096" s="5" t="s">
        <v>9919</v>
      </c>
    </row>
    <row r="2097" spans="2:17" x14ac:dyDescent="0.2">
      <c r="B2097" s="5" t="s">
        <v>9550</v>
      </c>
      <c r="C2097" s="6" t="s">
        <v>13589</v>
      </c>
      <c r="D2097" s="4">
        <v>795</v>
      </c>
      <c r="E2097" s="5" t="s">
        <v>20</v>
      </c>
      <c r="F2097" s="5" t="s">
        <v>9913</v>
      </c>
      <c r="G2097" s="6" t="s">
        <v>45</v>
      </c>
      <c r="H2097" s="4"/>
      <c r="I2097" s="5" t="s">
        <v>22</v>
      </c>
      <c r="J2097" s="5" t="s">
        <v>9920</v>
      </c>
      <c r="K2097" s="5" t="s">
        <v>9561</v>
      </c>
      <c r="L2097" s="5"/>
      <c r="M2097" s="5" t="s">
        <v>3662</v>
      </c>
      <c r="N2097" s="5" t="s">
        <v>433</v>
      </c>
      <c r="O2097" s="5" t="s">
        <v>9557</v>
      </c>
      <c r="P2097" s="5"/>
      <c r="Q2097" s="5" t="s">
        <v>9921</v>
      </c>
    </row>
    <row r="2098" spans="2:17" x14ac:dyDescent="0.2">
      <c r="B2098" s="5" t="s">
        <v>9550</v>
      </c>
      <c r="C2098" s="6" t="s">
        <v>13589</v>
      </c>
      <c r="D2098" s="4">
        <v>796</v>
      </c>
      <c r="E2098" s="5" t="s">
        <v>20</v>
      </c>
      <c r="F2098" s="5" t="s">
        <v>9913</v>
      </c>
      <c r="G2098" s="6" t="s">
        <v>45</v>
      </c>
      <c r="H2098" s="4"/>
      <c r="I2098" s="5" t="s">
        <v>22</v>
      </c>
      <c r="J2098" s="5" t="s">
        <v>9922</v>
      </c>
      <c r="K2098" s="5" t="s">
        <v>9569</v>
      </c>
      <c r="L2098" s="5"/>
      <c r="M2098" s="5" t="s">
        <v>3662</v>
      </c>
      <c r="N2098" s="5" t="s">
        <v>433</v>
      </c>
      <c r="O2098" s="5" t="s">
        <v>9568</v>
      </c>
      <c r="P2098" s="5"/>
      <c r="Q2098" s="5" t="s">
        <v>9923</v>
      </c>
    </row>
    <row r="2099" spans="2:17" x14ac:dyDescent="0.2">
      <c r="B2099" s="5" t="s">
        <v>10685</v>
      </c>
      <c r="C2099" s="6" t="s">
        <v>13589</v>
      </c>
      <c r="D2099" s="4">
        <v>1129</v>
      </c>
      <c r="E2099" s="5" t="s">
        <v>20</v>
      </c>
      <c r="F2099" s="5" t="s">
        <v>11024</v>
      </c>
      <c r="G2099" s="6" t="s">
        <v>45</v>
      </c>
      <c r="H2099" s="4"/>
      <c r="I2099" s="5" t="s">
        <v>22</v>
      </c>
      <c r="J2099" s="5" t="s">
        <v>11025</v>
      </c>
      <c r="K2099" s="5" t="s">
        <v>11026</v>
      </c>
      <c r="L2099" s="5"/>
      <c r="M2099" s="5" t="s">
        <v>938</v>
      </c>
      <c r="N2099" s="5" t="s">
        <v>1596</v>
      </c>
      <c r="O2099" s="5" t="s">
        <v>10697</v>
      </c>
      <c r="P2099" s="5"/>
      <c r="Q2099" s="5" t="s">
        <v>11027</v>
      </c>
    </row>
    <row r="2100" spans="2:17" x14ac:dyDescent="0.2">
      <c r="B2100" s="5" t="s">
        <v>10685</v>
      </c>
      <c r="C2100" s="6" t="s">
        <v>13589</v>
      </c>
      <c r="D2100" s="4">
        <v>1153</v>
      </c>
      <c r="E2100" s="5" t="s">
        <v>20</v>
      </c>
      <c r="F2100" s="5" t="s">
        <v>10923</v>
      </c>
      <c r="G2100" s="6" t="s">
        <v>45</v>
      </c>
      <c r="H2100" s="4"/>
      <c r="I2100" s="5" t="s">
        <v>22</v>
      </c>
      <c r="J2100" s="5" t="s">
        <v>10924</v>
      </c>
      <c r="K2100" s="5" t="s">
        <v>10925</v>
      </c>
      <c r="L2100" s="5"/>
      <c r="M2100" s="5" t="s">
        <v>2473</v>
      </c>
      <c r="N2100" s="5" t="s">
        <v>1377</v>
      </c>
      <c r="O2100" s="5" t="s">
        <v>10697</v>
      </c>
      <c r="P2100" s="5"/>
      <c r="Q2100" s="5" t="s">
        <v>10926</v>
      </c>
    </row>
    <row r="2101" spans="2:17" x14ac:dyDescent="0.2">
      <c r="B2101" s="5" t="s">
        <v>11775</v>
      </c>
      <c r="C2101" s="6" t="s">
        <v>13589</v>
      </c>
      <c r="D2101" s="4">
        <v>1463</v>
      </c>
      <c r="E2101" s="5" t="s">
        <v>20</v>
      </c>
      <c r="F2101" s="5" t="s">
        <v>12257</v>
      </c>
      <c r="G2101" s="6" t="s">
        <v>45</v>
      </c>
      <c r="H2101" s="4"/>
      <c r="I2101" s="5" t="s">
        <v>38</v>
      </c>
      <c r="J2101" s="5" t="s">
        <v>12258</v>
      </c>
      <c r="K2101" s="5" t="s">
        <v>12070</v>
      </c>
      <c r="L2101" s="5" t="s">
        <v>12259</v>
      </c>
      <c r="M2101" s="5" t="s">
        <v>1618</v>
      </c>
      <c r="N2101" s="5" t="s">
        <v>5360</v>
      </c>
      <c r="O2101" s="5" t="s">
        <v>11780</v>
      </c>
      <c r="P2101" s="5"/>
      <c r="Q2101" s="5" t="s">
        <v>12260</v>
      </c>
    </row>
    <row r="2102" spans="2:17" x14ac:dyDescent="0.2">
      <c r="B2102" s="5" t="s">
        <v>11775</v>
      </c>
      <c r="C2102" s="6" t="s">
        <v>13589</v>
      </c>
      <c r="D2102" s="4">
        <v>1467</v>
      </c>
      <c r="E2102" s="5" t="s">
        <v>13</v>
      </c>
      <c r="F2102" s="5" t="s">
        <v>12247</v>
      </c>
      <c r="G2102" s="6" t="s">
        <v>45</v>
      </c>
      <c r="H2102" s="4"/>
      <c r="I2102" s="5"/>
      <c r="J2102" s="5" t="s">
        <v>12248</v>
      </c>
      <c r="K2102" s="5" t="s">
        <v>12094</v>
      </c>
      <c r="L2102" s="5"/>
      <c r="M2102" s="5" t="s">
        <v>432</v>
      </c>
      <c r="N2102" s="5" t="s">
        <v>5076</v>
      </c>
      <c r="O2102" s="5" t="s">
        <v>11780</v>
      </c>
      <c r="P2102" s="5"/>
      <c r="Q2102" s="5" t="s">
        <v>12249</v>
      </c>
    </row>
    <row r="2103" spans="2:17" x14ac:dyDescent="0.2">
      <c r="B2103" s="5" t="s">
        <v>13091</v>
      </c>
      <c r="C2103" s="6" t="s">
        <v>13589</v>
      </c>
      <c r="D2103" s="4">
        <v>1819</v>
      </c>
      <c r="E2103" s="5" t="s">
        <v>24</v>
      </c>
      <c r="F2103" s="5" t="s">
        <v>13251</v>
      </c>
      <c r="G2103" s="6" t="s">
        <v>45</v>
      </c>
      <c r="H2103" s="4"/>
      <c r="I2103" s="5"/>
      <c r="J2103" s="5" t="s">
        <v>13252</v>
      </c>
      <c r="K2103" s="5" t="s">
        <v>13136</v>
      </c>
      <c r="L2103" s="5"/>
      <c r="M2103" s="5" t="s">
        <v>157</v>
      </c>
      <c r="N2103" s="5" t="s">
        <v>153</v>
      </c>
      <c r="O2103" s="5" t="s">
        <v>13098</v>
      </c>
      <c r="P2103" s="5"/>
      <c r="Q2103" s="5" t="s">
        <v>13253</v>
      </c>
    </row>
    <row r="2104" spans="2:17" x14ac:dyDescent="0.2">
      <c r="B2104" s="5" t="s">
        <v>5036</v>
      </c>
      <c r="C2104" s="6" t="s">
        <v>13589</v>
      </c>
      <c r="D2104" s="4">
        <v>7</v>
      </c>
      <c r="E2104" s="5" t="s">
        <v>20</v>
      </c>
      <c r="F2104" s="5" t="s">
        <v>5081</v>
      </c>
      <c r="G2104" s="6" t="s">
        <v>25</v>
      </c>
      <c r="H2104" s="4"/>
      <c r="I2104" s="5" t="s">
        <v>22</v>
      </c>
      <c r="J2104" s="5" t="s">
        <v>5082</v>
      </c>
      <c r="K2104" s="5" t="s">
        <v>4994</v>
      </c>
      <c r="L2104" s="5"/>
      <c r="M2104" s="5" t="s">
        <v>157</v>
      </c>
      <c r="N2104" s="5" t="s">
        <v>153</v>
      </c>
      <c r="O2104" s="5" t="s">
        <v>4989</v>
      </c>
      <c r="P2104" s="5"/>
      <c r="Q2104" s="5" t="s">
        <v>5083</v>
      </c>
    </row>
    <row r="2105" spans="2:17" x14ac:dyDescent="0.2">
      <c r="B2105" s="5" t="s">
        <v>11775</v>
      </c>
      <c r="C2105" s="6" t="s">
        <v>13589</v>
      </c>
      <c r="D2105" s="4">
        <v>1556</v>
      </c>
      <c r="E2105" s="5" t="s">
        <v>20</v>
      </c>
      <c r="F2105" s="5" t="s">
        <v>11860</v>
      </c>
      <c r="G2105" s="6" t="s">
        <v>25</v>
      </c>
      <c r="H2105" s="4"/>
      <c r="I2105" s="5" t="s">
        <v>22</v>
      </c>
      <c r="J2105" s="5" t="s">
        <v>11861</v>
      </c>
      <c r="K2105" s="5" t="s">
        <v>10684</v>
      </c>
      <c r="L2105" s="5" t="s">
        <v>11862</v>
      </c>
      <c r="M2105" s="5" t="s">
        <v>2852</v>
      </c>
      <c r="N2105" s="5" t="s">
        <v>1222</v>
      </c>
      <c r="O2105" s="5" t="s">
        <v>11782</v>
      </c>
      <c r="P2105" s="5"/>
      <c r="Q2105" s="5" t="s">
        <v>11863</v>
      </c>
    </row>
    <row r="2106" spans="2:17" x14ac:dyDescent="0.2">
      <c r="B2106" s="5" t="s">
        <v>9550</v>
      </c>
      <c r="C2106" s="6" t="s">
        <v>13589</v>
      </c>
      <c r="D2106" s="4">
        <v>837</v>
      </c>
      <c r="E2106" s="5" t="s">
        <v>24</v>
      </c>
      <c r="F2106" s="5" t="s">
        <v>9764</v>
      </c>
      <c r="G2106" s="6" t="s">
        <v>541</v>
      </c>
      <c r="H2106" s="4"/>
      <c r="I2106" s="5"/>
      <c r="J2106" s="5" t="s">
        <v>9765</v>
      </c>
      <c r="K2106" s="5" t="s">
        <v>28</v>
      </c>
      <c r="L2106" s="5"/>
      <c r="M2106" s="5" t="s">
        <v>2083</v>
      </c>
      <c r="N2106" s="5" t="s">
        <v>1821</v>
      </c>
      <c r="O2106" s="5" t="s">
        <v>3790</v>
      </c>
      <c r="P2106" s="5"/>
      <c r="Q2106" s="5" t="s">
        <v>9766</v>
      </c>
    </row>
    <row r="2107" spans="2:17" x14ac:dyDescent="0.2">
      <c r="B2107" s="5" t="s">
        <v>5036</v>
      </c>
      <c r="C2107" s="6" t="s">
        <v>13589</v>
      </c>
      <c r="D2107" s="4">
        <v>5</v>
      </c>
      <c r="E2107" s="5" t="s">
        <v>20</v>
      </c>
      <c r="F2107" s="5" t="s">
        <v>5084</v>
      </c>
      <c r="G2107" s="6" t="s">
        <v>39</v>
      </c>
      <c r="H2107" s="4"/>
      <c r="I2107" s="5" t="s">
        <v>22</v>
      </c>
      <c r="J2107" s="5" t="s">
        <v>5085</v>
      </c>
      <c r="K2107" s="5" t="s">
        <v>5086</v>
      </c>
      <c r="L2107" s="5"/>
      <c r="M2107" s="5" t="s">
        <v>938</v>
      </c>
      <c r="N2107" s="5" t="s">
        <v>461</v>
      </c>
      <c r="O2107" s="5" t="s">
        <v>4989</v>
      </c>
      <c r="P2107" s="5"/>
      <c r="Q2107" s="5" t="s">
        <v>5087</v>
      </c>
    </row>
    <row r="2108" spans="2:17" x14ac:dyDescent="0.2">
      <c r="B2108" s="5" t="s">
        <v>5036</v>
      </c>
      <c r="C2108" s="6" t="s">
        <v>13589</v>
      </c>
      <c r="D2108" s="4">
        <v>6</v>
      </c>
      <c r="E2108" s="5" t="s">
        <v>20</v>
      </c>
      <c r="F2108" s="5" t="s">
        <v>5084</v>
      </c>
      <c r="G2108" s="6" t="s">
        <v>39</v>
      </c>
      <c r="H2108" s="4"/>
      <c r="I2108" s="5" t="s">
        <v>22</v>
      </c>
      <c r="J2108" s="5" t="s">
        <v>5088</v>
      </c>
      <c r="K2108" s="5" t="s">
        <v>5086</v>
      </c>
      <c r="L2108" s="5"/>
      <c r="M2108" s="5" t="s">
        <v>938</v>
      </c>
      <c r="N2108" s="5" t="s">
        <v>461</v>
      </c>
      <c r="O2108" s="5" t="s">
        <v>4989</v>
      </c>
      <c r="P2108" s="5"/>
      <c r="Q2108" s="5" t="s">
        <v>5089</v>
      </c>
    </row>
    <row r="2109" spans="2:17" x14ac:dyDescent="0.2">
      <c r="B2109" s="5" t="s">
        <v>5246</v>
      </c>
      <c r="C2109" s="6" t="s">
        <v>13589</v>
      </c>
      <c r="D2109" s="4">
        <v>65</v>
      </c>
      <c r="E2109" s="5" t="s">
        <v>82</v>
      </c>
      <c r="F2109" s="5" t="s">
        <v>5379</v>
      </c>
      <c r="G2109" s="6" t="s">
        <v>39</v>
      </c>
      <c r="H2109" s="4"/>
      <c r="I2109" s="5" t="s">
        <v>22</v>
      </c>
      <c r="J2109" s="5" t="s">
        <v>5380</v>
      </c>
      <c r="K2109" s="5" t="s">
        <v>5381</v>
      </c>
      <c r="L2109" s="5" t="s">
        <v>5382</v>
      </c>
      <c r="M2109" s="5" t="s">
        <v>1043</v>
      </c>
      <c r="N2109" s="5" t="s">
        <v>1642</v>
      </c>
      <c r="O2109" s="5" t="s">
        <v>5005</v>
      </c>
      <c r="P2109" s="5"/>
      <c r="Q2109" s="5" t="s">
        <v>5383</v>
      </c>
    </row>
    <row r="2110" spans="2:17" x14ac:dyDescent="0.2">
      <c r="B2110" s="5" t="s">
        <v>5246</v>
      </c>
      <c r="C2110" s="6" t="s">
        <v>13589</v>
      </c>
      <c r="D2110" s="4">
        <v>66</v>
      </c>
      <c r="E2110" s="5" t="s">
        <v>82</v>
      </c>
      <c r="F2110" s="5" t="s">
        <v>5379</v>
      </c>
      <c r="G2110" s="6" t="s">
        <v>39</v>
      </c>
      <c r="H2110" s="4"/>
      <c r="I2110" s="5" t="s">
        <v>22</v>
      </c>
      <c r="J2110" s="5" t="s">
        <v>5384</v>
      </c>
      <c r="K2110" s="5" t="s">
        <v>5381</v>
      </c>
      <c r="L2110" s="5" t="s">
        <v>5385</v>
      </c>
      <c r="M2110" s="5" t="s">
        <v>1043</v>
      </c>
      <c r="N2110" s="5" t="s">
        <v>1642</v>
      </c>
      <c r="O2110" s="5" t="s">
        <v>5005</v>
      </c>
      <c r="P2110" s="5"/>
      <c r="Q2110" s="5" t="s">
        <v>5386</v>
      </c>
    </row>
    <row r="2111" spans="2:17" x14ac:dyDescent="0.2">
      <c r="B2111" s="5" t="s">
        <v>5246</v>
      </c>
      <c r="C2111" s="6" t="s">
        <v>13589</v>
      </c>
      <c r="D2111" s="4">
        <v>67</v>
      </c>
      <c r="E2111" s="5" t="s">
        <v>82</v>
      </c>
      <c r="F2111" s="5" t="s">
        <v>5379</v>
      </c>
      <c r="G2111" s="6" t="s">
        <v>39</v>
      </c>
      <c r="H2111" s="4"/>
      <c r="I2111" s="5" t="s">
        <v>22</v>
      </c>
      <c r="J2111" s="5" t="s">
        <v>5387</v>
      </c>
      <c r="K2111" s="5" t="s">
        <v>5381</v>
      </c>
      <c r="L2111" s="5" t="s">
        <v>5388</v>
      </c>
      <c r="M2111" s="5" t="s">
        <v>1043</v>
      </c>
      <c r="N2111" s="5" t="s">
        <v>1642</v>
      </c>
      <c r="O2111" s="5" t="s">
        <v>5005</v>
      </c>
      <c r="P2111" s="5"/>
      <c r="Q2111" s="5" t="s">
        <v>5389</v>
      </c>
    </row>
    <row r="2112" spans="2:17" x14ac:dyDescent="0.2">
      <c r="B2112" s="5" t="s">
        <v>5246</v>
      </c>
      <c r="C2112" s="6" t="s">
        <v>13589</v>
      </c>
      <c r="D2112" s="4">
        <v>68</v>
      </c>
      <c r="E2112" s="5" t="s">
        <v>82</v>
      </c>
      <c r="F2112" s="5" t="s">
        <v>5379</v>
      </c>
      <c r="G2112" s="6" t="s">
        <v>39</v>
      </c>
      <c r="H2112" s="4"/>
      <c r="I2112" s="5"/>
      <c r="J2112" s="5" t="s">
        <v>5390</v>
      </c>
      <c r="K2112" s="5" t="s">
        <v>5381</v>
      </c>
      <c r="L2112" s="5" t="s">
        <v>5391</v>
      </c>
      <c r="M2112" s="5" t="s">
        <v>1043</v>
      </c>
      <c r="N2112" s="5" t="s">
        <v>1642</v>
      </c>
      <c r="O2112" s="5" t="s">
        <v>5005</v>
      </c>
      <c r="P2112" s="5"/>
      <c r="Q2112" s="5" t="s">
        <v>5392</v>
      </c>
    </row>
    <row r="2113" spans="2:17" x14ac:dyDescent="0.2">
      <c r="B2113" s="5" t="s">
        <v>5246</v>
      </c>
      <c r="C2113" s="6" t="s">
        <v>13589</v>
      </c>
      <c r="D2113" s="4">
        <v>69</v>
      </c>
      <c r="E2113" s="5" t="s">
        <v>82</v>
      </c>
      <c r="F2113" s="5" t="s">
        <v>5379</v>
      </c>
      <c r="G2113" s="6" t="s">
        <v>39</v>
      </c>
      <c r="H2113" s="4"/>
      <c r="I2113" s="5"/>
      <c r="J2113" s="5" t="s">
        <v>5393</v>
      </c>
      <c r="K2113" s="5" t="s">
        <v>5381</v>
      </c>
      <c r="L2113" s="5" t="s">
        <v>5391</v>
      </c>
      <c r="M2113" s="5" t="s">
        <v>1043</v>
      </c>
      <c r="N2113" s="5" t="s">
        <v>1642</v>
      </c>
      <c r="O2113" s="5" t="s">
        <v>5005</v>
      </c>
      <c r="P2113" s="5"/>
      <c r="Q2113" s="5" t="s">
        <v>5394</v>
      </c>
    </row>
    <row r="2114" spans="2:17" x14ac:dyDescent="0.2">
      <c r="B2114" s="5" t="s">
        <v>5246</v>
      </c>
      <c r="C2114" s="6" t="s">
        <v>13589</v>
      </c>
      <c r="D2114" s="4">
        <v>70</v>
      </c>
      <c r="E2114" s="5" t="s">
        <v>82</v>
      </c>
      <c r="F2114" s="5" t="s">
        <v>5379</v>
      </c>
      <c r="G2114" s="6" t="s">
        <v>39</v>
      </c>
      <c r="H2114" s="4"/>
      <c r="I2114" s="5"/>
      <c r="J2114" s="5" t="s">
        <v>5395</v>
      </c>
      <c r="K2114" s="5" t="s">
        <v>5381</v>
      </c>
      <c r="L2114" s="5" t="s">
        <v>5142</v>
      </c>
      <c r="M2114" s="5" t="s">
        <v>1043</v>
      </c>
      <c r="N2114" s="5" t="s">
        <v>1642</v>
      </c>
      <c r="O2114" s="5" t="s">
        <v>5005</v>
      </c>
      <c r="P2114" s="5"/>
      <c r="Q2114" s="5" t="s">
        <v>5396</v>
      </c>
    </row>
    <row r="2115" spans="2:17" x14ac:dyDescent="0.2">
      <c r="B2115" s="5" t="s">
        <v>5246</v>
      </c>
      <c r="C2115" s="6" t="s">
        <v>13589</v>
      </c>
      <c r="D2115" s="4">
        <v>71</v>
      </c>
      <c r="E2115" s="5" t="s">
        <v>82</v>
      </c>
      <c r="F2115" s="5" t="s">
        <v>5379</v>
      </c>
      <c r="G2115" s="6" t="s">
        <v>39</v>
      </c>
      <c r="H2115" s="4"/>
      <c r="I2115" s="5"/>
      <c r="J2115" s="5" t="s">
        <v>5397</v>
      </c>
      <c r="K2115" s="5" t="s">
        <v>5381</v>
      </c>
      <c r="L2115" s="5" t="s">
        <v>5398</v>
      </c>
      <c r="M2115" s="5" t="s">
        <v>1043</v>
      </c>
      <c r="N2115" s="5" t="s">
        <v>1642</v>
      </c>
      <c r="O2115" s="5" t="s">
        <v>5005</v>
      </c>
      <c r="P2115" s="5"/>
      <c r="Q2115" s="5" t="s">
        <v>5399</v>
      </c>
    </row>
    <row r="2116" spans="2:17" x14ac:dyDescent="0.2">
      <c r="B2116" s="5" t="s">
        <v>5246</v>
      </c>
      <c r="C2116" s="6" t="s">
        <v>13589</v>
      </c>
      <c r="D2116" s="4">
        <v>72</v>
      </c>
      <c r="E2116" s="5" t="s">
        <v>82</v>
      </c>
      <c r="F2116" s="5" t="s">
        <v>5379</v>
      </c>
      <c r="G2116" s="6" t="s">
        <v>39</v>
      </c>
      <c r="H2116" s="4"/>
      <c r="I2116" s="5"/>
      <c r="J2116" s="5" t="s">
        <v>5395</v>
      </c>
      <c r="K2116" s="5" t="s">
        <v>5381</v>
      </c>
      <c r="L2116" s="5" t="s">
        <v>5400</v>
      </c>
      <c r="M2116" s="5" t="s">
        <v>1043</v>
      </c>
      <c r="N2116" s="5" t="s">
        <v>1642</v>
      </c>
      <c r="O2116" s="5" t="s">
        <v>5138</v>
      </c>
      <c r="P2116" s="5"/>
      <c r="Q2116" s="5" t="s">
        <v>5401</v>
      </c>
    </row>
    <row r="2117" spans="2:17" x14ac:dyDescent="0.2">
      <c r="B2117" s="5" t="s">
        <v>5246</v>
      </c>
      <c r="C2117" s="6" t="s">
        <v>13589</v>
      </c>
      <c r="D2117" s="4">
        <v>74</v>
      </c>
      <c r="E2117" s="5" t="s">
        <v>20</v>
      </c>
      <c r="F2117" s="5" t="s">
        <v>5370</v>
      </c>
      <c r="G2117" s="6" t="s">
        <v>39</v>
      </c>
      <c r="H2117" s="4"/>
      <c r="I2117" s="5" t="s">
        <v>22</v>
      </c>
      <c r="J2117" s="5" t="s">
        <v>5371</v>
      </c>
      <c r="K2117" s="5" t="s">
        <v>5347</v>
      </c>
      <c r="L2117" s="5"/>
      <c r="M2117" s="5" t="s">
        <v>2724</v>
      </c>
      <c r="N2117" s="5" t="s">
        <v>1634</v>
      </c>
      <c r="O2117" s="5" t="s">
        <v>5011</v>
      </c>
      <c r="P2117" s="5"/>
      <c r="Q2117" s="5" t="s">
        <v>5372</v>
      </c>
    </row>
    <row r="2118" spans="2:17" x14ac:dyDescent="0.2">
      <c r="B2118" s="5" t="s">
        <v>5246</v>
      </c>
      <c r="C2118" s="6" t="s">
        <v>13589</v>
      </c>
      <c r="D2118" s="4">
        <v>76</v>
      </c>
      <c r="E2118" s="5" t="s">
        <v>20</v>
      </c>
      <c r="F2118" s="5" t="s">
        <v>5370</v>
      </c>
      <c r="G2118" s="6" t="s">
        <v>39</v>
      </c>
      <c r="H2118" s="4"/>
      <c r="I2118" s="5" t="s">
        <v>22</v>
      </c>
      <c r="J2118" s="5" t="s">
        <v>5373</v>
      </c>
      <c r="K2118" s="5" t="s">
        <v>5007</v>
      </c>
      <c r="L2118" s="5" t="s">
        <v>5352</v>
      </c>
      <c r="M2118" s="5" t="s">
        <v>2724</v>
      </c>
      <c r="N2118" s="5" t="s">
        <v>1634</v>
      </c>
      <c r="O2118" s="5" t="s">
        <v>5005</v>
      </c>
      <c r="P2118" s="5"/>
      <c r="Q2118" s="5" t="s">
        <v>5374</v>
      </c>
    </row>
    <row r="2119" spans="2:17" x14ac:dyDescent="0.2">
      <c r="B2119" s="5" t="s">
        <v>5246</v>
      </c>
      <c r="C2119" s="6" t="s">
        <v>13589</v>
      </c>
      <c r="D2119" s="4">
        <v>86</v>
      </c>
      <c r="E2119" s="5" t="s">
        <v>15</v>
      </c>
      <c r="F2119" s="5" t="s">
        <v>5334</v>
      </c>
      <c r="G2119" s="6" t="s">
        <v>39</v>
      </c>
      <c r="H2119" s="4"/>
      <c r="I2119" s="5"/>
      <c r="J2119" s="5" t="s">
        <v>5335</v>
      </c>
      <c r="K2119" s="5" t="s">
        <v>5336</v>
      </c>
      <c r="L2119" s="5" t="s">
        <v>5337</v>
      </c>
      <c r="M2119" s="5" t="s">
        <v>174</v>
      </c>
      <c r="N2119" s="5" t="s">
        <v>461</v>
      </c>
      <c r="O2119" s="5" t="s">
        <v>5006</v>
      </c>
      <c r="P2119" s="5"/>
      <c r="Q2119" s="5" t="s">
        <v>5338</v>
      </c>
    </row>
    <row r="2120" spans="2:17" x14ac:dyDescent="0.2">
      <c r="B2120" s="5" t="s">
        <v>5451</v>
      </c>
      <c r="C2120" s="6" t="s">
        <v>13589</v>
      </c>
      <c r="D2120" s="4">
        <v>161</v>
      </c>
      <c r="E2120" s="5" t="s">
        <v>15</v>
      </c>
      <c r="F2120" s="5" t="s">
        <v>5513</v>
      </c>
      <c r="G2120" s="6" t="s">
        <v>39</v>
      </c>
      <c r="H2120" s="4"/>
      <c r="I2120" s="5"/>
      <c r="J2120" s="5" t="s">
        <v>5514</v>
      </c>
      <c r="K2120" s="5" t="s">
        <v>5001</v>
      </c>
      <c r="L2120" s="5"/>
      <c r="M2120" s="5" t="s">
        <v>1377</v>
      </c>
      <c r="N2120" s="5" t="s">
        <v>331</v>
      </c>
      <c r="O2120" s="5" t="s">
        <v>5453</v>
      </c>
      <c r="P2120" s="5"/>
      <c r="Q2120" s="5" t="s">
        <v>5515</v>
      </c>
    </row>
    <row r="2121" spans="2:17" x14ac:dyDescent="0.2">
      <c r="B2121" s="5" t="s">
        <v>5451</v>
      </c>
      <c r="C2121" s="6" t="s">
        <v>13589</v>
      </c>
      <c r="D2121" s="4">
        <v>162</v>
      </c>
      <c r="E2121" s="5" t="s">
        <v>15</v>
      </c>
      <c r="F2121" s="5" t="s">
        <v>5516</v>
      </c>
      <c r="G2121" s="6" t="s">
        <v>39</v>
      </c>
      <c r="H2121" s="4"/>
      <c r="I2121" s="5"/>
      <c r="J2121" s="5" t="s">
        <v>5514</v>
      </c>
      <c r="K2121" s="5" t="s">
        <v>5001</v>
      </c>
      <c r="L2121" s="5"/>
      <c r="M2121" s="5" t="s">
        <v>1377</v>
      </c>
      <c r="N2121" s="5" t="s">
        <v>331</v>
      </c>
      <c r="O2121" s="5" t="s">
        <v>5453</v>
      </c>
      <c r="P2121" s="5"/>
      <c r="Q2121" s="5" t="s">
        <v>5517</v>
      </c>
    </row>
    <row r="2122" spans="2:17" x14ac:dyDescent="0.2">
      <c r="B2122" s="5" t="s">
        <v>5451</v>
      </c>
      <c r="C2122" s="6" t="s">
        <v>13589</v>
      </c>
      <c r="D2122" s="4">
        <v>194</v>
      </c>
      <c r="E2122" s="5" t="s">
        <v>15</v>
      </c>
      <c r="F2122" s="5" t="s">
        <v>5668</v>
      </c>
      <c r="G2122" s="6" t="s">
        <v>39</v>
      </c>
      <c r="H2122" s="4"/>
      <c r="I2122" s="5" t="s">
        <v>38</v>
      </c>
      <c r="J2122" s="5" t="s">
        <v>5669</v>
      </c>
      <c r="K2122" s="5" t="s">
        <v>5458</v>
      </c>
      <c r="L2122" s="5"/>
      <c r="M2122" s="5" t="s">
        <v>256</v>
      </c>
      <c r="N2122" s="5" t="s">
        <v>529</v>
      </c>
      <c r="O2122" s="5" t="s">
        <v>5453</v>
      </c>
      <c r="P2122" s="5"/>
      <c r="Q2122" s="5" t="s">
        <v>5670</v>
      </c>
    </row>
    <row r="2123" spans="2:17" x14ac:dyDescent="0.2">
      <c r="B2123" s="5" t="s">
        <v>8364</v>
      </c>
      <c r="C2123" s="6" t="s">
        <v>13589</v>
      </c>
      <c r="D2123" s="4">
        <v>321</v>
      </c>
      <c r="E2123" s="5" t="s">
        <v>20</v>
      </c>
      <c r="F2123" s="5" t="s">
        <v>8627</v>
      </c>
      <c r="G2123" s="6" t="s">
        <v>39</v>
      </c>
      <c r="H2123" s="4"/>
      <c r="I2123" s="5" t="s">
        <v>22</v>
      </c>
      <c r="J2123" s="5" t="s">
        <v>8628</v>
      </c>
      <c r="K2123" s="5" t="s">
        <v>8629</v>
      </c>
      <c r="L2123" s="5"/>
      <c r="M2123" s="5" t="s">
        <v>3779</v>
      </c>
      <c r="N2123" s="5" t="s">
        <v>3779</v>
      </c>
      <c r="O2123" s="5" t="s">
        <v>8504</v>
      </c>
      <c r="P2123" s="5"/>
      <c r="Q2123" s="5" t="s">
        <v>8630</v>
      </c>
    </row>
    <row r="2124" spans="2:17" x14ac:dyDescent="0.2">
      <c r="B2124" s="5" t="s">
        <v>8683</v>
      </c>
      <c r="C2124" s="6" t="s">
        <v>13589</v>
      </c>
      <c r="D2124" s="4">
        <v>440</v>
      </c>
      <c r="E2124" s="5" t="s">
        <v>20</v>
      </c>
      <c r="F2124" s="5" t="s">
        <v>8957</v>
      </c>
      <c r="G2124" s="6" t="s">
        <v>39</v>
      </c>
      <c r="H2124" s="4"/>
      <c r="I2124" s="5" t="s">
        <v>22</v>
      </c>
      <c r="J2124" s="5" t="s">
        <v>8958</v>
      </c>
      <c r="K2124" s="5" t="s">
        <v>5714</v>
      </c>
      <c r="L2124" s="5"/>
      <c r="M2124" s="5" t="s">
        <v>479</v>
      </c>
      <c r="N2124" s="5" t="s">
        <v>1894</v>
      </c>
      <c r="O2124" s="5" t="s">
        <v>5690</v>
      </c>
      <c r="P2124" s="5"/>
      <c r="Q2124" s="5" t="s">
        <v>8959</v>
      </c>
    </row>
    <row r="2125" spans="2:17" x14ac:dyDescent="0.2">
      <c r="B2125" s="5" t="s">
        <v>8683</v>
      </c>
      <c r="C2125" s="6" t="s">
        <v>13589</v>
      </c>
      <c r="D2125" s="4">
        <v>441</v>
      </c>
      <c r="E2125" s="5" t="s">
        <v>20</v>
      </c>
      <c r="F2125" s="5" t="s">
        <v>8954</v>
      </c>
      <c r="G2125" s="6" t="s">
        <v>39</v>
      </c>
      <c r="H2125" s="4"/>
      <c r="I2125" s="5" t="s">
        <v>38</v>
      </c>
      <c r="J2125" s="5" t="s">
        <v>8955</v>
      </c>
      <c r="K2125" s="5" t="s">
        <v>5736</v>
      </c>
      <c r="L2125" s="5"/>
      <c r="M2125" s="5" t="s">
        <v>2724</v>
      </c>
      <c r="N2125" s="5" t="s">
        <v>1634</v>
      </c>
      <c r="O2125" s="5" t="s">
        <v>5690</v>
      </c>
      <c r="P2125" s="5"/>
      <c r="Q2125" s="5" t="s">
        <v>8956</v>
      </c>
    </row>
    <row r="2126" spans="2:17" x14ac:dyDescent="0.2">
      <c r="B2126" s="5" t="s">
        <v>8683</v>
      </c>
      <c r="C2126" s="6" t="s">
        <v>13589</v>
      </c>
      <c r="D2126" s="4">
        <v>487</v>
      </c>
      <c r="E2126" s="5" t="s">
        <v>20</v>
      </c>
      <c r="F2126" s="5" t="s">
        <v>8791</v>
      </c>
      <c r="G2126" s="6" t="s">
        <v>39</v>
      </c>
      <c r="H2126" s="4"/>
      <c r="I2126" s="5" t="s">
        <v>22</v>
      </c>
      <c r="J2126" s="5" t="s">
        <v>8792</v>
      </c>
      <c r="K2126" s="5" t="s">
        <v>8793</v>
      </c>
      <c r="L2126" s="5"/>
      <c r="M2126" s="5" t="s">
        <v>1464</v>
      </c>
      <c r="N2126" s="5" t="s">
        <v>3053</v>
      </c>
      <c r="O2126" s="5" t="s">
        <v>5684</v>
      </c>
      <c r="P2126" s="5"/>
      <c r="Q2126" s="5" t="s">
        <v>8794</v>
      </c>
    </row>
    <row r="2127" spans="2:17" x14ac:dyDescent="0.2">
      <c r="B2127" s="5" t="s">
        <v>9008</v>
      </c>
      <c r="C2127" s="6" t="s">
        <v>13589</v>
      </c>
      <c r="D2127" s="4">
        <v>594</v>
      </c>
      <c r="E2127" s="5" t="s">
        <v>20</v>
      </c>
      <c r="F2127" s="5" t="s">
        <v>9386</v>
      </c>
      <c r="G2127" s="6" t="s">
        <v>39</v>
      </c>
      <c r="H2127" s="4"/>
      <c r="I2127" s="5" t="s">
        <v>22</v>
      </c>
      <c r="J2127" s="5" t="s">
        <v>9387</v>
      </c>
      <c r="K2127" s="5" t="s">
        <v>9321</v>
      </c>
      <c r="L2127" s="5"/>
      <c r="M2127" s="5" t="s">
        <v>2708</v>
      </c>
      <c r="N2127" s="5" t="s">
        <v>2708</v>
      </c>
      <c r="O2127" s="5" t="s">
        <v>9012</v>
      </c>
      <c r="P2127" s="5"/>
      <c r="Q2127" s="5" t="s">
        <v>9388</v>
      </c>
    </row>
    <row r="2128" spans="2:17" x14ac:dyDescent="0.2">
      <c r="B2128" s="5" t="s">
        <v>9008</v>
      </c>
      <c r="C2128" s="6" t="s">
        <v>13589</v>
      </c>
      <c r="D2128" s="4">
        <v>642</v>
      </c>
      <c r="E2128" s="5" t="s">
        <v>20</v>
      </c>
      <c r="F2128" s="5" t="s">
        <v>9220</v>
      </c>
      <c r="G2128" s="6" t="s">
        <v>39</v>
      </c>
      <c r="H2128" s="4"/>
      <c r="I2128" s="5" t="s">
        <v>22</v>
      </c>
      <c r="J2128" s="5" t="s">
        <v>9221</v>
      </c>
      <c r="K2128" s="5" t="s">
        <v>9051</v>
      </c>
      <c r="L2128" s="5"/>
      <c r="M2128" s="5" t="s">
        <v>312</v>
      </c>
      <c r="N2128" s="5" t="s">
        <v>296</v>
      </c>
      <c r="O2128" s="5" t="s">
        <v>9030</v>
      </c>
      <c r="P2128" s="5"/>
      <c r="Q2128" s="5" t="s">
        <v>9222</v>
      </c>
    </row>
    <row r="2129" spans="2:17" x14ac:dyDescent="0.2">
      <c r="B2129" s="5" t="s">
        <v>9008</v>
      </c>
      <c r="C2129" s="6" t="s">
        <v>13589</v>
      </c>
      <c r="D2129" s="4">
        <v>644</v>
      </c>
      <c r="E2129" s="5" t="s">
        <v>13</v>
      </c>
      <c r="F2129" s="5" t="s">
        <v>9214</v>
      </c>
      <c r="G2129" s="6" t="s">
        <v>39</v>
      </c>
      <c r="H2129" s="4"/>
      <c r="I2129" s="5"/>
      <c r="J2129" s="5" t="s">
        <v>9214</v>
      </c>
      <c r="K2129" s="5" t="s">
        <v>9215</v>
      </c>
      <c r="L2129" s="5"/>
      <c r="M2129" s="5" t="s">
        <v>4765</v>
      </c>
      <c r="N2129" s="5" t="s">
        <v>4765</v>
      </c>
      <c r="O2129" s="5" t="s">
        <v>9010</v>
      </c>
      <c r="P2129" s="5"/>
      <c r="Q2129" s="5" t="s">
        <v>9216</v>
      </c>
    </row>
    <row r="2130" spans="2:17" x14ac:dyDescent="0.2">
      <c r="B2130" s="5" t="s">
        <v>9550</v>
      </c>
      <c r="C2130" s="6" t="s">
        <v>13589</v>
      </c>
      <c r="D2130" s="4">
        <v>770</v>
      </c>
      <c r="E2130" s="5" t="s">
        <v>20</v>
      </c>
      <c r="F2130" s="5" t="s">
        <v>9971</v>
      </c>
      <c r="G2130" s="6" t="s">
        <v>39</v>
      </c>
      <c r="H2130" s="4"/>
      <c r="I2130" s="5" t="s">
        <v>22</v>
      </c>
      <c r="J2130" s="5" t="s">
        <v>9972</v>
      </c>
      <c r="K2130" s="5" t="s">
        <v>9593</v>
      </c>
      <c r="L2130" s="5"/>
      <c r="M2130" s="5" t="s">
        <v>1843</v>
      </c>
      <c r="N2130" s="5" t="s">
        <v>204</v>
      </c>
      <c r="O2130" s="5" t="s">
        <v>9557</v>
      </c>
      <c r="P2130" s="5"/>
      <c r="Q2130" s="5" t="s">
        <v>9973</v>
      </c>
    </row>
    <row r="2131" spans="2:17" x14ac:dyDescent="0.2">
      <c r="B2131" s="5" t="s">
        <v>9550</v>
      </c>
      <c r="C2131" s="6" t="s">
        <v>13589</v>
      </c>
      <c r="D2131" s="4">
        <v>771</v>
      </c>
      <c r="E2131" s="5" t="s">
        <v>20</v>
      </c>
      <c r="F2131" s="5" t="s">
        <v>9971</v>
      </c>
      <c r="G2131" s="6" t="s">
        <v>39</v>
      </c>
      <c r="H2131" s="4"/>
      <c r="I2131" s="5" t="s">
        <v>22</v>
      </c>
      <c r="J2131" s="5" t="s">
        <v>9974</v>
      </c>
      <c r="K2131" s="5" t="s">
        <v>9592</v>
      </c>
      <c r="L2131" s="5"/>
      <c r="M2131" s="5" t="s">
        <v>1843</v>
      </c>
      <c r="N2131" s="5" t="s">
        <v>204</v>
      </c>
      <c r="O2131" s="5" t="s">
        <v>9557</v>
      </c>
      <c r="P2131" s="5"/>
      <c r="Q2131" s="5" t="s">
        <v>9975</v>
      </c>
    </row>
    <row r="2132" spans="2:17" x14ac:dyDescent="0.2">
      <c r="B2132" s="5" t="s">
        <v>9550</v>
      </c>
      <c r="C2132" s="6" t="s">
        <v>13589</v>
      </c>
      <c r="D2132" s="4">
        <v>772</v>
      </c>
      <c r="E2132" s="5" t="s">
        <v>20</v>
      </c>
      <c r="F2132" s="5" t="s">
        <v>9971</v>
      </c>
      <c r="G2132" s="6" t="s">
        <v>39</v>
      </c>
      <c r="H2132" s="4"/>
      <c r="I2132" s="5" t="s">
        <v>22</v>
      </c>
      <c r="J2132" s="5" t="s">
        <v>10020</v>
      </c>
      <c r="K2132" s="5" t="s">
        <v>9565</v>
      </c>
      <c r="L2132" s="5"/>
      <c r="M2132" s="5" t="s">
        <v>2225</v>
      </c>
      <c r="N2132" s="5" t="s">
        <v>204</v>
      </c>
      <c r="O2132" s="5" t="s">
        <v>9557</v>
      </c>
      <c r="P2132" s="5"/>
      <c r="Q2132" s="5" t="s">
        <v>10021</v>
      </c>
    </row>
    <row r="2133" spans="2:17" x14ac:dyDescent="0.2">
      <c r="B2133" s="5" t="s">
        <v>9550</v>
      </c>
      <c r="C2133" s="6" t="s">
        <v>13589</v>
      </c>
      <c r="D2133" s="4">
        <v>773</v>
      </c>
      <c r="E2133" s="5" t="s">
        <v>20</v>
      </c>
      <c r="F2133" s="5" t="s">
        <v>9971</v>
      </c>
      <c r="G2133" s="6" t="s">
        <v>39</v>
      </c>
      <c r="H2133" s="4"/>
      <c r="I2133" s="5" t="s">
        <v>22</v>
      </c>
      <c r="J2133" s="5" t="s">
        <v>9976</v>
      </c>
      <c r="K2133" s="5" t="s">
        <v>9556</v>
      </c>
      <c r="L2133" s="5"/>
      <c r="M2133" s="5" t="s">
        <v>1843</v>
      </c>
      <c r="N2133" s="5" t="s">
        <v>204</v>
      </c>
      <c r="O2133" s="5" t="s">
        <v>9557</v>
      </c>
      <c r="P2133" s="5"/>
      <c r="Q2133" s="5" t="s">
        <v>9977</v>
      </c>
    </row>
    <row r="2134" spans="2:17" x14ac:dyDescent="0.2">
      <c r="B2134" s="5" t="s">
        <v>9550</v>
      </c>
      <c r="C2134" s="6" t="s">
        <v>13589</v>
      </c>
      <c r="D2134" s="4">
        <v>859</v>
      </c>
      <c r="E2134" s="5" t="s">
        <v>13</v>
      </c>
      <c r="F2134" s="5" t="s">
        <v>9700</v>
      </c>
      <c r="G2134" s="6" t="s">
        <v>39</v>
      </c>
      <c r="H2134" s="4"/>
      <c r="I2134" s="5"/>
      <c r="J2134" s="5" t="s">
        <v>9701</v>
      </c>
      <c r="K2134" s="5" t="s">
        <v>9588</v>
      </c>
      <c r="L2134" s="5"/>
      <c r="M2134" s="5" t="s">
        <v>4765</v>
      </c>
      <c r="N2134" s="5" t="s">
        <v>4765</v>
      </c>
      <c r="O2134" s="5" t="s">
        <v>3790</v>
      </c>
      <c r="P2134" s="5"/>
      <c r="Q2134" s="5" t="s">
        <v>9702</v>
      </c>
    </row>
    <row r="2135" spans="2:17" x14ac:dyDescent="0.2">
      <c r="B2135" s="5" t="s">
        <v>9550</v>
      </c>
      <c r="C2135" s="6" t="s">
        <v>13589</v>
      </c>
      <c r="D2135" s="4">
        <v>860</v>
      </c>
      <c r="E2135" s="5" t="s">
        <v>82</v>
      </c>
      <c r="F2135" s="5" t="s">
        <v>9703</v>
      </c>
      <c r="G2135" s="6" t="s">
        <v>39</v>
      </c>
      <c r="H2135" s="4"/>
      <c r="I2135" s="5"/>
      <c r="J2135" s="5" t="s">
        <v>9704</v>
      </c>
      <c r="K2135" s="5" t="s">
        <v>9597</v>
      </c>
      <c r="L2135" s="5"/>
      <c r="M2135" s="5" t="s">
        <v>1928</v>
      </c>
      <c r="N2135" s="5" t="s">
        <v>4765</v>
      </c>
      <c r="O2135" s="5" t="s">
        <v>3790</v>
      </c>
      <c r="P2135" s="5"/>
      <c r="Q2135" s="5" t="s">
        <v>9705</v>
      </c>
    </row>
    <row r="2136" spans="2:17" x14ac:dyDescent="0.2">
      <c r="B2136" s="5" t="s">
        <v>10194</v>
      </c>
      <c r="C2136" s="6" t="s">
        <v>13589</v>
      </c>
      <c r="D2136" s="4">
        <v>967</v>
      </c>
      <c r="E2136" s="5" t="s">
        <v>13</v>
      </c>
      <c r="F2136" s="5" t="s">
        <v>10655</v>
      </c>
      <c r="G2136" s="6" t="s">
        <v>39</v>
      </c>
      <c r="H2136" s="4"/>
      <c r="I2136" s="5"/>
      <c r="J2136" s="5" t="s">
        <v>10599</v>
      </c>
      <c r="K2136" s="5" t="s">
        <v>10350</v>
      </c>
      <c r="L2136" s="5" t="s">
        <v>10600</v>
      </c>
      <c r="M2136" s="5" t="s">
        <v>235</v>
      </c>
      <c r="N2136" s="5" t="s">
        <v>235</v>
      </c>
      <c r="O2136" s="5" t="s">
        <v>10210</v>
      </c>
      <c r="P2136" s="5"/>
      <c r="Q2136" s="5" t="s">
        <v>10656</v>
      </c>
    </row>
    <row r="2137" spans="2:17" x14ac:dyDescent="0.2">
      <c r="B2137" s="5" t="s">
        <v>10194</v>
      </c>
      <c r="C2137" s="6" t="s">
        <v>13589</v>
      </c>
      <c r="D2137" s="4">
        <v>968</v>
      </c>
      <c r="E2137" s="5" t="s">
        <v>13</v>
      </c>
      <c r="F2137" s="5" t="s">
        <v>10655</v>
      </c>
      <c r="G2137" s="6" t="s">
        <v>39</v>
      </c>
      <c r="H2137" s="4"/>
      <c r="I2137" s="5"/>
      <c r="J2137" s="5" t="s">
        <v>10599</v>
      </c>
      <c r="K2137" s="5" t="s">
        <v>10657</v>
      </c>
      <c r="L2137" s="5" t="s">
        <v>10600</v>
      </c>
      <c r="M2137" s="5" t="s">
        <v>235</v>
      </c>
      <c r="N2137" s="5" t="s">
        <v>235</v>
      </c>
      <c r="O2137" s="5" t="s">
        <v>10210</v>
      </c>
      <c r="P2137" s="5"/>
      <c r="Q2137" s="5" t="s">
        <v>10658</v>
      </c>
    </row>
    <row r="2138" spans="2:17" x14ac:dyDescent="0.2">
      <c r="B2138" s="5" t="s">
        <v>10194</v>
      </c>
      <c r="C2138" s="6" t="s">
        <v>13589</v>
      </c>
      <c r="D2138" s="4">
        <v>974</v>
      </c>
      <c r="E2138" s="5" t="s">
        <v>32</v>
      </c>
      <c r="F2138" s="5" t="s">
        <v>7599</v>
      </c>
      <c r="G2138" s="6" t="s">
        <v>39</v>
      </c>
      <c r="H2138" s="4"/>
      <c r="I2138" s="5" t="s">
        <v>22</v>
      </c>
      <c r="J2138" s="5" t="s">
        <v>10610</v>
      </c>
      <c r="K2138" s="5" t="s">
        <v>3789</v>
      </c>
      <c r="L2138" s="5"/>
      <c r="M2138" s="5" t="s">
        <v>461</v>
      </c>
      <c r="N2138" s="5" t="s">
        <v>437</v>
      </c>
      <c r="O2138" s="5" t="s">
        <v>10210</v>
      </c>
      <c r="P2138" s="5"/>
      <c r="Q2138" s="5" t="s">
        <v>10611</v>
      </c>
    </row>
    <row r="2139" spans="2:17" x14ac:dyDescent="0.2">
      <c r="B2139" s="5" t="s">
        <v>10194</v>
      </c>
      <c r="C2139" s="6" t="s">
        <v>13589</v>
      </c>
      <c r="D2139" s="4">
        <v>978</v>
      </c>
      <c r="E2139" s="5" t="s">
        <v>20</v>
      </c>
      <c r="F2139" s="5" t="s">
        <v>10591</v>
      </c>
      <c r="G2139" s="6" t="s">
        <v>39</v>
      </c>
      <c r="H2139" s="4"/>
      <c r="I2139" s="5" t="s">
        <v>22</v>
      </c>
      <c r="J2139" s="5" t="s">
        <v>10592</v>
      </c>
      <c r="K2139" s="5" t="s">
        <v>10200</v>
      </c>
      <c r="L2139" s="5" t="s">
        <v>10593</v>
      </c>
      <c r="M2139" s="5" t="s">
        <v>4184</v>
      </c>
      <c r="N2139" s="5" t="s">
        <v>1530</v>
      </c>
      <c r="O2139" s="5" t="s">
        <v>10202</v>
      </c>
      <c r="P2139" s="5"/>
      <c r="Q2139" s="5" t="s">
        <v>10594</v>
      </c>
    </row>
    <row r="2140" spans="2:17" x14ac:dyDescent="0.2">
      <c r="B2140" s="5" t="s">
        <v>10194</v>
      </c>
      <c r="C2140" s="6" t="s">
        <v>13589</v>
      </c>
      <c r="D2140" s="4">
        <v>979</v>
      </c>
      <c r="E2140" s="5" t="s">
        <v>20</v>
      </c>
      <c r="F2140" s="5" t="s">
        <v>10591</v>
      </c>
      <c r="G2140" s="6" t="s">
        <v>39</v>
      </c>
      <c r="H2140" s="4"/>
      <c r="I2140" s="5" t="s">
        <v>22</v>
      </c>
      <c r="J2140" s="5" t="s">
        <v>10595</v>
      </c>
      <c r="K2140" s="5" t="s">
        <v>10200</v>
      </c>
      <c r="L2140" s="5" t="s">
        <v>10596</v>
      </c>
      <c r="M2140" s="5" t="s">
        <v>4184</v>
      </c>
      <c r="N2140" s="5" t="s">
        <v>1530</v>
      </c>
      <c r="O2140" s="5" t="s">
        <v>10202</v>
      </c>
      <c r="P2140" s="5"/>
      <c r="Q2140" s="5" t="s">
        <v>10597</v>
      </c>
    </row>
    <row r="2141" spans="2:17" x14ac:dyDescent="0.2">
      <c r="B2141" s="5" t="s">
        <v>10194</v>
      </c>
      <c r="C2141" s="6" t="s">
        <v>13589</v>
      </c>
      <c r="D2141" s="4">
        <v>980</v>
      </c>
      <c r="E2141" s="5" t="s">
        <v>20</v>
      </c>
      <c r="F2141" s="5" t="s">
        <v>7599</v>
      </c>
      <c r="G2141" s="6" t="s">
        <v>39</v>
      </c>
      <c r="H2141" s="4"/>
      <c r="I2141" s="5" t="s">
        <v>22</v>
      </c>
      <c r="J2141" s="5" t="s">
        <v>10588</v>
      </c>
      <c r="K2141" s="5" t="s">
        <v>3788</v>
      </c>
      <c r="L2141" s="5" t="s">
        <v>10589</v>
      </c>
      <c r="M2141" s="5" t="s">
        <v>4184</v>
      </c>
      <c r="N2141" s="5" t="s">
        <v>1530</v>
      </c>
      <c r="O2141" s="5" t="s">
        <v>10204</v>
      </c>
      <c r="P2141" s="5"/>
      <c r="Q2141" s="5" t="s">
        <v>10590</v>
      </c>
    </row>
    <row r="2142" spans="2:17" x14ac:dyDescent="0.2">
      <c r="B2142" s="5" t="s">
        <v>10194</v>
      </c>
      <c r="C2142" s="6" t="s">
        <v>13589</v>
      </c>
      <c r="D2142" s="4">
        <v>996</v>
      </c>
      <c r="E2142" s="5" t="s">
        <v>35</v>
      </c>
      <c r="F2142" s="5" t="s">
        <v>10482</v>
      </c>
      <c r="G2142" s="6" t="s">
        <v>39</v>
      </c>
      <c r="H2142" s="4"/>
      <c r="I2142" s="5"/>
      <c r="J2142" s="5" t="s">
        <v>10483</v>
      </c>
      <c r="K2142" s="5" t="s">
        <v>4848</v>
      </c>
      <c r="L2142" s="5"/>
      <c r="M2142" s="5" t="s">
        <v>5846</v>
      </c>
      <c r="N2142" s="5" t="s">
        <v>307</v>
      </c>
      <c r="O2142" s="5" t="s">
        <v>10204</v>
      </c>
      <c r="P2142" s="5"/>
      <c r="Q2142" s="5" t="s">
        <v>10485</v>
      </c>
    </row>
    <row r="2143" spans="2:17" x14ac:dyDescent="0.2">
      <c r="B2143" s="5" t="s">
        <v>10194</v>
      </c>
      <c r="C2143" s="6" t="s">
        <v>13589</v>
      </c>
      <c r="D2143" s="4">
        <v>998</v>
      </c>
      <c r="E2143" s="5" t="s">
        <v>56</v>
      </c>
      <c r="F2143" s="5" t="s">
        <v>10482</v>
      </c>
      <c r="G2143" s="6" t="s">
        <v>39</v>
      </c>
      <c r="H2143" s="4"/>
      <c r="I2143" s="5"/>
      <c r="J2143" s="5" t="s">
        <v>10483</v>
      </c>
      <c r="K2143" s="5" t="s">
        <v>4848</v>
      </c>
      <c r="L2143" s="5"/>
      <c r="M2143" s="5" t="s">
        <v>5846</v>
      </c>
      <c r="N2143" s="5" t="s">
        <v>307</v>
      </c>
      <c r="O2143" s="5" t="s">
        <v>10204</v>
      </c>
      <c r="P2143" s="5"/>
      <c r="Q2143" s="5" t="s">
        <v>10484</v>
      </c>
    </row>
    <row r="2144" spans="2:17" x14ac:dyDescent="0.2">
      <c r="B2144" s="5" t="s">
        <v>10685</v>
      </c>
      <c r="C2144" s="6" t="s">
        <v>13589</v>
      </c>
      <c r="D2144" s="4">
        <v>1146</v>
      </c>
      <c r="E2144" s="5" t="s">
        <v>24</v>
      </c>
      <c r="F2144" s="5" t="s">
        <v>10945</v>
      </c>
      <c r="G2144" s="6" t="s">
        <v>39</v>
      </c>
      <c r="H2144" s="4"/>
      <c r="I2144" s="5"/>
      <c r="J2144" s="5" t="s">
        <v>10946</v>
      </c>
      <c r="K2144" s="5" t="s">
        <v>10703</v>
      </c>
      <c r="L2144" s="5"/>
      <c r="M2144" s="5" t="s">
        <v>1812</v>
      </c>
      <c r="N2144" s="5" t="s">
        <v>1812</v>
      </c>
      <c r="O2144" s="5" t="s">
        <v>10704</v>
      </c>
      <c r="P2144" s="5"/>
      <c r="Q2144" s="5" t="s">
        <v>10947</v>
      </c>
    </row>
    <row r="2145" spans="2:17" x14ac:dyDescent="0.2">
      <c r="B2145" s="5" t="s">
        <v>11086</v>
      </c>
      <c r="C2145" s="6" t="s">
        <v>13589</v>
      </c>
      <c r="D2145" s="4">
        <v>1236</v>
      </c>
      <c r="E2145" s="5" t="s">
        <v>20</v>
      </c>
      <c r="F2145" s="5" t="s">
        <v>11290</v>
      </c>
      <c r="G2145" s="6" t="s">
        <v>39</v>
      </c>
      <c r="H2145" s="4"/>
      <c r="I2145" s="5" t="s">
        <v>22</v>
      </c>
      <c r="J2145" s="5" t="s">
        <v>11329</v>
      </c>
      <c r="K2145" s="5" t="s">
        <v>11330</v>
      </c>
      <c r="L2145" s="5" t="s">
        <v>11331</v>
      </c>
      <c r="M2145" s="5" t="s">
        <v>468</v>
      </c>
      <c r="N2145" s="5" t="s">
        <v>465</v>
      </c>
      <c r="O2145" s="5" t="s">
        <v>11096</v>
      </c>
      <c r="P2145" s="5"/>
      <c r="Q2145" s="5" t="s">
        <v>11332</v>
      </c>
    </row>
    <row r="2146" spans="2:17" x14ac:dyDescent="0.2">
      <c r="B2146" s="5" t="s">
        <v>11086</v>
      </c>
      <c r="C2146" s="6" t="s">
        <v>13589</v>
      </c>
      <c r="D2146" s="4">
        <v>1237</v>
      </c>
      <c r="E2146" s="5" t="s">
        <v>20</v>
      </c>
      <c r="F2146" s="5" t="s">
        <v>11290</v>
      </c>
      <c r="G2146" s="6" t="s">
        <v>39</v>
      </c>
      <c r="H2146" s="4"/>
      <c r="I2146" s="5" t="s">
        <v>22</v>
      </c>
      <c r="J2146" s="5" t="s">
        <v>11333</v>
      </c>
      <c r="K2146" s="5" t="s">
        <v>11334</v>
      </c>
      <c r="L2146" s="5" t="s">
        <v>11335</v>
      </c>
      <c r="M2146" s="5" t="s">
        <v>468</v>
      </c>
      <c r="N2146" s="5" t="s">
        <v>465</v>
      </c>
      <c r="O2146" s="5" t="s">
        <v>11336</v>
      </c>
      <c r="P2146" s="5"/>
      <c r="Q2146" s="5" t="s">
        <v>11337</v>
      </c>
    </row>
    <row r="2147" spans="2:17" x14ac:dyDescent="0.2">
      <c r="B2147" s="5" t="s">
        <v>11086</v>
      </c>
      <c r="C2147" s="6" t="s">
        <v>13589</v>
      </c>
      <c r="D2147" s="4">
        <v>1238</v>
      </c>
      <c r="E2147" s="5" t="s">
        <v>20</v>
      </c>
      <c r="F2147" s="5" t="s">
        <v>11290</v>
      </c>
      <c r="G2147" s="6" t="s">
        <v>39</v>
      </c>
      <c r="H2147" s="4"/>
      <c r="I2147" s="5" t="s">
        <v>22</v>
      </c>
      <c r="J2147" s="5" t="s">
        <v>11338</v>
      </c>
      <c r="K2147" s="5" t="s">
        <v>11334</v>
      </c>
      <c r="L2147" s="5" t="s">
        <v>11335</v>
      </c>
      <c r="M2147" s="5" t="s">
        <v>468</v>
      </c>
      <c r="N2147" s="5" t="s">
        <v>465</v>
      </c>
      <c r="O2147" s="5" t="s">
        <v>11336</v>
      </c>
      <c r="P2147" s="5"/>
      <c r="Q2147" s="5" t="s">
        <v>11339</v>
      </c>
    </row>
    <row r="2148" spans="2:17" x14ac:dyDescent="0.2">
      <c r="B2148" s="5" t="s">
        <v>11086</v>
      </c>
      <c r="C2148" s="6" t="s">
        <v>13589</v>
      </c>
      <c r="D2148" s="4">
        <v>1239</v>
      </c>
      <c r="E2148" s="5" t="s">
        <v>20</v>
      </c>
      <c r="F2148" s="5" t="s">
        <v>11290</v>
      </c>
      <c r="G2148" s="6" t="s">
        <v>39</v>
      </c>
      <c r="H2148" s="4"/>
      <c r="I2148" s="5" t="s">
        <v>22</v>
      </c>
      <c r="J2148" s="5" t="s">
        <v>11291</v>
      </c>
      <c r="K2148" s="5" t="s">
        <v>11292</v>
      </c>
      <c r="L2148" s="5" t="s">
        <v>11293</v>
      </c>
      <c r="M2148" s="5" t="s">
        <v>468</v>
      </c>
      <c r="N2148" s="5" t="s">
        <v>465</v>
      </c>
      <c r="O2148" s="5" t="s">
        <v>11294</v>
      </c>
      <c r="P2148" s="5"/>
      <c r="Q2148" s="5" t="s">
        <v>11295</v>
      </c>
    </row>
    <row r="2149" spans="2:17" x14ac:dyDescent="0.2">
      <c r="B2149" s="5" t="s">
        <v>11086</v>
      </c>
      <c r="C2149" s="6" t="s">
        <v>13589</v>
      </c>
      <c r="D2149" s="4">
        <v>1240</v>
      </c>
      <c r="E2149" s="5" t="s">
        <v>20</v>
      </c>
      <c r="F2149" s="5" t="s">
        <v>11290</v>
      </c>
      <c r="G2149" s="6" t="s">
        <v>39</v>
      </c>
      <c r="H2149" s="4"/>
      <c r="I2149" s="5" t="s">
        <v>22</v>
      </c>
      <c r="J2149" s="5" t="s">
        <v>11296</v>
      </c>
      <c r="K2149" s="5" t="s">
        <v>11297</v>
      </c>
      <c r="L2149" s="5" t="s">
        <v>11298</v>
      </c>
      <c r="M2149" s="5" t="s">
        <v>468</v>
      </c>
      <c r="N2149" s="5" t="s">
        <v>465</v>
      </c>
      <c r="O2149" s="5" t="s">
        <v>11299</v>
      </c>
      <c r="P2149" s="5"/>
      <c r="Q2149" s="5" t="s">
        <v>11300</v>
      </c>
    </row>
    <row r="2150" spans="2:17" x14ac:dyDescent="0.2">
      <c r="B2150" s="5" t="s">
        <v>11086</v>
      </c>
      <c r="C2150" s="6" t="s">
        <v>13589</v>
      </c>
      <c r="D2150" s="4">
        <v>1241</v>
      </c>
      <c r="E2150" s="5" t="s">
        <v>20</v>
      </c>
      <c r="F2150" s="5" t="s">
        <v>11290</v>
      </c>
      <c r="G2150" s="6" t="s">
        <v>39</v>
      </c>
      <c r="H2150" s="4"/>
      <c r="I2150" s="5" t="s">
        <v>22</v>
      </c>
      <c r="J2150" s="5" t="s">
        <v>11301</v>
      </c>
      <c r="K2150" s="5" t="s">
        <v>11302</v>
      </c>
      <c r="L2150" s="5" t="s">
        <v>11303</v>
      </c>
      <c r="M2150" s="5" t="s">
        <v>468</v>
      </c>
      <c r="N2150" s="5" t="s">
        <v>465</v>
      </c>
      <c r="O2150" s="5" t="s">
        <v>11304</v>
      </c>
      <c r="P2150" s="5"/>
      <c r="Q2150" s="5" t="s">
        <v>11305</v>
      </c>
    </row>
    <row r="2151" spans="2:17" x14ac:dyDescent="0.2">
      <c r="B2151" s="5" t="s">
        <v>11086</v>
      </c>
      <c r="C2151" s="6" t="s">
        <v>13589</v>
      </c>
      <c r="D2151" s="4">
        <v>1242</v>
      </c>
      <c r="E2151" s="5" t="s">
        <v>20</v>
      </c>
      <c r="F2151" s="5" t="s">
        <v>11290</v>
      </c>
      <c r="G2151" s="6" t="s">
        <v>39</v>
      </c>
      <c r="H2151" s="4"/>
      <c r="I2151" s="5" t="s">
        <v>22</v>
      </c>
      <c r="J2151" s="5" t="s">
        <v>11306</v>
      </c>
      <c r="K2151" s="5" t="s">
        <v>11307</v>
      </c>
      <c r="L2151" s="5"/>
      <c r="M2151" s="5" t="s">
        <v>468</v>
      </c>
      <c r="N2151" s="5" t="s">
        <v>465</v>
      </c>
      <c r="O2151" s="5" t="s">
        <v>11092</v>
      </c>
      <c r="P2151" s="5"/>
      <c r="Q2151" s="5" t="s">
        <v>11308</v>
      </c>
    </row>
    <row r="2152" spans="2:17" x14ac:dyDescent="0.2">
      <c r="B2152" s="5" t="s">
        <v>11086</v>
      </c>
      <c r="C2152" s="6" t="s">
        <v>13589</v>
      </c>
      <c r="D2152" s="4">
        <v>1243</v>
      </c>
      <c r="E2152" s="5" t="s">
        <v>20</v>
      </c>
      <c r="F2152" s="5" t="s">
        <v>11290</v>
      </c>
      <c r="G2152" s="6" t="s">
        <v>39</v>
      </c>
      <c r="H2152" s="4"/>
      <c r="I2152" s="5" t="s">
        <v>22</v>
      </c>
      <c r="J2152" s="5" t="s">
        <v>11309</v>
      </c>
      <c r="K2152" s="5" t="s">
        <v>11307</v>
      </c>
      <c r="L2152" s="5"/>
      <c r="M2152" s="5" t="s">
        <v>468</v>
      </c>
      <c r="N2152" s="5" t="s">
        <v>465</v>
      </c>
      <c r="O2152" s="5" t="s">
        <v>11092</v>
      </c>
      <c r="P2152" s="5"/>
      <c r="Q2152" s="5" t="s">
        <v>11310</v>
      </c>
    </row>
    <row r="2153" spans="2:17" x14ac:dyDescent="0.2">
      <c r="B2153" s="5" t="s">
        <v>11086</v>
      </c>
      <c r="C2153" s="6" t="s">
        <v>13589</v>
      </c>
      <c r="D2153" s="4">
        <v>1244</v>
      </c>
      <c r="E2153" s="5" t="s">
        <v>20</v>
      </c>
      <c r="F2153" s="5" t="s">
        <v>11290</v>
      </c>
      <c r="G2153" s="6" t="s">
        <v>39</v>
      </c>
      <c r="H2153" s="4"/>
      <c r="I2153" s="5" t="s">
        <v>22</v>
      </c>
      <c r="J2153" s="5" t="s">
        <v>11311</v>
      </c>
      <c r="K2153" s="5" t="s">
        <v>11106</v>
      </c>
      <c r="L2153" s="5"/>
      <c r="M2153" s="5" t="s">
        <v>468</v>
      </c>
      <c r="N2153" s="5" t="s">
        <v>465</v>
      </c>
      <c r="O2153" s="5" t="s">
        <v>11096</v>
      </c>
      <c r="P2153" s="5"/>
      <c r="Q2153" s="5" t="s">
        <v>11310</v>
      </c>
    </row>
    <row r="2154" spans="2:17" x14ac:dyDescent="0.2">
      <c r="B2154" s="5" t="s">
        <v>11086</v>
      </c>
      <c r="C2154" s="6" t="s">
        <v>13589</v>
      </c>
      <c r="D2154" s="4">
        <v>1245</v>
      </c>
      <c r="E2154" s="5" t="s">
        <v>20</v>
      </c>
      <c r="F2154" s="5" t="s">
        <v>11290</v>
      </c>
      <c r="G2154" s="6" t="s">
        <v>39</v>
      </c>
      <c r="H2154" s="4"/>
      <c r="I2154" s="5" t="s">
        <v>22</v>
      </c>
      <c r="J2154" s="5" t="s">
        <v>11312</v>
      </c>
      <c r="K2154" s="5" t="s">
        <v>11095</v>
      </c>
      <c r="L2154" s="5" t="s">
        <v>11313</v>
      </c>
      <c r="M2154" s="5" t="s">
        <v>468</v>
      </c>
      <c r="N2154" s="5" t="s">
        <v>465</v>
      </c>
      <c r="O2154" s="5" t="s">
        <v>11096</v>
      </c>
      <c r="P2154" s="5"/>
      <c r="Q2154" s="5" t="s">
        <v>11314</v>
      </c>
    </row>
    <row r="2155" spans="2:17" x14ac:dyDescent="0.2">
      <c r="B2155" s="5" t="s">
        <v>11086</v>
      </c>
      <c r="C2155" s="6" t="s">
        <v>13589</v>
      </c>
      <c r="D2155" s="4">
        <v>1246</v>
      </c>
      <c r="E2155" s="5" t="s">
        <v>20</v>
      </c>
      <c r="F2155" s="5" t="s">
        <v>11290</v>
      </c>
      <c r="G2155" s="6" t="s">
        <v>39</v>
      </c>
      <c r="H2155" s="4"/>
      <c r="I2155" s="5" t="s">
        <v>22</v>
      </c>
      <c r="J2155" s="5" t="s">
        <v>11315</v>
      </c>
      <c r="K2155" s="5" t="s">
        <v>11316</v>
      </c>
      <c r="L2155" s="5" t="s">
        <v>11293</v>
      </c>
      <c r="M2155" s="5" t="s">
        <v>468</v>
      </c>
      <c r="N2155" s="5" t="s">
        <v>465</v>
      </c>
      <c r="O2155" s="5" t="s">
        <v>11096</v>
      </c>
      <c r="P2155" s="5"/>
      <c r="Q2155" s="5" t="s">
        <v>9455</v>
      </c>
    </row>
    <row r="2156" spans="2:17" x14ac:dyDescent="0.2">
      <c r="B2156" s="5" t="s">
        <v>11086</v>
      </c>
      <c r="C2156" s="6" t="s">
        <v>13589</v>
      </c>
      <c r="D2156" s="4">
        <v>1247</v>
      </c>
      <c r="E2156" s="5" t="s">
        <v>20</v>
      </c>
      <c r="F2156" s="5" t="s">
        <v>11290</v>
      </c>
      <c r="G2156" s="6" t="s">
        <v>39</v>
      </c>
      <c r="H2156" s="4"/>
      <c r="I2156" s="5" t="s">
        <v>22</v>
      </c>
      <c r="J2156" s="5" t="s">
        <v>11317</v>
      </c>
      <c r="K2156" s="5" t="s">
        <v>11307</v>
      </c>
      <c r="L2156" s="5"/>
      <c r="M2156" s="5" t="s">
        <v>468</v>
      </c>
      <c r="N2156" s="5" t="s">
        <v>465</v>
      </c>
      <c r="O2156" s="5" t="s">
        <v>11092</v>
      </c>
      <c r="P2156" s="5"/>
      <c r="Q2156" s="5" t="s">
        <v>11318</v>
      </c>
    </row>
    <row r="2157" spans="2:17" x14ac:dyDescent="0.2">
      <c r="B2157" s="5" t="s">
        <v>11086</v>
      </c>
      <c r="C2157" s="6" t="s">
        <v>13589</v>
      </c>
      <c r="D2157" s="4">
        <v>1248</v>
      </c>
      <c r="E2157" s="5" t="s">
        <v>20</v>
      </c>
      <c r="F2157" s="5" t="s">
        <v>11290</v>
      </c>
      <c r="G2157" s="6" t="s">
        <v>39</v>
      </c>
      <c r="H2157" s="4"/>
      <c r="I2157" s="5" t="s">
        <v>22</v>
      </c>
      <c r="J2157" s="5" t="s">
        <v>11319</v>
      </c>
      <c r="K2157" s="5" t="s">
        <v>11320</v>
      </c>
      <c r="L2157" s="5" t="s">
        <v>11321</v>
      </c>
      <c r="M2157" s="5" t="s">
        <v>468</v>
      </c>
      <c r="N2157" s="5" t="s">
        <v>465</v>
      </c>
      <c r="O2157" s="5" t="s">
        <v>11096</v>
      </c>
      <c r="P2157" s="5"/>
      <c r="Q2157" s="5" t="s">
        <v>9544</v>
      </c>
    </row>
    <row r="2158" spans="2:17" x14ac:dyDescent="0.2">
      <c r="B2158" s="5" t="s">
        <v>11086</v>
      </c>
      <c r="C2158" s="6" t="s">
        <v>13589</v>
      </c>
      <c r="D2158" s="4">
        <v>1249</v>
      </c>
      <c r="E2158" s="5" t="s">
        <v>20</v>
      </c>
      <c r="F2158" s="5" t="s">
        <v>11290</v>
      </c>
      <c r="G2158" s="6" t="s">
        <v>39</v>
      </c>
      <c r="H2158" s="4"/>
      <c r="I2158" s="5" t="s">
        <v>22</v>
      </c>
      <c r="J2158" s="5" t="s">
        <v>11322</v>
      </c>
      <c r="K2158" s="5" t="s">
        <v>11323</v>
      </c>
      <c r="L2158" s="5" t="s">
        <v>11324</v>
      </c>
      <c r="M2158" s="5" t="s">
        <v>468</v>
      </c>
      <c r="N2158" s="5" t="s">
        <v>465</v>
      </c>
      <c r="O2158" s="5" t="s">
        <v>11299</v>
      </c>
      <c r="P2158" s="5"/>
      <c r="Q2158" s="5" t="s">
        <v>11325</v>
      </c>
    </row>
    <row r="2159" spans="2:17" x14ac:dyDescent="0.2">
      <c r="B2159" s="5" t="s">
        <v>11086</v>
      </c>
      <c r="C2159" s="6" t="s">
        <v>13589</v>
      </c>
      <c r="D2159" s="4">
        <v>1250</v>
      </c>
      <c r="E2159" s="5" t="s">
        <v>20</v>
      </c>
      <c r="F2159" s="5" t="s">
        <v>11290</v>
      </c>
      <c r="G2159" s="6" t="s">
        <v>39</v>
      </c>
      <c r="H2159" s="4"/>
      <c r="I2159" s="5" t="s">
        <v>22</v>
      </c>
      <c r="J2159" s="5" t="s">
        <v>11326</v>
      </c>
      <c r="K2159" s="5" t="s">
        <v>11297</v>
      </c>
      <c r="L2159" s="5" t="s">
        <v>11327</v>
      </c>
      <c r="M2159" s="5" t="s">
        <v>468</v>
      </c>
      <c r="N2159" s="5" t="s">
        <v>465</v>
      </c>
      <c r="O2159" s="5" t="s">
        <v>11304</v>
      </c>
      <c r="P2159" s="5"/>
      <c r="Q2159" s="5" t="s">
        <v>11328</v>
      </c>
    </row>
    <row r="2160" spans="2:17" x14ac:dyDescent="0.2">
      <c r="B2160" s="5" t="s">
        <v>11086</v>
      </c>
      <c r="C2160" s="6" t="s">
        <v>13589</v>
      </c>
      <c r="D2160" s="4">
        <v>1258</v>
      </c>
      <c r="E2160" s="5" t="s">
        <v>20</v>
      </c>
      <c r="F2160" s="5" t="s">
        <v>11255</v>
      </c>
      <c r="G2160" s="6" t="s">
        <v>39</v>
      </c>
      <c r="H2160" s="4"/>
      <c r="I2160" s="5" t="s">
        <v>38</v>
      </c>
      <c r="J2160" s="5" t="s">
        <v>11256</v>
      </c>
      <c r="K2160" s="5" t="s">
        <v>11257</v>
      </c>
      <c r="L2160" s="5" t="s">
        <v>11258</v>
      </c>
      <c r="M2160" s="5" t="s">
        <v>112</v>
      </c>
      <c r="N2160" s="5" t="s">
        <v>337</v>
      </c>
      <c r="O2160" s="5" t="s">
        <v>11091</v>
      </c>
      <c r="P2160" s="5"/>
      <c r="Q2160" s="5" t="s">
        <v>11259</v>
      </c>
    </row>
    <row r="2161" spans="2:17" x14ac:dyDescent="0.2">
      <c r="B2161" s="5" t="s">
        <v>11086</v>
      </c>
      <c r="C2161" s="6" t="s">
        <v>13589</v>
      </c>
      <c r="D2161" s="4">
        <v>1260</v>
      </c>
      <c r="E2161" s="5" t="s">
        <v>20</v>
      </c>
      <c r="F2161" s="5" t="s">
        <v>11250</v>
      </c>
      <c r="G2161" s="6" t="s">
        <v>39</v>
      </c>
      <c r="H2161" s="4"/>
      <c r="I2161" s="5" t="s">
        <v>38</v>
      </c>
      <c r="J2161" s="5" t="s">
        <v>11251</v>
      </c>
      <c r="K2161" s="5" t="s">
        <v>11252</v>
      </c>
      <c r="L2161" s="5" t="s">
        <v>11253</v>
      </c>
      <c r="M2161" s="5" t="s">
        <v>1415</v>
      </c>
      <c r="N2161" s="5" t="s">
        <v>1957</v>
      </c>
      <c r="O2161" s="5" t="s">
        <v>11096</v>
      </c>
      <c r="P2161" s="5"/>
      <c r="Q2161" s="5" t="s">
        <v>11254</v>
      </c>
    </row>
    <row r="2162" spans="2:17" x14ac:dyDescent="0.2">
      <c r="B2162" s="5" t="s">
        <v>11377</v>
      </c>
      <c r="C2162" s="6" t="s">
        <v>13589</v>
      </c>
      <c r="D2162" s="4">
        <v>1364</v>
      </c>
      <c r="E2162" s="5" t="s">
        <v>20</v>
      </c>
      <c r="F2162" s="5" t="s">
        <v>11571</v>
      </c>
      <c r="G2162" s="6" t="s">
        <v>39</v>
      </c>
      <c r="H2162" s="4"/>
      <c r="I2162" s="5" t="s">
        <v>22</v>
      </c>
      <c r="J2162" s="5" t="s">
        <v>11572</v>
      </c>
      <c r="K2162" s="5" t="s">
        <v>11573</v>
      </c>
      <c r="L2162" s="5" t="s">
        <v>11574</v>
      </c>
      <c r="M2162" s="5" t="s">
        <v>1812</v>
      </c>
      <c r="N2162" s="5" t="s">
        <v>1812</v>
      </c>
      <c r="O2162" s="5" t="s">
        <v>11387</v>
      </c>
      <c r="P2162" s="5"/>
      <c r="Q2162" s="5" t="s">
        <v>11575</v>
      </c>
    </row>
    <row r="2163" spans="2:17" x14ac:dyDescent="0.2">
      <c r="B2163" s="5" t="s">
        <v>11377</v>
      </c>
      <c r="C2163" s="6" t="s">
        <v>13589</v>
      </c>
      <c r="D2163" s="4">
        <v>1372</v>
      </c>
      <c r="E2163" s="5" t="s">
        <v>20</v>
      </c>
      <c r="F2163" s="5" t="s">
        <v>11542</v>
      </c>
      <c r="G2163" s="6" t="s">
        <v>39</v>
      </c>
      <c r="H2163" s="4"/>
      <c r="I2163" s="5" t="s">
        <v>22</v>
      </c>
      <c r="J2163" s="5" t="s">
        <v>11543</v>
      </c>
      <c r="K2163" s="5" t="s">
        <v>11544</v>
      </c>
      <c r="L2163" s="5" t="s">
        <v>11545</v>
      </c>
      <c r="M2163" s="5" t="s">
        <v>1385</v>
      </c>
      <c r="N2163" s="5" t="s">
        <v>296</v>
      </c>
      <c r="O2163" s="5" t="s">
        <v>11378</v>
      </c>
      <c r="P2163" s="5"/>
      <c r="Q2163" s="5" t="s">
        <v>11546</v>
      </c>
    </row>
    <row r="2164" spans="2:17" x14ac:dyDescent="0.2">
      <c r="B2164" s="5" t="s">
        <v>11775</v>
      </c>
      <c r="C2164" s="6" t="s">
        <v>13589</v>
      </c>
      <c r="D2164" s="4">
        <v>1426</v>
      </c>
      <c r="E2164" s="5" t="s">
        <v>13</v>
      </c>
      <c r="F2164" s="5" t="s">
        <v>12394</v>
      </c>
      <c r="G2164" s="6" t="s">
        <v>39</v>
      </c>
      <c r="H2164" s="4"/>
      <c r="I2164" s="5"/>
      <c r="J2164" s="5" t="s">
        <v>12395</v>
      </c>
      <c r="K2164" s="5" t="s">
        <v>11798</v>
      </c>
      <c r="L2164" s="5"/>
      <c r="M2164" s="5" t="s">
        <v>1690</v>
      </c>
      <c r="N2164" s="5" t="s">
        <v>1690</v>
      </c>
      <c r="O2164" s="5" t="s">
        <v>11782</v>
      </c>
      <c r="P2164" s="5"/>
      <c r="Q2164" s="5" t="s">
        <v>12396</v>
      </c>
    </row>
    <row r="2165" spans="2:17" x14ac:dyDescent="0.2">
      <c r="B2165" s="5" t="s">
        <v>11775</v>
      </c>
      <c r="C2165" s="6" t="s">
        <v>13589</v>
      </c>
      <c r="D2165" s="4">
        <v>1469</v>
      </c>
      <c r="E2165" s="5" t="s">
        <v>20</v>
      </c>
      <c r="F2165" s="5" t="s">
        <v>7599</v>
      </c>
      <c r="G2165" s="6" t="s">
        <v>39</v>
      </c>
      <c r="H2165" s="4"/>
      <c r="I2165" s="5" t="s">
        <v>38</v>
      </c>
      <c r="J2165" s="5" t="s">
        <v>12235</v>
      </c>
      <c r="K2165" s="5" t="s">
        <v>11883</v>
      </c>
      <c r="L2165" s="5" t="s">
        <v>12005</v>
      </c>
      <c r="M2165" s="5" t="s">
        <v>411</v>
      </c>
      <c r="N2165" s="5" t="s">
        <v>1530</v>
      </c>
      <c r="O2165" s="5" t="s">
        <v>11783</v>
      </c>
      <c r="P2165" s="5"/>
      <c r="Q2165" s="5" t="s">
        <v>12236</v>
      </c>
    </row>
    <row r="2166" spans="2:17" x14ac:dyDescent="0.2">
      <c r="B2166" s="5" t="s">
        <v>11775</v>
      </c>
      <c r="C2166" s="6" t="s">
        <v>13589</v>
      </c>
      <c r="D2166" s="4">
        <v>1470</v>
      </c>
      <c r="E2166" s="5" t="s">
        <v>20</v>
      </c>
      <c r="F2166" s="5" t="s">
        <v>7599</v>
      </c>
      <c r="G2166" s="6" t="s">
        <v>39</v>
      </c>
      <c r="H2166" s="4"/>
      <c r="I2166" s="5" t="s">
        <v>38</v>
      </c>
      <c r="J2166" s="5" t="s">
        <v>12237</v>
      </c>
      <c r="K2166" s="5" t="s">
        <v>11883</v>
      </c>
      <c r="L2166" s="5" t="s">
        <v>12238</v>
      </c>
      <c r="M2166" s="5" t="s">
        <v>411</v>
      </c>
      <c r="N2166" s="5" t="s">
        <v>1530</v>
      </c>
      <c r="O2166" s="5" t="s">
        <v>11783</v>
      </c>
      <c r="P2166" s="5"/>
      <c r="Q2166" s="5" t="s">
        <v>12239</v>
      </c>
    </row>
    <row r="2167" spans="2:17" x14ac:dyDescent="0.2">
      <c r="B2167" s="5" t="s">
        <v>11775</v>
      </c>
      <c r="C2167" s="6" t="s">
        <v>13589</v>
      </c>
      <c r="D2167" s="4">
        <v>1471</v>
      </c>
      <c r="E2167" s="5" t="s">
        <v>20</v>
      </c>
      <c r="F2167" s="5" t="s">
        <v>7599</v>
      </c>
      <c r="G2167" s="6" t="s">
        <v>39</v>
      </c>
      <c r="H2167" s="4"/>
      <c r="I2167" s="5" t="s">
        <v>38</v>
      </c>
      <c r="J2167" s="5" t="s">
        <v>12240</v>
      </c>
      <c r="K2167" s="5" t="s">
        <v>12241</v>
      </c>
      <c r="L2167" s="5" t="s">
        <v>12242</v>
      </c>
      <c r="M2167" s="5" t="s">
        <v>411</v>
      </c>
      <c r="N2167" s="5" t="s">
        <v>1530</v>
      </c>
      <c r="O2167" s="5" t="s">
        <v>11783</v>
      </c>
      <c r="P2167" s="5"/>
      <c r="Q2167" s="5" t="s">
        <v>12243</v>
      </c>
    </row>
    <row r="2168" spans="2:17" x14ac:dyDescent="0.2">
      <c r="B2168" s="5" t="s">
        <v>13091</v>
      </c>
      <c r="C2168" s="6" t="s">
        <v>13589</v>
      </c>
      <c r="D2168" s="4">
        <v>1879</v>
      </c>
      <c r="E2168" s="5" t="s">
        <v>13</v>
      </c>
      <c r="F2168" s="5" t="s">
        <v>13305</v>
      </c>
      <c r="G2168" s="6" t="s">
        <v>39</v>
      </c>
      <c r="H2168" s="4"/>
      <c r="I2168" s="5"/>
      <c r="J2168" s="5" t="s">
        <v>13306</v>
      </c>
      <c r="K2168" s="5" t="s">
        <v>13104</v>
      </c>
      <c r="L2168" s="5"/>
      <c r="M2168" s="5" t="s">
        <v>219</v>
      </c>
      <c r="N2168" s="5" t="s">
        <v>219</v>
      </c>
      <c r="O2168" s="5" t="s">
        <v>13098</v>
      </c>
      <c r="P2168" s="5"/>
      <c r="Q2168" s="5" t="s">
        <v>13307</v>
      </c>
    </row>
    <row r="2169" spans="2:17" x14ac:dyDescent="0.2">
      <c r="B2169" s="5" t="s">
        <v>5246</v>
      </c>
      <c r="C2169" s="6" t="s">
        <v>13589</v>
      </c>
      <c r="D2169" s="4">
        <v>64</v>
      </c>
      <c r="E2169" s="5" t="s">
        <v>20</v>
      </c>
      <c r="F2169" s="5" t="s">
        <v>5402</v>
      </c>
      <c r="G2169" s="6" t="s">
        <v>18</v>
      </c>
      <c r="H2169" s="4"/>
      <c r="I2169" s="5" t="s">
        <v>22</v>
      </c>
      <c r="J2169" s="5" t="s">
        <v>5403</v>
      </c>
      <c r="K2169" s="5" t="s">
        <v>5146</v>
      </c>
      <c r="L2169" s="5" t="s">
        <v>5404</v>
      </c>
      <c r="M2169" s="5" t="s">
        <v>3362</v>
      </c>
      <c r="N2169" s="5" t="s">
        <v>3763</v>
      </c>
      <c r="O2169" s="5" t="s">
        <v>5006</v>
      </c>
      <c r="P2169" s="5"/>
      <c r="Q2169" s="5" t="s">
        <v>2361</v>
      </c>
    </row>
    <row r="2170" spans="2:17" x14ac:dyDescent="0.2">
      <c r="B2170" s="5" t="s">
        <v>5246</v>
      </c>
      <c r="C2170" s="6" t="s">
        <v>13589</v>
      </c>
      <c r="D2170" s="4">
        <v>79</v>
      </c>
      <c r="E2170" s="5" t="s">
        <v>20</v>
      </c>
      <c r="F2170" s="5" t="s">
        <v>5358</v>
      </c>
      <c r="G2170" s="6" t="s">
        <v>18</v>
      </c>
      <c r="H2170" s="4"/>
      <c r="I2170" s="5" t="s">
        <v>22</v>
      </c>
      <c r="J2170" s="5" t="s">
        <v>5359</v>
      </c>
      <c r="K2170" s="5" t="s">
        <v>5016</v>
      </c>
      <c r="L2170" s="5"/>
      <c r="M2170" s="5" t="s">
        <v>193</v>
      </c>
      <c r="N2170" s="5" t="s">
        <v>5360</v>
      </c>
      <c r="O2170" s="5" t="s">
        <v>5005</v>
      </c>
      <c r="P2170" s="5"/>
      <c r="Q2170" s="5" t="s">
        <v>5361</v>
      </c>
    </row>
    <row r="2171" spans="2:17" x14ac:dyDescent="0.2">
      <c r="B2171" s="5" t="s">
        <v>5246</v>
      </c>
      <c r="C2171" s="6" t="s">
        <v>13589</v>
      </c>
      <c r="D2171" s="4">
        <v>99</v>
      </c>
      <c r="E2171" s="5" t="s">
        <v>20</v>
      </c>
      <c r="F2171" s="5" t="s">
        <v>5296</v>
      </c>
      <c r="G2171" s="6" t="s">
        <v>18</v>
      </c>
      <c r="H2171" s="4"/>
      <c r="I2171" s="5" t="s">
        <v>22</v>
      </c>
      <c r="J2171" s="5" t="s">
        <v>5297</v>
      </c>
      <c r="K2171" s="5" t="s">
        <v>5008</v>
      </c>
      <c r="L2171" s="5" t="s">
        <v>5298</v>
      </c>
      <c r="M2171" s="5" t="s">
        <v>4373</v>
      </c>
      <c r="N2171" s="5" t="s">
        <v>3162</v>
      </c>
      <c r="O2171" s="5" t="s">
        <v>5005</v>
      </c>
      <c r="P2171" s="5"/>
      <c r="Q2171" s="5" t="s">
        <v>5299</v>
      </c>
    </row>
    <row r="2172" spans="2:17" x14ac:dyDescent="0.2">
      <c r="B2172" s="5" t="s">
        <v>5246</v>
      </c>
      <c r="C2172" s="6" t="s">
        <v>13589</v>
      </c>
      <c r="D2172" s="4">
        <v>103</v>
      </c>
      <c r="E2172" s="5" t="s">
        <v>20</v>
      </c>
      <c r="F2172" s="5" t="s">
        <v>5286</v>
      </c>
      <c r="G2172" s="6" t="s">
        <v>18</v>
      </c>
      <c r="H2172" s="4"/>
      <c r="I2172" s="5" t="s">
        <v>22</v>
      </c>
      <c r="J2172" s="5" t="s">
        <v>5287</v>
      </c>
      <c r="K2172" s="5" t="s">
        <v>5009</v>
      </c>
      <c r="L2172" s="5" t="s">
        <v>5288</v>
      </c>
      <c r="M2172" s="5" t="s">
        <v>4184</v>
      </c>
      <c r="N2172" s="5" t="s">
        <v>5284</v>
      </c>
      <c r="O2172" s="5" t="s">
        <v>5010</v>
      </c>
      <c r="P2172" s="5"/>
      <c r="Q2172" s="5" t="s">
        <v>5289</v>
      </c>
    </row>
    <row r="2173" spans="2:17" x14ac:dyDescent="0.2">
      <c r="B2173" s="5" t="s">
        <v>5451</v>
      </c>
      <c r="C2173" s="6" t="s">
        <v>13589</v>
      </c>
      <c r="D2173" s="4">
        <v>131</v>
      </c>
      <c r="E2173" s="5" t="s">
        <v>24</v>
      </c>
      <c r="F2173" s="5" t="s">
        <v>5628</v>
      </c>
      <c r="G2173" s="6" t="s">
        <v>18</v>
      </c>
      <c r="H2173" s="4"/>
      <c r="I2173" s="5"/>
      <c r="J2173" s="5" t="s">
        <v>5629</v>
      </c>
      <c r="K2173" s="5" t="s">
        <v>5457</v>
      </c>
      <c r="L2173" s="5"/>
      <c r="M2173" s="5" t="s">
        <v>1894</v>
      </c>
      <c r="N2173" s="5" t="s">
        <v>2724</v>
      </c>
      <c r="O2173" s="5" t="s">
        <v>5452</v>
      </c>
      <c r="P2173" s="5"/>
      <c r="Q2173" s="5" t="s">
        <v>5630</v>
      </c>
    </row>
    <row r="2174" spans="2:17" x14ac:dyDescent="0.2">
      <c r="B2174" s="5" t="s">
        <v>5451</v>
      </c>
      <c r="C2174" s="6" t="s">
        <v>13589</v>
      </c>
      <c r="D2174" s="4">
        <v>139</v>
      </c>
      <c r="E2174" s="5" t="s">
        <v>35</v>
      </c>
      <c r="F2174" s="5" t="s">
        <v>5592</v>
      </c>
      <c r="G2174" s="6" t="s">
        <v>18</v>
      </c>
      <c r="H2174" s="4"/>
      <c r="I2174" s="5"/>
      <c r="J2174" s="5" t="s">
        <v>5593</v>
      </c>
      <c r="K2174" s="5" t="s">
        <v>5576</v>
      </c>
      <c r="L2174" s="5"/>
      <c r="M2174" s="5" t="s">
        <v>422</v>
      </c>
      <c r="N2174" s="5" t="s">
        <v>423</v>
      </c>
      <c r="O2174" s="5" t="s">
        <v>5453</v>
      </c>
      <c r="P2174" s="5"/>
      <c r="Q2174" s="5" t="s">
        <v>5594</v>
      </c>
    </row>
    <row r="2175" spans="2:17" x14ac:dyDescent="0.2">
      <c r="B2175" s="5" t="s">
        <v>5451</v>
      </c>
      <c r="C2175" s="6" t="s">
        <v>13589</v>
      </c>
      <c r="D2175" s="4">
        <v>140</v>
      </c>
      <c r="E2175" s="5" t="s">
        <v>24</v>
      </c>
      <c r="F2175" s="5" t="s">
        <v>5600</v>
      </c>
      <c r="G2175" s="6" t="s">
        <v>18</v>
      </c>
      <c r="H2175" s="4"/>
      <c r="I2175" s="5"/>
      <c r="J2175" s="5" t="s">
        <v>5601</v>
      </c>
      <c r="K2175" s="5" t="s">
        <v>5576</v>
      </c>
      <c r="L2175" s="5"/>
      <c r="M2175" s="5" t="s">
        <v>428</v>
      </c>
      <c r="N2175" s="5" t="s">
        <v>423</v>
      </c>
      <c r="O2175" s="5" t="s">
        <v>5453</v>
      </c>
      <c r="P2175" s="5"/>
      <c r="Q2175" s="5" t="s">
        <v>5602</v>
      </c>
    </row>
    <row r="2176" spans="2:17" x14ac:dyDescent="0.2">
      <c r="B2176" s="5" t="s">
        <v>5451</v>
      </c>
      <c r="C2176" s="6" t="s">
        <v>13589</v>
      </c>
      <c r="D2176" s="4">
        <v>171</v>
      </c>
      <c r="E2176" s="5" t="s">
        <v>20</v>
      </c>
      <c r="F2176" s="5" t="s">
        <v>5483</v>
      </c>
      <c r="G2176" s="6" t="s">
        <v>18</v>
      </c>
      <c r="H2176" s="4"/>
      <c r="I2176" s="5" t="s">
        <v>22</v>
      </c>
      <c r="J2176" s="5" t="s">
        <v>5484</v>
      </c>
      <c r="K2176" s="5" t="s">
        <v>5001</v>
      </c>
      <c r="L2176" s="5" t="s">
        <v>5485</v>
      </c>
      <c r="M2176" s="5" t="s">
        <v>284</v>
      </c>
      <c r="N2176" s="5" t="s">
        <v>1736</v>
      </c>
      <c r="O2176" s="5" t="s">
        <v>5453</v>
      </c>
      <c r="P2176" s="5"/>
      <c r="Q2176" s="5" t="s">
        <v>5486</v>
      </c>
    </row>
    <row r="2177" spans="2:17" x14ac:dyDescent="0.2">
      <c r="B2177" s="5" t="s">
        <v>5451</v>
      </c>
      <c r="C2177" s="6" t="s">
        <v>13589</v>
      </c>
      <c r="D2177" s="4">
        <v>178</v>
      </c>
      <c r="E2177" s="5" t="s">
        <v>20</v>
      </c>
      <c r="F2177" s="5" t="s">
        <v>5643</v>
      </c>
      <c r="G2177" s="6" t="s">
        <v>18</v>
      </c>
      <c r="H2177" s="4"/>
      <c r="I2177" s="5" t="s">
        <v>22</v>
      </c>
      <c r="J2177" s="5" t="s">
        <v>5644</v>
      </c>
      <c r="K2177" s="5" t="s">
        <v>5459</v>
      </c>
      <c r="L2177" s="5"/>
      <c r="M2177" s="5" t="s">
        <v>5645</v>
      </c>
      <c r="N2177" s="5" t="s">
        <v>5645</v>
      </c>
      <c r="O2177" s="5" t="s">
        <v>5453</v>
      </c>
      <c r="P2177" s="5"/>
      <c r="Q2177" s="5" t="s">
        <v>5646</v>
      </c>
    </row>
    <row r="2178" spans="2:17" x14ac:dyDescent="0.2">
      <c r="B2178" s="5" t="s">
        <v>5451</v>
      </c>
      <c r="C2178" s="6" t="s">
        <v>13589</v>
      </c>
      <c r="D2178" s="4">
        <v>179</v>
      </c>
      <c r="E2178" s="5" t="s">
        <v>20</v>
      </c>
      <c r="F2178" s="5" t="s">
        <v>5636</v>
      </c>
      <c r="G2178" s="6" t="s">
        <v>18</v>
      </c>
      <c r="H2178" s="4"/>
      <c r="I2178" s="5" t="s">
        <v>22</v>
      </c>
      <c r="J2178" s="5" t="s">
        <v>5637</v>
      </c>
      <c r="K2178" s="5" t="s">
        <v>4997</v>
      </c>
      <c r="L2178" s="5" t="s">
        <v>5638</v>
      </c>
      <c r="M2178" s="5" t="s">
        <v>1074</v>
      </c>
      <c r="N2178" s="5" t="s">
        <v>1074</v>
      </c>
      <c r="O2178" s="5" t="s">
        <v>5453</v>
      </c>
      <c r="P2178" s="5"/>
      <c r="Q2178" s="5" t="s">
        <v>5639</v>
      </c>
    </row>
    <row r="2179" spans="2:17" x14ac:dyDescent="0.2">
      <c r="B2179" s="5" t="s">
        <v>5451</v>
      </c>
      <c r="C2179" s="6" t="s">
        <v>13589</v>
      </c>
      <c r="D2179" s="4">
        <v>180</v>
      </c>
      <c r="E2179" s="5" t="s">
        <v>20</v>
      </c>
      <c r="F2179" s="5" t="s">
        <v>5636</v>
      </c>
      <c r="G2179" s="6" t="s">
        <v>18</v>
      </c>
      <c r="H2179" s="4"/>
      <c r="I2179" s="5" t="s">
        <v>22</v>
      </c>
      <c r="J2179" s="5" t="s">
        <v>5640</v>
      </c>
      <c r="K2179" s="5" t="s">
        <v>4997</v>
      </c>
      <c r="L2179" s="5" t="s">
        <v>5641</v>
      </c>
      <c r="M2179" s="5" t="s">
        <v>1074</v>
      </c>
      <c r="N2179" s="5" t="s">
        <v>1074</v>
      </c>
      <c r="O2179" s="5" t="s">
        <v>5453</v>
      </c>
      <c r="P2179" s="5"/>
      <c r="Q2179" s="5" t="s">
        <v>5642</v>
      </c>
    </row>
    <row r="2180" spans="2:17" x14ac:dyDescent="0.2">
      <c r="B2180" s="5" t="s">
        <v>5451</v>
      </c>
      <c r="C2180" s="6" t="s">
        <v>13589</v>
      </c>
      <c r="D2180" s="4">
        <v>181</v>
      </c>
      <c r="E2180" s="5" t="s">
        <v>35</v>
      </c>
      <c r="F2180" s="5" t="s">
        <v>5647</v>
      </c>
      <c r="G2180" s="6" t="s">
        <v>18</v>
      </c>
      <c r="H2180" s="4"/>
      <c r="I2180" s="5"/>
      <c r="J2180" s="5" t="s">
        <v>5654</v>
      </c>
      <c r="K2180" s="5" t="s">
        <v>5576</v>
      </c>
      <c r="L2180" s="5"/>
      <c r="M2180" s="5" t="s">
        <v>2249</v>
      </c>
      <c r="N2180" s="5" t="s">
        <v>4838</v>
      </c>
      <c r="O2180" s="5" t="s">
        <v>5453</v>
      </c>
      <c r="P2180" s="5"/>
      <c r="Q2180" s="5" t="s">
        <v>5655</v>
      </c>
    </row>
    <row r="2181" spans="2:17" x14ac:dyDescent="0.2">
      <c r="B2181" s="5" t="s">
        <v>5451</v>
      </c>
      <c r="C2181" s="6" t="s">
        <v>13589</v>
      </c>
      <c r="D2181" s="4">
        <v>182</v>
      </c>
      <c r="E2181" s="5" t="s">
        <v>82</v>
      </c>
      <c r="F2181" s="5" t="s">
        <v>5647</v>
      </c>
      <c r="G2181" s="6" t="s">
        <v>18</v>
      </c>
      <c r="H2181" s="4"/>
      <c r="I2181" s="5" t="s">
        <v>22</v>
      </c>
      <c r="J2181" s="5" t="s">
        <v>5652</v>
      </c>
      <c r="K2181" s="5" t="s">
        <v>4997</v>
      </c>
      <c r="L2181" s="5"/>
      <c r="M2181" s="5" t="s">
        <v>2249</v>
      </c>
      <c r="N2181" s="5" t="s">
        <v>4838</v>
      </c>
      <c r="O2181" s="5" t="s">
        <v>5455</v>
      </c>
      <c r="P2181" s="5"/>
      <c r="Q2181" s="5" t="s">
        <v>5653</v>
      </c>
    </row>
    <row r="2182" spans="2:17" x14ac:dyDescent="0.2">
      <c r="B2182" s="5" t="s">
        <v>5451</v>
      </c>
      <c r="C2182" s="6" t="s">
        <v>13589</v>
      </c>
      <c r="D2182" s="4">
        <v>183</v>
      </c>
      <c r="E2182" s="5" t="s">
        <v>15</v>
      </c>
      <c r="F2182" s="5" t="s">
        <v>5647</v>
      </c>
      <c r="G2182" s="6" t="s">
        <v>18</v>
      </c>
      <c r="H2182" s="4"/>
      <c r="I2182" s="5"/>
      <c r="J2182" s="5" t="s">
        <v>5648</v>
      </c>
      <c r="K2182" s="5" t="s">
        <v>4997</v>
      </c>
      <c r="L2182" s="5"/>
      <c r="M2182" s="5" t="s">
        <v>2249</v>
      </c>
      <c r="N2182" s="5" t="s">
        <v>4838</v>
      </c>
      <c r="O2182" s="5" t="s">
        <v>5455</v>
      </c>
      <c r="P2182" s="5"/>
      <c r="Q2182" s="5" t="s">
        <v>5649</v>
      </c>
    </row>
    <row r="2183" spans="2:17" x14ac:dyDescent="0.2">
      <c r="B2183" s="5" t="s">
        <v>5451</v>
      </c>
      <c r="C2183" s="6" t="s">
        <v>13589</v>
      </c>
      <c r="D2183" s="4">
        <v>184</v>
      </c>
      <c r="E2183" s="5" t="s">
        <v>24</v>
      </c>
      <c r="F2183" s="5" t="s">
        <v>5647</v>
      </c>
      <c r="G2183" s="6" t="s">
        <v>18</v>
      </c>
      <c r="H2183" s="4"/>
      <c r="I2183" s="5"/>
      <c r="J2183" s="5" t="s">
        <v>5650</v>
      </c>
      <c r="K2183" s="5" t="s">
        <v>4999</v>
      </c>
      <c r="L2183" s="5"/>
      <c r="M2183" s="5" t="s">
        <v>2249</v>
      </c>
      <c r="N2183" s="5" t="s">
        <v>4838</v>
      </c>
      <c r="O2183" s="5" t="s">
        <v>5452</v>
      </c>
      <c r="P2183" s="5"/>
      <c r="Q2183" s="5" t="s">
        <v>5651</v>
      </c>
    </row>
    <row r="2184" spans="2:17" x14ac:dyDescent="0.2">
      <c r="B2184" s="5" t="s">
        <v>5451</v>
      </c>
      <c r="C2184" s="6" t="s">
        <v>13589</v>
      </c>
      <c r="D2184" s="4">
        <v>192</v>
      </c>
      <c r="E2184" s="5" t="s">
        <v>24</v>
      </c>
      <c r="F2184" s="5" t="s">
        <v>5671</v>
      </c>
      <c r="G2184" s="6" t="s">
        <v>18</v>
      </c>
      <c r="H2184" s="4"/>
      <c r="I2184" s="5"/>
      <c r="J2184" s="5" t="s">
        <v>5672</v>
      </c>
      <c r="K2184" s="5" t="s">
        <v>5457</v>
      </c>
      <c r="L2184" s="5"/>
      <c r="M2184" s="5" t="s">
        <v>260</v>
      </c>
      <c r="N2184" s="5" t="s">
        <v>256</v>
      </c>
      <c r="O2184" s="5" t="s">
        <v>5452</v>
      </c>
      <c r="P2184" s="5"/>
      <c r="Q2184" s="5" t="s">
        <v>5673</v>
      </c>
    </row>
    <row r="2185" spans="2:17" x14ac:dyDescent="0.2">
      <c r="B2185" s="5" t="s">
        <v>5681</v>
      </c>
      <c r="C2185" s="6" t="s">
        <v>13589</v>
      </c>
      <c r="D2185" s="4">
        <v>203</v>
      </c>
      <c r="E2185" s="5" t="s">
        <v>20</v>
      </c>
      <c r="F2185" s="5" t="s">
        <v>4371</v>
      </c>
      <c r="G2185" s="6" t="s">
        <v>18</v>
      </c>
      <c r="H2185" s="4"/>
      <c r="I2185" s="5" t="s">
        <v>22</v>
      </c>
      <c r="J2185" s="5" t="s">
        <v>4372</v>
      </c>
      <c r="K2185" s="5" t="s">
        <v>5699</v>
      </c>
      <c r="L2185" s="5"/>
      <c r="M2185" s="5" t="s">
        <v>428</v>
      </c>
      <c r="N2185" s="5" t="s">
        <v>4373</v>
      </c>
      <c r="O2185" s="5" t="s">
        <v>5684</v>
      </c>
      <c r="P2185" s="5"/>
      <c r="Q2185" s="5" t="s">
        <v>5889</v>
      </c>
    </row>
    <row r="2186" spans="2:17" x14ac:dyDescent="0.2">
      <c r="B2186" s="5" t="s">
        <v>5681</v>
      </c>
      <c r="C2186" s="6" t="s">
        <v>13589</v>
      </c>
      <c r="D2186" s="4">
        <v>218</v>
      </c>
      <c r="E2186" s="5" t="s">
        <v>20</v>
      </c>
      <c r="F2186" s="5" t="s">
        <v>5864</v>
      </c>
      <c r="G2186" s="6" t="s">
        <v>18</v>
      </c>
      <c r="H2186" s="4"/>
      <c r="I2186" s="5" t="s">
        <v>22</v>
      </c>
      <c r="J2186" s="5" t="s">
        <v>1121</v>
      </c>
      <c r="K2186" s="5" t="s">
        <v>5703</v>
      </c>
      <c r="L2186" s="5"/>
      <c r="M2186" s="5" t="s">
        <v>5846</v>
      </c>
      <c r="N2186" s="5" t="s">
        <v>296</v>
      </c>
      <c r="O2186" s="5" t="s">
        <v>5683</v>
      </c>
      <c r="P2186" s="5"/>
      <c r="Q2186" s="5" t="s">
        <v>5865</v>
      </c>
    </row>
    <row r="2187" spans="2:17" x14ac:dyDescent="0.2">
      <c r="B2187" s="5" t="s">
        <v>5681</v>
      </c>
      <c r="C2187" s="6" t="s">
        <v>13589</v>
      </c>
      <c r="D2187" s="4">
        <v>219</v>
      </c>
      <c r="E2187" s="5" t="s">
        <v>20</v>
      </c>
      <c r="F2187" s="5" t="s">
        <v>5848</v>
      </c>
      <c r="G2187" s="6" t="s">
        <v>18</v>
      </c>
      <c r="H2187" s="4"/>
      <c r="I2187" s="5" t="s">
        <v>22</v>
      </c>
      <c r="J2187" s="5" t="s">
        <v>5849</v>
      </c>
      <c r="K2187" s="5" t="s">
        <v>5703</v>
      </c>
      <c r="L2187" s="5"/>
      <c r="M2187" s="5" t="s">
        <v>5846</v>
      </c>
      <c r="N2187" s="5" t="s">
        <v>296</v>
      </c>
      <c r="O2187" s="5" t="s">
        <v>5683</v>
      </c>
      <c r="P2187" s="5"/>
      <c r="Q2187" s="5" t="s">
        <v>5850</v>
      </c>
    </row>
    <row r="2188" spans="2:17" x14ac:dyDescent="0.2">
      <c r="B2188" s="5" t="s">
        <v>5681</v>
      </c>
      <c r="C2188" s="6" t="s">
        <v>13589</v>
      </c>
      <c r="D2188" s="4">
        <v>226</v>
      </c>
      <c r="E2188" s="5" t="s">
        <v>20</v>
      </c>
      <c r="F2188" s="5" t="s">
        <v>5808</v>
      </c>
      <c r="G2188" s="6" t="s">
        <v>18</v>
      </c>
      <c r="H2188" s="4"/>
      <c r="I2188" s="5" t="s">
        <v>22</v>
      </c>
      <c r="J2188" s="5" t="s">
        <v>647</v>
      </c>
      <c r="K2188" s="5" t="s">
        <v>5682</v>
      </c>
      <c r="L2188" s="5"/>
      <c r="M2188" s="5" t="s">
        <v>1343</v>
      </c>
      <c r="N2188" s="5" t="s">
        <v>291</v>
      </c>
      <c r="O2188" s="5" t="s">
        <v>5683</v>
      </c>
      <c r="P2188" s="5"/>
      <c r="Q2188" s="5" t="s">
        <v>5828</v>
      </c>
    </row>
    <row r="2189" spans="2:17" x14ac:dyDescent="0.2">
      <c r="B2189" s="5" t="s">
        <v>5681</v>
      </c>
      <c r="C2189" s="6" t="s">
        <v>13589</v>
      </c>
      <c r="D2189" s="4">
        <v>227</v>
      </c>
      <c r="E2189" s="5" t="s">
        <v>20</v>
      </c>
      <c r="F2189" s="5" t="s">
        <v>5808</v>
      </c>
      <c r="G2189" s="6" t="s">
        <v>18</v>
      </c>
      <c r="H2189" s="4"/>
      <c r="I2189" s="5" t="s">
        <v>22</v>
      </c>
      <c r="J2189" s="5" t="s">
        <v>615</v>
      </c>
      <c r="K2189" s="5" t="s">
        <v>5682</v>
      </c>
      <c r="L2189" s="5"/>
      <c r="M2189" s="5" t="s">
        <v>1343</v>
      </c>
      <c r="N2189" s="5" t="s">
        <v>291</v>
      </c>
      <c r="O2189" s="5" t="s">
        <v>5683</v>
      </c>
      <c r="P2189" s="5"/>
      <c r="Q2189" s="5" t="s">
        <v>5829</v>
      </c>
    </row>
    <row r="2190" spans="2:17" x14ac:dyDescent="0.2">
      <c r="B2190" s="5" t="s">
        <v>5681</v>
      </c>
      <c r="C2190" s="6" t="s">
        <v>13589</v>
      </c>
      <c r="D2190" s="4">
        <v>228</v>
      </c>
      <c r="E2190" s="5" t="s">
        <v>20</v>
      </c>
      <c r="F2190" s="5" t="s">
        <v>5808</v>
      </c>
      <c r="G2190" s="6" t="s">
        <v>18</v>
      </c>
      <c r="H2190" s="4"/>
      <c r="I2190" s="5" t="s">
        <v>22</v>
      </c>
      <c r="J2190" s="5" t="s">
        <v>581</v>
      </c>
      <c r="K2190" s="5" t="s">
        <v>5701</v>
      </c>
      <c r="L2190" s="5"/>
      <c r="M2190" s="5" t="s">
        <v>1343</v>
      </c>
      <c r="N2190" s="5" t="s">
        <v>291</v>
      </c>
      <c r="O2190" s="5" t="s">
        <v>5702</v>
      </c>
      <c r="P2190" s="5"/>
      <c r="Q2190" s="5" t="s">
        <v>5830</v>
      </c>
    </row>
    <row r="2191" spans="2:17" x14ac:dyDescent="0.2">
      <c r="B2191" s="5" t="s">
        <v>5681</v>
      </c>
      <c r="C2191" s="6" t="s">
        <v>13589</v>
      </c>
      <c r="D2191" s="4">
        <v>229</v>
      </c>
      <c r="E2191" s="5" t="s">
        <v>20</v>
      </c>
      <c r="F2191" s="5" t="s">
        <v>5814</v>
      </c>
      <c r="G2191" s="6" t="s">
        <v>18</v>
      </c>
      <c r="H2191" s="4"/>
      <c r="I2191" s="5" t="s">
        <v>22</v>
      </c>
      <c r="J2191" s="5" t="s">
        <v>5820</v>
      </c>
      <c r="K2191" s="5" t="s">
        <v>5689</v>
      </c>
      <c r="L2191" s="5" t="s">
        <v>5741</v>
      </c>
      <c r="M2191" s="5" t="s">
        <v>1343</v>
      </c>
      <c r="N2191" s="5" t="s">
        <v>291</v>
      </c>
      <c r="O2191" s="5" t="s">
        <v>5690</v>
      </c>
      <c r="P2191" s="5"/>
      <c r="Q2191" s="5" t="s">
        <v>5821</v>
      </c>
    </row>
    <row r="2192" spans="2:17" x14ac:dyDescent="0.2">
      <c r="B2192" s="5" t="s">
        <v>5681</v>
      </c>
      <c r="C2192" s="6" t="s">
        <v>13589</v>
      </c>
      <c r="D2192" s="4">
        <v>230</v>
      </c>
      <c r="E2192" s="5" t="s">
        <v>20</v>
      </c>
      <c r="F2192" s="5" t="s">
        <v>3786</v>
      </c>
      <c r="G2192" s="6" t="s">
        <v>18</v>
      </c>
      <c r="H2192" s="4"/>
      <c r="I2192" s="5" t="s">
        <v>22</v>
      </c>
      <c r="J2192" s="5" t="s">
        <v>4336</v>
      </c>
      <c r="K2192" s="5" t="s">
        <v>5729</v>
      </c>
      <c r="L2192" s="5" t="s">
        <v>5822</v>
      </c>
      <c r="M2192" s="5" t="s">
        <v>1343</v>
      </c>
      <c r="N2192" s="5" t="s">
        <v>291</v>
      </c>
      <c r="O2192" s="5" t="s">
        <v>5694</v>
      </c>
      <c r="P2192" s="5"/>
      <c r="Q2192" s="5" t="s">
        <v>4720</v>
      </c>
    </row>
    <row r="2193" spans="2:17" x14ac:dyDescent="0.2">
      <c r="B2193" s="5" t="s">
        <v>5681</v>
      </c>
      <c r="C2193" s="6" t="s">
        <v>13589</v>
      </c>
      <c r="D2193" s="4">
        <v>231</v>
      </c>
      <c r="E2193" s="5" t="s">
        <v>20</v>
      </c>
      <c r="F2193" s="5" t="s">
        <v>5823</v>
      </c>
      <c r="G2193" s="6" t="s">
        <v>18</v>
      </c>
      <c r="H2193" s="4"/>
      <c r="I2193" s="5" t="s">
        <v>22</v>
      </c>
      <c r="J2193" s="5" t="s">
        <v>5824</v>
      </c>
      <c r="K2193" s="5" t="s">
        <v>5682</v>
      </c>
      <c r="L2193" s="5"/>
      <c r="M2193" s="5" t="s">
        <v>1343</v>
      </c>
      <c r="N2193" s="5" t="s">
        <v>291</v>
      </c>
      <c r="O2193" s="5" t="s">
        <v>5683</v>
      </c>
      <c r="P2193" s="5"/>
      <c r="Q2193" s="5" t="s">
        <v>5825</v>
      </c>
    </row>
    <row r="2194" spans="2:17" x14ac:dyDescent="0.2">
      <c r="B2194" s="5" t="s">
        <v>5681</v>
      </c>
      <c r="C2194" s="6" t="s">
        <v>13589</v>
      </c>
      <c r="D2194" s="4">
        <v>232</v>
      </c>
      <c r="E2194" s="5" t="s">
        <v>20</v>
      </c>
      <c r="F2194" s="5" t="s">
        <v>5823</v>
      </c>
      <c r="G2194" s="6" t="s">
        <v>18</v>
      </c>
      <c r="H2194" s="4"/>
      <c r="I2194" s="5" t="s">
        <v>22</v>
      </c>
      <c r="J2194" s="5" t="s">
        <v>647</v>
      </c>
      <c r="K2194" s="5" t="s">
        <v>5682</v>
      </c>
      <c r="L2194" s="5"/>
      <c r="M2194" s="5" t="s">
        <v>1343</v>
      </c>
      <c r="N2194" s="5" t="s">
        <v>291</v>
      </c>
      <c r="O2194" s="5" t="s">
        <v>5683</v>
      </c>
      <c r="P2194" s="5"/>
      <c r="Q2194" s="5" t="s">
        <v>5826</v>
      </c>
    </row>
    <row r="2195" spans="2:17" x14ac:dyDescent="0.2">
      <c r="B2195" s="5" t="s">
        <v>5681</v>
      </c>
      <c r="C2195" s="6" t="s">
        <v>13589</v>
      </c>
      <c r="D2195" s="4">
        <v>233</v>
      </c>
      <c r="E2195" s="5" t="s">
        <v>20</v>
      </c>
      <c r="F2195" s="5" t="s">
        <v>5823</v>
      </c>
      <c r="G2195" s="6" t="s">
        <v>18</v>
      </c>
      <c r="H2195" s="4"/>
      <c r="I2195" s="5" t="s">
        <v>22</v>
      </c>
      <c r="J2195" s="5" t="s">
        <v>615</v>
      </c>
      <c r="K2195" s="5" t="s">
        <v>5682</v>
      </c>
      <c r="L2195" s="5"/>
      <c r="M2195" s="5" t="s">
        <v>1343</v>
      </c>
      <c r="N2195" s="5" t="s">
        <v>291</v>
      </c>
      <c r="O2195" s="5" t="s">
        <v>5683</v>
      </c>
      <c r="P2195" s="5"/>
      <c r="Q2195" s="5" t="s">
        <v>5827</v>
      </c>
    </row>
    <row r="2196" spans="2:17" x14ac:dyDescent="0.2">
      <c r="B2196" s="5" t="s">
        <v>5681</v>
      </c>
      <c r="C2196" s="6" t="s">
        <v>13589</v>
      </c>
      <c r="D2196" s="4">
        <v>234</v>
      </c>
      <c r="E2196" s="5" t="s">
        <v>20</v>
      </c>
      <c r="F2196" s="5" t="s">
        <v>5808</v>
      </c>
      <c r="G2196" s="6" t="s">
        <v>18</v>
      </c>
      <c r="H2196" s="4"/>
      <c r="I2196" s="5" t="s">
        <v>22</v>
      </c>
      <c r="J2196" s="5" t="s">
        <v>5809</v>
      </c>
      <c r="K2196" s="5" t="s">
        <v>5682</v>
      </c>
      <c r="L2196" s="5"/>
      <c r="M2196" s="5" t="s">
        <v>1343</v>
      </c>
      <c r="N2196" s="5" t="s">
        <v>291</v>
      </c>
      <c r="O2196" s="5" t="s">
        <v>5683</v>
      </c>
      <c r="P2196" s="5"/>
      <c r="Q2196" s="5" t="s">
        <v>5810</v>
      </c>
    </row>
    <row r="2197" spans="2:17" x14ac:dyDescent="0.2">
      <c r="B2197" s="5" t="s">
        <v>5681</v>
      </c>
      <c r="C2197" s="6" t="s">
        <v>13589</v>
      </c>
      <c r="D2197" s="4">
        <v>235</v>
      </c>
      <c r="E2197" s="5" t="s">
        <v>20</v>
      </c>
      <c r="F2197" s="5" t="s">
        <v>5808</v>
      </c>
      <c r="G2197" s="6" t="s">
        <v>18</v>
      </c>
      <c r="H2197" s="4"/>
      <c r="I2197" s="5" t="s">
        <v>22</v>
      </c>
      <c r="J2197" s="5" t="s">
        <v>579</v>
      </c>
      <c r="K2197" s="5" t="s">
        <v>5682</v>
      </c>
      <c r="L2197" s="5"/>
      <c r="M2197" s="5" t="s">
        <v>1343</v>
      </c>
      <c r="N2197" s="5" t="s">
        <v>291</v>
      </c>
      <c r="O2197" s="5" t="s">
        <v>5683</v>
      </c>
      <c r="P2197" s="5"/>
      <c r="Q2197" s="5" t="s">
        <v>5811</v>
      </c>
    </row>
    <row r="2198" spans="2:17" x14ac:dyDescent="0.2">
      <c r="B2198" s="5" t="s">
        <v>5681</v>
      </c>
      <c r="C2198" s="6" t="s">
        <v>13589</v>
      </c>
      <c r="D2198" s="4">
        <v>236</v>
      </c>
      <c r="E2198" s="5" t="s">
        <v>20</v>
      </c>
      <c r="F2198" s="5" t="s">
        <v>5812</v>
      </c>
      <c r="G2198" s="6" t="s">
        <v>18</v>
      </c>
      <c r="H2198" s="4"/>
      <c r="I2198" s="5" t="s">
        <v>22</v>
      </c>
      <c r="J2198" s="5" t="s">
        <v>581</v>
      </c>
      <c r="K2198" s="5" t="s">
        <v>5701</v>
      </c>
      <c r="L2198" s="5"/>
      <c r="M2198" s="5" t="s">
        <v>1343</v>
      </c>
      <c r="N2198" s="5" t="s">
        <v>291</v>
      </c>
      <c r="O2198" s="5" t="s">
        <v>5702</v>
      </c>
      <c r="P2198" s="5"/>
      <c r="Q2198" s="5" t="s">
        <v>5813</v>
      </c>
    </row>
    <row r="2199" spans="2:17" x14ac:dyDescent="0.2">
      <c r="B2199" s="5" t="s">
        <v>5681</v>
      </c>
      <c r="C2199" s="6" t="s">
        <v>13589</v>
      </c>
      <c r="D2199" s="4">
        <v>237</v>
      </c>
      <c r="E2199" s="5" t="s">
        <v>20</v>
      </c>
      <c r="F2199" s="5" t="s">
        <v>5814</v>
      </c>
      <c r="G2199" s="6" t="s">
        <v>18</v>
      </c>
      <c r="H2199" s="4"/>
      <c r="I2199" s="5" t="s">
        <v>22</v>
      </c>
      <c r="J2199" s="5" t="s">
        <v>5815</v>
      </c>
      <c r="K2199" s="5" t="s">
        <v>5816</v>
      </c>
      <c r="L2199" s="5"/>
      <c r="M2199" s="5" t="s">
        <v>1343</v>
      </c>
      <c r="N2199" s="5" t="s">
        <v>291</v>
      </c>
      <c r="O2199" s="5" t="s">
        <v>5683</v>
      </c>
      <c r="P2199" s="5"/>
      <c r="Q2199" s="5" t="s">
        <v>5817</v>
      </c>
    </row>
    <row r="2200" spans="2:17" x14ac:dyDescent="0.2">
      <c r="B2200" s="5" t="s">
        <v>5681</v>
      </c>
      <c r="C2200" s="6" t="s">
        <v>13589</v>
      </c>
      <c r="D2200" s="4">
        <v>238</v>
      </c>
      <c r="E2200" s="5" t="s">
        <v>20</v>
      </c>
      <c r="F2200" s="5" t="s">
        <v>5814</v>
      </c>
      <c r="G2200" s="6" t="s">
        <v>18</v>
      </c>
      <c r="H2200" s="4"/>
      <c r="I2200" s="5" t="s">
        <v>22</v>
      </c>
      <c r="J2200" s="5" t="s">
        <v>5818</v>
      </c>
      <c r="K2200" s="5" t="s">
        <v>5816</v>
      </c>
      <c r="L2200" s="5"/>
      <c r="M2200" s="5" t="s">
        <v>1343</v>
      </c>
      <c r="N2200" s="5" t="s">
        <v>291</v>
      </c>
      <c r="O2200" s="5" t="s">
        <v>5683</v>
      </c>
      <c r="P2200" s="5"/>
      <c r="Q2200" s="5" t="s">
        <v>5819</v>
      </c>
    </row>
    <row r="2201" spans="2:17" x14ac:dyDescent="0.2">
      <c r="B2201" s="5" t="s">
        <v>5681</v>
      </c>
      <c r="C2201" s="6" t="s">
        <v>13589</v>
      </c>
      <c r="D2201" s="4">
        <v>248</v>
      </c>
      <c r="E2201" s="5" t="s">
        <v>20</v>
      </c>
      <c r="F2201" s="5" t="s">
        <v>5779</v>
      </c>
      <c r="G2201" s="6" t="s">
        <v>18</v>
      </c>
      <c r="H2201" s="4"/>
      <c r="I2201" s="5" t="s">
        <v>22</v>
      </c>
      <c r="J2201" s="5" t="s">
        <v>5780</v>
      </c>
      <c r="K2201" s="5" t="s">
        <v>5781</v>
      </c>
      <c r="L2201" s="5"/>
      <c r="M2201" s="5" t="s">
        <v>2328</v>
      </c>
      <c r="N2201" s="5" t="s">
        <v>1262</v>
      </c>
      <c r="O2201" s="5" t="s">
        <v>5782</v>
      </c>
      <c r="P2201" s="5"/>
      <c r="Q2201" s="5" t="s">
        <v>5783</v>
      </c>
    </row>
    <row r="2202" spans="2:17" x14ac:dyDescent="0.2">
      <c r="B2202" s="5" t="s">
        <v>5681</v>
      </c>
      <c r="C2202" s="6" t="s">
        <v>13589</v>
      </c>
      <c r="D2202" s="4">
        <v>249</v>
      </c>
      <c r="E2202" s="5" t="s">
        <v>20</v>
      </c>
      <c r="F2202" s="5" t="s">
        <v>5779</v>
      </c>
      <c r="G2202" s="6" t="s">
        <v>18</v>
      </c>
      <c r="H2202" s="4"/>
      <c r="I2202" s="5" t="s">
        <v>22</v>
      </c>
      <c r="J2202" s="5" t="s">
        <v>5784</v>
      </c>
      <c r="K2202" s="5" t="s">
        <v>5693</v>
      </c>
      <c r="L2202" s="5"/>
      <c r="M2202" s="5" t="s">
        <v>2328</v>
      </c>
      <c r="N2202" s="5" t="s">
        <v>1262</v>
      </c>
      <c r="O2202" s="5" t="s">
        <v>5694</v>
      </c>
      <c r="P2202" s="5"/>
      <c r="Q2202" s="5" t="s">
        <v>5785</v>
      </c>
    </row>
    <row r="2203" spans="2:17" x14ac:dyDescent="0.2">
      <c r="B2203" s="5" t="s">
        <v>5681</v>
      </c>
      <c r="C2203" s="6" t="s">
        <v>13589</v>
      </c>
      <c r="D2203" s="4">
        <v>250</v>
      </c>
      <c r="E2203" s="5" t="s">
        <v>20</v>
      </c>
      <c r="F2203" s="5" t="s">
        <v>5779</v>
      </c>
      <c r="G2203" s="6" t="s">
        <v>18</v>
      </c>
      <c r="H2203" s="4"/>
      <c r="I2203" s="5" t="s">
        <v>22</v>
      </c>
      <c r="J2203" s="5" t="s">
        <v>5786</v>
      </c>
      <c r="K2203" s="5" t="s">
        <v>5693</v>
      </c>
      <c r="L2203" s="5"/>
      <c r="M2203" s="5" t="s">
        <v>2328</v>
      </c>
      <c r="N2203" s="5" t="s">
        <v>1262</v>
      </c>
      <c r="O2203" s="5" t="s">
        <v>5694</v>
      </c>
      <c r="P2203" s="5"/>
      <c r="Q2203" s="5" t="s">
        <v>5787</v>
      </c>
    </row>
    <row r="2204" spans="2:17" x14ac:dyDescent="0.2">
      <c r="B2204" s="5" t="s">
        <v>5681</v>
      </c>
      <c r="C2204" s="6" t="s">
        <v>13589</v>
      </c>
      <c r="D2204" s="4">
        <v>251</v>
      </c>
      <c r="E2204" s="5" t="s">
        <v>20</v>
      </c>
      <c r="F2204" s="5" t="s">
        <v>5779</v>
      </c>
      <c r="G2204" s="6" t="s">
        <v>18</v>
      </c>
      <c r="H2204" s="4"/>
      <c r="I2204" s="5" t="s">
        <v>22</v>
      </c>
      <c r="J2204" s="5" t="s">
        <v>5788</v>
      </c>
      <c r="K2204" s="5" t="s">
        <v>5693</v>
      </c>
      <c r="L2204" s="5"/>
      <c r="M2204" s="5" t="s">
        <v>2328</v>
      </c>
      <c r="N2204" s="5" t="s">
        <v>1262</v>
      </c>
      <c r="O2204" s="5" t="s">
        <v>5694</v>
      </c>
      <c r="P2204" s="5"/>
      <c r="Q2204" s="5" t="s">
        <v>5789</v>
      </c>
    </row>
    <row r="2205" spans="2:17" x14ac:dyDescent="0.2">
      <c r="B2205" s="5" t="s">
        <v>5681</v>
      </c>
      <c r="C2205" s="6" t="s">
        <v>13589</v>
      </c>
      <c r="D2205" s="4">
        <v>252</v>
      </c>
      <c r="E2205" s="5" t="s">
        <v>20</v>
      </c>
      <c r="F2205" s="5" t="s">
        <v>5779</v>
      </c>
      <c r="G2205" s="6" t="s">
        <v>18</v>
      </c>
      <c r="H2205" s="4"/>
      <c r="I2205" s="5" t="s">
        <v>22</v>
      </c>
      <c r="J2205" s="5" t="s">
        <v>5790</v>
      </c>
      <c r="K2205" s="5" t="s">
        <v>5781</v>
      </c>
      <c r="L2205" s="5"/>
      <c r="M2205" s="5" t="s">
        <v>2328</v>
      </c>
      <c r="N2205" s="5" t="s">
        <v>1262</v>
      </c>
      <c r="O2205" s="5" t="s">
        <v>5782</v>
      </c>
      <c r="P2205" s="5"/>
      <c r="Q2205" s="5" t="s">
        <v>5791</v>
      </c>
    </row>
    <row r="2206" spans="2:17" x14ac:dyDescent="0.2">
      <c r="B2206" s="5" t="s">
        <v>5681</v>
      </c>
      <c r="C2206" s="6" t="s">
        <v>13589</v>
      </c>
      <c r="D2206" s="4">
        <v>254</v>
      </c>
      <c r="E2206" s="5" t="s">
        <v>20</v>
      </c>
      <c r="F2206" s="5" t="s">
        <v>5762</v>
      </c>
      <c r="G2206" s="6" t="s">
        <v>18</v>
      </c>
      <c r="H2206" s="4"/>
      <c r="I2206" s="5" t="s">
        <v>22</v>
      </c>
      <c r="J2206" s="5" t="s">
        <v>5763</v>
      </c>
      <c r="K2206" s="5" t="s">
        <v>5706</v>
      </c>
      <c r="L2206" s="5"/>
      <c r="M2206" s="5" t="s">
        <v>2304</v>
      </c>
      <c r="N2206" s="5" t="s">
        <v>2863</v>
      </c>
      <c r="O2206" s="5" t="s">
        <v>5684</v>
      </c>
      <c r="P2206" s="5"/>
      <c r="Q2206" s="5" t="s">
        <v>5764</v>
      </c>
    </row>
    <row r="2207" spans="2:17" x14ac:dyDescent="0.2">
      <c r="B2207" s="5" t="s">
        <v>8190</v>
      </c>
      <c r="C2207" s="6" t="s">
        <v>13589</v>
      </c>
      <c r="D2207" s="4">
        <v>277</v>
      </c>
      <c r="E2207" s="5" t="s">
        <v>20</v>
      </c>
      <c r="F2207" s="5" t="s">
        <v>8349</v>
      </c>
      <c r="G2207" s="6" t="s">
        <v>18</v>
      </c>
      <c r="H2207" s="4"/>
      <c r="I2207" s="5" t="s">
        <v>22</v>
      </c>
      <c r="J2207" s="5" t="s">
        <v>8350</v>
      </c>
      <c r="K2207" s="5" t="s">
        <v>8351</v>
      </c>
      <c r="L2207" s="5"/>
      <c r="M2207" s="5" t="s">
        <v>3499</v>
      </c>
      <c r="N2207" s="5" t="s">
        <v>4878</v>
      </c>
      <c r="O2207" s="5" t="s">
        <v>8232</v>
      </c>
      <c r="P2207" s="5"/>
      <c r="Q2207" s="5" t="s">
        <v>8352</v>
      </c>
    </row>
    <row r="2208" spans="2:17" x14ac:dyDescent="0.2">
      <c r="B2208" s="5" t="s">
        <v>8190</v>
      </c>
      <c r="C2208" s="6" t="s">
        <v>13589</v>
      </c>
      <c r="D2208" s="4">
        <v>278</v>
      </c>
      <c r="E2208" s="5" t="s">
        <v>20</v>
      </c>
      <c r="F2208" s="5" t="s">
        <v>8349</v>
      </c>
      <c r="G2208" s="6" t="s">
        <v>18</v>
      </c>
      <c r="H2208" s="4"/>
      <c r="I2208" s="5" t="s">
        <v>22</v>
      </c>
      <c r="J2208" s="5" t="s">
        <v>8353</v>
      </c>
      <c r="K2208" s="5" t="s">
        <v>8351</v>
      </c>
      <c r="L2208" s="5" t="s">
        <v>8354</v>
      </c>
      <c r="M2208" s="5" t="s">
        <v>3499</v>
      </c>
      <c r="N2208" s="5" t="s">
        <v>4878</v>
      </c>
      <c r="O2208" s="5" t="s">
        <v>8232</v>
      </c>
      <c r="P2208" s="5"/>
      <c r="Q2208" s="5" t="s">
        <v>8355</v>
      </c>
    </row>
    <row r="2209" spans="2:17" x14ac:dyDescent="0.2">
      <c r="B2209" s="5" t="s">
        <v>8190</v>
      </c>
      <c r="C2209" s="6" t="s">
        <v>13589</v>
      </c>
      <c r="D2209" s="4">
        <v>279</v>
      </c>
      <c r="E2209" s="5" t="s">
        <v>20</v>
      </c>
      <c r="F2209" s="5" t="s">
        <v>8349</v>
      </c>
      <c r="G2209" s="6" t="s">
        <v>18</v>
      </c>
      <c r="H2209" s="4"/>
      <c r="I2209" s="5" t="s">
        <v>22</v>
      </c>
      <c r="J2209" s="5" t="s">
        <v>8356</v>
      </c>
      <c r="K2209" s="5" t="s">
        <v>8231</v>
      </c>
      <c r="L2209" s="5"/>
      <c r="M2209" s="5" t="s">
        <v>3499</v>
      </c>
      <c r="N2209" s="5" t="s">
        <v>4878</v>
      </c>
      <c r="O2209" s="5" t="s">
        <v>8232</v>
      </c>
      <c r="P2209" s="5"/>
      <c r="Q2209" s="5" t="s">
        <v>8357</v>
      </c>
    </row>
    <row r="2210" spans="2:17" x14ac:dyDescent="0.2">
      <c r="B2210" s="5" t="s">
        <v>8190</v>
      </c>
      <c r="C2210" s="6" t="s">
        <v>13589</v>
      </c>
      <c r="D2210" s="4">
        <v>299</v>
      </c>
      <c r="E2210" s="5" t="s">
        <v>24</v>
      </c>
      <c r="F2210" s="5" t="s">
        <v>8268</v>
      </c>
      <c r="G2210" s="6" t="s">
        <v>18</v>
      </c>
      <c r="H2210" s="4"/>
      <c r="I2210" s="5"/>
      <c r="J2210" s="5" t="s">
        <v>8269</v>
      </c>
      <c r="K2210" s="5" t="s">
        <v>8217</v>
      </c>
      <c r="L2210" s="5" t="s">
        <v>8270</v>
      </c>
      <c r="M2210" s="5" t="s">
        <v>1525</v>
      </c>
      <c r="N2210" s="5" t="s">
        <v>2147</v>
      </c>
      <c r="O2210" s="5" t="s">
        <v>8218</v>
      </c>
      <c r="P2210" s="5"/>
      <c r="Q2210" s="5" t="s">
        <v>8271</v>
      </c>
    </row>
    <row r="2211" spans="2:17" x14ac:dyDescent="0.2">
      <c r="B2211" s="5" t="s">
        <v>8190</v>
      </c>
      <c r="C2211" s="6" t="s">
        <v>13589</v>
      </c>
      <c r="D2211" s="4">
        <v>300</v>
      </c>
      <c r="E2211" s="5" t="s">
        <v>24</v>
      </c>
      <c r="F2211" s="5" t="s">
        <v>8268</v>
      </c>
      <c r="G2211" s="6" t="s">
        <v>18</v>
      </c>
      <c r="H2211" s="4"/>
      <c r="I2211" s="5"/>
      <c r="J2211" s="5" t="s">
        <v>8272</v>
      </c>
      <c r="K2211" s="5" t="s">
        <v>8217</v>
      </c>
      <c r="L2211" s="5"/>
      <c r="M2211" s="5" t="s">
        <v>1525</v>
      </c>
      <c r="N2211" s="5" t="s">
        <v>2147</v>
      </c>
      <c r="O2211" s="5" t="s">
        <v>8218</v>
      </c>
      <c r="P2211" s="5"/>
      <c r="Q2211" s="5" t="s">
        <v>8273</v>
      </c>
    </row>
    <row r="2212" spans="2:17" x14ac:dyDescent="0.2">
      <c r="B2212" s="5" t="s">
        <v>8364</v>
      </c>
      <c r="C2212" s="6" t="s">
        <v>13589</v>
      </c>
      <c r="D2212" s="4">
        <v>325</v>
      </c>
      <c r="E2212" s="5" t="s">
        <v>35</v>
      </c>
      <c r="F2212" s="5" t="s">
        <v>8614</v>
      </c>
      <c r="G2212" s="6" t="s">
        <v>18</v>
      </c>
      <c r="H2212" s="4"/>
      <c r="I2212" s="5"/>
      <c r="J2212" s="5" t="s">
        <v>8615</v>
      </c>
      <c r="K2212" s="5" t="s">
        <v>8376</v>
      </c>
      <c r="L2212" s="5"/>
      <c r="M2212" s="5" t="s">
        <v>1681</v>
      </c>
      <c r="N2212" s="5" t="s">
        <v>1682</v>
      </c>
      <c r="O2212" s="5" t="s">
        <v>8616</v>
      </c>
      <c r="P2212" s="5"/>
      <c r="Q2212" s="5" t="s">
        <v>8617</v>
      </c>
    </row>
    <row r="2213" spans="2:17" x14ac:dyDescent="0.2">
      <c r="B2213" s="5" t="s">
        <v>8364</v>
      </c>
      <c r="C2213" s="6" t="s">
        <v>13589</v>
      </c>
      <c r="D2213" s="4">
        <v>336</v>
      </c>
      <c r="E2213" s="5" t="s">
        <v>20</v>
      </c>
      <c r="F2213" s="5" t="s">
        <v>8564</v>
      </c>
      <c r="G2213" s="6" t="s">
        <v>18</v>
      </c>
      <c r="H2213" s="4"/>
      <c r="I2213" s="5" t="s">
        <v>38</v>
      </c>
      <c r="J2213" s="5" t="s">
        <v>8565</v>
      </c>
      <c r="K2213" s="5" t="s">
        <v>8445</v>
      </c>
      <c r="L2213" s="5"/>
      <c r="M2213" s="5" t="s">
        <v>1642</v>
      </c>
      <c r="N2213" s="5" t="s">
        <v>2198</v>
      </c>
      <c r="O2213" s="5" t="s">
        <v>8381</v>
      </c>
      <c r="P2213" s="5"/>
      <c r="Q2213" s="5" t="s">
        <v>8523</v>
      </c>
    </row>
    <row r="2214" spans="2:17" x14ac:dyDescent="0.2">
      <c r="B2214" s="5" t="s">
        <v>8364</v>
      </c>
      <c r="C2214" s="6" t="s">
        <v>13589</v>
      </c>
      <c r="D2214" s="4">
        <v>345</v>
      </c>
      <c r="E2214" s="5" t="s">
        <v>20</v>
      </c>
      <c r="F2214" s="5" t="s">
        <v>8534</v>
      </c>
      <c r="G2214" s="6" t="s">
        <v>18</v>
      </c>
      <c r="H2214" s="4"/>
      <c r="I2214" s="5" t="s">
        <v>38</v>
      </c>
      <c r="J2214" s="5" t="s">
        <v>8535</v>
      </c>
      <c r="K2214" s="5" t="s">
        <v>8536</v>
      </c>
      <c r="L2214" s="5"/>
      <c r="M2214" s="5" t="s">
        <v>157</v>
      </c>
      <c r="N2214" s="5" t="s">
        <v>153</v>
      </c>
      <c r="O2214" s="5" t="s">
        <v>8381</v>
      </c>
      <c r="P2214" s="5"/>
      <c r="Q2214" s="5" t="s">
        <v>8537</v>
      </c>
    </row>
    <row r="2215" spans="2:17" x14ac:dyDescent="0.2">
      <c r="B2215" s="5" t="s">
        <v>8364</v>
      </c>
      <c r="C2215" s="6" t="s">
        <v>13589</v>
      </c>
      <c r="D2215" s="4">
        <v>347</v>
      </c>
      <c r="E2215" s="5" t="s">
        <v>20</v>
      </c>
      <c r="F2215" s="5" t="s">
        <v>8525</v>
      </c>
      <c r="G2215" s="6" t="s">
        <v>18</v>
      </c>
      <c r="H2215" s="4"/>
      <c r="I2215" s="5" t="s">
        <v>22</v>
      </c>
      <c r="J2215" s="5" t="s">
        <v>8526</v>
      </c>
      <c r="K2215" s="5" t="s">
        <v>8527</v>
      </c>
      <c r="L2215" s="5"/>
      <c r="M2215" s="5" t="s">
        <v>457</v>
      </c>
      <c r="N2215" s="5" t="s">
        <v>147</v>
      </c>
      <c r="O2215" s="5" t="s">
        <v>8381</v>
      </c>
      <c r="P2215" s="5"/>
      <c r="Q2215" s="5" t="s">
        <v>8528</v>
      </c>
    </row>
    <row r="2216" spans="2:17" x14ac:dyDescent="0.2">
      <c r="B2216" s="5" t="s">
        <v>8364</v>
      </c>
      <c r="C2216" s="6" t="s">
        <v>13589</v>
      </c>
      <c r="D2216" s="4">
        <v>348</v>
      </c>
      <c r="E2216" s="5" t="s">
        <v>20</v>
      </c>
      <c r="F2216" s="5" t="s">
        <v>8525</v>
      </c>
      <c r="G2216" s="6" t="s">
        <v>18</v>
      </c>
      <c r="H2216" s="4"/>
      <c r="I2216" s="5" t="s">
        <v>22</v>
      </c>
      <c r="J2216" s="5" t="s">
        <v>8529</v>
      </c>
      <c r="K2216" s="5" t="s">
        <v>8527</v>
      </c>
      <c r="L2216" s="5"/>
      <c r="M2216" s="5" t="s">
        <v>457</v>
      </c>
      <c r="N2216" s="5" t="s">
        <v>147</v>
      </c>
      <c r="O2216" s="5" t="s">
        <v>8381</v>
      </c>
      <c r="P2216" s="5"/>
      <c r="Q2216" s="5" t="s">
        <v>8530</v>
      </c>
    </row>
    <row r="2217" spans="2:17" x14ac:dyDescent="0.2">
      <c r="B2217" s="5" t="s">
        <v>8364</v>
      </c>
      <c r="C2217" s="6" t="s">
        <v>13589</v>
      </c>
      <c r="D2217" s="4">
        <v>402</v>
      </c>
      <c r="E2217" s="5" t="s">
        <v>20</v>
      </c>
      <c r="F2217" s="5" t="s">
        <v>8585</v>
      </c>
      <c r="G2217" s="6" t="s">
        <v>18</v>
      </c>
      <c r="H2217" s="4"/>
      <c r="I2217" s="5" t="s">
        <v>22</v>
      </c>
      <c r="J2217" s="5" t="s">
        <v>8593</v>
      </c>
      <c r="K2217" s="5" t="s">
        <v>8594</v>
      </c>
      <c r="L2217" s="5"/>
      <c r="M2217" s="5" t="s">
        <v>3438</v>
      </c>
      <c r="N2217" s="5" t="s">
        <v>3438</v>
      </c>
      <c r="O2217" s="5" t="s">
        <v>8595</v>
      </c>
      <c r="P2217" s="5"/>
      <c r="Q2217" s="5" t="s">
        <v>8596</v>
      </c>
    </row>
    <row r="2218" spans="2:17" x14ac:dyDescent="0.2">
      <c r="B2218" s="5" t="s">
        <v>8364</v>
      </c>
      <c r="C2218" s="6" t="s">
        <v>13589</v>
      </c>
      <c r="D2218" s="4">
        <v>403</v>
      </c>
      <c r="E2218" s="5" t="s">
        <v>20</v>
      </c>
      <c r="F2218" s="5" t="s">
        <v>8585</v>
      </c>
      <c r="G2218" s="6" t="s">
        <v>18</v>
      </c>
      <c r="H2218" s="4"/>
      <c r="I2218" s="5" t="s">
        <v>22</v>
      </c>
      <c r="J2218" s="5" t="s">
        <v>8597</v>
      </c>
      <c r="K2218" s="5" t="s">
        <v>8590</v>
      </c>
      <c r="L2218" s="5"/>
      <c r="M2218" s="5" t="s">
        <v>3438</v>
      </c>
      <c r="N2218" s="5" t="s">
        <v>3438</v>
      </c>
      <c r="O2218" s="5" t="s">
        <v>8372</v>
      </c>
      <c r="P2218" s="5"/>
      <c r="Q2218" s="5" t="s">
        <v>8598</v>
      </c>
    </row>
    <row r="2219" spans="2:17" x14ac:dyDescent="0.2">
      <c r="B2219" s="5" t="s">
        <v>8364</v>
      </c>
      <c r="C2219" s="6" t="s">
        <v>13589</v>
      </c>
      <c r="D2219" s="4">
        <v>404</v>
      </c>
      <c r="E2219" s="5" t="s">
        <v>20</v>
      </c>
      <c r="F2219" s="5" t="s">
        <v>8585</v>
      </c>
      <c r="G2219" s="6" t="s">
        <v>18</v>
      </c>
      <c r="H2219" s="4"/>
      <c r="I2219" s="5" t="s">
        <v>22</v>
      </c>
      <c r="J2219" s="5" t="s">
        <v>8599</v>
      </c>
      <c r="K2219" s="5" t="s">
        <v>8590</v>
      </c>
      <c r="L2219" s="5"/>
      <c r="M2219" s="5" t="s">
        <v>3438</v>
      </c>
      <c r="N2219" s="5" t="s">
        <v>3438</v>
      </c>
      <c r="O2219" s="5" t="s">
        <v>8372</v>
      </c>
      <c r="P2219" s="5"/>
      <c r="Q2219" s="5" t="s">
        <v>8600</v>
      </c>
    </row>
    <row r="2220" spans="2:17" x14ac:dyDescent="0.2">
      <c r="B2220" s="5" t="s">
        <v>8364</v>
      </c>
      <c r="C2220" s="6" t="s">
        <v>13589</v>
      </c>
      <c r="D2220" s="4">
        <v>405</v>
      </c>
      <c r="E2220" s="5" t="s">
        <v>20</v>
      </c>
      <c r="F2220" s="5" t="s">
        <v>8585</v>
      </c>
      <c r="G2220" s="6" t="s">
        <v>18</v>
      </c>
      <c r="H2220" s="4"/>
      <c r="I2220" s="5" t="s">
        <v>22</v>
      </c>
      <c r="J2220" s="5" t="s">
        <v>8604</v>
      </c>
      <c r="K2220" s="5" t="s">
        <v>8602</v>
      </c>
      <c r="L2220" s="5"/>
      <c r="M2220" s="5" t="s">
        <v>3438</v>
      </c>
      <c r="N2220" s="5" t="s">
        <v>3438</v>
      </c>
      <c r="O2220" s="5" t="s">
        <v>8595</v>
      </c>
      <c r="P2220" s="5"/>
      <c r="Q2220" s="5" t="s">
        <v>8605</v>
      </c>
    </row>
    <row r="2221" spans="2:17" x14ac:dyDescent="0.2">
      <c r="B2221" s="5" t="s">
        <v>8364</v>
      </c>
      <c r="C2221" s="6" t="s">
        <v>13589</v>
      </c>
      <c r="D2221" s="4">
        <v>407</v>
      </c>
      <c r="E2221" s="5" t="s">
        <v>20</v>
      </c>
      <c r="F2221" s="5" t="s">
        <v>8585</v>
      </c>
      <c r="G2221" s="6" t="s">
        <v>18</v>
      </c>
      <c r="H2221" s="4"/>
      <c r="I2221" s="5" t="s">
        <v>22</v>
      </c>
      <c r="J2221" s="5" t="s">
        <v>8586</v>
      </c>
      <c r="K2221" s="5" t="s">
        <v>8440</v>
      </c>
      <c r="L2221" s="5"/>
      <c r="M2221" s="5" t="s">
        <v>224</v>
      </c>
      <c r="N2221" s="5" t="s">
        <v>224</v>
      </c>
      <c r="O2221" s="5" t="s">
        <v>8587</v>
      </c>
      <c r="P2221" s="5"/>
      <c r="Q2221" s="5" t="s">
        <v>8588</v>
      </c>
    </row>
    <row r="2222" spans="2:17" x14ac:dyDescent="0.2">
      <c r="B2222" s="5" t="s">
        <v>8364</v>
      </c>
      <c r="C2222" s="6" t="s">
        <v>13589</v>
      </c>
      <c r="D2222" s="4">
        <v>421</v>
      </c>
      <c r="E2222" s="5" t="s">
        <v>20</v>
      </c>
      <c r="F2222" s="5" t="s">
        <v>8582</v>
      </c>
      <c r="G2222" s="6" t="s">
        <v>18</v>
      </c>
      <c r="H2222" s="4"/>
      <c r="I2222" s="5" t="s">
        <v>22</v>
      </c>
      <c r="J2222" s="5" t="s">
        <v>8583</v>
      </c>
      <c r="K2222" s="5" t="s">
        <v>8556</v>
      </c>
      <c r="L2222" s="5"/>
      <c r="M2222" s="5" t="s">
        <v>2411</v>
      </c>
      <c r="N2222" s="5" t="s">
        <v>2411</v>
      </c>
      <c r="O2222" s="5" t="s">
        <v>8381</v>
      </c>
      <c r="P2222" s="5"/>
      <c r="Q2222" s="5" t="s">
        <v>8584</v>
      </c>
    </row>
    <row r="2223" spans="2:17" x14ac:dyDescent="0.2">
      <c r="B2223" s="5" t="s">
        <v>8364</v>
      </c>
      <c r="C2223" s="6" t="s">
        <v>13589</v>
      </c>
      <c r="D2223" s="4">
        <v>422</v>
      </c>
      <c r="E2223" s="5" t="s">
        <v>20</v>
      </c>
      <c r="F2223" s="5" t="s">
        <v>8585</v>
      </c>
      <c r="G2223" s="6" t="s">
        <v>18</v>
      </c>
      <c r="H2223" s="4"/>
      <c r="I2223" s="5" t="s">
        <v>22</v>
      </c>
      <c r="J2223" s="5" t="s">
        <v>8589</v>
      </c>
      <c r="K2223" s="5" t="s">
        <v>8590</v>
      </c>
      <c r="L2223" s="5" t="s">
        <v>8591</v>
      </c>
      <c r="M2223" s="5" t="s">
        <v>3438</v>
      </c>
      <c r="N2223" s="5" t="s">
        <v>495</v>
      </c>
      <c r="O2223" s="5" t="s">
        <v>8372</v>
      </c>
      <c r="P2223" s="5"/>
      <c r="Q2223" s="5" t="s">
        <v>8592</v>
      </c>
    </row>
    <row r="2224" spans="2:17" x14ac:dyDescent="0.2">
      <c r="B2224" s="5" t="s">
        <v>8364</v>
      </c>
      <c r="C2224" s="6" t="s">
        <v>13589</v>
      </c>
      <c r="D2224" s="4">
        <v>423</v>
      </c>
      <c r="E2224" s="5" t="s">
        <v>20</v>
      </c>
      <c r="F2224" s="5" t="s">
        <v>8585</v>
      </c>
      <c r="G2224" s="6" t="s">
        <v>18</v>
      </c>
      <c r="H2224" s="4"/>
      <c r="I2224" s="5" t="s">
        <v>22</v>
      </c>
      <c r="J2224" s="5" t="s">
        <v>8601</v>
      </c>
      <c r="K2224" s="5" t="s">
        <v>8602</v>
      </c>
      <c r="L2224" s="5"/>
      <c r="M2224" s="5" t="s">
        <v>3438</v>
      </c>
      <c r="N2224" s="5" t="s">
        <v>495</v>
      </c>
      <c r="O2224" s="5" t="s">
        <v>8372</v>
      </c>
      <c r="P2224" s="5"/>
      <c r="Q2224" s="5" t="s">
        <v>8603</v>
      </c>
    </row>
    <row r="2225" spans="2:17" x14ac:dyDescent="0.2">
      <c r="B2225" s="5" t="s">
        <v>8364</v>
      </c>
      <c r="C2225" s="6" t="s">
        <v>13589</v>
      </c>
      <c r="D2225" s="4">
        <v>424</v>
      </c>
      <c r="E2225" s="5" t="s">
        <v>20</v>
      </c>
      <c r="F2225" s="5" t="s">
        <v>8585</v>
      </c>
      <c r="G2225" s="6" t="s">
        <v>18</v>
      </c>
      <c r="H2225" s="4"/>
      <c r="I2225" s="5" t="s">
        <v>22</v>
      </c>
      <c r="J2225" s="5" t="s">
        <v>8606</v>
      </c>
      <c r="K2225" s="5" t="s">
        <v>8607</v>
      </c>
      <c r="L2225" s="5"/>
      <c r="M2225" s="5" t="s">
        <v>3438</v>
      </c>
      <c r="N2225" s="5" t="s">
        <v>495</v>
      </c>
      <c r="O2225" s="5" t="s">
        <v>8372</v>
      </c>
      <c r="P2225" s="5"/>
      <c r="Q2225" s="5" t="s">
        <v>8608</v>
      </c>
    </row>
    <row r="2226" spans="2:17" x14ac:dyDescent="0.2">
      <c r="B2226" s="5" t="s">
        <v>8683</v>
      </c>
      <c r="C2226" s="6" t="s">
        <v>13589</v>
      </c>
      <c r="D2226" s="4">
        <v>430</v>
      </c>
      <c r="E2226" s="5" t="s">
        <v>20</v>
      </c>
      <c r="F2226" s="5" t="s">
        <v>8998</v>
      </c>
      <c r="G2226" s="6" t="s">
        <v>18</v>
      </c>
      <c r="H2226" s="4"/>
      <c r="I2226" s="5" t="s">
        <v>22</v>
      </c>
      <c r="J2226" s="5" t="s">
        <v>8999</v>
      </c>
      <c r="K2226" s="5" t="s">
        <v>8709</v>
      </c>
      <c r="L2226" s="5"/>
      <c r="M2226" s="5" t="s">
        <v>9000</v>
      </c>
      <c r="N2226" s="5" t="s">
        <v>6559</v>
      </c>
      <c r="O2226" s="5" t="s">
        <v>5694</v>
      </c>
      <c r="P2226" s="5"/>
      <c r="Q2226" s="5" t="s">
        <v>9001</v>
      </c>
    </row>
    <row r="2227" spans="2:17" x14ac:dyDescent="0.2">
      <c r="B2227" s="5" t="s">
        <v>8683</v>
      </c>
      <c r="C2227" s="6" t="s">
        <v>13589</v>
      </c>
      <c r="D2227" s="4">
        <v>468</v>
      </c>
      <c r="E2227" s="5" t="s">
        <v>20</v>
      </c>
      <c r="F2227" s="5" t="s">
        <v>4371</v>
      </c>
      <c r="G2227" s="6" t="s">
        <v>18</v>
      </c>
      <c r="H2227" s="4"/>
      <c r="I2227" s="5" t="s">
        <v>22</v>
      </c>
      <c r="J2227" s="5" t="s">
        <v>4372</v>
      </c>
      <c r="K2227" s="5" t="s">
        <v>5699</v>
      </c>
      <c r="L2227" s="5"/>
      <c r="M2227" s="5" t="s">
        <v>428</v>
      </c>
      <c r="N2227" s="5" t="s">
        <v>4373</v>
      </c>
      <c r="O2227" s="5" t="s">
        <v>5684</v>
      </c>
      <c r="P2227" s="5"/>
      <c r="Q2227" s="5" t="s">
        <v>8874</v>
      </c>
    </row>
    <row r="2228" spans="2:17" x14ac:dyDescent="0.2">
      <c r="B2228" s="5" t="s">
        <v>8683</v>
      </c>
      <c r="C2228" s="6" t="s">
        <v>13589</v>
      </c>
      <c r="D2228" s="4">
        <v>469</v>
      </c>
      <c r="E2228" s="5" t="s">
        <v>24</v>
      </c>
      <c r="F2228" s="5" t="s">
        <v>8864</v>
      </c>
      <c r="G2228" s="6" t="s">
        <v>18</v>
      </c>
      <c r="H2228" s="4"/>
      <c r="I2228" s="5"/>
      <c r="J2228" s="5" t="s">
        <v>8865</v>
      </c>
      <c r="K2228" s="5" t="s">
        <v>5686</v>
      </c>
      <c r="L2228" s="5" t="s">
        <v>8866</v>
      </c>
      <c r="M2228" s="5" t="s">
        <v>4373</v>
      </c>
      <c r="N2228" s="5" t="s">
        <v>921</v>
      </c>
      <c r="O2228" s="5" t="s">
        <v>5687</v>
      </c>
      <c r="P2228" s="5"/>
      <c r="Q2228" s="5" t="s">
        <v>8867</v>
      </c>
    </row>
    <row r="2229" spans="2:17" x14ac:dyDescent="0.2">
      <c r="B2229" s="5" t="s">
        <v>8683</v>
      </c>
      <c r="C2229" s="6" t="s">
        <v>13589</v>
      </c>
      <c r="D2229" s="4">
        <v>471</v>
      </c>
      <c r="E2229" s="5" t="s">
        <v>20</v>
      </c>
      <c r="F2229" s="5" t="s">
        <v>8857</v>
      </c>
      <c r="G2229" s="6" t="s">
        <v>18</v>
      </c>
      <c r="H2229" s="4"/>
      <c r="I2229" s="5" t="s">
        <v>22</v>
      </c>
      <c r="J2229" s="5" t="s">
        <v>8858</v>
      </c>
      <c r="K2229" s="5" t="s">
        <v>8770</v>
      </c>
      <c r="L2229" s="5"/>
      <c r="M2229" s="5" t="s">
        <v>3162</v>
      </c>
      <c r="N2229" s="5" t="s">
        <v>417</v>
      </c>
      <c r="O2229" s="5" t="s">
        <v>5690</v>
      </c>
      <c r="P2229" s="5"/>
      <c r="Q2229" s="5" t="s">
        <v>8859</v>
      </c>
    </row>
    <row r="2230" spans="2:17" x14ac:dyDescent="0.2">
      <c r="B2230" s="5" t="s">
        <v>8683</v>
      </c>
      <c r="C2230" s="6" t="s">
        <v>13589</v>
      </c>
      <c r="D2230" s="4">
        <v>475</v>
      </c>
      <c r="E2230" s="5" t="s">
        <v>20</v>
      </c>
      <c r="F2230" s="5" t="s">
        <v>8843</v>
      </c>
      <c r="G2230" s="6" t="s">
        <v>18</v>
      </c>
      <c r="H2230" s="4"/>
      <c r="I2230" s="5" t="s">
        <v>38</v>
      </c>
      <c r="J2230" s="5" t="s">
        <v>8844</v>
      </c>
      <c r="K2230" s="5" t="s">
        <v>5700</v>
      </c>
      <c r="L2230" s="5"/>
      <c r="M2230" s="5" t="s">
        <v>4184</v>
      </c>
      <c r="N2230" s="5" t="s">
        <v>138</v>
      </c>
      <c r="O2230" s="5" t="s">
        <v>5697</v>
      </c>
      <c r="P2230" s="5"/>
      <c r="Q2230" s="5" t="s">
        <v>8845</v>
      </c>
    </row>
    <row r="2231" spans="2:17" x14ac:dyDescent="0.2">
      <c r="B2231" s="5" t="s">
        <v>8683</v>
      </c>
      <c r="C2231" s="6" t="s">
        <v>13589</v>
      </c>
      <c r="D2231" s="4">
        <v>493</v>
      </c>
      <c r="E2231" s="5" t="s">
        <v>15</v>
      </c>
      <c r="F2231" s="5" t="s">
        <v>8782</v>
      </c>
      <c r="G2231" s="6" t="s">
        <v>18</v>
      </c>
      <c r="H2231" s="4"/>
      <c r="I2231" s="5"/>
      <c r="J2231" s="5" t="s">
        <v>8782</v>
      </c>
      <c r="K2231" s="5" t="s">
        <v>5686</v>
      </c>
      <c r="L2231" s="5" t="s">
        <v>8783</v>
      </c>
      <c r="M2231" s="5" t="s">
        <v>4971</v>
      </c>
      <c r="N2231" s="5" t="s">
        <v>4971</v>
      </c>
      <c r="O2231" s="5" t="s">
        <v>5687</v>
      </c>
      <c r="P2231" s="5"/>
      <c r="Q2231" s="5" t="s">
        <v>8784</v>
      </c>
    </row>
    <row r="2232" spans="2:17" x14ac:dyDescent="0.2">
      <c r="B2232" s="5" t="s">
        <v>8683</v>
      </c>
      <c r="C2232" s="6" t="s">
        <v>13589</v>
      </c>
      <c r="D2232" s="4">
        <v>511</v>
      </c>
      <c r="E2232" s="5" t="s">
        <v>20</v>
      </c>
      <c r="F2232" s="5" t="s">
        <v>5848</v>
      </c>
      <c r="G2232" s="6" t="s">
        <v>18</v>
      </c>
      <c r="H2232" s="4"/>
      <c r="I2232" s="5" t="s">
        <v>22</v>
      </c>
      <c r="J2232" s="5" t="s">
        <v>5849</v>
      </c>
      <c r="K2232" s="5" t="s">
        <v>547</v>
      </c>
      <c r="L2232" s="5"/>
      <c r="M2232" s="5" t="s">
        <v>5846</v>
      </c>
      <c r="N2232" s="5" t="s">
        <v>296</v>
      </c>
      <c r="O2232" s="5" t="s">
        <v>5683</v>
      </c>
      <c r="P2232" s="5"/>
      <c r="Q2232" s="5" t="s">
        <v>8767</v>
      </c>
    </row>
    <row r="2233" spans="2:17" x14ac:dyDescent="0.2">
      <c r="B2233" s="5" t="s">
        <v>8683</v>
      </c>
      <c r="C2233" s="6" t="s">
        <v>13589</v>
      </c>
      <c r="D2233" s="4">
        <v>518</v>
      </c>
      <c r="E2233" s="5" t="s">
        <v>20</v>
      </c>
      <c r="F2233" s="5" t="s">
        <v>8732</v>
      </c>
      <c r="G2233" s="6" t="s">
        <v>18</v>
      </c>
      <c r="H2233" s="4"/>
      <c r="I2233" s="5" t="s">
        <v>22</v>
      </c>
      <c r="J2233" s="5" t="s">
        <v>4336</v>
      </c>
      <c r="K2233" s="5" t="s">
        <v>5729</v>
      </c>
      <c r="L2233" s="5" t="s">
        <v>5822</v>
      </c>
      <c r="M2233" s="5" t="s">
        <v>1343</v>
      </c>
      <c r="N2233" s="5" t="s">
        <v>291</v>
      </c>
      <c r="O2233" s="5" t="s">
        <v>5694</v>
      </c>
      <c r="P2233" s="5"/>
      <c r="Q2233" s="5" t="s">
        <v>8733</v>
      </c>
    </row>
    <row r="2234" spans="2:17" x14ac:dyDescent="0.2">
      <c r="B2234" s="5" t="s">
        <v>8683</v>
      </c>
      <c r="C2234" s="6" t="s">
        <v>13589</v>
      </c>
      <c r="D2234" s="4">
        <v>519</v>
      </c>
      <c r="E2234" s="5" t="s">
        <v>20</v>
      </c>
      <c r="F2234" s="5" t="s">
        <v>5823</v>
      </c>
      <c r="G2234" s="6" t="s">
        <v>18</v>
      </c>
      <c r="H2234" s="4"/>
      <c r="I2234" s="5" t="s">
        <v>22</v>
      </c>
      <c r="J2234" s="5" t="s">
        <v>5824</v>
      </c>
      <c r="K2234" s="5" t="s">
        <v>8734</v>
      </c>
      <c r="L2234" s="5"/>
      <c r="M2234" s="5" t="s">
        <v>1343</v>
      </c>
      <c r="N2234" s="5" t="s">
        <v>291</v>
      </c>
      <c r="O2234" s="5" t="s">
        <v>5683</v>
      </c>
      <c r="P2234" s="5"/>
      <c r="Q2234" s="5" t="s">
        <v>8735</v>
      </c>
    </row>
    <row r="2235" spans="2:17" x14ac:dyDescent="0.2">
      <c r="B2235" s="5" t="s">
        <v>8683</v>
      </c>
      <c r="C2235" s="6" t="s">
        <v>13589</v>
      </c>
      <c r="D2235" s="4">
        <v>520</v>
      </c>
      <c r="E2235" s="5" t="s">
        <v>20</v>
      </c>
      <c r="F2235" s="5" t="s">
        <v>5823</v>
      </c>
      <c r="G2235" s="6" t="s">
        <v>18</v>
      </c>
      <c r="H2235" s="4"/>
      <c r="I2235" s="5" t="s">
        <v>22</v>
      </c>
      <c r="J2235" s="5" t="s">
        <v>647</v>
      </c>
      <c r="K2235" s="5" t="s">
        <v>8734</v>
      </c>
      <c r="L2235" s="5"/>
      <c r="M2235" s="5" t="s">
        <v>1343</v>
      </c>
      <c r="N2235" s="5" t="s">
        <v>291</v>
      </c>
      <c r="O2235" s="5" t="s">
        <v>5683</v>
      </c>
      <c r="P2235" s="5"/>
      <c r="Q2235" s="5" t="s">
        <v>8736</v>
      </c>
    </row>
    <row r="2236" spans="2:17" x14ac:dyDescent="0.2">
      <c r="B2236" s="5" t="s">
        <v>8683</v>
      </c>
      <c r="C2236" s="6" t="s">
        <v>13589</v>
      </c>
      <c r="D2236" s="4">
        <v>521</v>
      </c>
      <c r="E2236" s="5" t="s">
        <v>20</v>
      </c>
      <c r="F2236" s="5" t="s">
        <v>5823</v>
      </c>
      <c r="G2236" s="6" t="s">
        <v>18</v>
      </c>
      <c r="H2236" s="4"/>
      <c r="I2236" s="5" t="s">
        <v>22</v>
      </c>
      <c r="J2236" s="5" t="s">
        <v>615</v>
      </c>
      <c r="K2236" s="5" t="s">
        <v>8734</v>
      </c>
      <c r="L2236" s="5"/>
      <c r="M2236" s="5" t="s">
        <v>1343</v>
      </c>
      <c r="N2236" s="5" t="s">
        <v>291</v>
      </c>
      <c r="O2236" s="5" t="s">
        <v>5683</v>
      </c>
      <c r="P2236" s="5"/>
      <c r="Q2236" s="5" t="s">
        <v>8737</v>
      </c>
    </row>
    <row r="2237" spans="2:17" x14ac:dyDescent="0.2">
      <c r="B2237" s="5" t="s">
        <v>8683</v>
      </c>
      <c r="C2237" s="6" t="s">
        <v>13589</v>
      </c>
      <c r="D2237" s="4">
        <v>522</v>
      </c>
      <c r="E2237" s="5" t="s">
        <v>20</v>
      </c>
      <c r="F2237" s="5" t="s">
        <v>5808</v>
      </c>
      <c r="G2237" s="6" t="s">
        <v>18</v>
      </c>
      <c r="H2237" s="4"/>
      <c r="I2237" s="5" t="s">
        <v>22</v>
      </c>
      <c r="J2237" s="5" t="s">
        <v>5809</v>
      </c>
      <c r="K2237" s="5" t="s">
        <v>8734</v>
      </c>
      <c r="L2237" s="5"/>
      <c r="M2237" s="5" t="s">
        <v>1343</v>
      </c>
      <c r="N2237" s="5" t="s">
        <v>291</v>
      </c>
      <c r="O2237" s="5" t="s">
        <v>5683</v>
      </c>
      <c r="P2237" s="5"/>
      <c r="Q2237" s="5" t="s">
        <v>8738</v>
      </c>
    </row>
    <row r="2238" spans="2:17" x14ac:dyDescent="0.2">
      <c r="B2238" s="5" t="s">
        <v>8683</v>
      </c>
      <c r="C2238" s="6" t="s">
        <v>13589</v>
      </c>
      <c r="D2238" s="4">
        <v>523</v>
      </c>
      <c r="E2238" s="5" t="s">
        <v>20</v>
      </c>
      <c r="F2238" s="5" t="s">
        <v>5808</v>
      </c>
      <c r="G2238" s="6" t="s">
        <v>18</v>
      </c>
      <c r="H2238" s="4"/>
      <c r="I2238" s="5" t="s">
        <v>22</v>
      </c>
      <c r="J2238" s="5" t="s">
        <v>579</v>
      </c>
      <c r="K2238" s="5" t="s">
        <v>8734</v>
      </c>
      <c r="L2238" s="5"/>
      <c r="M2238" s="5" t="s">
        <v>1343</v>
      </c>
      <c r="N2238" s="5" t="s">
        <v>291</v>
      </c>
      <c r="O2238" s="5" t="s">
        <v>5683</v>
      </c>
      <c r="P2238" s="5"/>
      <c r="Q2238" s="5" t="s">
        <v>8739</v>
      </c>
    </row>
    <row r="2239" spans="2:17" x14ac:dyDescent="0.2">
      <c r="B2239" s="5" t="s">
        <v>8683</v>
      </c>
      <c r="C2239" s="6" t="s">
        <v>13589</v>
      </c>
      <c r="D2239" s="4">
        <v>524</v>
      </c>
      <c r="E2239" s="5" t="s">
        <v>20</v>
      </c>
      <c r="F2239" s="5" t="s">
        <v>5812</v>
      </c>
      <c r="G2239" s="6" t="s">
        <v>18</v>
      </c>
      <c r="H2239" s="4"/>
      <c r="I2239" s="5" t="s">
        <v>22</v>
      </c>
      <c r="J2239" s="5" t="s">
        <v>581</v>
      </c>
      <c r="K2239" s="5" t="s">
        <v>8740</v>
      </c>
      <c r="L2239" s="5"/>
      <c r="M2239" s="5" t="s">
        <v>1343</v>
      </c>
      <c r="N2239" s="5" t="s">
        <v>291</v>
      </c>
      <c r="O2239" s="5" t="s">
        <v>5702</v>
      </c>
      <c r="P2239" s="5"/>
      <c r="Q2239" s="5" t="s">
        <v>8741</v>
      </c>
    </row>
    <row r="2240" spans="2:17" x14ac:dyDescent="0.2">
      <c r="B2240" s="5" t="s">
        <v>8683</v>
      </c>
      <c r="C2240" s="6" t="s">
        <v>13589</v>
      </c>
      <c r="D2240" s="4">
        <v>525</v>
      </c>
      <c r="E2240" s="5" t="s">
        <v>20</v>
      </c>
      <c r="F2240" s="5" t="s">
        <v>5814</v>
      </c>
      <c r="G2240" s="6" t="s">
        <v>18</v>
      </c>
      <c r="H2240" s="4"/>
      <c r="I2240" s="5" t="s">
        <v>22</v>
      </c>
      <c r="J2240" s="5" t="s">
        <v>5815</v>
      </c>
      <c r="K2240" s="5" t="s">
        <v>8742</v>
      </c>
      <c r="L2240" s="5"/>
      <c r="M2240" s="5" t="s">
        <v>1343</v>
      </c>
      <c r="N2240" s="5" t="s">
        <v>291</v>
      </c>
      <c r="O2240" s="5" t="s">
        <v>5683</v>
      </c>
      <c r="P2240" s="5"/>
      <c r="Q2240" s="5" t="s">
        <v>8743</v>
      </c>
    </row>
    <row r="2241" spans="2:17" x14ac:dyDescent="0.2">
      <c r="B2241" s="5" t="s">
        <v>8683</v>
      </c>
      <c r="C2241" s="6" t="s">
        <v>13589</v>
      </c>
      <c r="D2241" s="4">
        <v>526</v>
      </c>
      <c r="E2241" s="5" t="s">
        <v>20</v>
      </c>
      <c r="F2241" s="5" t="s">
        <v>5814</v>
      </c>
      <c r="G2241" s="6" t="s">
        <v>18</v>
      </c>
      <c r="H2241" s="4"/>
      <c r="I2241" s="5" t="s">
        <v>22</v>
      </c>
      <c r="J2241" s="5" t="s">
        <v>5818</v>
      </c>
      <c r="K2241" s="5" t="s">
        <v>5816</v>
      </c>
      <c r="L2241" s="5"/>
      <c r="M2241" s="5" t="s">
        <v>1343</v>
      </c>
      <c r="N2241" s="5" t="s">
        <v>291</v>
      </c>
      <c r="O2241" s="5" t="s">
        <v>5683</v>
      </c>
      <c r="P2241" s="5"/>
      <c r="Q2241" s="5" t="s">
        <v>8744</v>
      </c>
    </row>
    <row r="2242" spans="2:17" x14ac:dyDescent="0.2">
      <c r="B2242" s="5" t="s">
        <v>8683</v>
      </c>
      <c r="C2242" s="6" t="s">
        <v>13589</v>
      </c>
      <c r="D2242" s="4">
        <v>527</v>
      </c>
      <c r="E2242" s="5" t="s">
        <v>20</v>
      </c>
      <c r="F2242" s="5" t="s">
        <v>578</v>
      </c>
      <c r="G2242" s="6" t="s">
        <v>18</v>
      </c>
      <c r="H2242" s="4"/>
      <c r="I2242" s="5" t="s">
        <v>38</v>
      </c>
      <c r="J2242" s="5" t="s">
        <v>5820</v>
      </c>
      <c r="K2242" s="5" t="s">
        <v>5689</v>
      </c>
      <c r="L2242" s="5" t="s">
        <v>8745</v>
      </c>
      <c r="M2242" s="5" t="s">
        <v>1343</v>
      </c>
      <c r="N2242" s="5" t="s">
        <v>291</v>
      </c>
      <c r="O2242" s="5" t="s">
        <v>5690</v>
      </c>
      <c r="P2242" s="5"/>
      <c r="Q2242" s="5" t="s">
        <v>8746</v>
      </c>
    </row>
    <row r="2243" spans="2:17" x14ac:dyDescent="0.2">
      <c r="B2243" s="5" t="s">
        <v>8683</v>
      </c>
      <c r="C2243" s="6" t="s">
        <v>13589</v>
      </c>
      <c r="D2243" s="4">
        <v>528</v>
      </c>
      <c r="E2243" s="5" t="s">
        <v>20</v>
      </c>
      <c r="F2243" s="5" t="s">
        <v>5814</v>
      </c>
      <c r="G2243" s="6" t="s">
        <v>18</v>
      </c>
      <c r="H2243" s="4"/>
      <c r="I2243" s="5" t="s">
        <v>22</v>
      </c>
      <c r="J2243" s="5" t="s">
        <v>5820</v>
      </c>
      <c r="K2243" s="5" t="s">
        <v>5689</v>
      </c>
      <c r="L2243" s="5" t="s">
        <v>5741</v>
      </c>
      <c r="M2243" s="5" t="s">
        <v>1343</v>
      </c>
      <c r="N2243" s="5" t="s">
        <v>291</v>
      </c>
      <c r="O2243" s="5" t="s">
        <v>5690</v>
      </c>
      <c r="P2243" s="5"/>
      <c r="Q2243" s="5" t="s">
        <v>8731</v>
      </c>
    </row>
    <row r="2244" spans="2:17" x14ac:dyDescent="0.2">
      <c r="B2244" s="5" t="s">
        <v>8683</v>
      </c>
      <c r="C2244" s="6" t="s">
        <v>13589</v>
      </c>
      <c r="D2244" s="4">
        <v>536</v>
      </c>
      <c r="E2244" s="5" t="s">
        <v>20</v>
      </c>
      <c r="F2244" s="5" t="s">
        <v>5779</v>
      </c>
      <c r="G2244" s="6" t="s">
        <v>18</v>
      </c>
      <c r="H2244" s="4"/>
      <c r="I2244" s="5" t="s">
        <v>22</v>
      </c>
      <c r="J2244" s="5" t="s">
        <v>5780</v>
      </c>
      <c r="K2244" s="5" t="s">
        <v>5781</v>
      </c>
      <c r="L2244" s="5"/>
      <c r="M2244" s="5" t="s">
        <v>2328</v>
      </c>
      <c r="N2244" s="5" t="s">
        <v>1262</v>
      </c>
      <c r="O2244" s="5" t="s">
        <v>5782</v>
      </c>
      <c r="P2244" s="5"/>
      <c r="Q2244" s="5" t="s">
        <v>8722</v>
      </c>
    </row>
    <row r="2245" spans="2:17" x14ac:dyDescent="0.2">
      <c r="B2245" s="5" t="s">
        <v>8683</v>
      </c>
      <c r="C2245" s="6" t="s">
        <v>13589</v>
      </c>
      <c r="D2245" s="4">
        <v>537</v>
      </c>
      <c r="E2245" s="5" t="s">
        <v>20</v>
      </c>
      <c r="F2245" s="5" t="s">
        <v>5779</v>
      </c>
      <c r="G2245" s="6" t="s">
        <v>18</v>
      </c>
      <c r="H2245" s="4"/>
      <c r="I2245" s="5" t="s">
        <v>22</v>
      </c>
      <c r="J2245" s="5" t="s">
        <v>5784</v>
      </c>
      <c r="K2245" s="5" t="s">
        <v>5693</v>
      </c>
      <c r="L2245" s="5"/>
      <c r="M2245" s="5" t="s">
        <v>2328</v>
      </c>
      <c r="N2245" s="5" t="s">
        <v>1262</v>
      </c>
      <c r="O2245" s="5" t="s">
        <v>5694</v>
      </c>
      <c r="P2245" s="5"/>
      <c r="Q2245" s="5" t="s">
        <v>8723</v>
      </c>
    </row>
    <row r="2246" spans="2:17" x14ac:dyDescent="0.2">
      <c r="B2246" s="5" t="s">
        <v>8683</v>
      </c>
      <c r="C2246" s="6" t="s">
        <v>13589</v>
      </c>
      <c r="D2246" s="4">
        <v>538</v>
      </c>
      <c r="E2246" s="5" t="s">
        <v>20</v>
      </c>
      <c r="F2246" s="5" t="s">
        <v>5779</v>
      </c>
      <c r="G2246" s="6" t="s">
        <v>18</v>
      </c>
      <c r="H2246" s="4"/>
      <c r="I2246" s="5" t="s">
        <v>22</v>
      </c>
      <c r="J2246" s="5" t="s">
        <v>5786</v>
      </c>
      <c r="K2246" s="5" t="s">
        <v>5693</v>
      </c>
      <c r="L2246" s="5"/>
      <c r="M2246" s="5" t="s">
        <v>2328</v>
      </c>
      <c r="N2246" s="5" t="s">
        <v>1262</v>
      </c>
      <c r="O2246" s="5" t="s">
        <v>5694</v>
      </c>
      <c r="P2246" s="5"/>
      <c r="Q2246" s="5" t="s">
        <v>8724</v>
      </c>
    </row>
    <row r="2247" spans="2:17" x14ac:dyDescent="0.2">
      <c r="B2247" s="5" t="s">
        <v>8683</v>
      </c>
      <c r="C2247" s="6" t="s">
        <v>13589</v>
      </c>
      <c r="D2247" s="4">
        <v>539</v>
      </c>
      <c r="E2247" s="5" t="s">
        <v>20</v>
      </c>
      <c r="F2247" s="5" t="s">
        <v>5779</v>
      </c>
      <c r="G2247" s="6" t="s">
        <v>18</v>
      </c>
      <c r="H2247" s="4"/>
      <c r="I2247" s="5" t="s">
        <v>22</v>
      </c>
      <c r="J2247" s="5" t="s">
        <v>5788</v>
      </c>
      <c r="K2247" s="5" t="s">
        <v>5693</v>
      </c>
      <c r="L2247" s="5"/>
      <c r="M2247" s="5" t="s">
        <v>2328</v>
      </c>
      <c r="N2247" s="5" t="s">
        <v>1262</v>
      </c>
      <c r="O2247" s="5" t="s">
        <v>5694</v>
      </c>
      <c r="P2247" s="5"/>
      <c r="Q2247" s="5" t="s">
        <v>8725</v>
      </c>
    </row>
    <row r="2248" spans="2:17" x14ac:dyDescent="0.2">
      <c r="B2248" s="5" t="s">
        <v>8683</v>
      </c>
      <c r="C2248" s="6" t="s">
        <v>13589</v>
      </c>
      <c r="D2248" s="4">
        <v>540</v>
      </c>
      <c r="E2248" s="5" t="s">
        <v>20</v>
      </c>
      <c r="F2248" s="5" t="s">
        <v>5779</v>
      </c>
      <c r="G2248" s="6" t="s">
        <v>18</v>
      </c>
      <c r="H2248" s="4"/>
      <c r="I2248" s="5" t="s">
        <v>22</v>
      </c>
      <c r="J2248" s="5" t="s">
        <v>5790</v>
      </c>
      <c r="K2248" s="5" t="s">
        <v>5693</v>
      </c>
      <c r="L2248" s="5"/>
      <c r="M2248" s="5" t="s">
        <v>2328</v>
      </c>
      <c r="N2248" s="5" t="s">
        <v>1262</v>
      </c>
      <c r="O2248" s="5" t="s">
        <v>5694</v>
      </c>
      <c r="P2248" s="5"/>
      <c r="Q2248" s="5" t="s">
        <v>8726</v>
      </c>
    </row>
    <row r="2249" spans="2:17" x14ac:dyDescent="0.2">
      <c r="B2249" s="5" t="s">
        <v>8683</v>
      </c>
      <c r="C2249" s="6" t="s">
        <v>13589</v>
      </c>
      <c r="D2249" s="4">
        <v>543</v>
      </c>
      <c r="E2249" s="5" t="s">
        <v>20</v>
      </c>
      <c r="F2249" s="5" t="s">
        <v>5762</v>
      </c>
      <c r="G2249" s="6" t="s">
        <v>18</v>
      </c>
      <c r="H2249" s="4"/>
      <c r="I2249" s="5" t="s">
        <v>22</v>
      </c>
      <c r="J2249" s="5" t="s">
        <v>5763</v>
      </c>
      <c r="K2249" s="5" t="s">
        <v>5706</v>
      </c>
      <c r="L2249" s="5"/>
      <c r="M2249" s="5" t="s">
        <v>2304</v>
      </c>
      <c r="N2249" s="5" t="s">
        <v>2863</v>
      </c>
      <c r="O2249" s="5" t="s">
        <v>5684</v>
      </c>
      <c r="P2249" s="5"/>
      <c r="Q2249" s="5" t="s">
        <v>8716</v>
      </c>
    </row>
    <row r="2250" spans="2:17" x14ac:dyDescent="0.2">
      <c r="B2250" s="5" t="s">
        <v>8683</v>
      </c>
      <c r="C2250" s="6" t="s">
        <v>13589</v>
      </c>
      <c r="D2250" s="4">
        <v>565</v>
      </c>
      <c r="E2250" s="5" t="s">
        <v>15</v>
      </c>
      <c r="F2250" s="5" t="s">
        <v>8800</v>
      </c>
      <c r="G2250" s="6" t="s">
        <v>18</v>
      </c>
      <c r="H2250" s="4"/>
      <c r="I2250" s="5"/>
      <c r="J2250" s="5" t="s">
        <v>8801</v>
      </c>
      <c r="K2250" s="5" t="s">
        <v>5686</v>
      </c>
      <c r="L2250" s="5" t="s">
        <v>8802</v>
      </c>
      <c r="M2250" s="5" t="s">
        <v>359</v>
      </c>
      <c r="N2250" s="5" t="s">
        <v>359</v>
      </c>
      <c r="O2250" s="5" t="s">
        <v>5687</v>
      </c>
      <c r="P2250" s="5"/>
      <c r="Q2250" s="5" t="s">
        <v>8803</v>
      </c>
    </row>
    <row r="2251" spans="2:17" x14ac:dyDescent="0.2">
      <c r="B2251" s="5" t="s">
        <v>9008</v>
      </c>
      <c r="C2251" s="6" t="s">
        <v>13589</v>
      </c>
      <c r="D2251" s="4">
        <v>573</v>
      </c>
      <c r="E2251" s="5" t="s">
        <v>20</v>
      </c>
      <c r="F2251" s="5" t="s">
        <v>9514</v>
      </c>
      <c r="G2251" s="6" t="s">
        <v>18</v>
      </c>
      <c r="H2251" s="4"/>
      <c r="I2251" s="5" t="s">
        <v>22</v>
      </c>
      <c r="J2251" s="5" t="s">
        <v>9515</v>
      </c>
      <c r="K2251" s="5" t="s">
        <v>9516</v>
      </c>
      <c r="L2251" s="5"/>
      <c r="M2251" s="5" t="s">
        <v>3498</v>
      </c>
      <c r="N2251" s="5" t="s">
        <v>1108</v>
      </c>
      <c r="O2251" s="5" t="s">
        <v>9028</v>
      </c>
      <c r="P2251" s="5"/>
      <c r="Q2251" s="5" t="s">
        <v>9517</v>
      </c>
    </row>
    <row r="2252" spans="2:17" x14ac:dyDescent="0.2">
      <c r="B2252" s="5" t="s">
        <v>9008</v>
      </c>
      <c r="C2252" s="6" t="s">
        <v>13589</v>
      </c>
      <c r="D2252" s="4">
        <v>578</v>
      </c>
      <c r="E2252" s="5" t="s">
        <v>15</v>
      </c>
      <c r="F2252" s="5" t="s">
        <v>9495</v>
      </c>
      <c r="G2252" s="6" t="s">
        <v>18</v>
      </c>
      <c r="H2252" s="4"/>
      <c r="I2252" s="5"/>
      <c r="J2252" s="5" t="s">
        <v>9496</v>
      </c>
      <c r="K2252" s="5" t="s">
        <v>9017</v>
      </c>
      <c r="L2252" s="5"/>
      <c r="M2252" s="5" t="s">
        <v>3451</v>
      </c>
      <c r="N2252" s="5" t="s">
        <v>538</v>
      </c>
      <c r="O2252" s="5" t="s">
        <v>9012</v>
      </c>
      <c r="P2252" s="5"/>
      <c r="Q2252" s="5" t="s">
        <v>9497</v>
      </c>
    </row>
    <row r="2253" spans="2:17" x14ac:dyDescent="0.2">
      <c r="B2253" s="5" t="s">
        <v>9008</v>
      </c>
      <c r="C2253" s="6" t="s">
        <v>13589</v>
      </c>
      <c r="D2253" s="4">
        <v>579</v>
      </c>
      <c r="E2253" s="5" t="s">
        <v>20</v>
      </c>
      <c r="F2253" s="5" t="s">
        <v>9493</v>
      </c>
      <c r="G2253" s="6" t="s">
        <v>18</v>
      </c>
      <c r="H2253" s="4"/>
      <c r="I2253" s="5" t="s">
        <v>22</v>
      </c>
      <c r="J2253" s="5" t="s">
        <v>9440</v>
      </c>
      <c r="K2253" s="5" t="s">
        <v>9225</v>
      </c>
      <c r="L2253" s="5"/>
      <c r="M2253" s="5" t="s">
        <v>3451</v>
      </c>
      <c r="N2253" s="5" t="s">
        <v>538</v>
      </c>
      <c r="O2253" s="5" t="s">
        <v>9012</v>
      </c>
      <c r="P2253" s="5"/>
      <c r="Q2253" s="5" t="s">
        <v>9494</v>
      </c>
    </row>
    <row r="2254" spans="2:17" x14ac:dyDescent="0.2">
      <c r="B2254" s="5" t="s">
        <v>9008</v>
      </c>
      <c r="C2254" s="6" t="s">
        <v>13589</v>
      </c>
      <c r="D2254" s="4">
        <v>586</v>
      </c>
      <c r="E2254" s="5" t="s">
        <v>20</v>
      </c>
      <c r="F2254" s="5" t="s">
        <v>9039</v>
      </c>
      <c r="G2254" s="6" t="s">
        <v>18</v>
      </c>
      <c r="H2254" s="4"/>
      <c r="I2254" s="5" t="s">
        <v>22</v>
      </c>
      <c r="J2254" s="5" t="s">
        <v>9412</v>
      </c>
      <c r="K2254" s="5"/>
      <c r="L2254" s="5" t="s">
        <v>9413</v>
      </c>
      <c r="M2254" s="5" t="s">
        <v>197</v>
      </c>
      <c r="N2254" s="5" t="s">
        <v>1012</v>
      </c>
      <c r="O2254" s="5" t="s">
        <v>9012</v>
      </c>
      <c r="P2254" s="5"/>
      <c r="Q2254" s="5" t="s">
        <v>9414</v>
      </c>
    </row>
    <row r="2255" spans="2:17" x14ac:dyDescent="0.2">
      <c r="B2255" s="5" t="s">
        <v>9008</v>
      </c>
      <c r="C2255" s="6" t="s">
        <v>13589</v>
      </c>
      <c r="D2255" s="4">
        <v>587</v>
      </c>
      <c r="E2255" s="5" t="s">
        <v>20</v>
      </c>
      <c r="F2255" s="5" t="s">
        <v>9039</v>
      </c>
      <c r="G2255" s="6" t="s">
        <v>18</v>
      </c>
      <c r="H2255" s="4"/>
      <c r="I2255" s="5" t="s">
        <v>22</v>
      </c>
      <c r="J2255" s="5" t="s">
        <v>9415</v>
      </c>
      <c r="K2255" s="5" t="s">
        <v>9416</v>
      </c>
      <c r="L2255" s="5"/>
      <c r="M2255" s="5" t="s">
        <v>197</v>
      </c>
      <c r="N2255" s="5" t="s">
        <v>1012</v>
      </c>
      <c r="O2255" s="5" t="s">
        <v>9012</v>
      </c>
      <c r="P2255" s="5"/>
      <c r="Q2255" s="5" t="s">
        <v>9417</v>
      </c>
    </row>
    <row r="2256" spans="2:17" x14ac:dyDescent="0.2">
      <c r="B2256" s="5" t="s">
        <v>9008</v>
      </c>
      <c r="C2256" s="6" t="s">
        <v>13589</v>
      </c>
      <c r="D2256" s="4">
        <v>589</v>
      </c>
      <c r="E2256" s="5" t="s">
        <v>20</v>
      </c>
      <c r="F2256" s="5" t="s">
        <v>9418</v>
      </c>
      <c r="G2256" s="6" t="s">
        <v>18</v>
      </c>
      <c r="H2256" s="4"/>
      <c r="I2256" s="5" t="s">
        <v>22</v>
      </c>
      <c r="J2256" s="5" t="s">
        <v>9419</v>
      </c>
      <c r="K2256" s="5" t="s">
        <v>9027</v>
      </c>
      <c r="L2256" s="5"/>
      <c r="M2256" s="5" t="s">
        <v>197</v>
      </c>
      <c r="N2256" s="5" t="s">
        <v>1012</v>
      </c>
      <c r="O2256" s="5" t="s">
        <v>9028</v>
      </c>
      <c r="P2256" s="5"/>
      <c r="Q2256" s="5" t="s">
        <v>9420</v>
      </c>
    </row>
    <row r="2257" spans="2:17" x14ac:dyDescent="0.2">
      <c r="B2257" s="5" t="s">
        <v>9008</v>
      </c>
      <c r="C2257" s="6" t="s">
        <v>13589</v>
      </c>
      <c r="D2257" s="4">
        <v>599</v>
      </c>
      <c r="E2257" s="5" t="s">
        <v>15</v>
      </c>
      <c r="F2257" s="5" t="s">
        <v>9368</v>
      </c>
      <c r="G2257" s="6" t="s">
        <v>18</v>
      </c>
      <c r="H2257" s="4"/>
      <c r="I2257" s="5"/>
      <c r="J2257" s="5" t="s">
        <v>9369</v>
      </c>
      <c r="K2257" s="5" t="s">
        <v>9046</v>
      </c>
      <c r="L2257" s="5"/>
      <c r="M2257" s="5" t="s">
        <v>157</v>
      </c>
      <c r="N2257" s="5" t="s">
        <v>153</v>
      </c>
      <c r="O2257" s="5" t="s">
        <v>9020</v>
      </c>
      <c r="P2257" s="5"/>
      <c r="Q2257" s="5" t="s">
        <v>9370</v>
      </c>
    </row>
    <row r="2258" spans="2:17" x14ac:dyDescent="0.2">
      <c r="B2258" s="5" t="s">
        <v>9008</v>
      </c>
      <c r="C2258" s="6" t="s">
        <v>13589</v>
      </c>
      <c r="D2258" s="4">
        <v>601</v>
      </c>
      <c r="E2258" s="5" t="s">
        <v>20</v>
      </c>
      <c r="F2258" s="5" t="s">
        <v>9374</v>
      </c>
      <c r="G2258" s="6" t="s">
        <v>18</v>
      </c>
      <c r="H2258" s="4"/>
      <c r="I2258" s="5" t="s">
        <v>22</v>
      </c>
      <c r="J2258" s="5" t="s">
        <v>9375</v>
      </c>
      <c r="K2258" s="5" t="s">
        <v>9120</v>
      </c>
      <c r="L2258" s="5"/>
      <c r="M2258" s="5" t="s">
        <v>443</v>
      </c>
      <c r="N2258" s="5" t="s">
        <v>153</v>
      </c>
      <c r="O2258" s="5" t="s">
        <v>9028</v>
      </c>
      <c r="P2258" s="5"/>
      <c r="Q2258" s="5" t="s">
        <v>9376</v>
      </c>
    </row>
    <row r="2259" spans="2:17" x14ac:dyDescent="0.2">
      <c r="B2259" s="5" t="s">
        <v>9008</v>
      </c>
      <c r="C2259" s="6" t="s">
        <v>13589</v>
      </c>
      <c r="D2259" s="4">
        <v>602</v>
      </c>
      <c r="E2259" s="5" t="s">
        <v>20</v>
      </c>
      <c r="F2259" s="5" t="s">
        <v>9374</v>
      </c>
      <c r="G2259" s="6" t="s">
        <v>18</v>
      </c>
      <c r="H2259" s="4"/>
      <c r="I2259" s="5" t="s">
        <v>22</v>
      </c>
      <c r="J2259" s="5" t="s">
        <v>9377</v>
      </c>
      <c r="K2259" s="5" t="s">
        <v>9378</v>
      </c>
      <c r="L2259" s="5"/>
      <c r="M2259" s="5" t="s">
        <v>443</v>
      </c>
      <c r="N2259" s="5" t="s">
        <v>153</v>
      </c>
      <c r="O2259" s="5" t="s">
        <v>9028</v>
      </c>
      <c r="P2259" s="5"/>
      <c r="Q2259" s="5" t="s">
        <v>9379</v>
      </c>
    </row>
    <row r="2260" spans="2:17" x14ac:dyDescent="0.2">
      <c r="B2260" s="5" t="s">
        <v>9008</v>
      </c>
      <c r="C2260" s="6" t="s">
        <v>13589</v>
      </c>
      <c r="D2260" s="4">
        <v>603</v>
      </c>
      <c r="E2260" s="5" t="s">
        <v>20</v>
      </c>
      <c r="F2260" s="5" t="s">
        <v>9380</v>
      </c>
      <c r="G2260" s="6" t="s">
        <v>18</v>
      </c>
      <c r="H2260" s="4"/>
      <c r="I2260" s="5" t="s">
        <v>22</v>
      </c>
      <c r="J2260" s="5" t="s">
        <v>9381</v>
      </c>
      <c r="K2260" s="5" t="s">
        <v>9055</v>
      </c>
      <c r="L2260" s="5"/>
      <c r="M2260" s="5" t="s">
        <v>443</v>
      </c>
      <c r="N2260" s="5" t="s">
        <v>153</v>
      </c>
      <c r="O2260" s="5" t="s">
        <v>9020</v>
      </c>
      <c r="P2260" s="5"/>
      <c r="Q2260" s="5" t="s">
        <v>9382</v>
      </c>
    </row>
    <row r="2261" spans="2:17" x14ac:dyDescent="0.2">
      <c r="B2261" s="5" t="s">
        <v>9008</v>
      </c>
      <c r="C2261" s="6" t="s">
        <v>13589</v>
      </c>
      <c r="D2261" s="4">
        <v>614</v>
      </c>
      <c r="E2261" s="5" t="s">
        <v>20</v>
      </c>
      <c r="F2261" s="5" t="s">
        <v>9336</v>
      </c>
      <c r="G2261" s="6" t="s">
        <v>18</v>
      </c>
      <c r="H2261" s="4"/>
      <c r="I2261" s="5" t="s">
        <v>22</v>
      </c>
      <c r="J2261" s="5" t="s">
        <v>9337</v>
      </c>
      <c r="K2261" s="5" t="s">
        <v>4977</v>
      </c>
      <c r="L2261" s="5"/>
      <c r="M2261" s="5" t="s">
        <v>411</v>
      </c>
      <c r="N2261" s="5" t="s">
        <v>138</v>
      </c>
      <c r="O2261" s="5" t="s">
        <v>9338</v>
      </c>
      <c r="P2261" s="5"/>
      <c r="Q2261" s="5" t="s">
        <v>9339</v>
      </c>
    </row>
    <row r="2262" spans="2:17" x14ac:dyDescent="0.2">
      <c r="B2262" s="5" t="s">
        <v>9008</v>
      </c>
      <c r="C2262" s="6" t="s">
        <v>13589</v>
      </c>
      <c r="D2262" s="4">
        <v>615</v>
      </c>
      <c r="E2262" s="5" t="s">
        <v>15</v>
      </c>
      <c r="F2262" s="5" t="s">
        <v>9336</v>
      </c>
      <c r="G2262" s="6" t="s">
        <v>18</v>
      </c>
      <c r="H2262" s="4"/>
      <c r="I2262" s="5"/>
      <c r="J2262" s="5" t="s">
        <v>9340</v>
      </c>
      <c r="K2262" s="5" t="s">
        <v>3793</v>
      </c>
      <c r="L2262" s="5"/>
      <c r="M2262" s="5" t="s">
        <v>411</v>
      </c>
      <c r="N2262" s="5" t="s">
        <v>138</v>
      </c>
      <c r="O2262" s="5" t="s">
        <v>9045</v>
      </c>
      <c r="P2262" s="5"/>
      <c r="Q2262" s="5" t="s">
        <v>9341</v>
      </c>
    </row>
    <row r="2263" spans="2:17" x14ac:dyDescent="0.2">
      <c r="B2263" s="5" t="s">
        <v>9008</v>
      </c>
      <c r="C2263" s="6" t="s">
        <v>13589</v>
      </c>
      <c r="D2263" s="4">
        <v>672</v>
      </c>
      <c r="E2263" s="5" t="s">
        <v>20</v>
      </c>
      <c r="F2263" s="5" t="s">
        <v>9142</v>
      </c>
      <c r="G2263" s="6" t="s">
        <v>18</v>
      </c>
      <c r="H2263" s="4"/>
      <c r="I2263" s="5" t="s">
        <v>22</v>
      </c>
      <c r="J2263" s="5" t="s">
        <v>9143</v>
      </c>
      <c r="K2263" s="5" t="s">
        <v>9078</v>
      </c>
      <c r="L2263" s="5"/>
      <c r="M2263" s="5" t="s">
        <v>2891</v>
      </c>
      <c r="N2263" s="5" t="s">
        <v>1247</v>
      </c>
      <c r="O2263" s="5" t="s">
        <v>9045</v>
      </c>
      <c r="P2263" s="5"/>
      <c r="Q2263" s="5" t="s">
        <v>9144</v>
      </c>
    </row>
    <row r="2264" spans="2:17" x14ac:dyDescent="0.2">
      <c r="B2264" s="5" t="s">
        <v>9008</v>
      </c>
      <c r="C2264" s="6" t="s">
        <v>13589</v>
      </c>
      <c r="D2264" s="4">
        <v>680</v>
      </c>
      <c r="E2264" s="5" t="s">
        <v>20</v>
      </c>
      <c r="F2264" s="5" t="s">
        <v>9328</v>
      </c>
      <c r="G2264" s="6" t="s">
        <v>18</v>
      </c>
      <c r="H2264" s="4"/>
      <c r="I2264" s="5" t="s">
        <v>22</v>
      </c>
      <c r="J2264" s="5" t="s">
        <v>9329</v>
      </c>
      <c r="K2264" s="5" t="s">
        <v>9178</v>
      </c>
      <c r="L2264" s="5"/>
      <c r="M2264" s="5" t="s">
        <v>2151</v>
      </c>
      <c r="N2264" s="5" t="s">
        <v>2147</v>
      </c>
      <c r="O2264" s="5" t="s">
        <v>9012</v>
      </c>
      <c r="P2264" s="5"/>
      <c r="Q2264" s="5" t="s">
        <v>9330</v>
      </c>
    </row>
    <row r="2265" spans="2:17" x14ac:dyDescent="0.2">
      <c r="B2265" s="5" t="s">
        <v>9008</v>
      </c>
      <c r="C2265" s="6" t="s">
        <v>13589</v>
      </c>
      <c r="D2265" s="4">
        <v>681</v>
      </c>
      <c r="E2265" s="5" t="s">
        <v>20</v>
      </c>
      <c r="F2265" s="5" t="s">
        <v>9328</v>
      </c>
      <c r="G2265" s="6" t="s">
        <v>18</v>
      </c>
      <c r="H2265" s="4"/>
      <c r="I2265" s="5" t="s">
        <v>22</v>
      </c>
      <c r="J2265" s="5" t="s">
        <v>9329</v>
      </c>
      <c r="K2265" s="5" t="s">
        <v>9178</v>
      </c>
      <c r="L2265" s="5"/>
      <c r="M2265" s="5" t="s">
        <v>2151</v>
      </c>
      <c r="N2265" s="5" t="s">
        <v>2147</v>
      </c>
      <c r="O2265" s="5" t="s">
        <v>9012</v>
      </c>
      <c r="P2265" s="5"/>
      <c r="Q2265" s="5" t="s">
        <v>9331</v>
      </c>
    </row>
    <row r="2266" spans="2:17" x14ac:dyDescent="0.2">
      <c r="B2266" s="5" t="s">
        <v>9008</v>
      </c>
      <c r="C2266" s="6" t="s">
        <v>13589</v>
      </c>
      <c r="D2266" s="4">
        <v>694</v>
      </c>
      <c r="E2266" s="5" t="s">
        <v>20</v>
      </c>
      <c r="F2266" s="5" t="s">
        <v>9477</v>
      </c>
      <c r="G2266" s="6" t="s">
        <v>18</v>
      </c>
      <c r="H2266" s="4"/>
      <c r="I2266" s="5" t="s">
        <v>38</v>
      </c>
      <c r="J2266" s="5" t="s">
        <v>9478</v>
      </c>
      <c r="K2266" s="5" t="s">
        <v>9479</v>
      </c>
      <c r="L2266" s="5"/>
      <c r="M2266" s="5" t="s">
        <v>9480</v>
      </c>
      <c r="N2266" s="5" t="s">
        <v>3438</v>
      </c>
      <c r="O2266" s="5" t="s">
        <v>9016</v>
      </c>
      <c r="P2266" s="5"/>
      <c r="Q2266" s="5" t="s">
        <v>9481</v>
      </c>
    </row>
    <row r="2267" spans="2:17" x14ac:dyDescent="0.2">
      <c r="B2267" s="5" t="s">
        <v>9008</v>
      </c>
      <c r="C2267" s="6" t="s">
        <v>13589</v>
      </c>
      <c r="D2267" s="4">
        <v>727</v>
      </c>
      <c r="E2267" s="5" t="s">
        <v>13</v>
      </c>
      <c r="F2267" s="5" t="s">
        <v>9299</v>
      </c>
      <c r="G2267" s="6" t="s">
        <v>18</v>
      </c>
      <c r="H2267" s="4"/>
      <c r="I2267" s="5"/>
      <c r="J2267" s="5" t="s">
        <v>9300</v>
      </c>
      <c r="K2267" s="5" t="s">
        <v>9215</v>
      </c>
      <c r="L2267" s="5"/>
      <c r="M2267" s="5" t="s">
        <v>122</v>
      </c>
      <c r="N2267" s="5" t="s">
        <v>122</v>
      </c>
      <c r="O2267" s="5" t="s">
        <v>9010</v>
      </c>
      <c r="P2267" s="5"/>
      <c r="Q2267" s="5" t="s">
        <v>9301</v>
      </c>
    </row>
    <row r="2268" spans="2:17" x14ac:dyDescent="0.2">
      <c r="B2268" s="5" t="s">
        <v>9550</v>
      </c>
      <c r="C2268" s="6" t="s">
        <v>13589</v>
      </c>
      <c r="D2268" s="4">
        <v>749</v>
      </c>
      <c r="E2268" s="5" t="s">
        <v>35</v>
      </c>
      <c r="F2268" s="5" t="s">
        <v>10085</v>
      </c>
      <c r="G2268" s="6" t="s">
        <v>18</v>
      </c>
      <c r="H2268" s="4"/>
      <c r="I2268" s="5"/>
      <c r="J2268" s="5" t="s">
        <v>10086</v>
      </c>
      <c r="K2268" s="5" t="s">
        <v>17</v>
      </c>
      <c r="L2268" s="5"/>
      <c r="M2268" s="5" t="s">
        <v>1682</v>
      </c>
      <c r="N2268" s="5" t="s">
        <v>3773</v>
      </c>
      <c r="O2268" s="5" t="s">
        <v>9552</v>
      </c>
      <c r="P2268" s="5"/>
      <c r="Q2268" s="5" t="s">
        <v>10087</v>
      </c>
    </row>
    <row r="2269" spans="2:17" x14ac:dyDescent="0.2">
      <c r="B2269" s="5" t="s">
        <v>9550</v>
      </c>
      <c r="C2269" s="6" t="s">
        <v>13589</v>
      </c>
      <c r="D2269" s="4">
        <v>750</v>
      </c>
      <c r="E2269" s="5" t="s">
        <v>15</v>
      </c>
      <c r="F2269" s="5" t="s">
        <v>10088</v>
      </c>
      <c r="G2269" s="6" t="s">
        <v>18</v>
      </c>
      <c r="H2269" s="4"/>
      <c r="I2269" s="5"/>
      <c r="J2269" s="5" t="s">
        <v>10089</v>
      </c>
      <c r="K2269" s="5" t="s">
        <v>3791</v>
      </c>
      <c r="L2269" s="5"/>
      <c r="M2269" s="5" t="s">
        <v>10090</v>
      </c>
      <c r="N2269" s="5" t="s">
        <v>1672</v>
      </c>
      <c r="O2269" s="5" t="s">
        <v>9553</v>
      </c>
      <c r="P2269" s="5"/>
      <c r="Q2269" s="5" t="s">
        <v>10091</v>
      </c>
    </row>
    <row r="2270" spans="2:17" x14ac:dyDescent="0.2">
      <c r="B2270" s="5" t="s">
        <v>9550</v>
      </c>
      <c r="C2270" s="6" t="s">
        <v>13589</v>
      </c>
      <c r="D2270" s="4">
        <v>757</v>
      </c>
      <c r="E2270" s="5" t="s">
        <v>20</v>
      </c>
      <c r="F2270" s="5" t="s">
        <v>10015</v>
      </c>
      <c r="G2270" s="6" t="s">
        <v>18</v>
      </c>
      <c r="H2270" s="4"/>
      <c r="I2270" s="5" t="s">
        <v>22</v>
      </c>
      <c r="J2270" s="5" t="s">
        <v>10016</v>
      </c>
      <c r="K2270" s="5" t="s">
        <v>9596</v>
      </c>
      <c r="L2270" s="5"/>
      <c r="M2270" s="5" t="s">
        <v>1057</v>
      </c>
      <c r="N2270" s="5" t="s">
        <v>1058</v>
      </c>
      <c r="O2270" s="5" t="s">
        <v>3795</v>
      </c>
      <c r="P2270" s="5"/>
      <c r="Q2270" s="5" t="s">
        <v>10017</v>
      </c>
    </row>
    <row r="2271" spans="2:17" x14ac:dyDescent="0.2">
      <c r="B2271" s="5" t="s">
        <v>9550</v>
      </c>
      <c r="C2271" s="6" t="s">
        <v>13589</v>
      </c>
      <c r="D2271" s="4">
        <v>758</v>
      </c>
      <c r="E2271" s="5" t="s">
        <v>24</v>
      </c>
      <c r="F2271" s="5" t="s">
        <v>10018</v>
      </c>
      <c r="G2271" s="6" t="s">
        <v>18</v>
      </c>
      <c r="H2271" s="4"/>
      <c r="I2271" s="5"/>
      <c r="J2271" s="5" t="s">
        <v>61</v>
      </c>
      <c r="K2271" s="5" t="s">
        <v>4724</v>
      </c>
      <c r="L2271" s="5"/>
      <c r="M2271" s="5" t="s">
        <v>1057</v>
      </c>
      <c r="N2271" s="5" t="s">
        <v>1058</v>
      </c>
      <c r="O2271" s="5" t="s">
        <v>3795</v>
      </c>
      <c r="P2271" s="5"/>
      <c r="Q2271" s="5" t="s">
        <v>10019</v>
      </c>
    </row>
    <row r="2272" spans="2:17" x14ac:dyDescent="0.2">
      <c r="B2272" s="5" t="s">
        <v>9550</v>
      </c>
      <c r="C2272" s="6" t="s">
        <v>13589</v>
      </c>
      <c r="D2272" s="4">
        <v>768</v>
      </c>
      <c r="E2272" s="5" t="s">
        <v>24</v>
      </c>
      <c r="F2272" s="5" t="s">
        <v>9987</v>
      </c>
      <c r="G2272" s="6" t="s">
        <v>18</v>
      </c>
      <c r="H2272" s="4"/>
      <c r="I2272" s="5"/>
      <c r="J2272" s="5" t="s">
        <v>9988</v>
      </c>
      <c r="K2272" s="5" t="s">
        <v>9581</v>
      </c>
      <c r="L2272" s="5"/>
      <c r="M2272" s="5" t="s">
        <v>2724</v>
      </c>
      <c r="N2272" s="5" t="s">
        <v>207</v>
      </c>
      <c r="O2272" s="5" t="s">
        <v>9552</v>
      </c>
      <c r="P2272" s="5"/>
      <c r="Q2272" s="5" t="s">
        <v>9989</v>
      </c>
    </row>
    <row r="2273" spans="2:17" x14ac:dyDescent="0.2">
      <c r="B2273" s="5" t="s">
        <v>9550</v>
      </c>
      <c r="C2273" s="6" t="s">
        <v>13589</v>
      </c>
      <c r="D2273" s="4">
        <v>769</v>
      </c>
      <c r="E2273" s="5" t="s">
        <v>15</v>
      </c>
      <c r="F2273" s="5" t="s">
        <v>9984</v>
      </c>
      <c r="G2273" s="6" t="s">
        <v>18</v>
      </c>
      <c r="H2273" s="4"/>
      <c r="I2273" s="5"/>
      <c r="J2273" s="5" t="s">
        <v>9985</v>
      </c>
      <c r="K2273" s="5" t="s">
        <v>3791</v>
      </c>
      <c r="L2273" s="5"/>
      <c r="M2273" s="5" t="s">
        <v>5369</v>
      </c>
      <c r="N2273" s="5" t="s">
        <v>1634</v>
      </c>
      <c r="O2273" s="5" t="s">
        <v>9553</v>
      </c>
      <c r="P2273" s="5"/>
      <c r="Q2273" s="5" t="s">
        <v>9986</v>
      </c>
    </row>
    <row r="2274" spans="2:17" x14ac:dyDescent="0.2">
      <c r="B2274" s="5" t="s">
        <v>9550</v>
      </c>
      <c r="C2274" s="6" t="s">
        <v>13589</v>
      </c>
      <c r="D2274" s="4">
        <v>816</v>
      </c>
      <c r="E2274" s="5" t="s">
        <v>15</v>
      </c>
      <c r="F2274" s="5" t="s">
        <v>9864</v>
      </c>
      <c r="G2274" s="6" t="s">
        <v>18</v>
      </c>
      <c r="H2274" s="4"/>
      <c r="I2274" s="5"/>
      <c r="J2274" s="5" t="s">
        <v>9865</v>
      </c>
      <c r="K2274" s="5" t="s">
        <v>9866</v>
      </c>
      <c r="L2274" s="5"/>
      <c r="M2274" s="5" t="s">
        <v>411</v>
      </c>
      <c r="N2274" s="5" t="s">
        <v>138</v>
      </c>
      <c r="O2274" s="5" t="s">
        <v>5014</v>
      </c>
      <c r="P2274" s="5"/>
      <c r="Q2274" s="5" t="s">
        <v>9867</v>
      </c>
    </row>
    <row r="2275" spans="2:17" x14ac:dyDescent="0.2">
      <c r="B2275" s="5" t="s">
        <v>9550</v>
      </c>
      <c r="C2275" s="6" t="s">
        <v>13589</v>
      </c>
      <c r="D2275" s="4">
        <v>853</v>
      </c>
      <c r="E2275" s="5" t="s">
        <v>24</v>
      </c>
      <c r="F2275" s="5" t="s">
        <v>9719</v>
      </c>
      <c r="G2275" s="6" t="s">
        <v>18</v>
      </c>
      <c r="H2275" s="4"/>
      <c r="I2275" s="5"/>
      <c r="J2275" s="5" t="s">
        <v>61</v>
      </c>
      <c r="K2275" s="5" t="s">
        <v>9563</v>
      </c>
      <c r="L2275" s="5"/>
      <c r="M2275" s="5" t="s">
        <v>5846</v>
      </c>
      <c r="N2275" s="5" t="s">
        <v>295</v>
      </c>
      <c r="O2275" s="5" t="s">
        <v>3790</v>
      </c>
      <c r="P2275" s="5"/>
      <c r="Q2275" s="5" t="s">
        <v>9720</v>
      </c>
    </row>
    <row r="2276" spans="2:17" x14ac:dyDescent="0.2">
      <c r="B2276" s="5" t="s">
        <v>9550</v>
      </c>
      <c r="C2276" s="6" t="s">
        <v>13589</v>
      </c>
      <c r="D2276" s="4">
        <v>877</v>
      </c>
      <c r="E2276" s="5" t="s">
        <v>35</v>
      </c>
      <c r="F2276" s="5" t="s">
        <v>9852</v>
      </c>
      <c r="G2276" s="6" t="s">
        <v>18</v>
      </c>
      <c r="H2276" s="4"/>
      <c r="I2276" s="5"/>
      <c r="J2276" s="5" t="s">
        <v>61</v>
      </c>
      <c r="K2276" s="5" t="s">
        <v>9837</v>
      </c>
      <c r="L2276" s="5"/>
      <c r="M2276" s="5" t="s">
        <v>2151</v>
      </c>
      <c r="N2276" s="5" t="s">
        <v>2147</v>
      </c>
      <c r="O2276" s="5" t="s">
        <v>9553</v>
      </c>
      <c r="P2276" s="5"/>
      <c r="Q2276" s="5" t="s">
        <v>9853</v>
      </c>
    </row>
    <row r="2277" spans="2:17" x14ac:dyDescent="0.2">
      <c r="B2277" s="5" t="s">
        <v>9550</v>
      </c>
      <c r="C2277" s="6" t="s">
        <v>13589</v>
      </c>
      <c r="D2277" s="4">
        <v>878</v>
      </c>
      <c r="E2277" s="5" t="s">
        <v>35</v>
      </c>
      <c r="F2277" s="5" t="s">
        <v>9854</v>
      </c>
      <c r="G2277" s="6" t="s">
        <v>18</v>
      </c>
      <c r="H2277" s="4"/>
      <c r="I2277" s="5"/>
      <c r="J2277" s="5" t="s">
        <v>9855</v>
      </c>
      <c r="K2277" s="5" t="s">
        <v>9558</v>
      </c>
      <c r="L2277" s="5"/>
      <c r="M2277" s="5" t="s">
        <v>2151</v>
      </c>
      <c r="N2277" s="5" t="s">
        <v>2147</v>
      </c>
      <c r="O2277" s="5" t="s">
        <v>9553</v>
      </c>
      <c r="P2277" s="5"/>
      <c r="Q2277" s="5" t="s">
        <v>9856</v>
      </c>
    </row>
    <row r="2278" spans="2:17" x14ac:dyDescent="0.2">
      <c r="B2278" s="5" t="s">
        <v>9550</v>
      </c>
      <c r="C2278" s="6" t="s">
        <v>13589</v>
      </c>
      <c r="D2278" s="4">
        <v>879</v>
      </c>
      <c r="E2278" s="5" t="s">
        <v>35</v>
      </c>
      <c r="F2278" s="5" t="s">
        <v>9854</v>
      </c>
      <c r="G2278" s="6" t="s">
        <v>18</v>
      </c>
      <c r="H2278" s="4"/>
      <c r="I2278" s="5"/>
      <c r="J2278" s="5" t="s">
        <v>9857</v>
      </c>
      <c r="K2278" s="5" t="s">
        <v>37</v>
      </c>
      <c r="L2278" s="5"/>
      <c r="M2278" s="5" t="s">
        <v>2151</v>
      </c>
      <c r="N2278" s="5" t="s">
        <v>2147</v>
      </c>
      <c r="O2278" s="5" t="s">
        <v>9553</v>
      </c>
      <c r="P2278" s="5"/>
      <c r="Q2278" s="5" t="s">
        <v>9858</v>
      </c>
    </row>
    <row r="2279" spans="2:17" x14ac:dyDescent="0.2">
      <c r="B2279" s="5" t="s">
        <v>9550</v>
      </c>
      <c r="C2279" s="6" t="s">
        <v>13589</v>
      </c>
      <c r="D2279" s="4">
        <v>895</v>
      </c>
      <c r="E2279" s="5" t="s">
        <v>24</v>
      </c>
      <c r="F2279" s="5" t="s">
        <v>9834</v>
      </c>
      <c r="G2279" s="6" t="s">
        <v>18</v>
      </c>
      <c r="H2279" s="4"/>
      <c r="I2279" s="5"/>
      <c r="J2279" s="5" t="s">
        <v>9835</v>
      </c>
      <c r="K2279" s="5" t="s">
        <v>9558</v>
      </c>
      <c r="L2279" s="5"/>
      <c r="M2279" s="5" t="s">
        <v>866</v>
      </c>
      <c r="N2279" s="5" t="s">
        <v>2134</v>
      </c>
      <c r="O2279" s="5" t="s">
        <v>9553</v>
      </c>
      <c r="P2279" s="5"/>
      <c r="Q2279" s="5" t="s">
        <v>9836</v>
      </c>
    </row>
    <row r="2280" spans="2:17" x14ac:dyDescent="0.2">
      <c r="B2280" s="5" t="s">
        <v>9550</v>
      </c>
      <c r="C2280" s="6" t="s">
        <v>13589</v>
      </c>
      <c r="D2280" s="4">
        <v>896</v>
      </c>
      <c r="E2280" s="5" t="s">
        <v>24</v>
      </c>
      <c r="F2280" s="5" t="s">
        <v>9834</v>
      </c>
      <c r="G2280" s="6" t="s">
        <v>18</v>
      </c>
      <c r="H2280" s="4"/>
      <c r="I2280" s="5"/>
      <c r="J2280" s="5" t="s">
        <v>61</v>
      </c>
      <c r="K2280" s="5" t="s">
        <v>9837</v>
      </c>
      <c r="L2280" s="5"/>
      <c r="M2280" s="5" t="s">
        <v>866</v>
      </c>
      <c r="N2280" s="5" t="s">
        <v>2134</v>
      </c>
      <c r="O2280" s="5" t="s">
        <v>9553</v>
      </c>
      <c r="P2280" s="5"/>
      <c r="Q2280" s="5" t="s">
        <v>9838</v>
      </c>
    </row>
    <row r="2281" spans="2:17" x14ac:dyDescent="0.2">
      <c r="B2281" s="5" t="s">
        <v>9550</v>
      </c>
      <c r="C2281" s="6" t="s">
        <v>13589</v>
      </c>
      <c r="D2281" s="4">
        <v>897</v>
      </c>
      <c r="E2281" s="5" t="s">
        <v>24</v>
      </c>
      <c r="F2281" s="5" t="s">
        <v>9834</v>
      </c>
      <c r="G2281" s="6" t="s">
        <v>18</v>
      </c>
      <c r="H2281" s="4"/>
      <c r="I2281" s="5"/>
      <c r="J2281" s="5" t="s">
        <v>61</v>
      </c>
      <c r="K2281" s="5" t="s">
        <v>37</v>
      </c>
      <c r="L2281" s="5"/>
      <c r="M2281" s="5" t="s">
        <v>866</v>
      </c>
      <c r="N2281" s="5" t="s">
        <v>2134</v>
      </c>
      <c r="O2281" s="5" t="s">
        <v>9553</v>
      </c>
      <c r="P2281" s="5"/>
      <c r="Q2281" s="5" t="s">
        <v>9839</v>
      </c>
    </row>
    <row r="2282" spans="2:17" x14ac:dyDescent="0.2">
      <c r="B2282" s="5" t="s">
        <v>9550</v>
      </c>
      <c r="C2282" s="6" t="s">
        <v>13589</v>
      </c>
      <c r="D2282" s="4">
        <v>915</v>
      </c>
      <c r="E2282" s="5" t="s">
        <v>20</v>
      </c>
      <c r="F2282" s="5" t="s">
        <v>10059</v>
      </c>
      <c r="G2282" s="6" t="s">
        <v>18</v>
      </c>
      <c r="H2282" s="4"/>
      <c r="I2282" s="5" t="s">
        <v>22</v>
      </c>
      <c r="J2282" s="5" t="s">
        <v>10060</v>
      </c>
      <c r="K2282" s="5" t="s">
        <v>10061</v>
      </c>
      <c r="L2282" s="5"/>
      <c r="M2282" s="5" t="s">
        <v>3438</v>
      </c>
      <c r="N2282" s="5" t="s">
        <v>495</v>
      </c>
      <c r="O2282" s="5" t="s">
        <v>9582</v>
      </c>
      <c r="P2282" s="5"/>
      <c r="Q2282" s="5" t="s">
        <v>10062</v>
      </c>
    </row>
    <row r="2283" spans="2:17" x14ac:dyDescent="0.2">
      <c r="B2283" s="5" t="s">
        <v>9550</v>
      </c>
      <c r="C2283" s="6" t="s">
        <v>13589</v>
      </c>
      <c r="D2283" s="4">
        <v>940</v>
      </c>
      <c r="E2283" s="5" t="s">
        <v>20</v>
      </c>
      <c r="F2283" s="5" t="s">
        <v>10049</v>
      </c>
      <c r="G2283" s="6" t="s">
        <v>18</v>
      </c>
      <c r="H2283" s="4"/>
      <c r="I2283" s="5" t="s">
        <v>22</v>
      </c>
      <c r="J2283" s="5" t="s">
        <v>61</v>
      </c>
      <c r="K2283" s="5" t="s">
        <v>10050</v>
      </c>
      <c r="L2283" s="5"/>
      <c r="M2283" s="5" t="s">
        <v>1658</v>
      </c>
      <c r="N2283" s="5" t="s">
        <v>1651</v>
      </c>
      <c r="O2283" s="5" t="s">
        <v>9557</v>
      </c>
      <c r="P2283" s="5"/>
      <c r="Q2283" s="5" t="s">
        <v>10051</v>
      </c>
    </row>
    <row r="2284" spans="2:17" x14ac:dyDescent="0.2">
      <c r="B2284" s="5" t="s">
        <v>10194</v>
      </c>
      <c r="C2284" s="6" t="s">
        <v>13589</v>
      </c>
      <c r="D2284" s="4">
        <v>1082</v>
      </c>
      <c r="E2284" s="5" t="s">
        <v>20</v>
      </c>
      <c r="F2284" s="5" t="s">
        <v>3801</v>
      </c>
      <c r="G2284" s="6" t="s">
        <v>18</v>
      </c>
      <c r="H2284" s="4"/>
      <c r="I2284" s="5" t="s">
        <v>38</v>
      </c>
      <c r="J2284" s="5" t="s">
        <v>10562</v>
      </c>
      <c r="K2284" s="5" t="s">
        <v>4985</v>
      </c>
      <c r="L2284" s="5" t="s">
        <v>10563</v>
      </c>
      <c r="M2284" s="5" t="s">
        <v>866</v>
      </c>
      <c r="N2284" s="5" t="s">
        <v>400</v>
      </c>
      <c r="O2284" s="5" t="s">
        <v>10197</v>
      </c>
      <c r="P2284" s="5"/>
      <c r="Q2284" s="5" t="s">
        <v>10564</v>
      </c>
    </row>
    <row r="2285" spans="2:17" x14ac:dyDescent="0.2">
      <c r="B2285" s="5" t="s">
        <v>10194</v>
      </c>
      <c r="C2285" s="6" t="s">
        <v>13589</v>
      </c>
      <c r="D2285" s="4">
        <v>1083</v>
      </c>
      <c r="E2285" s="5" t="s">
        <v>20</v>
      </c>
      <c r="F2285" s="5" t="s">
        <v>3801</v>
      </c>
      <c r="G2285" s="6" t="s">
        <v>18</v>
      </c>
      <c r="H2285" s="4"/>
      <c r="I2285" s="5" t="s">
        <v>22</v>
      </c>
      <c r="J2285" s="5" t="s">
        <v>10565</v>
      </c>
      <c r="K2285" s="5" t="s">
        <v>4985</v>
      </c>
      <c r="L2285" s="5" t="s">
        <v>10566</v>
      </c>
      <c r="M2285" s="5" t="s">
        <v>866</v>
      </c>
      <c r="N2285" s="5" t="s">
        <v>400</v>
      </c>
      <c r="O2285" s="5" t="s">
        <v>10197</v>
      </c>
      <c r="P2285" s="5"/>
      <c r="Q2285" s="5" t="s">
        <v>10567</v>
      </c>
    </row>
    <row r="2286" spans="2:17" x14ac:dyDescent="0.2">
      <c r="B2286" s="5" t="s">
        <v>10194</v>
      </c>
      <c r="C2286" s="6" t="s">
        <v>13589</v>
      </c>
      <c r="D2286" s="4">
        <v>1084</v>
      </c>
      <c r="E2286" s="5" t="s">
        <v>20</v>
      </c>
      <c r="F2286" s="5" t="s">
        <v>10568</v>
      </c>
      <c r="G2286" s="6" t="s">
        <v>18</v>
      </c>
      <c r="H2286" s="4"/>
      <c r="I2286" s="5" t="s">
        <v>38</v>
      </c>
      <c r="J2286" s="5" t="s">
        <v>10569</v>
      </c>
      <c r="K2286" s="5" t="s">
        <v>10570</v>
      </c>
      <c r="L2286" s="5" t="s">
        <v>10571</v>
      </c>
      <c r="M2286" s="5" t="s">
        <v>6076</v>
      </c>
      <c r="N2286" s="5" t="s">
        <v>2134</v>
      </c>
      <c r="O2286" s="5" t="s">
        <v>10210</v>
      </c>
      <c r="P2286" s="5"/>
      <c r="Q2286" s="5" t="s">
        <v>10577</v>
      </c>
    </row>
    <row r="2287" spans="2:17" x14ac:dyDescent="0.2">
      <c r="B2287" s="5" t="s">
        <v>10194</v>
      </c>
      <c r="C2287" s="6" t="s">
        <v>13589</v>
      </c>
      <c r="D2287" s="4">
        <v>1085</v>
      </c>
      <c r="E2287" s="5" t="s">
        <v>20</v>
      </c>
      <c r="F2287" s="5" t="s">
        <v>10568</v>
      </c>
      <c r="G2287" s="6" t="s">
        <v>18</v>
      </c>
      <c r="H2287" s="4"/>
      <c r="I2287" s="5" t="s">
        <v>38</v>
      </c>
      <c r="J2287" s="5" t="s">
        <v>10573</v>
      </c>
      <c r="K2287" s="5" t="s">
        <v>10240</v>
      </c>
      <c r="L2287" s="5" t="s">
        <v>10241</v>
      </c>
      <c r="M2287" s="5" t="s">
        <v>6076</v>
      </c>
      <c r="N2287" s="5" t="s">
        <v>2134</v>
      </c>
      <c r="O2287" s="5" t="s">
        <v>10210</v>
      </c>
      <c r="P2287" s="5"/>
      <c r="Q2287" s="5" t="s">
        <v>10578</v>
      </c>
    </row>
    <row r="2288" spans="2:17" x14ac:dyDescent="0.2">
      <c r="B2288" s="5" t="s">
        <v>10194</v>
      </c>
      <c r="C2288" s="6" t="s">
        <v>13589</v>
      </c>
      <c r="D2288" s="4">
        <v>1087</v>
      </c>
      <c r="E2288" s="5" t="s">
        <v>20</v>
      </c>
      <c r="F2288" s="5" t="s">
        <v>10568</v>
      </c>
      <c r="G2288" s="6" t="s">
        <v>18</v>
      </c>
      <c r="H2288" s="4"/>
      <c r="I2288" s="5" t="s">
        <v>38</v>
      </c>
      <c r="J2288" s="5" t="s">
        <v>10569</v>
      </c>
      <c r="K2288" s="5" t="s">
        <v>10570</v>
      </c>
      <c r="L2288" s="5" t="s">
        <v>10571</v>
      </c>
      <c r="M2288" s="5" t="s">
        <v>6076</v>
      </c>
      <c r="N2288" s="5" t="s">
        <v>2134</v>
      </c>
      <c r="O2288" s="5" t="s">
        <v>10210</v>
      </c>
      <c r="P2288" s="5"/>
      <c r="Q2288" s="5" t="s">
        <v>10572</v>
      </c>
    </row>
    <row r="2289" spans="2:17" x14ac:dyDescent="0.2">
      <c r="B2289" s="5" t="s">
        <v>10194</v>
      </c>
      <c r="C2289" s="6" t="s">
        <v>13589</v>
      </c>
      <c r="D2289" s="4">
        <v>1088</v>
      </c>
      <c r="E2289" s="5" t="s">
        <v>20</v>
      </c>
      <c r="F2289" s="5" t="s">
        <v>10568</v>
      </c>
      <c r="G2289" s="6" t="s">
        <v>18</v>
      </c>
      <c r="H2289" s="4"/>
      <c r="I2289" s="5" t="s">
        <v>38</v>
      </c>
      <c r="J2289" s="5" t="s">
        <v>10573</v>
      </c>
      <c r="K2289" s="5" t="s">
        <v>10240</v>
      </c>
      <c r="L2289" s="5" t="s">
        <v>10241</v>
      </c>
      <c r="M2289" s="5" t="s">
        <v>6076</v>
      </c>
      <c r="N2289" s="5" t="s">
        <v>2134</v>
      </c>
      <c r="O2289" s="5" t="s">
        <v>10210</v>
      </c>
      <c r="P2289" s="5"/>
      <c r="Q2289" s="5" t="s">
        <v>10574</v>
      </c>
    </row>
    <row r="2290" spans="2:17" x14ac:dyDescent="0.2">
      <c r="B2290" s="5" t="s">
        <v>10194</v>
      </c>
      <c r="C2290" s="6" t="s">
        <v>13589</v>
      </c>
      <c r="D2290" s="4">
        <v>1089</v>
      </c>
      <c r="E2290" s="5" t="s">
        <v>20</v>
      </c>
      <c r="F2290" s="5" t="s">
        <v>10568</v>
      </c>
      <c r="G2290" s="6" t="s">
        <v>18</v>
      </c>
      <c r="H2290" s="4"/>
      <c r="I2290" s="5" t="s">
        <v>22</v>
      </c>
      <c r="J2290" s="5" t="s">
        <v>10575</v>
      </c>
      <c r="K2290" s="5" t="s">
        <v>10232</v>
      </c>
      <c r="L2290" s="5"/>
      <c r="M2290" s="5" t="s">
        <v>6076</v>
      </c>
      <c r="N2290" s="5" t="s">
        <v>2134</v>
      </c>
      <c r="O2290" s="5" t="s">
        <v>10210</v>
      </c>
      <c r="P2290" s="5"/>
      <c r="Q2290" s="5" t="s">
        <v>10576</v>
      </c>
    </row>
    <row r="2291" spans="2:17" x14ac:dyDescent="0.2">
      <c r="B2291" s="5" t="s">
        <v>10685</v>
      </c>
      <c r="C2291" s="6" t="s">
        <v>13589</v>
      </c>
      <c r="D2291" s="4">
        <v>1131</v>
      </c>
      <c r="E2291" s="5" t="s">
        <v>20</v>
      </c>
      <c r="F2291" s="5" t="s">
        <v>11019</v>
      </c>
      <c r="G2291" s="6" t="s">
        <v>18</v>
      </c>
      <c r="H2291" s="4"/>
      <c r="I2291" s="5" t="s">
        <v>22</v>
      </c>
      <c r="J2291" s="5" t="s">
        <v>11020</v>
      </c>
      <c r="K2291" s="5" t="s">
        <v>10705</v>
      </c>
      <c r="L2291" s="5"/>
      <c r="M2291" s="5" t="s">
        <v>443</v>
      </c>
      <c r="N2291" s="5" t="s">
        <v>163</v>
      </c>
      <c r="O2291" s="5" t="s">
        <v>10695</v>
      </c>
      <c r="P2291" s="5"/>
      <c r="Q2291" s="5" t="s">
        <v>11021</v>
      </c>
    </row>
    <row r="2292" spans="2:17" x14ac:dyDescent="0.2">
      <c r="B2292" s="5" t="s">
        <v>10685</v>
      </c>
      <c r="C2292" s="6" t="s">
        <v>13589</v>
      </c>
      <c r="D2292" s="4">
        <v>1132</v>
      </c>
      <c r="E2292" s="5" t="s">
        <v>20</v>
      </c>
      <c r="F2292" s="5" t="s">
        <v>71</v>
      </c>
      <c r="G2292" s="6" t="s">
        <v>18</v>
      </c>
      <c r="H2292" s="4"/>
      <c r="I2292" s="5" t="s">
        <v>38</v>
      </c>
      <c r="J2292" s="5" t="s">
        <v>10707</v>
      </c>
      <c r="K2292" s="5" t="s">
        <v>11022</v>
      </c>
      <c r="L2292" s="5"/>
      <c r="M2292" s="5" t="s">
        <v>170</v>
      </c>
      <c r="N2292" s="5" t="s">
        <v>157</v>
      </c>
      <c r="O2292" s="5" t="s">
        <v>10697</v>
      </c>
      <c r="P2292" s="5"/>
      <c r="Q2292" s="5" t="s">
        <v>11023</v>
      </c>
    </row>
    <row r="2293" spans="2:17" x14ac:dyDescent="0.2">
      <c r="B2293" s="5" t="s">
        <v>10685</v>
      </c>
      <c r="C2293" s="6" t="s">
        <v>13589</v>
      </c>
      <c r="D2293" s="4">
        <v>1138</v>
      </c>
      <c r="E2293" s="5" t="s">
        <v>15</v>
      </c>
      <c r="F2293" s="5" t="s">
        <v>11007</v>
      </c>
      <c r="G2293" s="6" t="s">
        <v>18</v>
      </c>
      <c r="H2293" s="4"/>
      <c r="I2293" s="5"/>
      <c r="J2293" s="5" t="s">
        <v>11007</v>
      </c>
      <c r="K2293" s="5" t="s">
        <v>11008</v>
      </c>
      <c r="L2293" s="5"/>
      <c r="M2293" s="5" t="s">
        <v>3662</v>
      </c>
      <c r="N2293" s="5" t="s">
        <v>3168</v>
      </c>
      <c r="O2293" s="5" t="s">
        <v>10695</v>
      </c>
      <c r="P2293" s="5"/>
      <c r="Q2293" s="5" t="s">
        <v>11009</v>
      </c>
    </row>
    <row r="2294" spans="2:17" x14ac:dyDescent="0.2">
      <c r="B2294" s="5" t="s">
        <v>10685</v>
      </c>
      <c r="C2294" s="6" t="s">
        <v>13589</v>
      </c>
      <c r="D2294" s="4">
        <v>1144</v>
      </c>
      <c r="E2294" s="5" t="s">
        <v>20</v>
      </c>
      <c r="F2294" s="5" t="s">
        <v>4984</v>
      </c>
      <c r="G2294" s="6" t="s">
        <v>18</v>
      </c>
      <c r="H2294" s="4"/>
      <c r="I2294" s="5" t="s">
        <v>22</v>
      </c>
      <c r="J2294" s="5" t="s">
        <v>10960</v>
      </c>
      <c r="K2294" s="5" t="s">
        <v>10961</v>
      </c>
      <c r="L2294" s="5"/>
      <c r="M2294" s="5" t="s">
        <v>10958</v>
      </c>
      <c r="N2294" s="5" t="s">
        <v>2384</v>
      </c>
      <c r="O2294" s="5" t="s">
        <v>10921</v>
      </c>
      <c r="P2294" s="5"/>
      <c r="Q2294" s="5" t="s">
        <v>10962</v>
      </c>
    </row>
    <row r="2295" spans="2:17" x14ac:dyDescent="0.2">
      <c r="B2295" s="5" t="s">
        <v>10685</v>
      </c>
      <c r="C2295" s="6" t="s">
        <v>13589</v>
      </c>
      <c r="D2295" s="4">
        <v>1215</v>
      </c>
      <c r="E2295" s="5" t="s">
        <v>20</v>
      </c>
      <c r="F2295" s="5" t="s">
        <v>11057</v>
      </c>
      <c r="G2295" s="6" t="s">
        <v>18</v>
      </c>
      <c r="H2295" s="4"/>
      <c r="I2295" s="5" t="s">
        <v>38</v>
      </c>
      <c r="J2295" s="5" t="s">
        <v>11058</v>
      </c>
      <c r="K2295" s="5" t="s">
        <v>11059</v>
      </c>
      <c r="L2295" s="5"/>
      <c r="M2295" s="5" t="s">
        <v>1086</v>
      </c>
      <c r="N2295" s="5" t="s">
        <v>1074</v>
      </c>
      <c r="O2295" s="5" t="s">
        <v>10695</v>
      </c>
      <c r="P2295" s="5"/>
      <c r="Q2295" s="5" t="s">
        <v>11060</v>
      </c>
    </row>
    <row r="2296" spans="2:17" x14ac:dyDescent="0.2">
      <c r="B2296" s="5" t="s">
        <v>10685</v>
      </c>
      <c r="C2296" s="6" t="s">
        <v>13589</v>
      </c>
      <c r="D2296" s="4">
        <v>1223</v>
      </c>
      <c r="E2296" s="5" t="s">
        <v>20</v>
      </c>
      <c r="F2296" s="5" t="s">
        <v>11049</v>
      </c>
      <c r="G2296" s="6" t="s">
        <v>18</v>
      </c>
      <c r="H2296" s="4"/>
      <c r="I2296" s="5" t="s">
        <v>38</v>
      </c>
      <c r="J2296" s="5" t="s">
        <v>11050</v>
      </c>
      <c r="K2296" s="5" t="s">
        <v>11051</v>
      </c>
      <c r="L2296" s="5" t="s">
        <v>11052</v>
      </c>
      <c r="M2296" s="5" t="s">
        <v>1074</v>
      </c>
      <c r="N2296" s="5" t="s">
        <v>2236</v>
      </c>
      <c r="O2296" s="5" t="s">
        <v>10695</v>
      </c>
      <c r="P2296" s="5"/>
      <c r="Q2296" s="5" t="s">
        <v>11053</v>
      </c>
    </row>
    <row r="2297" spans="2:17" x14ac:dyDescent="0.2">
      <c r="B2297" s="5" t="s">
        <v>11086</v>
      </c>
      <c r="C2297" s="6" t="s">
        <v>13589</v>
      </c>
      <c r="D2297" s="4">
        <v>1259</v>
      </c>
      <c r="E2297" s="5" t="s">
        <v>82</v>
      </c>
      <c r="F2297" s="5" t="s">
        <v>11374</v>
      </c>
      <c r="G2297" s="6" t="s">
        <v>18</v>
      </c>
      <c r="H2297" s="4"/>
      <c r="I2297" s="5" t="s">
        <v>22</v>
      </c>
      <c r="J2297" s="5" t="s">
        <v>11375</v>
      </c>
      <c r="K2297" s="5" t="s">
        <v>11129</v>
      </c>
      <c r="L2297" s="5"/>
      <c r="M2297" s="5" t="s">
        <v>540</v>
      </c>
      <c r="N2297" s="5" t="s">
        <v>1416</v>
      </c>
      <c r="O2297" s="5" t="s">
        <v>11089</v>
      </c>
      <c r="P2297" s="5"/>
      <c r="Q2297" s="5" t="s">
        <v>11376</v>
      </c>
    </row>
    <row r="2298" spans="2:17" x14ac:dyDescent="0.2">
      <c r="B2298" s="5" t="s">
        <v>11377</v>
      </c>
      <c r="C2298" s="6" t="s">
        <v>13589</v>
      </c>
      <c r="D2298" s="4">
        <v>1324</v>
      </c>
      <c r="E2298" s="5" t="s">
        <v>20</v>
      </c>
      <c r="F2298" s="5" t="s">
        <v>11755</v>
      </c>
      <c r="G2298" s="6" t="s">
        <v>18</v>
      </c>
      <c r="H2298" s="4"/>
      <c r="I2298" s="5" t="s">
        <v>22</v>
      </c>
      <c r="J2298" s="5" t="s">
        <v>11756</v>
      </c>
      <c r="K2298" s="5" t="s">
        <v>3828</v>
      </c>
      <c r="L2298" s="5" t="s">
        <v>11757</v>
      </c>
      <c r="M2298" s="5" t="s">
        <v>4622</v>
      </c>
      <c r="N2298" s="5" t="s">
        <v>4622</v>
      </c>
      <c r="O2298" s="5" t="s">
        <v>11387</v>
      </c>
      <c r="P2298" s="5"/>
      <c r="Q2298" s="5" t="s">
        <v>11758</v>
      </c>
    </row>
    <row r="2299" spans="2:17" x14ac:dyDescent="0.2">
      <c r="B2299" s="5" t="s">
        <v>11377</v>
      </c>
      <c r="C2299" s="6" t="s">
        <v>13589</v>
      </c>
      <c r="D2299" s="4">
        <v>1331</v>
      </c>
      <c r="E2299" s="5" t="s">
        <v>82</v>
      </c>
      <c r="F2299" s="5" t="s">
        <v>11734</v>
      </c>
      <c r="G2299" s="6" t="s">
        <v>18</v>
      </c>
      <c r="H2299" s="4"/>
      <c r="I2299" s="5"/>
      <c r="J2299" s="5" t="s">
        <v>11735</v>
      </c>
      <c r="K2299" s="5" t="s">
        <v>11736</v>
      </c>
      <c r="L2299" s="5" t="s">
        <v>11737</v>
      </c>
      <c r="M2299" s="5" t="s">
        <v>1899</v>
      </c>
      <c r="N2299" s="5" t="s">
        <v>11738</v>
      </c>
      <c r="O2299" s="5" t="s">
        <v>11392</v>
      </c>
      <c r="P2299" s="5"/>
      <c r="Q2299" s="5" t="s">
        <v>11739</v>
      </c>
    </row>
    <row r="2300" spans="2:17" x14ac:dyDescent="0.2">
      <c r="B2300" s="5" t="s">
        <v>11377</v>
      </c>
      <c r="C2300" s="6" t="s">
        <v>13589</v>
      </c>
      <c r="D2300" s="4">
        <v>1337</v>
      </c>
      <c r="E2300" s="5" t="s">
        <v>15</v>
      </c>
      <c r="F2300" s="5" t="s">
        <v>11707</v>
      </c>
      <c r="G2300" s="6" t="s">
        <v>18</v>
      </c>
      <c r="H2300" s="4"/>
      <c r="I2300" s="5"/>
      <c r="J2300" s="5" t="s">
        <v>11708</v>
      </c>
      <c r="K2300" s="5" t="s">
        <v>11709</v>
      </c>
      <c r="L2300" s="5"/>
      <c r="M2300" s="5" t="s">
        <v>1043</v>
      </c>
      <c r="N2300" s="5" t="s">
        <v>1642</v>
      </c>
      <c r="O2300" s="5" t="s">
        <v>11387</v>
      </c>
      <c r="P2300" s="5"/>
      <c r="Q2300" s="5" t="s">
        <v>11710</v>
      </c>
    </row>
    <row r="2301" spans="2:17" x14ac:dyDescent="0.2">
      <c r="B2301" s="5" t="s">
        <v>11377</v>
      </c>
      <c r="C2301" s="6" t="s">
        <v>13589</v>
      </c>
      <c r="D2301" s="4">
        <v>1348</v>
      </c>
      <c r="E2301" s="5" t="s">
        <v>15</v>
      </c>
      <c r="F2301" s="5" t="s">
        <v>11668</v>
      </c>
      <c r="G2301" s="6" t="s">
        <v>18</v>
      </c>
      <c r="H2301" s="4"/>
      <c r="I2301" s="5"/>
      <c r="J2301" s="5" t="s">
        <v>11669</v>
      </c>
      <c r="K2301" s="5" t="s">
        <v>11670</v>
      </c>
      <c r="L2301" s="5"/>
      <c r="M2301" s="5" t="s">
        <v>2708</v>
      </c>
      <c r="N2301" s="5" t="s">
        <v>1596</v>
      </c>
      <c r="O2301" s="5" t="s">
        <v>11380</v>
      </c>
      <c r="P2301" s="5"/>
      <c r="Q2301" s="5" t="s">
        <v>10654</v>
      </c>
    </row>
    <row r="2302" spans="2:17" x14ac:dyDescent="0.2">
      <c r="B2302" s="5" t="s">
        <v>11377</v>
      </c>
      <c r="C2302" s="6" t="s">
        <v>13589</v>
      </c>
      <c r="D2302" s="4">
        <v>1349</v>
      </c>
      <c r="E2302" s="5" t="s">
        <v>20</v>
      </c>
      <c r="F2302" s="5" t="s">
        <v>11671</v>
      </c>
      <c r="G2302" s="6" t="s">
        <v>18</v>
      </c>
      <c r="H2302" s="4"/>
      <c r="I2302" s="5" t="s">
        <v>38</v>
      </c>
      <c r="J2302" s="5" t="s">
        <v>11672</v>
      </c>
      <c r="K2302" s="5" t="s">
        <v>11673</v>
      </c>
      <c r="L2302" s="5" t="s">
        <v>11674</v>
      </c>
      <c r="M2302" s="5" t="s">
        <v>938</v>
      </c>
      <c r="N2302" s="5" t="s">
        <v>461</v>
      </c>
      <c r="O2302" s="5" t="s">
        <v>11380</v>
      </c>
      <c r="P2302" s="5"/>
      <c r="Q2302" s="5" t="s">
        <v>11675</v>
      </c>
    </row>
    <row r="2303" spans="2:17" x14ac:dyDescent="0.2">
      <c r="B2303" s="5" t="s">
        <v>11377</v>
      </c>
      <c r="C2303" s="6" t="s">
        <v>13589</v>
      </c>
      <c r="D2303" s="4">
        <v>1351</v>
      </c>
      <c r="E2303" s="5" t="s">
        <v>20</v>
      </c>
      <c r="F2303" s="5" t="s">
        <v>11656</v>
      </c>
      <c r="G2303" s="6" t="s">
        <v>18</v>
      </c>
      <c r="H2303" s="4"/>
      <c r="I2303" s="5" t="s">
        <v>22</v>
      </c>
      <c r="J2303" s="5" t="s">
        <v>11657</v>
      </c>
      <c r="K2303" s="5" t="s">
        <v>11658</v>
      </c>
      <c r="L2303" s="5" t="s">
        <v>11659</v>
      </c>
      <c r="M2303" s="5" t="s">
        <v>170</v>
      </c>
      <c r="N2303" s="5" t="s">
        <v>153</v>
      </c>
      <c r="O2303" s="5" t="s">
        <v>11380</v>
      </c>
      <c r="P2303" s="5"/>
      <c r="Q2303" s="5" t="s">
        <v>11660</v>
      </c>
    </row>
    <row r="2304" spans="2:17" x14ac:dyDescent="0.2">
      <c r="B2304" s="5" t="s">
        <v>11377</v>
      </c>
      <c r="C2304" s="6" t="s">
        <v>13589</v>
      </c>
      <c r="D2304" s="4">
        <v>1354</v>
      </c>
      <c r="E2304" s="5" t="s">
        <v>20</v>
      </c>
      <c r="F2304" s="5" t="s">
        <v>11646</v>
      </c>
      <c r="G2304" s="6" t="s">
        <v>18</v>
      </c>
      <c r="H2304" s="4"/>
      <c r="I2304" s="5" t="s">
        <v>22</v>
      </c>
      <c r="J2304" s="5" t="s">
        <v>11647</v>
      </c>
      <c r="K2304" s="5" t="s">
        <v>11628</v>
      </c>
      <c r="L2304" s="5" t="s">
        <v>11648</v>
      </c>
      <c r="M2304" s="5" t="s">
        <v>428</v>
      </c>
      <c r="N2304" s="5" t="s">
        <v>423</v>
      </c>
      <c r="O2304" s="5" t="s">
        <v>11383</v>
      </c>
      <c r="P2304" s="5"/>
      <c r="Q2304" s="5" t="s">
        <v>11649</v>
      </c>
    </row>
    <row r="2305" spans="2:17" x14ac:dyDescent="0.2">
      <c r="B2305" s="5" t="s">
        <v>11377</v>
      </c>
      <c r="C2305" s="6" t="s">
        <v>13589</v>
      </c>
      <c r="D2305" s="4">
        <v>1355</v>
      </c>
      <c r="E2305" s="5" t="s">
        <v>20</v>
      </c>
      <c r="F2305" s="5" t="s">
        <v>11646</v>
      </c>
      <c r="G2305" s="6" t="s">
        <v>18</v>
      </c>
      <c r="H2305" s="4"/>
      <c r="I2305" s="5" t="s">
        <v>22</v>
      </c>
      <c r="J2305" s="5" t="s">
        <v>11650</v>
      </c>
      <c r="K2305" s="5" t="s">
        <v>11628</v>
      </c>
      <c r="L2305" s="5" t="s">
        <v>11651</v>
      </c>
      <c r="M2305" s="5" t="s">
        <v>428</v>
      </c>
      <c r="N2305" s="5" t="s">
        <v>423</v>
      </c>
      <c r="O2305" s="5" t="s">
        <v>11383</v>
      </c>
      <c r="P2305" s="5"/>
      <c r="Q2305" s="5" t="s">
        <v>11652</v>
      </c>
    </row>
    <row r="2306" spans="2:17" x14ac:dyDescent="0.2">
      <c r="B2306" s="5" t="s">
        <v>11377</v>
      </c>
      <c r="C2306" s="6" t="s">
        <v>13589</v>
      </c>
      <c r="D2306" s="4">
        <v>1365</v>
      </c>
      <c r="E2306" s="5" t="s">
        <v>20</v>
      </c>
      <c r="F2306" s="5" t="s">
        <v>11567</v>
      </c>
      <c r="G2306" s="6" t="s">
        <v>18</v>
      </c>
      <c r="H2306" s="4"/>
      <c r="I2306" s="5" t="s">
        <v>22</v>
      </c>
      <c r="J2306" s="5" t="s">
        <v>11568</v>
      </c>
      <c r="K2306" s="5" t="s">
        <v>11569</v>
      </c>
      <c r="L2306" s="5"/>
      <c r="M2306" s="5" t="s">
        <v>1436</v>
      </c>
      <c r="N2306" s="5" t="s">
        <v>2376</v>
      </c>
      <c r="O2306" s="5" t="s">
        <v>11384</v>
      </c>
      <c r="P2306" s="5"/>
      <c r="Q2306" s="5" t="s">
        <v>11570</v>
      </c>
    </row>
    <row r="2307" spans="2:17" x14ac:dyDescent="0.2">
      <c r="B2307" s="5" t="s">
        <v>11377</v>
      </c>
      <c r="C2307" s="6" t="s">
        <v>13589</v>
      </c>
      <c r="D2307" s="4">
        <v>1369</v>
      </c>
      <c r="E2307" s="5" t="s">
        <v>35</v>
      </c>
      <c r="F2307" s="5" t="s">
        <v>11551</v>
      </c>
      <c r="G2307" s="6" t="s">
        <v>18</v>
      </c>
      <c r="H2307" s="4"/>
      <c r="I2307" s="5"/>
      <c r="J2307" s="5" t="s">
        <v>11552</v>
      </c>
      <c r="K2307" s="5" t="s">
        <v>11553</v>
      </c>
      <c r="L2307" s="5" t="s">
        <v>11554</v>
      </c>
      <c r="M2307" s="5" t="s">
        <v>1962</v>
      </c>
      <c r="N2307" s="5" t="s">
        <v>1415</v>
      </c>
      <c r="O2307" s="5" t="s">
        <v>11384</v>
      </c>
      <c r="P2307" s="5"/>
      <c r="Q2307" s="5" t="s">
        <v>11555</v>
      </c>
    </row>
    <row r="2308" spans="2:17" x14ac:dyDescent="0.2">
      <c r="B2308" s="5" t="s">
        <v>11377</v>
      </c>
      <c r="C2308" s="6" t="s">
        <v>13589</v>
      </c>
      <c r="D2308" s="4">
        <v>1374</v>
      </c>
      <c r="E2308" s="5" t="s">
        <v>20</v>
      </c>
      <c r="F2308" s="5" t="s">
        <v>11535</v>
      </c>
      <c r="G2308" s="6" t="s">
        <v>18</v>
      </c>
      <c r="H2308" s="4"/>
      <c r="I2308" s="5" t="s">
        <v>22</v>
      </c>
      <c r="J2308" s="5" t="s">
        <v>11536</v>
      </c>
      <c r="K2308" s="5" t="s">
        <v>11382</v>
      </c>
      <c r="L2308" s="5" t="s">
        <v>11537</v>
      </c>
      <c r="M2308" s="5" t="s">
        <v>312</v>
      </c>
      <c r="N2308" s="5" t="s">
        <v>302</v>
      </c>
      <c r="O2308" s="5" t="s">
        <v>11383</v>
      </c>
      <c r="P2308" s="5"/>
      <c r="Q2308" s="5" t="s">
        <v>11538</v>
      </c>
    </row>
    <row r="2309" spans="2:17" x14ac:dyDescent="0.2">
      <c r="B2309" s="5" t="s">
        <v>11377</v>
      </c>
      <c r="C2309" s="6" t="s">
        <v>13589</v>
      </c>
      <c r="D2309" s="4">
        <v>1375</v>
      </c>
      <c r="E2309" s="5" t="s">
        <v>20</v>
      </c>
      <c r="F2309" s="5" t="s">
        <v>11535</v>
      </c>
      <c r="G2309" s="6" t="s">
        <v>18</v>
      </c>
      <c r="H2309" s="4"/>
      <c r="I2309" s="5" t="s">
        <v>22</v>
      </c>
      <c r="J2309" s="5" t="s">
        <v>11539</v>
      </c>
      <c r="K2309" s="5" t="s">
        <v>11540</v>
      </c>
      <c r="L2309" s="5"/>
      <c r="M2309" s="5" t="s">
        <v>312</v>
      </c>
      <c r="N2309" s="5" t="s">
        <v>302</v>
      </c>
      <c r="O2309" s="5" t="s">
        <v>11383</v>
      </c>
      <c r="P2309" s="5"/>
      <c r="Q2309" s="5" t="s">
        <v>11541</v>
      </c>
    </row>
    <row r="2310" spans="2:17" x14ac:dyDescent="0.2">
      <c r="B2310" s="5" t="s">
        <v>11377</v>
      </c>
      <c r="C2310" s="6" t="s">
        <v>13589</v>
      </c>
      <c r="D2310" s="4">
        <v>1383</v>
      </c>
      <c r="E2310" s="5" t="s">
        <v>20</v>
      </c>
      <c r="F2310" s="5" t="s">
        <v>11480</v>
      </c>
      <c r="G2310" s="6" t="s">
        <v>18</v>
      </c>
      <c r="H2310" s="4"/>
      <c r="I2310" s="5" t="s">
        <v>22</v>
      </c>
      <c r="J2310" s="5" t="s">
        <v>11481</v>
      </c>
      <c r="K2310" s="5" t="s">
        <v>11482</v>
      </c>
      <c r="L2310" s="5" t="s">
        <v>11483</v>
      </c>
      <c r="M2310" s="5" t="s">
        <v>2891</v>
      </c>
      <c r="N2310" s="5" t="s">
        <v>2891</v>
      </c>
      <c r="O2310" s="5" t="s">
        <v>11381</v>
      </c>
      <c r="P2310" s="5"/>
      <c r="Q2310" s="5" t="s">
        <v>11484</v>
      </c>
    </row>
    <row r="2311" spans="2:17" x14ac:dyDescent="0.2">
      <c r="B2311" s="5" t="s">
        <v>11377</v>
      </c>
      <c r="C2311" s="6" t="s">
        <v>13589</v>
      </c>
      <c r="D2311" s="4">
        <v>1388</v>
      </c>
      <c r="E2311" s="5" t="s">
        <v>20</v>
      </c>
      <c r="F2311" s="5" t="s">
        <v>11485</v>
      </c>
      <c r="G2311" s="6" t="s">
        <v>18</v>
      </c>
      <c r="H2311" s="4"/>
      <c r="I2311" s="5" t="s">
        <v>22</v>
      </c>
      <c r="J2311" s="5" t="s">
        <v>11486</v>
      </c>
      <c r="K2311" s="5" t="s">
        <v>11399</v>
      </c>
      <c r="L2311" s="5" t="s">
        <v>11487</v>
      </c>
      <c r="M2311" s="5" t="s">
        <v>2891</v>
      </c>
      <c r="N2311" s="5" t="s">
        <v>1263</v>
      </c>
      <c r="O2311" s="5" t="s">
        <v>11380</v>
      </c>
      <c r="P2311" s="5"/>
      <c r="Q2311" s="5" t="s">
        <v>11488</v>
      </c>
    </row>
    <row r="2312" spans="2:17" x14ac:dyDescent="0.2">
      <c r="B2312" s="5" t="s">
        <v>11377</v>
      </c>
      <c r="C2312" s="6" t="s">
        <v>13589</v>
      </c>
      <c r="D2312" s="4">
        <v>1421</v>
      </c>
      <c r="E2312" s="5" t="s">
        <v>15</v>
      </c>
      <c r="F2312" s="5" t="s">
        <v>11594</v>
      </c>
      <c r="G2312" s="6" t="s">
        <v>18</v>
      </c>
      <c r="H2312" s="4"/>
      <c r="I2312" s="5"/>
      <c r="J2312" s="5" t="s">
        <v>11595</v>
      </c>
      <c r="K2312" s="5" t="s">
        <v>11382</v>
      </c>
      <c r="L2312" s="5"/>
      <c r="M2312" s="5" t="s">
        <v>127</v>
      </c>
      <c r="N2312" s="5" t="s">
        <v>4498</v>
      </c>
      <c r="O2312" s="5" t="s">
        <v>11383</v>
      </c>
      <c r="P2312" s="5"/>
      <c r="Q2312" s="5" t="s">
        <v>11596</v>
      </c>
    </row>
    <row r="2313" spans="2:17" x14ac:dyDescent="0.2">
      <c r="B2313" s="5" t="s">
        <v>11775</v>
      </c>
      <c r="C2313" s="6" t="s">
        <v>13589</v>
      </c>
      <c r="D2313" s="4">
        <v>1458</v>
      </c>
      <c r="E2313" s="5" t="s">
        <v>20</v>
      </c>
      <c r="F2313" s="5" t="s">
        <v>11794</v>
      </c>
      <c r="G2313" s="6" t="s">
        <v>18</v>
      </c>
      <c r="H2313" s="4"/>
      <c r="I2313" s="5" t="s">
        <v>22</v>
      </c>
      <c r="J2313" s="5" t="s">
        <v>11795</v>
      </c>
      <c r="K2313" s="5" t="s">
        <v>11796</v>
      </c>
      <c r="L2313" s="5"/>
      <c r="M2313" s="5" t="s">
        <v>1183</v>
      </c>
      <c r="N2313" s="5" t="s">
        <v>1634</v>
      </c>
      <c r="O2313" s="5" t="s">
        <v>11782</v>
      </c>
      <c r="P2313" s="5"/>
      <c r="Q2313" s="5" t="s">
        <v>11797</v>
      </c>
    </row>
    <row r="2314" spans="2:17" x14ac:dyDescent="0.2">
      <c r="B2314" s="5" t="s">
        <v>11775</v>
      </c>
      <c r="C2314" s="6" t="s">
        <v>13589</v>
      </c>
      <c r="D2314" s="4">
        <v>1571</v>
      </c>
      <c r="E2314" s="5" t="s">
        <v>24</v>
      </c>
      <c r="F2314" s="5" t="s">
        <v>11820</v>
      </c>
      <c r="G2314" s="6" t="s">
        <v>18</v>
      </c>
      <c r="H2314" s="4"/>
      <c r="I2314" s="5"/>
      <c r="J2314" s="5" t="s">
        <v>11788</v>
      </c>
      <c r="K2314" s="5" t="s">
        <v>11789</v>
      </c>
      <c r="L2314" s="5" t="s">
        <v>11821</v>
      </c>
      <c r="M2314" s="5" t="s">
        <v>1207</v>
      </c>
      <c r="N2314" s="5" t="s">
        <v>1208</v>
      </c>
      <c r="O2314" s="5" t="s">
        <v>11783</v>
      </c>
      <c r="P2314" s="5"/>
      <c r="Q2314" s="5" t="s">
        <v>11822</v>
      </c>
    </row>
    <row r="2315" spans="2:17" x14ac:dyDescent="0.2">
      <c r="B2315" s="5" t="s">
        <v>11775</v>
      </c>
      <c r="C2315" s="6" t="s">
        <v>13589</v>
      </c>
      <c r="D2315" s="4">
        <v>1572</v>
      </c>
      <c r="E2315" s="5" t="s">
        <v>24</v>
      </c>
      <c r="F2315" s="5" t="s">
        <v>11820</v>
      </c>
      <c r="G2315" s="6" t="s">
        <v>18</v>
      </c>
      <c r="H2315" s="4"/>
      <c r="I2315" s="5"/>
      <c r="J2315" s="5" t="s">
        <v>11823</v>
      </c>
      <c r="K2315" s="5" t="s">
        <v>11807</v>
      </c>
      <c r="L2315" s="5" t="s">
        <v>11824</v>
      </c>
      <c r="M2315" s="5" t="s">
        <v>1207</v>
      </c>
      <c r="N2315" s="5" t="s">
        <v>1208</v>
      </c>
      <c r="O2315" s="5" t="s">
        <v>11783</v>
      </c>
      <c r="P2315" s="5"/>
      <c r="Q2315" s="5" t="s">
        <v>11825</v>
      </c>
    </row>
    <row r="2316" spans="2:17" x14ac:dyDescent="0.2">
      <c r="B2316" s="5" t="s">
        <v>12409</v>
      </c>
      <c r="C2316" s="6" t="s">
        <v>13589</v>
      </c>
      <c r="D2316" s="4">
        <v>1616</v>
      </c>
      <c r="E2316" s="5" t="s">
        <v>20</v>
      </c>
      <c r="F2316" s="5" t="s">
        <v>13061</v>
      </c>
      <c r="G2316" s="6" t="s">
        <v>18</v>
      </c>
      <c r="H2316" s="4"/>
      <c r="I2316" s="5" t="s">
        <v>22</v>
      </c>
      <c r="J2316" s="5" t="s">
        <v>13062</v>
      </c>
      <c r="K2316" s="5" t="s">
        <v>78</v>
      </c>
      <c r="L2316" s="5"/>
      <c r="M2316" s="5" t="s">
        <v>3478</v>
      </c>
      <c r="N2316" s="5" t="s">
        <v>1672</v>
      </c>
      <c r="O2316" s="5" t="s">
        <v>12423</v>
      </c>
      <c r="P2316" s="5" t="s">
        <v>13063</v>
      </c>
      <c r="Q2316" s="5" t="s">
        <v>13064</v>
      </c>
    </row>
    <row r="2317" spans="2:17" x14ac:dyDescent="0.2">
      <c r="B2317" s="5" t="s">
        <v>12409</v>
      </c>
      <c r="C2317" s="6" t="s">
        <v>13589</v>
      </c>
      <c r="D2317" s="4">
        <v>1685</v>
      </c>
      <c r="E2317" s="5" t="s">
        <v>20</v>
      </c>
      <c r="F2317" s="5" t="s">
        <v>12743</v>
      </c>
      <c r="G2317" s="6" t="s">
        <v>18</v>
      </c>
      <c r="H2317" s="4"/>
      <c r="I2317" s="5" t="s">
        <v>22</v>
      </c>
      <c r="J2317" s="5" t="s">
        <v>12744</v>
      </c>
      <c r="K2317" s="5" t="s">
        <v>12745</v>
      </c>
      <c r="L2317" s="5" t="s">
        <v>12746</v>
      </c>
      <c r="M2317" s="5" t="s">
        <v>443</v>
      </c>
      <c r="N2317" s="5" t="s">
        <v>437</v>
      </c>
      <c r="O2317" s="5" t="s">
        <v>12414</v>
      </c>
      <c r="P2317" s="5"/>
      <c r="Q2317" s="5" t="s">
        <v>12747</v>
      </c>
    </row>
    <row r="2318" spans="2:17" x14ac:dyDescent="0.2">
      <c r="B2318" s="5" t="s">
        <v>12409</v>
      </c>
      <c r="C2318" s="6" t="s">
        <v>13589</v>
      </c>
      <c r="D2318" s="4">
        <v>1752</v>
      </c>
      <c r="E2318" s="5" t="s">
        <v>24</v>
      </c>
      <c r="F2318" s="5" t="s">
        <v>12740</v>
      </c>
      <c r="G2318" s="6" t="s">
        <v>18</v>
      </c>
      <c r="H2318" s="4"/>
      <c r="I2318" s="5"/>
      <c r="J2318" s="5" t="s">
        <v>12741</v>
      </c>
      <c r="K2318" s="5" t="s">
        <v>12422</v>
      </c>
      <c r="L2318" s="5"/>
      <c r="M2318" s="5" t="s">
        <v>1525</v>
      </c>
      <c r="N2318" s="5" t="s">
        <v>2147</v>
      </c>
      <c r="O2318" s="5" t="s">
        <v>12413</v>
      </c>
      <c r="P2318" s="5"/>
      <c r="Q2318" s="5" t="s">
        <v>12742</v>
      </c>
    </row>
    <row r="2319" spans="2:17" x14ac:dyDescent="0.2">
      <c r="B2319" s="5" t="s">
        <v>12409</v>
      </c>
      <c r="C2319" s="6" t="s">
        <v>13589</v>
      </c>
      <c r="D2319" s="4">
        <v>1778</v>
      </c>
      <c r="E2319" s="5" t="s">
        <v>20</v>
      </c>
      <c r="F2319" s="5" t="s">
        <v>13083</v>
      </c>
      <c r="G2319" s="6" t="s">
        <v>18</v>
      </c>
      <c r="H2319" s="4"/>
      <c r="I2319" s="5" t="s">
        <v>22</v>
      </c>
      <c r="J2319" s="5" t="s">
        <v>12998</v>
      </c>
      <c r="K2319" s="5" t="s">
        <v>12706</v>
      </c>
      <c r="L2319" s="5"/>
      <c r="M2319" s="5" t="s">
        <v>4315</v>
      </c>
      <c r="N2319" s="5" t="s">
        <v>1150</v>
      </c>
      <c r="O2319" s="5" t="s">
        <v>12413</v>
      </c>
      <c r="P2319" s="5"/>
      <c r="Q2319" s="5" t="s">
        <v>13084</v>
      </c>
    </row>
    <row r="2320" spans="2:17" x14ac:dyDescent="0.2">
      <c r="B2320" s="5" t="s">
        <v>12409</v>
      </c>
      <c r="C2320" s="6" t="s">
        <v>13589</v>
      </c>
      <c r="D2320" s="4">
        <v>1779</v>
      </c>
      <c r="E2320" s="5" t="s">
        <v>56</v>
      </c>
      <c r="F2320" s="5" t="s">
        <v>13077</v>
      </c>
      <c r="G2320" s="6" t="s">
        <v>18</v>
      </c>
      <c r="H2320" s="4"/>
      <c r="I2320" s="5"/>
      <c r="J2320" s="5" t="s">
        <v>13078</v>
      </c>
      <c r="K2320" s="5" t="s">
        <v>13079</v>
      </c>
      <c r="L2320" s="5" t="s">
        <v>13080</v>
      </c>
      <c r="M2320" s="5" t="s">
        <v>1122</v>
      </c>
      <c r="N2320" s="5" t="s">
        <v>1150</v>
      </c>
      <c r="O2320" s="5" t="s">
        <v>12527</v>
      </c>
      <c r="P2320" s="5" t="s">
        <v>13081</v>
      </c>
      <c r="Q2320" s="5" t="s">
        <v>13082</v>
      </c>
    </row>
    <row r="2321" spans="2:17" x14ac:dyDescent="0.2">
      <c r="B2321" s="5" t="s">
        <v>12409</v>
      </c>
      <c r="C2321" s="6" t="s">
        <v>13589</v>
      </c>
      <c r="D2321" s="4">
        <v>1792</v>
      </c>
      <c r="E2321" s="5" t="s">
        <v>20</v>
      </c>
      <c r="F2321" s="5" t="s">
        <v>13065</v>
      </c>
      <c r="G2321" s="6" t="s">
        <v>18</v>
      </c>
      <c r="H2321" s="4"/>
      <c r="I2321" s="5" t="s">
        <v>22</v>
      </c>
      <c r="J2321" s="5" t="s">
        <v>13066</v>
      </c>
      <c r="K2321" s="5" t="s">
        <v>12535</v>
      </c>
      <c r="L2321" s="5"/>
      <c r="M2321" s="5" t="s">
        <v>5663</v>
      </c>
      <c r="N2321" s="5" t="s">
        <v>250</v>
      </c>
      <c r="O2321" s="5" t="s">
        <v>12411</v>
      </c>
      <c r="P2321" s="5"/>
      <c r="Q2321" s="5" t="s">
        <v>13067</v>
      </c>
    </row>
    <row r="2322" spans="2:17" x14ac:dyDescent="0.2">
      <c r="B2322" s="5" t="s">
        <v>13091</v>
      </c>
      <c r="C2322" s="6" t="s">
        <v>13589</v>
      </c>
      <c r="D2322" s="4">
        <v>1810</v>
      </c>
      <c r="E2322" s="5" t="s">
        <v>20</v>
      </c>
      <c r="F2322" s="5" t="s">
        <v>13329</v>
      </c>
      <c r="G2322" s="6" t="s">
        <v>18</v>
      </c>
      <c r="H2322" s="4"/>
      <c r="I2322" s="5" t="s">
        <v>22</v>
      </c>
      <c r="J2322" s="5" t="s">
        <v>13330</v>
      </c>
      <c r="K2322" s="5" t="s">
        <v>13331</v>
      </c>
      <c r="L2322" s="5"/>
      <c r="M2322" s="5" t="s">
        <v>1118</v>
      </c>
      <c r="N2322" s="5" t="s">
        <v>185</v>
      </c>
      <c r="O2322" s="5" t="s">
        <v>13093</v>
      </c>
      <c r="P2322" s="5"/>
      <c r="Q2322" s="5" t="s">
        <v>13110</v>
      </c>
    </row>
    <row r="2323" spans="2:17" x14ac:dyDescent="0.2">
      <c r="B2323" s="5" t="s">
        <v>13091</v>
      </c>
      <c r="C2323" s="6" t="s">
        <v>13589</v>
      </c>
      <c r="D2323" s="4">
        <v>1820</v>
      </c>
      <c r="E2323" s="5" t="s">
        <v>20</v>
      </c>
      <c r="F2323" s="5" t="s">
        <v>13245</v>
      </c>
      <c r="G2323" s="6" t="s">
        <v>18</v>
      </c>
      <c r="H2323" s="4"/>
      <c r="I2323" s="5" t="s">
        <v>38</v>
      </c>
      <c r="J2323" s="5" t="s">
        <v>13246</v>
      </c>
      <c r="K2323" s="5" t="s">
        <v>13247</v>
      </c>
      <c r="L2323" s="5"/>
      <c r="M2323" s="5" t="s">
        <v>5076</v>
      </c>
      <c r="N2323" s="5" t="s">
        <v>422</v>
      </c>
      <c r="O2323" s="5" t="s">
        <v>13098</v>
      </c>
      <c r="P2323" s="5"/>
      <c r="Q2323" s="5" t="s">
        <v>13248</v>
      </c>
    </row>
    <row r="2324" spans="2:17" x14ac:dyDescent="0.2">
      <c r="B2324" s="5" t="s">
        <v>13091</v>
      </c>
      <c r="C2324" s="6" t="s">
        <v>13589</v>
      </c>
      <c r="D2324" s="4">
        <v>1821</v>
      </c>
      <c r="E2324" s="5" t="s">
        <v>20</v>
      </c>
      <c r="F2324" s="5" t="s">
        <v>13245</v>
      </c>
      <c r="G2324" s="6" t="s">
        <v>18</v>
      </c>
      <c r="H2324" s="4"/>
      <c r="I2324" s="5" t="s">
        <v>38</v>
      </c>
      <c r="J2324" s="5" t="s">
        <v>13249</v>
      </c>
      <c r="K2324" s="5" t="s">
        <v>13247</v>
      </c>
      <c r="L2324" s="5"/>
      <c r="M2324" s="5" t="s">
        <v>5076</v>
      </c>
      <c r="N2324" s="5" t="s">
        <v>422</v>
      </c>
      <c r="O2324" s="5" t="s">
        <v>13098</v>
      </c>
      <c r="P2324" s="5"/>
      <c r="Q2324" s="5" t="s">
        <v>13250</v>
      </c>
    </row>
    <row r="2325" spans="2:17" x14ac:dyDescent="0.2">
      <c r="B2325" s="5" t="s">
        <v>13091</v>
      </c>
      <c r="C2325" s="6" t="s">
        <v>13589</v>
      </c>
      <c r="D2325" s="4">
        <v>1827</v>
      </c>
      <c r="E2325" s="5" t="s">
        <v>56</v>
      </c>
      <c r="F2325" s="5" t="s">
        <v>13234</v>
      </c>
      <c r="G2325" s="6" t="s">
        <v>18</v>
      </c>
      <c r="H2325" s="4"/>
      <c r="I2325" s="5"/>
      <c r="J2325" s="5" t="s">
        <v>13235</v>
      </c>
      <c r="K2325" s="5" t="s">
        <v>13107</v>
      </c>
      <c r="L2325" s="5"/>
      <c r="M2325" s="5" t="s">
        <v>2151</v>
      </c>
      <c r="N2325" s="5" t="s">
        <v>804</v>
      </c>
      <c r="O2325" s="5" t="s">
        <v>13093</v>
      </c>
      <c r="P2325" s="5"/>
      <c r="Q2325" s="5" t="s">
        <v>13236</v>
      </c>
    </row>
    <row r="2326" spans="2:17" x14ac:dyDescent="0.2">
      <c r="B2326" s="5" t="s">
        <v>5681</v>
      </c>
      <c r="C2326" s="6" t="s">
        <v>13589</v>
      </c>
      <c r="D2326" s="4">
        <v>199</v>
      </c>
      <c r="E2326" s="5" t="s">
        <v>20</v>
      </c>
      <c r="F2326" s="5" t="s">
        <v>5898</v>
      </c>
      <c r="G2326" s="6" t="s">
        <v>1160</v>
      </c>
      <c r="H2326" s="4"/>
      <c r="I2326" s="5" t="s">
        <v>22</v>
      </c>
      <c r="J2326" s="5" t="s">
        <v>5899</v>
      </c>
      <c r="K2326" s="5" t="s">
        <v>5816</v>
      </c>
      <c r="L2326" s="5"/>
      <c r="M2326" s="5" t="s">
        <v>465</v>
      </c>
      <c r="N2326" s="5" t="s">
        <v>3893</v>
      </c>
      <c r="O2326" s="5" t="s">
        <v>5683</v>
      </c>
      <c r="P2326" s="5"/>
      <c r="Q2326" s="5" t="s">
        <v>5900</v>
      </c>
    </row>
    <row r="2327" spans="2:17" x14ac:dyDescent="0.2">
      <c r="B2327" s="5" t="s">
        <v>8683</v>
      </c>
      <c r="C2327" s="6" t="s">
        <v>13589</v>
      </c>
      <c r="D2327" s="4">
        <v>444</v>
      </c>
      <c r="E2327" s="5" t="s">
        <v>20</v>
      </c>
      <c r="F2327" s="5" t="s">
        <v>5898</v>
      </c>
      <c r="G2327" s="6" t="s">
        <v>1160</v>
      </c>
      <c r="H2327" s="4"/>
      <c r="I2327" s="5" t="s">
        <v>22</v>
      </c>
      <c r="J2327" s="5" t="s">
        <v>5899</v>
      </c>
      <c r="K2327" s="5" t="s">
        <v>5816</v>
      </c>
      <c r="L2327" s="5"/>
      <c r="M2327" s="5" t="s">
        <v>465</v>
      </c>
      <c r="N2327" s="5" t="s">
        <v>3893</v>
      </c>
      <c r="O2327" s="5" t="s">
        <v>5683</v>
      </c>
      <c r="P2327" s="5"/>
      <c r="Q2327" s="5" t="s">
        <v>8946</v>
      </c>
    </row>
    <row r="2328" spans="2:17" x14ac:dyDescent="0.2">
      <c r="B2328" s="5" t="s">
        <v>10194</v>
      </c>
      <c r="C2328" s="6" t="s">
        <v>13589</v>
      </c>
      <c r="D2328" s="4">
        <v>1117</v>
      </c>
      <c r="E2328" s="5" t="s">
        <v>20</v>
      </c>
      <c r="F2328" s="5" t="s">
        <v>10527</v>
      </c>
      <c r="G2328" s="6" t="s">
        <v>1160</v>
      </c>
      <c r="H2328" s="4"/>
      <c r="I2328" s="5" t="s">
        <v>22</v>
      </c>
      <c r="J2328" s="5" t="s">
        <v>10528</v>
      </c>
      <c r="K2328" s="5" t="s">
        <v>10205</v>
      </c>
      <c r="L2328" s="5" t="s">
        <v>10529</v>
      </c>
      <c r="M2328" s="5" t="s">
        <v>359</v>
      </c>
      <c r="N2328" s="5" t="s">
        <v>352</v>
      </c>
      <c r="O2328" s="5" t="s">
        <v>10204</v>
      </c>
      <c r="P2328" s="5"/>
      <c r="Q2328" s="5" t="s">
        <v>10530</v>
      </c>
    </row>
    <row r="2329" spans="2:17" x14ac:dyDescent="0.2">
      <c r="B2329" s="5" t="s">
        <v>5246</v>
      </c>
      <c r="C2329" s="6" t="s">
        <v>13589</v>
      </c>
      <c r="D2329" s="4">
        <v>60</v>
      </c>
      <c r="E2329" s="5" t="s">
        <v>20</v>
      </c>
      <c r="F2329" s="5" t="s">
        <v>5432</v>
      </c>
      <c r="G2329" s="6" t="s">
        <v>81</v>
      </c>
      <c r="H2329" s="4"/>
      <c r="I2329" s="5" t="s">
        <v>22</v>
      </c>
      <c r="J2329" s="5" t="s">
        <v>5433</v>
      </c>
      <c r="K2329" s="5" t="s">
        <v>5434</v>
      </c>
      <c r="L2329" s="5" t="s">
        <v>5435</v>
      </c>
      <c r="M2329" s="5" t="s">
        <v>738</v>
      </c>
      <c r="N2329" s="5" t="s">
        <v>3487</v>
      </c>
      <c r="O2329" s="5" t="s">
        <v>5010</v>
      </c>
      <c r="P2329" s="5"/>
      <c r="Q2329" s="5" t="s">
        <v>5436</v>
      </c>
    </row>
    <row r="2330" spans="2:17" x14ac:dyDescent="0.2">
      <c r="B2330" s="5" t="s">
        <v>5246</v>
      </c>
      <c r="C2330" s="6" t="s">
        <v>13589</v>
      </c>
      <c r="D2330" s="4">
        <v>80</v>
      </c>
      <c r="E2330" s="5" t="s">
        <v>20</v>
      </c>
      <c r="F2330" s="5" t="s">
        <v>5354</v>
      </c>
      <c r="G2330" s="6" t="s">
        <v>81</v>
      </c>
      <c r="H2330" s="4"/>
      <c r="I2330" s="5" t="s">
        <v>22</v>
      </c>
      <c r="J2330" s="5" t="s">
        <v>5355</v>
      </c>
      <c r="K2330" s="5" t="s">
        <v>5336</v>
      </c>
      <c r="L2330" s="5" t="s">
        <v>5356</v>
      </c>
      <c r="M2330" s="5" t="s">
        <v>3271</v>
      </c>
      <c r="N2330" s="5" t="s">
        <v>465</v>
      </c>
      <c r="O2330" s="5" t="s">
        <v>5006</v>
      </c>
      <c r="P2330" s="5"/>
      <c r="Q2330" s="5" t="s">
        <v>5357</v>
      </c>
    </row>
    <row r="2331" spans="2:17" x14ac:dyDescent="0.2">
      <c r="B2331" s="5" t="s">
        <v>5246</v>
      </c>
      <c r="C2331" s="6" t="s">
        <v>13589</v>
      </c>
      <c r="D2331" s="4">
        <v>85</v>
      </c>
      <c r="E2331" s="5" t="s">
        <v>20</v>
      </c>
      <c r="F2331" s="5" t="s">
        <v>5339</v>
      </c>
      <c r="G2331" s="6" t="s">
        <v>81</v>
      </c>
      <c r="H2331" s="4"/>
      <c r="I2331" s="5" t="s">
        <v>22</v>
      </c>
      <c r="J2331" s="5" t="s">
        <v>5304</v>
      </c>
      <c r="K2331" s="5" t="s">
        <v>5007</v>
      </c>
      <c r="L2331" s="5" t="s">
        <v>5262</v>
      </c>
      <c r="M2331" s="5" t="s">
        <v>2708</v>
      </c>
      <c r="N2331" s="5" t="s">
        <v>174</v>
      </c>
      <c r="O2331" s="5" t="s">
        <v>5020</v>
      </c>
      <c r="P2331" s="5"/>
      <c r="Q2331" s="5" t="s">
        <v>5340</v>
      </c>
    </row>
    <row r="2332" spans="2:17" x14ac:dyDescent="0.2">
      <c r="B2332" s="5" t="s">
        <v>8364</v>
      </c>
      <c r="C2332" s="6" t="s">
        <v>13589</v>
      </c>
      <c r="D2332" s="4">
        <v>323</v>
      </c>
      <c r="E2332" s="5" t="s">
        <v>20</v>
      </c>
      <c r="F2332" s="5" t="s">
        <v>8618</v>
      </c>
      <c r="G2332" s="6" t="s">
        <v>81</v>
      </c>
      <c r="H2332" s="4"/>
      <c r="I2332" s="5" t="s">
        <v>22</v>
      </c>
      <c r="J2332" s="5" t="s">
        <v>8619</v>
      </c>
      <c r="K2332" s="5" t="s">
        <v>8385</v>
      </c>
      <c r="L2332" s="5"/>
      <c r="M2332" s="5" t="s">
        <v>3487</v>
      </c>
      <c r="N2332" s="5" t="s">
        <v>3487</v>
      </c>
      <c r="O2332" s="5" t="s">
        <v>8368</v>
      </c>
      <c r="P2332" s="5"/>
      <c r="Q2332" s="5" t="s">
        <v>8620</v>
      </c>
    </row>
    <row r="2333" spans="2:17" x14ac:dyDescent="0.2">
      <c r="B2333" s="5" t="s">
        <v>8364</v>
      </c>
      <c r="C2333" s="6" t="s">
        <v>13589</v>
      </c>
      <c r="D2333" s="4">
        <v>324</v>
      </c>
      <c r="E2333" s="5" t="s">
        <v>20</v>
      </c>
      <c r="F2333" s="5" t="s">
        <v>8621</v>
      </c>
      <c r="G2333" s="6" t="s">
        <v>81</v>
      </c>
      <c r="H2333" s="4"/>
      <c r="I2333" s="5" t="s">
        <v>22</v>
      </c>
      <c r="J2333" s="5" t="s">
        <v>8622</v>
      </c>
      <c r="K2333" s="5" t="s">
        <v>8385</v>
      </c>
      <c r="L2333" s="5"/>
      <c r="M2333" s="5" t="s">
        <v>3487</v>
      </c>
      <c r="N2333" s="5" t="s">
        <v>3487</v>
      </c>
      <c r="O2333" s="5" t="s">
        <v>8368</v>
      </c>
      <c r="P2333" s="5"/>
      <c r="Q2333" s="5" t="s">
        <v>8623</v>
      </c>
    </row>
    <row r="2334" spans="2:17" x14ac:dyDescent="0.2">
      <c r="B2334" s="5" t="s">
        <v>11775</v>
      </c>
      <c r="C2334" s="6" t="s">
        <v>13589</v>
      </c>
      <c r="D2334" s="4">
        <v>1473</v>
      </c>
      <c r="E2334" s="5" t="s">
        <v>20</v>
      </c>
      <c r="F2334" s="5" t="s">
        <v>12104</v>
      </c>
      <c r="G2334" s="6" t="s">
        <v>81</v>
      </c>
      <c r="H2334" s="4"/>
      <c r="I2334" s="5" t="s">
        <v>22</v>
      </c>
      <c r="J2334" s="5" t="s">
        <v>12105</v>
      </c>
      <c r="K2334" s="5" t="s">
        <v>11802</v>
      </c>
      <c r="L2334" s="5"/>
      <c r="M2334" s="5" t="s">
        <v>2074</v>
      </c>
      <c r="N2334" s="5" t="s">
        <v>3608</v>
      </c>
      <c r="O2334" s="5" t="s">
        <v>11783</v>
      </c>
      <c r="P2334" s="5"/>
      <c r="Q2334" s="5" t="s">
        <v>12106</v>
      </c>
    </row>
    <row r="2335" spans="2:17" x14ac:dyDescent="0.2">
      <c r="B2335" s="5" t="s">
        <v>5451</v>
      </c>
      <c r="C2335" s="6" t="s">
        <v>13589</v>
      </c>
      <c r="D2335" s="4">
        <v>160</v>
      </c>
      <c r="E2335" s="5" t="s">
        <v>15</v>
      </c>
      <c r="F2335" s="5" t="s">
        <v>5518</v>
      </c>
      <c r="G2335" s="6" t="s">
        <v>19</v>
      </c>
      <c r="H2335" s="4"/>
      <c r="I2335" s="5"/>
      <c r="J2335" s="5" t="s">
        <v>5519</v>
      </c>
      <c r="K2335" s="5" t="s">
        <v>5152</v>
      </c>
      <c r="L2335" s="5"/>
      <c r="M2335" s="5" t="s">
        <v>330</v>
      </c>
      <c r="N2335" s="5" t="s">
        <v>331</v>
      </c>
      <c r="O2335" s="5" t="s">
        <v>5452</v>
      </c>
      <c r="P2335" s="5"/>
      <c r="Q2335" s="5" t="s">
        <v>5520</v>
      </c>
    </row>
    <row r="2336" spans="2:17" x14ac:dyDescent="0.2">
      <c r="B2336" s="5" t="s">
        <v>8190</v>
      </c>
      <c r="C2336" s="6" t="s">
        <v>13589</v>
      </c>
      <c r="D2336" s="4">
        <v>290</v>
      </c>
      <c r="E2336" s="5" t="s">
        <v>82</v>
      </c>
      <c r="F2336" s="5" t="s">
        <v>8281</v>
      </c>
      <c r="G2336" s="6" t="s">
        <v>19</v>
      </c>
      <c r="H2336" s="4"/>
      <c r="I2336" s="5"/>
      <c r="J2336" s="5" t="s">
        <v>8282</v>
      </c>
      <c r="K2336" s="5" t="s">
        <v>8193</v>
      </c>
      <c r="L2336" s="5" t="s">
        <v>8283</v>
      </c>
      <c r="M2336" s="5" t="s">
        <v>197</v>
      </c>
      <c r="N2336" s="5" t="s">
        <v>192</v>
      </c>
      <c r="O2336" s="5" t="s">
        <v>8194</v>
      </c>
      <c r="P2336" s="5"/>
      <c r="Q2336" s="5" t="s">
        <v>8284</v>
      </c>
    </row>
    <row r="2337" spans="2:17" x14ac:dyDescent="0.2">
      <c r="B2337" s="5" t="s">
        <v>8683</v>
      </c>
      <c r="C2337" s="6" t="s">
        <v>13589</v>
      </c>
      <c r="D2337" s="4">
        <v>438</v>
      </c>
      <c r="E2337" s="5" t="s">
        <v>15</v>
      </c>
      <c r="F2337" s="5" t="s">
        <v>8980</v>
      </c>
      <c r="G2337" s="6" t="s">
        <v>19</v>
      </c>
      <c r="H2337" s="4"/>
      <c r="I2337" s="5"/>
      <c r="J2337" s="5" t="s">
        <v>8981</v>
      </c>
      <c r="K2337" s="5" t="s">
        <v>3800</v>
      </c>
      <c r="L2337" s="5"/>
      <c r="M2337" s="5" t="s">
        <v>2254</v>
      </c>
      <c r="N2337" s="5" t="s">
        <v>3773</v>
      </c>
      <c r="O2337" s="5" t="s">
        <v>5684</v>
      </c>
      <c r="P2337" s="5"/>
      <c r="Q2337" s="5" t="s">
        <v>8982</v>
      </c>
    </row>
    <row r="2338" spans="2:17" x14ac:dyDescent="0.2">
      <c r="B2338" s="5" t="s">
        <v>8683</v>
      </c>
      <c r="C2338" s="6" t="s">
        <v>13589</v>
      </c>
      <c r="D2338" s="4">
        <v>446</v>
      </c>
      <c r="E2338" s="5" t="s">
        <v>24</v>
      </c>
      <c r="F2338" s="5" t="s">
        <v>8940</v>
      </c>
      <c r="G2338" s="6" t="s">
        <v>19</v>
      </c>
      <c r="H2338" s="4"/>
      <c r="I2338" s="5"/>
      <c r="J2338" s="5" t="s">
        <v>8941</v>
      </c>
      <c r="K2338" s="5" t="s">
        <v>8687</v>
      </c>
      <c r="L2338" s="5"/>
      <c r="M2338" s="5" t="s">
        <v>1596</v>
      </c>
      <c r="N2338" s="5" t="s">
        <v>461</v>
      </c>
      <c r="O2338" s="5" t="s">
        <v>5683</v>
      </c>
      <c r="P2338" s="5"/>
      <c r="Q2338" s="5" t="s">
        <v>8942</v>
      </c>
    </row>
    <row r="2339" spans="2:17" x14ac:dyDescent="0.2">
      <c r="B2339" s="5" t="s">
        <v>8683</v>
      </c>
      <c r="C2339" s="6" t="s">
        <v>13589</v>
      </c>
      <c r="D2339" s="4">
        <v>568</v>
      </c>
      <c r="E2339" s="5" t="s">
        <v>20</v>
      </c>
      <c r="F2339" s="5" t="s">
        <v>8795</v>
      </c>
      <c r="G2339" s="6" t="s">
        <v>19</v>
      </c>
      <c r="H2339" s="4"/>
      <c r="I2339" s="5" t="s">
        <v>38</v>
      </c>
      <c r="J2339" s="5" t="s">
        <v>8796</v>
      </c>
      <c r="K2339" s="5" t="s">
        <v>8797</v>
      </c>
      <c r="L2339" s="5" t="s">
        <v>8798</v>
      </c>
      <c r="M2339" s="5" t="s">
        <v>351</v>
      </c>
      <c r="N2339" s="5" t="s">
        <v>352</v>
      </c>
      <c r="O2339" s="5" t="s">
        <v>5690</v>
      </c>
      <c r="P2339" s="5"/>
      <c r="Q2339" s="5" t="s">
        <v>8799</v>
      </c>
    </row>
    <row r="2340" spans="2:17" x14ac:dyDescent="0.2">
      <c r="B2340" s="5" t="s">
        <v>9008</v>
      </c>
      <c r="C2340" s="6" t="s">
        <v>13589</v>
      </c>
      <c r="D2340" s="4">
        <v>584</v>
      </c>
      <c r="E2340" s="5" t="s">
        <v>13</v>
      </c>
      <c r="F2340" s="5" t="s">
        <v>9424</v>
      </c>
      <c r="G2340" s="6" t="s">
        <v>19</v>
      </c>
      <c r="H2340" s="4"/>
      <c r="I2340" s="5"/>
      <c r="J2340" s="5" t="s">
        <v>9171</v>
      </c>
      <c r="K2340" s="5" t="s">
        <v>4977</v>
      </c>
      <c r="L2340" s="5"/>
      <c r="M2340" s="5" t="s">
        <v>2198</v>
      </c>
      <c r="N2340" s="5" t="s">
        <v>2198</v>
      </c>
      <c r="O2340" s="5" t="s">
        <v>9030</v>
      </c>
      <c r="P2340" s="5"/>
      <c r="Q2340" s="5" t="s">
        <v>9425</v>
      </c>
    </row>
    <row r="2341" spans="2:17" x14ac:dyDescent="0.2">
      <c r="B2341" s="5" t="s">
        <v>9008</v>
      </c>
      <c r="C2341" s="6" t="s">
        <v>13589</v>
      </c>
      <c r="D2341" s="4">
        <v>588</v>
      </c>
      <c r="E2341" s="5" t="s">
        <v>32</v>
      </c>
      <c r="F2341" s="5" t="s">
        <v>9409</v>
      </c>
      <c r="G2341" s="6" t="s">
        <v>19</v>
      </c>
      <c r="H2341" s="4"/>
      <c r="I2341" s="5" t="s">
        <v>22</v>
      </c>
      <c r="J2341" s="5" t="s">
        <v>9410</v>
      </c>
      <c r="K2341" s="5" t="s">
        <v>9026</v>
      </c>
      <c r="L2341" s="5"/>
      <c r="M2341" s="5" t="s">
        <v>192</v>
      </c>
      <c r="N2341" s="5" t="s">
        <v>1012</v>
      </c>
      <c r="O2341" s="5" t="s">
        <v>9010</v>
      </c>
      <c r="P2341" s="5"/>
      <c r="Q2341" s="5" t="s">
        <v>9411</v>
      </c>
    </row>
    <row r="2342" spans="2:17" x14ac:dyDescent="0.2">
      <c r="B2342" s="5" t="s">
        <v>9008</v>
      </c>
      <c r="C2342" s="6" t="s">
        <v>13589</v>
      </c>
      <c r="D2342" s="4">
        <v>590</v>
      </c>
      <c r="E2342" s="5" t="s">
        <v>20</v>
      </c>
      <c r="F2342" s="5" t="s">
        <v>9397</v>
      </c>
      <c r="G2342" s="6" t="s">
        <v>19</v>
      </c>
      <c r="H2342" s="4"/>
      <c r="I2342" s="5" t="s">
        <v>22</v>
      </c>
      <c r="J2342" s="5" t="s">
        <v>9398</v>
      </c>
      <c r="K2342" s="5" t="s">
        <v>9017</v>
      </c>
      <c r="L2342" s="5"/>
      <c r="M2342" s="5" t="s">
        <v>464</v>
      </c>
      <c r="N2342" s="5" t="s">
        <v>3271</v>
      </c>
      <c r="O2342" s="5" t="s">
        <v>9012</v>
      </c>
      <c r="P2342" s="5"/>
      <c r="Q2342" s="5" t="s">
        <v>9399</v>
      </c>
    </row>
    <row r="2343" spans="2:17" x14ac:dyDescent="0.2">
      <c r="B2343" s="5" t="s">
        <v>9008</v>
      </c>
      <c r="C2343" s="6" t="s">
        <v>13589</v>
      </c>
      <c r="D2343" s="4">
        <v>600</v>
      </c>
      <c r="E2343" s="5" t="s">
        <v>20</v>
      </c>
      <c r="F2343" s="5" t="s">
        <v>9371</v>
      </c>
      <c r="G2343" s="6" t="s">
        <v>19</v>
      </c>
      <c r="H2343" s="4"/>
      <c r="I2343" s="5" t="s">
        <v>22</v>
      </c>
      <c r="J2343" s="5" t="s">
        <v>9372</v>
      </c>
      <c r="K2343" s="5" t="s">
        <v>4974</v>
      </c>
      <c r="L2343" s="5"/>
      <c r="M2343" s="5" t="s">
        <v>443</v>
      </c>
      <c r="N2343" s="5" t="s">
        <v>153</v>
      </c>
      <c r="O2343" s="5" t="s">
        <v>9010</v>
      </c>
      <c r="P2343" s="5"/>
      <c r="Q2343" s="5" t="s">
        <v>9373</v>
      </c>
    </row>
    <row r="2344" spans="2:17" x14ac:dyDescent="0.2">
      <c r="B2344" s="5" t="s">
        <v>9008</v>
      </c>
      <c r="C2344" s="6" t="s">
        <v>13589</v>
      </c>
      <c r="D2344" s="4">
        <v>638</v>
      </c>
      <c r="E2344" s="5" t="s">
        <v>15</v>
      </c>
      <c r="F2344" s="5" t="s">
        <v>9545</v>
      </c>
      <c r="G2344" s="6" t="s">
        <v>19</v>
      </c>
      <c r="H2344" s="4"/>
      <c r="I2344" s="5" t="s">
        <v>22</v>
      </c>
      <c r="J2344" s="5" t="s">
        <v>9546</v>
      </c>
      <c r="K2344" s="5" t="s">
        <v>9488</v>
      </c>
      <c r="L2344" s="5"/>
      <c r="M2344" s="5" t="s">
        <v>2534</v>
      </c>
      <c r="N2344" s="5" t="s">
        <v>8458</v>
      </c>
      <c r="O2344" s="5" t="s">
        <v>9019</v>
      </c>
      <c r="P2344" s="5"/>
      <c r="Q2344" s="5" t="s">
        <v>9547</v>
      </c>
    </row>
    <row r="2345" spans="2:17" x14ac:dyDescent="0.2">
      <c r="B2345" s="5" t="s">
        <v>9550</v>
      </c>
      <c r="C2345" s="6" t="s">
        <v>13589</v>
      </c>
      <c r="D2345" s="4">
        <v>748</v>
      </c>
      <c r="E2345" s="5" t="s">
        <v>20</v>
      </c>
      <c r="F2345" s="5" t="s">
        <v>10111</v>
      </c>
      <c r="G2345" s="6" t="s">
        <v>19</v>
      </c>
      <c r="H2345" s="4"/>
      <c r="I2345" s="5" t="s">
        <v>22</v>
      </c>
      <c r="J2345" s="5" t="s">
        <v>61</v>
      </c>
      <c r="K2345" s="5" t="s">
        <v>9558</v>
      </c>
      <c r="L2345" s="5"/>
      <c r="M2345" s="5" t="s">
        <v>1113</v>
      </c>
      <c r="N2345" s="5" t="s">
        <v>2254</v>
      </c>
      <c r="O2345" s="5" t="s">
        <v>9553</v>
      </c>
      <c r="P2345" s="5"/>
      <c r="Q2345" s="5" t="s">
        <v>10112</v>
      </c>
    </row>
    <row r="2346" spans="2:17" x14ac:dyDescent="0.2">
      <c r="B2346" s="5" t="s">
        <v>9550</v>
      </c>
      <c r="C2346" s="6" t="s">
        <v>13589</v>
      </c>
      <c r="D2346" s="4">
        <v>775</v>
      </c>
      <c r="E2346" s="5" t="s">
        <v>35</v>
      </c>
      <c r="F2346" s="5" t="s">
        <v>9981</v>
      </c>
      <c r="G2346" s="6" t="s">
        <v>19</v>
      </c>
      <c r="H2346" s="4"/>
      <c r="I2346" s="5"/>
      <c r="J2346" s="5" t="s">
        <v>9982</v>
      </c>
      <c r="K2346" s="5" t="s">
        <v>9570</v>
      </c>
      <c r="L2346" s="5"/>
      <c r="M2346" s="5" t="s">
        <v>211</v>
      </c>
      <c r="N2346" s="5" t="s">
        <v>1844</v>
      </c>
      <c r="O2346" s="5" t="s">
        <v>9553</v>
      </c>
      <c r="P2346" s="5"/>
      <c r="Q2346" s="5" t="s">
        <v>9983</v>
      </c>
    </row>
    <row r="2347" spans="2:17" x14ac:dyDescent="0.2">
      <c r="B2347" s="5" t="s">
        <v>9550</v>
      </c>
      <c r="C2347" s="6" t="s">
        <v>13589</v>
      </c>
      <c r="D2347" s="4">
        <v>800</v>
      </c>
      <c r="E2347" s="5" t="s">
        <v>20</v>
      </c>
      <c r="F2347" s="5" t="s">
        <v>9924</v>
      </c>
      <c r="G2347" s="6" t="s">
        <v>19</v>
      </c>
      <c r="H2347" s="4"/>
      <c r="I2347" s="5" t="s">
        <v>22</v>
      </c>
      <c r="J2347" s="5" t="s">
        <v>9925</v>
      </c>
      <c r="K2347" s="5" t="s">
        <v>3791</v>
      </c>
      <c r="L2347" s="5"/>
      <c r="M2347" s="5" t="s">
        <v>3662</v>
      </c>
      <c r="N2347" s="5" t="s">
        <v>5076</v>
      </c>
      <c r="O2347" s="5" t="s">
        <v>9553</v>
      </c>
      <c r="P2347" s="5"/>
      <c r="Q2347" s="5" t="s">
        <v>9926</v>
      </c>
    </row>
    <row r="2348" spans="2:17" x14ac:dyDescent="0.2">
      <c r="B2348" s="5" t="s">
        <v>9550</v>
      </c>
      <c r="C2348" s="6" t="s">
        <v>13589</v>
      </c>
      <c r="D2348" s="4">
        <v>861</v>
      </c>
      <c r="E2348" s="5" t="s">
        <v>24</v>
      </c>
      <c r="F2348" s="5" t="s">
        <v>9697</v>
      </c>
      <c r="G2348" s="6" t="s">
        <v>19</v>
      </c>
      <c r="H2348" s="4"/>
      <c r="I2348" s="5"/>
      <c r="J2348" s="5" t="s">
        <v>9698</v>
      </c>
      <c r="K2348" s="5" t="s">
        <v>17</v>
      </c>
      <c r="L2348" s="5"/>
      <c r="M2348" s="5" t="s">
        <v>96</v>
      </c>
      <c r="N2348" s="5" t="s">
        <v>291</v>
      </c>
      <c r="O2348" s="5" t="s">
        <v>9552</v>
      </c>
      <c r="P2348" s="5"/>
      <c r="Q2348" s="5" t="s">
        <v>9699</v>
      </c>
    </row>
    <row r="2349" spans="2:17" x14ac:dyDescent="0.2">
      <c r="B2349" s="5" t="s">
        <v>9550</v>
      </c>
      <c r="C2349" s="6" t="s">
        <v>13589</v>
      </c>
      <c r="D2349" s="4">
        <v>867</v>
      </c>
      <c r="E2349" s="5" t="s">
        <v>24</v>
      </c>
      <c r="F2349" s="5" t="s">
        <v>9675</v>
      </c>
      <c r="G2349" s="6" t="s">
        <v>19</v>
      </c>
      <c r="H2349" s="4"/>
      <c r="I2349" s="5"/>
      <c r="J2349" s="5" t="s">
        <v>9676</v>
      </c>
      <c r="K2349" s="5" t="s">
        <v>9612</v>
      </c>
      <c r="L2349" s="5"/>
      <c r="M2349" s="5" t="s">
        <v>2304</v>
      </c>
      <c r="N2349" s="5" t="s">
        <v>1251</v>
      </c>
      <c r="O2349" s="5" t="s">
        <v>9557</v>
      </c>
      <c r="P2349" s="5"/>
      <c r="Q2349" s="5" t="s">
        <v>9677</v>
      </c>
    </row>
    <row r="2350" spans="2:17" x14ac:dyDescent="0.2">
      <c r="B2350" s="5" t="s">
        <v>9550</v>
      </c>
      <c r="C2350" s="6" t="s">
        <v>13589</v>
      </c>
      <c r="D2350" s="4">
        <v>874</v>
      </c>
      <c r="E2350" s="5" t="s">
        <v>15</v>
      </c>
      <c r="F2350" s="5" t="s">
        <v>9682</v>
      </c>
      <c r="G2350" s="6" t="s">
        <v>19</v>
      </c>
      <c r="H2350" s="4"/>
      <c r="I2350" s="5"/>
      <c r="J2350" s="5" t="s">
        <v>61</v>
      </c>
      <c r="K2350" s="5" t="s">
        <v>9561</v>
      </c>
      <c r="L2350" s="5"/>
      <c r="M2350" s="5" t="s">
        <v>6324</v>
      </c>
      <c r="N2350" s="5" t="s">
        <v>1247</v>
      </c>
      <c r="O2350" s="5" t="s">
        <v>9557</v>
      </c>
      <c r="P2350" s="5"/>
      <c r="Q2350" s="5" t="s">
        <v>9683</v>
      </c>
    </row>
    <row r="2351" spans="2:17" x14ac:dyDescent="0.2">
      <c r="B2351" s="5" t="s">
        <v>9550</v>
      </c>
      <c r="C2351" s="6" t="s">
        <v>13589</v>
      </c>
      <c r="D2351" s="4">
        <v>899</v>
      </c>
      <c r="E2351" s="5" t="s">
        <v>13</v>
      </c>
      <c r="F2351" s="5" t="s">
        <v>9634</v>
      </c>
      <c r="G2351" s="6" t="s">
        <v>19</v>
      </c>
      <c r="H2351" s="4"/>
      <c r="I2351" s="5"/>
      <c r="J2351" s="5" t="s">
        <v>9635</v>
      </c>
      <c r="K2351" s="5" t="s">
        <v>534</v>
      </c>
      <c r="L2351" s="5"/>
      <c r="M2351" s="5" t="s">
        <v>1200</v>
      </c>
      <c r="N2351" s="5" t="s">
        <v>1200</v>
      </c>
      <c r="O2351" s="5" t="s">
        <v>9585</v>
      </c>
      <c r="P2351" s="5"/>
      <c r="Q2351" s="5" t="s">
        <v>9636</v>
      </c>
    </row>
    <row r="2352" spans="2:17" x14ac:dyDescent="0.2">
      <c r="B2352" s="5" t="s">
        <v>9550</v>
      </c>
      <c r="C2352" s="6" t="s">
        <v>13589</v>
      </c>
      <c r="D2352" s="4">
        <v>939</v>
      </c>
      <c r="E2352" s="5" t="s">
        <v>24</v>
      </c>
      <c r="F2352" s="5" t="s">
        <v>10153</v>
      </c>
      <c r="G2352" s="6" t="s">
        <v>19</v>
      </c>
      <c r="H2352" s="4"/>
      <c r="I2352" s="5"/>
      <c r="J2352" s="5" t="s">
        <v>61</v>
      </c>
      <c r="K2352" s="5" t="s">
        <v>9571</v>
      </c>
      <c r="L2352" s="5"/>
      <c r="M2352" s="5" t="s">
        <v>1122</v>
      </c>
      <c r="N2352" s="5" t="s">
        <v>1150</v>
      </c>
      <c r="O2352" s="5" t="s">
        <v>9552</v>
      </c>
      <c r="P2352" s="5"/>
      <c r="Q2352" s="5" t="s">
        <v>10154</v>
      </c>
    </row>
    <row r="2353" spans="2:17" x14ac:dyDescent="0.2">
      <c r="B2353" s="5" t="s">
        <v>9550</v>
      </c>
      <c r="C2353" s="6" t="s">
        <v>13589</v>
      </c>
      <c r="D2353" s="4">
        <v>944</v>
      </c>
      <c r="E2353" s="5" t="s">
        <v>13</v>
      </c>
      <c r="F2353" s="5" t="s">
        <v>10116</v>
      </c>
      <c r="G2353" s="6" t="s">
        <v>19</v>
      </c>
      <c r="H2353" s="4"/>
      <c r="I2353" s="5"/>
      <c r="J2353" s="5" t="s">
        <v>10117</v>
      </c>
      <c r="K2353" s="5" t="s">
        <v>9559</v>
      </c>
      <c r="L2353" s="5"/>
      <c r="M2353" s="5" t="s">
        <v>529</v>
      </c>
      <c r="N2353" s="5" t="s">
        <v>529</v>
      </c>
      <c r="O2353" s="5" t="s">
        <v>3790</v>
      </c>
      <c r="P2353" s="5"/>
      <c r="Q2353" s="5" t="s">
        <v>10118</v>
      </c>
    </row>
    <row r="2354" spans="2:17" x14ac:dyDescent="0.2">
      <c r="B2354" s="5" t="s">
        <v>10685</v>
      </c>
      <c r="C2354" s="6" t="s">
        <v>13589</v>
      </c>
      <c r="D2354" s="4">
        <v>1127</v>
      </c>
      <c r="E2354" s="5" t="s">
        <v>20</v>
      </c>
      <c r="F2354" s="5" t="s">
        <v>11033</v>
      </c>
      <c r="G2354" s="6" t="s">
        <v>19</v>
      </c>
      <c r="H2354" s="4"/>
      <c r="I2354" s="5" t="s">
        <v>22</v>
      </c>
      <c r="J2354" s="5" t="s">
        <v>11034</v>
      </c>
      <c r="K2354" s="5" t="s">
        <v>10954</v>
      </c>
      <c r="L2354" s="5"/>
      <c r="M2354" s="5" t="s">
        <v>2285</v>
      </c>
      <c r="N2354" s="5" t="s">
        <v>192</v>
      </c>
      <c r="O2354" s="5" t="s">
        <v>10692</v>
      </c>
      <c r="P2354" s="5"/>
      <c r="Q2354" s="5" t="s">
        <v>11035</v>
      </c>
    </row>
    <row r="2355" spans="2:17" x14ac:dyDescent="0.2">
      <c r="B2355" s="5" t="s">
        <v>10685</v>
      </c>
      <c r="C2355" s="6" t="s">
        <v>13589</v>
      </c>
      <c r="D2355" s="4">
        <v>1142</v>
      </c>
      <c r="E2355" s="5" t="s">
        <v>20</v>
      </c>
      <c r="F2355" s="5" t="s">
        <v>10963</v>
      </c>
      <c r="G2355" s="6" t="s">
        <v>19</v>
      </c>
      <c r="H2355" s="4"/>
      <c r="I2355" s="5" t="s">
        <v>22</v>
      </c>
      <c r="J2355" s="5" t="s">
        <v>10964</v>
      </c>
      <c r="K2355" s="5" t="s">
        <v>10703</v>
      </c>
      <c r="L2355" s="5"/>
      <c r="M2355" s="5" t="s">
        <v>1447</v>
      </c>
      <c r="N2355" s="5" t="s">
        <v>118</v>
      </c>
      <c r="O2355" s="5" t="s">
        <v>10704</v>
      </c>
      <c r="P2355" s="5"/>
      <c r="Q2355" s="5" t="s">
        <v>10965</v>
      </c>
    </row>
    <row r="2356" spans="2:17" x14ac:dyDescent="0.2">
      <c r="B2356" s="5" t="s">
        <v>10685</v>
      </c>
      <c r="C2356" s="6" t="s">
        <v>13589</v>
      </c>
      <c r="D2356" s="4">
        <v>1216</v>
      </c>
      <c r="E2356" s="5" t="s">
        <v>15</v>
      </c>
      <c r="F2356" s="5" t="s">
        <v>11054</v>
      </c>
      <c r="G2356" s="6" t="s">
        <v>19</v>
      </c>
      <c r="H2356" s="4"/>
      <c r="I2356" s="5"/>
      <c r="J2356" s="5" t="s">
        <v>11055</v>
      </c>
      <c r="K2356" s="5" t="s">
        <v>10694</v>
      </c>
      <c r="L2356" s="5"/>
      <c r="M2356" s="5" t="s">
        <v>2249</v>
      </c>
      <c r="N2356" s="5" t="s">
        <v>1074</v>
      </c>
      <c r="O2356" s="5" t="s">
        <v>10695</v>
      </c>
      <c r="P2356" s="5"/>
      <c r="Q2356" s="5" t="s">
        <v>11056</v>
      </c>
    </row>
    <row r="2357" spans="2:17" x14ac:dyDescent="0.2">
      <c r="B2357" s="5" t="s">
        <v>11377</v>
      </c>
      <c r="C2357" s="6" t="s">
        <v>13589</v>
      </c>
      <c r="D2357" s="4">
        <v>1353</v>
      </c>
      <c r="E2357" s="5" t="s">
        <v>20</v>
      </c>
      <c r="F2357" s="5" t="s">
        <v>11642</v>
      </c>
      <c r="G2357" s="6" t="s">
        <v>19</v>
      </c>
      <c r="H2357" s="4"/>
      <c r="I2357" s="5" t="s">
        <v>22</v>
      </c>
      <c r="J2357" s="5" t="s">
        <v>11643</v>
      </c>
      <c r="K2357" s="5" t="s">
        <v>11644</v>
      </c>
      <c r="L2357" s="5"/>
      <c r="M2357" s="5" t="s">
        <v>426</v>
      </c>
      <c r="N2357" s="5" t="s">
        <v>423</v>
      </c>
      <c r="O2357" s="5" t="s">
        <v>11383</v>
      </c>
      <c r="P2357" s="5"/>
      <c r="Q2357" s="5" t="s">
        <v>11645</v>
      </c>
    </row>
    <row r="2358" spans="2:17" x14ac:dyDescent="0.2">
      <c r="B2358" s="5" t="s">
        <v>11775</v>
      </c>
      <c r="C2358" s="6" t="s">
        <v>13589</v>
      </c>
      <c r="D2358" s="4">
        <v>1424</v>
      </c>
      <c r="E2358" s="5" t="s">
        <v>24</v>
      </c>
      <c r="F2358" s="5" t="s">
        <v>12397</v>
      </c>
      <c r="G2358" s="6" t="s">
        <v>19</v>
      </c>
      <c r="H2358" s="4"/>
      <c r="I2358" s="5"/>
      <c r="J2358" s="5" t="s">
        <v>12398</v>
      </c>
      <c r="K2358" s="5" t="s">
        <v>11798</v>
      </c>
      <c r="L2358" s="5"/>
      <c r="M2358" s="5" t="s">
        <v>1695</v>
      </c>
      <c r="N2358" s="5" t="s">
        <v>1695</v>
      </c>
      <c r="O2358" s="5" t="s">
        <v>11782</v>
      </c>
      <c r="P2358" s="5"/>
      <c r="Q2358" s="5" t="s">
        <v>12399</v>
      </c>
    </row>
    <row r="2359" spans="2:17" x14ac:dyDescent="0.2">
      <c r="B2359" s="5" t="s">
        <v>11775</v>
      </c>
      <c r="C2359" s="6" t="s">
        <v>13589</v>
      </c>
      <c r="D2359" s="4">
        <v>1425</v>
      </c>
      <c r="E2359" s="5" t="s">
        <v>24</v>
      </c>
      <c r="F2359" s="5" t="s">
        <v>12397</v>
      </c>
      <c r="G2359" s="6" t="s">
        <v>19</v>
      </c>
      <c r="H2359" s="4"/>
      <c r="I2359" s="5"/>
      <c r="J2359" s="5" t="s">
        <v>12400</v>
      </c>
      <c r="K2359" s="5" t="s">
        <v>11798</v>
      </c>
      <c r="L2359" s="5"/>
      <c r="M2359" s="5" t="s">
        <v>1695</v>
      </c>
      <c r="N2359" s="5" t="s">
        <v>1695</v>
      </c>
      <c r="O2359" s="5" t="s">
        <v>11782</v>
      </c>
      <c r="P2359" s="5"/>
      <c r="Q2359" s="5" t="s">
        <v>12401</v>
      </c>
    </row>
    <row r="2360" spans="2:17" x14ac:dyDescent="0.2">
      <c r="B2360" s="5" t="s">
        <v>11775</v>
      </c>
      <c r="C2360" s="6" t="s">
        <v>13589</v>
      </c>
      <c r="D2360" s="4">
        <v>1553</v>
      </c>
      <c r="E2360" s="5" t="s">
        <v>13</v>
      </c>
      <c r="F2360" s="5" t="s">
        <v>11847</v>
      </c>
      <c r="G2360" s="6" t="s">
        <v>19</v>
      </c>
      <c r="H2360" s="4"/>
      <c r="I2360" s="5"/>
      <c r="J2360" s="5" t="s">
        <v>11848</v>
      </c>
      <c r="K2360" s="5" t="s">
        <v>11849</v>
      </c>
      <c r="L2360" s="5" t="s">
        <v>11850</v>
      </c>
      <c r="M2360" s="5" t="s">
        <v>1226</v>
      </c>
      <c r="N2360" s="5" t="s">
        <v>1226</v>
      </c>
      <c r="O2360" s="5" t="s">
        <v>11780</v>
      </c>
      <c r="P2360" s="5"/>
      <c r="Q2360" s="5" t="s">
        <v>11851</v>
      </c>
    </row>
    <row r="2361" spans="2:17" x14ac:dyDescent="0.2">
      <c r="B2361" s="5" t="s">
        <v>11775</v>
      </c>
      <c r="C2361" s="6" t="s">
        <v>13589</v>
      </c>
      <c r="D2361" s="4">
        <v>1602</v>
      </c>
      <c r="E2361" s="5" t="s">
        <v>24</v>
      </c>
      <c r="F2361" s="5" t="s">
        <v>12397</v>
      </c>
      <c r="G2361" s="6" t="s">
        <v>19</v>
      </c>
      <c r="H2361" s="4"/>
      <c r="I2361" s="5"/>
      <c r="J2361" s="5" t="s">
        <v>12404</v>
      </c>
      <c r="K2361" s="5" t="s">
        <v>11798</v>
      </c>
      <c r="L2361" s="5"/>
      <c r="M2361" s="5" t="s">
        <v>529</v>
      </c>
      <c r="N2361" s="5" t="s">
        <v>529</v>
      </c>
      <c r="O2361" s="5" t="s">
        <v>11782</v>
      </c>
      <c r="P2361" s="5"/>
      <c r="Q2361" s="5" t="s">
        <v>12405</v>
      </c>
    </row>
    <row r="2362" spans="2:17" x14ac:dyDescent="0.2">
      <c r="B2362" s="5" t="s">
        <v>11775</v>
      </c>
      <c r="C2362" s="6" t="s">
        <v>13589</v>
      </c>
      <c r="D2362" s="4">
        <v>1615</v>
      </c>
      <c r="E2362" s="5" t="s">
        <v>24</v>
      </c>
      <c r="F2362" s="5" t="s">
        <v>12397</v>
      </c>
      <c r="G2362" s="6" t="s">
        <v>19</v>
      </c>
      <c r="H2362" s="4"/>
      <c r="I2362" s="5"/>
      <c r="J2362" s="5" t="s">
        <v>12402</v>
      </c>
      <c r="K2362" s="5" t="s">
        <v>11798</v>
      </c>
      <c r="L2362" s="5"/>
      <c r="M2362" s="5" t="s">
        <v>3511</v>
      </c>
      <c r="N2362" s="5" t="s">
        <v>3511</v>
      </c>
      <c r="O2362" s="5" t="s">
        <v>11782</v>
      </c>
      <c r="P2362" s="5"/>
      <c r="Q2362" s="5" t="s">
        <v>12403</v>
      </c>
    </row>
    <row r="2363" spans="2:17" x14ac:dyDescent="0.2">
      <c r="B2363" s="5" t="s">
        <v>12409</v>
      </c>
      <c r="C2363" s="6" t="s">
        <v>13589</v>
      </c>
      <c r="D2363" s="4">
        <v>1692</v>
      </c>
      <c r="E2363" s="5" t="s">
        <v>20</v>
      </c>
      <c r="F2363" s="5" t="s">
        <v>3604</v>
      </c>
      <c r="G2363" s="6" t="s">
        <v>19</v>
      </c>
      <c r="H2363" s="4"/>
      <c r="I2363" s="5" t="s">
        <v>22</v>
      </c>
      <c r="J2363" s="5" t="s">
        <v>12673</v>
      </c>
      <c r="K2363" s="5" t="s">
        <v>76</v>
      </c>
      <c r="L2363" s="5" t="s">
        <v>12674</v>
      </c>
      <c r="M2363" s="5" t="s">
        <v>3608</v>
      </c>
      <c r="N2363" s="5" t="s">
        <v>1437</v>
      </c>
      <c r="O2363" s="5" t="s">
        <v>12414</v>
      </c>
      <c r="P2363" s="5" t="s">
        <v>12675</v>
      </c>
      <c r="Q2363" s="5" t="s">
        <v>12676</v>
      </c>
    </row>
    <row r="2364" spans="2:17" x14ac:dyDescent="0.2">
      <c r="B2364" s="5" t="s">
        <v>12409</v>
      </c>
      <c r="C2364" s="6" t="s">
        <v>13589</v>
      </c>
      <c r="D2364" s="4">
        <v>1693</v>
      </c>
      <c r="E2364" s="5" t="s">
        <v>20</v>
      </c>
      <c r="F2364" s="5" t="s">
        <v>12677</v>
      </c>
      <c r="G2364" s="6" t="s">
        <v>19</v>
      </c>
      <c r="H2364" s="4"/>
      <c r="I2364" s="5" t="s">
        <v>22</v>
      </c>
      <c r="J2364" s="5" t="s">
        <v>12678</v>
      </c>
      <c r="K2364" s="5" t="s">
        <v>76</v>
      </c>
      <c r="L2364" s="5" t="s">
        <v>12679</v>
      </c>
      <c r="M2364" s="5" t="s">
        <v>3608</v>
      </c>
      <c r="N2364" s="5" t="s">
        <v>1437</v>
      </c>
      <c r="O2364" s="5" t="s">
        <v>12414</v>
      </c>
      <c r="P2364" s="5"/>
      <c r="Q2364" s="5" t="s">
        <v>12680</v>
      </c>
    </row>
    <row r="2365" spans="2:17" x14ac:dyDescent="0.2">
      <c r="B2365" s="5" t="s">
        <v>12409</v>
      </c>
      <c r="C2365" s="6" t="s">
        <v>13589</v>
      </c>
      <c r="D2365" s="4">
        <v>1694</v>
      </c>
      <c r="E2365" s="5" t="s">
        <v>20</v>
      </c>
      <c r="F2365" s="5" t="s">
        <v>3604</v>
      </c>
      <c r="G2365" s="6" t="s">
        <v>19</v>
      </c>
      <c r="H2365" s="4"/>
      <c r="I2365" s="5" t="s">
        <v>22</v>
      </c>
      <c r="J2365" s="5" t="s">
        <v>12678</v>
      </c>
      <c r="K2365" s="5" t="s">
        <v>76</v>
      </c>
      <c r="L2365" s="5" t="s">
        <v>12681</v>
      </c>
      <c r="M2365" s="5" t="s">
        <v>3608</v>
      </c>
      <c r="N2365" s="5" t="s">
        <v>1437</v>
      </c>
      <c r="O2365" s="5" t="s">
        <v>12414</v>
      </c>
      <c r="P2365" s="5"/>
      <c r="Q2365" s="5" t="s">
        <v>12682</v>
      </c>
    </row>
    <row r="2366" spans="2:17" x14ac:dyDescent="0.2">
      <c r="B2366" s="5" t="s">
        <v>12409</v>
      </c>
      <c r="C2366" s="6" t="s">
        <v>13589</v>
      </c>
      <c r="D2366" s="4">
        <v>1695</v>
      </c>
      <c r="E2366" s="5" t="s">
        <v>20</v>
      </c>
      <c r="F2366" s="5" t="s">
        <v>3604</v>
      </c>
      <c r="G2366" s="6" t="s">
        <v>19</v>
      </c>
      <c r="H2366" s="4"/>
      <c r="I2366" s="5" t="s">
        <v>22</v>
      </c>
      <c r="J2366" s="5" t="s">
        <v>12683</v>
      </c>
      <c r="K2366" s="5" t="s">
        <v>12410</v>
      </c>
      <c r="L2366" s="5" t="s">
        <v>12684</v>
      </c>
      <c r="M2366" s="5" t="s">
        <v>3608</v>
      </c>
      <c r="N2366" s="5" t="s">
        <v>1437</v>
      </c>
      <c r="O2366" s="5" t="s">
        <v>12411</v>
      </c>
      <c r="P2366" s="5"/>
      <c r="Q2366" s="5" t="s">
        <v>12685</v>
      </c>
    </row>
    <row r="2367" spans="2:17" x14ac:dyDescent="0.2">
      <c r="B2367" s="5" t="s">
        <v>12409</v>
      </c>
      <c r="C2367" s="6" t="s">
        <v>13589</v>
      </c>
      <c r="D2367" s="4">
        <v>1766</v>
      </c>
      <c r="E2367" s="5" t="s">
        <v>56</v>
      </c>
      <c r="F2367" s="5" t="s">
        <v>13085</v>
      </c>
      <c r="G2367" s="6" t="s">
        <v>19</v>
      </c>
      <c r="H2367" s="4"/>
      <c r="I2367" s="5"/>
      <c r="J2367" s="5" t="s">
        <v>13086</v>
      </c>
      <c r="K2367" s="5" t="s">
        <v>13087</v>
      </c>
      <c r="L2367" s="5" t="s">
        <v>13088</v>
      </c>
      <c r="M2367" s="5" t="s">
        <v>513</v>
      </c>
      <c r="N2367" s="5" t="s">
        <v>2278</v>
      </c>
      <c r="O2367" s="5" t="s">
        <v>12527</v>
      </c>
      <c r="P2367" s="5" t="s">
        <v>13089</v>
      </c>
      <c r="Q2367" s="5" t="s">
        <v>13090</v>
      </c>
    </row>
    <row r="2368" spans="2:17" x14ac:dyDescent="0.2">
      <c r="B2368" s="5" t="s">
        <v>5246</v>
      </c>
      <c r="C2368" s="6" t="s">
        <v>13589</v>
      </c>
      <c r="D2368" s="4">
        <v>77</v>
      </c>
      <c r="E2368" s="5" t="s">
        <v>82</v>
      </c>
      <c r="F2368" s="5" t="s">
        <v>5362</v>
      </c>
      <c r="G2368" s="6" t="s">
        <v>68</v>
      </c>
      <c r="H2368" s="4"/>
      <c r="I2368" s="5" t="s">
        <v>22</v>
      </c>
      <c r="J2368" s="5" t="s">
        <v>5364</v>
      </c>
      <c r="K2368" s="5" t="s">
        <v>5004</v>
      </c>
      <c r="L2368" s="5" t="s">
        <v>5365</v>
      </c>
      <c r="M2368" s="5" t="s">
        <v>2285</v>
      </c>
      <c r="N2368" s="5" t="s">
        <v>197</v>
      </c>
      <c r="O2368" s="5" t="s">
        <v>5138</v>
      </c>
      <c r="P2368" s="5"/>
      <c r="Q2368" s="5" t="s">
        <v>5366</v>
      </c>
    </row>
    <row r="2369" spans="2:17" x14ac:dyDescent="0.2">
      <c r="B2369" s="5" t="s">
        <v>5246</v>
      </c>
      <c r="C2369" s="6" t="s">
        <v>13589</v>
      </c>
      <c r="D2369" s="4">
        <v>78</v>
      </c>
      <c r="E2369" s="5" t="s">
        <v>20</v>
      </c>
      <c r="F2369" s="5" t="s">
        <v>5362</v>
      </c>
      <c r="G2369" s="6" t="s">
        <v>68</v>
      </c>
      <c r="H2369" s="4"/>
      <c r="I2369" s="5" t="s">
        <v>22</v>
      </c>
      <c r="J2369" s="5" t="s">
        <v>5144</v>
      </c>
      <c r="K2369" s="5" t="s">
        <v>5015</v>
      </c>
      <c r="L2369" s="5"/>
      <c r="M2369" s="5" t="s">
        <v>2285</v>
      </c>
      <c r="N2369" s="5" t="s">
        <v>197</v>
      </c>
      <c r="O2369" s="5" t="s">
        <v>5138</v>
      </c>
      <c r="P2369" s="5"/>
      <c r="Q2369" s="5" t="s">
        <v>5363</v>
      </c>
    </row>
    <row r="2370" spans="2:17" x14ac:dyDescent="0.2">
      <c r="B2370" s="5" t="s">
        <v>5451</v>
      </c>
      <c r="C2370" s="6" t="s">
        <v>13589</v>
      </c>
      <c r="D2370" s="4">
        <v>144</v>
      </c>
      <c r="E2370" s="5" t="s">
        <v>20</v>
      </c>
      <c r="F2370" s="5" t="s">
        <v>5461</v>
      </c>
      <c r="G2370" s="6" t="s">
        <v>68</v>
      </c>
      <c r="H2370" s="4"/>
      <c r="I2370" s="5" t="s">
        <v>22</v>
      </c>
      <c r="J2370" s="5" t="s">
        <v>5567</v>
      </c>
      <c r="K2370" s="5" t="s">
        <v>4998</v>
      </c>
      <c r="L2370" s="5"/>
      <c r="M2370" s="5" t="s">
        <v>359</v>
      </c>
      <c r="N2370" s="5" t="s">
        <v>1464</v>
      </c>
      <c r="O2370" s="5" t="s">
        <v>5453</v>
      </c>
      <c r="P2370" s="5"/>
      <c r="Q2370" s="5" t="s">
        <v>5568</v>
      </c>
    </row>
    <row r="2371" spans="2:17" x14ac:dyDescent="0.2">
      <c r="B2371" s="5" t="s">
        <v>5451</v>
      </c>
      <c r="C2371" s="6" t="s">
        <v>13589</v>
      </c>
      <c r="D2371" s="4">
        <v>153</v>
      </c>
      <c r="E2371" s="5" t="s">
        <v>24</v>
      </c>
      <c r="F2371" s="5" t="s">
        <v>5534</v>
      </c>
      <c r="G2371" s="6" t="s">
        <v>68</v>
      </c>
      <c r="H2371" s="4"/>
      <c r="I2371" s="5"/>
      <c r="J2371" s="5" t="s">
        <v>5535</v>
      </c>
      <c r="K2371" s="5" t="s">
        <v>4999</v>
      </c>
      <c r="L2371" s="5"/>
      <c r="M2371" s="5" t="s">
        <v>2598</v>
      </c>
      <c r="N2371" s="5" t="s">
        <v>2598</v>
      </c>
      <c r="O2371" s="5" t="s">
        <v>5452</v>
      </c>
      <c r="P2371" s="5"/>
      <c r="Q2371" s="5" t="s">
        <v>5536</v>
      </c>
    </row>
    <row r="2372" spans="2:17" x14ac:dyDescent="0.2">
      <c r="B2372" s="5" t="s">
        <v>5451</v>
      </c>
      <c r="C2372" s="6" t="s">
        <v>13589</v>
      </c>
      <c r="D2372" s="4">
        <v>156</v>
      </c>
      <c r="E2372" s="5" t="s">
        <v>20</v>
      </c>
      <c r="F2372" s="5" t="s">
        <v>5461</v>
      </c>
      <c r="G2372" s="6" t="s">
        <v>68</v>
      </c>
      <c r="H2372" s="4"/>
      <c r="I2372" s="5" t="s">
        <v>22</v>
      </c>
      <c r="J2372" s="5" t="s">
        <v>5535</v>
      </c>
      <c r="K2372" s="5" t="s">
        <v>4999</v>
      </c>
      <c r="L2372" s="5"/>
      <c r="M2372" s="5" t="s">
        <v>2376</v>
      </c>
      <c r="N2372" s="5" t="s">
        <v>337</v>
      </c>
      <c r="O2372" s="5" t="s">
        <v>5452</v>
      </c>
      <c r="P2372" s="5"/>
      <c r="Q2372" s="5" t="s">
        <v>5541</v>
      </c>
    </row>
    <row r="2373" spans="2:17" x14ac:dyDescent="0.2">
      <c r="B2373" s="5" t="s">
        <v>5451</v>
      </c>
      <c r="C2373" s="6" t="s">
        <v>13589</v>
      </c>
      <c r="D2373" s="4">
        <v>163</v>
      </c>
      <c r="E2373" s="5" t="s">
        <v>82</v>
      </c>
      <c r="F2373" s="5" t="s">
        <v>5507</v>
      </c>
      <c r="G2373" s="6" t="s">
        <v>68</v>
      </c>
      <c r="H2373" s="4"/>
      <c r="I2373" s="5"/>
      <c r="J2373" s="5" t="s">
        <v>5508</v>
      </c>
      <c r="K2373" s="5" t="s">
        <v>4998</v>
      </c>
      <c r="L2373" s="5"/>
      <c r="M2373" s="5" t="s">
        <v>301</v>
      </c>
      <c r="N2373" s="5" t="s">
        <v>302</v>
      </c>
      <c r="O2373" s="5" t="s">
        <v>5453</v>
      </c>
      <c r="P2373" s="5"/>
      <c r="Q2373" s="5" t="s">
        <v>5509</v>
      </c>
    </row>
    <row r="2374" spans="2:17" x14ac:dyDescent="0.2">
      <c r="B2374" s="5" t="s">
        <v>8683</v>
      </c>
      <c r="C2374" s="6" t="s">
        <v>13589</v>
      </c>
      <c r="D2374" s="4">
        <v>439</v>
      </c>
      <c r="E2374" s="5" t="s">
        <v>20</v>
      </c>
      <c r="F2374" s="5" t="s">
        <v>8974</v>
      </c>
      <c r="G2374" s="6" t="s">
        <v>68</v>
      </c>
      <c r="H2374" s="4"/>
      <c r="I2374" s="5" t="s">
        <v>38</v>
      </c>
      <c r="J2374" s="5" t="s">
        <v>8975</v>
      </c>
      <c r="K2374" s="5" t="s">
        <v>8886</v>
      </c>
      <c r="L2374" s="5"/>
      <c r="M2374" s="5" t="s">
        <v>538</v>
      </c>
      <c r="N2374" s="5" t="s">
        <v>7395</v>
      </c>
      <c r="O2374" s="5" t="s">
        <v>5687</v>
      </c>
      <c r="P2374" s="5"/>
      <c r="Q2374" s="5" t="s">
        <v>8976</v>
      </c>
    </row>
    <row r="2375" spans="2:17" x14ac:dyDescent="0.2">
      <c r="B2375" s="5" t="s">
        <v>8683</v>
      </c>
      <c r="C2375" s="6" t="s">
        <v>13589</v>
      </c>
      <c r="D2375" s="4">
        <v>465</v>
      </c>
      <c r="E2375" s="5" t="s">
        <v>20</v>
      </c>
      <c r="F2375" s="5" t="s">
        <v>8884</v>
      </c>
      <c r="G2375" s="6" t="s">
        <v>68</v>
      </c>
      <c r="H2375" s="4"/>
      <c r="I2375" s="5" t="s">
        <v>38</v>
      </c>
      <c r="J2375" s="5" t="s">
        <v>8885</v>
      </c>
      <c r="K2375" s="5" t="s">
        <v>8886</v>
      </c>
      <c r="L2375" s="5"/>
      <c r="M2375" s="5" t="s">
        <v>1548</v>
      </c>
      <c r="N2375" s="5" t="s">
        <v>1544</v>
      </c>
      <c r="O2375" s="5" t="s">
        <v>5687</v>
      </c>
      <c r="P2375" s="5"/>
      <c r="Q2375" s="5" t="s">
        <v>8887</v>
      </c>
    </row>
    <row r="2376" spans="2:17" x14ac:dyDescent="0.2">
      <c r="B2376" s="5" t="s">
        <v>8683</v>
      </c>
      <c r="C2376" s="6" t="s">
        <v>13589</v>
      </c>
      <c r="D2376" s="4">
        <v>560</v>
      </c>
      <c r="E2376" s="5" t="s">
        <v>20</v>
      </c>
      <c r="F2376" s="5" t="s">
        <v>8967</v>
      </c>
      <c r="G2376" s="6" t="s">
        <v>68</v>
      </c>
      <c r="H2376" s="4"/>
      <c r="I2376" s="5" t="s">
        <v>38</v>
      </c>
      <c r="J2376" s="5" t="s">
        <v>8968</v>
      </c>
      <c r="K2376" s="5" t="s">
        <v>8886</v>
      </c>
      <c r="L2376" s="5"/>
      <c r="M2376" s="5" t="s">
        <v>496</v>
      </c>
      <c r="N2376" s="5" t="s">
        <v>490</v>
      </c>
      <c r="O2376" s="5" t="s">
        <v>5687</v>
      </c>
      <c r="P2376" s="5"/>
      <c r="Q2376" s="5" t="s">
        <v>8969</v>
      </c>
    </row>
    <row r="2377" spans="2:17" x14ac:dyDescent="0.2">
      <c r="B2377" s="5" t="s">
        <v>9008</v>
      </c>
      <c r="C2377" s="6" t="s">
        <v>13589</v>
      </c>
      <c r="D2377" s="4">
        <v>591</v>
      </c>
      <c r="E2377" s="5" t="s">
        <v>20</v>
      </c>
      <c r="F2377" s="5" t="s">
        <v>9400</v>
      </c>
      <c r="G2377" s="6" t="s">
        <v>68</v>
      </c>
      <c r="H2377" s="4"/>
      <c r="I2377" s="5" t="s">
        <v>22</v>
      </c>
      <c r="J2377" s="5" t="s">
        <v>9401</v>
      </c>
      <c r="K2377" s="5" t="s">
        <v>9215</v>
      </c>
      <c r="L2377" s="5"/>
      <c r="M2377" s="5" t="s">
        <v>468</v>
      </c>
      <c r="N2377" s="5" t="s">
        <v>465</v>
      </c>
      <c r="O2377" s="5" t="s">
        <v>9010</v>
      </c>
      <c r="P2377" s="5"/>
      <c r="Q2377" s="5" t="s">
        <v>9402</v>
      </c>
    </row>
    <row r="2378" spans="2:17" x14ac:dyDescent="0.2">
      <c r="B2378" s="5" t="s">
        <v>10685</v>
      </c>
      <c r="C2378" s="6" t="s">
        <v>13589</v>
      </c>
      <c r="D2378" s="4">
        <v>1147</v>
      </c>
      <c r="E2378" s="5" t="s">
        <v>20</v>
      </c>
      <c r="F2378" s="5" t="s">
        <v>10948</v>
      </c>
      <c r="G2378" s="6" t="s">
        <v>68</v>
      </c>
      <c r="H2378" s="4"/>
      <c r="I2378" s="5" t="s">
        <v>22</v>
      </c>
      <c r="J2378" s="5" t="s">
        <v>10949</v>
      </c>
      <c r="K2378" s="5" t="s">
        <v>10950</v>
      </c>
      <c r="L2378" s="5"/>
      <c r="M2378" s="5" t="s">
        <v>4971</v>
      </c>
      <c r="N2378" s="5" t="s">
        <v>2376</v>
      </c>
      <c r="O2378" s="5" t="s">
        <v>10690</v>
      </c>
      <c r="P2378" s="5"/>
      <c r="Q2378" s="5" t="s">
        <v>10951</v>
      </c>
    </row>
    <row r="2379" spans="2:17" x14ac:dyDescent="0.2">
      <c r="B2379" s="5" t="s">
        <v>5681</v>
      </c>
      <c r="C2379" s="6" t="s">
        <v>13589</v>
      </c>
      <c r="D2379" s="4">
        <v>253</v>
      </c>
      <c r="E2379" s="5" t="s">
        <v>20</v>
      </c>
      <c r="F2379" s="5" t="s">
        <v>5765</v>
      </c>
      <c r="G2379" s="6" t="s">
        <v>273</v>
      </c>
      <c r="H2379" s="4"/>
      <c r="I2379" s="5" t="s">
        <v>22</v>
      </c>
      <c r="J2379" s="5" t="s">
        <v>5766</v>
      </c>
      <c r="K2379" s="5" t="s">
        <v>3800</v>
      </c>
      <c r="L2379" s="5"/>
      <c r="M2379" s="5" t="s">
        <v>1269</v>
      </c>
      <c r="N2379" s="5" t="s">
        <v>1258</v>
      </c>
      <c r="O2379" s="5" t="s">
        <v>5684</v>
      </c>
      <c r="P2379" s="5"/>
      <c r="Q2379" s="5" t="s">
        <v>5767</v>
      </c>
    </row>
    <row r="2380" spans="2:17" x14ac:dyDescent="0.2">
      <c r="B2380" s="5" t="s">
        <v>8683</v>
      </c>
      <c r="C2380" s="6" t="s">
        <v>13589</v>
      </c>
      <c r="D2380" s="4">
        <v>541</v>
      </c>
      <c r="E2380" s="5" t="s">
        <v>20</v>
      </c>
      <c r="F2380" s="5" t="s">
        <v>5765</v>
      </c>
      <c r="G2380" s="6" t="s">
        <v>273</v>
      </c>
      <c r="H2380" s="4"/>
      <c r="I2380" s="5" t="s">
        <v>22</v>
      </c>
      <c r="J2380" s="5" t="s">
        <v>5766</v>
      </c>
      <c r="K2380" s="5" t="s">
        <v>3800</v>
      </c>
      <c r="L2380" s="5"/>
      <c r="M2380" s="5" t="s">
        <v>1269</v>
      </c>
      <c r="N2380" s="5" t="s">
        <v>1258</v>
      </c>
      <c r="O2380" s="5" t="s">
        <v>5684</v>
      </c>
      <c r="P2380" s="5"/>
      <c r="Q2380" s="5" t="s">
        <v>8717</v>
      </c>
    </row>
    <row r="2381" spans="2:17" x14ac:dyDescent="0.2">
      <c r="B2381" s="5" t="s">
        <v>11377</v>
      </c>
      <c r="C2381" s="6" t="s">
        <v>13589</v>
      </c>
      <c r="D2381" s="4">
        <v>1386</v>
      </c>
      <c r="E2381" s="5" t="s">
        <v>20</v>
      </c>
      <c r="F2381" s="5" t="s">
        <v>11471</v>
      </c>
      <c r="G2381" s="6" t="s">
        <v>273</v>
      </c>
      <c r="H2381" s="4"/>
      <c r="I2381" s="5" t="s">
        <v>22</v>
      </c>
      <c r="J2381" s="5" t="s">
        <v>11472</v>
      </c>
      <c r="K2381" s="5" t="s">
        <v>11473</v>
      </c>
      <c r="L2381" s="5" t="s">
        <v>11474</v>
      </c>
      <c r="M2381" s="5" t="s">
        <v>1269</v>
      </c>
      <c r="N2381" s="5" t="s">
        <v>1258</v>
      </c>
      <c r="O2381" s="5" t="s">
        <v>11384</v>
      </c>
      <c r="P2381" s="5"/>
      <c r="Q2381" s="5" t="s">
        <v>11475</v>
      </c>
    </row>
    <row r="2382" spans="2:17" x14ac:dyDescent="0.2">
      <c r="B2382" s="5" t="s">
        <v>8364</v>
      </c>
      <c r="C2382" s="6" t="s">
        <v>13589</v>
      </c>
      <c r="D2382" s="4">
        <v>342</v>
      </c>
      <c r="E2382" s="5" t="s">
        <v>20</v>
      </c>
      <c r="F2382" s="5" t="s">
        <v>8545</v>
      </c>
      <c r="G2382" s="6" t="s">
        <v>53</v>
      </c>
      <c r="H2382" s="4"/>
      <c r="I2382" s="5" t="s">
        <v>22</v>
      </c>
      <c r="J2382" s="5" t="s">
        <v>8546</v>
      </c>
      <c r="K2382" s="5" t="s">
        <v>8471</v>
      </c>
      <c r="L2382" s="5"/>
      <c r="M2382" s="5" t="s">
        <v>1618</v>
      </c>
      <c r="N2382" s="5" t="s">
        <v>1012</v>
      </c>
      <c r="O2382" s="5" t="s">
        <v>8381</v>
      </c>
      <c r="P2382" s="5"/>
      <c r="Q2382" s="5" t="s">
        <v>8547</v>
      </c>
    </row>
    <row r="2383" spans="2:17" x14ac:dyDescent="0.2">
      <c r="B2383" s="5" t="s">
        <v>9008</v>
      </c>
      <c r="C2383" s="6" t="s">
        <v>13589</v>
      </c>
      <c r="D2383" s="4">
        <v>582</v>
      </c>
      <c r="E2383" s="5" t="s">
        <v>15</v>
      </c>
      <c r="F2383" s="5" t="s">
        <v>9434</v>
      </c>
      <c r="G2383" s="6" t="s">
        <v>53</v>
      </c>
      <c r="H2383" s="4"/>
      <c r="I2383" s="5"/>
      <c r="J2383" s="5" t="s">
        <v>9050</v>
      </c>
      <c r="K2383" s="5" t="s">
        <v>9048</v>
      </c>
      <c r="L2383" s="5"/>
      <c r="M2383" s="5" t="s">
        <v>2219</v>
      </c>
      <c r="N2383" s="5" t="s">
        <v>1058</v>
      </c>
      <c r="O2383" s="5" t="s">
        <v>9019</v>
      </c>
      <c r="P2383" s="5"/>
      <c r="Q2383" s="5" t="s">
        <v>9435</v>
      </c>
    </row>
    <row r="2384" spans="2:17" x14ac:dyDescent="0.2">
      <c r="B2384" s="5" t="s">
        <v>9008</v>
      </c>
      <c r="C2384" s="6" t="s">
        <v>13589</v>
      </c>
      <c r="D2384" s="4">
        <v>596</v>
      </c>
      <c r="E2384" s="5" t="s">
        <v>20</v>
      </c>
      <c r="F2384" s="5" t="s">
        <v>9389</v>
      </c>
      <c r="G2384" s="6" t="s">
        <v>53</v>
      </c>
      <c r="H2384" s="4"/>
      <c r="I2384" s="5" t="s">
        <v>38</v>
      </c>
      <c r="J2384" s="5" t="s">
        <v>9390</v>
      </c>
      <c r="K2384" s="5" t="s">
        <v>9058</v>
      </c>
      <c r="L2384" s="5"/>
      <c r="M2384" s="5" t="s">
        <v>3893</v>
      </c>
      <c r="N2384" s="5" t="s">
        <v>461</v>
      </c>
      <c r="O2384" s="5" t="s">
        <v>9020</v>
      </c>
      <c r="P2384" s="5"/>
      <c r="Q2384" s="5" t="s">
        <v>9391</v>
      </c>
    </row>
    <row r="2385" spans="2:17" x14ac:dyDescent="0.2">
      <c r="B2385" s="5" t="s">
        <v>9008</v>
      </c>
      <c r="C2385" s="6" t="s">
        <v>13589</v>
      </c>
      <c r="D2385" s="4">
        <v>676</v>
      </c>
      <c r="E2385" s="5" t="s">
        <v>20</v>
      </c>
      <c r="F2385" s="5" t="s">
        <v>9125</v>
      </c>
      <c r="G2385" s="6" t="s">
        <v>53</v>
      </c>
      <c r="H2385" s="4"/>
      <c r="I2385" s="5" t="s">
        <v>22</v>
      </c>
      <c r="J2385" s="5" t="s">
        <v>9126</v>
      </c>
      <c r="K2385" s="5" t="s">
        <v>9127</v>
      </c>
      <c r="L2385" s="5"/>
      <c r="M2385" s="5" t="s">
        <v>1915</v>
      </c>
      <c r="N2385" s="5" t="s">
        <v>1247</v>
      </c>
      <c r="O2385" s="5" t="s">
        <v>9010</v>
      </c>
      <c r="P2385" s="5"/>
      <c r="Q2385" s="5" t="s">
        <v>9128</v>
      </c>
    </row>
    <row r="2386" spans="2:17" x14ac:dyDescent="0.2">
      <c r="B2386" s="5" t="s">
        <v>9008</v>
      </c>
      <c r="C2386" s="6" t="s">
        <v>13589</v>
      </c>
      <c r="D2386" s="4">
        <v>686</v>
      </c>
      <c r="E2386" s="5" t="s">
        <v>20</v>
      </c>
      <c r="F2386" s="5" t="s">
        <v>9023</v>
      </c>
      <c r="G2386" s="6" t="s">
        <v>53</v>
      </c>
      <c r="H2386" s="4"/>
      <c r="I2386" s="5" t="s">
        <v>22</v>
      </c>
      <c r="J2386" s="5" t="s">
        <v>9099</v>
      </c>
      <c r="K2386" s="5" t="s">
        <v>9024</v>
      </c>
      <c r="L2386" s="5"/>
      <c r="M2386" s="5" t="s">
        <v>548</v>
      </c>
      <c r="N2386" s="5" t="s">
        <v>1723</v>
      </c>
      <c r="O2386" s="5" t="s">
        <v>9010</v>
      </c>
      <c r="P2386" s="5"/>
      <c r="Q2386" s="5" t="s">
        <v>9100</v>
      </c>
    </row>
    <row r="2387" spans="2:17" x14ac:dyDescent="0.2">
      <c r="B2387" s="5" t="s">
        <v>9008</v>
      </c>
      <c r="C2387" s="6" t="s">
        <v>13589</v>
      </c>
      <c r="D2387" s="4">
        <v>687</v>
      </c>
      <c r="E2387" s="5" t="s">
        <v>20</v>
      </c>
      <c r="F2387" s="5" t="s">
        <v>9101</v>
      </c>
      <c r="G2387" s="6" t="s">
        <v>53</v>
      </c>
      <c r="H2387" s="4"/>
      <c r="I2387" s="5" t="s">
        <v>22</v>
      </c>
      <c r="J2387" s="5" t="s">
        <v>9102</v>
      </c>
      <c r="K2387" s="5" t="s">
        <v>9009</v>
      </c>
      <c r="L2387" s="5"/>
      <c r="M2387" s="5" t="s">
        <v>548</v>
      </c>
      <c r="N2387" s="5" t="s">
        <v>1723</v>
      </c>
      <c r="O2387" s="5" t="s">
        <v>9010</v>
      </c>
      <c r="P2387" s="5"/>
      <c r="Q2387" s="5" t="s">
        <v>9103</v>
      </c>
    </row>
    <row r="2388" spans="2:17" x14ac:dyDescent="0.2">
      <c r="B2388" s="5" t="s">
        <v>9550</v>
      </c>
      <c r="C2388" s="6" t="s">
        <v>13589</v>
      </c>
      <c r="D2388" s="4">
        <v>767</v>
      </c>
      <c r="E2388" s="5" t="s">
        <v>15</v>
      </c>
      <c r="F2388" s="5" t="s">
        <v>10001</v>
      </c>
      <c r="G2388" s="6" t="s">
        <v>53</v>
      </c>
      <c r="H2388" s="4"/>
      <c r="I2388" s="5"/>
      <c r="J2388" s="5" t="s">
        <v>10002</v>
      </c>
      <c r="K2388" s="5" t="s">
        <v>37</v>
      </c>
      <c r="L2388" s="5"/>
      <c r="M2388" s="5" t="s">
        <v>1043</v>
      </c>
      <c r="N2388" s="5" t="s">
        <v>1642</v>
      </c>
      <c r="O2388" s="5" t="s">
        <v>9553</v>
      </c>
      <c r="P2388" s="5"/>
      <c r="Q2388" s="5" t="s">
        <v>10003</v>
      </c>
    </row>
    <row r="2389" spans="2:17" x14ac:dyDescent="0.2">
      <c r="B2389" s="5" t="s">
        <v>13091</v>
      </c>
      <c r="C2389" s="6" t="s">
        <v>13589</v>
      </c>
      <c r="D2389" s="4">
        <v>1809</v>
      </c>
      <c r="E2389" s="5" t="s">
        <v>20</v>
      </c>
      <c r="F2389" s="5" t="s">
        <v>13273</v>
      </c>
      <c r="G2389" s="6" t="s">
        <v>53</v>
      </c>
      <c r="H2389" s="4"/>
      <c r="I2389" s="5" t="s">
        <v>38</v>
      </c>
      <c r="J2389" s="5" t="s">
        <v>13269</v>
      </c>
      <c r="K2389" s="5" t="s">
        <v>13274</v>
      </c>
      <c r="L2389" s="5"/>
      <c r="M2389" s="5" t="s">
        <v>198</v>
      </c>
      <c r="N2389" s="5" t="s">
        <v>468</v>
      </c>
      <c r="O2389" s="5" t="s">
        <v>13098</v>
      </c>
      <c r="P2389" s="5"/>
      <c r="Q2389" s="5" t="s">
        <v>13275</v>
      </c>
    </row>
    <row r="2390" spans="2:17" x14ac:dyDescent="0.2">
      <c r="B2390" s="5" t="s">
        <v>13091</v>
      </c>
      <c r="C2390" s="6" t="s">
        <v>13589</v>
      </c>
      <c r="D2390" s="4">
        <v>1812</v>
      </c>
      <c r="E2390" s="5" t="s">
        <v>20</v>
      </c>
      <c r="F2390" s="5" t="s">
        <v>13268</v>
      </c>
      <c r="G2390" s="6" t="s">
        <v>53</v>
      </c>
      <c r="H2390" s="4"/>
      <c r="I2390" s="5" t="s">
        <v>38</v>
      </c>
      <c r="J2390" s="5" t="s">
        <v>13269</v>
      </c>
      <c r="K2390" s="5" t="s">
        <v>13270</v>
      </c>
      <c r="L2390" s="5"/>
      <c r="M2390" s="5" t="s">
        <v>468</v>
      </c>
      <c r="N2390" s="5" t="s">
        <v>3271</v>
      </c>
      <c r="O2390" s="5" t="s">
        <v>13098</v>
      </c>
      <c r="P2390" s="5"/>
      <c r="Q2390" s="5" t="s">
        <v>13271</v>
      </c>
    </row>
    <row r="2391" spans="2:17" x14ac:dyDescent="0.2">
      <c r="B2391" s="5" t="s">
        <v>13091</v>
      </c>
      <c r="C2391" s="6" t="s">
        <v>13589</v>
      </c>
      <c r="D2391" s="4">
        <v>1813</v>
      </c>
      <c r="E2391" s="5" t="s">
        <v>20</v>
      </c>
      <c r="F2391" s="5" t="s">
        <v>13268</v>
      </c>
      <c r="G2391" s="6" t="s">
        <v>53</v>
      </c>
      <c r="H2391" s="4"/>
      <c r="I2391" s="5" t="s">
        <v>38</v>
      </c>
      <c r="J2391" s="5" t="s">
        <v>13252</v>
      </c>
      <c r="K2391" s="5" t="s">
        <v>13136</v>
      </c>
      <c r="L2391" s="5"/>
      <c r="M2391" s="5" t="s">
        <v>468</v>
      </c>
      <c r="N2391" s="5" t="s">
        <v>3271</v>
      </c>
      <c r="O2391" s="5" t="s">
        <v>13098</v>
      </c>
      <c r="P2391" s="5"/>
      <c r="Q2391" s="5" t="s">
        <v>13272</v>
      </c>
    </row>
    <row r="2392" spans="2:17" x14ac:dyDescent="0.2">
      <c r="B2392" s="5" t="s">
        <v>5681</v>
      </c>
      <c r="C2392" s="6" t="s">
        <v>13589</v>
      </c>
      <c r="D2392" s="4">
        <v>200</v>
      </c>
      <c r="E2392" s="5" t="s">
        <v>20</v>
      </c>
      <c r="F2392" s="5" t="s">
        <v>5895</v>
      </c>
      <c r="G2392" s="6" t="s">
        <v>58</v>
      </c>
      <c r="H2392" s="4"/>
      <c r="I2392" s="5" t="s">
        <v>22</v>
      </c>
      <c r="J2392" s="5" t="s">
        <v>5896</v>
      </c>
      <c r="K2392" s="5" t="s">
        <v>5816</v>
      </c>
      <c r="L2392" s="5"/>
      <c r="M2392" s="5" t="s">
        <v>443</v>
      </c>
      <c r="N2392" s="5" t="s">
        <v>157</v>
      </c>
      <c r="O2392" s="5" t="s">
        <v>5683</v>
      </c>
      <c r="P2392" s="5"/>
      <c r="Q2392" s="5" t="s">
        <v>5897</v>
      </c>
    </row>
    <row r="2393" spans="2:17" x14ac:dyDescent="0.2">
      <c r="B2393" s="5" t="s">
        <v>8683</v>
      </c>
      <c r="C2393" s="6" t="s">
        <v>13589</v>
      </c>
      <c r="D2393" s="4">
        <v>449</v>
      </c>
      <c r="E2393" s="5" t="s">
        <v>20</v>
      </c>
      <c r="F2393" s="5" t="s">
        <v>5895</v>
      </c>
      <c r="G2393" s="6" t="s">
        <v>58</v>
      </c>
      <c r="H2393" s="4"/>
      <c r="I2393" s="5" t="s">
        <v>22</v>
      </c>
      <c r="J2393" s="5" t="s">
        <v>5896</v>
      </c>
      <c r="K2393" s="5" t="s">
        <v>8906</v>
      </c>
      <c r="L2393" s="5"/>
      <c r="M2393" s="5" t="s">
        <v>443</v>
      </c>
      <c r="N2393" s="5" t="s">
        <v>157</v>
      </c>
      <c r="O2393" s="5" t="s">
        <v>5702</v>
      </c>
      <c r="P2393" s="5"/>
      <c r="Q2393" s="5" t="s">
        <v>8907</v>
      </c>
    </row>
    <row r="2394" spans="2:17" x14ac:dyDescent="0.2">
      <c r="B2394" s="5" t="s">
        <v>9550</v>
      </c>
      <c r="C2394" s="6" t="s">
        <v>13589</v>
      </c>
      <c r="D2394" s="4">
        <v>923</v>
      </c>
      <c r="E2394" s="5" t="s">
        <v>24</v>
      </c>
      <c r="F2394" s="5" t="s">
        <v>10052</v>
      </c>
      <c r="G2394" s="6" t="s">
        <v>58</v>
      </c>
      <c r="H2394" s="4"/>
      <c r="I2394" s="5"/>
      <c r="J2394" s="5" t="s">
        <v>10053</v>
      </c>
      <c r="K2394" s="5" t="s">
        <v>9581</v>
      </c>
      <c r="L2394" s="5"/>
      <c r="M2394" s="5" t="s">
        <v>489</v>
      </c>
      <c r="N2394" s="5" t="s">
        <v>1658</v>
      </c>
      <c r="O2394" s="5" t="s">
        <v>9552</v>
      </c>
      <c r="P2394" s="5"/>
      <c r="Q2394" s="5" t="s">
        <v>10054</v>
      </c>
    </row>
    <row r="2395" spans="2:17" x14ac:dyDescent="0.2">
      <c r="B2395" s="5" t="s">
        <v>8364</v>
      </c>
      <c r="C2395" s="6" t="s">
        <v>13589</v>
      </c>
      <c r="D2395" s="4">
        <v>351</v>
      </c>
      <c r="E2395" s="5" t="s">
        <v>20</v>
      </c>
      <c r="F2395" s="5" t="s">
        <v>8502</v>
      </c>
      <c r="G2395" s="6" t="s">
        <v>67</v>
      </c>
      <c r="H2395" s="4"/>
      <c r="I2395" s="5" t="s">
        <v>22</v>
      </c>
      <c r="J2395" s="5" t="s">
        <v>8503</v>
      </c>
      <c r="K2395" s="5" t="s">
        <v>8481</v>
      </c>
      <c r="L2395" s="5"/>
      <c r="M2395" s="5" t="s">
        <v>422</v>
      </c>
      <c r="N2395" s="5" t="s">
        <v>4373</v>
      </c>
      <c r="O2395" s="5" t="s">
        <v>8504</v>
      </c>
      <c r="P2395" s="5"/>
      <c r="Q2395" s="5" t="s">
        <v>8505</v>
      </c>
    </row>
    <row r="2396" spans="2:17" x14ac:dyDescent="0.2">
      <c r="B2396" s="5" t="s">
        <v>9550</v>
      </c>
      <c r="C2396" s="6" t="s">
        <v>13589</v>
      </c>
      <c r="D2396" s="4">
        <v>802</v>
      </c>
      <c r="E2396" s="5" t="s">
        <v>24</v>
      </c>
      <c r="F2396" s="5" t="s">
        <v>9896</v>
      </c>
      <c r="G2396" s="6" t="s">
        <v>67</v>
      </c>
      <c r="H2396" s="4"/>
      <c r="I2396" s="5"/>
      <c r="J2396" s="5" t="s">
        <v>9897</v>
      </c>
      <c r="K2396" s="5" t="s">
        <v>9609</v>
      </c>
      <c r="L2396" s="5"/>
      <c r="M2396" s="5" t="s">
        <v>428</v>
      </c>
      <c r="N2396" s="5" t="s">
        <v>423</v>
      </c>
      <c r="O2396" s="5" t="s">
        <v>3790</v>
      </c>
      <c r="P2396" s="5"/>
      <c r="Q2396" s="5" t="s">
        <v>9898</v>
      </c>
    </row>
    <row r="2397" spans="2:17" x14ac:dyDescent="0.2">
      <c r="B2397" s="5" t="s">
        <v>10685</v>
      </c>
      <c r="C2397" s="6" t="s">
        <v>13589</v>
      </c>
      <c r="D2397" s="4">
        <v>1128</v>
      </c>
      <c r="E2397" s="5" t="s">
        <v>20</v>
      </c>
      <c r="F2397" s="5" t="s">
        <v>11028</v>
      </c>
      <c r="G2397" s="6" t="s">
        <v>67</v>
      </c>
      <c r="H2397" s="4"/>
      <c r="I2397" s="5" t="s">
        <v>22</v>
      </c>
      <c r="J2397" s="5" t="s">
        <v>11029</v>
      </c>
      <c r="K2397" s="5" t="s">
        <v>11030</v>
      </c>
      <c r="L2397" s="5"/>
      <c r="M2397" s="5" t="s">
        <v>185</v>
      </c>
      <c r="N2397" s="5" t="s">
        <v>465</v>
      </c>
      <c r="O2397" s="5" t="s">
        <v>11031</v>
      </c>
      <c r="P2397" s="5"/>
      <c r="Q2397" s="5" t="s">
        <v>11032</v>
      </c>
    </row>
    <row r="2398" spans="2:17" x14ac:dyDescent="0.2">
      <c r="B2398" s="5" t="s">
        <v>5681</v>
      </c>
      <c r="C2398" s="6" t="s">
        <v>13589</v>
      </c>
      <c r="D2398" s="4">
        <v>267</v>
      </c>
      <c r="E2398" s="5" t="s">
        <v>20</v>
      </c>
      <c r="F2398" s="5" t="s">
        <v>5718</v>
      </c>
      <c r="G2398" s="6" t="s">
        <v>49</v>
      </c>
      <c r="H2398" s="4"/>
      <c r="I2398" s="5" t="s">
        <v>22</v>
      </c>
      <c r="J2398" s="5" t="s">
        <v>5719</v>
      </c>
      <c r="K2398" s="5" t="s">
        <v>5703</v>
      </c>
      <c r="L2398" s="5"/>
      <c r="M2398" s="5" t="s">
        <v>3997</v>
      </c>
      <c r="N2398" s="5" t="s">
        <v>5716</v>
      </c>
      <c r="O2398" s="5" t="s">
        <v>5683</v>
      </c>
      <c r="P2398" s="5"/>
      <c r="Q2398" s="5" t="s">
        <v>5720</v>
      </c>
    </row>
    <row r="2399" spans="2:17" x14ac:dyDescent="0.2">
      <c r="B2399" s="5" t="s">
        <v>5681</v>
      </c>
      <c r="C2399" s="6" t="s">
        <v>13589</v>
      </c>
      <c r="D2399" s="4">
        <v>268</v>
      </c>
      <c r="E2399" s="5" t="s">
        <v>20</v>
      </c>
      <c r="F2399" s="5" t="s">
        <v>5718</v>
      </c>
      <c r="G2399" s="6" t="s">
        <v>49</v>
      </c>
      <c r="H2399" s="4"/>
      <c r="I2399" s="5" t="s">
        <v>22</v>
      </c>
      <c r="J2399" s="5" t="s">
        <v>5721</v>
      </c>
      <c r="K2399" s="5" t="s">
        <v>5688</v>
      </c>
      <c r="L2399" s="5"/>
      <c r="M2399" s="5" t="s">
        <v>3997</v>
      </c>
      <c r="N2399" s="5" t="s">
        <v>5716</v>
      </c>
      <c r="O2399" s="5" t="s">
        <v>5683</v>
      </c>
      <c r="P2399" s="5"/>
      <c r="Q2399" s="5" t="s">
        <v>5722</v>
      </c>
    </row>
    <row r="2400" spans="2:17" x14ac:dyDescent="0.2">
      <c r="B2400" s="5" t="s">
        <v>5681</v>
      </c>
      <c r="C2400" s="6" t="s">
        <v>13589</v>
      </c>
      <c r="D2400" s="4">
        <v>269</v>
      </c>
      <c r="E2400" s="5" t="s">
        <v>20</v>
      </c>
      <c r="F2400" s="5" t="s">
        <v>5715</v>
      </c>
      <c r="G2400" s="6" t="s">
        <v>49</v>
      </c>
      <c r="H2400" s="4"/>
      <c r="I2400" s="5" t="s">
        <v>22</v>
      </c>
      <c r="J2400" s="5" t="s">
        <v>546</v>
      </c>
      <c r="K2400" s="5" t="s">
        <v>5713</v>
      </c>
      <c r="L2400" s="5"/>
      <c r="M2400" s="5" t="s">
        <v>3997</v>
      </c>
      <c r="N2400" s="5" t="s">
        <v>5716</v>
      </c>
      <c r="O2400" s="5" t="s">
        <v>5702</v>
      </c>
      <c r="P2400" s="5"/>
      <c r="Q2400" s="5" t="s">
        <v>5717</v>
      </c>
    </row>
    <row r="2401" spans="2:17" x14ac:dyDescent="0.2">
      <c r="B2401" s="5" t="s">
        <v>5681</v>
      </c>
      <c r="C2401" s="6" t="s">
        <v>13589</v>
      </c>
      <c r="D2401" s="4">
        <v>270</v>
      </c>
      <c r="E2401" s="5" t="s">
        <v>20</v>
      </c>
      <c r="F2401" s="5" t="s">
        <v>5723</v>
      </c>
      <c r="G2401" s="6" t="s">
        <v>49</v>
      </c>
      <c r="H2401" s="4"/>
      <c r="I2401" s="5" t="s">
        <v>22</v>
      </c>
      <c r="J2401" s="5" t="s">
        <v>5721</v>
      </c>
      <c r="K2401" s="5" t="s">
        <v>5724</v>
      </c>
      <c r="L2401" s="5"/>
      <c r="M2401" s="5" t="s">
        <v>3997</v>
      </c>
      <c r="N2401" s="5" t="s">
        <v>5725</v>
      </c>
      <c r="O2401" s="5" t="s">
        <v>5683</v>
      </c>
      <c r="P2401" s="5"/>
      <c r="Q2401" s="5" t="s">
        <v>5726</v>
      </c>
    </row>
    <row r="2402" spans="2:17" x14ac:dyDescent="0.2">
      <c r="B2402" s="5" t="s">
        <v>8190</v>
      </c>
      <c r="C2402" s="6" t="s">
        <v>13589</v>
      </c>
      <c r="D2402" s="4">
        <v>303</v>
      </c>
      <c r="E2402" s="5" t="s">
        <v>24</v>
      </c>
      <c r="F2402" s="5" t="s">
        <v>8253</v>
      </c>
      <c r="G2402" s="6" t="s">
        <v>49</v>
      </c>
      <c r="H2402" s="4"/>
      <c r="I2402" s="5"/>
      <c r="J2402" s="5" t="s">
        <v>8254</v>
      </c>
      <c r="K2402" s="5" t="s">
        <v>8255</v>
      </c>
      <c r="L2402" s="5" t="s">
        <v>8256</v>
      </c>
      <c r="M2402" s="5" t="s">
        <v>2147</v>
      </c>
      <c r="N2402" s="5" t="s">
        <v>399</v>
      </c>
      <c r="O2402" s="5" t="s">
        <v>8257</v>
      </c>
      <c r="P2402" s="5"/>
      <c r="Q2402" s="5" t="s">
        <v>8258</v>
      </c>
    </row>
    <row r="2403" spans="2:17" x14ac:dyDescent="0.2">
      <c r="B2403" s="5" t="s">
        <v>8683</v>
      </c>
      <c r="C2403" s="6" t="s">
        <v>13589</v>
      </c>
      <c r="D2403" s="4">
        <v>561</v>
      </c>
      <c r="E2403" s="5" t="s">
        <v>20</v>
      </c>
      <c r="F2403" s="5" t="s">
        <v>5715</v>
      </c>
      <c r="G2403" s="6" t="s">
        <v>49</v>
      </c>
      <c r="H2403" s="4"/>
      <c r="I2403" s="5" t="s">
        <v>22</v>
      </c>
      <c r="J2403" s="5" t="s">
        <v>546</v>
      </c>
      <c r="K2403" s="5" t="s">
        <v>8688</v>
      </c>
      <c r="L2403" s="5"/>
      <c r="M2403" s="5" t="s">
        <v>3997</v>
      </c>
      <c r="N2403" s="5" t="s">
        <v>5716</v>
      </c>
      <c r="O2403" s="5" t="s">
        <v>5702</v>
      </c>
      <c r="P2403" s="5"/>
      <c r="Q2403" s="5" t="s">
        <v>8691</v>
      </c>
    </row>
    <row r="2404" spans="2:17" x14ac:dyDescent="0.2">
      <c r="B2404" s="5" t="s">
        <v>8683</v>
      </c>
      <c r="C2404" s="6" t="s">
        <v>13589</v>
      </c>
      <c r="D2404" s="4">
        <v>563</v>
      </c>
      <c r="E2404" s="5" t="s">
        <v>20</v>
      </c>
      <c r="F2404" s="5" t="s">
        <v>5723</v>
      </c>
      <c r="G2404" s="6" t="s">
        <v>49</v>
      </c>
      <c r="H2404" s="4"/>
      <c r="I2404" s="5" t="s">
        <v>22</v>
      </c>
      <c r="J2404" s="5" t="s">
        <v>5721</v>
      </c>
      <c r="K2404" s="5" t="s">
        <v>8689</v>
      </c>
      <c r="L2404" s="5"/>
      <c r="M2404" s="5" t="s">
        <v>3997</v>
      </c>
      <c r="N2404" s="5" t="s">
        <v>5725</v>
      </c>
      <c r="O2404" s="5" t="s">
        <v>5683</v>
      </c>
      <c r="P2404" s="5"/>
      <c r="Q2404" s="5" t="s">
        <v>8690</v>
      </c>
    </row>
    <row r="2405" spans="2:17" x14ac:dyDescent="0.2">
      <c r="B2405" s="5" t="s">
        <v>12409</v>
      </c>
      <c r="C2405" s="6" t="s">
        <v>13589</v>
      </c>
      <c r="D2405" s="4">
        <v>1745</v>
      </c>
      <c r="E2405" s="5" t="s">
        <v>35</v>
      </c>
      <c r="F2405" s="5" t="s">
        <v>12502</v>
      </c>
      <c r="G2405" s="6" t="s">
        <v>49</v>
      </c>
      <c r="H2405" s="4"/>
      <c r="I2405" s="5"/>
      <c r="J2405" s="5" t="s">
        <v>12503</v>
      </c>
      <c r="K2405" s="5" t="s">
        <v>12436</v>
      </c>
      <c r="L2405" s="5"/>
      <c r="M2405" s="5" t="s">
        <v>1736</v>
      </c>
      <c r="N2405" s="5" t="s">
        <v>1262</v>
      </c>
      <c r="O2405" s="5" t="s">
        <v>12414</v>
      </c>
      <c r="P2405" s="5" t="s">
        <v>12504</v>
      </c>
      <c r="Q2405" s="5" t="s">
        <v>12505</v>
      </c>
    </row>
    <row r="2406" spans="2:17" x14ac:dyDescent="0.2">
      <c r="B2406" s="5" t="s">
        <v>8364</v>
      </c>
      <c r="C2406" s="6" t="s">
        <v>13589</v>
      </c>
      <c r="D2406" s="4">
        <v>334</v>
      </c>
      <c r="E2406" s="5" t="s">
        <v>20</v>
      </c>
      <c r="F2406" s="5" t="s">
        <v>8561</v>
      </c>
      <c r="G2406" s="6" t="s">
        <v>1904</v>
      </c>
      <c r="H2406" s="4"/>
      <c r="I2406" s="5" t="s">
        <v>22</v>
      </c>
      <c r="J2406" s="5" t="s">
        <v>8562</v>
      </c>
      <c r="K2406" s="5" t="s">
        <v>8385</v>
      </c>
      <c r="L2406" s="5"/>
      <c r="M2406" s="5" t="s">
        <v>5369</v>
      </c>
      <c r="N2406" s="5" t="s">
        <v>211</v>
      </c>
      <c r="O2406" s="5" t="s">
        <v>8368</v>
      </c>
      <c r="P2406" s="5"/>
      <c r="Q2406" s="5" t="s">
        <v>8563</v>
      </c>
    </row>
    <row r="2407" spans="2:17" x14ac:dyDescent="0.2">
      <c r="B2407" s="5" t="s">
        <v>8364</v>
      </c>
      <c r="C2407" s="6" t="s">
        <v>13589</v>
      </c>
      <c r="D2407" s="4">
        <v>335</v>
      </c>
      <c r="E2407" s="5" t="s">
        <v>20</v>
      </c>
      <c r="F2407" s="5" t="s">
        <v>8558</v>
      </c>
      <c r="G2407" s="6" t="s">
        <v>1904</v>
      </c>
      <c r="H2407" s="4"/>
      <c r="I2407" s="5" t="s">
        <v>22</v>
      </c>
      <c r="J2407" s="5" t="s">
        <v>8559</v>
      </c>
      <c r="K2407" s="5" t="s">
        <v>8385</v>
      </c>
      <c r="L2407" s="5"/>
      <c r="M2407" s="5" t="s">
        <v>211</v>
      </c>
      <c r="N2407" s="5" t="s">
        <v>211</v>
      </c>
      <c r="O2407" s="5" t="s">
        <v>8368</v>
      </c>
      <c r="P2407" s="5"/>
      <c r="Q2407" s="5" t="s">
        <v>8560</v>
      </c>
    </row>
    <row r="2408" spans="2:17" x14ac:dyDescent="0.2">
      <c r="B2408" s="5" t="s">
        <v>5681</v>
      </c>
      <c r="C2408" s="6" t="s">
        <v>13589</v>
      </c>
      <c r="D2408" s="4">
        <v>241</v>
      </c>
      <c r="E2408" s="5" t="s">
        <v>35</v>
      </c>
      <c r="F2408" s="5" t="s">
        <v>5831</v>
      </c>
      <c r="G2408" s="6" t="s">
        <v>48</v>
      </c>
      <c r="H2408" s="4"/>
      <c r="I2408" s="5"/>
      <c r="J2408" s="5" t="s">
        <v>5832</v>
      </c>
      <c r="K2408" s="5" t="s">
        <v>5686</v>
      </c>
      <c r="L2408" s="5"/>
      <c r="M2408" s="5" t="s">
        <v>5833</v>
      </c>
      <c r="N2408" s="5" t="s">
        <v>284</v>
      </c>
      <c r="O2408" s="5" t="s">
        <v>5687</v>
      </c>
      <c r="P2408" s="5"/>
      <c r="Q2408" s="5" t="s">
        <v>5834</v>
      </c>
    </row>
    <row r="2409" spans="2:17" x14ac:dyDescent="0.2">
      <c r="B2409" s="5" t="s">
        <v>8163</v>
      </c>
      <c r="C2409" s="6" t="s">
        <v>13589</v>
      </c>
      <c r="D2409" s="4">
        <v>274</v>
      </c>
      <c r="E2409" s="5" t="s">
        <v>20</v>
      </c>
      <c r="F2409" s="5" t="s">
        <v>8173</v>
      </c>
      <c r="G2409" s="6" t="s">
        <v>48</v>
      </c>
      <c r="H2409" s="4"/>
      <c r="I2409" s="5" t="s">
        <v>22</v>
      </c>
      <c r="J2409" s="5" t="s">
        <v>8174</v>
      </c>
      <c r="K2409" s="5" t="s">
        <v>8175</v>
      </c>
      <c r="L2409" s="5"/>
      <c r="M2409" s="5" t="s">
        <v>2198</v>
      </c>
      <c r="N2409" s="5" t="s">
        <v>1634</v>
      </c>
      <c r="O2409" s="5" t="s">
        <v>8164</v>
      </c>
      <c r="P2409" s="5"/>
      <c r="Q2409" s="5" t="s">
        <v>8176</v>
      </c>
    </row>
    <row r="2410" spans="2:17" x14ac:dyDescent="0.2">
      <c r="B2410" s="5" t="s">
        <v>8364</v>
      </c>
      <c r="C2410" s="6" t="s">
        <v>13589</v>
      </c>
      <c r="D2410" s="4">
        <v>390</v>
      </c>
      <c r="E2410" s="5" t="s">
        <v>32</v>
      </c>
      <c r="F2410" s="5" t="s">
        <v>8473</v>
      </c>
      <c r="G2410" s="6" t="s">
        <v>48</v>
      </c>
      <c r="H2410" s="4"/>
      <c r="I2410" s="5" t="s">
        <v>38</v>
      </c>
      <c r="J2410" s="5" t="s">
        <v>8474</v>
      </c>
      <c r="K2410" s="5"/>
      <c r="L2410" s="5"/>
      <c r="M2410" s="5" t="s">
        <v>1520</v>
      </c>
      <c r="N2410" s="5" t="s">
        <v>5737</v>
      </c>
      <c r="O2410" s="5" t="s">
        <v>8372</v>
      </c>
      <c r="P2410" s="5"/>
      <c r="Q2410" s="5" t="s">
        <v>8475</v>
      </c>
    </row>
    <row r="2411" spans="2:17" x14ac:dyDescent="0.2">
      <c r="B2411" s="5" t="s">
        <v>8364</v>
      </c>
      <c r="C2411" s="6" t="s">
        <v>13589</v>
      </c>
      <c r="D2411" s="4">
        <v>391</v>
      </c>
      <c r="E2411" s="5" t="s">
        <v>32</v>
      </c>
      <c r="F2411" s="5" t="s">
        <v>8473</v>
      </c>
      <c r="G2411" s="6" t="s">
        <v>48</v>
      </c>
      <c r="H2411" s="4"/>
      <c r="I2411" s="5" t="s">
        <v>38</v>
      </c>
      <c r="J2411" s="5" t="s">
        <v>8476</v>
      </c>
      <c r="K2411" s="5"/>
      <c r="L2411" s="5"/>
      <c r="M2411" s="5" t="s">
        <v>1520</v>
      </c>
      <c r="N2411" s="5" t="s">
        <v>5737</v>
      </c>
      <c r="O2411" s="5" t="s">
        <v>8372</v>
      </c>
      <c r="P2411" s="5"/>
      <c r="Q2411" s="5" t="s">
        <v>8475</v>
      </c>
    </row>
    <row r="2412" spans="2:17" x14ac:dyDescent="0.2">
      <c r="B2412" s="5" t="s">
        <v>8364</v>
      </c>
      <c r="C2412" s="6" t="s">
        <v>13589</v>
      </c>
      <c r="D2412" s="4">
        <v>392</v>
      </c>
      <c r="E2412" s="5" t="s">
        <v>32</v>
      </c>
      <c r="F2412" s="5" t="s">
        <v>8473</v>
      </c>
      <c r="G2412" s="6" t="s">
        <v>48</v>
      </c>
      <c r="H2412" s="4"/>
      <c r="I2412" s="5" t="s">
        <v>38</v>
      </c>
      <c r="J2412" s="5" t="s">
        <v>8474</v>
      </c>
      <c r="K2412" s="5"/>
      <c r="L2412" s="5"/>
      <c r="M2412" s="5" t="s">
        <v>1520</v>
      </c>
      <c r="N2412" s="5" t="s">
        <v>5737</v>
      </c>
      <c r="O2412" s="5" t="s">
        <v>8372</v>
      </c>
      <c r="P2412" s="5"/>
      <c r="Q2412" s="5" t="s">
        <v>8477</v>
      </c>
    </row>
    <row r="2413" spans="2:17" x14ac:dyDescent="0.2">
      <c r="B2413" s="5" t="s">
        <v>8364</v>
      </c>
      <c r="C2413" s="6" t="s">
        <v>13589</v>
      </c>
      <c r="D2413" s="4">
        <v>393</v>
      </c>
      <c r="E2413" s="5" t="s">
        <v>32</v>
      </c>
      <c r="F2413" s="5" t="s">
        <v>8473</v>
      </c>
      <c r="G2413" s="6" t="s">
        <v>48</v>
      </c>
      <c r="H2413" s="4"/>
      <c r="I2413" s="5" t="s">
        <v>38</v>
      </c>
      <c r="J2413" s="5" t="s">
        <v>8476</v>
      </c>
      <c r="K2413" s="5"/>
      <c r="L2413" s="5"/>
      <c r="M2413" s="5" t="s">
        <v>1520</v>
      </c>
      <c r="N2413" s="5" t="s">
        <v>5737</v>
      </c>
      <c r="O2413" s="5" t="s">
        <v>8372</v>
      </c>
      <c r="P2413" s="5"/>
      <c r="Q2413" s="5" t="s">
        <v>8477</v>
      </c>
    </row>
    <row r="2414" spans="2:17" x14ac:dyDescent="0.2">
      <c r="B2414" s="5" t="s">
        <v>8364</v>
      </c>
      <c r="C2414" s="6" t="s">
        <v>13589</v>
      </c>
      <c r="D2414" s="4">
        <v>394</v>
      </c>
      <c r="E2414" s="5" t="s">
        <v>32</v>
      </c>
      <c r="F2414" s="5" t="s">
        <v>8473</v>
      </c>
      <c r="G2414" s="6" t="s">
        <v>48</v>
      </c>
      <c r="H2414" s="4"/>
      <c r="I2414" s="5" t="s">
        <v>38</v>
      </c>
      <c r="J2414" s="5" t="s">
        <v>8474</v>
      </c>
      <c r="K2414" s="5"/>
      <c r="L2414" s="5"/>
      <c r="M2414" s="5" t="s">
        <v>1520</v>
      </c>
      <c r="N2414" s="5" t="s">
        <v>5737</v>
      </c>
      <c r="O2414" s="5" t="s">
        <v>8372</v>
      </c>
      <c r="P2414" s="5"/>
      <c r="Q2414" s="5" t="s">
        <v>8478</v>
      </c>
    </row>
    <row r="2415" spans="2:17" x14ac:dyDescent="0.2">
      <c r="B2415" s="5" t="s">
        <v>8364</v>
      </c>
      <c r="C2415" s="6" t="s">
        <v>13589</v>
      </c>
      <c r="D2415" s="4">
        <v>395</v>
      </c>
      <c r="E2415" s="5" t="s">
        <v>32</v>
      </c>
      <c r="F2415" s="5" t="s">
        <v>8473</v>
      </c>
      <c r="G2415" s="6" t="s">
        <v>48</v>
      </c>
      <c r="H2415" s="4"/>
      <c r="I2415" s="5" t="s">
        <v>38</v>
      </c>
      <c r="J2415" s="5" t="s">
        <v>8476</v>
      </c>
      <c r="K2415" s="5"/>
      <c r="L2415" s="5"/>
      <c r="M2415" s="5" t="s">
        <v>1520</v>
      </c>
      <c r="N2415" s="5" t="s">
        <v>5737</v>
      </c>
      <c r="O2415" s="5" t="s">
        <v>8372</v>
      </c>
      <c r="P2415" s="5"/>
      <c r="Q2415" s="5" t="s">
        <v>8478</v>
      </c>
    </row>
    <row r="2416" spans="2:17" x14ac:dyDescent="0.2">
      <c r="B2416" s="5" t="s">
        <v>8364</v>
      </c>
      <c r="C2416" s="6" t="s">
        <v>13589</v>
      </c>
      <c r="D2416" s="4">
        <v>400</v>
      </c>
      <c r="E2416" s="5" t="s">
        <v>20</v>
      </c>
      <c r="F2416" s="5" t="s">
        <v>8662</v>
      </c>
      <c r="G2416" s="6" t="s">
        <v>48</v>
      </c>
      <c r="H2416" s="4"/>
      <c r="I2416" s="5" t="s">
        <v>22</v>
      </c>
      <c r="J2416" s="5" t="s">
        <v>8663</v>
      </c>
      <c r="K2416" s="5" t="s">
        <v>8664</v>
      </c>
      <c r="L2416" s="5"/>
      <c r="M2416" s="5" t="s">
        <v>3537</v>
      </c>
      <c r="N2416" s="5" t="s">
        <v>3537</v>
      </c>
      <c r="O2416" s="5" t="s">
        <v>8504</v>
      </c>
      <c r="P2416" s="5"/>
      <c r="Q2416" s="5" t="s">
        <v>8665</v>
      </c>
    </row>
    <row r="2417" spans="2:17" x14ac:dyDescent="0.2">
      <c r="B2417" s="5" t="s">
        <v>8364</v>
      </c>
      <c r="C2417" s="6" t="s">
        <v>13589</v>
      </c>
      <c r="D2417" s="4">
        <v>410</v>
      </c>
      <c r="E2417" s="5" t="s">
        <v>32</v>
      </c>
      <c r="F2417" s="5" t="s">
        <v>8473</v>
      </c>
      <c r="G2417" s="6" t="s">
        <v>48</v>
      </c>
      <c r="H2417" s="4"/>
      <c r="I2417" s="5" t="s">
        <v>38</v>
      </c>
      <c r="J2417" s="5" t="s">
        <v>8474</v>
      </c>
      <c r="K2417" s="5"/>
      <c r="L2417" s="5"/>
      <c r="M2417" s="5" t="s">
        <v>513</v>
      </c>
      <c r="N2417" s="5" t="s">
        <v>2278</v>
      </c>
      <c r="O2417" s="5" t="s">
        <v>8372</v>
      </c>
      <c r="P2417" s="5"/>
      <c r="Q2417" s="5" t="s">
        <v>8524</v>
      </c>
    </row>
    <row r="2418" spans="2:17" x14ac:dyDescent="0.2">
      <c r="B2418" s="5" t="s">
        <v>8364</v>
      </c>
      <c r="C2418" s="6" t="s">
        <v>13589</v>
      </c>
      <c r="D2418" s="4">
        <v>411</v>
      </c>
      <c r="E2418" s="5" t="s">
        <v>32</v>
      </c>
      <c r="F2418" s="5" t="s">
        <v>8473</v>
      </c>
      <c r="G2418" s="6" t="s">
        <v>48</v>
      </c>
      <c r="H2418" s="4"/>
      <c r="I2418" s="5" t="s">
        <v>38</v>
      </c>
      <c r="J2418" s="5" t="s">
        <v>8476</v>
      </c>
      <c r="K2418" s="5"/>
      <c r="L2418" s="5"/>
      <c r="M2418" s="5" t="s">
        <v>513</v>
      </c>
      <c r="N2418" s="5" t="s">
        <v>2278</v>
      </c>
      <c r="O2418" s="5" t="s">
        <v>8372</v>
      </c>
      <c r="P2418" s="5"/>
      <c r="Q2418" s="5" t="s">
        <v>8524</v>
      </c>
    </row>
    <row r="2419" spans="2:17" x14ac:dyDescent="0.2">
      <c r="B2419" s="5" t="s">
        <v>8364</v>
      </c>
      <c r="C2419" s="6" t="s">
        <v>13589</v>
      </c>
      <c r="D2419" s="4">
        <v>412</v>
      </c>
      <c r="E2419" s="5" t="s">
        <v>20</v>
      </c>
      <c r="F2419" s="5" t="s">
        <v>8473</v>
      </c>
      <c r="G2419" s="6" t="s">
        <v>48</v>
      </c>
      <c r="H2419" s="4"/>
      <c r="I2419" s="5" t="s">
        <v>22</v>
      </c>
      <c r="J2419" s="5" t="s">
        <v>8474</v>
      </c>
      <c r="K2419" s="5" t="s">
        <v>8666</v>
      </c>
      <c r="L2419" s="5" t="s">
        <v>8667</v>
      </c>
      <c r="M2419" s="5" t="s">
        <v>513</v>
      </c>
      <c r="N2419" s="5" t="s">
        <v>2278</v>
      </c>
      <c r="O2419" s="5" t="s">
        <v>8372</v>
      </c>
      <c r="P2419" s="5"/>
      <c r="Q2419" s="5" t="s">
        <v>8668</v>
      </c>
    </row>
    <row r="2420" spans="2:17" x14ac:dyDescent="0.2">
      <c r="B2420" s="5" t="s">
        <v>8364</v>
      </c>
      <c r="C2420" s="6" t="s">
        <v>13589</v>
      </c>
      <c r="D2420" s="4">
        <v>413</v>
      </c>
      <c r="E2420" s="5" t="s">
        <v>20</v>
      </c>
      <c r="F2420" s="5" t="s">
        <v>8473</v>
      </c>
      <c r="G2420" s="6" t="s">
        <v>48</v>
      </c>
      <c r="H2420" s="4"/>
      <c r="I2420" s="5" t="s">
        <v>22</v>
      </c>
      <c r="J2420" s="5" t="s">
        <v>8476</v>
      </c>
      <c r="K2420" s="5" t="s">
        <v>8440</v>
      </c>
      <c r="L2420" s="5"/>
      <c r="M2420" s="5" t="s">
        <v>513</v>
      </c>
      <c r="N2420" s="5" t="s">
        <v>2278</v>
      </c>
      <c r="O2420" s="5" t="s">
        <v>8372</v>
      </c>
      <c r="P2420" s="5"/>
      <c r="Q2420" s="5" t="s">
        <v>8669</v>
      </c>
    </row>
    <row r="2421" spans="2:17" x14ac:dyDescent="0.2">
      <c r="B2421" s="5" t="s">
        <v>8364</v>
      </c>
      <c r="C2421" s="6" t="s">
        <v>13589</v>
      </c>
      <c r="D2421" s="4">
        <v>416</v>
      </c>
      <c r="E2421" s="5" t="s">
        <v>20</v>
      </c>
      <c r="F2421" s="5" t="s">
        <v>8473</v>
      </c>
      <c r="G2421" s="6" t="s">
        <v>48</v>
      </c>
      <c r="H2421" s="4"/>
      <c r="I2421" s="5" t="s">
        <v>22</v>
      </c>
      <c r="J2421" s="5" t="s">
        <v>8670</v>
      </c>
      <c r="K2421" s="5" t="s">
        <v>8590</v>
      </c>
      <c r="L2421" s="5"/>
      <c r="M2421" s="5" t="s">
        <v>513</v>
      </c>
      <c r="N2421" s="5" t="s">
        <v>2278</v>
      </c>
      <c r="O2421" s="5" t="s">
        <v>8368</v>
      </c>
      <c r="P2421" s="5"/>
      <c r="Q2421" s="5" t="s">
        <v>8671</v>
      </c>
    </row>
    <row r="2422" spans="2:17" x14ac:dyDescent="0.2">
      <c r="B2422" s="5" t="s">
        <v>8364</v>
      </c>
      <c r="C2422" s="6" t="s">
        <v>13589</v>
      </c>
      <c r="D2422" s="4">
        <v>417</v>
      </c>
      <c r="E2422" s="5" t="s">
        <v>20</v>
      </c>
      <c r="F2422" s="5" t="s">
        <v>8473</v>
      </c>
      <c r="G2422" s="6" t="s">
        <v>48</v>
      </c>
      <c r="H2422" s="4"/>
      <c r="I2422" s="5" t="s">
        <v>22</v>
      </c>
      <c r="J2422" s="5" t="s">
        <v>8672</v>
      </c>
      <c r="K2422" s="5" t="s">
        <v>8673</v>
      </c>
      <c r="L2422" s="5"/>
      <c r="M2422" s="5" t="s">
        <v>513</v>
      </c>
      <c r="N2422" s="5" t="s">
        <v>2278</v>
      </c>
      <c r="O2422" s="5" t="s">
        <v>8429</v>
      </c>
      <c r="P2422" s="5"/>
      <c r="Q2422" s="5" t="s">
        <v>8674</v>
      </c>
    </row>
    <row r="2423" spans="2:17" x14ac:dyDescent="0.2">
      <c r="B2423" s="5" t="s">
        <v>8683</v>
      </c>
      <c r="C2423" s="6" t="s">
        <v>13589</v>
      </c>
      <c r="D2423" s="4">
        <v>497</v>
      </c>
      <c r="E2423" s="5" t="s">
        <v>20</v>
      </c>
      <c r="F2423" s="5" t="s">
        <v>8778</v>
      </c>
      <c r="G2423" s="6" t="s">
        <v>48</v>
      </c>
      <c r="H2423" s="4"/>
      <c r="I2423" s="5" t="s">
        <v>22</v>
      </c>
      <c r="J2423" s="5" t="s">
        <v>8779</v>
      </c>
      <c r="K2423" s="5" t="s">
        <v>8709</v>
      </c>
      <c r="L2423" s="5"/>
      <c r="M2423" s="5" t="s">
        <v>336</v>
      </c>
      <c r="N2423" s="5" t="s">
        <v>1962</v>
      </c>
      <c r="O2423" s="5" t="s">
        <v>5694</v>
      </c>
      <c r="P2423" s="5"/>
      <c r="Q2423" s="5" t="s">
        <v>8780</v>
      </c>
    </row>
    <row r="2424" spans="2:17" x14ac:dyDescent="0.2">
      <c r="B2424" s="5" t="s">
        <v>8683</v>
      </c>
      <c r="C2424" s="6" t="s">
        <v>13589</v>
      </c>
      <c r="D2424" s="4">
        <v>530</v>
      </c>
      <c r="E2424" s="5" t="s">
        <v>35</v>
      </c>
      <c r="F2424" s="5" t="s">
        <v>5831</v>
      </c>
      <c r="G2424" s="6" t="s">
        <v>48</v>
      </c>
      <c r="H2424" s="4"/>
      <c r="I2424" s="5"/>
      <c r="J2424" s="5" t="s">
        <v>5832</v>
      </c>
      <c r="K2424" s="5" t="s">
        <v>5686</v>
      </c>
      <c r="L2424" s="5"/>
      <c r="M2424" s="5" t="s">
        <v>5833</v>
      </c>
      <c r="N2424" s="5" t="s">
        <v>284</v>
      </c>
      <c r="O2424" s="5" t="s">
        <v>5687</v>
      </c>
      <c r="P2424" s="5"/>
      <c r="Q2424" s="5" t="s">
        <v>8747</v>
      </c>
    </row>
    <row r="2425" spans="2:17" x14ac:dyDescent="0.2">
      <c r="B2425" s="5" t="s">
        <v>9008</v>
      </c>
      <c r="C2425" s="6" t="s">
        <v>13589</v>
      </c>
      <c r="D2425" s="4">
        <v>580</v>
      </c>
      <c r="E2425" s="5" t="s">
        <v>20</v>
      </c>
      <c r="F2425" s="5" t="s">
        <v>9430</v>
      </c>
      <c r="G2425" s="6" t="s">
        <v>48</v>
      </c>
      <c r="H2425" s="4"/>
      <c r="I2425" s="5" t="s">
        <v>22</v>
      </c>
      <c r="J2425" s="5" t="s">
        <v>9431</v>
      </c>
      <c r="K2425" s="5" t="s">
        <v>9078</v>
      </c>
      <c r="L2425" s="5"/>
      <c r="M2425" s="5" t="s">
        <v>2219</v>
      </c>
      <c r="N2425" s="5" t="s">
        <v>1058</v>
      </c>
      <c r="O2425" s="5" t="s">
        <v>9045</v>
      </c>
      <c r="P2425" s="5"/>
      <c r="Q2425" s="5" t="s">
        <v>9432</v>
      </c>
    </row>
    <row r="2426" spans="2:17" x14ac:dyDescent="0.2">
      <c r="B2426" s="5" t="s">
        <v>9008</v>
      </c>
      <c r="C2426" s="6" t="s">
        <v>13589</v>
      </c>
      <c r="D2426" s="4">
        <v>581</v>
      </c>
      <c r="E2426" s="5" t="s">
        <v>20</v>
      </c>
      <c r="F2426" s="5" t="s">
        <v>9430</v>
      </c>
      <c r="G2426" s="6" t="s">
        <v>48</v>
      </c>
      <c r="H2426" s="4"/>
      <c r="I2426" s="5" t="s">
        <v>22</v>
      </c>
      <c r="J2426" s="5" t="s">
        <v>9433</v>
      </c>
      <c r="K2426" s="5" t="s">
        <v>9029</v>
      </c>
      <c r="L2426" s="5"/>
      <c r="M2426" s="5" t="s">
        <v>2219</v>
      </c>
      <c r="N2426" s="5" t="s">
        <v>1058</v>
      </c>
      <c r="O2426" s="5" t="s">
        <v>9030</v>
      </c>
      <c r="P2426" s="5"/>
      <c r="Q2426" s="5" t="s">
        <v>9391</v>
      </c>
    </row>
    <row r="2427" spans="2:17" x14ac:dyDescent="0.2">
      <c r="B2427" s="5" t="s">
        <v>9008</v>
      </c>
      <c r="C2427" s="6" t="s">
        <v>13589</v>
      </c>
      <c r="D2427" s="4">
        <v>598</v>
      </c>
      <c r="E2427" s="5" t="s">
        <v>20</v>
      </c>
      <c r="F2427" s="5" t="s">
        <v>9383</v>
      </c>
      <c r="G2427" s="6" t="s">
        <v>48</v>
      </c>
      <c r="H2427" s="4"/>
      <c r="I2427" s="5" t="s">
        <v>22</v>
      </c>
      <c r="J2427" s="5" t="s">
        <v>9384</v>
      </c>
      <c r="K2427" s="5" t="s">
        <v>9014</v>
      </c>
      <c r="L2427" s="5"/>
      <c r="M2427" s="5" t="s">
        <v>170</v>
      </c>
      <c r="N2427" s="5" t="s">
        <v>437</v>
      </c>
      <c r="O2427" s="5" t="s">
        <v>9012</v>
      </c>
      <c r="P2427" s="5"/>
      <c r="Q2427" s="5" t="s">
        <v>9385</v>
      </c>
    </row>
    <row r="2428" spans="2:17" x14ac:dyDescent="0.2">
      <c r="B2428" s="5" t="s">
        <v>10685</v>
      </c>
      <c r="C2428" s="6" t="s">
        <v>13589</v>
      </c>
      <c r="D2428" s="4">
        <v>1139</v>
      </c>
      <c r="E2428" s="5" t="s">
        <v>20</v>
      </c>
      <c r="F2428" s="5" t="s">
        <v>10967</v>
      </c>
      <c r="G2428" s="6" t="s">
        <v>48</v>
      </c>
      <c r="H2428" s="4"/>
      <c r="I2428" s="5" t="s">
        <v>22</v>
      </c>
      <c r="J2428" s="5" t="s">
        <v>10968</v>
      </c>
      <c r="K2428" s="5" t="s">
        <v>10752</v>
      </c>
      <c r="L2428" s="5"/>
      <c r="M2428" s="5" t="s">
        <v>1832</v>
      </c>
      <c r="N2428" s="5" t="s">
        <v>1832</v>
      </c>
      <c r="O2428" s="5" t="s">
        <v>10704</v>
      </c>
      <c r="P2428" s="5"/>
      <c r="Q2428" s="5" t="s">
        <v>10969</v>
      </c>
    </row>
    <row r="2429" spans="2:17" x14ac:dyDescent="0.2">
      <c r="B2429" s="5" t="s">
        <v>10685</v>
      </c>
      <c r="C2429" s="6" t="s">
        <v>13589</v>
      </c>
      <c r="D2429" s="4">
        <v>1140</v>
      </c>
      <c r="E2429" s="5" t="s">
        <v>20</v>
      </c>
      <c r="F2429" s="5" t="s">
        <v>10970</v>
      </c>
      <c r="G2429" s="6" t="s">
        <v>48</v>
      </c>
      <c r="H2429" s="4"/>
      <c r="I2429" s="5" t="s">
        <v>22</v>
      </c>
      <c r="J2429" s="5" t="s">
        <v>10971</v>
      </c>
      <c r="K2429" s="5" t="s">
        <v>10972</v>
      </c>
      <c r="L2429" s="5"/>
      <c r="M2429" s="5" t="s">
        <v>1832</v>
      </c>
      <c r="N2429" s="5" t="s">
        <v>1464</v>
      </c>
      <c r="O2429" s="5" t="s">
        <v>10704</v>
      </c>
      <c r="P2429" s="5"/>
      <c r="Q2429" s="5" t="s">
        <v>10973</v>
      </c>
    </row>
    <row r="2430" spans="2:17" x14ac:dyDescent="0.2">
      <c r="B2430" s="5" t="s">
        <v>5451</v>
      </c>
      <c r="C2430" s="6" t="s">
        <v>13589</v>
      </c>
      <c r="D2430" s="4">
        <v>138</v>
      </c>
      <c r="E2430" s="5" t="s">
        <v>20</v>
      </c>
      <c r="F2430" s="5" t="s">
        <v>5595</v>
      </c>
      <c r="G2430" s="6" t="s">
        <v>70</v>
      </c>
      <c r="H2430" s="4"/>
      <c r="I2430" s="5" t="s">
        <v>22</v>
      </c>
      <c r="J2430" s="5" t="s">
        <v>5596</v>
      </c>
      <c r="K2430" s="5" t="s">
        <v>5597</v>
      </c>
      <c r="L2430" s="5"/>
      <c r="M2430" s="5" t="s">
        <v>426</v>
      </c>
      <c r="N2430" s="5" t="s">
        <v>142</v>
      </c>
      <c r="O2430" s="5" t="s">
        <v>5598</v>
      </c>
      <c r="P2430" s="5"/>
      <c r="Q2430" s="5" t="s">
        <v>5599</v>
      </c>
    </row>
    <row r="2431" spans="2:17" x14ac:dyDescent="0.2">
      <c r="B2431" s="5" t="s">
        <v>5036</v>
      </c>
      <c r="C2431" s="6" t="s">
        <v>13589</v>
      </c>
      <c r="D2431" s="4">
        <v>9</v>
      </c>
      <c r="E2431" s="5" t="s">
        <v>20</v>
      </c>
      <c r="F2431" s="5" t="s">
        <v>5074</v>
      </c>
      <c r="G2431" s="6" t="s">
        <v>16</v>
      </c>
      <c r="H2431" s="4"/>
      <c r="I2431" s="5" t="s">
        <v>22</v>
      </c>
      <c r="J2431" s="5" t="s">
        <v>5075</v>
      </c>
      <c r="K2431" s="5" t="s">
        <v>4987</v>
      </c>
      <c r="L2431" s="5"/>
      <c r="M2431" s="5" t="s">
        <v>5076</v>
      </c>
      <c r="N2431" s="5" t="s">
        <v>423</v>
      </c>
      <c r="O2431" s="5" t="s">
        <v>4986</v>
      </c>
      <c r="P2431" s="5"/>
      <c r="Q2431" s="5" t="s">
        <v>5077</v>
      </c>
    </row>
    <row r="2432" spans="2:17" x14ac:dyDescent="0.2">
      <c r="B2432" s="5" t="s">
        <v>5451</v>
      </c>
      <c r="C2432" s="6" t="s">
        <v>13589</v>
      </c>
      <c r="D2432" s="4">
        <v>137</v>
      </c>
      <c r="E2432" s="5" t="s">
        <v>20</v>
      </c>
      <c r="F2432" s="5" t="s">
        <v>5603</v>
      </c>
      <c r="G2432" s="6" t="s">
        <v>16</v>
      </c>
      <c r="H2432" s="4"/>
      <c r="I2432" s="5" t="s">
        <v>22</v>
      </c>
      <c r="J2432" s="5" t="s">
        <v>5604</v>
      </c>
      <c r="K2432" s="5" t="s">
        <v>5150</v>
      </c>
      <c r="L2432" s="5"/>
      <c r="M2432" s="5" t="s">
        <v>3662</v>
      </c>
      <c r="N2432" s="5" t="s">
        <v>1544</v>
      </c>
      <c r="O2432" s="5" t="s">
        <v>5469</v>
      </c>
      <c r="P2432" s="5"/>
      <c r="Q2432" s="5" t="s">
        <v>5605</v>
      </c>
    </row>
    <row r="2433" spans="2:17" x14ac:dyDescent="0.2">
      <c r="B2433" s="5" t="s">
        <v>5451</v>
      </c>
      <c r="C2433" s="6" t="s">
        <v>13589</v>
      </c>
      <c r="D2433" s="4">
        <v>150</v>
      </c>
      <c r="E2433" s="5" t="s">
        <v>20</v>
      </c>
      <c r="F2433" s="5" t="s">
        <v>5549</v>
      </c>
      <c r="G2433" s="6" t="s">
        <v>16</v>
      </c>
      <c r="H2433" s="4"/>
      <c r="I2433" s="5" t="s">
        <v>22</v>
      </c>
      <c r="J2433" s="5" t="s">
        <v>5550</v>
      </c>
      <c r="K2433" s="5" t="s">
        <v>4998</v>
      </c>
      <c r="L2433" s="5"/>
      <c r="M2433" s="5" t="s">
        <v>2083</v>
      </c>
      <c r="N2433" s="5" t="s">
        <v>2075</v>
      </c>
      <c r="O2433" s="5" t="s">
        <v>5453</v>
      </c>
      <c r="P2433" s="5"/>
      <c r="Q2433" s="5" t="s">
        <v>5551</v>
      </c>
    </row>
    <row r="2434" spans="2:17" x14ac:dyDescent="0.2">
      <c r="B2434" s="5" t="s">
        <v>5451</v>
      </c>
      <c r="C2434" s="6" t="s">
        <v>13589</v>
      </c>
      <c r="D2434" s="4">
        <v>151</v>
      </c>
      <c r="E2434" s="5" t="s">
        <v>20</v>
      </c>
      <c r="F2434" s="5" t="s">
        <v>5547</v>
      </c>
      <c r="G2434" s="6" t="s">
        <v>16</v>
      </c>
      <c r="H2434" s="4"/>
      <c r="I2434" s="5" t="s">
        <v>22</v>
      </c>
      <c r="J2434" s="5" t="s">
        <v>3615</v>
      </c>
      <c r="K2434" s="5" t="s">
        <v>5150</v>
      </c>
      <c r="L2434" s="5"/>
      <c r="M2434" s="5" t="s">
        <v>2083</v>
      </c>
      <c r="N2434" s="5" t="s">
        <v>2075</v>
      </c>
      <c r="O2434" s="5" t="s">
        <v>5469</v>
      </c>
      <c r="P2434" s="5"/>
      <c r="Q2434" s="5" t="s">
        <v>5548</v>
      </c>
    </row>
    <row r="2435" spans="2:17" x14ac:dyDescent="0.2">
      <c r="B2435" s="5" t="s">
        <v>5451</v>
      </c>
      <c r="C2435" s="6" t="s">
        <v>13589</v>
      </c>
      <c r="D2435" s="4">
        <v>152</v>
      </c>
      <c r="E2435" s="5" t="s">
        <v>15</v>
      </c>
      <c r="F2435" s="5" t="s">
        <v>5549</v>
      </c>
      <c r="G2435" s="6" t="s">
        <v>16</v>
      </c>
      <c r="H2435" s="4"/>
      <c r="I2435" s="5"/>
      <c r="J2435" s="5" t="s">
        <v>5552</v>
      </c>
      <c r="K2435" s="5" t="s">
        <v>5454</v>
      </c>
      <c r="L2435" s="5"/>
      <c r="M2435" s="5" t="s">
        <v>2083</v>
      </c>
      <c r="N2435" s="5" t="s">
        <v>2075</v>
      </c>
      <c r="O2435" s="5" t="s">
        <v>5452</v>
      </c>
      <c r="P2435" s="5"/>
      <c r="Q2435" s="5" t="s">
        <v>5553</v>
      </c>
    </row>
    <row r="2436" spans="2:17" x14ac:dyDescent="0.2">
      <c r="B2436" s="5" t="s">
        <v>5681</v>
      </c>
      <c r="C2436" s="6" t="s">
        <v>13589</v>
      </c>
      <c r="D2436" s="4">
        <v>207</v>
      </c>
      <c r="E2436" s="5" t="s">
        <v>35</v>
      </c>
      <c r="F2436" s="5" t="s">
        <v>5877</v>
      </c>
      <c r="G2436" s="6" t="s">
        <v>16</v>
      </c>
      <c r="H2436" s="4"/>
      <c r="I2436" s="5"/>
      <c r="J2436" s="5" t="s">
        <v>3785</v>
      </c>
      <c r="K2436" s="5" t="s">
        <v>5695</v>
      </c>
      <c r="L2436" s="5"/>
      <c r="M2436" s="5" t="s">
        <v>2598</v>
      </c>
      <c r="N2436" s="5" t="s">
        <v>337</v>
      </c>
      <c r="O2436" s="5" t="s">
        <v>5694</v>
      </c>
      <c r="P2436" s="5"/>
      <c r="Q2436" s="5" t="s">
        <v>5878</v>
      </c>
    </row>
    <row r="2437" spans="2:17" x14ac:dyDescent="0.2">
      <c r="B2437" s="5" t="s">
        <v>8190</v>
      </c>
      <c r="C2437" s="6" t="s">
        <v>13589</v>
      </c>
      <c r="D2437" s="4">
        <v>282</v>
      </c>
      <c r="E2437" s="5" t="s">
        <v>20</v>
      </c>
      <c r="F2437" s="5" t="s">
        <v>8306</v>
      </c>
      <c r="G2437" s="6" t="s">
        <v>16</v>
      </c>
      <c r="H2437" s="4"/>
      <c r="I2437" s="5" t="s">
        <v>38</v>
      </c>
      <c r="J2437" s="5" t="s">
        <v>8307</v>
      </c>
      <c r="K2437" s="5" t="s">
        <v>8308</v>
      </c>
      <c r="L2437" s="5" t="s">
        <v>8309</v>
      </c>
      <c r="M2437" s="5" t="s">
        <v>2729</v>
      </c>
      <c r="N2437" s="5" t="s">
        <v>1642</v>
      </c>
      <c r="O2437" s="5" t="s">
        <v>8194</v>
      </c>
      <c r="P2437" s="5"/>
      <c r="Q2437" s="5" t="s">
        <v>8310</v>
      </c>
    </row>
    <row r="2438" spans="2:17" x14ac:dyDescent="0.2">
      <c r="B2438" s="5" t="s">
        <v>8190</v>
      </c>
      <c r="C2438" s="6" t="s">
        <v>13589</v>
      </c>
      <c r="D2438" s="4">
        <v>288</v>
      </c>
      <c r="E2438" s="5" t="s">
        <v>20</v>
      </c>
      <c r="F2438" s="5" t="s">
        <v>2721</v>
      </c>
      <c r="G2438" s="6" t="s">
        <v>16</v>
      </c>
      <c r="H2438" s="4"/>
      <c r="I2438" s="5" t="s">
        <v>38</v>
      </c>
      <c r="J2438" s="5" t="s">
        <v>8289</v>
      </c>
      <c r="K2438" s="5" t="s">
        <v>8290</v>
      </c>
      <c r="L2438" s="5" t="s">
        <v>8291</v>
      </c>
      <c r="M2438" s="5" t="s">
        <v>2724</v>
      </c>
      <c r="N2438" s="5" t="s">
        <v>211</v>
      </c>
      <c r="O2438" s="5" t="s">
        <v>8199</v>
      </c>
      <c r="P2438" s="5"/>
      <c r="Q2438" s="5" t="s">
        <v>8292</v>
      </c>
    </row>
    <row r="2439" spans="2:17" x14ac:dyDescent="0.2">
      <c r="B2439" s="5" t="s">
        <v>8683</v>
      </c>
      <c r="C2439" s="6" t="s">
        <v>13589</v>
      </c>
      <c r="D2439" s="4">
        <v>496</v>
      </c>
      <c r="E2439" s="5" t="s">
        <v>20</v>
      </c>
      <c r="F2439" s="5" t="s">
        <v>5877</v>
      </c>
      <c r="G2439" s="6" t="s">
        <v>16</v>
      </c>
      <c r="H2439" s="4"/>
      <c r="I2439" s="5" t="s">
        <v>22</v>
      </c>
      <c r="J2439" s="5" t="s">
        <v>276</v>
      </c>
      <c r="K2439" s="5" t="s">
        <v>5695</v>
      </c>
      <c r="L2439" s="5"/>
      <c r="M2439" s="5" t="s">
        <v>2598</v>
      </c>
      <c r="N2439" s="5" t="s">
        <v>337</v>
      </c>
      <c r="O2439" s="5" t="s">
        <v>5694</v>
      </c>
      <c r="P2439" s="5"/>
      <c r="Q2439" s="5" t="s">
        <v>8781</v>
      </c>
    </row>
    <row r="2440" spans="2:17" x14ac:dyDescent="0.2">
      <c r="B2440" s="5" t="s">
        <v>9008</v>
      </c>
      <c r="C2440" s="6" t="s">
        <v>13589</v>
      </c>
      <c r="D2440" s="4">
        <v>572</v>
      </c>
      <c r="E2440" s="5" t="s">
        <v>15</v>
      </c>
      <c r="F2440" s="5" t="s">
        <v>9518</v>
      </c>
      <c r="G2440" s="6" t="s">
        <v>16</v>
      </c>
      <c r="H2440" s="4"/>
      <c r="I2440" s="5"/>
      <c r="J2440" s="5" t="s">
        <v>9519</v>
      </c>
      <c r="K2440" s="5" t="s">
        <v>9043</v>
      </c>
      <c r="L2440" s="5"/>
      <c r="M2440" s="5" t="s">
        <v>3498</v>
      </c>
      <c r="N2440" s="5" t="s">
        <v>1685</v>
      </c>
      <c r="O2440" s="5" t="s">
        <v>9016</v>
      </c>
      <c r="P2440" s="5"/>
      <c r="Q2440" s="5" t="s">
        <v>9520</v>
      </c>
    </row>
    <row r="2441" spans="2:17" x14ac:dyDescent="0.2">
      <c r="B2441" s="5" t="s">
        <v>9008</v>
      </c>
      <c r="C2441" s="6" t="s">
        <v>13589</v>
      </c>
      <c r="D2441" s="4">
        <v>585</v>
      </c>
      <c r="E2441" s="5" t="s">
        <v>20</v>
      </c>
      <c r="F2441" s="5" t="s">
        <v>9421</v>
      </c>
      <c r="G2441" s="6" t="s">
        <v>16</v>
      </c>
      <c r="H2441" s="4"/>
      <c r="I2441" s="5" t="s">
        <v>22</v>
      </c>
      <c r="J2441" s="5" t="s">
        <v>9421</v>
      </c>
      <c r="K2441" s="5" t="s">
        <v>9422</v>
      </c>
      <c r="L2441" s="5"/>
      <c r="M2441" s="5" t="s">
        <v>1843</v>
      </c>
      <c r="N2441" s="5" t="s">
        <v>1844</v>
      </c>
      <c r="O2441" s="5" t="s">
        <v>9028</v>
      </c>
      <c r="P2441" s="5"/>
      <c r="Q2441" s="5" t="s">
        <v>9423</v>
      </c>
    </row>
    <row r="2442" spans="2:17" x14ac:dyDescent="0.2">
      <c r="B2442" s="5" t="s">
        <v>9008</v>
      </c>
      <c r="C2442" s="6" t="s">
        <v>13589</v>
      </c>
      <c r="D2442" s="4">
        <v>604</v>
      </c>
      <c r="E2442" s="5" t="s">
        <v>20</v>
      </c>
      <c r="F2442" s="5" t="s">
        <v>9363</v>
      </c>
      <c r="G2442" s="6" t="s">
        <v>16</v>
      </c>
      <c r="H2442" s="4"/>
      <c r="I2442" s="5" t="s">
        <v>22</v>
      </c>
      <c r="J2442" s="5" t="s">
        <v>9364</v>
      </c>
      <c r="K2442" s="5" t="s">
        <v>9202</v>
      </c>
      <c r="L2442" s="5"/>
      <c r="M2442" s="5" t="s">
        <v>432</v>
      </c>
      <c r="N2442" s="5" t="s">
        <v>1544</v>
      </c>
      <c r="O2442" s="5" t="s">
        <v>9012</v>
      </c>
      <c r="P2442" s="5"/>
      <c r="Q2442" s="5" t="s">
        <v>9365</v>
      </c>
    </row>
    <row r="2443" spans="2:17" x14ac:dyDescent="0.2">
      <c r="B2443" s="5" t="s">
        <v>9008</v>
      </c>
      <c r="C2443" s="6" t="s">
        <v>13589</v>
      </c>
      <c r="D2443" s="4">
        <v>605</v>
      </c>
      <c r="E2443" s="5" t="s">
        <v>20</v>
      </c>
      <c r="F2443" s="5" t="s">
        <v>9363</v>
      </c>
      <c r="G2443" s="6" t="s">
        <v>16</v>
      </c>
      <c r="H2443" s="4"/>
      <c r="I2443" s="5" t="s">
        <v>22</v>
      </c>
      <c r="J2443" s="5" t="s">
        <v>9366</v>
      </c>
      <c r="K2443" s="5" t="s">
        <v>9029</v>
      </c>
      <c r="L2443" s="5"/>
      <c r="M2443" s="5" t="s">
        <v>432</v>
      </c>
      <c r="N2443" s="5" t="s">
        <v>1544</v>
      </c>
      <c r="O2443" s="5" t="s">
        <v>9030</v>
      </c>
      <c r="P2443" s="5"/>
      <c r="Q2443" s="5" t="s">
        <v>9367</v>
      </c>
    </row>
    <row r="2444" spans="2:17" x14ac:dyDescent="0.2">
      <c r="B2444" s="5" t="s">
        <v>9008</v>
      </c>
      <c r="C2444" s="6" t="s">
        <v>13589</v>
      </c>
      <c r="D2444" s="4">
        <v>607</v>
      </c>
      <c r="E2444" s="5" t="s">
        <v>20</v>
      </c>
      <c r="F2444" s="5" t="s">
        <v>9360</v>
      </c>
      <c r="G2444" s="6" t="s">
        <v>16</v>
      </c>
      <c r="H2444" s="4"/>
      <c r="I2444" s="5" t="s">
        <v>22</v>
      </c>
      <c r="J2444" s="5" t="s">
        <v>9361</v>
      </c>
      <c r="K2444" s="5" t="s">
        <v>3793</v>
      </c>
      <c r="L2444" s="5"/>
      <c r="M2444" s="5" t="s">
        <v>428</v>
      </c>
      <c r="N2444" s="5" t="s">
        <v>423</v>
      </c>
      <c r="O2444" s="5" t="s">
        <v>9045</v>
      </c>
      <c r="P2444" s="5"/>
      <c r="Q2444" s="5" t="s">
        <v>9362</v>
      </c>
    </row>
    <row r="2445" spans="2:17" x14ac:dyDescent="0.2">
      <c r="B2445" s="5" t="s">
        <v>9008</v>
      </c>
      <c r="C2445" s="6" t="s">
        <v>13589</v>
      </c>
      <c r="D2445" s="4">
        <v>613</v>
      </c>
      <c r="E2445" s="5" t="s">
        <v>20</v>
      </c>
      <c r="F2445" s="5" t="s">
        <v>9353</v>
      </c>
      <c r="G2445" s="6" t="s">
        <v>16</v>
      </c>
      <c r="H2445" s="4"/>
      <c r="I2445" s="5" t="s">
        <v>22</v>
      </c>
      <c r="J2445" s="5" t="s">
        <v>9354</v>
      </c>
      <c r="K2445" s="5" t="s">
        <v>9355</v>
      </c>
      <c r="L2445" s="5"/>
      <c r="M2445" s="5" t="s">
        <v>920</v>
      </c>
      <c r="N2445" s="5" t="s">
        <v>3168</v>
      </c>
      <c r="O2445" s="5" t="s">
        <v>9045</v>
      </c>
      <c r="P2445" s="5"/>
      <c r="Q2445" s="5" t="s">
        <v>9356</v>
      </c>
    </row>
    <row r="2446" spans="2:17" x14ac:dyDescent="0.2">
      <c r="B2446" s="5" t="s">
        <v>9008</v>
      </c>
      <c r="C2446" s="6" t="s">
        <v>13589</v>
      </c>
      <c r="D2446" s="4">
        <v>621</v>
      </c>
      <c r="E2446" s="5" t="s">
        <v>20</v>
      </c>
      <c r="F2446" s="5" t="s">
        <v>9263</v>
      </c>
      <c r="G2446" s="6" t="s">
        <v>16</v>
      </c>
      <c r="H2446" s="4"/>
      <c r="I2446" s="5" t="s">
        <v>38</v>
      </c>
      <c r="J2446" s="5" t="s">
        <v>9264</v>
      </c>
      <c r="K2446" s="5" t="s">
        <v>9123</v>
      </c>
      <c r="L2446" s="5"/>
      <c r="M2446" s="5" t="s">
        <v>341</v>
      </c>
      <c r="N2446" s="5" t="s">
        <v>1821</v>
      </c>
      <c r="O2446" s="5" t="s">
        <v>9010</v>
      </c>
      <c r="P2446" s="5"/>
      <c r="Q2446" s="5" t="s">
        <v>9265</v>
      </c>
    </row>
    <row r="2447" spans="2:17" x14ac:dyDescent="0.2">
      <c r="B2447" s="5" t="s">
        <v>9008</v>
      </c>
      <c r="C2447" s="6" t="s">
        <v>13589</v>
      </c>
      <c r="D2447" s="4">
        <v>623</v>
      </c>
      <c r="E2447" s="5" t="s">
        <v>20</v>
      </c>
      <c r="F2447" s="5" t="s">
        <v>9269</v>
      </c>
      <c r="G2447" s="6" t="s">
        <v>16</v>
      </c>
      <c r="H2447" s="4"/>
      <c r="I2447" s="5" t="s">
        <v>22</v>
      </c>
      <c r="J2447" s="5" t="s">
        <v>9228</v>
      </c>
      <c r="K2447" s="5" t="s">
        <v>4979</v>
      </c>
      <c r="L2447" s="5"/>
      <c r="M2447" s="5" t="s">
        <v>341</v>
      </c>
      <c r="N2447" s="5" t="s">
        <v>2075</v>
      </c>
      <c r="O2447" s="5" t="s">
        <v>9020</v>
      </c>
      <c r="P2447" s="5"/>
      <c r="Q2447" s="5" t="s">
        <v>9270</v>
      </c>
    </row>
    <row r="2448" spans="2:17" x14ac:dyDescent="0.2">
      <c r="B2448" s="5" t="s">
        <v>9008</v>
      </c>
      <c r="C2448" s="6" t="s">
        <v>13589</v>
      </c>
      <c r="D2448" s="4">
        <v>634</v>
      </c>
      <c r="E2448" s="5" t="s">
        <v>20</v>
      </c>
      <c r="F2448" s="5" t="s">
        <v>9236</v>
      </c>
      <c r="G2448" s="6" t="s">
        <v>16</v>
      </c>
      <c r="H2448" s="4"/>
      <c r="I2448" s="5" t="s">
        <v>38</v>
      </c>
      <c r="J2448" s="5" t="s">
        <v>9237</v>
      </c>
      <c r="K2448" s="5" t="s">
        <v>9238</v>
      </c>
      <c r="L2448" s="5"/>
      <c r="M2448" s="5" t="s">
        <v>648</v>
      </c>
      <c r="N2448" s="5" t="s">
        <v>1957</v>
      </c>
      <c r="O2448" s="5" t="s">
        <v>9028</v>
      </c>
      <c r="P2448" s="5"/>
      <c r="Q2448" s="5" t="s">
        <v>9239</v>
      </c>
    </row>
    <row r="2449" spans="2:17" x14ac:dyDescent="0.2">
      <c r="B2449" s="5" t="s">
        <v>9008</v>
      </c>
      <c r="C2449" s="6" t="s">
        <v>13589</v>
      </c>
      <c r="D2449" s="4">
        <v>635</v>
      </c>
      <c r="E2449" s="5" t="s">
        <v>20</v>
      </c>
      <c r="F2449" s="5" t="s">
        <v>9236</v>
      </c>
      <c r="G2449" s="6" t="s">
        <v>16</v>
      </c>
      <c r="H2449" s="4"/>
      <c r="I2449" s="5" t="s">
        <v>38</v>
      </c>
      <c r="J2449" s="5" t="s">
        <v>9240</v>
      </c>
      <c r="K2449" s="5" t="s">
        <v>9241</v>
      </c>
      <c r="L2449" s="5"/>
      <c r="M2449" s="5" t="s">
        <v>648</v>
      </c>
      <c r="N2449" s="5" t="s">
        <v>1957</v>
      </c>
      <c r="O2449" s="5" t="s">
        <v>9028</v>
      </c>
      <c r="P2449" s="5"/>
      <c r="Q2449" s="5" t="s">
        <v>9242</v>
      </c>
    </row>
    <row r="2450" spans="2:17" x14ac:dyDescent="0.2">
      <c r="B2450" s="5" t="s">
        <v>9008</v>
      </c>
      <c r="C2450" s="6" t="s">
        <v>13589</v>
      </c>
      <c r="D2450" s="4">
        <v>636</v>
      </c>
      <c r="E2450" s="5" t="s">
        <v>20</v>
      </c>
      <c r="F2450" s="5" t="s">
        <v>9230</v>
      </c>
      <c r="G2450" s="6" t="s">
        <v>16</v>
      </c>
      <c r="H2450" s="4"/>
      <c r="I2450" s="5" t="s">
        <v>22</v>
      </c>
      <c r="J2450" s="5" t="s">
        <v>9231</v>
      </c>
      <c r="K2450" s="5" t="s">
        <v>9134</v>
      </c>
      <c r="L2450" s="5"/>
      <c r="M2450" s="5" t="s">
        <v>648</v>
      </c>
      <c r="N2450" s="5" t="s">
        <v>1957</v>
      </c>
      <c r="O2450" s="5" t="s">
        <v>9028</v>
      </c>
      <c r="P2450" s="5"/>
      <c r="Q2450" s="5" t="s">
        <v>9232</v>
      </c>
    </row>
    <row r="2451" spans="2:17" x14ac:dyDescent="0.2">
      <c r="B2451" s="5" t="s">
        <v>9008</v>
      </c>
      <c r="C2451" s="6" t="s">
        <v>13589</v>
      </c>
      <c r="D2451" s="4">
        <v>637</v>
      </c>
      <c r="E2451" s="5" t="s">
        <v>20</v>
      </c>
      <c r="F2451" s="5" t="s">
        <v>9230</v>
      </c>
      <c r="G2451" s="6" t="s">
        <v>16</v>
      </c>
      <c r="H2451" s="4"/>
      <c r="I2451" s="5" t="s">
        <v>22</v>
      </c>
      <c r="J2451" s="5" t="s">
        <v>9233</v>
      </c>
      <c r="K2451" s="5" t="s">
        <v>9234</v>
      </c>
      <c r="L2451" s="5"/>
      <c r="M2451" s="5" t="s">
        <v>648</v>
      </c>
      <c r="N2451" s="5" t="s">
        <v>1957</v>
      </c>
      <c r="O2451" s="5" t="s">
        <v>9028</v>
      </c>
      <c r="P2451" s="5"/>
      <c r="Q2451" s="5" t="s">
        <v>9235</v>
      </c>
    </row>
    <row r="2452" spans="2:17" x14ac:dyDescent="0.2">
      <c r="B2452" s="5" t="s">
        <v>9008</v>
      </c>
      <c r="C2452" s="6" t="s">
        <v>13589</v>
      </c>
      <c r="D2452" s="4">
        <v>640</v>
      </c>
      <c r="E2452" s="5" t="s">
        <v>32</v>
      </c>
      <c r="F2452" s="5" t="s">
        <v>9227</v>
      </c>
      <c r="G2452" s="6" t="s">
        <v>16</v>
      </c>
      <c r="H2452" s="4"/>
      <c r="I2452" s="5" t="s">
        <v>22</v>
      </c>
      <c r="J2452" s="5" t="s">
        <v>9228</v>
      </c>
      <c r="K2452" s="5" t="s">
        <v>4979</v>
      </c>
      <c r="L2452" s="5"/>
      <c r="M2452" s="5" t="s">
        <v>330</v>
      </c>
      <c r="N2452" s="5" t="s">
        <v>1384</v>
      </c>
      <c r="O2452" s="5" t="s">
        <v>9020</v>
      </c>
      <c r="P2452" s="5"/>
      <c r="Q2452" s="5" t="s">
        <v>9229</v>
      </c>
    </row>
    <row r="2453" spans="2:17" x14ac:dyDescent="0.2">
      <c r="B2453" s="5" t="s">
        <v>9008</v>
      </c>
      <c r="C2453" s="6" t="s">
        <v>13589</v>
      </c>
      <c r="D2453" s="4">
        <v>643</v>
      </c>
      <c r="E2453" s="5" t="s">
        <v>20</v>
      </c>
      <c r="F2453" s="5" t="s">
        <v>9217</v>
      </c>
      <c r="G2453" s="6" t="s">
        <v>16</v>
      </c>
      <c r="H2453" s="4"/>
      <c r="I2453" s="5" t="s">
        <v>22</v>
      </c>
      <c r="J2453" s="5" t="s">
        <v>9218</v>
      </c>
      <c r="K2453" s="5" t="s">
        <v>4979</v>
      </c>
      <c r="L2453" s="5"/>
      <c r="M2453" s="5" t="s">
        <v>301</v>
      </c>
      <c r="N2453" s="5" t="s">
        <v>296</v>
      </c>
      <c r="O2453" s="5" t="s">
        <v>9020</v>
      </c>
      <c r="P2453" s="5"/>
      <c r="Q2453" s="5" t="s">
        <v>9219</v>
      </c>
    </row>
    <row r="2454" spans="2:17" x14ac:dyDescent="0.2">
      <c r="B2454" s="5" t="s">
        <v>9008</v>
      </c>
      <c r="C2454" s="6" t="s">
        <v>13589</v>
      </c>
      <c r="D2454" s="4">
        <v>651</v>
      </c>
      <c r="E2454" s="5" t="s">
        <v>20</v>
      </c>
      <c r="F2454" s="5" t="s">
        <v>9204</v>
      </c>
      <c r="G2454" s="6" t="s">
        <v>16</v>
      </c>
      <c r="H2454" s="4"/>
      <c r="I2454" s="5" t="s">
        <v>22</v>
      </c>
      <c r="J2454" s="5" t="s">
        <v>9205</v>
      </c>
      <c r="K2454" s="5" t="s">
        <v>9206</v>
      </c>
      <c r="L2454" s="5"/>
      <c r="M2454" s="5" t="s">
        <v>96</v>
      </c>
      <c r="N2454" s="5" t="s">
        <v>284</v>
      </c>
      <c r="O2454" s="5" t="s">
        <v>9207</v>
      </c>
      <c r="P2454" s="5"/>
      <c r="Q2454" s="5" t="s">
        <v>9208</v>
      </c>
    </row>
    <row r="2455" spans="2:17" x14ac:dyDescent="0.2">
      <c r="B2455" s="5" t="s">
        <v>9008</v>
      </c>
      <c r="C2455" s="6" t="s">
        <v>13589</v>
      </c>
      <c r="D2455" s="4">
        <v>718</v>
      </c>
      <c r="E2455" s="5" t="s">
        <v>82</v>
      </c>
      <c r="F2455" s="5" t="s">
        <v>9459</v>
      </c>
      <c r="G2455" s="6" t="s">
        <v>16</v>
      </c>
      <c r="H2455" s="4"/>
      <c r="I2455" s="5"/>
      <c r="J2455" s="5" t="s">
        <v>9460</v>
      </c>
      <c r="K2455" s="5" t="s">
        <v>9461</v>
      </c>
      <c r="L2455" s="5"/>
      <c r="M2455" s="5" t="s">
        <v>1062</v>
      </c>
      <c r="N2455" s="5" t="s">
        <v>1658</v>
      </c>
      <c r="O2455" s="5" t="s">
        <v>9030</v>
      </c>
      <c r="P2455" s="5"/>
      <c r="Q2455" s="5" t="s">
        <v>9462</v>
      </c>
    </row>
    <row r="2456" spans="2:17" x14ac:dyDescent="0.2">
      <c r="B2456" s="5" t="s">
        <v>9550</v>
      </c>
      <c r="C2456" s="6" t="s">
        <v>13589</v>
      </c>
      <c r="D2456" s="4">
        <v>790</v>
      </c>
      <c r="E2456" s="5" t="s">
        <v>35</v>
      </c>
      <c r="F2456" s="5" t="s">
        <v>9932</v>
      </c>
      <c r="G2456" s="6" t="s">
        <v>16</v>
      </c>
      <c r="H2456" s="4"/>
      <c r="I2456" s="5"/>
      <c r="J2456" s="5" t="s">
        <v>9933</v>
      </c>
      <c r="K2456" s="5" t="s">
        <v>9558</v>
      </c>
      <c r="L2456" s="5"/>
      <c r="M2456" s="5" t="s">
        <v>443</v>
      </c>
      <c r="N2456" s="5" t="s">
        <v>153</v>
      </c>
      <c r="O2456" s="5" t="s">
        <v>9553</v>
      </c>
      <c r="P2456" s="5"/>
      <c r="Q2456" s="5" t="s">
        <v>9934</v>
      </c>
    </row>
    <row r="2457" spans="2:17" x14ac:dyDescent="0.2">
      <c r="B2457" s="5" t="s">
        <v>9550</v>
      </c>
      <c r="C2457" s="6" t="s">
        <v>13589</v>
      </c>
      <c r="D2457" s="4">
        <v>835</v>
      </c>
      <c r="E2457" s="5" t="s">
        <v>82</v>
      </c>
      <c r="F2457" s="5" t="s">
        <v>9796</v>
      </c>
      <c r="G2457" s="6" t="s">
        <v>16</v>
      </c>
      <c r="H2457" s="4"/>
      <c r="I2457" s="5"/>
      <c r="J2457" s="5" t="s">
        <v>9797</v>
      </c>
      <c r="K2457" s="5" t="s">
        <v>9572</v>
      </c>
      <c r="L2457" s="5"/>
      <c r="M2457" s="5" t="s">
        <v>804</v>
      </c>
      <c r="N2457" s="5" t="s">
        <v>2089</v>
      </c>
      <c r="O2457" s="5" t="s">
        <v>9557</v>
      </c>
      <c r="P2457" s="5"/>
      <c r="Q2457" s="5" t="s">
        <v>9798</v>
      </c>
    </row>
    <row r="2458" spans="2:17" x14ac:dyDescent="0.2">
      <c r="B2458" s="5" t="s">
        <v>9550</v>
      </c>
      <c r="C2458" s="6" t="s">
        <v>13589</v>
      </c>
      <c r="D2458" s="4">
        <v>841</v>
      </c>
      <c r="E2458" s="5" t="s">
        <v>24</v>
      </c>
      <c r="F2458" s="5" t="s">
        <v>9753</v>
      </c>
      <c r="G2458" s="6" t="s">
        <v>16</v>
      </c>
      <c r="H2458" s="4"/>
      <c r="I2458" s="5"/>
      <c r="J2458" s="5" t="s">
        <v>9754</v>
      </c>
      <c r="K2458" s="5" t="s">
        <v>9592</v>
      </c>
      <c r="L2458" s="5"/>
      <c r="M2458" s="5" t="s">
        <v>1812</v>
      </c>
      <c r="N2458" s="5" t="s">
        <v>1437</v>
      </c>
      <c r="O2458" s="5" t="s">
        <v>9557</v>
      </c>
      <c r="P2458" s="5"/>
      <c r="Q2458" s="5" t="s">
        <v>9755</v>
      </c>
    </row>
    <row r="2459" spans="2:17" x14ac:dyDescent="0.2">
      <c r="B2459" s="5" t="s">
        <v>10194</v>
      </c>
      <c r="C2459" s="6" t="s">
        <v>13589</v>
      </c>
      <c r="D2459" s="4">
        <v>970</v>
      </c>
      <c r="E2459" s="5" t="s">
        <v>20</v>
      </c>
      <c r="F2459" s="5" t="s">
        <v>2721</v>
      </c>
      <c r="G2459" s="6" t="s">
        <v>16</v>
      </c>
      <c r="H2459" s="4"/>
      <c r="I2459" s="5" t="s">
        <v>22</v>
      </c>
      <c r="J2459" s="5" t="s">
        <v>10618</v>
      </c>
      <c r="K2459" s="5" t="s">
        <v>10619</v>
      </c>
      <c r="L2459" s="5" t="s">
        <v>10620</v>
      </c>
      <c r="M2459" s="5" t="s">
        <v>2724</v>
      </c>
      <c r="N2459" s="5" t="s">
        <v>211</v>
      </c>
      <c r="O2459" s="5" t="s">
        <v>10197</v>
      </c>
      <c r="P2459" s="5"/>
      <c r="Q2459" s="5" t="s">
        <v>10621</v>
      </c>
    </row>
    <row r="2460" spans="2:17" x14ac:dyDescent="0.2">
      <c r="B2460" s="5" t="s">
        <v>10194</v>
      </c>
      <c r="C2460" s="6" t="s">
        <v>13589</v>
      </c>
      <c r="D2460" s="4">
        <v>971</v>
      </c>
      <c r="E2460" s="5" t="s">
        <v>20</v>
      </c>
      <c r="F2460" s="5" t="s">
        <v>10622</v>
      </c>
      <c r="G2460" s="6" t="s">
        <v>16</v>
      </c>
      <c r="H2460" s="4"/>
      <c r="I2460" s="5" t="s">
        <v>22</v>
      </c>
      <c r="J2460" s="5" t="s">
        <v>10623</v>
      </c>
      <c r="K2460" s="5" t="s">
        <v>10248</v>
      </c>
      <c r="L2460" s="5" t="s">
        <v>10624</v>
      </c>
      <c r="M2460" s="5" t="s">
        <v>2724</v>
      </c>
      <c r="N2460" s="5" t="s">
        <v>211</v>
      </c>
      <c r="O2460" s="5" t="s">
        <v>10197</v>
      </c>
      <c r="P2460" s="5"/>
      <c r="Q2460" s="5" t="s">
        <v>10625</v>
      </c>
    </row>
    <row r="2461" spans="2:17" x14ac:dyDescent="0.2">
      <c r="B2461" s="5" t="s">
        <v>11086</v>
      </c>
      <c r="C2461" s="6" t="s">
        <v>13589</v>
      </c>
      <c r="D2461" s="4">
        <v>1257</v>
      </c>
      <c r="E2461" s="5" t="s">
        <v>20</v>
      </c>
      <c r="F2461" s="5" t="s">
        <v>11260</v>
      </c>
      <c r="G2461" s="6" t="s">
        <v>16</v>
      </c>
      <c r="H2461" s="4"/>
      <c r="I2461" s="5" t="s">
        <v>38</v>
      </c>
      <c r="J2461" s="5" t="s">
        <v>11261</v>
      </c>
      <c r="K2461" s="5" t="s">
        <v>11262</v>
      </c>
      <c r="L2461" s="5"/>
      <c r="M2461" s="5" t="s">
        <v>4970</v>
      </c>
      <c r="N2461" s="5" t="s">
        <v>1448</v>
      </c>
      <c r="O2461" s="5" t="s">
        <v>11091</v>
      </c>
      <c r="P2461" s="5"/>
      <c r="Q2461" s="5" t="s">
        <v>11263</v>
      </c>
    </row>
    <row r="2462" spans="2:17" x14ac:dyDescent="0.2">
      <c r="B2462" s="5" t="s">
        <v>11377</v>
      </c>
      <c r="C2462" s="6" t="s">
        <v>13589</v>
      </c>
      <c r="D2462" s="4">
        <v>1323</v>
      </c>
      <c r="E2462" s="5" t="s">
        <v>20</v>
      </c>
      <c r="F2462" s="5" t="s">
        <v>11763</v>
      </c>
      <c r="G2462" s="6" t="s">
        <v>16</v>
      </c>
      <c r="H2462" s="4"/>
      <c r="I2462" s="5" t="s">
        <v>22</v>
      </c>
      <c r="J2462" s="5" t="s">
        <v>11764</v>
      </c>
      <c r="K2462" s="5" t="s">
        <v>11396</v>
      </c>
      <c r="L2462" s="5"/>
      <c r="M2462" s="5" t="s">
        <v>1113</v>
      </c>
      <c r="N2462" s="5" t="s">
        <v>3779</v>
      </c>
      <c r="O2462" s="5" t="s">
        <v>11378</v>
      </c>
      <c r="P2462" s="5"/>
      <c r="Q2462" s="5" t="s">
        <v>11765</v>
      </c>
    </row>
    <row r="2463" spans="2:17" x14ac:dyDescent="0.2">
      <c r="B2463" s="5" t="s">
        <v>11377</v>
      </c>
      <c r="C2463" s="6" t="s">
        <v>13589</v>
      </c>
      <c r="D2463" s="4">
        <v>1338</v>
      </c>
      <c r="E2463" s="5" t="s">
        <v>20</v>
      </c>
      <c r="F2463" s="5" t="s">
        <v>11700</v>
      </c>
      <c r="G2463" s="6" t="s">
        <v>16</v>
      </c>
      <c r="H2463" s="4"/>
      <c r="I2463" s="5" t="s">
        <v>22</v>
      </c>
      <c r="J2463" s="5" t="s">
        <v>11701</v>
      </c>
      <c r="K2463" s="5" t="s">
        <v>11399</v>
      </c>
      <c r="L2463" s="5" t="s">
        <v>11702</v>
      </c>
      <c r="M2463" s="5" t="s">
        <v>5369</v>
      </c>
      <c r="N2463" s="5" t="s">
        <v>2199</v>
      </c>
      <c r="O2463" s="5" t="s">
        <v>11380</v>
      </c>
      <c r="P2463" s="5"/>
      <c r="Q2463" s="5" t="s">
        <v>11703</v>
      </c>
    </row>
    <row r="2464" spans="2:17" x14ac:dyDescent="0.2">
      <c r="B2464" s="5" t="s">
        <v>11377</v>
      </c>
      <c r="C2464" s="6" t="s">
        <v>13589</v>
      </c>
      <c r="D2464" s="4">
        <v>1339</v>
      </c>
      <c r="E2464" s="5" t="s">
        <v>20</v>
      </c>
      <c r="F2464" s="5" t="s">
        <v>11696</v>
      </c>
      <c r="G2464" s="6" t="s">
        <v>16</v>
      </c>
      <c r="H2464" s="4"/>
      <c r="I2464" s="5" t="s">
        <v>22</v>
      </c>
      <c r="J2464" s="5" t="s">
        <v>11697</v>
      </c>
      <c r="K2464" s="5" t="s">
        <v>11698</v>
      </c>
      <c r="L2464" s="5"/>
      <c r="M2464" s="5" t="s">
        <v>5369</v>
      </c>
      <c r="N2464" s="5" t="s">
        <v>2199</v>
      </c>
      <c r="O2464" s="5" t="s">
        <v>11392</v>
      </c>
      <c r="P2464" s="5"/>
      <c r="Q2464" s="5" t="s">
        <v>11699</v>
      </c>
    </row>
    <row r="2465" spans="2:17" x14ac:dyDescent="0.2">
      <c r="B2465" s="5" t="s">
        <v>11377</v>
      </c>
      <c r="C2465" s="6" t="s">
        <v>13589</v>
      </c>
      <c r="D2465" s="4">
        <v>1340</v>
      </c>
      <c r="E2465" s="5" t="s">
        <v>20</v>
      </c>
      <c r="F2465" s="5" t="s">
        <v>11700</v>
      </c>
      <c r="G2465" s="6" t="s">
        <v>16</v>
      </c>
      <c r="H2465" s="4"/>
      <c r="I2465" s="5" t="s">
        <v>22</v>
      </c>
      <c r="J2465" s="5" t="s">
        <v>11704</v>
      </c>
      <c r="K2465" s="5" t="s">
        <v>11705</v>
      </c>
      <c r="L2465" s="5"/>
      <c r="M2465" s="5" t="s">
        <v>5369</v>
      </c>
      <c r="N2465" s="5" t="s">
        <v>2199</v>
      </c>
      <c r="O2465" s="5" t="s">
        <v>11380</v>
      </c>
      <c r="P2465" s="5"/>
      <c r="Q2465" s="5" t="s">
        <v>11706</v>
      </c>
    </row>
    <row r="2466" spans="2:17" x14ac:dyDescent="0.2">
      <c r="B2466" s="5" t="s">
        <v>11377</v>
      </c>
      <c r="C2466" s="6" t="s">
        <v>13589</v>
      </c>
      <c r="D2466" s="4">
        <v>1367</v>
      </c>
      <c r="E2466" s="5" t="s">
        <v>15</v>
      </c>
      <c r="F2466" s="5" t="s">
        <v>11559</v>
      </c>
      <c r="G2466" s="6" t="s">
        <v>16</v>
      </c>
      <c r="H2466" s="4"/>
      <c r="I2466" s="5"/>
      <c r="J2466" s="5" t="s">
        <v>11563</v>
      </c>
      <c r="K2466" s="5" t="s">
        <v>11564</v>
      </c>
      <c r="L2466" s="5" t="s">
        <v>11565</v>
      </c>
      <c r="M2466" s="5" t="s">
        <v>2598</v>
      </c>
      <c r="N2466" s="5" t="s">
        <v>337</v>
      </c>
      <c r="O2466" s="5" t="s">
        <v>11380</v>
      </c>
      <c r="P2466" s="5"/>
      <c r="Q2466" s="5" t="s">
        <v>11566</v>
      </c>
    </row>
    <row r="2467" spans="2:17" x14ac:dyDescent="0.2">
      <c r="B2467" s="5" t="s">
        <v>11377</v>
      </c>
      <c r="C2467" s="6" t="s">
        <v>13589</v>
      </c>
      <c r="D2467" s="4">
        <v>1368</v>
      </c>
      <c r="E2467" s="5" t="s">
        <v>15</v>
      </c>
      <c r="F2467" s="5" t="s">
        <v>11559</v>
      </c>
      <c r="G2467" s="6" t="s">
        <v>16</v>
      </c>
      <c r="H2467" s="4"/>
      <c r="I2467" s="5"/>
      <c r="J2467" s="5" t="s">
        <v>11560</v>
      </c>
      <c r="K2467" s="5" t="s">
        <v>11561</v>
      </c>
      <c r="L2467" s="5"/>
      <c r="M2467" s="5" t="s">
        <v>2598</v>
      </c>
      <c r="N2467" s="5" t="s">
        <v>337</v>
      </c>
      <c r="O2467" s="5" t="s">
        <v>11380</v>
      </c>
      <c r="P2467" s="5"/>
      <c r="Q2467" s="5" t="s">
        <v>11562</v>
      </c>
    </row>
    <row r="2468" spans="2:17" x14ac:dyDescent="0.2">
      <c r="B2468" s="5" t="s">
        <v>11377</v>
      </c>
      <c r="C2468" s="6" t="s">
        <v>13589</v>
      </c>
      <c r="D2468" s="4">
        <v>1370</v>
      </c>
      <c r="E2468" s="5" t="s">
        <v>15</v>
      </c>
      <c r="F2468" s="5" t="s">
        <v>11547</v>
      </c>
      <c r="G2468" s="6" t="s">
        <v>16</v>
      </c>
      <c r="H2468" s="4"/>
      <c r="I2468" s="5"/>
      <c r="J2468" s="5" t="s">
        <v>11548</v>
      </c>
      <c r="K2468" s="5" t="s">
        <v>11388</v>
      </c>
      <c r="L2468" s="5" t="s">
        <v>11549</v>
      </c>
      <c r="M2468" s="5" t="s">
        <v>331</v>
      </c>
      <c r="N2468" s="5" t="s">
        <v>331</v>
      </c>
      <c r="O2468" s="5" t="s">
        <v>11380</v>
      </c>
      <c r="P2468" s="5"/>
      <c r="Q2468" s="5" t="s">
        <v>11550</v>
      </c>
    </row>
    <row r="2469" spans="2:17" x14ac:dyDescent="0.2">
      <c r="B2469" s="5" t="s">
        <v>11775</v>
      </c>
      <c r="C2469" s="6" t="s">
        <v>13589</v>
      </c>
      <c r="D2469" s="4">
        <v>1548</v>
      </c>
      <c r="E2469" s="5" t="s">
        <v>13</v>
      </c>
      <c r="F2469" s="5" t="s">
        <v>11878</v>
      </c>
      <c r="G2469" s="6" t="s">
        <v>16</v>
      </c>
      <c r="H2469" s="4"/>
      <c r="I2469" s="5"/>
      <c r="J2469" s="5" t="s">
        <v>11879</v>
      </c>
      <c r="K2469" s="5" t="s">
        <v>11828</v>
      </c>
      <c r="L2469" s="5"/>
      <c r="M2469" s="5" t="s">
        <v>1915</v>
      </c>
      <c r="N2469" s="5" t="s">
        <v>1915</v>
      </c>
      <c r="O2469" s="5" t="s">
        <v>11782</v>
      </c>
      <c r="P2469" s="5"/>
      <c r="Q2469" s="5" t="s">
        <v>11880</v>
      </c>
    </row>
    <row r="2470" spans="2:17" x14ac:dyDescent="0.2">
      <c r="B2470" s="5" t="s">
        <v>11775</v>
      </c>
      <c r="C2470" s="6" t="s">
        <v>13589</v>
      </c>
      <c r="D2470" s="4">
        <v>1559</v>
      </c>
      <c r="E2470" s="5" t="s">
        <v>20</v>
      </c>
      <c r="F2470" s="5" t="s">
        <v>11826</v>
      </c>
      <c r="G2470" s="6" t="s">
        <v>16</v>
      </c>
      <c r="H2470" s="4"/>
      <c r="I2470" s="5" t="s">
        <v>22</v>
      </c>
      <c r="J2470" s="5" t="s">
        <v>11827</v>
      </c>
      <c r="K2470" s="5" t="s">
        <v>11828</v>
      </c>
      <c r="L2470" s="5"/>
      <c r="M2470" s="5" t="s">
        <v>2827</v>
      </c>
      <c r="N2470" s="5" t="s">
        <v>2827</v>
      </c>
      <c r="O2470" s="5" t="s">
        <v>11782</v>
      </c>
      <c r="P2470" s="5"/>
      <c r="Q2470" s="5" t="s">
        <v>11829</v>
      </c>
    </row>
    <row r="2471" spans="2:17" x14ac:dyDescent="0.2">
      <c r="B2471" s="5" t="s">
        <v>11775</v>
      </c>
      <c r="C2471" s="6" t="s">
        <v>13589</v>
      </c>
      <c r="D2471" s="4">
        <v>1564</v>
      </c>
      <c r="E2471" s="5" t="s">
        <v>20</v>
      </c>
      <c r="F2471" s="5" t="s">
        <v>12216</v>
      </c>
      <c r="G2471" s="6" t="s">
        <v>16</v>
      </c>
      <c r="H2471" s="4"/>
      <c r="I2471" s="5" t="s">
        <v>22</v>
      </c>
      <c r="J2471" s="5" t="s">
        <v>12217</v>
      </c>
      <c r="K2471" s="5" t="s">
        <v>12218</v>
      </c>
      <c r="L2471" s="5"/>
      <c r="M2471" s="5" t="s">
        <v>1520</v>
      </c>
      <c r="N2471" s="5" t="s">
        <v>400</v>
      </c>
      <c r="O2471" s="5" t="s">
        <v>11782</v>
      </c>
      <c r="P2471" s="5"/>
      <c r="Q2471" s="5" t="s">
        <v>12219</v>
      </c>
    </row>
    <row r="2472" spans="2:17" x14ac:dyDescent="0.2">
      <c r="B2472" s="5" t="s">
        <v>11775</v>
      </c>
      <c r="C2472" s="6" t="s">
        <v>13589</v>
      </c>
      <c r="D2472" s="4">
        <v>1565</v>
      </c>
      <c r="E2472" s="5" t="s">
        <v>20</v>
      </c>
      <c r="F2472" s="5" t="s">
        <v>12220</v>
      </c>
      <c r="G2472" s="6" t="s">
        <v>16</v>
      </c>
      <c r="H2472" s="4"/>
      <c r="I2472" s="5" t="s">
        <v>22</v>
      </c>
      <c r="J2472" s="5" t="s">
        <v>12221</v>
      </c>
      <c r="K2472" s="5" t="s">
        <v>11798</v>
      </c>
      <c r="L2472" s="5"/>
      <c r="M2472" s="5" t="s">
        <v>1520</v>
      </c>
      <c r="N2472" s="5" t="s">
        <v>400</v>
      </c>
      <c r="O2472" s="5" t="s">
        <v>11782</v>
      </c>
      <c r="P2472" s="5"/>
      <c r="Q2472" s="5" t="s">
        <v>12222</v>
      </c>
    </row>
    <row r="2473" spans="2:17" x14ac:dyDescent="0.2">
      <c r="B2473" s="5" t="s">
        <v>11775</v>
      </c>
      <c r="C2473" s="6" t="s">
        <v>13589</v>
      </c>
      <c r="D2473" s="4">
        <v>1566</v>
      </c>
      <c r="E2473" s="5" t="s">
        <v>20</v>
      </c>
      <c r="F2473" s="5" t="s">
        <v>12220</v>
      </c>
      <c r="G2473" s="6" t="s">
        <v>16</v>
      </c>
      <c r="H2473" s="4"/>
      <c r="I2473" s="5" t="s">
        <v>22</v>
      </c>
      <c r="J2473" s="5" t="s">
        <v>12223</v>
      </c>
      <c r="K2473" s="5" t="s">
        <v>12218</v>
      </c>
      <c r="L2473" s="5" t="s">
        <v>12224</v>
      </c>
      <c r="M2473" s="5" t="s">
        <v>1520</v>
      </c>
      <c r="N2473" s="5" t="s">
        <v>400</v>
      </c>
      <c r="O2473" s="5" t="s">
        <v>11782</v>
      </c>
      <c r="P2473" s="5"/>
      <c r="Q2473" s="5" t="s">
        <v>12225</v>
      </c>
    </row>
    <row r="2474" spans="2:17" x14ac:dyDescent="0.2">
      <c r="B2474" s="5" t="s">
        <v>12409</v>
      </c>
      <c r="C2474" s="6" t="s">
        <v>13589</v>
      </c>
      <c r="D2474" s="4">
        <v>1701</v>
      </c>
      <c r="E2474" s="5" t="s">
        <v>56</v>
      </c>
      <c r="F2474" s="5" t="s">
        <v>12669</v>
      </c>
      <c r="G2474" s="6" t="s">
        <v>16</v>
      </c>
      <c r="H2474" s="4"/>
      <c r="I2474" s="5"/>
      <c r="J2474" s="5" t="s">
        <v>12670</v>
      </c>
      <c r="K2474" s="5" t="s">
        <v>75</v>
      </c>
      <c r="L2474" s="5"/>
      <c r="M2474" s="5" t="s">
        <v>148</v>
      </c>
      <c r="N2474" s="5" t="s">
        <v>307</v>
      </c>
      <c r="O2474" s="5" t="s">
        <v>12413</v>
      </c>
      <c r="P2474" s="5" t="s">
        <v>12671</v>
      </c>
      <c r="Q2474" s="5" t="s">
        <v>12672</v>
      </c>
    </row>
    <row r="2475" spans="2:17" x14ac:dyDescent="0.2">
      <c r="B2475" s="5" t="s">
        <v>5036</v>
      </c>
      <c r="C2475" s="6" t="s">
        <v>13589</v>
      </c>
      <c r="D2475" s="4">
        <v>14</v>
      </c>
      <c r="E2475" s="5" t="s">
        <v>20</v>
      </c>
      <c r="F2475" s="5" t="s">
        <v>5132</v>
      </c>
      <c r="G2475" s="6" t="s">
        <v>65</v>
      </c>
      <c r="H2475" s="4"/>
      <c r="I2475" s="5" t="s">
        <v>22</v>
      </c>
      <c r="J2475" s="5" t="s">
        <v>5133</v>
      </c>
      <c r="K2475" s="5" t="s">
        <v>5134</v>
      </c>
      <c r="L2475" s="5"/>
      <c r="M2475" s="5" t="s">
        <v>518</v>
      </c>
      <c r="N2475" s="5" t="s">
        <v>2278</v>
      </c>
      <c r="O2475" s="5" t="s">
        <v>4986</v>
      </c>
      <c r="P2475" s="5"/>
      <c r="Q2475" s="5" t="s">
        <v>5135</v>
      </c>
    </row>
    <row r="2476" spans="2:17" x14ac:dyDescent="0.2">
      <c r="B2476" s="5" t="s">
        <v>8190</v>
      </c>
      <c r="C2476" s="6" t="s">
        <v>13589</v>
      </c>
      <c r="D2476" s="4">
        <v>314</v>
      </c>
      <c r="E2476" s="5" t="s">
        <v>20</v>
      </c>
      <c r="F2476" s="5" t="s">
        <v>8237</v>
      </c>
      <c r="G2476" s="6" t="s">
        <v>65</v>
      </c>
      <c r="H2476" s="4"/>
      <c r="I2476" s="5" t="s">
        <v>22</v>
      </c>
      <c r="J2476" s="5" t="s">
        <v>8238</v>
      </c>
      <c r="K2476" s="5" t="s">
        <v>8239</v>
      </c>
      <c r="L2476" s="5"/>
      <c r="M2476" s="5" t="s">
        <v>4498</v>
      </c>
      <c r="N2476" s="5" t="s">
        <v>366</v>
      </c>
      <c r="O2476" s="5" t="s">
        <v>8213</v>
      </c>
      <c r="P2476" s="5"/>
      <c r="Q2476" s="5" t="s">
        <v>8240</v>
      </c>
    </row>
    <row r="2477" spans="2:17" x14ac:dyDescent="0.2">
      <c r="B2477" s="5" t="s">
        <v>8190</v>
      </c>
      <c r="C2477" s="6" t="s">
        <v>13589</v>
      </c>
      <c r="D2477" s="4">
        <v>318</v>
      </c>
      <c r="E2477" s="5" t="s">
        <v>20</v>
      </c>
      <c r="F2477" s="5" t="s">
        <v>8224</v>
      </c>
      <c r="G2477" s="6" t="s">
        <v>65</v>
      </c>
      <c r="H2477" s="4"/>
      <c r="I2477" s="5" t="s">
        <v>22</v>
      </c>
      <c r="J2477" s="5" t="s">
        <v>8225</v>
      </c>
      <c r="K2477" s="5" t="s">
        <v>8226</v>
      </c>
      <c r="L2477" s="5" t="s">
        <v>8227</v>
      </c>
      <c r="M2477" s="5" t="s">
        <v>362</v>
      </c>
      <c r="N2477" s="5" t="s">
        <v>352</v>
      </c>
      <c r="O2477" s="5" t="s">
        <v>8218</v>
      </c>
      <c r="P2477" s="5"/>
      <c r="Q2477" s="5" t="s">
        <v>8228</v>
      </c>
    </row>
    <row r="2478" spans="2:17" x14ac:dyDescent="0.2">
      <c r="B2478" s="5" t="s">
        <v>8364</v>
      </c>
      <c r="C2478" s="6" t="s">
        <v>13589</v>
      </c>
      <c r="D2478" s="4">
        <v>322</v>
      </c>
      <c r="E2478" s="5" t="s">
        <v>20</v>
      </c>
      <c r="F2478" s="5" t="s">
        <v>8624</v>
      </c>
      <c r="G2478" s="6" t="s">
        <v>65</v>
      </c>
      <c r="H2478" s="4"/>
      <c r="I2478" s="5" t="s">
        <v>22</v>
      </c>
      <c r="J2478" s="5" t="s">
        <v>8625</v>
      </c>
      <c r="K2478" s="5" t="s">
        <v>8385</v>
      </c>
      <c r="L2478" s="5"/>
      <c r="M2478" s="5" t="s">
        <v>1690</v>
      </c>
      <c r="N2478" s="5" t="s">
        <v>1691</v>
      </c>
      <c r="O2478" s="5" t="s">
        <v>8368</v>
      </c>
      <c r="P2478" s="5"/>
      <c r="Q2478" s="5" t="s">
        <v>8626</v>
      </c>
    </row>
    <row r="2479" spans="2:17" x14ac:dyDescent="0.2">
      <c r="B2479" s="5" t="s">
        <v>8364</v>
      </c>
      <c r="C2479" s="6" t="s">
        <v>13589</v>
      </c>
      <c r="D2479" s="4">
        <v>427</v>
      </c>
      <c r="E2479" s="5" t="s">
        <v>20</v>
      </c>
      <c r="F2479" s="5" t="s">
        <v>8580</v>
      </c>
      <c r="G2479" s="6" t="s">
        <v>65</v>
      </c>
      <c r="H2479" s="4"/>
      <c r="I2479" s="5" t="s">
        <v>22</v>
      </c>
      <c r="J2479" s="5" t="s">
        <v>8580</v>
      </c>
      <c r="K2479" s="5" t="s">
        <v>8385</v>
      </c>
      <c r="L2479" s="5"/>
      <c r="M2479" s="5" t="s">
        <v>1658</v>
      </c>
      <c r="N2479" s="5" t="s">
        <v>1658</v>
      </c>
      <c r="O2479" s="5" t="s">
        <v>8368</v>
      </c>
      <c r="P2479" s="5"/>
      <c r="Q2479" s="5" t="s">
        <v>8581</v>
      </c>
    </row>
    <row r="2480" spans="2:17" x14ac:dyDescent="0.2">
      <c r="B2480" s="5" t="s">
        <v>8683</v>
      </c>
      <c r="C2480" s="6" t="s">
        <v>13589</v>
      </c>
      <c r="D2480" s="4">
        <v>431</v>
      </c>
      <c r="E2480" s="5" t="s">
        <v>24</v>
      </c>
      <c r="F2480" s="5" t="s">
        <v>8995</v>
      </c>
      <c r="G2480" s="6" t="s">
        <v>65</v>
      </c>
      <c r="H2480" s="4"/>
      <c r="I2480" s="5"/>
      <c r="J2480" s="5" t="s">
        <v>1116</v>
      </c>
      <c r="K2480" s="5" t="s">
        <v>8996</v>
      </c>
      <c r="L2480" s="5"/>
      <c r="M2480" s="5" t="s">
        <v>236</v>
      </c>
      <c r="N2480" s="5" t="s">
        <v>3498</v>
      </c>
      <c r="O2480" s="5" t="s">
        <v>5697</v>
      </c>
      <c r="P2480" s="5"/>
      <c r="Q2480" s="5" t="s">
        <v>8997</v>
      </c>
    </row>
    <row r="2481" spans="2:17" x14ac:dyDescent="0.2">
      <c r="B2481" s="5" t="s">
        <v>8683</v>
      </c>
      <c r="C2481" s="6" t="s">
        <v>13589</v>
      </c>
      <c r="D2481" s="4">
        <v>488</v>
      </c>
      <c r="E2481" s="5" t="s">
        <v>20</v>
      </c>
      <c r="F2481" s="5" t="s">
        <v>8788</v>
      </c>
      <c r="G2481" s="6" t="s">
        <v>65</v>
      </c>
      <c r="H2481" s="4"/>
      <c r="I2481" s="5" t="s">
        <v>38</v>
      </c>
      <c r="J2481" s="5" t="s">
        <v>8789</v>
      </c>
      <c r="K2481" s="5" t="s">
        <v>5700</v>
      </c>
      <c r="L2481" s="5"/>
      <c r="M2481" s="5" t="s">
        <v>2089</v>
      </c>
      <c r="N2481" s="5" t="s">
        <v>2083</v>
      </c>
      <c r="O2481" s="5" t="s">
        <v>5697</v>
      </c>
      <c r="P2481" s="5"/>
      <c r="Q2481" s="5" t="s">
        <v>8790</v>
      </c>
    </row>
    <row r="2482" spans="2:17" x14ac:dyDescent="0.2">
      <c r="B2482" s="5" t="s">
        <v>8683</v>
      </c>
      <c r="C2482" s="6" t="s">
        <v>13589</v>
      </c>
      <c r="D2482" s="4">
        <v>548</v>
      </c>
      <c r="E2482" s="5" t="s">
        <v>20</v>
      </c>
      <c r="F2482" s="5" t="s">
        <v>8707</v>
      </c>
      <c r="G2482" s="6" t="s">
        <v>65</v>
      </c>
      <c r="H2482" s="4"/>
      <c r="I2482" s="5" t="s">
        <v>22</v>
      </c>
      <c r="J2482" s="5" t="s">
        <v>8708</v>
      </c>
      <c r="K2482" s="5" t="s">
        <v>8709</v>
      </c>
      <c r="L2482" s="5"/>
      <c r="M2482" s="5" t="s">
        <v>1251</v>
      </c>
      <c r="N2482" s="5" t="s">
        <v>2555</v>
      </c>
      <c r="O2482" s="5" t="s">
        <v>5694</v>
      </c>
      <c r="P2482" s="5"/>
      <c r="Q2482" s="5" t="s">
        <v>8710</v>
      </c>
    </row>
    <row r="2483" spans="2:17" x14ac:dyDescent="0.2">
      <c r="B2483" s="5" t="s">
        <v>9008</v>
      </c>
      <c r="C2483" s="6" t="s">
        <v>13589</v>
      </c>
      <c r="D2483" s="4">
        <v>595</v>
      </c>
      <c r="E2483" s="5" t="s">
        <v>20</v>
      </c>
      <c r="F2483" s="5" t="s">
        <v>3799</v>
      </c>
      <c r="G2483" s="6" t="s">
        <v>65</v>
      </c>
      <c r="H2483" s="4"/>
      <c r="I2483" s="5" t="s">
        <v>22</v>
      </c>
      <c r="J2483" s="5" t="s">
        <v>9395</v>
      </c>
      <c r="K2483" s="5" t="s">
        <v>9040</v>
      </c>
      <c r="L2483" s="5"/>
      <c r="M2483" s="5" t="s">
        <v>179</v>
      </c>
      <c r="N2483" s="5" t="s">
        <v>461</v>
      </c>
      <c r="O2483" s="5" t="s">
        <v>9012</v>
      </c>
      <c r="P2483" s="5"/>
      <c r="Q2483" s="5" t="s">
        <v>9396</v>
      </c>
    </row>
    <row r="2484" spans="2:17" x14ac:dyDescent="0.2">
      <c r="B2484" s="5" t="s">
        <v>9008</v>
      </c>
      <c r="C2484" s="6" t="s">
        <v>13589</v>
      </c>
      <c r="D2484" s="4">
        <v>597</v>
      </c>
      <c r="E2484" s="5" t="s">
        <v>20</v>
      </c>
      <c r="F2484" s="5" t="s">
        <v>9392</v>
      </c>
      <c r="G2484" s="6" t="s">
        <v>65</v>
      </c>
      <c r="H2484" s="4"/>
      <c r="I2484" s="5" t="s">
        <v>38</v>
      </c>
      <c r="J2484" s="5" t="s">
        <v>9393</v>
      </c>
      <c r="K2484" s="5" t="s">
        <v>9206</v>
      </c>
      <c r="L2484" s="5"/>
      <c r="M2484" s="5" t="s">
        <v>3893</v>
      </c>
      <c r="N2484" s="5" t="s">
        <v>461</v>
      </c>
      <c r="O2484" s="5" t="s">
        <v>9016</v>
      </c>
      <c r="P2484" s="5"/>
      <c r="Q2484" s="5" t="s">
        <v>9394</v>
      </c>
    </row>
    <row r="2485" spans="2:17" x14ac:dyDescent="0.2">
      <c r="B2485" s="5" t="s">
        <v>10194</v>
      </c>
      <c r="C2485" s="6" t="s">
        <v>13589</v>
      </c>
      <c r="D2485" s="4">
        <v>981</v>
      </c>
      <c r="E2485" s="5" t="s">
        <v>20</v>
      </c>
      <c r="F2485" s="5" t="s">
        <v>10515</v>
      </c>
      <c r="G2485" s="6" t="s">
        <v>65</v>
      </c>
      <c r="H2485" s="4"/>
      <c r="I2485" s="5" t="s">
        <v>22</v>
      </c>
      <c r="J2485" s="5" t="s">
        <v>10516</v>
      </c>
      <c r="K2485" s="5" t="s">
        <v>10200</v>
      </c>
      <c r="L2485" s="5" t="s">
        <v>10517</v>
      </c>
      <c r="M2485" s="5" t="s">
        <v>804</v>
      </c>
      <c r="N2485" s="5" t="s">
        <v>2089</v>
      </c>
      <c r="O2485" s="5" t="s">
        <v>10202</v>
      </c>
      <c r="P2485" s="5"/>
      <c r="Q2485" s="5" t="s">
        <v>10518</v>
      </c>
    </row>
    <row r="2486" spans="2:17" x14ac:dyDescent="0.2">
      <c r="B2486" s="5" t="s">
        <v>10194</v>
      </c>
      <c r="C2486" s="6" t="s">
        <v>13589</v>
      </c>
      <c r="D2486" s="4">
        <v>983</v>
      </c>
      <c r="E2486" s="5" t="s">
        <v>20</v>
      </c>
      <c r="F2486" s="5" t="s">
        <v>10519</v>
      </c>
      <c r="G2486" s="6" t="s">
        <v>65</v>
      </c>
      <c r="H2486" s="4"/>
      <c r="I2486" s="5" t="s">
        <v>22</v>
      </c>
      <c r="J2486" s="5" t="s">
        <v>10520</v>
      </c>
      <c r="K2486" s="5" t="s">
        <v>10521</v>
      </c>
      <c r="L2486" s="5" t="s">
        <v>10522</v>
      </c>
      <c r="M2486" s="5" t="s">
        <v>1832</v>
      </c>
      <c r="N2486" s="5" t="s">
        <v>3053</v>
      </c>
      <c r="O2486" s="5" t="s">
        <v>10308</v>
      </c>
      <c r="P2486" s="5"/>
      <c r="Q2486" s="5" t="s">
        <v>10523</v>
      </c>
    </row>
    <row r="2487" spans="2:17" x14ac:dyDescent="0.2">
      <c r="B2487" s="5" t="s">
        <v>10194</v>
      </c>
      <c r="C2487" s="6" t="s">
        <v>13589</v>
      </c>
      <c r="D2487" s="4">
        <v>1108</v>
      </c>
      <c r="E2487" s="5" t="s">
        <v>20</v>
      </c>
      <c r="F2487" s="5" t="s">
        <v>10535</v>
      </c>
      <c r="G2487" s="6" t="s">
        <v>65</v>
      </c>
      <c r="H2487" s="4"/>
      <c r="I2487" s="5" t="s">
        <v>38</v>
      </c>
      <c r="J2487" s="5" t="s">
        <v>10536</v>
      </c>
      <c r="K2487" s="5" t="s">
        <v>10507</v>
      </c>
      <c r="L2487" s="5" t="s">
        <v>10537</v>
      </c>
      <c r="M2487" s="5" t="s">
        <v>4498</v>
      </c>
      <c r="N2487" s="5" t="s">
        <v>366</v>
      </c>
      <c r="O2487" s="5" t="s">
        <v>10197</v>
      </c>
      <c r="P2487" s="5"/>
      <c r="Q2487" s="5" t="s">
        <v>10538</v>
      </c>
    </row>
    <row r="2488" spans="2:17" x14ac:dyDescent="0.2">
      <c r="B2488" s="5" t="s">
        <v>10194</v>
      </c>
      <c r="C2488" s="6" t="s">
        <v>13589</v>
      </c>
      <c r="D2488" s="4">
        <v>1115</v>
      </c>
      <c r="E2488" s="5" t="s">
        <v>20</v>
      </c>
      <c r="F2488" s="5" t="s">
        <v>10531</v>
      </c>
      <c r="G2488" s="6" t="s">
        <v>65</v>
      </c>
      <c r="H2488" s="4"/>
      <c r="I2488" s="5" t="s">
        <v>22</v>
      </c>
      <c r="J2488" s="5" t="s">
        <v>10532</v>
      </c>
      <c r="K2488" s="5" t="s">
        <v>4985</v>
      </c>
      <c r="L2488" s="5" t="s">
        <v>10533</v>
      </c>
      <c r="M2488" s="5" t="s">
        <v>362</v>
      </c>
      <c r="N2488" s="5" t="s">
        <v>352</v>
      </c>
      <c r="O2488" s="5" t="s">
        <v>10197</v>
      </c>
      <c r="P2488" s="5"/>
      <c r="Q2488" s="5" t="s">
        <v>10534</v>
      </c>
    </row>
    <row r="2489" spans="2:17" x14ac:dyDescent="0.2">
      <c r="B2489" s="5" t="s">
        <v>11775</v>
      </c>
      <c r="C2489" s="6" t="s">
        <v>13589</v>
      </c>
      <c r="D2489" s="4">
        <v>1550</v>
      </c>
      <c r="E2489" s="5" t="s">
        <v>20</v>
      </c>
      <c r="F2489" s="5" t="s">
        <v>11872</v>
      </c>
      <c r="G2489" s="6" t="s">
        <v>65</v>
      </c>
      <c r="H2489" s="4"/>
      <c r="I2489" s="5" t="s">
        <v>22</v>
      </c>
      <c r="J2489" s="5" t="s">
        <v>11873</v>
      </c>
      <c r="K2489" s="5" t="s">
        <v>11796</v>
      </c>
      <c r="L2489" s="5"/>
      <c r="M2489" s="5" t="s">
        <v>2863</v>
      </c>
      <c r="N2489" s="5" t="s">
        <v>1247</v>
      </c>
      <c r="O2489" s="5" t="s">
        <v>11782</v>
      </c>
      <c r="P2489" s="5"/>
      <c r="Q2489" s="5" t="s">
        <v>11874</v>
      </c>
    </row>
    <row r="2490" spans="2:17" x14ac:dyDescent="0.2">
      <c r="B2490" s="5" t="s">
        <v>11775</v>
      </c>
      <c r="C2490" s="6" t="s">
        <v>13589</v>
      </c>
      <c r="D2490" s="4">
        <v>1611</v>
      </c>
      <c r="E2490" s="5" t="s">
        <v>20</v>
      </c>
      <c r="F2490" s="5" t="s">
        <v>12115</v>
      </c>
      <c r="G2490" s="6" t="s">
        <v>65</v>
      </c>
      <c r="H2490" s="4"/>
      <c r="I2490" s="5" t="s">
        <v>22</v>
      </c>
      <c r="J2490" s="5" t="s">
        <v>12116</v>
      </c>
      <c r="K2490" s="5" t="s">
        <v>12117</v>
      </c>
      <c r="L2490" s="5" t="s">
        <v>12118</v>
      </c>
      <c r="M2490" s="5" t="s">
        <v>362</v>
      </c>
      <c r="N2490" s="5" t="s">
        <v>352</v>
      </c>
      <c r="O2490" s="5" t="s">
        <v>11783</v>
      </c>
      <c r="P2490" s="5"/>
      <c r="Q2490" s="5" t="s">
        <v>12119</v>
      </c>
    </row>
    <row r="2491" spans="2:17" x14ac:dyDescent="0.2">
      <c r="B2491" s="5" t="s">
        <v>5154</v>
      </c>
      <c r="C2491" s="6" t="s">
        <v>13589</v>
      </c>
      <c r="D2491" s="4">
        <v>32</v>
      </c>
      <c r="E2491" s="5" t="s">
        <v>20</v>
      </c>
      <c r="F2491" s="5" t="s">
        <v>5224</v>
      </c>
      <c r="G2491" s="6" t="s">
        <v>60</v>
      </c>
      <c r="H2491" s="4"/>
      <c r="I2491" s="5" t="s">
        <v>22</v>
      </c>
      <c r="J2491" s="5" t="s">
        <v>5225</v>
      </c>
      <c r="K2491" s="5" t="s">
        <v>5192</v>
      </c>
      <c r="L2491" s="5"/>
      <c r="M2491" s="5" t="s">
        <v>5226</v>
      </c>
      <c r="N2491" s="5" t="s">
        <v>476</v>
      </c>
      <c r="O2491" s="5" t="s">
        <v>5023</v>
      </c>
      <c r="P2491" s="5" t="s">
        <v>5227</v>
      </c>
      <c r="Q2491" s="5" t="s">
        <v>5228</v>
      </c>
    </row>
    <row r="2492" spans="2:17" x14ac:dyDescent="0.2">
      <c r="B2492" s="5" t="s">
        <v>8190</v>
      </c>
      <c r="C2492" s="6" t="s">
        <v>13589</v>
      </c>
      <c r="D2492" s="4">
        <v>285</v>
      </c>
      <c r="E2492" s="5" t="s">
        <v>20</v>
      </c>
      <c r="F2492" s="5" t="s">
        <v>8293</v>
      </c>
      <c r="G2492" s="6" t="s">
        <v>60</v>
      </c>
      <c r="H2492" s="4"/>
      <c r="I2492" s="5" t="s">
        <v>22</v>
      </c>
      <c r="J2492" s="5" t="s">
        <v>8298</v>
      </c>
      <c r="K2492" s="5" t="s">
        <v>8299</v>
      </c>
      <c r="L2492" s="5" t="s">
        <v>8300</v>
      </c>
      <c r="M2492" s="5" t="s">
        <v>5226</v>
      </c>
      <c r="N2492" s="5" t="s">
        <v>2724</v>
      </c>
      <c r="O2492" s="5" t="s">
        <v>8194</v>
      </c>
      <c r="P2492" s="5"/>
      <c r="Q2492" s="5" t="s">
        <v>8301</v>
      </c>
    </row>
    <row r="2493" spans="2:17" x14ac:dyDescent="0.2">
      <c r="B2493" s="5" t="s">
        <v>8190</v>
      </c>
      <c r="C2493" s="6" t="s">
        <v>13589</v>
      </c>
      <c r="D2493" s="4">
        <v>286</v>
      </c>
      <c r="E2493" s="5" t="s">
        <v>20</v>
      </c>
      <c r="F2493" s="5" t="s">
        <v>8293</v>
      </c>
      <c r="G2493" s="6" t="s">
        <v>60</v>
      </c>
      <c r="H2493" s="4"/>
      <c r="I2493" s="5" t="s">
        <v>38</v>
      </c>
      <c r="J2493" s="5" t="s">
        <v>8302</v>
      </c>
      <c r="K2493" s="5" t="s">
        <v>8303</v>
      </c>
      <c r="L2493" s="5" t="s">
        <v>8304</v>
      </c>
      <c r="M2493" s="5" t="s">
        <v>5226</v>
      </c>
      <c r="N2493" s="5" t="s">
        <v>2724</v>
      </c>
      <c r="O2493" s="5" t="s">
        <v>8194</v>
      </c>
      <c r="P2493" s="5"/>
      <c r="Q2493" s="5" t="s">
        <v>8305</v>
      </c>
    </row>
    <row r="2494" spans="2:17" x14ac:dyDescent="0.2">
      <c r="B2494" s="5" t="s">
        <v>8190</v>
      </c>
      <c r="C2494" s="6" t="s">
        <v>13589</v>
      </c>
      <c r="D2494" s="4">
        <v>287</v>
      </c>
      <c r="E2494" s="5" t="s">
        <v>20</v>
      </c>
      <c r="F2494" s="5" t="s">
        <v>8293</v>
      </c>
      <c r="G2494" s="6" t="s">
        <v>60</v>
      </c>
      <c r="H2494" s="4"/>
      <c r="I2494" s="5" t="s">
        <v>22</v>
      </c>
      <c r="J2494" s="5" t="s">
        <v>8294</v>
      </c>
      <c r="K2494" s="5" t="s">
        <v>8295</v>
      </c>
      <c r="L2494" s="5" t="s">
        <v>8296</v>
      </c>
      <c r="M2494" s="5" t="s">
        <v>5226</v>
      </c>
      <c r="N2494" s="5" t="s">
        <v>2724</v>
      </c>
      <c r="O2494" s="5" t="s">
        <v>8194</v>
      </c>
      <c r="P2494" s="5"/>
      <c r="Q2494" s="5" t="s">
        <v>8297</v>
      </c>
    </row>
    <row r="2495" spans="2:17" x14ac:dyDescent="0.2">
      <c r="B2495" s="5" t="s">
        <v>9008</v>
      </c>
      <c r="C2495" s="6" t="s">
        <v>13589</v>
      </c>
      <c r="D2495" s="4">
        <v>678</v>
      </c>
      <c r="E2495" s="5" t="s">
        <v>20</v>
      </c>
      <c r="F2495" s="5" t="s">
        <v>9110</v>
      </c>
      <c r="G2495" s="6" t="s">
        <v>60</v>
      </c>
      <c r="H2495" s="4"/>
      <c r="I2495" s="5" t="s">
        <v>38</v>
      </c>
      <c r="J2495" s="5" t="s">
        <v>9111</v>
      </c>
      <c r="K2495" s="5" t="s">
        <v>9112</v>
      </c>
      <c r="L2495" s="5"/>
      <c r="M2495" s="5" t="s">
        <v>2555</v>
      </c>
      <c r="N2495" s="5" t="s">
        <v>7076</v>
      </c>
      <c r="O2495" s="5" t="s">
        <v>9028</v>
      </c>
      <c r="P2495" s="5"/>
      <c r="Q2495" s="5" t="s">
        <v>9113</v>
      </c>
    </row>
    <row r="2496" spans="2:17" x14ac:dyDescent="0.2">
      <c r="B2496" s="5" t="s">
        <v>9008</v>
      </c>
      <c r="C2496" s="6" t="s">
        <v>13589</v>
      </c>
      <c r="D2496" s="4">
        <v>679</v>
      </c>
      <c r="E2496" s="5" t="s">
        <v>20</v>
      </c>
      <c r="F2496" s="5" t="s">
        <v>9114</v>
      </c>
      <c r="G2496" s="6" t="s">
        <v>60</v>
      </c>
      <c r="H2496" s="4"/>
      <c r="I2496" s="5" t="s">
        <v>22</v>
      </c>
      <c r="J2496" s="5" t="s">
        <v>9115</v>
      </c>
      <c r="K2496" s="5" t="s">
        <v>9116</v>
      </c>
      <c r="L2496" s="5"/>
      <c r="M2496" s="5" t="s">
        <v>2856</v>
      </c>
      <c r="N2496" s="5" t="s">
        <v>7076</v>
      </c>
      <c r="O2496" s="5" t="s">
        <v>9028</v>
      </c>
      <c r="P2496" s="5"/>
      <c r="Q2496" s="5" t="s">
        <v>9117</v>
      </c>
    </row>
    <row r="2497" spans="2:17" x14ac:dyDescent="0.2">
      <c r="B2497" s="5" t="s">
        <v>11775</v>
      </c>
      <c r="C2497" s="6" t="s">
        <v>13589</v>
      </c>
      <c r="D2497" s="4">
        <v>1454</v>
      </c>
      <c r="E2497" s="5" t="s">
        <v>20</v>
      </c>
      <c r="F2497" s="5" t="s">
        <v>8293</v>
      </c>
      <c r="G2497" s="6" t="s">
        <v>60</v>
      </c>
      <c r="H2497" s="4"/>
      <c r="I2497" s="5" t="s">
        <v>22</v>
      </c>
      <c r="J2497" s="5" t="s">
        <v>12282</v>
      </c>
      <c r="K2497" s="5" t="s">
        <v>11801</v>
      </c>
      <c r="L2497" s="5" t="s">
        <v>12283</v>
      </c>
      <c r="M2497" s="5" t="s">
        <v>5226</v>
      </c>
      <c r="N2497" s="5" t="s">
        <v>2724</v>
      </c>
      <c r="O2497" s="5" t="s">
        <v>11780</v>
      </c>
      <c r="P2497" s="5"/>
      <c r="Q2497" s="5" t="s">
        <v>12284</v>
      </c>
    </row>
    <row r="2498" spans="2:17" x14ac:dyDescent="0.2">
      <c r="B2498" s="5" t="s">
        <v>11775</v>
      </c>
      <c r="C2498" s="6" t="s">
        <v>13589</v>
      </c>
      <c r="D2498" s="4">
        <v>1455</v>
      </c>
      <c r="E2498" s="5" t="s">
        <v>20</v>
      </c>
      <c r="F2498" s="5" t="s">
        <v>8293</v>
      </c>
      <c r="G2498" s="6" t="s">
        <v>60</v>
      </c>
      <c r="H2498" s="4"/>
      <c r="I2498" s="5" t="s">
        <v>38</v>
      </c>
      <c r="J2498" s="5" t="s">
        <v>12285</v>
      </c>
      <c r="K2498" s="5" t="s">
        <v>11801</v>
      </c>
      <c r="L2498" s="5" t="s">
        <v>12286</v>
      </c>
      <c r="M2498" s="5" t="s">
        <v>5226</v>
      </c>
      <c r="N2498" s="5" t="s">
        <v>2724</v>
      </c>
      <c r="O2498" s="5" t="s">
        <v>11780</v>
      </c>
      <c r="P2498" s="5"/>
      <c r="Q2498" s="5" t="s">
        <v>12287</v>
      </c>
    </row>
    <row r="2499" spans="2:17" x14ac:dyDescent="0.2">
      <c r="B2499" s="5" t="s">
        <v>11775</v>
      </c>
      <c r="C2499" s="6" t="s">
        <v>13589</v>
      </c>
      <c r="D2499" s="4">
        <v>1456</v>
      </c>
      <c r="E2499" s="5" t="s">
        <v>20</v>
      </c>
      <c r="F2499" s="5" t="s">
        <v>8293</v>
      </c>
      <c r="G2499" s="6" t="s">
        <v>60</v>
      </c>
      <c r="H2499" s="4"/>
      <c r="I2499" s="5" t="s">
        <v>22</v>
      </c>
      <c r="J2499" s="5" t="s">
        <v>12288</v>
      </c>
      <c r="K2499" s="5" t="s">
        <v>11801</v>
      </c>
      <c r="L2499" s="5" t="s">
        <v>12289</v>
      </c>
      <c r="M2499" s="5" t="s">
        <v>5226</v>
      </c>
      <c r="N2499" s="5" t="s">
        <v>2724</v>
      </c>
      <c r="O2499" s="5" t="s">
        <v>11780</v>
      </c>
      <c r="P2499" s="5"/>
      <c r="Q2499" s="5" t="s">
        <v>12290</v>
      </c>
    </row>
    <row r="2500" spans="2:17" x14ac:dyDescent="0.2">
      <c r="B2500" s="5" t="s">
        <v>5036</v>
      </c>
      <c r="C2500" s="6" t="s">
        <v>13589</v>
      </c>
      <c r="D2500" s="4">
        <v>13</v>
      </c>
      <c r="E2500" s="5" t="s">
        <v>20</v>
      </c>
      <c r="F2500" s="5" t="s">
        <v>5063</v>
      </c>
      <c r="G2500" s="6" t="s">
        <v>40</v>
      </c>
      <c r="H2500" s="4"/>
      <c r="I2500" s="5" t="s">
        <v>22</v>
      </c>
      <c r="J2500" s="5" t="s">
        <v>5064</v>
      </c>
      <c r="K2500" s="5" t="s">
        <v>4990</v>
      </c>
      <c r="L2500" s="5"/>
      <c r="M2500" s="5" t="s">
        <v>2151</v>
      </c>
      <c r="N2500" s="5" t="s">
        <v>2147</v>
      </c>
      <c r="O2500" s="5" t="s">
        <v>4991</v>
      </c>
      <c r="P2500" s="5"/>
      <c r="Q2500" s="5" t="s">
        <v>5065</v>
      </c>
    </row>
    <row r="2501" spans="2:17" x14ac:dyDescent="0.2">
      <c r="B2501" s="5" t="s">
        <v>5036</v>
      </c>
      <c r="C2501" s="6" t="s">
        <v>13589</v>
      </c>
      <c r="D2501" s="4">
        <v>27</v>
      </c>
      <c r="E2501" s="5" t="s">
        <v>20</v>
      </c>
      <c r="F2501" s="5" t="s">
        <v>5037</v>
      </c>
      <c r="G2501" s="6" t="s">
        <v>40</v>
      </c>
      <c r="H2501" s="4"/>
      <c r="I2501" s="5" t="s">
        <v>22</v>
      </c>
      <c r="J2501" s="5" t="s">
        <v>5038</v>
      </c>
      <c r="K2501" s="5" t="s">
        <v>5039</v>
      </c>
      <c r="L2501" s="5" t="s">
        <v>5040</v>
      </c>
      <c r="M2501" s="5" t="s">
        <v>132</v>
      </c>
      <c r="N2501" s="5" t="s">
        <v>366</v>
      </c>
      <c r="O2501" s="5" t="s">
        <v>4986</v>
      </c>
      <c r="P2501" s="5"/>
      <c r="Q2501" s="5" t="s">
        <v>5041</v>
      </c>
    </row>
    <row r="2502" spans="2:17" x14ac:dyDescent="0.2">
      <c r="B2502" s="5" t="s">
        <v>5036</v>
      </c>
      <c r="C2502" s="6" t="s">
        <v>13589</v>
      </c>
      <c r="D2502" s="4">
        <v>28</v>
      </c>
      <c r="E2502" s="5" t="s">
        <v>20</v>
      </c>
      <c r="F2502" s="5" t="s">
        <v>5037</v>
      </c>
      <c r="G2502" s="6" t="s">
        <v>40</v>
      </c>
      <c r="H2502" s="4"/>
      <c r="I2502" s="5" t="s">
        <v>22</v>
      </c>
      <c r="J2502" s="5" t="s">
        <v>5042</v>
      </c>
      <c r="K2502" s="5" t="s">
        <v>5039</v>
      </c>
      <c r="L2502" s="5" t="s">
        <v>5043</v>
      </c>
      <c r="M2502" s="5" t="s">
        <v>132</v>
      </c>
      <c r="N2502" s="5" t="s">
        <v>366</v>
      </c>
      <c r="O2502" s="5" t="s">
        <v>4986</v>
      </c>
      <c r="P2502" s="5"/>
      <c r="Q2502" s="5" t="s">
        <v>5044</v>
      </c>
    </row>
    <row r="2503" spans="2:17" x14ac:dyDescent="0.2">
      <c r="B2503" s="5" t="s">
        <v>5036</v>
      </c>
      <c r="C2503" s="6" t="s">
        <v>13589</v>
      </c>
      <c r="D2503" s="4">
        <v>29</v>
      </c>
      <c r="E2503" s="5" t="s">
        <v>20</v>
      </c>
      <c r="F2503" s="5" t="s">
        <v>5037</v>
      </c>
      <c r="G2503" s="6" t="s">
        <v>40</v>
      </c>
      <c r="H2503" s="4"/>
      <c r="I2503" s="5" t="s">
        <v>22</v>
      </c>
      <c r="J2503" s="5" t="s">
        <v>5045</v>
      </c>
      <c r="K2503" s="5" t="s">
        <v>5046</v>
      </c>
      <c r="L2503" s="5" t="s">
        <v>5047</v>
      </c>
      <c r="M2503" s="5" t="s">
        <v>132</v>
      </c>
      <c r="N2503" s="5" t="s">
        <v>366</v>
      </c>
      <c r="O2503" s="5" t="s">
        <v>4986</v>
      </c>
      <c r="P2503" s="5"/>
      <c r="Q2503" s="5" t="s">
        <v>5048</v>
      </c>
    </row>
    <row r="2504" spans="2:17" x14ac:dyDescent="0.2">
      <c r="B2504" s="5" t="s">
        <v>8364</v>
      </c>
      <c r="C2504" s="6" t="s">
        <v>13589</v>
      </c>
      <c r="D2504" s="4">
        <v>399</v>
      </c>
      <c r="E2504" s="5" t="s">
        <v>20</v>
      </c>
      <c r="F2504" s="5" t="s">
        <v>8378</v>
      </c>
      <c r="G2504" s="6" t="s">
        <v>40</v>
      </c>
      <c r="H2504" s="4"/>
      <c r="I2504" s="5" t="s">
        <v>22</v>
      </c>
      <c r="J2504" s="5" t="s">
        <v>8379</v>
      </c>
      <c r="K2504" s="5" t="s">
        <v>8380</v>
      </c>
      <c r="L2504" s="5"/>
      <c r="M2504" s="5" t="s">
        <v>2821</v>
      </c>
      <c r="N2504" s="5" t="s">
        <v>1207</v>
      </c>
      <c r="O2504" s="5" t="s">
        <v>8381</v>
      </c>
      <c r="P2504" s="5"/>
      <c r="Q2504" s="5" t="s">
        <v>8382</v>
      </c>
    </row>
    <row r="2505" spans="2:17" x14ac:dyDescent="0.2">
      <c r="B2505" s="5" t="s">
        <v>8683</v>
      </c>
      <c r="C2505" s="6" t="s">
        <v>13589</v>
      </c>
      <c r="D2505" s="4">
        <v>445</v>
      </c>
      <c r="E2505" s="5" t="s">
        <v>20</v>
      </c>
      <c r="F2505" s="5" t="s">
        <v>8943</v>
      </c>
      <c r="G2505" s="6" t="s">
        <v>40</v>
      </c>
      <c r="H2505" s="4"/>
      <c r="I2505" s="5" t="s">
        <v>22</v>
      </c>
      <c r="J2505" s="5" t="s">
        <v>8944</v>
      </c>
      <c r="K2505" s="5" t="s">
        <v>27</v>
      </c>
      <c r="L2505" s="5"/>
      <c r="M2505" s="5" t="s">
        <v>3893</v>
      </c>
      <c r="N2505" s="5" t="s">
        <v>3893</v>
      </c>
      <c r="O2505" s="5" t="s">
        <v>5684</v>
      </c>
      <c r="P2505" s="5"/>
      <c r="Q2505" s="5" t="s">
        <v>8945</v>
      </c>
    </row>
    <row r="2506" spans="2:17" x14ac:dyDescent="0.2">
      <c r="B2506" s="5" t="s">
        <v>9008</v>
      </c>
      <c r="C2506" s="6" t="s">
        <v>13589</v>
      </c>
      <c r="D2506" s="4">
        <v>652</v>
      </c>
      <c r="E2506" s="5" t="s">
        <v>20</v>
      </c>
      <c r="F2506" s="5" t="s">
        <v>9145</v>
      </c>
      <c r="G2506" s="6" t="s">
        <v>40</v>
      </c>
      <c r="H2506" s="4"/>
      <c r="I2506" s="5" t="s">
        <v>22</v>
      </c>
      <c r="J2506" s="5" t="s">
        <v>9146</v>
      </c>
      <c r="K2506" s="5" t="s">
        <v>9147</v>
      </c>
      <c r="L2506" s="5"/>
      <c r="M2506" s="5" t="s">
        <v>573</v>
      </c>
      <c r="N2506" s="5" t="s">
        <v>1262</v>
      </c>
      <c r="O2506" s="5" t="s">
        <v>9012</v>
      </c>
      <c r="P2506" s="5"/>
      <c r="Q2506" s="5" t="s">
        <v>9148</v>
      </c>
    </row>
    <row r="2507" spans="2:17" x14ac:dyDescent="0.2">
      <c r="B2507" s="5" t="s">
        <v>9008</v>
      </c>
      <c r="C2507" s="6" t="s">
        <v>13589</v>
      </c>
      <c r="D2507" s="4">
        <v>653</v>
      </c>
      <c r="E2507" s="5" t="s">
        <v>20</v>
      </c>
      <c r="F2507" s="5" t="s">
        <v>9145</v>
      </c>
      <c r="G2507" s="6" t="s">
        <v>40</v>
      </c>
      <c r="H2507" s="4"/>
      <c r="I2507" s="5" t="s">
        <v>22</v>
      </c>
      <c r="J2507" s="5" t="s">
        <v>9149</v>
      </c>
      <c r="K2507" s="5" t="s">
        <v>9036</v>
      </c>
      <c r="L2507" s="5"/>
      <c r="M2507" s="5" t="s">
        <v>573</v>
      </c>
      <c r="N2507" s="5" t="s">
        <v>1262</v>
      </c>
      <c r="O2507" s="5" t="s">
        <v>9012</v>
      </c>
      <c r="P2507" s="5"/>
      <c r="Q2507" s="5" t="s">
        <v>9150</v>
      </c>
    </row>
    <row r="2508" spans="2:17" x14ac:dyDescent="0.2">
      <c r="B2508" s="5" t="s">
        <v>9008</v>
      </c>
      <c r="C2508" s="6" t="s">
        <v>13589</v>
      </c>
      <c r="D2508" s="4">
        <v>654</v>
      </c>
      <c r="E2508" s="5" t="s">
        <v>20</v>
      </c>
      <c r="F2508" s="5" t="s">
        <v>9145</v>
      </c>
      <c r="G2508" s="6" t="s">
        <v>40</v>
      </c>
      <c r="H2508" s="4"/>
      <c r="I2508" s="5" t="s">
        <v>22</v>
      </c>
      <c r="J2508" s="5" t="s">
        <v>9151</v>
      </c>
      <c r="K2508" s="5" t="s">
        <v>9152</v>
      </c>
      <c r="L2508" s="5"/>
      <c r="M2508" s="5" t="s">
        <v>573</v>
      </c>
      <c r="N2508" s="5" t="s">
        <v>1262</v>
      </c>
      <c r="O2508" s="5" t="s">
        <v>9012</v>
      </c>
      <c r="P2508" s="5"/>
      <c r="Q2508" s="5" t="s">
        <v>9153</v>
      </c>
    </row>
    <row r="2509" spans="2:17" x14ac:dyDescent="0.2">
      <c r="B2509" s="5" t="s">
        <v>9550</v>
      </c>
      <c r="C2509" s="6" t="s">
        <v>13589</v>
      </c>
      <c r="D2509" s="4">
        <v>759</v>
      </c>
      <c r="E2509" s="5" t="s">
        <v>35</v>
      </c>
      <c r="F2509" s="5" t="s">
        <v>10012</v>
      </c>
      <c r="G2509" s="6" t="s">
        <v>40</v>
      </c>
      <c r="H2509" s="4"/>
      <c r="I2509" s="5"/>
      <c r="J2509" s="5" t="s">
        <v>10013</v>
      </c>
      <c r="K2509" s="5" t="s">
        <v>9692</v>
      </c>
      <c r="L2509" s="5"/>
      <c r="M2509" s="5" t="s">
        <v>479</v>
      </c>
      <c r="N2509" s="5" t="s">
        <v>1894</v>
      </c>
      <c r="O2509" s="5" t="s">
        <v>9553</v>
      </c>
      <c r="P2509" s="5"/>
      <c r="Q2509" s="5" t="s">
        <v>10014</v>
      </c>
    </row>
    <row r="2510" spans="2:17" x14ac:dyDescent="0.2">
      <c r="B2510" s="5" t="s">
        <v>9550</v>
      </c>
      <c r="C2510" s="6" t="s">
        <v>13589</v>
      </c>
      <c r="D2510" s="4">
        <v>838</v>
      </c>
      <c r="E2510" s="5" t="s">
        <v>15</v>
      </c>
      <c r="F2510" s="5" t="s">
        <v>9762</v>
      </c>
      <c r="G2510" s="6" t="s">
        <v>40</v>
      </c>
      <c r="H2510" s="4"/>
      <c r="I2510" s="5"/>
      <c r="J2510" s="5" t="s">
        <v>61</v>
      </c>
      <c r="K2510" s="5" t="s">
        <v>37</v>
      </c>
      <c r="L2510" s="5"/>
      <c r="M2510" s="5" t="s">
        <v>2083</v>
      </c>
      <c r="N2510" s="5" t="s">
        <v>1821</v>
      </c>
      <c r="O2510" s="5" t="s">
        <v>9553</v>
      </c>
      <c r="P2510" s="5"/>
      <c r="Q2510" s="5" t="s">
        <v>9763</v>
      </c>
    </row>
    <row r="2511" spans="2:17" x14ac:dyDescent="0.2">
      <c r="B2511" s="5" t="s">
        <v>10194</v>
      </c>
      <c r="C2511" s="6" t="s">
        <v>13589</v>
      </c>
      <c r="D2511" s="4">
        <v>994</v>
      </c>
      <c r="E2511" s="5" t="s">
        <v>20</v>
      </c>
      <c r="F2511" s="5" t="s">
        <v>10474</v>
      </c>
      <c r="G2511" s="6" t="s">
        <v>40</v>
      </c>
      <c r="H2511" s="4"/>
      <c r="I2511" s="5" t="s">
        <v>38</v>
      </c>
      <c r="J2511" s="5" t="s">
        <v>10475</v>
      </c>
      <c r="K2511" s="5" t="s">
        <v>10476</v>
      </c>
      <c r="L2511" s="5" t="s">
        <v>10477</v>
      </c>
      <c r="M2511" s="5" t="s">
        <v>312</v>
      </c>
      <c r="N2511" s="5" t="s">
        <v>296</v>
      </c>
      <c r="O2511" s="5" t="s">
        <v>10197</v>
      </c>
      <c r="P2511" s="5"/>
      <c r="Q2511" s="5" t="s">
        <v>10478</v>
      </c>
    </row>
    <row r="2512" spans="2:17" x14ac:dyDescent="0.2">
      <c r="B2512" s="5" t="s">
        <v>11377</v>
      </c>
      <c r="C2512" s="6" t="s">
        <v>13589</v>
      </c>
      <c r="D2512" s="4">
        <v>1346</v>
      </c>
      <c r="E2512" s="5" t="s">
        <v>20</v>
      </c>
      <c r="F2512" s="5" t="s">
        <v>11676</v>
      </c>
      <c r="G2512" s="6" t="s">
        <v>40</v>
      </c>
      <c r="H2512" s="4"/>
      <c r="I2512" s="5" t="s">
        <v>22</v>
      </c>
      <c r="J2512" s="5" t="s">
        <v>11640</v>
      </c>
      <c r="K2512" s="5" t="s">
        <v>3828</v>
      </c>
      <c r="L2512" s="5"/>
      <c r="M2512" s="5" t="s">
        <v>198</v>
      </c>
      <c r="N2512" s="5" t="s">
        <v>465</v>
      </c>
      <c r="O2512" s="5" t="s">
        <v>11387</v>
      </c>
      <c r="P2512" s="5"/>
      <c r="Q2512" s="5" t="s">
        <v>11677</v>
      </c>
    </row>
    <row r="2513" spans="2:17" x14ac:dyDescent="0.2">
      <c r="B2513" s="5" t="s">
        <v>11377</v>
      </c>
      <c r="C2513" s="6" t="s">
        <v>13589</v>
      </c>
      <c r="D2513" s="4">
        <v>1350</v>
      </c>
      <c r="E2513" s="5" t="s">
        <v>20</v>
      </c>
      <c r="F2513" s="5" t="s">
        <v>11661</v>
      </c>
      <c r="G2513" s="6" t="s">
        <v>40</v>
      </c>
      <c r="H2513" s="4"/>
      <c r="I2513" s="5" t="s">
        <v>22</v>
      </c>
      <c r="J2513" s="5" t="s">
        <v>11662</v>
      </c>
      <c r="K2513" s="5" t="s">
        <v>11379</v>
      </c>
      <c r="L2513" s="5" t="s">
        <v>11663</v>
      </c>
      <c r="M2513" s="5" t="s">
        <v>174</v>
      </c>
      <c r="N2513" s="5" t="s">
        <v>461</v>
      </c>
      <c r="O2513" s="5" t="s">
        <v>11380</v>
      </c>
      <c r="P2513" s="5"/>
      <c r="Q2513" s="5" t="s">
        <v>11664</v>
      </c>
    </row>
    <row r="2514" spans="2:17" x14ac:dyDescent="0.2">
      <c r="B2514" s="5" t="s">
        <v>11775</v>
      </c>
      <c r="C2514" s="6" t="s">
        <v>13589</v>
      </c>
      <c r="D2514" s="4">
        <v>1555</v>
      </c>
      <c r="E2514" s="5" t="s">
        <v>24</v>
      </c>
      <c r="F2514" s="5" t="s">
        <v>11857</v>
      </c>
      <c r="G2514" s="6" t="s">
        <v>40</v>
      </c>
      <c r="H2514" s="4"/>
      <c r="I2514" s="5"/>
      <c r="J2514" s="5" t="s">
        <v>11858</v>
      </c>
      <c r="K2514" s="5" t="s">
        <v>11798</v>
      </c>
      <c r="L2514" s="5"/>
      <c r="M2514" s="5" t="s">
        <v>1230</v>
      </c>
      <c r="N2514" s="5" t="s">
        <v>1222</v>
      </c>
      <c r="O2514" s="5" t="s">
        <v>11782</v>
      </c>
      <c r="P2514" s="5"/>
      <c r="Q2514" s="5" t="s">
        <v>11859</v>
      </c>
    </row>
    <row r="2515" spans="2:17" x14ac:dyDescent="0.2">
      <c r="B2515" s="5" t="s">
        <v>11775</v>
      </c>
      <c r="C2515" s="6" t="s">
        <v>13589</v>
      </c>
      <c r="D2515" s="4">
        <v>1567</v>
      </c>
      <c r="E2515" s="5" t="s">
        <v>13</v>
      </c>
      <c r="F2515" s="5" t="s">
        <v>11817</v>
      </c>
      <c r="G2515" s="6" t="s">
        <v>40</v>
      </c>
      <c r="H2515" s="4"/>
      <c r="I2515" s="5"/>
      <c r="J2515" s="5" t="s">
        <v>11818</v>
      </c>
      <c r="K2515" s="5" t="s">
        <v>11806</v>
      </c>
      <c r="L2515" s="5"/>
      <c r="M2515" s="5" t="s">
        <v>1715</v>
      </c>
      <c r="N2515" s="5" t="s">
        <v>1715</v>
      </c>
      <c r="O2515" s="5" t="s">
        <v>11782</v>
      </c>
      <c r="P2515" s="5"/>
      <c r="Q2515" s="5" t="s">
        <v>11819</v>
      </c>
    </row>
    <row r="2516" spans="2:17" x14ac:dyDescent="0.2">
      <c r="B2516" s="5" t="s">
        <v>5451</v>
      </c>
      <c r="C2516" s="6" t="s">
        <v>13589</v>
      </c>
      <c r="D2516" s="4">
        <v>187</v>
      </c>
      <c r="E2516" s="5" t="s">
        <v>20</v>
      </c>
      <c r="F2516" s="5" t="s">
        <v>5461</v>
      </c>
      <c r="G2516" s="6" t="s">
        <v>275</v>
      </c>
      <c r="H2516" s="4"/>
      <c r="I2516" s="5" t="s">
        <v>22</v>
      </c>
      <c r="J2516" s="5" t="s">
        <v>5462</v>
      </c>
      <c r="K2516" s="5" t="s">
        <v>4998</v>
      </c>
      <c r="L2516" s="5"/>
      <c r="M2516" s="5" t="s">
        <v>1201</v>
      </c>
      <c r="N2516" s="5" t="s">
        <v>1201</v>
      </c>
      <c r="O2516" s="5" t="s">
        <v>5453</v>
      </c>
      <c r="P2516" s="5"/>
      <c r="Q2516" s="5" t="s">
        <v>5463</v>
      </c>
    </row>
    <row r="2517" spans="2:17" x14ac:dyDescent="0.2">
      <c r="B2517" s="5" t="s">
        <v>8364</v>
      </c>
      <c r="C2517" s="6" t="s">
        <v>13589</v>
      </c>
      <c r="D2517" s="4">
        <v>320</v>
      </c>
      <c r="E2517" s="5" t="s">
        <v>20</v>
      </c>
      <c r="F2517" s="5" t="s">
        <v>8679</v>
      </c>
      <c r="G2517" s="6" t="s">
        <v>275</v>
      </c>
      <c r="H2517" s="4"/>
      <c r="I2517" s="5" t="s">
        <v>22</v>
      </c>
      <c r="J2517" s="5" t="s">
        <v>8680</v>
      </c>
      <c r="K2517" s="5" t="s">
        <v>8678</v>
      </c>
      <c r="L2517" s="5"/>
      <c r="M2517" s="5" t="s">
        <v>8681</v>
      </c>
      <c r="N2517" s="5" t="s">
        <v>235</v>
      </c>
      <c r="O2517" s="5" t="s">
        <v>8368</v>
      </c>
      <c r="P2517" s="5"/>
      <c r="Q2517" s="5" t="s">
        <v>8682</v>
      </c>
    </row>
    <row r="2518" spans="2:17" x14ac:dyDescent="0.2">
      <c r="B2518" s="5" t="s">
        <v>8364</v>
      </c>
      <c r="C2518" s="6" t="s">
        <v>13589</v>
      </c>
      <c r="D2518" s="4">
        <v>357</v>
      </c>
      <c r="E2518" s="5" t="s">
        <v>20</v>
      </c>
      <c r="F2518" s="5" t="s">
        <v>8496</v>
      </c>
      <c r="G2518" s="6" t="s">
        <v>91</v>
      </c>
      <c r="H2518" s="4"/>
      <c r="I2518" s="5" t="s">
        <v>22</v>
      </c>
      <c r="J2518" s="5" t="s">
        <v>8497</v>
      </c>
      <c r="K2518" s="5" t="s">
        <v>8498</v>
      </c>
      <c r="L2518" s="5"/>
      <c r="M2518" s="5" t="s">
        <v>3162</v>
      </c>
      <c r="N2518" s="5" t="s">
        <v>3162</v>
      </c>
      <c r="O2518" s="5" t="s">
        <v>8381</v>
      </c>
      <c r="P2518" s="5"/>
      <c r="Q2518" s="5" t="s">
        <v>8499</v>
      </c>
    </row>
    <row r="2519" spans="2:17" x14ac:dyDescent="0.2">
      <c r="B2519" s="5" t="s">
        <v>8364</v>
      </c>
      <c r="C2519" s="6" t="s">
        <v>13589</v>
      </c>
      <c r="D2519" s="4">
        <v>358</v>
      </c>
      <c r="E2519" s="5" t="s">
        <v>20</v>
      </c>
      <c r="F2519" s="5" t="s">
        <v>8496</v>
      </c>
      <c r="G2519" s="6" t="s">
        <v>91</v>
      </c>
      <c r="H2519" s="4"/>
      <c r="I2519" s="5" t="s">
        <v>38</v>
      </c>
      <c r="J2519" s="5" t="s">
        <v>8500</v>
      </c>
      <c r="K2519" s="5" t="s">
        <v>8498</v>
      </c>
      <c r="L2519" s="5"/>
      <c r="M2519" s="5" t="s">
        <v>3162</v>
      </c>
      <c r="N2519" s="5" t="s">
        <v>3162</v>
      </c>
      <c r="O2519" s="5" t="s">
        <v>8368</v>
      </c>
      <c r="P2519" s="5"/>
      <c r="Q2519" s="5" t="s">
        <v>8501</v>
      </c>
    </row>
    <row r="2520" spans="2:17" x14ac:dyDescent="0.2">
      <c r="B2520" s="5" t="s">
        <v>8364</v>
      </c>
      <c r="C2520" s="6" t="s">
        <v>13589</v>
      </c>
      <c r="D2520" s="4">
        <v>360</v>
      </c>
      <c r="E2520" s="5" t="s">
        <v>20</v>
      </c>
      <c r="F2520" s="5" t="s">
        <v>8490</v>
      </c>
      <c r="G2520" s="6" t="s">
        <v>91</v>
      </c>
      <c r="H2520" s="4"/>
      <c r="I2520" s="5" t="s">
        <v>22</v>
      </c>
      <c r="J2520" s="5" t="s">
        <v>8491</v>
      </c>
      <c r="K2520" s="5" t="s">
        <v>8385</v>
      </c>
      <c r="L2520" s="5"/>
      <c r="M2520" s="5" t="s">
        <v>3162</v>
      </c>
      <c r="N2520" s="5" t="s">
        <v>4184</v>
      </c>
      <c r="O2520" s="5" t="s">
        <v>8368</v>
      </c>
      <c r="P2520" s="5"/>
      <c r="Q2520" s="5" t="s">
        <v>8492</v>
      </c>
    </row>
    <row r="2521" spans="2:17" x14ac:dyDescent="0.2">
      <c r="B2521" s="5" t="s">
        <v>8364</v>
      </c>
      <c r="C2521" s="6" t="s">
        <v>13589</v>
      </c>
      <c r="D2521" s="4">
        <v>362</v>
      </c>
      <c r="E2521" s="5" t="s">
        <v>20</v>
      </c>
      <c r="F2521" s="5" t="s">
        <v>8493</v>
      </c>
      <c r="G2521" s="6" t="s">
        <v>91</v>
      </c>
      <c r="H2521" s="4"/>
      <c r="I2521" s="5" t="s">
        <v>22</v>
      </c>
      <c r="J2521" s="5" t="s">
        <v>8494</v>
      </c>
      <c r="K2521" s="5" t="s">
        <v>8481</v>
      </c>
      <c r="L2521" s="5"/>
      <c r="M2521" s="5" t="s">
        <v>3162</v>
      </c>
      <c r="N2521" s="5" t="s">
        <v>4184</v>
      </c>
      <c r="O2521" s="5" t="s">
        <v>8372</v>
      </c>
      <c r="P2521" s="5"/>
      <c r="Q2521" s="5" t="s">
        <v>8495</v>
      </c>
    </row>
    <row r="2522" spans="2:17" x14ac:dyDescent="0.2">
      <c r="B2522" s="5" t="s">
        <v>9008</v>
      </c>
      <c r="C2522" s="6" t="s">
        <v>13589</v>
      </c>
      <c r="D2522" s="4">
        <v>577</v>
      </c>
      <c r="E2522" s="5" t="s">
        <v>20</v>
      </c>
      <c r="F2522" s="5" t="s">
        <v>9501</v>
      </c>
      <c r="G2522" s="6" t="s">
        <v>91</v>
      </c>
      <c r="H2522" s="4"/>
      <c r="I2522" s="5" t="s">
        <v>22</v>
      </c>
      <c r="J2522" s="5" t="s">
        <v>9502</v>
      </c>
      <c r="K2522" s="5" t="s">
        <v>9428</v>
      </c>
      <c r="L2522" s="5"/>
      <c r="M2522" s="5" t="s">
        <v>1672</v>
      </c>
      <c r="N2522" s="5" t="s">
        <v>506</v>
      </c>
      <c r="O2522" s="5" t="s">
        <v>9020</v>
      </c>
      <c r="P2522" s="5"/>
      <c r="Q2522" s="5" t="s">
        <v>9503</v>
      </c>
    </row>
    <row r="2523" spans="2:17" x14ac:dyDescent="0.2">
      <c r="B2523" s="5" t="s">
        <v>9550</v>
      </c>
      <c r="C2523" s="6" t="s">
        <v>13589</v>
      </c>
      <c r="D2523" s="4">
        <v>797</v>
      </c>
      <c r="E2523" s="5" t="s">
        <v>24</v>
      </c>
      <c r="F2523" s="5" t="s">
        <v>9905</v>
      </c>
      <c r="G2523" s="6" t="s">
        <v>91</v>
      </c>
      <c r="H2523" s="4"/>
      <c r="I2523" s="5"/>
      <c r="J2523" s="5" t="s">
        <v>61</v>
      </c>
      <c r="K2523" s="5" t="s">
        <v>9584</v>
      </c>
      <c r="L2523" s="5"/>
      <c r="M2523" s="5" t="s">
        <v>1548</v>
      </c>
      <c r="N2523" s="5" t="s">
        <v>1544</v>
      </c>
      <c r="O2523" s="5" t="s">
        <v>9582</v>
      </c>
      <c r="P2523" s="5"/>
      <c r="Q2523" s="5" t="s">
        <v>9906</v>
      </c>
    </row>
    <row r="2524" spans="2:17" x14ac:dyDescent="0.2">
      <c r="B2524" s="5" t="s">
        <v>9550</v>
      </c>
      <c r="C2524" s="6" t="s">
        <v>13589</v>
      </c>
      <c r="D2524" s="4">
        <v>809</v>
      </c>
      <c r="E2524" s="5" t="s">
        <v>24</v>
      </c>
      <c r="F2524" s="5" t="s">
        <v>9883</v>
      </c>
      <c r="G2524" s="6" t="s">
        <v>91</v>
      </c>
      <c r="H2524" s="4"/>
      <c r="I2524" s="5"/>
      <c r="J2524" s="5" t="s">
        <v>61</v>
      </c>
      <c r="K2524" s="5" t="s">
        <v>9598</v>
      </c>
      <c r="L2524" s="5"/>
      <c r="M2524" s="5" t="s">
        <v>3162</v>
      </c>
      <c r="N2524" s="5" t="s">
        <v>4184</v>
      </c>
      <c r="O2524" s="5" t="s">
        <v>9582</v>
      </c>
      <c r="P2524" s="5"/>
      <c r="Q2524" s="5" t="s">
        <v>9884</v>
      </c>
    </row>
    <row r="2525" spans="2:17" x14ac:dyDescent="0.2">
      <c r="B2525" s="5" t="s">
        <v>9550</v>
      </c>
      <c r="C2525" s="6" t="s">
        <v>13589</v>
      </c>
      <c r="D2525" s="4">
        <v>959</v>
      </c>
      <c r="E2525" s="5" t="s">
        <v>35</v>
      </c>
      <c r="F2525" s="5" t="s">
        <v>10047</v>
      </c>
      <c r="G2525" s="6" t="s">
        <v>64</v>
      </c>
      <c r="H2525" s="4"/>
      <c r="I2525" s="5"/>
      <c r="J2525" s="5" t="s">
        <v>61</v>
      </c>
      <c r="K2525" s="5" t="s">
        <v>9603</v>
      </c>
      <c r="L2525" s="5"/>
      <c r="M2525" s="5" t="s">
        <v>490</v>
      </c>
      <c r="N2525" s="5" t="s">
        <v>2225</v>
      </c>
      <c r="O2525" s="5" t="s">
        <v>5014</v>
      </c>
      <c r="P2525" s="5"/>
      <c r="Q2525" s="5" t="s">
        <v>10048</v>
      </c>
    </row>
    <row r="2526" spans="2:17" x14ac:dyDescent="0.2">
      <c r="B2526" s="5" t="s">
        <v>10194</v>
      </c>
      <c r="C2526" s="6" t="s">
        <v>13589</v>
      </c>
      <c r="D2526" s="4">
        <v>986</v>
      </c>
      <c r="E2526" s="5" t="s">
        <v>20</v>
      </c>
      <c r="F2526" s="5" t="s">
        <v>10495</v>
      </c>
      <c r="G2526" s="6" t="s">
        <v>55</v>
      </c>
      <c r="H2526" s="4"/>
      <c r="I2526" s="5" t="s">
        <v>22</v>
      </c>
      <c r="J2526" s="5" t="s">
        <v>10496</v>
      </c>
      <c r="K2526" s="5" t="s">
        <v>10497</v>
      </c>
      <c r="L2526" s="5"/>
      <c r="M2526" s="5" t="s">
        <v>341</v>
      </c>
      <c r="N2526" s="5" t="s">
        <v>1821</v>
      </c>
      <c r="O2526" s="5" t="s">
        <v>10210</v>
      </c>
      <c r="P2526" s="5"/>
      <c r="Q2526" s="5" t="s">
        <v>10498</v>
      </c>
    </row>
    <row r="2527" spans="2:17" x14ac:dyDescent="0.2">
      <c r="B2527" s="5" t="s">
        <v>10194</v>
      </c>
      <c r="C2527" s="6" t="s">
        <v>13589</v>
      </c>
      <c r="D2527" s="4">
        <v>987</v>
      </c>
      <c r="E2527" s="5" t="s">
        <v>20</v>
      </c>
      <c r="F2527" s="5" t="s">
        <v>10495</v>
      </c>
      <c r="G2527" s="6" t="s">
        <v>55</v>
      </c>
      <c r="H2527" s="4"/>
      <c r="I2527" s="5" t="s">
        <v>38</v>
      </c>
      <c r="J2527" s="5" t="s">
        <v>10499</v>
      </c>
      <c r="K2527" s="5" t="s">
        <v>10500</v>
      </c>
      <c r="L2527" s="5"/>
      <c r="M2527" s="5" t="s">
        <v>341</v>
      </c>
      <c r="N2527" s="5" t="s">
        <v>1821</v>
      </c>
      <c r="O2527" s="5" t="s">
        <v>10210</v>
      </c>
      <c r="P2527" s="5"/>
      <c r="Q2527" s="5" t="s">
        <v>10501</v>
      </c>
    </row>
    <row r="2528" spans="2:17" x14ac:dyDescent="0.2">
      <c r="B2528" s="5" t="s">
        <v>10194</v>
      </c>
      <c r="C2528" s="6" t="s">
        <v>13589</v>
      </c>
      <c r="D2528" s="4">
        <v>988</v>
      </c>
      <c r="E2528" s="5" t="s">
        <v>20</v>
      </c>
      <c r="F2528" s="5" t="s">
        <v>10495</v>
      </c>
      <c r="G2528" s="6" t="s">
        <v>55</v>
      </c>
      <c r="H2528" s="4"/>
      <c r="I2528" s="5" t="s">
        <v>22</v>
      </c>
      <c r="J2528" s="5" t="s">
        <v>10496</v>
      </c>
      <c r="K2528" s="5" t="s">
        <v>10497</v>
      </c>
      <c r="L2528" s="5"/>
      <c r="M2528" s="5" t="s">
        <v>341</v>
      </c>
      <c r="N2528" s="5" t="s">
        <v>1821</v>
      </c>
      <c r="O2528" s="5" t="s">
        <v>10196</v>
      </c>
      <c r="P2528" s="5"/>
      <c r="Q2528" s="5" t="s">
        <v>10502</v>
      </c>
    </row>
    <row r="2529" spans="2:17" x14ac:dyDescent="0.2">
      <c r="B2529" s="5" t="s">
        <v>10194</v>
      </c>
      <c r="C2529" s="6" t="s">
        <v>13589</v>
      </c>
      <c r="D2529" s="4">
        <v>989</v>
      </c>
      <c r="E2529" s="5" t="s">
        <v>20</v>
      </c>
      <c r="F2529" s="5" t="s">
        <v>10495</v>
      </c>
      <c r="G2529" s="6" t="s">
        <v>55</v>
      </c>
      <c r="H2529" s="4"/>
      <c r="I2529" s="5" t="s">
        <v>38</v>
      </c>
      <c r="J2529" s="5" t="s">
        <v>10499</v>
      </c>
      <c r="K2529" s="5" t="s">
        <v>10500</v>
      </c>
      <c r="L2529" s="5"/>
      <c r="M2529" s="5" t="s">
        <v>341</v>
      </c>
      <c r="N2529" s="5" t="s">
        <v>1821</v>
      </c>
      <c r="O2529" s="5" t="s">
        <v>10196</v>
      </c>
      <c r="P2529" s="5"/>
      <c r="Q2529" s="5" t="s">
        <v>10503</v>
      </c>
    </row>
    <row r="2530" spans="2:17" x14ac:dyDescent="0.2">
      <c r="B2530" s="5" t="s">
        <v>10194</v>
      </c>
      <c r="C2530" s="6" t="s">
        <v>13589</v>
      </c>
      <c r="D2530" s="4">
        <v>990</v>
      </c>
      <c r="E2530" s="5" t="s">
        <v>20</v>
      </c>
      <c r="F2530" s="5" t="s">
        <v>10495</v>
      </c>
      <c r="G2530" s="6" t="s">
        <v>55</v>
      </c>
      <c r="H2530" s="4"/>
      <c r="I2530" s="5" t="s">
        <v>38</v>
      </c>
      <c r="J2530" s="5" t="s">
        <v>10504</v>
      </c>
      <c r="K2530" s="5" t="s">
        <v>10505</v>
      </c>
      <c r="L2530" s="5"/>
      <c r="M2530" s="5" t="s">
        <v>341</v>
      </c>
      <c r="N2530" s="5" t="s">
        <v>1821</v>
      </c>
      <c r="O2530" s="5" t="s">
        <v>10196</v>
      </c>
      <c r="P2530" s="5"/>
      <c r="Q2530" s="5" t="s">
        <v>10506</v>
      </c>
    </row>
    <row r="2531" spans="2:17" x14ac:dyDescent="0.2">
      <c r="B2531" s="5" t="s">
        <v>5154</v>
      </c>
      <c r="C2531" s="6" t="s">
        <v>13589</v>
      </c>
      <c r="D2531" s="4">
        <v>33</v>
      </c>
      <c r="E2531" s="5" t="s">
        <v>20</v>
      </c>
      <c r="F2531" s="5" t="s">
        <v>5221</v>
      </c>
      <c r="G2531" s="6" t="s">
        <v>26</v>
      </c>
      <c r="H2531" s="4"/>
      <c r="I2531" s="5" t="s">
        <v>22</v>
      </c>
      <c r="J2531" s="5" t="s">
        <v>5222</v>
      </c>
      <c r="K2531" s="5" t="s">
        <v>5030</v>
      </c>
      <c r="L2531" s="5"/>
      <c r="M2531" s="5" t="s">
        <v>432</v>
      </c>
      <c r="N2531" s="5" t="s">
        <v>1548</v>
      </c>
      <c r="O2531" s="5" t="s">
        <v>5031</v>
      </c>
      <c r="P2531" s="5"/>
      <c r="Q2531" s="5" t="s">
        <v>5223</v>
      </c>
    </row>
    <row r="2532" spans="2:17" x14ac:dyDescent="0.2">
      <c r="B2532" s="5" t="s">
        <v>5681</v>
      </c>
      <c r="C2532" s="6" t="s">
        <v>13589</v>
      </c>
      <c r="D2532" s="4">
        <v>204</v>
      </c>
      <c r="E2532" s="5" t="s">
        <v>20</v>
      </c>
      <c r="F2532" s="5" t="s">
        <v>5879</v>
      </c>
      <c r="G2532" s="6" t="s">
        <v>26</v>
      </c>
      <c r="H2532" s="4"/>
      <c r="I2532" s="5" t="s">
        <v>22</v>
      </c>
      <c r="J2532" s="5" t="s">
        <v>5880</v>
      </c>
      <c r="K2532" s="5" t="s">
        <v>5881</v>
      </c>
      <c r="L2532" s="5"/>
      <c r="M2532" s="5" t="s">
        <v>3043</v>
      </c>
      <c r="N2532" s="5" t="s">
        <v>1821</v>
      </c>
      <c r="O2532" s="5" t="s">
        <v>5690</v>
      </c>
      <c r="P2532" s="5"/>
      <c r="Q2532" s="5" t="s">
        <v>5882</v>
      </c>
    </row>
    <row r="2533" spans="2:17" x14ac:dyDescent="0.2">
      <c r="B2533" s="5" t="s">
        <v>5681</v>
      </c>
      <c r="C2533" s="6" t="s">
        <v>13589</v>
      </c>
      <c r="D2533" s="4">
        <v>205</v>
      </c>
      <c r="E2533" s="5" t="s">
        <v>20</v>
      </c>
      <c r="F2533" s="5" t="s">
        <v>5879</v>
      </c>
      <c r="G2533" s="6" t="s">
        <v>26</v>
      </c>
      <c r="H2533" s="4"/>
      <c r="I2533" s="5" t="s">
        <v>22</v>
      </c>
      <c r="J2533" s="5" t="s">
        <v>5885</v>
      </c>
      <c r="K2533" s="5" t="s">
        <v>5881</v>
      </c>
      <c r="L2533" s="5"/>
      <c r="M2533" s="5" t="s">
        <v>3043</v>
      </c>
      <c r="N2533" s="5" t="s">
        <v>1821</v>
      </c>
      <c r="O2533" s="5" t="s">
        <v>5690</v>
      </c>
      <c r="P2533" s="5"/>
      <c r="Q2533" s="5" t="s">
        <v>5886</v>
      </c>
    </row>
    <row r="2534" spans="2:17" x14ac:dyDescent="0.2">
      <c r="B2534" s="5" t="s">
        <v>5681</v>
      </c>
      <c r="C2534" s="6" t="s">
        <v>13589</v>
      </c>
      <c r="D2534" s="4">
        <v>247</v>
      </c>
      <c r="E2534" s="5" t="s">
        <v>20</v>
      </c>
      <c r="F2534" s="5" t="s">
        <v>5879</v>
      </c>
      <c r="G2534" s="6" t="s">
        <v>26</v>
      </c>
      <c r="H2534" s="4"/>
      <c r="I2534" s="5" t="s">
        <v>22</v>
      </c>
      <c r="J2534" s="5" t="s">
        <v>5883</v>
      </c>
      <c r="K2534" s="5" t="s">
        <v>5881</v>
      </c>
      <c r="L2534" s="5"/>
      <c r="M2534" s="5" t="s">
        <v>3043</v>
      </c>
      <c r="N2534" s="5" t="s">
        <v>1269</v>
      </c>
      <c r="O2534" s="5" t="s">
        <v>5690</v>
      </c>
      <c r="P2534" s="5"/>
      <c r="Q2534" s="5" t="s">
        <v>5884</v>
      </c>
    </row>
    <row r="2535" spans="2:17" x14ac:dyDescent="0.2">
      <c r="B2535" s="5" t="s">
        <v>8364</v>
      </c>
      <c r="C2535" s="6" t="s">
        <v>13589</v>
      </c>
      <c r="D2535" s="4">
        <v>397</v>
      </c>
      <c r="E2535" s="5" t="s">
        <v>20</v>
      </c>
      <c r="F2535" s="5" t="s">
        <v>8383</v>
      </c>
      <c r="G2535" s="6" t="s">
        <v>26</v>
      </c>
      <c r="H2535" s="4"/>
      <c r="I2535" s="5" t="s">
        <v>22</v>
      </c>
      <c r="J2535" s="5" t="s">
        <v>8384</v>
      </c>
      <c r="K2535" s="5" t="s">
        <v>8385</v>
      </c>
      <c r="L2535" s="5"/>
      <c r="M2535" s="5" t="s">
        <v>548</v>
      </c>
      <c r="N2535" s="5" t="s">
        <v>548</v>
      </c>
      <c r="O2535" s="5" t="s">
        <v>8368</v>
      </c>
      <c r="P2535" s="5"/>
      <c r="Q2535" s="5" t="s">
        <v>8386</v>
      </c>
    </row>
    <row r="2536" spans="2:17" x14ac:dyDescent="0.2">
      <c r="B2536" s="5" t="s">
        <v>8683</v>
      </c>
      <c r="C2536" s="6" t="s">
        <v>13589</v>
      </c>
      <c r="D2536" s="4">
        <v>490</v>
      </c>
      <c r="E2536" s="5" t="s">
        <v>20</v>
      </c>
      <c r="F2536" s="5" t="s">
        <v>5879</v>
      </c>
      <c r="G2536" s="6" t="s">
        <v>26</v>
      </c>
      <c r="H2536" s="4"/>
      <c r="I2536" s="5" t="s">
        <v>22</v>
      </c>
      <c r="J2536" s="5" t="s">
        <v>5880</v>
      </c>
      <c r="K2536" s="5" t="s">
        <v>8762</v>
      </c>
      <c r="L2536" s="5"/>
      <c r="M2536" s="5" t="s">
        <v>3043</v>
      </c>
      <c r="N2536" s="5" t="s">
        <v>1821</v>
      </c>
      <c r="O2536" s="5" t="s">
        <v>5690</v>
      </c>
      <c r="P2536" s="5"/>
      <c r="Q2536" s="5" t="s">
        <v>8785</v>
      </c>
    </row>
    <row r="2537" spans="2:17" x14ac:dyDescent="0.2">
      <c r="B2537" s="5" t="s">
        <v>8683</v>
      </c>
      <c r="C2537" s="6" t="s">
        <v>13589</v>
      </c>
      <c r="D2537" s="4">
        <v>491</v>
      </c>
      <c r="E2537" s="5" t="s">
        <v>20</v>
      </c>
      <c r="F2537" s="5" t="s">
        <v>5879</v>
      </c>
      <c r="G2537" s="6" t="s">
        <v>26</v>
      </c>
      <c r="H2537" s="4"/>
      <c r="I2537" s="5" t="s">
        <v>22</v>
      </c>
      <c r="J2537" s="5" t="s">
        <v>5883</v>
      </c>
      <c r="K2537" s="5" t="s">
        <v>8762</v>
      </c>
      <c r="L2537" s="5"/>
      <c r="M2537" s="5" t="s">
        <v>3043</v>
      </c>
      <c r="N2537" s="5" t="s">
        <v>1821</v>
      </c>
      <c r="O2537" s="5" t="s">
        <v>5690</v>
      </c>
      <c r="P2537" s="5"/>
      <c r="Q2537" s="5" t="s">
        <v>8786</v>
      </c>
    </row>
    <row r="2538" spans="2:17" x14ac:dyDescent="0.2">
      <c r="B2538" s="5" t="s">
        <v>8683</v>
      </c>
      <c r="C2538" s="6" t="s">
        <v>13589</v>
      </c>
      <c r="D2538" s="4">
        <v>492</v>
      </c>
      <c r="E2538" s="5" t="s">
        <v>20</v>
      </c>
      <c r="F2538" s="5" t="s">
        <v>5879</v>
      </c>
      <c r="G2538" s="6" t="s">
        <v>26</v>
      </c>
      <c r="H2538" s="4"/>
      <c r="I2538" s="5" t="s">
        <v>22</v>
      </c>
      <c r="J2538" s="5" t="s">
        <v>5885</v>
      </c>
      <c r="K2538" s="5" t="s">
        <v>8762</v>
      </c>
      <c r="L2538" s="5"/>
      <c r="M2538" s="5" t="s">
        <v>3043</v>
      </c>
      <c r="N2538" s="5" t="s">
        <v>1821</v>
      </c>
      <c r="O2538" s="5" t="s">
        <v>5690</v>
      </c>
      <c r="P2538" s="5"/>
      <c r="Q2538" s="5" t="s">
        <v>8787</v>
      </c>
    </row>
    <row r="2539" spans="2:17" x14ac:dyDescent="0.2">
      <c r="B2539" s="5" t="s">
        <v>10685</v>
      </c>
      <c r="C2539" s="6" t="s">
        <v>13589</v>
      </c>
      <c r="D2539" s="4">
        <v>1126</v>
      </c>
      <c r="E2539" s="5" t="s">
        <v>20</v>
      </c>
      <c r="F2539" s="5" t="s">
        <v>11036</v>
      </c>
      <c r="G2539" s="6" t="s">
        <v>26</v>
      </c>
      <c r="H2539" s="4"/>
      <c r="I2539" s="5" t="s">
        <v>38</v>
      </c>
      <c r="J2539" s="5" t="s">
        <v>11037</v>
      </c>
      <c r="K2539" s="5" t="s">
        <v>10706</v>
      </c>
      <c r="L2539" s="5"/>
      <c r="M2539" s="5" t="s">
        <v>1625</v>
      </c>
      <c r="N2539" s="5" t="s">
        <v>2285</v>
      </c>
      <c r="O2539" s="5" t="s">
        <v>10695</v>
      </c>
      <c r="P2539" s="5"/>
      <c r="Q2539" s="5" t="s">
        <v>11038</v>
      </c>
    </row>
    <row r="2540" spans="2:17" x14ac:dyDescent="0.2">
      <c r="B2540" s="5" t="s">
        <v>10685</v>
      </c>
      <c r="C2540" s="6" t="s">
        <v>13589</v>
      </c>
      <c r="D2540" s="4">
        <v>1180</v>
      </c>
      <c r="E2540" s="5" t="s">
        <v>20</v>
      </c>
      <c r="F2540" s="5" t="s">
        <v>10801</v>
      </c>
      <c r="G2540" s="6" t="s">
        <v>26</v>
      </c>
      <c r="H2540" s="4"/>
      <c r="I2540" s="5" t="s">
        <v>22</v>
      </c>
      <c r="J2540" s="5" t="s">
        <v>10802</v>
      </c>
      <c r="K2540" s="5" t="s">
        <v>10694</v>
      </c>
      <c r="L2540" s="5"/>
      <c r="M2540" s="5" t="s">
        <v>1251</v>
      </c>
      <c r="N2540" s="5" t="s">
        <v>1251</v>
      </c>
      <c r="O2540" s="5" t="s">
        <v>10695</v>
      </c>
      <c r="P2540" s="5"/>
      <c r="Q2540" s="5" t="s">
        <v>10803</v>
      </c>
    </row>
    <row r="2541" spans="2:17" x14ac:dyDescent="0.2">
      <c r="B2541" s="5" t="s">
        <v>12409</v>
      </c>
      <c r="C2541" s="6" t="s">
        <v>13589</v>
      </c>
      <c r="D2541" s="4">
        <v>1619</v>
      </c>
      <c r="E2541" s="5" t="s">
        <v>35</v>
      </c>
      <c r="F2541" s="5" t="s">
        <v>12997</v>
      </c>
      <c r="G2541" s="6" t="s">
        <v>26</v>
      </c>
      <c r="H2541" s="4"/>
      <c r="I2541" s="5"/>
      <c r="J2541" s="5" t="s">
        <v>12998</v>
      </c>
      <c r="K2541" s="5" t="s">
        <v>74</v>
      </c>
      <c r="L2541" s="5"/>
      <c r="M2541" s="5" t="s">
        <v>5226</v>
      </c>
      <c r="N2541" s="5" t="s">
        <v>5226</v>
      </c>
      <c r="O2541" s="5" t="s">
        <v>12418</v>
      </c>
      <c r="P2541" s="5" t="s">
        <v>12999</v>
      </c>
      <c r="Q2541" s="5" t="s">
        <v>13000</v>
      </c>
    </row>
    <row r="2542" spans="2:17" x14ac:dyDescent="0.2">
      <c r="B2542" s="5" t="s">
        <v>12409</v>
      </c>
      <c r="C2542" s="6" t="s">
        <v>13589</v>
      </c>
      <c r="D2542" s="4">
        <v>1781</v>
      </c>
      <c r="E2542" s="5" t="s">
        <v>13</v>
      </c>
      <c r="F2542" s="5" t="s">
        <v>12708</v>
      </c>
      <c r="G2542" s="6" t="s">
        <v>26</v>
      </c>
      <c r="H2542" s="4"/>
      <c r="I2542" s="5"/>
      <c r="J2542" s="5" t="s">
        <v>5151</v>
      </c>
      <c r="K2542" s="5" t="s">
        <v>12486</v>
      </c>
      <c r="L2542" s="5"/>
      <c r="M2542" s="5" t="s">
        <v>4498</v>
      </c>
      <c r="N2542" s="5" t="s">
        <v>122</v>
      </c>
      <c r="O2542" s="5" t="s">
        <v>12418</v>
      </c>
      <c r="P2542" s="5"/>
      <c r="Q2542" s="5" t="s">
        <v>7348</v>
      </c>
    </row>
    <row r="2543" spans="2:17" x14ac:dyDescent="0.2">
      <c r="B2543" s="5" t="s">
        <v>5246</v>
      </c>
      <c r="C2543" s="6" t="s">
        <v>13589</v>
      </c>
      <c r="D2543" s="4">
        <v>106</v>
      </c>
      <c r="E2543" s="5" t="s">
        <v>20</v>
      </c>
      <c r="F2543" s="5" t="s">
        <v>5247</v>
      </c>
      <c r="G2543" s="6" t="s">
        <v>52</v>
      </c>
      <c r="H2543" s="4"/>
      <c r="I2543" s="5" t="s">
        <v>22</v>
      </c>
      <c r="J2543" s="5" t="s">
        <v>5248</v>
      </c>
      <c r="K2543" s="5" t="s">
        <v>5249</v>
      </c>
      <c r="L2543" s="5" t="s">
        <v>5250</v>
      </c>
      <c r="M2543" s="5" t="s">
        <v>4970</v>
      </c>
      <c r="N2543" s="5" t="s">
        <v>1448</v>
      </c>
      <c r="O2543" s="5" t="s">
        <v>5011</v>
      </c>
      <c r="P2543" s="5"/>
      <c r="Q2543" s="5" t="s">
        <v>5251</v>
      </c>
    </row>
    <row r="2544" spans="2:17" x14ac:dyDescent="0.2">
      <c r="B2544" s="5" t="s">
        <v>5681</v>
      </c>
      <c r="C2544" s="6" t="s">
        <v>13589</v>
      </c>
      <c r="D2544" s="4">
        <v>201</v>
      </c>
      <c r="E2544" s="5" t="s">
        <v>20</v>
      </c>
      <c r="F2544" s="5" t="s">
        <v>5890</v>
      </c>
      <c r="G2544" s="6" t="s">
        <v>52</v>
      </c>
      <c r="H2544" s="4"/>
      <c r="I2544" s="5" t="s">
        <v>22</v>
      </c>
      <c r="J2544" s="5" t="s">
        <v>5891</v>
      </c>
      <c r="K2544" s="5" t="s">
        <v>5729</v>
      </c>
      <c r="L2544" s="5"/>
      <c r="M2544" s="5" t="s">
        <v>1548</v>
      </c>
      <c r="N2544" s="5" t="s">
        <v>147</v>
      </c>
      <c r="O2544" s="5" t="s">
        <v>5694</v>
      </c>
      <c r="P2544" s="5"/>
      <c r="Q2544" s="5" t="s">
        <v>5892</v>
      </c>
    </row>
    <row r="2545" spans="2:17" x14ac:dyDescent="0.2">
      <c r="B2545" s="5" t="s">
        <v>5681</v>
      </c>
      <c r="C2545" s="6" t="s">
        <v>13589</v>
      </c>
      <c r="D2545" s="4">
        <v>202</v>
      </c>
      <c r="E2545" s="5" t="s">
        <v>20</v>
      </c>
      <c r="F2545" s="5" t="s">
        <v>5890</v>
      </c>
      <c r="G2545" s="6" t="s">
        <v>52</v>
      </c>
      <c r="H2545" s="4"/>
      <c r="I2545" s="5" t="s">
        <v>22</v>
      </c>
      <c r="J2545" s="5" t="s">
        <v>5893</v>
      </c>
      <c r="K2545" s="5" t="s">
        <v>5729</v>
      </c>
      <c r="L2545" s="5"/>
      <c r="M2545" s="5" t="s">
        <v>1548</v>
      </c>
      <c r="N2545" s="5" t="s">
        <v>147</v>
      </c>
      <c r="O2545" s="5" t="s">
        <v>5694</v>
      </c>
      <c r="P2545" s="5"/>
      <c r="Q2545" s="5" t="s">
        <v>5894</v>
      </c>
    </row>
    <row r="2546" spans="2:17" x14ac:dyDescent="0.2">
      <c r="B2546" s="5" t="s">
        <v>8683</v>
      </c>
      <c r="C2546" s="6" t="s">
        <v>13589</v>
      </c>
      <c r="D2546" s="4">
        <v>459</v>
      </c>
      <c r="E2546" s="5" t="s">
        <v>24</v>
      </c>
      <c r="F2546" s="5" t="s">
        <v>8896</v>
      </c>
      <c r="G2546" s="6" t="s">
        <v>52</v>
      </c>
      <c r="H2546" s="4"/>
      <c r="I2546" s="5"/>
      <c r="J2546" s="5" t="s">
        <v>8897</v>
      </c>
      <c r="K2546" s="5" t="s">
        <v>8687</v>
      </c>
      <c r="L2546" s="5" t="s">
        <v>8898</v>
      </c>
      <c r="M2546" s="5" t="s">
        <v>437</v>
      </c>
      <c r="N2546" s="5" t="s">
        <v>153</v>
      </c>
      <c r="O2546" s="5" t="s">
        <v>5683</v>
      </c>
      <c r="P2546" s="5"/>
      <c r="Q2546" s="5" t="s">
        <v>8899</v>
      </c>
    </row>
    <row r="2547" spans="2:17" x14ac:dyDescent="0.2">
      <c r="B2547" s="5" t="s">
        <v>8683</v>
      </c>
      <c r="C2547" s="6" t="s">
        <v>13589</v>
      </c>
      <c r="D2547" s="4">
        <v>462</v>
      </c>
      <c r="E2547" s="5" t="s">
        <v>20</v>
      </c>
      <c r="F2547" s="5" t="s">
        <v>5890</v>
      </c>
      <c r="G2547" s="6" t="s">
        <v>52</v>
      </c>
      <c r="H2547" s="4"/>
      <c r="I2547" s="5" t="s">
        <v>22</v>
      </c>
      <c r="J2547" s="5" t="s">
        <v>5891</v>
      </c>
      <c r="K2547" s="5" t="s">
        <v>5729</v>
      </c>
      <c r="L2547" s="5"/>
      <c r="M2547" s="5" t="s">
        <v>1548</v>
      </c>
      <c r="N2547" s="5" t="s">
        <v>147</v>
      </c>
      <c r="O2547" s="5" t="s">
        <v>5694</v>
      </c>
      <c r="P2547" s="5"/>
      <c r="Q2547" s="5" t="s">
        <v>8882</v>
      </c>
    </row>
    <row r="2548" spans="2:17" x14ac:dyDescent="0.2">
      <c r="B2548" s="5" t="s">
        <v>8683</v>
      </c>
      <c r="C2548" s="6" t="s">
        <v>13589</v>
      </c>
      <c r="D2548" s="4">
        <v>463</v>
      </c>
      <c r="E2548" s="5" t="s">
        <v>20</v>
      </c>
      <c r="F2548" s="5" t="s">
        <v>5890</v>
      </c>
      <c r="G2548" s="6" t="s">
        <v>52</v>
      </c>
      <c r="H2548" s="4"/>
      <c r="I2548" s="5" t="s">
        <v>22</v>
      </c>
      <c r="J2548" s="5" t="s">
        <v>5893</v>
      </c>
      <c r="K2548" s="5" t="s">
        <v>5729</v>
      </c>
      <c r="L2548" s="5"/>
      <c r="M2548" s="5" t="s">
        <v>1548</v>
      </c>
      <c r="N2548" s="5" t="s">
        <v>147</v>
      </c>
      <c r="O2548" s="5" t="s">
        <v>5694</v>
      </c>
      <c r="P2548" s="5"/>
      <c r="Q2548" s="5" t="s">
        <v>8883</v>
      </c>
    </row>
    <row r="2549" spans="2:17" x14ac:dyDescent="0.2">
      <c r="B2549" s="5" t="s">
        <v>9550</v>
      </c>
      <c r="C2549" s="6" t="s">
        <v>13589</v>
      </c>
      <c r="D2549" s="4">
        <v>777</v>
      </c>
      <c r="E2549" s="5" t="s">
        <v>24</v>
      </c>
      <c r="F2549" s="5" t="s">
        <v>9964</v>
      </c>
      <c r="G2549" s="6" t="s">
        <v>52</v>
      </c>
      <c r="H2549" s="4"/>
      <c r="I2549" s="5"/>
      <c r="J2549" s="5" t="s">
        <v>9965</v>
      </c>
      <c r="K2549" s="5" t="s">
        <v>9966</v>
      </c>
      <c r="L2549" s="5"/>
      <c r="M2549" s="5" t="s">
        <v>197</v>
      </c>
      <c r="N2549" s="5" t="s">
        <v>1618</v>
      </c>
      <c r="O2549" s="5" t="s">
        <v>3790</v>
      </c>
      <c r="P2549" s="5"/>
      <c r="Q2549" s="5" t="s">
        <v>9967</v>
      </c>
    </row>
    <row r="2550" spans="2:17" x14ac:dyDescent="0.2">
      <c r="B2550" s="5" t="s">
        <v>9550</v>
      </c>
      <c r="C2550" s="6" t="s">
        <v>13589</v>
      </c>
      <c r="D2550" s="4">
        <v>784</v>
      </c>
      <c r="E2550" s="5" t="s">
        <v>24</v>
      </c>
      <c r="F2550" s="5" t="s">
        <v>9955</v>
      </c>
      <c r="G2550" s="6" t="s">
        <v>52</v>
      </c>
      <c r="H2550" s="4"/>
      <c r="I2550" s="5"/>
      <c r="J2550" s="5" t="s">
        <v>9956</v>
      </c>
      <c r="K2550" s="5" t="s">
        <v>9581</v>
      </c>
      <c r="L2550" s="5"/>
      <c r="M2550" s="5" t="s">
        <v>198</v>
      </c>
      <c r="N2550" s="5" t="s">
        <v>179</v>
      </c>
      <c r="O2550" s="5" t="s">
        <v>9552</v>
      </c>
      <c r="P2550" s="5"/>
      <c r="Q2550" s="5" t="s">
        <v>9957</v>
      </c>
    </row>
    <row r="2551" spans="2:17" x14ac:dyDescent="0.2">
      <c r="B2551" s="5" t="s">
        <v>9550</v>
      </c>
      <c r="C2551" s="6" t="s">
        <v>13589</v>
      </c>
      <c r="D2551" s="4">
        <v>786</v>
      </c>
      <c r="E2551" s="5" t="s">
        <v>82</v>
      </c>
      <c r="F2551" s="5" t="s">
        <v>9943</v>
      </c>
      <c r="G2551" s="6" t="s">
        <v>52</v>
      </c>
      <c r="H2551" s="4"/>
      <c r="I2551" s="5"/>
      <c r="J2551" s="5" t="s">
        <v>9944</v>
      </c>
      <c r="K2551" s="5" t="s">
        <v>9564</v>
      </c>
      <c r="L2551" s="5"/>
      <c r="M2551" s="5" t="s">
        <v>938</v>
      </c>
      <c r="N2551" s="5" t="s">
        <v>461</v>
      </c>
      <c r="O2551" s="5" t="s">
        <v>9552</v>
      </c>
      <c r="P2551" s="5"/>
      <c r="Q2551" s="5" t="s">
        <v>9945</v>
      </c>
    </row>
    <row r="2552" spans="2:17" x14ac:dyDescent="0.2">
      <c r="B2552" s="5" t="s">
        <v>5154</v>
      </c>
      <c r="C2552" s="6" t="s">
        <v>13589</v>
      </c>
      <c r="D2552" s="4">
        <v>39</v>
      </c>
      <c r="E2552" s="5" t="s">
        <v>20</v>
      </c>
      <c r="F2552" s="5" t="s">
        <v>5194</v>
      </c>
      <c r="G2552" s="6" t="s">
        <v>72</v>
      </c>
      <c r="H2552" s="4"/>
      <c r="I2552" s="5" t="s">
        <v>22</v>
      </c>
      <c r="J2552" s="5" t="s">
        <v>5195</v>
      </c>
      <c r="K2552" s="5" t="s">
        <v>5196</v>
      </c>
      <c r="L2552" s="5"/>
      <c r="M2552" s="5" t="s">
        <v>804</v>
      </c>
      <c r="N2552" s="5" t="s">
        <v>2089</v>
      </c>
      <c r="O2552" s="5" t="s">
        <v>5021</v>
      </c>
      <c r="P2552" s="5"/>
      <c r="Q2552" s="5" t="s">
        <v>5197</v>
      </c>
    </row>
    <row r="2553" spans="2:17" x14ac:dyDescent="0.2">
      <c r="B2553" s="5" t="s">
        <v>5154</v>
      </c>
      <c r="C2553" s="6" t="s">
        <v>13589</v>
      </c>
      <c r="D2553" s="4">
        <v>40</v>
      </c>
      <c r="E2553" s="5" t="s">
        <v>20</v>
      </c>
      <c r="F2553" s="5" t="s">
        <v>5194</v>
      </c>
      <c r="G2553" s="6" t="s">
        <v>72</v>
      </c>
      <c r="H2553" s="4"/>
      <c r="I2553" s="5" t="s">
        <v>22</v>
      </c>
      <c r="J2553" s="5" t="s">
        <v>5198</v>
      </c>
      <c r="K2553" s="5" t="s">
        <v>5196</v>
      </c>
      <c r="L2553" s="5"/>
      <c r="M2553" s="5" t="s">
        <v>804</v>
      </c>
      <c r="N2553" s="5" t="s">
        <v>2089</v>
      </c>
      <c r="O2553" s="5" t="s">
        <v>5021</v>
      </c>
      <c r="P2553" s="5"/>
      <c r="Q2553" s="5" t="s">
        <v>5199</v>
      </c>
    </row>
    <row r="2554" spans="2:17" x14ac:dyDescent="0.2">
      <c r="B2554" s="5" t="s">
        <v>5154</v>
      </c>
      <c r="C2554" s="6" t="s">
        <v>13589</v>
      </c>
      <c r="D2554" s="4">
        <v>41</v>
      </c>
      <c r="E2554" s="5" t="s">
        <v>20</v>
      </c>
      <c r="F2554" s="5" t="s">
        <v>5194</v>
      </c>
      <c r="G2554" s="6" t="s">
        <v>72</v>
      </c>
      <c r="H2554" s="4"/>
      <c r="I2554" s="5" t="s">
        <v>22</v>
      </c>
      <c r="J2554" s="5" t="s">
        <v>5200</v>
      </c>
      <c r="K2554" s="5" t="s">
        <v>5025</v>
      </c>
      <c r="L2554" s="5"/>
      <c r="M2554" s="5" t="s">
        <v>804</v>
      </c>
      <c r="N2554" s="5" t="s">
        <v>2089</v>
      </c>
      <c r="O2554" s="5" t="s">
        <v>5035</v>
      </c>
      <c r="P2554" s="5"/>
      <c r="Q2554" s="5" t="s">
        <v>5201</v>
      </c>
    </row>
    <row r="2555" spans="2:17" x14ac:dyDescent="0.2">
      <c r="B2555" s="5" t="s">
        <v>5154</v>
      </c>
      <c r="C2555" s="6" t="s">
        <v>13589</v>
      </c>
      <c r="D2555" s="4">
        <v>42</v>
      </c>
      <c r="E2555" s="5" t="s">
        <v>20</v>
      </c>
      <c r="F2555" s="5" t="s">
        <v>5194</v>
      </c>
      <c r="G2555" s="6" t="s">
        <v>72</v>
      </c>
      <c r="H2555" s="4"/>
      <c r="I2555" s="5" t="s">
        <v>22</v>
      </c>
      <c r="J2555" s="5" t="s">
        <v>5202</v>
      </c>
      <c r="K2555" s="5" t="s">
        <v>5025</v>
      </c>
      <c r="L2555" s="5"/>
      <c r="M2555" s="5" t="s">
        <v>804</v>
      </c>
      <c r="N2555" s="5" t="s">
        <v>2089</v>
      </c>
      <c r="O2555" s="5" t="s">
        <v>5021</v>
      </c>
      <c r="P2555" s="5"/>
      <c r="Q2555" s="5" t="s">
        <v>5203</v>
      </c>
    </row>
    <row r="2556" spans="2:17" x14ac:dyDescent="0.2">
      <c r="B2556" s="5" t="s">
        <v>8364</v>
      </c>
      <c r="C2556" s="6" t="s">
        <v>13589</v>
      </c>
      <c r="D2556" s="4">
        <v>338</v>
      </c>
      <c r="E2556" s="5" t="s">
        <v>20</v>
      </c>
      <c r="F2556" s="5" t="s">
        <v>8548</v>
      </c>
      <c r="G2556" s="6" t="s">
        <v>72</v>
      </c>
      <c r="H2556" s="4"/>
      <c r="I2556" s="5" t="s">
        <v>22</v>
      </c>
      <c r="J2556" s="5" t="s">
        <v>8418</v>
      </c>
      <c r="K2556" s="5" t="s">
        <v>8419</v>
      </c>
      <c r="L2556" s="5"/>
      <c r="M2556" s="5" t="s">
        <v>1843</v>
      </c>
      <c r="N2556" s="5" t="s">
        <v>204</v>
      </c>
      <c r="O2556" s="5" t="s">
        <v>8420</v>
      </c>
      <c r="P2556" s="5"/>
      <c r="Q2556" s="5" t="s">
        <v>8549</v>
      </c>
    </row>
    <row r="2557" spans="2:17" x14ac:dyDescent="0.2">
      <c r="B2557" s="5" t="s">
        <v>8364</v>
      </c>
      <c r="C2557" s="6" t="s">
        <v>13589</v>
      </c>
      <c r="D2557" s="4">
        <v>339</v>
      </c>
      <c r="E2557" s="5" t="s">
        <v>20</v>
      </c>
      <c r="F2557" s="5" t="s">
        <v>8548</v>
      </c>
      <c r="G2557" s="6" t="s">
        <v>72</v>
      </c>
      <c r="H2557" s="4"/>
      <c r="I2557" s="5" t="s">
        <v>22</v>
      </c>
      <c r="J2557" s="5" t="s">
        <v>8422</v>
      </c>
      <c r="K2557" s="5" t="s">
        <v>8419</v>
      </c>
      <c r="L2557" s="5"/>
      <c r="M2557" s="5" t="s">
        <v>1843</v>
      </c>
      <c r="N2557" s="5" t="s">
        <v>204</v>
      </c>
      <c r="O2557" s="5" t="s">
        <v>8429</v>
      </c>
      <c r="P2557" s="5"/>
      <c r="Q2557" s="5" t="s">
        <v>8550</v>
      </c>
    </row>
    <row r="2558" spans="2:17" x14ac:dyDescent="0.2">
      <c r="B2558" s="5" t="s">
        <v>8364</v>
      </c>
      <c r="C2558" s="6" t="s">
        <v>13589</v>
      </c>
      <c r="D2558" s="4">
        <v>340</v>
      </c>
      <c r="E2558" s="5" t="s">
        <v>20</v>
      </c>
      <c r="F2558" s="5" t="s">
        <v>8548</v>
      </c>
      <c r="G2558" s="6" t="s">
        <v>72</v>
      </c>
      <c r="H2558" s="4"/>
      <c r="I2558" s="5" t="s">
        <v>22</v>
      </c>
      <c r="J2558" s="5" t="s">
        <v>8425</v>
      </c>
      <c r="K2558" s="5" t="s">
        <v>8419</v>
      </c>
      <c r="L2558" s="5"/>
      <c r="M2558" s="5" t="s">
        <v>1843</v>
      </c>
      <c r="N2558" s="5" t="s">
        <v>204</v>
      </c>
      <c r="O2558" s="5" t="s">
        <v>8429</v>
      </c>
      <c r="P2558" s="5"/>
      <c r="Q2558" s="5" t="s">
        <v>8551</v>
      </c>
    </row>
    <row r="2559" spans="2:17" x14ac:dyDescent="0.2">
      <c r="B2559" s="5" t="s">
        <v>8364</v>
      </c>
      <c r="C2559" s="6" t="s">
        <v>13589</v>
      </c>
      <c r="D2559" s="4">
        <v>341</v>
      </c>
      <c r="E2559" s="5" t="s">
        <v>20</v>
      </c>
      <c r="F2559" s="5" t="s">
        <v>8548</v>
      </c>
      <c r="G2559" s="6" t="s">
        <v>72</v>
      </c>
      <c r="H2559" s="4"/>
      <c r="I2559" s="5" t="s">
        <v>22</v>
      </c>
      <c r="J2559" s="5" t="s">
        <v>8427</v>
      </c>
      <c r="K2559" s="5" t="s">
        <v>8552</v>
      </c>
      <c r="L2559" s="5"/>
      <c r="M2559" s="5" t="s">
        <v>1843</v>
      </c>
      <c r="N2559" s="5" t="s">
        <v>204</v>
      </c>
      <c r="O2559" s="5" t="s">
        <v>8429</v>
      </c>
      <c r="P2559" s="5"/>
      <c r="Q2559" s="5" t="s">
        <v>8553</v>
      </c>
    </row>
    <row r="2560" spans="2:17" x14ac:dyDescent="0.2">
      <c r="B2560" s="5" t="s">
        <v>9550</v>
      </c>
      <c r="C2560" s="6" t="s">
        <v>13589</v>
      </c>
      <c r="D2560" s="4">
        <v>778</v>
      </c>
      <c r="E2560" s="5" t="s">
        <v>20</v>
      </c>
      <c r="F2560" s="5" t="s">
        <v>9958</v>
      </c>
      <c r="G2560" s="6" t="s">
        <v>72</v>
      </c>
      <c r="H2560" s="4"/>
      <c r="I2560" s="5" t="s">
        <v>22</v>
      </c>
      <c r="J2560" s="5" t="s">
        <v>9962</v>
      </c>
      <c r="K2560" s="5" t="s">
        <v>4716</v>
      </c>
      <c r="L2560" s="5"/>
      <c r="M2560" s="5" t="s">
        <v>197</v>
      </c>
      <c r="N2560" s="5" t="s">
        <v>193</v>
      </c>
      <c r="O2560" s="5" t="s">
        <v>3795</v>
      </c>
      <c r="P2560" s="5"/>
      <c r="Q2560" s="5" t="s">
        <v>9963</v>
      </c>
    </row>
    <row r="2561" spans="2:17" x14ac:dyDescent="0.2">
      <c r="B2561" s="5" t="s">
        <v>9550</v>
      </c>
      <c r="C2561" s="6" t="s">
        <v>13589</v>
      </c>
      <c r="D2561" s="4">
        <v>779</v>
      </c>
      <c r="E2561" s="5" t="s">
        <v>20</v>
      </c>
      <c r="F2561" s="5" t="s">
        <v>9958</v>
      </c>
      <c r="G2561" s="6" t="s">
        <v>72</v>
      </c>
      <c r="H2561" s="4"/>
      <c r="I2561" s="5" t="s">
        <v>22</v>
      </c>
      <c r="J2561" s="5" t="s">
        <v>9876</v>
      </c>
      <c r="K2561" s="5" t="s">
        <v>9595</v>
      </c>
      <c r="L2561" s="5"/>
      <c r="M2561" s="5" t="s">
        <v>197</v>
      </c>
      <c r="N2561" s="5" t="s">
        <v>1012</v>
      </c>
      <c r="O2561" s="5" t="s">
        <v>3795</v>
      </c>
      <c r="P2561" s="5"/>
      <c r="Q2561" s="5" t="s">
        <v>9959</v>
      </c>
    </row>
    <row r="2562" spans="2:17" x14ac:dyDescent="0.2">
      <c r="B2562" s="5" t="s">
        <v>9550</v>
      </c>
      <c r="C2562" s="6" t="s">
        <v>13589</v>
      </c>
      <c r="D2562" s="4">
        <v>780</v>
      </c>
      <c r="E2562" s="5" t="s">
        <v>20</v>
      </c>
      <c r="F2562" s="5" t="s">
        <v>9958</v>
      </c>
      <c r="G2562" s="6" t="s">
        <v>72</v>
      </c>
      <c r="H2562" s="4"/>
      <c r="I2562" s="5" t="s">
        <v>22</v>
      </c>
      <c r="J2562" s="5" t="s">
        <v>9960</v>
      </c>
      <c r="K2562" s="5" t="s">
        <v>9602</v>
      </c>
      <c r="L2562" s="5"/>
      <c r="M2562" s="5" t="s">
        <v>197</v>
      </c>
      <c r="N2562" s="5" t="s">
        <v>1012</v>
      </c>
      <c r="O2562" s="5" t="s">
        <v>3795</v>
      </c>
      <c r="P2562" s="5"/>
      <c r="Q2562" s="5" t="s">
        <v>9961</v>
      </c>
    </row>
    <row r="2563" spans="2:17" x14ac:dyDescent="0.2">
      <c r="B2563" s="5" t="s">
        <v>11086</v>
      </c>
      <c r="C2563" s="6" t="s">
        <v>13589</v>
      </c>
      <c r="D2563" s="4">
        <v>1235</v>
      </c>
      <c r="E2563" s="5" t="s">
        <v>20</v>
      </c>
      <c r="F2563" s="5" t="s">
        <v>11340</v>
      </c>
      <c r="G2563" s="6" t="s">
        <v>72</v>
      </c>
      <c r="H2563" s="4"/>
      <c r="I2563" s="5" t="s">
        <v>22</v>
      </c>
      <c r="J2563" s="5" t="s">
        <v>11341</v>
      </c>
      <c r="K2563" s="5" t="s">
        <v>11342</v>
      </c>
      <c r="L2563" s="5"/>
      <c r="M2563" s="5" t="s">
        <v>197</v>
      </c>
      <c r="N2563" s="5" t="s">
        <v>1012</v>
      </c>
      <c r="O2563" s="5" t="s">
        <v>11343</v>
      </c>
      <c r="P2563" s="5"/>
      <c r="Q2563" s="5" t="s">
        <v>11344</v>
      </c>
    </row>
    <row r="2564" spans="2:17" x14ac:dyDescent="0.2">
      <c r="B2564" s="5" t="s">
        <v>11086</v>
      </c>
      <c r="C2564" s="6" t="s">
        <v>13589</v>
      </c>
      <c r="D2564" s="4">
        <v>1322</v>
      </c>
      <c r="E2564" s="5" t="s">
        <v>20</v>
      </c>
      <c r="F2564" s="5" t="s">
        <v>11353</v>
      </c>
      <c r="G2564" s="6" t="s">
        <v>72</v>
      </c>
      <c r="H2564" s="4"/>
      <c r="I2564" s="5" t="s">
        <v>22</v>
      </c>
      <c r="J2564" s="5" t="s">
        <v>11354</v>
      </c>
      <c r="K2564" s="5" t="s">
        <v>11355</v>
      </c>
      <c r="L2564" s="5" t="s">
        <v>11356</v>
      </c>
      <c r="M2564" s="5" t="s">
        <v>529</v>
      </c>
      <c r="N2564" s="5" t="s">
        <v>251</v>
      </c>
      <c r="O2564" s="5" t="s">
        <v>11304</v>
      </c>
      <c r="P2564" s="5"/>
      <c r="Q2564" s="5" t="s">
        <v>11357</v>
      </c>
    </row>
    <row r="2565" spans="2:17" x14ac:dyDescent="0.2">
      <c r="B2565" s="5" t="s">
        <v>11775</v>
      </c>
      <c r="C2565" s="6" t="s">
        <v>13589</v>
      </c>
      <c r="D2565" s="4">
        <v>1460</v>
      </c>
      <c r="E2565" s="5" t="s">
        <v>20</v>
      </c>
      <c r="F2565" s="5" t="s">
        <v>12266</v>
      </c>
      <c r="G2565" s="6" t="s">
        <v>72</v>
      </c>
      <c r="H2565" s="4"/>
      <c r="I2565" s="5" t="s">
        <v>22</v>
      </c>
      <c r="J2565" s="5" t="s">
        <v>7791</v>
      </c>
      <c r="K2565" s="5" t="s">
        <v>11805</v>
      </c>
      <c r="L2565" s="5"/>
      <c r="M2565" s="5" t="s">
        <v>1843</v>
      </c>
      <c r="N2565" s="5" t="s">
        <v>204</v>
      </c>
      <c r="O2565" s="5" t="s">
        <v>11782</v>
      </c>
      <c r="P2565" s="5"/>
      <c r="Q2565" s="5" t="s">
        <v>12267</v>
      </c>
    </row>
    <row r="2566" spans="2:17" x14ac:dyDescent="0.2">
      <c r="B2566" s="5" t="s">
        <v>12409</v>
      </c>
      <c r="C2566" s="6" t="s">
        <v>13589</v>
      </c>
      <c r="D2566" s="4">
        <v>1747</v>
      </c>
      <c r="E2566" s="5" t="s">
        <v>82</v>
      </c>
      <c r="F2566" s="5" t="s">
        <v>12488</v>
      </c>
      <c r="G2566" s="6" t="s">
        <v>72</v>
      </c>
      <c r="H2566" s="4"/>
      <c r="I2566" s="5" t="s">
        <v>22</v>
      </c>
      <c r="J2566" s="5" t="s">
        <v>12489</v>
      </c>
      <c r="K2566" s="5" t="s">
        <v>74</v>
      </c>
      <c r="L2566" s="5" t="s">
        <v>12490</v>
      </c>
      <c r="M2566" s="5" t="s">
        <v>573</v>
      </c>
      <c r="N2566" s="5" t="s">
        <v>1258</v>
      </c>
      <c r="O2566" s="5" t="s">
        <v>12418</v>
      </c>
      <c r="P2566" s="5"/>
      <c r="Q2566" s="5" t="s">
        <v>12491</v>
      </c>
    </row>
    <row r="2567" spans="2:17" x14ac:dyDescent="0.2">
      <c r="B2567" s="5" t="s">
        <v>12409</v>
      </c>
      <c r="C2567" s="6" t="s">
        <v>13589</v>
      </c>
      <c r="D2567" s="4">
        <v>1748</v>
      </c>
      <c r="E2567" s="5" t="s">
        <v>82</v>
      </c>
      <c r="F2567" s="5" t="s">
        <v>12488</v>
      </c>
      <c r="G2567" s="6" t="s">
        <v>72</v>
      </c>
      <c r="H2567" s="4"/>
      <c r="I2567" s="5" t="s">
        <v>22</v>
      </c>
      <c r="J2567" s="5" t="s">
        <v>12492</v>
      </c>
      <c r="K2567" s="5" t="s">
        <v>12493</v>
      </c>
      <c r="L2567" s="5"/>
      <c r="M2567" s="5" t="s">
        <v>573</v>
      </c>
      <c r="N2567" s="5" t="s">
        <v>1258</v>
      </c>
      <c r="O2567" s="5" t="s">
        <v>12418</v>
      </c>
      <c r="P2567" s="5"/>
      <c r="Q2567" s="5" t="s">
        <v>12494</v>
      </c>
    </row>
    <row r="2568" spans="2:17" x14ac:dyDescent="0.2">
      <c r="B2568" s="5" t="s">
        <v>12409</v>
      </c>
      <c r="C2568" s="6" t="s">
        <v>13589</v>
      </c>
      <c r="D2568" s="4">
        <v>1749</v>
      </c>
      <c r="E2568" s="5" t="s">
        <v>82</v>
      </c>
      <c r="F2568" s="5" t="s">
        <v>12488</v>
      </c>
      <c r="G2568" s="6" t="s">
        <v>72</v>
      </c>
      <c r="H2568" s="4"/>
      <c r="I2568" s="5" t="s">
        <v>22</v>
      </c>
      <c r="J2568" s="5" t="s">
        <v>12495</v>
      </c>
      <c r="K2568" s="5" t="s">
        <v>12427</v>
      </c>
      <c r="L2568" s="5"/>
      <c r="M2568" s="5" t="s">
        <v>573</v>
      </c>
      <c r="N2568" s="5" t="s">
        <v>1258</v>
      </c>
      <c r="O2568" s="5" t="s">
        <v>12418</v>
      </c>
      <c r="P2568" s="5"/>
      <c r="Q2568" s="5" t="s">
        <v>12496</v>
      </c>
    </row>
    <row r="2569" spans="2:17" x14ac:dyDescent="0.2">
      <c r="B2569" s="5" t="s">
        <v>12409</v>
      </c>
      <c r="C2569" s="6" t="s">
        <v>13589</v>
      </c>
      <c r="D2569" s="4">
        <v>1750</v>
      </c>
      <c r="E2569" s="5" t="s">
        <v>82</v>
      </c>
      <c r="F2569" s="5" t="s">
        <v>12488</v>
      </c>
      <c r="G2569" s="6" t="s">
        <v>72</v>
      </c>
      <c r="H2569" s="4"/>
      <c r="I2569" s="5"/>
      <c r="J2569" s="5" t="s">
        <v>12497</v>
      </c>
      <c r="K2569" s="5" t="s">
        <v>12498</v>
      </c>
      <c r="L2569" s="5" t="s">
        <v>12499</v>
      </c>
      <c r="M2569" s="5" t="s">
        <v>573</v>
      </c>
      <c r="N2569" s="5" t="s">
        <v>1258</v>
      </c>
      <c r="O2569" s="5" t="s">
        <v>12418</v>
      </c>
      <c r="P2569" s="5" t="s">
        <v>12500</v>
      </c>
      <c r="Q2569" s="5" t="s">
        <v>12501</v>
      </c>
    </row>
    <row r="2570" spans="2:17" x14ac:dyDescent="0.2">
      <c r="B2570" s="5" t="s">
        <v>5681</v>
      </c>
      <c r="C2570" s="6" t="s">
        <v>13589</v>
      </c>
      <c r="D2570" s="4">
        <v>206</v>
      </c>
      <c r="E2570" s="5" t="s">
        <v>24</v>
      </c>
      <c r="F2570" s="5" t="s">
        <v>923</v>
      </c>
      <c r="G2570" s="6" t="s">
        <v>924</v>
      </c>
      <c r="H2570" s="4"/>
      <c r="I2570" s="5"/>
      <c r="J2570" s="5" t="s">
        <v>925</v>
      </c>
      <c r="K2570" s="5" t="s">
        <v>5816</v>
      </c>
      <c r="L2570" s="5"/>
      <c r="M2570" s="5" t="s">
        <v>1520</v>
      </c>
      <c r="N2570" s="5" t="s">
        <v>336</v>
      </c>
      <c r="O2570" s="5" t="s">
        <v>5683</v>
      </c>
      <c r="P2570" s="5"/>
      <c r="Q2570" s="5" t="s">
        <v>5887</v>
      </c>
    </row>
    <row r="2571" spans="2:17" x14ac:dyDescent="0.2">
      <c r="B2571" s="5" t="s">
        <v>8683</v>
      </c>
      <c r="C2571" s="6" t="s">
        <v>13589</v>
      </c>
      <c r="D2571" s="4">
        <v>494</v>
      </c>
      <c r="E2571" s="5" t="s">
        <v>20</v>
      </c>
      <c r="F2571" s="5" t="s">
        <v>923</v>
      </c>
      <c r="G2571" s="6" t="s">
        <v>924</v>
      </c>
      <c r="H2571" s="4"/>
      <c r="I2571" s="5" t="s">
        <v>22</v>
      </c>
      <c r="J2571" s="5" t="s">
        <v>925</v>
      </c>
      <c r="K2571" s="5" t="s">
        <v>5816</v>
      </c>
      <c r="L2571" s="5" t="s">
        <v>8811</v>
      </c>
      <c r="M2571" s="5" t="s">
        <v>1520</v>
      </c>
      <c r="N2571" s="5" t="s">
        <v>336</v>
      </c>
      <c r="O2571" s="5" t="s">
        <v>5683</v>
      </c>
      <c r="P2571" s="5"/>
      <c r="Q2571" s="5" t="s">
        <v>8812</v>
      </c>
    </row>
    <row r="2572" spans="2:17" x14ac:dyDescent="0.2">
      <c r="B2572" s="5" t="s">
        <v>8683</v>
      </c>
      <c r="C2572" s="6" t="s">
        <v>13589</v>
      </c>
      <c r="D2572" s="4">
        <v>495</v>
      </c>
      <c r="E2572" s="5" t="s">
        <v>20</v>
      </c>
      <c r="F2572" s="5" t="s">
        <v>923</v>
      </c>
      <c r="G2572" s="6" t="s">
        <v>924</v>
      </c>
      <c r="H2572" s="4"/>
      <c r="I2572" s="5" t="s">
        <v>22</v>
      </c>
      <c r="J2572" s="5" t="s">
        <v>925</v>
      </c>
      <c r="K2572" s="5" t="s">
        <v>5816</v>
      </c>
      <c r="L2572" s="5"/>
      <c r="M2572" s="5" t="s">
        <v>1520</v>
      </c>
      <c r="N2572" s="5" t="s">
        <v>336</v>
      </c>
      <c r="O2572" s="5" t="s">
        <v>5683</v>
      </c>
      <c r="P2572" s="5"/>
      <c r="Q2572" s="5" t="s">
        <v>8813</v>
      </c>
    </row>
    <row r="2573" spans="2:17" x14ac:dyDescent="0.2">
      <c r="B2573" s="5" t="s">
        <v>8683</v>
      </c>
      <c r="C2573" s="6" t="s">
        <v>13589</v>
      </c>
      <c r="D2573" s="4">
        <v>555</v>
      </c>
      <c r="E2573" s="5" t="s">
        <v>24</v>
      </c>
      <c r="F2573" s="5" t="s">
        <v>923</v>
      </c>
      <c r="G2573" s="6" t="s">
        <v>924</v>
      </c>
      <c r="H2573" s="4"/>
      <c r="I2573" s="5"/>
      <c r="J2573" s="5" t="s">
        <v>925</v>
      </c>
      <c r="K2573" s="5" t="s">
        <v>5816</v>
      </c>
      <c r="L2573" s="5"/>
      <c r="M2573" s="5" t="s">
        <v>513</v>
      </c>
      <c r="N2573" s="5" t="s">
        <v>523</v>
      </c>
      <c r="O2573" s="5" t="s">
        <v>5683</v>
      </c>
      <c r="P2573" s="5"/>
      <c r="Q2573" s="5" t="s">
        <v>9005</v>
      </c>
    </row>
    <row r="2574" spans="2:17" x14ac:dyDescent="0.2">
      <c r="B2574" s="5" t="s">
        <v>5036</v>
      </c>
      <c r="C2574" s="6" t="s">
        <v>13589</v>
      </c>
      <c r="D2574" s="4">
        <v>8</v>
      </c>
      <c r="E2574" s="5" t="s">
        <v>20</v>
      </c>
      <c r="F2574" s="5" t="s">
        <v>5078</v>
      </c>
      <c r="G2574" s="6" t="s">
        <v>44</v>
      </c>
      <c r="H2574" s="4"/>
      <c r="I2574" s="5" t="s">
        <v>22</v>
      </c>
      <c r="J2574" s="5" t="s">
        <v>5079</v>
      </c>
      <c r="K2574" s="5" t="s">
        <v>4995</v>
      </c>
      <c r="L2574" s="5"/>
      <c r="M2574" s="5" t="s">
        <v>432</v>
      </c>
      <c r="N2574" s="5" t="s">
        <v>147</v>
      </c>
      <c r="O2574" s="5" t="s">
        <v>4989</v>
      </c>
      <c r="P2574" s="5"/>
      <c r="Q2574" s="5" t="s">
        <v>5080</v>
      </c>
    </row>
    <row r="2575" spans="2:17" x14ac:dyDescent="0.2">
      <c r="B2575" s="5" t="s">
        <v>5246</v>
      </c>
      <c r="C2575" s="6" t="s">
        <v>13589</v>
      </c>
      <c r="D2575" s="4">
        <v>63</v>
      </c>
      <c r="E2575" s="5" t="s">
        <v>82</v>
      </c>
      <c r="F2575" s="5" t="s">
        <v>5420</v>
      </c>
      <c r="G2575" s="6" t="s">
        <v>44</v>
      </c>
      <c r="H2575" s="4"/>
      <c r="I2575" s="5"/>
      <c r="J2575" s="5" t="s">
        <v>5421</v>
      </c>
      <c r="K2575" s="5" t="s">
        <v>5145</v>
      </c>
      <c r="L2575" s="5"/>
      <c r="M2575" s="5" t="s">
        <v>3451</v>
      </c>
      <c r="N2575" s="5" t="s">
        <v>538</v>
      </c>
      <c r="O2575" s="5" t="s">
        <v>5138</v>
      </c>
      <c r="P2575" s="5"/>
      <c r="Q2575" s="5" t="s">
        <v>5422</v>
      </c>
    </row>
    <row r="2576" spans="2:17" x14ac:dyDescent="0.2">
      <c r="B2576" s="5" t="s">
        <v>5246</v>
      </c>
      <c r="C2576" s="6" t="s">
        <v>13589</v>
      </c>
      <c r="D2576" s="4">
        <v>87</v>
      </c>
      <c r="E2576" s="5" t="s">
        <v>20</v>
      </c>
      <c r="F2576" s="5" t="s">
        <v>5326</v>
      </c>
      <c r="G2576" s="6" t="s">
        <v>44</v>
      </c>
      <c r="H2576" s="4"/>
      <c r="I2576" s="5" t="s">
        <v>22</v>
      </c>
      <c r="J2576" s="5" t="s">
        <v>5327</v>
      </c>
      <c r="K2576" s="5" t="s">
        <v>5136</v>
      </c>
      <c r="L2576" s="5" t="s">
        <v>5143</v>
      </c>
      <c r="M2576" s="5" t="s">
        <v>443</v>
      </c>
      <c r="N2576" s="5" t="s">
        <v>153</v>
      </c>
      <c r="O2576" s="5" t="s">
        <v>5011</v>
      </c>
      <c r="P2576" s="5"/>
      <c r="Q2576" s="5" t="s">
        <v>5328</v>
      </c>
    </row>
    <row r="2577" spans="2:17" x14ac:dyDescent="0.2">
      <c r="B2577" s="5" t="s">
        <v>5246</v>
      </c>
      <c r="C2577" s="6" t="s">
        <v>13589</v>
      </c>
      <c r="D2577" s="4">
        <v>88</v>
      </c>
      <c r="E2577" s="5" t="s">
        <v>20</v>
      </c>
      <c r="F2577" s="5" t="s">
        <v>5326</v>
      </c>
      <c r="G2577" s="6" t="s">
        <v>44</v>
      </c>
      <c r="H2577" s="4"/>
      <c r="I2577" s="5" t="s">
        <v>22</v>
      </c>
      <c r="J2577" s="5" t="s">
        <v>5329</v>
      </c>
      <c r="K2577" s="5" t="s">
        <v>5249</v>
      </c>
      <c r="L2577" s="5"/>
      <c r="M2577" s="5" t="s">
        <v>443</v>
      </c>
      <c r="N2577" s="5" t="s">
        <v>153</v>
      </c>
      <c r="O2577" s="5" t="s">
        <v>5011</v>
      </c>
      <c r="P2577" s="5"/>
      <c r="Q2577" s="5" t="s">
        <v>5330</v>
      </c>
    </row>
    <row r="2578" spans="2:17" x14ac:dyDescent="0.2">
      <c r="B2578" s="5" t="s">
        <v>5246</v>
      </c>
      <c r="C2578" s="6" t="s">
        <v>13589</v>
      </c>
      <c r="D2578" s="4">
        <v>89</v>
      </c>
      <c r="E2578" s="5" t="s">
        <v>20</v>
      </c>
      <c r="F2578" s="5" t="s">
        <v>5326</v>
      </c>
      <c r="G2578" s="6" t="s">
        <v>44</v>
      </c>
      <c r="H2578" s="4"/>
      <c r="I2578" s="5" t="s">
        <v>22</v>
      </c>
      <c r="J2578" s="5" t="s">
        <v>5331</v>
      </c>
      <c r="K2578" s="5" t="s">
        <v>1705</v>
      </c>
      <c r="L2578" s="5" t="s">
        <v>5332</v>
      </c>
      <c r="M2578" s="5" t="s">
        <v>443</v>
      </c>
      <c r="N2578" s="5" t="s">
        <v>153</v>
      </c>
      <c r="O2578" s="5" t="s">
        <v>5011</v>
      </c>
      <c r="P2578" s="5"/>
      <c r="Q2578" s="5" t="s">
        <v>5333</v>
      </c>
    </row>
    <row r="2579" spans="2:17" x14ac:dyDescent="0.2">
      <c r="B2579" s="5" t="s">
        <v>5246</v>
      </c>
      <c r="C2579" s="6" t="s">
        <v>13589</v>
      </c>
      <c r="D2579" s="4">
        <v>97</v>
      </c>
      <c r="E2579" s="5" t="s">
        <v>15</v>
      </c>
      <c r="F2579" s="5" t="s">
        <v>5300</v>
      </c>
      <c r="G2579" s="6" t="s">
        <v>44</v>
      </c>
      <c r="H2579" s="4"/>
      <c r="I2579" s="5"/>
      <c r="J2579" s="5" t="s">
        <v>5301</v>
      </c>
      <c r="K2579" s="5" t="s">
        <v>5017</v>
      </c>
      <c r="L2579" s="5"/>
      <c r="M2579" s="5" t="s">
        <v>432</v>
      </c>
      <c r="N2579" s="5" t="s">
        <v>147</v>
      </c>
      <c r="O2579" s="5" t="s">
        <v>5011</v>
      </c>
      <c r="P2579" s="5"/>
      <c r="Q2579" s="5" t="s">
        <v>5302</v>
      </c>
    </row>
    <row r="2580" spans="2:17" x14ac:dyDescent="0.2">
      <c r="B2580" s="5" t="s">
        <v>5246</v>
      </c>
      <c r="C2580" s="6" t="s">
        <v>13589</v>
      </c>
      <c r="D2580" s="4">
        <v>98</v>
      </c>
      <c r="E2580" s="5" t="s">
        <v>15</v>
      </c>
      <c r="F2580" s="5" t="s">
        <v>5303</v>
      </c>
      <c r="G2580" s="6" t="s">
        <v>44</v>
      </c>
      <c r="H2580" s="4"/>
      <c r="I2580" s="5"/>
      <c r="J2580" s="5" t="s">
        <v>5304</v>
      </c>
      <c r="K2580" s="5" t="s">
        <v>5007</v>
      </c>
      <c r="L2580" s="5" t="s">
        <v>5262</v>
      </c>
      <c r="M2580" s="5" t="s">
        <v>432</v>
      </c>
      <c r="N2580" s="5" t="s">
        <v>147</v>
      </c>
      <c r="O2580" s="5" t="s">
        <v>5011</v>
      </c>
      <c r="P2580" s="5"/>
      <c r="Q2580" s="5" t="s">
        <v>5305</v>
      </c>
    </row>
    <row r="2581" spans="2:17" x14ac:dyDescent="0.2">
      <c r="B2581" s="5" t="s">
        <v>5246</v>
      </c>
      <c r="C2581" s="6" t="s">
        <v>13589</v>
      </c>
      <c r="D2581" s="4">
        <v>105</v>
      </c>
      <c r="E2581" s="5" t="s">
        <v>20</v>
      </c>
      <c r="F2581" s="5" t="s">
        <v>5252</v>
      </c>
      <c r="G2581" s="6" t="s">
        <v>44</v>
      </c>
      <c r="H2581" s="4"/>
      <c r="I2581" s="5" t="s">
        <v>22</v>
      </c>
      <c r="J2581" s="5" t="s">
        <v>5253</v>
      </c>
      <c r="K2581" s="5" t="s">
        <v>5137</v>
      </c>
      <c r="L2581" s="5" t="s">
        <v>5254</v>
      </c>
      <c r="M2581" s="5" t="s">
        <v>342</v>
      </c>
      <c r="N2581" s="5" t="s">
        <v>2074</v>
      </c>
      <c r="O2581" s="5" t="s">
        <v>5005</v>
      </c>
      <c r="P2581" s="5"/>
      <c r="Q2581" s="5" t="s">
        <v>5255</v>
      </c>
    </row>
    <row r="2582" spans="2:17" x14ac:dyDescent="0.2">
      <c r="B2582" s="5" t="s">
        <v>5681</v>
      </c>
      <c r="C2582" s="6" t="s">
        <v>13589</v>
      </c>
      <c r="D2582" s="4">
        <v>198</v>
      </c>
      <c r="E2582" s="5" t="s">
        <v>20</v>
      </c>
      <c r="F2582" s="5" t="s">
        <v>972</v>
      </c>
      <c r="G2582" s="6" t="s">
        <v>44</v>
      </c>
      <c r="H2582" s="4"/>
      <c r="I2582" s="5" t="s">
        <v>22</v>
      </c>
      <c r="J2582" s="5" t="s">
        <v>5901</v>
      </c>
      <c r="K2582" s="5" t="s">
        <v>5682</v>
      </c>
      <c r="L2582" s="5"/>
      <c r="M2582" s="5" t="s">
        <v>468</v>
      </c>
      <c r="N2582" s="5" t="s">
        <v>3271</v>
      </c>
      <c r="O2582" s="5" t="s">
        <v>5683</v>
      </c>
      <c r="P2582" s="5"/>
      <c r="Q2582" s="5" t="s">
        <v>5902</v>
      </c>
    </row>
    <row r="2583" spans="2:17" x14ac:dyDescent="0.2">
      <c r="B2583" s="5" t="s">
        <v>8163</v>
      </c>
      <c r="C2583" s="6" t="s">
        <v>13589</v>
      </c>
      <c r="D2583" s="4">
        <v>275</v>
      </c>
      <c r="E2583" s="5" t="s">
        <v>20</v>
      </c>
      <c r="F2583" s="5" t="s">
        <v>8165</v>
      </c>
      <c r="G2583" s="6" t="s">
        <v>44</v>
      </c>
      <c r="H2583" s="4"/>
      <c r="I2583" s="5" t="s">
        <v>38</v>
      </c>
      <c r="J2583" s="5" t="s">
        <v>8167</v>
      </c>
      <c r="K2583" s="5" t="s">
        <v>8168</v>
      </c>
      <c r="L2583" s="5"/>
      <c r="M2583" s="5" t="s">
        <v>170</v>
      </c>
      <c r="N2583" s="5" t="s">
        <v>157</v>
      </c>
      <c r="O2583" s="5" t="s">
        <v>8166</v>
      </c>
      <c r="P2583" s="5"/>
      <c r="Q2583" s="5" t="s">
        <v>8169</v>
      </c>
    </row>
    <row r="2584" spans="2:17" x14ac:dyDescent="0.2">
      <c r="B2584" s="5" t="s">
        <v>8163</v>
      </c>
      <c r="C2584" s="6" t="s">
        <v>13589</v>
      </c>
      <c r="D2584" s="4">
        <v>276</v>
      </c>
      <c r="E2584" s="5" t="s">
        <v>20</v>
      </c>
      <c r="F2584" s="5" t="s">
        <v>8165</v>
      </c>
      <c r="G2584" s="6" t="s">
        <v>44</v>
      </c>
      <c r="H2584" s="4"/>
      <c r="I2584" s="5" t="s">
        <v>38</v>
      </c>
      <c r="J2584" s="5" t="s">
        <v>8170</v>
      </c>
      <c r="K2584" s="5" t="s">
        <v>8171</v>
      </c>
      <c r="L2584" s="5"/>
      <c r="M2584" s="5" t="s">
        <v>170</v>
      </c>
      <c r="N2584" s="5" t="s">
        <v>157</v>
      </c>
      <c r="O2584" s="5" t="s">
        <v>8166</v>
      </c>
      <c r="P2584" s="5"/>
      <c r="Q2584" s="5" t="s">
        <v>8172</v>
      </c>
    </row>
    <row r="2585" spans="2:17" x14ac:dyDescent="0.2">
      <c r="B2585" s="5" t="s">
        <v>8190</v>
      </c>
      <c r="C2585" s="6" t="s">
        <v>13589</v>
      </c>
      <c r="D2585" s="4">
        <v>292</v>
      </c>
      <c r="E2585" s="5" t="s">
        <v>24</v>
      </c>
      <c r="F2585" s="5" t="s">
        <v>8277</v>
      </c>
      <c r="G2585" s="6" t="s">
        <v>44</v>
      </c>
      <c r="H2585" s="4"/>
      <c r="I2585" s="5"/>
      <c r="J2585" s="5" t="s">
        <v>8278</v>
      </c>
      <c r="K2585" s="5" t="s">
        <v>8265</v>
      </c>
      <c r="L2585" s="5" t="s">
        <v>8279</v>
      </c>
      <c r="M2585" s="5" t="s">
        <v>443</v>
      </c>
      <c r="N2585" s="5" t="s">
        <v>3662</v>
      </c>
      <c r="O2585" s="5" t="s">
        <v>8194</v>
      </c>
      <c r="P2585" s="5"/>
      <c r="Q2585" s="5" t="s">
        <v>8280</v>
      </c>
    </row>
    <row r="2586" spans="2:17" x14ac:dyDescent="0.2">
      <c r="B2586" s="5" t="s">
        <v>8364</v>
      </c>
      <c r="C2586" s="6" t="s">
        <v>13589</v>
      </c>
      <c r="D2586" s="4">
        <v>346</v>
      </c>
      <c r="E2586" s="5" t="s">
        <v>20</v>
      </c>
      <c r="F2586" s="5" t="s">
        <v>8538</v>
      </c>
      <c r="G2586" s="6" t="s">
        <v>44</v>
      </c>
      <c r="H2586" s="4"/>
      <c r="I2586" s="5" t="s">
        <v>22</v>
      </c>
      <c r="J2586" s="5" t="s">
        <v>8539</v>
      </c>
      <c r="K2586" s="5" t="s">
        <v>7815</v>
      </c>
      <c r="L2586" s="5" t="s">
        <v>8540</v>
      </c>
      <c r="M2586" s="5" t="s">
        <v>443</v>
      </c>
      <c r="N2586" s="5" t="s">
        <v>3662</v>
      </c>
      <c r="O2586" s="5" t="s">
        <v>8372</v>
      </c>
      <c r="P2586" s="5"/>
      <c r="Q2586" s="5" t="s">
        <v>8541</v>
      </c>
    </row>
    <row r="2587" spans="2:17" x14ac:dyDescent="0.2">
      <c r="B2587" s="5" t="s">
        <v>8364</v>
      </c>
      <c r="C2587" s="6" t="s">
        <v>13589</v>
      </c>
      <c r="D2587" s="4">
        <v>363</v>
      </c>
      <c r="E2587" s="5" t="s">
        <v>20</v>
      </c>
      <c r="F2587" s="5" t="s">
        <v>8469</v>
      </c>
      <c r="G2587" s="6" t="s">
        <v>44</v>
      </c>
      <c r="H2587" s="4"/>
      <c r="I2587" s="5" t="s">
        <v>22</v>
      </c>
      <c r="J2587" s="5" t="s">
        <v>8470</v>
      </c>
      <c r="K2587" s="5" t="s">
        <v>8471</v>
      </c>
      <c r="L2587" s="5"/>
      <c r="M2587" s="5" t="s">
        <v>347</v>
      </c>
      <c r="N2587" s="5" t="s">
        <v>3053</v>
      </c>
      <c r="O2587" s="5" t="s">
        <v>8381</v>
      </c>
      <c r="P2587" s="5"/>
      <c r="Q2587" s="5" t="s">
        <v>8472</v>
      </c>
    </row>
    <row r="2588" spans="2:17" x14ac:dyDescent="0.2">
      <c r="B2588" s="5" t="s">
        <v>8683</v>
      </c>
      <c r="C2588" s="6" t="s">
        <v>13589</v>
      </c>
      <c r="D2588" s="4">
        <v>474</v>
      </c>
      <c r="E2588" s="5" t="s">
        <v>20</v>
      </c>
      <c r="F2588" s="5" t="s">
        <v>8814</v>
      </c>
      <c r="G2588" s="6" t="s">
        <v>44</v>
      </c>
      <c r="H2588" s="4"/>
      <c r="I2588" s="5" t="s">
        <v>22</v>
      </c>
      <c r="J2588" s="5" t="s">
        <v>8815</v>
      </c>
      <c r="K2588" s="5" t="s">
        <v>5714</v>
      </c>
      <c r="L2588" s="5"/>
      <c r="M2588" s="5" t="s">
        <v>137</v>
      </c>
      <c r="N2588" s="5" t="s">
        <v>5284</v>
      </c>
      <c r="O2588" s="5" t="s">
        <v>5690</v>
      </c>
      <c r="P2588" s="5"/>
      <c r="Q2588" s="5" t="s">
        <v>8816</v>
      </c>
    </row>
    <row r="2589" spans="2:17" x14ac:dyDescent="0.2">
      <c r="B2589" s="5" t="s">
        <v>9008</v>
      </c>
      <c r="C2589" s="6" t="s">
        <v>13589</v>
      </c>
      <c r="D2589" s="4">
        <v>576</v>
      </c>
      <c r="E2589" s="5" t="s">
        <v>20</v>
      </c>
      <c r="F2589" s="5" t="s">
        <v>9504</v>
      </c>
      <c r="G2589" s="6" t="s">
        <v>44</v>
      </c>
      <c r="H2589" s="4"/>
      <c r="I2589" s="5" t="s">
        <v>22</v>
      </c>
      <c r="J2589" s="5" t="s">
        <v>9505</v>
      </c>
      <c r="K2589" s="5" t="s">
        <v>9506</v>
      </c>
      <c r="L2589" s="5"/>
      <c r="M2589" s="5" t="s">
        <v>3478</v>
      </c>
      <c r="N2589" s="5" t="s">
        <v>230</v>
      </c>
      <c r="O2589" s="5" t="s">
        <v>9010</v>
      </c>
      <c r="P2589" s="5"/>
      <c r="Q2589" s="5" t="s">
        <v>9507</v>
      </c>
    </row>
    <row r="2590" spans="2:17" x14ac:dyDescent="0.2">
      <c r="B2590" s="5" t="s">
        <v>9008</v>
      </c>
      <c r="C2590" s="6" t="s">
        <v>13589</v>
      </c>
      <c r="D2590" s="4">
        <v>732</v>
      </c>
      <c r="E2590" s="5" t="s">
        <v>20</v>
      </c>
      <c r="F2590" s="5" t="s">
        <v>9446</v>
      </c>
      <c r="G2590" s="6" t="s">
        <v>44</v>
      </c>
      <c r="H2590" s="4"/>
      <c r="I2590" s="5" t="s">
        <v>22</v>
      </c>
      <c r="J2590" s="5" t="s">
        <v>9447</v>
      </c>
      <c r="K2590" s="5" t="s">
        <v>9009</v>
      </c>
      <c r="L2590" s="5"/>
      <c r="M2590" s="5" t="s">
        <v>3422</v>
      </c>
      <c r="N2590" s="5" t="s">
        <v>485</v>
      </c>
      <c r="O2590" s="5" t="s">
        <v>9010</v>
      </c>
      <c r="P2590" s="5"/>
      <c r="Q2590" s="5" t="s">
        <v>9448</v>
      </c>
    </row>
    <row r="2591" spans="2:17" x14ac:dyDescent="0.2">
      <c r="B2591" s="5" t="s">
        <v>9550</v>
      </c>
      <c r="C2591" s="6" t="s">
        <v>13589</v>
      </c>
      <c r="D2591" s="4">
        <v>798</v>
      </c>
      <c r="E2591" s="5" t="s">
        <v>24</v>
      </c>
      <c r="F2591" s="5" t="s">
        <v>9907</v>
      </c>
      <c r="G2591" s="6" t="s">
        <v>44</v>
      </c>
      <c r="H2591" s="4"/>
      <c r="I2591" s="5"/>
      <c r="J2591" s="5" t="s">
        <v>9908</v>
      </c>
      <c r="K2591" s="5" t="s">
        <v>28</v>
      </c>
      <c r="L2591" s="5"/>
      <c r="M2591" s="5" t="s">
        <v>432</v>
      </c>
      <c r="N2591" s="5" t="s">
        <v>1544</v>
      </c>
      <c r="O2591" s="5" t="s">
        <v>3790</v>
      </c>
      <c r="P2591" s="5"/>
      <c r="Q2591" s="5" t="s">
        <v>9909</v>
      </c>
    </row>
    <row r="2592" spans="2:17" x14ac:dyDescent="0.2">
      <c r="B2592" s="5" t="s">
        <v>9550</v>
      </c>
      <c r="C2592" s="6" t="s">
        <v>13589</v>
      </c>
      <c r="D2592" s="4">
        <v>799</v>
      </c>
      <c r="E2592" s="5" t="s">
        <v>24</v>
      </c>
      <c r="F2592" s="5" t="s">
        <v>9910</v>
      </c>
      <c r="G2592" s="6" t="s">
        <v>44</v>
      </c>
      <c r="H2592" s="4"/>
      <c r="I2592" s="5"/>
      <c r="J2592" s="5" t="s">
        <v>9911</v>
      </c>
      <c r="K2592" s="5" t="s">
        <v>9609</v>
      </c>
      <c r="L2592" s="5"/>
      <c r="M2592" s="5" t="s">
        <v>432</v>
      </c>
      <c r="N2592" s="5" t="s">
        <v>1544</v>
      </c>
      <c r="O2592" s="5" t="s">
        <v>3790</v>
      </c>
      <c r="P2592" s="5"/>
      <c r="Q2592" s="5" t="s">
        <v>9912</v>
      </c>
    </row>
    <row r="2593" spans="2:17" x14ac:dyDescent="0.2">
      <c r="B2593" s="5" t="s">
        <v>9550</v>
      </c>
      <c r="C2593" s="6" t="s">
        <v>13589</v>
      </c>
      <c r="D2593" s="4">
        <v>852</v>
      </c>
      <c r="E2593" s="5" t="s">
        <v>24</v>
      </c>
      <c r="F2593" s="5" t="s">
        <v>9721</v>
      </c>
      <c r="G2593" s="6" t="s">
        <v>44</v>
      </c>
      <c r="H2593" s="4"/>
      <c r="I2593" s="5"/>
      <c r="J2593" s="5" t="s">
        <v>9722</v>
      </c>
      <c r="K2593" s="5" t="s">
        <v>9581</v>
      </c>
      <c r="L2593" s="5"/>
      <c r="M2593" s="5" t="s">
        <v>330</v>
      </c>
      <c r="N2593" s="5" t="s">
        <v>331</v>
      </c>
      <c r="O2593" s="5" t="s">
        <v>9585</v>
      </c>
      <c r="P2593" s="5"/>
      <c r="Q2593" s="5" t="s">
        <v>9723</v>
      </c>
    </row>
    <row r="2594" spans="2:17" x14ac:dyDescent="0.2">
      <c r="B2594" s="5" t="s">
        <v>9550</v>
      </c>
      <c r="C2594" s="6" t="s">
        <v>13589</v>
      </c>
      <c r="D2594" s="4">
        <v>864</v>
      </c>
      <c r="E2594" s="5" t="s">
        <v>13</v>
      </c>
      <c r="F2594" s="5" t="s">
        <v>9684</v>
      </c>
      <c r="G2594" s="6" t="s">
        <v>44</v>
      </c>
      <c r="H2594" s="4"/>
      <c r="I2594" s="5"/>
      <c r="J2594" s="5" t="s">
        <v>9685</v>
      </c>
      <c r="K2594" s="5" t="s">
        <v>9588</v>
      </c>
      <c r="L2594" s="5"/>
      <c r="M2594" s="5" t="s">
        <v>284</v>
      </c>
      <c r="N2594" s="5" t="s">
        <v>284</v>
      </c>
      <c r="O2594" s="5" t="s">
        <v>3790</v>
      </c>
      <c r="P2594" s="5"/>
      <c r="Q2594" s="5" t="s">
        <v>9686</v>
      </c>
    </row>
    <row r="2595" spans="2:17" x14ac:dyDescent="0.2">
      <c r="B2595" s="5" t="s">
        <v>9550</v>
      </c>
      <c r="C2595" s="6" t="s">
        <v>13589</v>
      </c>
      <c r="D2595" s="4">
        <v>875</v>
      </c>
      <c r="E2595" s="5" t="s">
        <v>13</v>
      </c>
      <c r="F2595" s="5" t="s">
        <v>9659</v>
      </c>
      <c r="G2595" s="6" t="s">
        <v>44</v>
      </c>
      <c r="H2595" s="4"/>
      <c r="I2595" s="5"/>
      <c r="J2595" s="5" t="s">
        <v>9660</v>
      </c>
      <c r="K2595" s="5" t="s">
        <v>9588</v>
      </c>
      <c r="L2595" s="5"/>
      <c r="M2595" s="5" t="s">
        <v>1226</v>
      </c>
      <c r="N2595" s="5" t="s">
        <v>1226</v>
      </c>
      <c r="O2595" s="5" t="s">
        <v>3790</v>
      </c>
      <c r="P2595" s="5"/>
      <c r="Q2595" s="5" t="s">
        <v>9661</v>
      </c>
    </row>
    <row r="2596" spans="2:17" x14ac:dyDescent="0.2">
      <c r="B2596" s="5" t="s">
        <v>10685</v>
      </c>
      <c r="C2596" s="6" t="s">
        <v>13589</v>
      </c>
      <c r="D2596" s="4">
        <v>1137</v>
      </c>
      <c r="E2596" s="5" t="s">
        <v>20</v>
      </c>
      <c r="F2596" s="5" t="s">
        <v>10998</v>
      </c>
      <c r="G2596" s="6" t="s">
        <v>44</v>
      </c>
      <c r="H2596" s="4"/>
      <c r="I2596" s="5" t="s">
        <v>22</v>
      </c>
      <c r="J2596" s="5" t="s">
        <v>10999</v>
      </c>
      <c r="K2596" s="5" t="s">
        <v>11000</v>
      </c>
      <c r="L2596" s="5"/>
      <c r="M2596" s="5" t="s">
        <v>920</v>
      </c>
      <c r="N2596" s="5" t="s">
        <v>416</v>
      </c>
      <c r="O2596" s="5" t="s">
        <v>10692</v>
      </c>
      <c r="P2596" s="5"/>
      <c r="Q2596" s="5" t="s">
        <v>11001</v>
      </c>
    </row>
    <row r="2597" spans="2:17" x14ac:dyDescent="0.2">
      <c r="B2597" s="5" t="s">
        <v>11377</v>
      </c>
      <c r="C2597" s="6" t="s">
        <v>13589</v>
      </c>
      <c r="D2597" s="4">
        <v>1332</v>
      </c>
      <c r="E2597" s="5" t="s">
        <v>20</v>
      </c>
      <c r="F2597" s="5" t="s">
        <v>11730</v>
      </c>
      <c r="G2597" s="6" t="s">
        <v>44</v>
      </c>
      <c r="H2597" s="4"/>
      <c r="I2597" s="5" t="s">
        <v>22</v>
      </c>
      <c r="J2597" s="5" t="s">
        <v>11731</v>
      </c>
      <c r="K2597" s="5" t="s">
        <v>11391</v>
      </c>
      <c r="L2597" s="5" t="s">
        <v>11732</v>
      </c>
      <c r="M2597" s="5" t="s">
        <v>5426</v>
      </c>
      <c r="N2597" s="5" t="s">
        <v>538</v>
      </c>
      <c r="O2597" s="5" t="s">
        <v>11392</v>
      </c>
      <c r="P2597" s="5"/>
      <c r="Q2597" s="5" t="s">
        <v>11733</v>
      </c>
    </row>
    <row r="2598" spans="2:17" x14ac:dyDescent="0.2">
      <c r="B2598" s="5" t="s">
        <v>11775</v>
      </c>
      <c r="C2598" s="6" t="s">
        <v>13589</v>
      </c>
      <c r="D2598" s="4">
        <v>1468</v>
      </c>
      <c r="E2598" s="5" t="s">
        <v>20</v>
      </c>
      <c r="F2598" s="5" t="s">
        <v>12244</v>
      </c>
      <c r="G2598" s="6" t="s">
        <v>44</v>
      </c>
      <c r="H2598" s="4"/>
      <c r="I2598" s="5" t="s">
        <v>22</v>
      </c>
      <c r="J2598" s="5" t="s">
        <v>12245</v>
      </c>
      <c r="K2598" s="5" t="s">
        <v>11793</v>
      </c>
      <c r="L2598" s="5"/>
      <c r="M2598" s="5" t="s">
        <v>428</v>
      </c>
      <c r="N2598" s="5" t="s">
        <v>3182</v>
      </c>
      <c r="O2598" s="5" t="s">
        <v>11782</v>
      </c>
      <c r="P2598" s="5"/>
      <c r="Q2598" s="5" t="s">
        <v>12246</v>
      </c>
    </row>
    <row r="2599" spans="2:17" x14ac:dyDescent="0.2">
      <c r="B2599" s="5" t="s">
        <v>13091</v>
      </c>
      <c r="C2599" s="6" t="s">
        <v>13589</v>
      </c>
      <c r="D2599" s="4">
        <v>1814</v>
      </c>
      <c r="E2599" s="5" t="s">
        <v>20</v>
      </c>
      <c r="F2599" s="5" t="s">
        <v>13258</v>
      </c>
      <c r="G2599" s="6" t="s">
        <v>44</v>
      </c>
      <c r="H2599" s="4"/>
      <c r="I2599" s="5" t="s">
        <v>38</v>
      </c>
      <c r="J2599" s="5" t="s">
        <v>13262</v>
      </c>
      <c r="K2599" s="5" t="s">
        <v>13095</v>
      </c>
      <c r="L2599" s="5"/>
      <c r="M2599" s="5" t="s">
        <v>170</v>
      </c>
      <c r="N2599" s="5" t="s">
        <v>157</v>
      </c>
      <c r="O2599" s="5" t="s">
        <v>13093</v>
      </c>
      <c r="P2599" s="5"/>
      <c r="Q2599" s="5" t="s">
        <v>13263</v>
      </c>
    </row>
    <row r="2600" spans="2:17" x14ac:dyDescent="0.2">
      <c r="B2600" s="5" t="s">
        <v>13091</v>
      </c>
      <c r="C2600" s="6" t="s">
        <v>13589</v>
      </c>
      <c r="D2600" s="4">
        <v>1815</v>
      </c>
      <c r="E2600" s="5" t="s">
        <v>20</v>
      </c>
      <c r="F2600" s="5" t="s">
        <v>13258</v>
      </c>
      <c r="G2600" s="6" t="s">
        <v>44</v>
      </c>
      <c r="H2600" s="4"/>
      <c r="I2600" s="5" t="s">
        <v>38</v>
      </c>
      <c r="J2600" s="5" t="s">
        <v>13264</v>
      </c>
      <c r="K2600" s="5" t="s">
        <v>13095</v>
      </c>
      <c r="L2600" s="5"/>
      <c r="M2600" s="5" t="s">
        <v>170</v>
      </c>
      <c r="N2600" s="5" t="s">
        <v>157</v>
      </c>
      <c r="O2600" s="5" t="s">
        <v>13093</v>
      </c>
      <c r="P2600" s="5"/>
      <c r="Q2600" s="5" t="s">
        <v>13265</v>
      </c>
    </row>
    <row r="2601" spans="2:17" x14ac:dyDescent="0.2">
      <c r="B2601" s="5" t="s">
        <v>13091</v>
      </c>
      <c r="C2601" s="6" t="s">
        <v>13589</v>
      </c>
      <c r="D2601" s="4">
        <v>1816</v>
      </c>
      <c r="E2601" s="5" t="s">
        <v>20</v>
      </c>
      <c r="F2601" s="5" t="s">
        <v>13254</v>
      </c>
      <c r="G2601" s="6" t="s">
        <v>44</v>
      </c>
      <c r="H2601" s="4"/>
      <c r="I2601" s="5" t="s">
        <v>38</v>
      </c>
      <c r="J2601" s="5" t="s">
        <v>13255</v>
      </c>
      <c r="K2601" s="5" t="s">
        <v>8168</v>
      </c>
      <c r="L2601" s="5" t="s">
        <v>13256</v>
      </c>
      <c r="M2601" s="5" t="s">
        <v>170</v>
      </c>
      <c r="N2601" s="5" t="s">
        <v>157</v>
      </c>
      <c r="O2601" s="5" t="s">
        <v>13093</v>
      </c>
      <c r="P2601" s="5"/>
      <c r="Q2601" s="5" t="s">
        <v>13257</v>
      </c>
    </row>
    <row r="2602" spans="2:17" x14ac:dyDescent="0.2">
      <c r="B2602" s="5" t="s">
        <v>13091</v>
      </c>
      <c r="C2602" s="6" t="s">
        <v>13589</v>
      </c>
      <c r="D2602" s="4">
        <v>1817</v>
      </c>
      <c r="E2602" s="5" t="s">
        <v>20</v>
      </c>
      <c r="F2602" s="5" t="s">
        <v>13258</v>
      </c>
      <c r="G2602" s="6" t="s">
        <v>44</v>
      </c>
      <c r="H2602" s="4"/>
      <c r="I2602" s="5" t="s">
        <v>38</v>
      </c>
      <c r="J2602" s="5" t="s">
        <v>13259</v>
      </c>
      <c r="K2602" s="5" t="s">
        <v>8168</v>
      </c>
      <c r="L2602" s="5"/>
      <c r="M2602" s="5" t="s">
        <v>170</v>
      </c>
      <c r="N2602" s="5" t="s">
        <v>157</v>
      </c>
      <c r="O2602" s="5" t="s">
        <v>13093</v>
      </c>
      <c r="P2602" s="5"/>
      <c r="Q2602" s="5" t="s">
        <v>13260</v>
      </c>
    </row>
    <row r="2603" spans="2:17" x14ac:dyDescent="0.2">
      <c r="B2603" s="5" t="s">
        <v>13091</v>
      </c>
      <c r="C2603" s="6" t="s">
        <v>13589</v>
      </c>
      <c r="D2603" s="4">
        <v>1818</v>
      </c>
      <c r="E2603" s="5" t="s">
        <v>20</v>
      </c>
      <c r="F2603" s="5" t="s">
        <v>13258</v>
      </c>
      <c r="G2603" s="6" t="s">
        <v>44</v>
      </c>
      <c r="H2603" s="4"/>
      <c r="I2603" s="5" t="s">
        <v>38</v>
      </c>
      <c r="J2603" s="5" t="s">
        <v>8167</v>
      </c>
      <c r="K2603" s="5" t="s">
        <v>8168</v>
      </c>
      <c r="L2603" s="5"/>
      <c r="M2603" s="5" t="s">
        <v>170</v>
      </c>
      <c r="N2603" s="5" t="s">
        <v>157</v>
      </c>
      <c r="O2603" s="5" t="s">
        <v>13098</v>
      </c>
      <c r="P2603" s="5"/>
      <c r="Q2603" s="5" t="s">
        <v>13261</v>
      </c>
    </row>
    <row r="2604" spans="2:17" x14ac:dyDescent="0.2">
      <c r="B2604" s="5" t="s">
        <v>13091</v>
      </c>
      <c r="C2604" s="6" t="s">
        <v>13589</v>
      </c>
      <c r="D2604" s="4">
        <v>1872</v>
      </c>
      <c r="E2604" s="5" t="s">
        <v>13</v>
      </c>
      <c r="F2604" s="5" t="s">
        <v>13308</v>
      </c>
      <c r="G2604" s="6" t="s">
        <v>44</v>
      </c>
      <c r="H2604" s="4"/>
      <c r="I2604" s="5"/>
      <c r="J2604" s="5" t="s">
        <v>13309</v>
      </c>
      <c r="K2604" s="5" t="s">
        <v>13104</v>
      </c>
      <c r="L2604" s="5"/>
      <c r="M2604" s="5" t="s">
        <v>1650</v>
      </c>
      <c r="N2604" s="5" t="s">
        <v>1650</v>
      </c>
      <c r="O2604" s="5" t="s">
        <v>13098</v>
      </c>
      <c r="P2604" s="5"/>
      <c r="Q2604" s="5" t="s">
        <v>13310</v>
      </c>
    </row>
    <row r="2605" spans="2:17" x14ac:dyDescent="0.2">
      <c r="B2605" s="5" t="s">
        <v>13091</v>
      </c>
      <c r="C2605" s="6" t="s">
        <v>13589</v>
      </c>
      <c r="D2605" s="4">
        <v>1877</v>
      </c>
      <c r="E2605" s="5" t="s">
        <v>20</v>
      </c>
      <c r="F2605" s="5" t="s">
        <v>13354</v>
      </c>
      <c r="G2605" s="6" t="s">
        <v>44</v>
      </c>
      <c r="H2605" s="4"/>
      <c r="I2605" s="5" t="s">
        <v>38</v>
      </c>
      <c r="J2605" s="5" t="s">
        <v>13355</v>
      </c>
      <c r="K2605" s="5" t="s">
        <v>13356</v>
      </c>
      <c r="L2605" s="5" t="s">
        <v>13357</v>
      </c>
      <c r="M2605" s="5" t="s">
        <v>260</v>
      </c>
      <c r="N2605" s="5" t="s">
        <v>1150</v>
      </c>
      <c r="O2605" s="5" t="s">
        <v>13093</v>
      </c>
      <c r="P2605" s="5"/>
      <c r="Q2605" s="5" t="s">
        <v>13358</v>
      </c>
    </row>
    <row r="2606" spans="2:17" x14ac:dyDescent="0.2">
      <c r="B2606" s="5" t="s">
        <v>13091</v>
      </c>
      <c r="C2606" s="6" t="s">
        <v>13589</v>
      </c>
      <c r="D2606" s="4">
        <v>1878</v>
      </c>
      <c r="E2606" s="5" t="s">
        <v>20</v>
      </c>
      <c r="F2606" s="5" t="s">
        <v>13354</v>
      </c>
      <c r="G2606" s="6" t="s">
        <v>44</v>
      </c>
      <c r="H2606" s="4"/>
      <c r="I2606" s="5" t="s">
        <v>38</v>
      </c>
      <c r="J2606" s="5" t="s">
        <v>13359</v>
      </c>
      <c r="K2606" s="5" t="s">
        <v>13360</v>
      </c>
      <c r="L2606" s="5" t="s">
        <v>13361</v>
      </c>
      <c r="M2606" s="5" t="s">
        <v>260</v>
      </c>
      <c r="N2606" s="5" t="s">
        <v>1150</v>
      </c>
      <c r="O2606" s="5" t="s">
        <v>13093</v>
      </c>
      <c r="P2606" s="5"/>
      <c r="Q2606" s="5" t="s">
        <v>13362</v>
      </c>
    </row>
    <row r="2607" spans="2:17" x14ac:dyDescent="0.2">
      <c r="B2607" s="5" t="s">
        <v>13091</v>
      </c>
      <c r="C2607" s="6" t="s">
        <v>13589</v>
      </c>
      <c r="D2607" s="4">
        <v>1881</v>
      </c>
      <c r="E2607" s="5" t="s">
        <v>20</v>
      </c>
      <c r="F2607" s="5" t="s">
        <v>13339</v>
      </c>
      <c r="G2607" s="6" t="s">
        <v>44</v>
      </c>
      <c r="H2607" s="4"/>
      <c r="I2607" s="5" t="s">
        <v>22</v>
      </c>
      <c r="J2607" s="5" t="s">
        <v>13340</v>
      </c>
      <c r="K2607" s="5" t="s">
        <v>13099</v>
      </c>
      <c r="L2607" s="5"/>
      <c r="M2607" s="5" t="s">
        <v>529</v>
      </c>
      <c r="N2607" s="5" t="s">
        <v>9000</v>
      </c>
      <c r="O2607" s="5" t="s">
        <v>13100</v>
      </c>
      <c r="P2607" s="5"/>
      <c r="Q2607" s="5" t="s">
        <v>13341</v>
      </c>
    </row>
    <row r="2608" spans="2:17" x14ac:dyDescent="0.2">
      <c r="B2608" s="5" t="s">
        <v>13091</v>
      </c>
      <c r="C2608" s="6" t="s">
        <v>13589</v>
      </c>
      <c r="D2608" s="4">
        <v>1882</v>
      </c>
      <c r="E2608" s="5" t="s">
        <v>20</v>
      </c>
      <c r="F2608" s="5" t="s">
        <v>13339</v>
      </c>
      <c r="G2608" s="6" t="s">
        <v>44</v>
      </c>
      <c r="H2608" s="4"/>
      <c r="I2608" s="5" t="s">
        <v>22</v>
      </c>
      <c r="J2608" s="5" t="s">
        <v>13342</v>
      </c>
      <c r="K2608" s="5" t="s">
        <v>13109</v>
      </c>
      <c r="L2608" s="5"/>
      <c r="M2608" s="5" t="s">
        <v>529</v>
      </c>
      <c r="N2608" s="5" t="s">
        <v>9000</v>
      </c>
      <c r="O2608" s="5" t="s">
        <v>13100</v>
      </c>
      <c r="P2608" s="5"/>
      <c r="Q2608" s="5" t="s">
        <v>8360</v>
      </c>
    </row>
    <row r="2609" spans="2:17" x14ac:dyDescent="0.2">
      <c r="B2609" s="5" t="s">
        <v>13091</v>
      </c>
      <c r="C2609" s="6" t="s">
        <v>13589</v>
      </c>
      <c r="D2609" s="4">
        <v>1883</v>
      </c>
      <c r="E2609" s="5" t="s">
        <v>20</v>
      </c>
      <c r="F2609" s="5" t="s">
        <v>13343</v>
      </c>
      <c r="G2609" s="6" t="s">
        <v>44</v>
      </c>
      <c r="H2609" s="4"/>
      <c r="I2609" s="5" t="s">
        <v>22</v>
      </c>
      <c r="J2609" s="5" t="s">
        <v>13344</v>
      </c>
      <c r="K2609" s="5" t="s">
        <v>13345</v>
      </c>
      <c r="L2609" s="5"/>
      <c r="M2609" s="5" t="s">
        <v>529</v>
      </c>
      <c r="N2609" s="5" t="s">
        <v>9000</v>
      </c>
      <c r="O2609" s="5" t="s">
        <v>13100</v>
      </c>
      <c r="P2609" s="5"/>
      <c r="Q2609" s="5" t="s">
        <v>13346</v>
      </c>
    </row>
    <row r="2610" spans="2:17" x14ac:dyDescent="0.2">
      <c r="B2610" s="5" t="s">
        <v>13091</v>
      </c>
      <c r="C2610" s="6" t="s">
        <v>13589</v>
      </c>
      <c r="D2610" s="4">
        <v>1884</v>
      </c>
      <c r="E2610" s="5" t="s">
        <v>20</v>
      </c>
      <c r="F2610" s="5" t="s">
        <v>13339</v>
      </c>
      <c r="G2610" s="6" t="s">
        <v>44</v>
      </c>
      <c r="H2610" s="4"/>
      <c r="I2610" s="5" t="s">
        <v>22</v>
      </c>
      <c r="J2610" s="5" t="s">
        <v>13347</v>
      </c>
      <c r="K2610" s="5" t="s">
        <v>13345</v>
      </c>
      <c r="L2610" s="5"/>
      <c r="M2610" s="5" t="s">
        <v>529</v>
      </c>
      <c r="N2610" s="5" t="s">
        <v>9000</v>
      </c>
      <c r="O2610" s="5" t="s">
        <v>13100</v>
      </c>
      <c r="P2610" s="5"/>
      <c r="Q2610" s="5" t="s">
        <v>13348</v>
      </c>
    </row>
    <row r="2611" spans="2:17" x14ac:dyDescent="0.2">
      <c r="B2611" s="5" t="s">
        <v>13091</v>
      </c>
      <c r="C2611" s="6" t="s">
        <v>13589</v>
      </c>
      <c r="D2611" s="4">
        <v>1885</v>
      </c>
      <c r="E2611" s="5" t="s">
        <v>20</v>
      </c>
      <c r="F2611" s="5" t="s">
        <v>13339</v>
      </c>
      <c r="G2611" s="6" t="s">
        <v>44</v>
      </c>
      <c r="H2611" s="4"/>
      <c r="I2611" s="5" t="s">
        <v>22</v>
      </c>
      <c r="J2611" s="5" t="s">
        <v>13349</v>
      </c>
      <c r="K2611" s="5" t="s">
        <v>13345</v>
      </c>
      <c r="L2611" s="5"/>
      <c r="M2611" s="5" t="s">
        <v>529</v>
      </c>
      <c r="N2611" s="5" t="s">
        <v>9000</v>
      </c>
      <c r="O2611" s="5" t="s">
        <v>13100</v>
      </c>
      <c r="P2611" s="5"/>
      <c r="Q2611" s="5" t="s">
        <v>13350</v>
      </c>
    </row>
    <row r="2612" spans="2:17" x14ac:dyDescent="0.2">
      <c r="B2612" s="5" t="s">
        <v>5154</v>
      </c>
      <c r="C2612" s="6" t="s">
        <v>13589</v>
      </c>
      <c r="D2612" s="4">
        <v>44</v>
      </c>
      <c r="E2612" s="5" t="s">
        <v>20</v>
      </c>
      <c r="F2612" s="5" t="s">
        <v>5179</v>
      </c>
      <c r="G2612" s="6" t="s">
        <v>543</v>
      </c>
      <c r="H2612" s="4"/>
      <c r="I2612" s="5" t="s">
        <v>22</v>
      </c>
      <c r="J2612" s="5" t="s">
        <v>276</v>
      </c>
      <c r="K2612" s="5" t="s">
        <v>5180</v>
      </c>
      <c r="L2612" s="5"/>
      <c r="M2612" s="5" t="s">
        <v>2083</v>
      </c>
      <c r="N2612" s="5" t="s">
        <v>2074</v>
      </c>
      <c r="O2612" s="5" t="s">
        <v>5029</v>
      </c>
      <c r="P2612" s="5"/>
      <c r="Q2612" s="5" t="s">
        <v>5181</v>
      </c>
    </row>
    <row r="2613" spans="2:17" x14ac:dyDescent="0.2">
      <c r="B2613" s="5" t="s">
        <v>5451</v>
      </c>
      <c r="C2613" s="6" t="s">
        <v>13589</v>
      </c>
      <c r="D2613" s="4">
        <v>141</v>
      </c>
      <c r="E2613" s="5" t="s">
        <v>20</v>
      </c>
      <c r="F2613" s="5" t="s">
        <v>5585</v>
      </c>
      <c r="G2613" s="6" t="s">
        <v>543</v>
      </c>
      <c r="H2613" s="4"/>
      <c r="I2613" s="5" t="s">
        <v>22</v>
      </c>
      <c r="J2613" s="5" t="s">
        <v>5586</v>
      </c>
      <c r="K2613" s="5" t="s">
        <v>5148</v>
      </c>
      <c r="L2613" s="5"/>
      <c r="M2613" s="5" t="s">
        <v>3162</v>
      </c>
      <c r="N2613" s="5" t="s">
        <v>412</v>
      </c>
      <c r="O2613" s="5" t="s">
        <v>5452</v>
      </c>
      <c r="P2613" s="5"/>
      <c r="Q2613" s="5" t="s">
        <v>5587</v>
      </c>
    </row>
    <row r="2614" spans="2:17" x14ac:dyDescent="0.2">
      <c r="B2614" s="5" t="s">
        <v>5451</v>
      </c>
      <c r="C2614" s="6" t="s">
        <v>13589</v>
      </c>
      <c r="D2614" s="4">
        <v>142</v>
      </c>
      <c r="E2614" s="5" t="s">
        <v>20</v>
      </c>
      <c r="F2614" s="5" t="s">
        <v>5588</v>
      </c>
      <c r="G2614" s="6" t="s">
        <v>543</v>
      </c>
      <c r="H2614" s="4"/>
      <c r="I2614" s="5" t="s">
        <v>22</v>
      </c>
      <c r="J2614" s="5" t="s">
        <v>5589</v>
      </c>
      <c r="K2614" s="5" t="s">
        <v>5454</v>
      </c>
      <c r="L2614" s="5" t="s">
        <v>5590</v>
      </c>
      <c r="M2614" s="5" t="s">
        <v>3162</v>
      </c>
      <c r="N2614" s="5" t="s">
        <v>412</v>
      </c>
      <c r="O2614" s="5" t="s">
        <v>5452</v>
      </c>
      <c r="P2614" s="5"/>
      <c r="Q2614" s="5" t="s">
        <v>5591</v>
      </c>
    </row>
    <row r="2615" spans="2:17" x14ac:dyDescent="0.2">
      <c r="B2615" s="5" t="s">
        <v>8683</v>
      </c>
      <c r="C2615" s="6" t="s">
        <v>13589</v>
      </c>
      <c r="D2615" s="4">
        <v>464</v>
      </c>
      <c r="E2615" s="5" t="s">
        <v>20</v>
      </c>
      <c r="F2615" s="5" t="s">
        <v>8878</v>
      </c>
      <c r="G2615" s="6" t="s">
        <v>543</v>
      </c>
      <c r="H2615" s="4"/>
      <c r="I2615" s="5" t="s">
        <v>38</v>
      </c>
      <c r="J2615" s="5" t="s">
        <v>8879</v>
      </c>
      <c r="K2615" s="5" t="s">
        <v>5693</v>
      </c>
      <c r="L2615" s="5" t="s">
        <v>8880</v>
      </c>
      <c r="M2615" s="5" t="s">
        <v>433</v>
      </c>
      <c r="N2615" s="5" t="s">
        <v>1544</v>
      </c>
      <c r="O2615" s="5" t="s">
        <v>5694</v>
      </c>
      <c r="P2615" s="5"/>
      <c r="Q2615" s="5" t="s">
        <v>8881</v>
      </c>
    </row>
    <row r="2616" spans="2:17" x14ac:dyDescent="0.2">
      <c r="B2616" s="5" t="s">
        <v>9550</v>
      </c>
      <c r="C2616" s="6" t="s">
        <v>13589</v>
      </c>
      <c r="D2616" s="4">
        <v>904</v>
      </c>
      <c r="E2616" s="5" t="s">
        <v>24</v>
      </c>
      <c r="F2616" s="5" t="s">
        <v>10186</v>
      </c>
      <c r="G2616" s="6" t="s">
        <v>543</v>
      </c>
      <c r="H2616" s="4"/>
      <c r="I2616" s="5"/>
      <c r="J2616" s="5" t="s">
        <v>10187</v>
      </c>
      <c r="K2616" s="5" t="s">
        <v>10188</v>
      </c>
      <c r="L2616" s="5"/>
      <c r="M2616" s="5" t="s">
        <v>3542</v>
      </c>
      <c r="N2616" s="5" t="s">
        <v>533</v>
      </c>
      <c r="O2616" s="5" t="s">
        <v>9553</v>
      </c>
      <c r="P2616" s="5"/>
      <c r="Q2616" s="5" t="s">
        <v>10189</v>
      </c>
    </row>
    <row r="2617" spans="2:17" x14ac:dyDescent="0.2">
      <c r="B2617" s="5" t="s">
        <v>10685</v>
      </c>
      <c r="C2617" s="6" t="s">
        <v>13589</v>
      </c>
      <c r="D2617" s="4">
        <v>1214</v>
      </c>
      <c r="E2617" s="5" t="s">
        <v>20</v>
      </c>
      <c r="F2617" s="5" t="s">
        <v>10725</v>
      </c>
      <c r="G2617" s="6" t="s">
        <v>277</v>
      </c>
      <c r="H2617" s="4"/>
      <c r="I2617" s="5" t="s">
        <v>22</v>
      </c>
      <c r="J2617" s="5" t="s">
        <v>10726</v>
      </c>
      <c r="K2617" s="5" t="s">
        <v>10694</v>
      </c>
      <c r="L2617" s="5"/>
      <c r="M2617" s="5" t="s">
        <v>5737</v>
      </c>
      <c r="N2617" s="5" t="s">
        <v>2821</v>
      </c>
      <c r="O2617" s="5" t="s">
        <v>10695</v>
      </c>
      <c r="P2617" s="5"/>
      <c r="Q2617" s="5" t="s">
        <v>10727</v>
      </c>
    </row>
    <row r="2618" spans="2:17" x14ac:dyDescent="0.2">
      <c r="B2618" s="5" t="s">
        <v>11775</v>
      </c>
      <c r="C2618" s="6" t="s">
        <v>13589</v>
      </c>
      <c r="D2618" s="4">
        <v>1464</v>
      </c>
      <c r="E2618" s="5" t="s">
        <v>20</v>
      </c>
      <c r="F2618" s="5" t="s">
        <v>12261</v>
      </c>
      <c r="G2618" s="6" t="s">
        <v>63</v>
      </c>
      <c r="H2618" s="4"/>
      <c r="I2618" s="5" t="s">
        <v>22</v>
      </c>
      <c r="J2618" s="5" t="s">
        <v>12262</v>
      </c>
      <c r="K2618" s="5" t="s">
        <v>12263</v>
      </c>
      <c r="L2618" s="5" t="s">
        <v>12264</v>
      </c>
      <c r="M2618" s="5" t="s">
        <v>197</v>
      </c>
      <c r="N2618" s="5" t="s">
        <v>5360</v>
      </c>
      <c r="O2618" s="5" t="s">
        <v>11783</v>
      </c>
      <c r="P2618" s="5"/>
      <c r="Q2618" s="5" t="s">
        <v>12265</v>
      </c>
    </row>
    <row r="2619" spans="2:17" x14ac:dyDescent="0.2">
      <c r="B2619" s="5" t="s">
        <v>8683</v>
      </c>
      <c r="C2619" s="6" t="s">
        <v>13589</v>
      </c>
      <c r="D2619" s="4">
        <v>507</v>
      </c>
      <c r="E2619" s="5" t="s">
        <v>20</v>
      </c>
      <c r="F2619" s="5" t="s">
        <v>8751</v>
      </c>
      <c r="G2619" s="6" t="s">
        <v>1161</v>
      </c>
      <c r="H2619" s="4"/>
      <c r="I2619" s="5" t="s">
        <v>38</v>
      </c>
      <c r="J2619" s="5" t="s">
        <v>8752</v>
      </c>
      <c r="K2619" s="5" t="s">
        <v>8753</v>
      </c>
      <c r="L2619" s="5"/>
      <c r="M2619" s="5" t="s">
        <v>295</v>
      </c>
      <c r="N2619" s="5" t="s">
        <v>295</v>
      </c>
      <c r="O2619" s="5" t="s">
        <v>5683</v>
      </c>
      <c r="P2619" s="5"/>
      <c r="Q2619" s="5" t="s">
        <v>8754</v>
      </c>
    </row>
    <row r="2620" spans="2:17" x14ac:dyDescent="0.2">
      <c r="B2620" s="5" t="s">
        <v>8683</v>
      </c>
      <c r="C2620" s="6" t="s">
        <v>13589</v>
      </c>
      <c r="D2620" s="4">
        <v>508</v>
      </c>
      <c r="E2620" s="5" t="s">
        <v>20</v>
      </c>
      <c r="F2620" s="5" t="s">
        <v>8751</v>
      </c>
      <c r="G2620" s="6" t="s">
        <v>1161</v>
      </c>
      <c r="H2620" s="4"/>
      <c r="I2620" s="5" t="s">
        <v>38</v>
      </c>
      <c r="J2620" s="5" t="s">
        <v>8755</v>
      </c>
      <c r="K2620" s="5" t="s">
        <v>8685</v>
      </c>
      <c r="L2620" s="5"/>
      <c r="M2620" s="5" t="s">
        <v>295</v>
      </c>
      <c r="N2620" s="5" t="s">
        <v>295</v>
      </c>
      <c r="O2620" s="5" t="s">
        <v>5683</v>
      </c>
      <c r="P2620" s="5"/>
      <c r="Q2620" s="5" t="s">
        <v>8756</v>
      </c>
    </row>
    <row r="2621" spans="2:17" x14ac:dyDescent="0.2">
      <c r="B2621" s="5" t="s">
        <v>8683</v>
      </c>
      <c r="C2621" s="6" t="s">
        <v>13589</v>
      </c>
      <c r="D2621" s="4">
        <v>509</v>
      </c>
      <c r="E2621" s="5" t="s">
        <v>20</v>
      </c>
      <c r="F2621" s="5" t="s">
        <v>8751</v>
      </c>
      <c r="G2621" s="6" t="s">
        <v>1161</v>
      </c>
      <c r="H2621" s="4"/>
      <c r="I2621" s="5" t="s">
        <v>38</v>
      </c>
      <c r="J2621" s="5" t="s">
        <v>8757</v>
      </c>
      <c r="K2621" s="5" t="s">
        <v>547</v>
      </c>
      <c r="L2621" s="5"/>
      <c r="M2621" s="5" t="s">
        <v>295</v>
      </c>
      <c r="N2621" s="5" t="s">
        <v>295</v>
      </c>
      <c r="O2621" s="5" t="s">
        <v>5683</v>
      </c>
      <c r="P2621" s="5"/>
      <c r="Q2621" s="5" t="s">
        <v>8758</v>
      </c>
    </row>
    <row r="2622" spans="2:17" x14ac:dyDescent="0.2">
      <c r="B2622" s="5" t="s">
        <v>13091</v>
      </c>
      <c r="C2622" s="6" t="s">
        <v>13589</v>
      </c>
      <c r="D2622" s="4">
        <v>1799</v>
      </c>
      <c r="E2622" s="5" t="s">
        <v>20</v>
      </c>
      <c r="F2622" s="5" t="s">
        <v>13300</v>
      </c>
      <c r="G2622" s="6" t="s">
        <v>1161</v>
      </c>
      <c r="H2622" s="4"/>
      <c r="I2622" s="5" t="s">
        <v>38</v>
      </c>
      <c r="J2622" s="5" t="s">
        <v>13301</v>
      </c>
      <c r="K2622" s="5" t="s">
        <v>13242</v>
      </c>
      <c r="L2622" s="5"/>
      <c r="M2622" s="5" t="s">
        <v>3355</v>
      </c>
      <c r="N2622" s="5" t="s">
        <v>3906</v>
      </c>
      <c r="O2622" s="5" t="s">
        <v>13100</v>
      </c>
      <c r="P2622" s="5"/>
      <c r="Q2622" s="5" t="s">
        <v>13236</v>
      </c>
    </row>
    <row r="2623" spans="2:17" x14ac:dyDescent="0.2">
      <c r="B2623" s="5" t="s">
        <v>5154</v>
      </c>
      <c r="C2623" s="6" t="s">
        <v>13589</v>
      </c>
      <c r="D2623" s="4">
        <v>45</v>
      </c>
      <c r="E2623" s="5" t="s">
        <v>20</v>
      </c>
      <c r="F2623" s="5" t="s">
        <v>5170</v>
      </c>
      <c r="G2623" s="6" t="s">
        <v>274</v>
      </c>
      <c r="H2623" s="4"/>
      <c r="I2623" s="5" t="s">
        <v>22</v>
      </c>
      <c r="J2623" s="5" t="s">
        <v>5171</v>
      </c>
      <c r="K2623" s="5" t="s">
        <v>5172</v>
      </c>
      <c r="L2623" s="5"/>
      <c r="M2623" s="5" t="s">
        <v>1447</v>
      </c>
      <c r="N2623" s="5" t="s">
        <v>118</v>
      </c>
      <c r="O2623" s="5" t="s">
        <v>5032</v>
      </c>
      <c r="P2623" s="5"/>
      <c r="Q2623" s="5" t="s">
        <v>5173</v>
      </c>
    </row>
    <row r="2624" spans="2:17" x14ac:dyDescent="0.2">
      <c r="B2624" s="5" t="s">
        <v>5154</v>
      </c>
      <c r="C2624" s="6" t="s">
        <v>13589</v>
      </c>
      <c r="D2624" s="4">
        <v>46</v>
      </c>
      <c r="E2624" s="5" t="s">
        <v>20</v>
      </c>
      <c r="F2624" s="5" t="s">
        <v>5174</v>
      </c>
      <c r="G2624" s="6" t="s">
        <v>274</v>
      </c>
      <c r="H2624" s="4"/>
      <c r="I2624" s="5" t="s">
        <v>22</v>
      </c>
      <c r="J2624" s="5" t="s">
        <v>5175</v>
      </c>
      <c r="K2624" s="5" t="s">
        <v>5030</v>
      </c>
      <c r="L2624" s="5"/>
      <c r="M2624" s="5" t="s">
        <v>117</v>
      </c>
      <c r="N2624" s="5" t="s">
        <v>4970</v>
      </c>
      <c r="O2624" s="5" t="s">
        <v>5031</v>
      </c>
      <c r="P2624" s="5"/>
      <c r="Q2624" s="5" t="s">
        <v>5176</v>
      </c>
    </row>
    <row r="2625" spans="2:17" x14ac:dyDescent="0.2">
      <c r="B2625" s="5" t="s">
        <v>5154</v>
      </c>
      <c r="C2625" s="6" t="s">
        <v>13589</v>
      </c>
      <c r="D2625" s="4">
        <v>47</v>
      </c>
      <c r="E2625" s="5" t="s">
        <v>20</v>
      </c>
      <c r="F2625" s="5" t="s">
        <v>5170</v>
      </c>
      <c r="G2625" s="6" t="s">
        <v>274</v>
      </c>
      <c r="H2625" s="4"/>
      <c r="I2625" s="5" t="s">
        <v>22</v>
      </c>
      <c r="J2625" s="5" t="s">
        <v>5177</v>
      </c>
      <c r="K2625" s="5" t="s">
        <v>5030</v>
      </c>
      <c r="L2625" s="5"/>
      <c r="M2625" s="5" t="s">
        <v>117</v>
      </c>
      <c r="N2625" s="5" t="s">
        <v>4970</v>
      </c>
      <c r="O2625" s="5" t="s">
        <v>5031</v>
      </c>
      <c r="P2625" s="5"/>
      <c r="Q2625" s="5" t="s">
        <v>5178</v>
      </c>
    </row>
    <row r="2626" spans="2:17" x14ac:dyDescent="0.2">
      <c r="B2626" s="5" t="s">
        <v>9550</v>
      </c>
      <c r="C2626" s="6" t="s">
        <v>13589</v>
      </c>
      <c r="D2626" s="4">
        <v>765</v>
      </c>
      <c r="E2626" s="5" t="s">
        <v>20</v>
      </c>
      <c r="F2626" s="5" t="s">
        <v>9997</v>
      </c>
      <c r="G2626" s="6" t="s">
        <v>274</v>
      </c>
      <c r="H2626" s="4"/>
      <c r="I2626" s="5" t="s">
        <v>22</v>
      </c>
      <c r="J2626" s="5" t="s">
        <v>9998</v>
      </c>
      <c r="K2626" s="5" t="s">
        <v>9999</v>
      </c>
      <c r="L2626" s="5"/>
      <c r="M2626" s="5" t="s">
        <v>1043</v>
      </c>
      <c r="N2626" s="5" t="s">
        <v>215</v>
      </c>
      <c r="O2626" s="5" t="s">
        <v>9582</v>
      </c>
      <c r="P2626" s="5"/>
      <c r="Q2626" s="5" t="s">
        <v>10000</v>
      </c>
    </row>
    <row r="2627" spans="2:17" x14ac:dyDescent="0.2">
      <c r="B2627" s="5" t="s">
        <v>9550</v>
      </c>
      <c r="C2627" s="6" t="s">
        <v>13589</v>
      </c>
      <c r="D2627" s="4">
        <v>801</v>
      </c>
      <c r="E2627" s="5" t="s">
        <v>15</v>
      </c>
      <c r="F2627" s="5" t="s">
        <v>9894</v>
      </c>
      <c r="G2627" s="6" t="s">
        <v>274</v>
      </c>
      <c r="H2627" s="4"/>
      <c r="I2627" s="5"/>
      <c r="J2627" s="5" t="s">
        <v>61</v>
      </c>
      <c r="K2627" s="5" t="s">
        <v>28</v>
      </c>
      <c r="L2627" s="5"/>
      <c r="M2627" s="5" t="s">
        <v>428</v>
      </c>
      <c r="N2627" s="5" t="s">
        <v>423</v>
      </c>
      <c r="O2627" s="5" t="s">
        <v>3790</v>
      </c>
      <c r="P2627" s="5"/>
      <c r="Q2627" s="5" t="s">
        <v>9895</v>
      </c>
    </row>
    <row r="2628" spans="2:17" x14ac:dyDescent="0.2">
      <c r="B2628" s="5" t="s">
        <v>9550</v>
      </c>
      <c r="C2628" s="6" t="s">
        <v>13589</v>
      </c>
      <c r="D2628" s="4">
        <v>808</v>
      </c>
      <c r="E2628" s="5" t="s">
        <v>20</v>
      </c>
      <c r="F2628" s="5" t="s">
        <v>9885</v>
      </c>
      <c r="G2628" s="6" t="s">
        <v>274</v>
      </c>
      <c r="H2628" s="4"/>
      <c r="I2628" s="5" t="s">
        <v>22</v>
      </c>
      <c r="J2628" s="5" t="s">
        <v>9886</v>
      </c>
      <c r="K2628" s="5" t="s">
        <v>23</v>
      </c>
      <c r="L2628" s="5"/>
      <c r="M2628" s="5" t="s">
        <v>920</v>
      </c>
      <c r="N2628" s="5" t="s">
        <v>417</v>
      </c>
      <c r="O2628" s="5" t="s">
        <v>9553</v>
      </c>
      <c r="P2628" s="5"/>
      <c r="Q2628" s="5" t="s">
        <v>9887</v>
      </c>
    </row>
    <row r="2629" spans="2:17" x14ac:dyDescent="0.2">
      <c r="B2629" s="5" t="s">
        <v>10194</v>
      </c>
      <c r="C2629" s="6" t="s">
        <v>13589</v>
      </c>
      <c r="D2629" s="4">
        <v>975</v>
      </c>
      <c r="E2629" s="5" t="s">
        <v>20</v>
      </c>
      <c r="F2629" s="5" t="s">
        <v>10605</v>
      </c>
      <c r="G2629" s="6" t="s">
        <v>274</v>
      </c>
      <c r="H2629" s="4"/>
      <c r="I2629" s="5" t="s">
        <v>22</v>
      </c>
      <c r="J2629" s="5" t="s">
        <v>10606</v>
      </c>
      <c r="K2629" s="5" t="s">
        <v>10607</v>
      </c>
      <c r="L2629" s="5" t="s">
        <v>10608</v>
      </c>
      <c r="M2629" s="5" t="s">
        <v>157</v>
      </c>
      <c r="N2629" s="5" t="s">
        <v>457</v>
      </c>
      <c r="O2629" s="5" t="s">
        <v>10308</v>
      </c>
      <c r="P2629" s="5"/>
      <c r="Q2629" s="5" t="s">
        <v>10609</v>
      </c>
    </row>
    <row r="2630" spans="2:17" x14ac:dyDescent="0.2">
      <c r="B2630" s="5" t="s">
        <v>11086</v>
      </c>
      <c r="C2630" s="6" t="s">
        <v>13589</v>
      </c>
      <c r="D2630" s="4">
        <v>1251</v>
      </c>
      <c r="E2630" s="5" t="s">
        <v>20</v>
      </c>
      <c r="F2630" s="5" t="s">
        <v>449</v>
      </c>
      <c r="G2630" s="6" t="s">
        <v>274</v>
      </c>
      <c r="H2630" s="4"/>
      <c r="I2630" s="5" t="s">
        <v>38</v>
      </c>
      <c r="J2630" s="5" t="s">
        <v>11281</v>
      </c>
      <c r="K2630" s="5" t="s">
        <v>11228</v>
      </c>
      <c r="L2630" s="5" t="s">
        <v>11282</v>
      </c>
      <c r="M2630" s="5" t="s">
        <v>170</v>
      </c>
      <c r="N2630" s="5" t="s">
        <v>457</v>
      </c>
      <c r="O2630" s="5" t="s">
        <v>11089</v>
      </c>
      <c r="P2630" s="5"/>
      <c r="Q2630" s="5" t="s">
        <v>11283</v>
      </c>
    </row>
    <row r="2631" spans="2:17" x14ac:dyDescent="0.2">
      <c r="B2631" s="5" t="s">
        <v>11086</v>
      </c>
      <c r="C2631" s="6" t="s">
        <v>13589</v>
      </c>
      <c r="D2631" s="4">
        <v>1252</v>
      </c>
      <c r="E2631" s="5" t="s">
        <v>20</v>
      </c>
      <c r="F2631" s="5" t="s">
        <v>449</v>
      </c>
      <c r="G2631" s="6" t="s">
        <v>274</v>
      </c>
      <c r="H2631" s="4"/>
      <c r="I2631" s="5" t="s">
        <v>38</v>
      </c>
      <c r="J2631" s="5" t="s">
        <v>11284</v>
      </c>
      <c r="K2631" s="5" t="s">
        <v>11228</v>
      </c>
      <c r="L2631" s="5"/>
      <c r="M2631" s="5" t="s">
        <v>170</v>
      </c>
      <c r="N2631" s="5" t="s">
        <v>457</v>
      </c>
      <c r="O2631" s="5" t="s">
        <v>11089</v>
      </c>
      <c r="P2631" s="5"/>
      <c r="Q2631" s="5" t="s">
        <v>11285</v>
      </c>
    </row>
    <row r="2632" spans="2:17" x14ac:dyDescent="0.2">
      <c r="B2632" s="5" t="s">
        <v>11086</v>
      </c>
      <c r="C2632" s="6" t="s">
        <v>13589</v>
      </c>
      <c r="D2632" s="4">
        <v>1253</v>
      </c>
      <c r="E2632" s="5" t="s">
        <v>20</v>
      </c>
      <c r="F2632" s="5" t="s">
        <v>449</v>
      </c>
      <c r="G2632" s="6" t="s">
        <v>274</v>
      </c>
      <c r="H2632" s="4"/>
      <c r="I2632" s="5" t="s">
        <v>22</v>
      </c>
      <c r="J2632" s="5" t="s">
        <v>11286</v>
      </c>
      <c r="K2632" s="5" t="s">
        <v>11129</v>
      </c>
      <c r="L2632" s="5"/>
      <c r="M2632" s="5" t="s">
        <v>170</v>
      </c>
      <c r="N2632" s="5" t="s">
        <v>457</v>
      </c>
      <c r="O2632" s="5" t="s">
        <v>11089</v>
      </c>
      <c r="P2632" s="5"/>
      <c r="Q2632" s="5" t="s">
        <v>11287</v>
      </c>
    </row>
    <row r="2633" spans="2:17" x14ac:dyDescent="0.2">
      <c r="B2633" s="5" t="s">
        <v>11086</v>
      </c>
      <c r="C2633" s="6" t="s">
        <v>13589</v>
      </c>
      <c r="D2633" s="4">
        <v>1254</v>
      </c>
      <c r="E2633" s="5" t="s">
        <v>20</v>
      </c>
      <c r="F2633" s="5" t="s">
        <v>449</v>
      </c>
      <c r="G2633" s="6" t="s">
        <v>274</v>
      </c>
      <c r="H2633" s="4"/>
      <c r="I2633" s="5" t="s">
        <v>22</v>
      </c>
      <c r="J2633" s="5" t="s">
        <v>11288</v>
      </c>
      <c r="K2633" s="5" t="s">
        <v>11228</v>
      </c>
      <c r="L2633" s="5" t="s">
        <v>11229</v>
      </c>
      <c r="M2633" s="5" t="s">
        <v>170</v>
      </c>
      <c r="N2633" s="5" t="s">
        <v>457</v>
      </c>
      <c r="O2633" s="5" t="s">
        <v>11089</v>
      </c>
      <c r="P2633" s="5"/>
      <c r="Q2633" s="5" t="s">
        <v>11289</v>
      </c>
    </row>
    <row r="2634" spans="2:17" x14ac:dyDescent="0.2">
      <c r="B2634" s="5" t="s">
        <v>11086</v>
      </c>
      <c r="C2634" s="6" t="s">
        <v>13589</v>
      </c>
      <c r="D2634" s="4">
        <v>1255</v>
      </c>
      <c r="E2634" s="5" t="s">
        <v>20</v>
      </c>
      <c r="F2634" s="5" t="s">
        <v>11272</v>
      </c>
      <c r="G2634" s="6" t="s">
        <v>274</v>
      </c>
      <c r="H2634" s="4"/>
      <c r="I2634" s="5" t="s">
        <v>22</v>
      </c>
      <c r="J2634" s="5" t="s">
        <v>11273</v>
      </c>
      <c r="K2634" s="5" t="s">
        <v>11142</v>
      </c>
      <c r="L2634" s="5" t="s">
        <v>11274</v>
      </c>
      <c r="M2634" s="5" t="s">
        <v>170</v>
      </c>
      <c r="N2634" s="5" t="s">
        <v>457</v>
      </c>
      <c r="O2634" s="5" t="s">
        <v>11089</v>
      </c>
      <c r="P2634" s="5"/>
      <c r="Q2634" s="5" t="s">
        <v>11275</v>
      </c>
    </row>
    <row r="2635" spans="2:17" x14ac:dyDescent="0.2">
      <c r="B2635" s="5" t="s">
        <v>11086</v>
      </c>
      <c r="C2635" s="6" t="s">
        <v>13589</v>
      </c>
      <c r="D2635" s="4">
        <v>1256</v>
      </c>
      <c r="E2635" s="5" t="s">
        <v>20</v>
      </c>
      <c r="F2635" s="5" t="s">
        <v>11276</v>
      </c>
      <c r="G2635" s="6" t="s">
        <v>274</v>
      </c>
      <c r="H2635" s="4"/>
      <c r="I2635" s="5" t="s">
        <v>38</v>
      </c>
      <c r="J2635" s="5" t="s">
        <v>11277</v>
      </c>
      <c r="K2635" s="5" t="s">
        <v>11278</v>
      </c>
      <c r="L2635" s="5" t="s">
        <v>11279</v>
      </c>
      <c r="M2635" s="5" t="s">
        <v>170</v>
      </c>
      <c r="N2635" s="5" t="s">
        <v>457</v>
      </c>
      <c r="O2635" s="5" t="s">
        <v>11089</v>
      </c>
      <c r="P2635" s="5"/>
      <c r="Q2635" s="5" t="s">
        <v>11280</v>
      </c>
    </row>
    <row r="2636" spans="2:17" x14ac:dyDescent="0.2">
      <c r="B2636" s="5" t="s">
        <v>12409</v>
      </c>
      <c r="C2636" s="6" t="s">
        <v>13589</v>
      </c>
      <c r="D2636" s="4">
        <v>1684</v>
      </c>
      <c r="E2636" s="5" t="s">
        <v>35</v>
      </c>
      <c r="F2636" s="5" t="s">
        <v>12748</v>
      </c>
      <c r="G2636" s="6" t="s">
        <v>274</v>
      </c>
      <c r="H2636" s="4"/>
      <c r="I2636" s="5"/>
      <c r="J2636" s="5" t="s">
        <v>12749</v>
      </c>
      <c r="K2636" s="5" t="s">
        <v>12750</v>
      </c>
      <c r="L2636" s="5"/>
      <c r="M2636" s="5" t="s">
        <v>468</v>
      </c>
      <c r="N2636" s="5" t="s">
        <v>465</v>
      </c>
      <c r="O2636" s="5" t="s">
        <v>12413</v>
      </c>
      <c r="P2636" s="5"/>
      <c r="Q2636" s="5" t="s">
        <v>12751</v>
      </c>
    </row>
    <row r="2637" spans="2:17" x14ac:dyDescent="0.2">
      <c r="B2637" s="5" t="s">
        <v>12409</v>
      </c>
      <c r="C2637" s="6" t="s">
        <v>13589</v>
      </c>
      <c r="D2637" s="4">
        <v>1696</v>
      </c>
      <c r="E2637" s="5" t="s">
        <v>15</v>
      </c>
      <c r="F2637" s="5" t="s">
        <v>12664</v>
      </c>
      <c r="G2637" s="6" t="s">
        <v>274</v>
      </c>
      <c r="H2637" s="4"/>
      <c r="I2637" s="5"/>
      <c r="J2637" s="5" t="s">
        <v>12665</v>
      </c>
      <c r="K2637" s="5" t="s">
        <v>12433</v>
      </c>
      <c r="L2637" s="5"/>
      <c r="M2637" s="5" t="s">
        <v>1384</v>
      </c>
      <c r="N2637" s="5" t="s">
        <v>1377</v>
      </c>
      <c r="O2637" s="5" t="s">
        <v>12418</v>
      </c>
      <c r="P2637" s="5"/>
      <c r="Q2637" s="5" t="s">
        <v>12666</v>
      </c>
    </row>
    <row r="2638" spans="2:17" x14ac:dyDescent="0.2">
      <c r="B2638" s="5" t="s">
        <v>5451</v>
      </c>
      <c r="C2638" s="6" t="s">
        <v>13589</v>
      </c>
      <c r="D2638" s="4">
        <v>124</v>
      </c>
      <c r="E2638" s="5" t="s">
        <v>15</v>
      </c>
      <c r="F2638" s="5" t="s">
        <v>5661</v>
      </c>
      <c r="G2638" s="6" t="s">
        <v>42</v>
      </c>
      <c r="H2638" s="4"/>
      <c r="I2638" s="5"/>
      <c r="J2638" s="5" t="s">
        <v>5662</v>
      </c>
      <c r="K2638" s="5" t="s">
        <v>4996</v>
      </c>
      <c r="L2638" s="5"/>
      <c r="M2638" s="5" t="s">
        <v>1699</v>
      </c>
      <c r="N2638" s="5" t="s">
        <v>5663</v>
      </c>
      <c r="O2638" s="5" t="s">
        <v>5453</v>
      </c>
      <c r="P2638" s="5"/>
      <c r="Q2638" s="5" t="s">
        <v>5664</v>
      </c>
    </row>
    <row r="2639" spans="2:17" x14ac:dyDescent="0.2">
      <c r="B2639" s="5" t="s">
        <v>9008</v>
      </c>
      <c r="C2639" s="6" t="s">
        <v>13589</v>
      </c>
      <c r="D2639" s="4">
        <v>731</v>
      </c>
      <c r="E2639" s="5" t="s">
        <v>15</v>
      </c>
      <c r="F2639" s="5" t="s">
        <v>9456</v>
      </c>
      <c r="G2639" s="6" t="s">
        <v>42</v>
      </c>
      <c r="H2639" s="4"/>
      <c r="I2639" s="5"/>
      <c r="J2639" s="5" t="s">
        <v>9457</v>
      </c>
      <c r="K2639" s="5" t="s">
        <v>9273</v>
      </c>
      <c r="L2639" s="5"/>
      <c r="M2639" s="5" t="s">
        <v>3422</v>
      </c>
      <c r="N2639" s="5" t="s">
        <v>485</v>
      </c>
      <c r="O2639" s="5" t="s">
        <v>9030</v>
      </c>
      <c r="P2639" s="5"/>
      <c r="Q2639" s="5" t="s">
        <v>9458</v>
      </c>
    </row>
    <row r="2640" spans="2:17" x14ac:dyDescent="0.2">
      <c r="B2640" s="5" t="s">
        <v>10194</v>
      </c>
      <c r="C2640" s="6" t="s">
        <v>13589</v>
      </c>
      <c r="D2640" s="4">
        <v>972</v>
      </c>
      <c r="E2640" s="5" t="s">
        <v>20</v>
      </c>
      <c r="F2640" s="5" t="s">
        <v>10614</v>
      </c>
      <c r="G2640" s="6" t="s">
        <v>42</v>
      </c>
      <c r="H2640" s="4"/>
      <c r="I2640" s="5" t="s">
        <v>22</v>
      </c>
      <c r="J2640" s="5" t="s">
        <v>10615</v>
      </c>
      <c r="K2640" s="5" t="s">
        <v>3789</v>
      </c>
      <c r="L2640" s="5" t="s">
        <v>10616</v>
      </c>
      <c r="M2640" s="5" t="s">
        <v>465</v>
      </c>
      <c r="N2640" s="5" t="s">
        <v>174</v>
      </c>
      <c r="O2640" s="5" t="s">
        <v>10210</v>
      </c>
      <c r="P2640" s="5"/>
      <c r="Q2640" s="5" t="s">
        <v>10617</v>
      </c>
    </row>
    <row r="2641" spans="2:17" x14ac:dyDescent="0.2">
      <c r="B2641" s="5" t="s">
        <v>10194</v>
      </c>
      <c r="C2641" s="6" t="s">
        <v>13589</v>
      </c>
      <c r="D2641" s="4">
        <v>973</v>
      </c>
      <c r="E2641" s="5" t="s">
        <v>20</v>
      </c>
      <c r="F2641" s="5" t="s">
        <v>10193</v>
      </c>
      <c r="G2641" s="6" t="s">
        <v>42</v>
      </c>
      <c r="H2641" s="4"/>
      <c r="I2641" s="5" t="s">
        <v>22</v>
      </c>
      <c r="J2641" s="5" t="s">
        <v>10612</v>
      </c>
      <c r="K2641" s="5" t="s">
        <v>10269</v>
      </c>
      <c r="L2641" s="5"/>
      <c r="M2641" s="5" t="s">
        <v>3893</v>
      </c>
      <c r="N2641" s="5" t="s">
        <v>461</v>
      </c>
      <c r="O2641" s="5" t="s">
        <v>10274</v>
      </c>
      <c r="P2641" s="5"/>
      <c r="Q2641" s="5" t="s">
        <v>10613</v>
      </c>
    </row>
    <row r="2642" spans="2:17" x14ac:dyDescent="0.2">
      <c r="B2642" s="5" t="s">
        <v>9008</v>
      </c>
      <c r="C2642" s="6" t="s">
        <v>13589</v>
      </c>
      <c r="D2642" s="4">
        <v>683</v>
      </c>
      <c r="E2642" s="5" t="s">
        <v>20</v>
      </c>
      <c r="F2642" s="5" t="s">
        <v>9319</v>
      </c>
      <c r="G2642" s="6" t="s">
        <v>1163</v>
      </c>
      <c r="H2642" s="4"/>
      <c r="I2642" s="5" t="s">
        <v>22</v>
      </c>
      <c r="J2642" s="5" t="s">
        <v>9320</v>
      </c>
      <c r="K2642" s="5" t="s">
        <v>9321</v>
      </c>
      <c r="L2642" s="5"/>
      <c r="M2642" s="5" t="s">
        <v>3134</v>
      </c>
      <c r="N2642" s="5" t="s">
        <v>3134</v>
      </c>
      <c r="O2642" s="5" t="s">
        <v>9012</v>
      </c>
      <c r="P2642" s="5"/>
      <c r="Q2642" s="5" t="s">
        <v>9322</v>
      </c>
    </row>
    <row r="2643" spans="2:17" x14ac:dyDescent="0.2">
      <c r="B2643" s="5" t="s">
        <v>9008</v>
      </c>
      <c r="C2643" s="6" t="s">
        <v>13589</v>
      </c>
      <c r="D2643" s="4">
        <v>690</v>
      </c>
      <c r="E2643" s="5" t="s">
        <v>20</v>
      </c>
      <c r="F2643" s="5" t="s">
        <v>9277</v>
      </c>
      <c r="G2643" s="6" t="s">
        <v>1163</v>
      </c>
      <c r="H2643" s="4"/>
      <c r="I2643" s="5" t="s">
        <v>22</v>
      </c>
      <c r="J2643" s="5" t="s">
        <v>9278</v>
      </c>
      <c r="K2643" s="5" t="s">
        <v>4978</v>
      </c>
      <c r="L2643" s="5"/>
      <c r="M2643" s="5" t="s">
        <v>2089</v>
      </c>
      <c r="N2643" s="5" t="s">
        <v>400</v>
      </c>
      <c r="O2643" s="5" t="s">
        <v>9030</v>
      </c>
      <c r="P2643" s="5"/>
      <c r="Q2643" s="5" t="s">
        <v>9279</v>
      </c>
    </row>
    <row r="2644" spans="2:17" x14ac:dyDescent="0.2">
      <c r="B2644" s="5" t="s">
        <v>9008</v>
      </c>
      <c r="C2644" s="6" t="s">
        <v>13589</v>
      </c>
      <c r="D2644" s="4">
        <v>714</v>
      </c>
      <c r="E2644" s="5" t="s">
        <v>82</v>
      </c>
      <c r="F2644" s="5" t="s">
        <v>9323</v>
      </c>
      <c r="G2644" s="6" t="s">
        <v>1163</v>
      </c>
      <c r="H2644" s="4"/>
      <c r="I2644" s="5"/>
      <c r="J2644" s="5" t="s">
        <v>9324</v>
      </c>
      <c r="K2644" s="5" t="s">
        <v>9215</v>
      </c>
      <c r="L2644" s="5"/>
      <c r="M2644" s="5" t="s">
        <v>3134</v>
      </c>
      <c r="N2644" s="5" t="s">
        <v>131</v>
      </c>
      <c r="O2644" s="5" t="s">
        <v>9010</v>
      </c>
      <c r="P2644" s="5"/>
      <c r="Q2644" s="5" t="s">
        <v>9325</v>
      </c>
    </row>
    <row r="2645" spans="2:17" x14ac:dyDescent="0.2">
      <c r="B2645" s="5" t="s">
        <v>9008</v>
      </c>
      <c r="C2645" s="6" t="s">
        <v>13589</v>
      </c>
      <c r="D2645" s="4">
        <v>715</v>
      </c>
      <c r="E2645" s="5" t="s">
        <v>20</v>
      </c>
      <c r="F2645" s="5" t="s">
        <v>9316</v>
      </c>
      <c r="G2645" s="6" t="s">
        <v>1163</v>
      </c>
      <c r="H2645" s="4"/>
      <c r="I2645" s="5" t="s">
        <v>22</v>
      </c>
      <c r="J2645" s="5" t="s">
        <v>9317</v>
      </c>
      <c r="K2645" s="5" t="s">
        <v>4980</v>
      </c>
      <c r="L2645" s="5"/>
      <c r="M2645" s="5" t="s">
        <v>3134</v>
      </c>
      <c r="N2645" s="5" t="s">
        <v>131</v>
      </c>
      <c r="O2645" s="5" t="s">
        <v>9010</v>
      </c>
      <c r="P2645" s="5"/>
      <c r="Q2645" s="5" t="s">
        <v>9318</v>
      </c>
    </row>
    <row r="2646" spans="2:17" x14ac:dyDescent="0.2">
      <c r="B2646" s="5" t="s">
        <v>9008</v>
      </c>
      <c r="C2646" s="6" t="s">
        <v>13589</v>
      </c>
      <c r="D2646" s="4">
        <v>716</v>
      </c>
      <c r="E2646" s="5" t="s">
        <v>20</v>
      </c>
      <c r="F2646" s="5" t="s">
        <v>9326</v>
      </c>
      <c r="G2646" s="6" t="s">
        <v>1163</v>
      </c>
      <c r="H2646" s="4"/>
      <c r="I2646" s="5" t="s">
        <v>22</v>
      </c>
      <c r="J2646" s="5" t="s">
        <v>9324</v>
      </c>
      <c r="K2646" s="5" t="s">
        <v>9215</v>
      </c>
      <c r="L2646" s="5"/>
      <c r="M2646" s="5" t="s">
        <v>866</v>
      </c>
      <c r="N2646" s="5" t="s">
        <v>1835</v>
      </c>
      <c r="O2646" s="5" t="s">
        <v>9010</v>
      </c>
      <c r="P2646" s="5"/>
      <c r="Q2646" s="5" t="s">
        <v>9327</v>
      </c>
    </row>
    <row r="2647" spans="2:17" x14ac:dyDescent="0.2">
      <c r="B2647" s="5" t="s">
        <v>11377</v>
      </c>
      <c r="C2647" s="6" t="s">
        <v>13589</v>
      </c>
      <c r="D2647" s="4">
        <v>1397</v>
      </c>
      <c r="E2647" s="5" t="s">
        <v>20</v>
      </c>
      <c r="F2647" s="5" t="s">
        <v>11614</v>
      </c>
      <c r="G2647" s="6" t="s">
        <v>1905</v>
      </c>
      <c r="H2647" s="4"/>
      <c r="I2647" s="5" t="s">
        <v>22</v>
      </c>
      <c r="J2647" s="5" t="s">
        <v>11615</v>
      </c>
      <c r="K2647" s="5" t="s">
        <v>11616</v>
      </c>
      <c r="L2647" s="5" t="s">
        <v>11617</v>
      </c>
      <c r="M2647" s="5" t="s">
        <v>11618</v>
      </c>
      <c r="N2647" s="5" t="s">
        <v>11618</v>
      </c>
      <c r="O2647" s="5" t="s">
        <v>11380</v>
      </c>
      <c r="P2647" s="5"/>
      <c r="Q2647" s="5" t="s">
        <v>11619</v>
      </c>
    </row>
    <row r="2648" spans="2:17" x14ac:dyDescent="0.2">
      <c r="B2648" s="5" t="s">
        <v>11377</v>
      </c>
      <c r="C2648" s="6" t="s">
        <v>13589</v>
      </c>
      <c r="D2648" s="4">
        <v>1399</v>
      </c>
      <c r="E2648" s="5" t="s">
        <v>20</v>
      </c>
      <c r="F2648" s="5" t="s">
        <v>11440</v>
      </c>
      <c r="G2648" s="6" t="s">
        <v>1905</v>
      </c>
      <c r="H2648" s="4"/>
      <c r="I2648" s="5" t="s">
        <v>22</v>
      </c>
      <c r="J2648" s="5" t="s">
        <v>11441</v>
      </c>
      <c r="K2648" s="5" t="s">
        <v>11390</v>
      </c>
      <c r="L2648" s="5" t="s">
        <v>11442</v>
      </c>
      <c r="M2648" s="5" t="s">
        <v>1207</v>
      </c>
      <c r="N2648" s="5" t="s">
        <v>1201</v>
      </c>
      <c r="O2648" s="5" t="s">
        <v>11380</v>
      </c>
      <c r="P2648" s="5"/>
      <c r="Q2648" s="5" t="s">
        <v>11443</v>
      </c>
    </row>
    <row r="2649" spans="2:17" x14ac:dyDescent="0.2">
      <c r="B2649" s="5" t="s">
        <v>11377</v>
      </c>
      <c r="C2649" s="6" t="s">
        <v>13589</v>
      </c>
      <c r="D2649" s="4">
        <v>1400</v>
      </c>
      <c r="E2649" s="5" t="s">
        <v>20</v>
      </c>
      <c r="F2649" s="5" t="s">
        <v>11440</v>
      </c>
      <c r="G2649" s="6" t="s">
        <v>1905</v>
      </c>
      <c r="H2649" s="4"/>
      <c r="I2649" s="5" t="s">
        <v>22</v>
      </c>
      <c r="J2649" s="5" t="s">
        <v>11444</v>
      </c>
      <c r="K2649" s="5" t="s">
        <v>11390</v>
      </c>
      <c r="L2649" s="5" t="s">
        <v>11445</v>
      </c>
      <c r="M2649" s="5" t="s">
        <v>1207</v>
      </c>
      <c r="N2649" s="5" t="s">
        <v>1201</v>
      </c>
      <c r="O2649" s="5" t="s">
        <v>11380</v>
      </c>
      <c r="P2649" s="5"/>
      <c r="Q2649" s="5" t="s">
        <v>11446</v>
      </c>
    </row>
    <row r="2650" spans="2:17" x14ac:dyDescent="0.2">
      <c r="B2650" s="5" t="s">
        <v>11377</v>
      </c>
      <c r="C2650" s="6" t="s">
        <v>13589</v>
      </c>
      <c r="D2650" s="4">
        <v>1404</v>
      </c>
      <c r="E2650" s="5" t="s">
        <v>15</v>
      </c>
      <c r="F2650" s="5" t="s">
        <v>11602</v>
      </c>
      <c r="G2650" s="6" t="s">
        <v>1905</v>
      </c>
      <c r="H2650" s="4"/>
      <c r="I2650" s="5"/>
      <c r="J2650" s="5" t="s">
        <v>11603</v>
      </c>
      <c r="K2650" s="5" t="s">
        <v>11399</v>
      </c>
      <c r="L2650" s="5" t="s">
        <v>11604</v>
      </c>
      <c r="M2650" s="5" t="s">
        <v>131</v>
      </c>
      <c r="N2650" s="5" t="s">
        <v>131</v>
      </c>
      <c r="O2650" s="5" t="s">
        <v>11380</v>
      </c>
      <c r="P2650" s="5"/>
      <c r="Q2650" s="5" t="s">
        <v>11605</v>
      </c>
    </row>
    <row r="2651" spans="2:17" x14ac:dyDescent="0.2">
      <c r="B2651" s="5" t="s">
        <v>11377</v>
      </c>
      <c r="C2651" s="6" t="s">
        <v>13589</v>
      </c>
      <c r="D2651" s="4">
        <v>1412</v>
      </c>
      <c r="E2651" s="5" t="s">
        <v>15</v>
      </c>
      <c r="F2651" s="5" t="s">
        <v>11597</v>
      </c>
      <c r="G2651" s="6" t="s">
        <v>1905</v>
      </c>
      <c r="H2651" s="4"/>
      <c r="I2651" s="5"/>
      <c r="J2651" s="5" t="s">
        <v>11598</v>
      </c>
      <c r="K2651" s="5" t="s">
        <v>11599</v>
      </c>
      <c r="L2651" s="5" t="s">
        <v>11600</v>
      </c>
      <c r="M2651" s="5" t="s">
        <v>1835</v>
      </c>
      <c r="N2651" s="5" t="s">
        <v>1835</v>
      </c>
      <c r="O2651" s="5" t="s">
        <v>11380</v>
      </c>
      <c r="P2651" s="5"/>
      <c r="Q2651" s="5" t="s">
        <v>11601</v>
      </c>
    </row>
    <row r="2652" spans="2:17" x14ac:dyDescent="0.2">
      <c r="B2652" s="5" t="s">
        <v>8683</v>
      </c>
      <c r="C2652" s="6" t="s">
        <v>13589</v>
      </c>
      <c r="D2652" s="4">
        <v>467</v>
      </c>
      <c r="E2652" s="5" t="s">
        <v>15</v>
      </c>
      <c r="F2652" s="5" t="s">
        <v>8875</v>
      </c>
      <c r="G2652" s="6" t="s">
        <v>69</v>
      </c>
      <c r="H2652" s="4"/>
      <c r="I2652" s="5"/>
      <c r="J2652" s="5" t="s">
        <v>8876</v>
      </c>
      <c r="K2652" s="5" t="s">
        <v>5686</v>
      </c>
      <c r="L2652" s="5" t="s">
        <v>8802</v>
      </c>
      <c r="M2652" s="5" t="s">
        <v>428</v>
      </c>
      <c r="N2652" s="5" t="s">
        <v>142</v>
      </c>
      <c r="O2652" s="5" t="s">
        <v>5687</v>
      </c>
      <c r="P2652" s="5"/>
      <c r="Q2652" s="5" t="s">
        <v>8877</v>
      </c>
    </row>
    <row r="2653" spans="2:17" x14ac:dyDescent="0.2">
      <c r="B2653" s="5" t="s">
        <v>12409</v>
      </c>
      <c r="C2653" s="6" t="s">
        <v>13589</v>
      </c>
      <c r="D2653" s="4">
        <v>1698</v>
      </c>
      <c r="E2653" s="5" t="s">
        <v>82</v>
      </c>
      <c r="F2653" s="5" t="s">
        <v>12649</v>
      </c>
      <c r="G2653" s="6" t="s">
        <v>69</v>
      </c>
      <c r="H2653" s="4"/>
      <c r="I2653" s="5"/>
      <c r="J2653" s="5" t="s">
        <v>12650</v>
      </c>
      <c r="K2653" s="5" t="s">
        <v>371</v>
      </c>
      <c r="L2653" s="5"/>
      <c r="M2653" s="5" t="s">
        <v>295</v>
      </c>
      <c r="N2653" s="5" t="s">
        <v>302</v>
      </c>
      <c r="O2653" s="5" t="s">
        <v>12414</v>
      </c>
      <c r="P2653" s="5" t="s">
        <v>12651</v>
      </c>
      <c r="Q2653" s="5" t="s">
        <v>12652</v>
      </c>
    </row>
    <row r="2654" spans="2:17" x14ac:dyDescent="0.2">
      <c r="B2654" s="5" t="s">
        <v>5246</v>
      </c>
      <c r="C2654" s="6" t="s">
        <v>13589</v>
      </c>
      <c r="D2654" s="4">
        <v>73</v>
      </c>
      <c r="E2654" s="5" t="s">
        <v>15</v>
      </c>
      <c r="F2654" s="5" t="s">
        <v>5375</v>
      </c>
      <c r="G2654" s="6" t="s">
        <v>21</v>
      </c>
      <c r="H2654" s="4"/>
      <c r="I2654" s="5"/>
      <c r="J2654" s="5" t="s">
        <v>5376</v>
      </c>
      <c r="K2654" s="5" t="s">
        <v>5347</v>
      </c>
      <c r="L2654" s="5" t="s">
        <v>5377</v>
      </c>
      <c r="M2654" s="5" t="s">
        <v>1642</v>
      </c>
      <c r="N2654" s="5" t="s">
        <v>1642</v>
      </c>
      <c r="O2654" s="5" t="s">
        <v>5011</v>
      </c>
      <c r="P2654" s="5"/>
      <c r="Q2654" s="5" t="s">
        <v>5378</v>
      </c>
    </row>
    <row r="2655" spans="2:17" x14ac:dyDescent="0.2">
      <c r="B2655" s="5" t="s">
        <v>8683</v>
      </c>
      <c r="C2655" s="6" t="s">
        <v>13589</v>
      </c>
      <c r="D2655" s="4">
        <v>432</v>
      </c>
      <c r="E2655" s="5" t="s">
        <v>24</v>
      </c>
      <c r="F2655" s="5" t="s">
        <v>8992</v>
      </c>
      <c r="G2655" s="6" t="s">
        <v>21</v>
      </c>
      <c r="H2655" s="4"/>
      <c r="I2655" s="5"/>
      <c r="J2655" s="5" t="s">
        <v>8993</v>
      </c>
      <c r="K2655" s="5" t="s">
        <v>8687</v>
      </c>
      <c r="L2655" s="5"/>
      <c r="M2655" s="5" t="s">
        <v>1690</v>
      </c>
      <c r="N2655" s="5" t="s">
        <v>1108</v>
      </c>
      <c r="O2655" s="5" t="s">
        <v>5683</v>
      </c>
      <c r="P2655" s="5"/>
      <c r="Q2655" s="5" t="s">
        <v>8994</v>
      </c>
    </row>
    <row r="2656" spans="2:17" x14ac:dyDescent="0.2">
      <c r="B2656" s="5" t="s">
        <v>8683</v>
      </c>
      <c r="C2656" s="6" t="s">
        <v>13589</v>
      </c>
      <c r="D2656" s="4">
        <v>433</v>
      </c>
      <c r="E2656" s="5" t="s">
        <v>20</v>
      </c>
      <c r="F2656" s="5" t="s">
        <v>8989</v>
      </c>
      <c r="G2656" s="6" t="s">
        <v>21</v>
      </c>
      <c r="H2656" s="4"/>
      <c r="I2656" s="5" t="s">
        <v>38</v>
      </c>
      <c r="J2656" s="5" t="s">
        <v>8990</v>
      </c>
      <c r="K2656" s="5" t="s">
        <v>8686</v>
      </c>
      <c r="L2656" s="5"/>
      <c r="M2656" s="5" t="s">
        <v>1690</v>
      </c>
      <c r="N2656" s="5" t="s">
        <v>1108</v>
      </c>
      <c r="O2656" s="5" t="s">
        <v>5690</v>
      </c>
      <c r="P2656" s="5"/>
      <c r="Q2656" s="5" t="s">
        <v>8991</v>
      </c>
    </row>
    <row r="2657" spans="2:17" x14ac:dyDescent="0.2">
      <c r="B2657" s="5" t="s">
        <v>9550</v>
      </c>
      <c r="C2657" s="6" t="s">
        <v>13589</v>
      </c>
      <c r="D2657" s="4">
        <v>751</v>
      </c>
      <c r="E2657" s="5" t="s">
        <v>15</v>
      </c>
      <c r="F2657" s="5" t="s">
        <v>10082</v>
      </c>
      <c r="G2657" s="6" t="s">
        <v>21</v>
      </c>
      <c r="H2657" s="4"/>
      <c r="I2657" s="5"/>
      <c r="J2657" s="5" t="s">
        <v>10083</v>
      </c>
      <c r="K2657" s="5" t="s">
        <v>9929</v>
      </c>
      <c r="L2657" s="5"/>
      <c r="M2657" s="5" t="s">
        <v>1672</v>
      </c>
      <c r="N2657" s="5" t="s">
        <v>506</v>
      </c>
      <c r="O2657" s="5" t="s">
        <v>9552</v>
      </c>
      <c r="P2657" s="5"/>
      <c r="Q2657" s="5" t="s">
        <v>10084</v>
      </c>
    </row>
    <row r="2658" spans="2:17" x14ac:dyDescent="0.2">
      <c r="B2658" s="5" t="s">
        <v>10685</v>
      </c>
      <c r="C2658" s="6" t="s">
        <v>13589</v>
      </c>
      <c r="D2658" s="4">
        <v>1159</v>
      </c>
      <c r="E2658" s="5" t="s">
        <v>56</v>
      </c>
      <c r="F2658" s="5" t="s">
        <v>10911</v>
      </c>
      <c r="G2658" s="6" t="s">
        <v>21</v>
      </c>
      <c r="H2658" s="4"/>
      <c r="I2658" s="5"/>
      <c r="J2658" s="5" t="s">
        <v>10911</v>
      </c>
      <c r="K2658" s="5" t="s">
        <v>10694</v>
      </c>
      <c r="L2658" s="5"/>
      <c r="M2658" s="5" t="s">
        <v>5539</v>
      </c>
      <c r="N2658" s="5" t="s">
        <v>284</v>
      </c>
      <c r="O2658" s="5" t="s">
        <v>10695</v>
      </c>
      <c r="P2658" s="5"/>
      <c r="Q2658" s="5" t="s">
        <v>10912</v>
      </c>
    </row>
    <row r="2659" spans="2:17" x14ac:dyDescent="0.2">
      <c r="B2659" s="5" t="s">
        <v>11377</v>
      </c>
      <c r="C2659" s="6" t="s">
        <v>13589</v>
      </c>
      <c r="D2659" s="4">
        <v>1382</v>
      </c>
      <c r="E2659" s="5" t="s">
        <v>15</v>
      </c>
      <c r="F2659" s="5" t="s">
        <v>11489</v>
      </c>
      <c r="G2659" s="6" t="s">
        <v>21</v>
      </c>
      <c r="H2659" s="4"/>
      <c r="I2659" s="5"/>
      <c r="J2659" s="5" t="s">
        <v>11490</v>
      </c>
      <c r="K2659" s="5" t="s">
        <v>11461</v>
      </c>
      <c r="L2659" s="5" t="s">
        <v>11491</v>
      </c>
      <c r="M2659" s="5" t="s">
        <v>2891</v>
      </c>
      <c r="N2659" s="5" t="s">
        <v>2891</v>
      </c>
      <c r="O2659" s="5" t="s">
        <v>11380</v>
      </c>
      <c r="P2659" s="5"/>
      <c r="Q2659" s="5" t="s">
        <v>11492</v>
      </c>
    </row>
    <row r="2660" spans="2:17" x14ac:dyDescent="0.2">
      <c r="B2660" s="5" t="s">
        <v>11775</v>
      </c>
      <c r="C2660" s="6" t="s">
        <v>13589</v>
      </c>
      <c r="D2660" s="4">
        <v>1465</v>
      </c>
      <c r="E2660" s="5" t="s">
        <v>20</v>
      </c>
      <c r="F2660" s="5" t="s">
        <v>12254</v>
      </c>
      <c r="G2660" s="6" t="s">
        <v>2289</v>
      </c>
      <c r="H2660" s="4"/>
      <c r="I2660" s="5" t="s">
        <v>22</v>
      </c>
      <c r="J2660" s="5" t="s">
        <v>12255</v>
      </c>
      <c r="K2660" s="5" t="s">
        <v>12087</v>
      </c>
      <c r="L2660" s="5"/>
      <c r="M2660" s="5" t="s">
        <v>174</v>
      </c>
      <c r="N2660" s="5" t="s">
        <v>174</v>
      </c>
      <c r="O2660" s="5" t="s">
        <v>11782</v>
      </c>
      <c r="P2660" s="5"/>
      <c r="Q2660" s="5" t="s">
        <v>12256</v>
      </c>
    </row>
    <row r="2661" spans="2:17" x14ac:dyDescent="0.2">
      <c r="B2661" s="5" t="s">
        <v>11775</v>
      </c>
      <c r="C2661" s="6" t="s">
        <v>13589</v>
      </c>
      <c r="D2661" s="4">
        <v>1601</v>
      </c>
      <c r="E2661" s="5" t="s">
        <v>20</v>
      </c>
      <c r="F2661" s="5" t="s">
        <v>12133</v>
      </c>
      <c r="G2661" s="6" t="s">
        <v>2289</v>
      </c>
      <c r="H2661" s="4"/>
      <c r="I2661" s="5" t="s">
        <v>22</v>
      </c>
      <c r="J2661" s="5" t="s">
        <v>12134</v>
      </c>
      <c r="K2661" s="5" t="s">
        <v>12087</v>
      </c>
      <c r="L2661" s="5"/>
      <c r="M2661" s="5" t="s">
        <v>127</v>
      </c>
      <c r="N2661" s="5" t="s">
        <v>366</v>
      </c>
      <c r="O2661" s="5" t="s">
        <v>11780</v>
      </c>
      <c r="P2661" s="5"/>
      <c r="Q2661" s="5" t="s">
        <v>12135</v>
      </c>
    </row>
    <row r="2662" spans="2:17" x14ac:dyDescent="0.2">
      <c r="B2662" s="5" t="s">
        <v>11377</v>
      </c>
      <c r="C2662" s="6" t="s">
        <v>13589</v>
      </c>
      <c r="D2662" s="4">
        <v>1381</v>
      </c>
      <c r="E2662" s="5" t="s">
        <v>20</v>
      </c>
      <c r="F2662" s="5" t="s">
        <v>11507</v>
      </c>
      <c r="G2662" s="6" t="s">
        <v>62</v>
      </c>
      <c r="H2662" s="4"/>
      <c r="I2662" s="5" t="s">
        <v>22</v>
      </c>
      <c r="J2662" s="5" t="s">
        <v>11508</v>
      </c>
      <c r="K2662" s="5" t="s">
        <v>11509</v>
      </c>
      <c r="L2662" s="5" t="s">
        <v>11510</v>
      </c>
      <c r="M2662" s="5" t="s">
        <v>5833</v>
      </c>
      <c r="N2662" s="5" t="s">
        <v>284</v>
      </c>
      <c r="O2662" s="5" t="s">
        <v>11378</v>
      </c>
      <c r="P2662" s="5"/>
      <c r="Q2662" s="5" t="s">
        <v>11511</v>
      </c>
    </row>
    <row r="2663" spans="2:17" x14ac:dyDescent="0.2">
      <c r="B2663" s="5" t="s">
        <v>7816</v>
      </c>
      <c r="C2663" s="6" t="s">
        <v>13590</v>
      </c>
      <c r="D2663" s="4">
        <v>113</v>
      </c>
      <c r="E2663" s="5" t="s">
        <v>13</v>
      </c>
      <c r="F2663" s="5" t="s">
        <v>8125</v>
      </c>
      <c r="G2663" s="6" t="s">
        <v>41</v>
      </c>
      <c r="H2663" s="4"/>
      <c r="I2663" s="5"/>
      <c r="J2663" s="5" t="s">
        <v>8126</v>
      </c>
      <c r="K2663" s="5" t="s">
        <v>8127</v>
      </c>
      <c r="L2663" s="5"/>
      <c r="M2663" s="5" t="s">
        <v>1073</v>
      </c>
      <c r="N2663" s="5" t="s">
        <v>1073</v>
      </c>
      <c r="O2663" s="5" t="s">
        <v>7833</v>
      </c>
      <c r="P2663" s="5"/>
      <c r="Q2663" s="5" t="s">
        <v>8128</v>
      </c>
    </row>
    <row r="2664" spans="2:17" x14ac:dyDescent="0.2">
      <c r="B2664" s="5" t="s">
        <v>7816</v>
      </c>
      <c r="C2664" s="6" t="s">
        <v>13590</v>
      </c>
      <c r="D2664" s="4">
        <v>117</v>
      </c>
      <c r="E2664" s="5" t="s">
        <v>15</v>
      </c>
      <c r="F2664" s="5" t="s">
        <v>8148</v>
      </c>
      <c r="G2664" s="6" t="s">
        <v>41</v>
      </c>
      <c r="H2664" s="4"/>
      <c r="I2664" s="5"/>
      <c r="J2664" s="5" t="s">
        <v>8148</v>
      </c>
      <c r="K2664" s="5" t="s">
        <v>8127</v>
      </c>
      <c r="L2664" s="5"/>
      <c r="M2664" s="5" t="s">
        <v>523</v>
      </c>
      <c r="N2664" s="5" t="s">
        <v>523</v>
      </c>
      <c r="O2664" s="5" t="s">
        <v>7833</v>
      </c>
      <c r="P2664" s="5"/>
      <c r="Q2664" s="5" t="s">
        <v>8149</v>
      </c>
    </row>
    <row r="2665" spans="2:17" x14ac:dyDescent="0.2">
      <c r="B2665" s="5" t="s">
        <v>7816</v>
      </c>
      <c r="C2665" s="6" t="s">
        <v>13590</v>
      </c>
      <c r="D2665" s="4">
        <v>96</v>
      </c>
      <c r="E2665" s="5" t="s">
        <v>20</v>
      </c>
      <c r="F2665" s="5" t="s">
        <v>7885</v>
      </c>
      <c r="G2665" s="6" t="s">
        <v>34</v>
      </c>
      <c r="H2665" s="4"/>
      <c r="I2665" s="5" t="s">
        <v>22</v>
      </c>
      <c r="J2665" s="5" t="s">
        <v>7886</v>
      </c>
      <c r="K2665" s="5" t="s">
        <v>7828</v>
      </c>
      <c r="L2665" s="5"/>
      <c r="M2665" s="5" t="s">
        <v>283</v>
      </c>
      <c r="N2665" s="5" t="s">
        <v>291</v>
      </c>
      <c r="O2665" s="5" t="s">
        <v>7819</v>
      </c>
      <c r="P2665" s="5"/>
      <c r="Q2665" s="5" t="s">
        <v>7887</v>
      </c>
    </row>
    <row r="2666" spans="2:17" x14ac:dyDescent="0.2">
      <c r="B2666" s="5" t="s">
        <v>7816</v>
      </c>
      <c r="C2666" s="6" t="s">
        <v>13590</v>
      </c>
      <c r="D2666" s="4">
        <v>97</v>
      </c>
      <c r="E2666" s="5" t="s">
        <v>20</v>
      </c>
      <c r="F2666" s="5" t="s">
        <v>7885</v>
      </c>
      <c r="G2666" s="6" t="s">
        <v>34</v>
      </c>
      <c r="H2666" s="4"/>
      <c r="I2666" s="5" t="s">
        <v>22</v>
      </c>
      <c r="J2666" s="5" t="s">
        <v>7888</v>
      </c>
      <c r="K2666" s="5" t="s">
        <v>7828</v>
      </c>
      <c r="L2666" s="5" t="s">
        <v>7889</v>
      </c>
      <c r="M2666" s="5" t="s">
        <v>283</v>
      </c>
      <c r="N2666" s="5" t="s">
        <v>291</v>
      </c>
      <c r="O2666" s="5" t="s">
        <v>7819</v>
      </c>
      <c r="P2666" s="5"/>
      <c r="Q2666" s="5" t="s">
        <v>7890</v>
      </c>
    </row>
    <row r="2667" spans="2:17" x14ac:dyDescent="0.2">
      <c r="B2667" s="5" t="s">
        <v>7816</v>
      </c>
      <c r="C2667" s="6" t="s">
        <v>13590</v>
      </c>
      <c r="D2667" s="4">
        <v>60</v>
      </c>
      <c r="E2667" s="5" t="s">
        <v>20</v>
      </c>
      <c r="F2667" s="5" t="s">
        <v>7993</v>
      </c>
      <c r="G2667" s="6" t="s">
        <v>51</v>
      </c>
      <c r="H2667" s="4"/>
      <c r="I2667" s="5" t="s">
        <v>22</v>
      </c>
      <c r="J2667" s="5" t="s">
        <v>7994</v>
      </c>
      <c r="K2667" s="5" t="s">
        <v>7828</v>
      </c>
      <c r="L2667" s="5" t="s">
        <v>7995</v>
      </c>
      <c r="M2667" s="5" t="s">
        <v>341</v>
      </c>
      <c r="N2667" s="5" t="s">
        <v>3043</v>
      </c>
      <c r="O2667" s="5" t="s">
        <v>7819</v>
      </c>
      <c r="P2667" s="5"/>
      <c r="Q2667" s="5" t="s">
        <v>7996</v>
      </c>
    </row>
    <row r="2668" spans="2:17" x14ac:dyDescent="0.2">
      <c r="B2668" s="5" t="s">
        <v>7816</v>
      </c>
      <c r="C2668" s="6" t="s">
        <v>13590</v>
      </c>
      <c r="D2668" s="4">
        <v>61</v>
      </c>
      <c r="E2668" s="5" t="s">
        <v>24</v>
      </c>
      <c r="F2668" s="5" t="s">
        <v>7997</v>
      </c>
      <c r="G2668" s="6" t="s">
        <v>51</v>
      </c>
      <c r="H2668" s="4"/>
      <c r="I2668" s="5"/>
      <c r="J2668" s="5" t="s">
        <v>7998</v>
      </c>
      <c r="K2668" s="5" t="s">
        <v>7835</v>
      </c>
      <c r="L2668" s="5"/>
      <c r="M2668" s="5" t="s">
        <v>341</v>
      </c>
      <c r="N2668" s="5" t="s">
        <v>3043</v>
      </c>
      <c r="O2668" s="5" t="s">
        <v>7822</v>
      </c>
      <c r="P2668" s="5"/>
      <c r="Q2668" s="5" t="s">
        <v>7999</v>
      </c>
    </row>
    <row r="2669" spans="2:17" x14ac:dyDescent="0.2">
      <c r="B2669" s="5" t="s">
        <v>7816</v>
      </c>
      <c r="C2669" s="6" t="s">
        <v>13590</v>
      </c>
      <c r="D2669" s="4">
        <v>66</v>
      </c>
      <c r="E2669" s="5" t="s">
        <v>32</v>
      </c>
      <c r="F2669" s="5" t="s">
        <v>7979</v>
      </c>
      <c r="G2669" s="6" t="s">
        <v>43</v>
      </c>
      <c r="H2669" s="4"/>
      <c r="I2669" s="5" t="s">
        <v>22</v>
      </c>
      <c r="J2669" s="5" t="s">
        <v>7980</v>
      </c>
      <c r="K2669" s="5" t="s">
        <v>7823</v>
      </c>
      <c r="L2669" s="5" t="s">
        <v>7981</v>
      </c>
      <c r="M2669" s="5" t="s">
        <v>648</v>
      </c>
      <c r="N2669" s="5" t="s">
        <v>1957</v>
      </c>
      <c r="O2669" s="5" t="s">
        <v>7818</v>
      </c>
      <c r="P2669" s="5"/>
      <c r="Q2669" s="5" t="s">
        <v>7982</v>
      </c>
    </row>
    <row r="2670" spans="2:17" x14ac:dyDescent="0.2">
      <c r="B2670" s="5" t="s">
        <v>7678</v>
      </c>
      <c r="C2670" s="6" t="s">
        <v>13590</v>
      </c>
      <c r="D2670" s="4">
        <v>2</v>
      </c>
      <c r="E2670" s="5" t="s">
        <v>32</v>
      </c>
      <c r="F2670" s="5" t="s">
        <v>3397</v>
      </c>
      <c r="G2670" s="6" t="s">
        <v>14</v>
      </c>
      <c r="H2670" s="4">
        <v>1</v>
      </c>
      <c r="I2670" s="5" t="s">
        <v>22</v>
      </c>
      <c r="J2670" s="5" t="s">
        <v>7797</v>
      </c>
      <c r="K2670" s="5" t="s">
        <v>7798</v>
      </c>
      <c r="L2670" s="5"/>
      <c r="M2670" s="5" t="s">
        <v>1058</v>
      </c>
      <c r="N2670" s="5" t="s">
        <v>1058</v>
      </c>
      <c r="O2670" s="5" t="s">
        <v>7679</v>
      </c>
      <c r="P2670" s="5"/>
      <c r="Q2670" s="5" t="s">
        <v>7799</v>
      </c>
    </row>
    <row r="2671" spans="2:17" x14ac:dyDescent="0.2">
      <c r="B2671" s="5" t="s">
        <v>7678</v>
      </c>
      <c r="C2671" s="6" t="s">
        <v>13590</v>
      </c>
      <c r="D2671" s="4">
        <v>3</v>
      </c>
      <c r="E2671" s="5" t="s">
        <v>32</v>
      </c>
      <c r="F2671" s="5" t="s">
        <v>3353</v>
      </c>
      <c r="G2671" s="6" t="s">
        <v>14</v>
      </c>
      <c r="H2671" s="4">
        <v>2</v>
      </c>
      <c r="I2671" s="5" t="s">
        <v>22</v>
      </c>
      <c r="J2671" s="5" t="s">
        <v>7793</v>
      </c>
      <c r="K2671" s="5" t="s">
        <v>7794</v>
      </c>
      <c r="L2671" s="5" t="s">
        <v>7795</v>
      </c>
      <c r="M2671" s="5" t="s">
        <v>3355</v>
      </c>
      <c r="N2671" s="5" t="s">
        <v>3355</v>
      </c>
      <c r="O2671" s="5" t="s">
        <v>7679</v>
      </c>
      <c r="P2671" s="5"/>
      <c r="Q2671" s="5" t="s">
        <v>7796</v>
      </c>
    </row>
    <row r="2672" spans="2:17" x14ac:dyDescent="0.2">
      <c r="B2672" s="5" t="s">
        <v>7678</v>
      </c>
      <c r="C2672" s="6" t="s">
        <v>13590</v>
      </c>
      <c r="D2672" s="4">
        <v>5</v>
      </c>
      <c r="E2672" s="5" t="s">
        <v>15</v>
      </c>
      <c r="F2672" s="5" t="s">
        <v>7784</v>
      </c>
      <c r="G2672" s="6" t="s">
        <v>14</v>
      </c>
      <c r="H2672" s="4">
        <v>3</v>
      </c>
      <c r="I2672" s="5"/>
      <c r="J2672" s="5" t="s">
        <v>7785</v>
      </c>
      <c r="K2672" s="5" t="s">
        <v>7786</v>
      </c>
      <c r="L2672" s="5" t="s">
        <v>7787</v>
      </c>
      <c r="M2672" s="5" t="s">
        <v>1012</v>
      </c>
      <c r="N2672" s="5" t="s">
        <v>1012</v>
      </c>
      <c r="O2672" s="5" t="s">
        <v>7788</v>
      </c>
      <c r="P2672" s="5"/>
      <c r="Q2672" s="5" t="s">
        <v>7789</v>
      </c>
    </row>
    <row r="2673" spans="2:17" x14ac:dyDescent="0.2">
      <c r="B2673" s="5" t="s">
        <v>7678</v>
      </c>
      <c r="C2673" s="6" t="s">
        <v>13590</v>
      </c>
      <c r="D2673" s="4">
        <v>13</v>
      </c>
      <c r="E2673" s="5" t="s">
        <v>24</v>
      </c>
      <c r="F2673" s="5" t="s">
        <v>7751</v>
      </c>
      <c r="G2673" s="6" t="s">
        <v>14</v>
      </c>
      <c r="H2673" s="4">
        <v>4</v>
      </c>
      <c r="I2673" s="5"/>
      <c r="J2673" s="5" t="s">
        <v>7751</v>
      </c>
      <c r="K2673" s="5" t="s">
        <v>7694</v>
      </c>
      <c r="L2673" s="5"/>
      <c r="M2673" s="5" t="s">
        <v>2376</v>
      </c>
      <c r="N2673" s="5" t="s">
        <v>2376</v>
      </c>
      <c r="O2673" s="5" t="s">
        <v>7679</v>
      </c>
      <c r="P2673" s="5"/>
      <c r="Q2673" s="5" t="s">
        <v>7752</v>
      </c>
    </row>
    <row r="2674" spans="2:17" x14ac:dyDescent="0.2">
      <c r="B2674" s="5" t="s">
        <v>7678</v>
      </c>
      <c r="C2674" s="6" t="s">
        <v>13590</v>
      </c>
      <c r="D2674" s="4">
        <v>14</v>
      </c>
      <c r="E2674" s="5" t="s">
        <v>20</v>
      </c>
      <c r="F2674" s="5" t="s">
        <v>7748</v>
      </c>
      <c r="G2674" s="6" t="s">
        <v>14</v>
      </c>
      <c r="H2674" s="4">
        <v>5</v>
      </c>
      <c r="I2674" s="5" t="s">
        <v>22</v>
      </c>
      <c r="J2674" s="5" t="s">
        <v>7749</v>
      </c>
      <c r="K2674" s="5" t="s">
        <v>7693</v>
      </c>
      <c r="L2674" s="5"/>
      <c r="M2674" s="5" t="s">
        <v>2376</v>
      </c>
      <c r="N2674" s="5" t="s">
        <v>1442</v>
      </c>
      <c r="O2674" s="5" t="s">
        <v>7692</v>
      </c>
      <c r="P2674" s="5"/>
      <c r="Q2674" s="5" t="s">
        <v>7750</v>
      </c>
    </row>
    <row r="2675" spans="2:17" x14ac:dyDescent="0.2">
      <c r="B2675" s="5" t="s">
        <v>7678</v>
      </c>
      <c r="C2675" s="6" t="s">
        <v>13590</v>
      </c>
      <c r="D2675" s="4">
        <v>15</v>
      </c>
      <c r="E2675" s="5" t="s">
        <v>32</v>
      </c>
      <c r="F2675" s="5" t="s">
        <v>7705</v>
      </c>
      <c r="G2675" s="6" t="s">
        <v>14</v>
      </c>
      <c r="H2675" s="4">
        <v>6</v>
      </c>
      <c r="I2675" s="5" t="s">
        <v>22</v>
      </c>
      <c r="J2675" s="5" t="s">
        <v>7713</v>
      </c>
      <c r="K2675" s="5" t="s">
        <v>7714</v>
      </c>
      <c r="L2675" s="5"/>
      <c r="M2675" s="5" t="s">
        <v>301</v>
      </c>
      <c r="N2675" s="5" t="s">
        <v>296</v>
      </c>
      <c r="O2675" s="5" t="s">
        <v>7689</v>
      </c>
      <c r="P2675" s="5"/>
      <c r="Q2675" s="5" t="s">
        <v>7715</v>
      </c>
    </row>
    <row r="2676" spans="2:17" x14ac:dyDescent="0.2">
      <c r="B2676" s="5" t="s">
        <v>7678</v>
      </c>
      <c r="C2676" s="6" t="s">
        <v>13590</v>
      </c>
      <c r="D2676" s="4">
        <v>16</v>
      </c>
      <c r="E2676" s="5" t="s">
        <v>32</v>
      </c>
      <c r="F2676" s="5" t="s">
        <v>7705</v>
      </c>
      <c r="G2676" s="6" t="s">
        <v>14</v>
      </c>
      <c r="H2676" s="4">
        <v>7</v>
      </c>
      <c r="I2676" s="5" t="s">
        <v>22</v>
      </c>
      <c r="J2676" s="5" t="s">
        <v>7716</v>
      </c>
      <c r="K2676" s="5" t="s">
        <v>7717</v>
      </c>
      <c r="L2676" s="5"/>
      <c r="M2676" s="5" t="s">
        <v>301</v>
      </c>
      <c r="N2676" s="5" t="s">
        <v>296</v>
      </c>
      <c r="O2676" s="5" t="s">
        <v>7689</v>
      </c>
      <c r="P2676" s="5"/>
      <c r="Q2676" s="5" t="s">
        <v>7718</v>
      </c>
    </row>
    <row r="2677" spans="2:17" x14ac:dyDescent="0.2">
      <c r="B2677" s="5" t="s">
        <v>7678</v>
      </c>
      <c r="C2677" s="6" t="s">
        <v>13590</v>
      </c>
      <c r="D2677" s="4">
        <v>17</v>
      </c>
      <c r="E2677" s="5" t="s">
        <v>32</v>
      </c>
      <c r="F2677" s="5" t="s">
        <v>7705</v>
      </c>
      <c r="G2677" s="6" t="s">
        <v>14</v>
      </c>
      <c r="H2677" s="4">
        <v>8</v>
      </c>
      <c r="I2677" s="5" t="s">
        <v>22</v>
      </c>
      <c r="J2677" s="5" t="s">
        <v>7719</v>
      </c>
      <c r="K2677" s="5" t="s">
        <v>7688</v>
      </c>
      <c r="L2677" s="5" t="s">
        <v>7720</v>
      </c>
      <c r="M2677" s="5" t="s">
        <v>301</v>
      </c>
      <c r="N2677" s="5" t="s">
        <v>296</v>
      </c>
      <c r="O2677" s="5" t="s">
        <v>7689</v>
      </c>
      <c r="P2677" s="5"/>
      <c r="Q2677" s="5" t="s">
        <v>7721</v>
      </c>
    </row>
    <row r="2678" spans="2:17" x14ac:dyDescent="0.2">
      <c r="B2678" s="5" t="s">
        <v>7678</v>
      </c>
      <c r="C2678" s="6" t="s">
        <v>13590</v>
      </c>
      <c r="D2678" s="4">
        <v>18</v>
      </c>
      <c r="E2678" s="5" t="s">
        <v>32</v>
      </c>
      <c r="F2678" s="5" t="s">
        <v>7705</v>
      </c>
      <c r="G2678" s="6" t="s">
        <v>14</v>
      </c>
      <c r="H2678" s="4">
        <v>9</v>
      </c>
      <c r="I2678" s="5" t="s">
        <v>22</v>
      </c>
      <c r="J2678" s="5" t="s">
        <v>7722</v>
      </c>
      <c r="K2678" s="5" t="s">
        <v>7688</v>
      </c>
      <c r="L2678" s="5" t="s">
        <v>7723</v>
      </c>
      <c r="M2678" s="5" t="s">
        <v>301</v>
      </c>
      <c r="N2678" s="5" t="s">
        <v>296</v>
      </c>
      <c r="O2678" s="5" t="s">
        <v>7689</v>
      </c>
      <c r="P2678" s="5"/>
      <c r="Q2678" s="5" t="s">
        <v>7724</v>
      </c>
    </row>
    <row r="2679" spans="2:17" x14ac:dyDescent="0.2">
      <c r="B2679" s="5" t="s">
        <v>7678</v>
      </c>
      <c r="C2679" s="6" t="s">
        <v>13590</v>
      </c>
      <c r="D2679" s="4">
        <v>19</v>
      </c>
      <c r="E2679" s="5" t="s">
        <v>32</v>
      </c>
      <c r="F2679" s="5" t="s">
        <v>7705</v>
      </c>
      <c r="G2679" s="6" t="s">
        <v>14</v>
      </c>
      <c r="H2679" s="4">
        <v>10</v>
      </c>
      <c r="I2679" s="5" t="s">
        <v>22</v>
      </c>
      <c r="J2679" s="5" t="s">
        <v>7725</v>
      </c>
      <c r="K2679" s="5" t="s">
        <v>7726</v>
      </c>
      <c r="L2679" s="5"/>
      <c r="M2679" s="5" t="s">
        <v>301</v>
      </c>
      <c r="N2679" s="5" t="s">
        <v>296</v>
      </c>
      <c r="O2679" s="5" t="s">
        <v>7690</v>
      </c>
      <c r="P2679" s="5"/>
      <c r="Q2679" s="5" t="s">
        <v>7727</v>
      </c>
    </row>
    <row r="2680" spans="2:17" x14ac:dyDescent="0.2">
      <c r="B2680" s="5" t="s">
        <v>7678</v>
      </c>
      <c r="C2680" s="6" t="s">
        <v>13590</v>
      </c>
      <c r="D2680" s="4">
        <v>20</v>
      </c>
      <c r="E2680" s="5" t="s">
        <v>32</v>
      </c>
      <c r="F2680" s="5" t="s">
        <v>7705</v>
      </c>
      <c r="G2680" s="6" t="s">
        <v>14</v>
      </c>
      <c r="H2680" s="4">
        <v>11</v>
      </c>
      <c r="I2680" s="5" t="s">
        <v>22</v>
      </c>
      <c r="J2680" s="5" t="s">
        <v>7728</v>
      </c>
      <c r="K2680" s="5"/>
      <c r="L2680" s="5" t="s">
        <v>7729</v>
      </c>
      <c r="M2680" s="5" t="s">
        <v>301</v>
      </c>
      <c r="N2680" s="5" t="s">
        <v>296</v>
      </c>
      <c r="O2680" s="5" t="s">
        <v>7690</v>
      </c>
      <c r="P2680" s="5"/>
      <c r="Q2680" s="5" t="s">
        <v>7730</v>
      </c>
    </row>
    <row r="2681" spans="2:17" x14ac:dyDescent="0.2">
      <c r="B2681" s="5" t="s">
        <v>7678</v>
      </c>
      <c r="C2681" s="6" t="s">
        <v>13590</v>
      </c>
      <c r="D2681" s="4">
        <v>21</v>
      </c>
      <c r="E2681" s="5" t="s">
        <v>32</v>
      </c>
      <c r="F2681" s="5" t="s">
        <v>7705</v>
      </c>
      <c r="G2681" s="6" t="s">
        <v>14</v>
      </c>
      <c r="H2681" s="4">
        <v>12</v>
      </c>
      <c r="I2681" s="5" t="s">
        <v>22</v>
      </c>
      <c r="J2681" s="5" t="s">
        <v>7731</v>
      </c>
      <c r="K2681" s="5" t="s">
        <v>7682</v>
      </c>
      <c r="L2681" s="5"/>
      <c r="M2681" s="5" t="s">
        <v>301</v>
      </c>
      <c r="N2681" s="5" t="s">
        <v>296</v>
      </c>
      <c r="O2681" s="5" t="s">
        <v>7681</v>
      </c>
      <c r="P2681" s="5"/>
      <c r="Q2681" s="5" t="s">
        <v>7732</v>
      </c>
    </row>
    <row r="2682" spans="2:17" x14ac:dyDescent="0.2">
      <c r="B2682" s="5" t="s">
        <v>7678</v>
      </c>
      <c r="C2682" s="6" t="s">
        <v>13590</v>
      </c>
      <c r="D2682" s="4">
        <v>22</v>
      </c>
      <c r="E2682" s="5" t="s">
        <v>32</v>
      </c>
      <c r="F2682" s="5" t="s">
        <v>7705</v>
      </c>
      <c r="G2682" s="6" t="s">
        <v>14</v>
      </c>
      <c r="H2682" s="4">
        <v>13</v>
      </c>
      <c r="I2682" s="5" t="s">
        <v>22</v>
      </c>
      <c r="J2682" s="5" t="s">
        <v>7733</v>
      </c>
      <c r="K2682" s="5"/>
      <c r="L2682" s="5" t="s">
        <v>7687</v>
      </c>
      <c r="M2682" s="5" t="s">
        <v>301</v>
      </c>
      <c r="N2682" s="5" t="s">
        <v>296</v>
      </c>
      <c r="O2682" s="5" t="s">
        <v>7681</v>
      </c>
      <c r="P2682" s="5"/>
      <c r="Q2682" s="5" t="s">
        <v>7734</v>
      </c>
    </row>
    <row r="2683" spans="2:17" x14ac:dyDescent="0.2">
      <c r="B2683" s="5" t="s">
        <v>7678</v>
      </c>
      <c r="C2683" s="6" t="s">
        <v>13590</v>
      </c>
      <c r="D2683" s="4">
        <v>23</v>
      </c>
      <c r="E2683" s="5" t="s">
        <v>32</v>
      </c>
      <c r="F2683" s="5" t="s">
        <v>7705</v>
      </c>
      <c r="G2683" s="6" t="s">
        <v>14</v>
      </c>
      <c r="H2683" s="4">
        <v>14</v>
      </c>
      <c r="I2683" s="5" t="s">
        <v>22</v>
      </c>
      <c r="J2683" s="5" t="s">
        <v>7735</v>
      </c>
      <c r="K2683" s="5" t="s">
        <v>7736</v>
      </c>
      <c r="L2683" s="5"/>
      <c r="M2683" s="5" t="s">
        <v>301</v>
      </c>
      <c r="N2683" s="5" t="s">
        <v>296</v>
      </c>
      <c r="O2683" s="5" t="s">
        <v>7681</v>
      </c>
      <c r="P2683" s="5"/>
      <c r="Q2683" s="5" t="s">
        <v>7737</v>
      </c>
    </row>
    <row r="2684" spans="2:17" x14ac:dyDescent="0.2">
      <c r="B2684" s="5" t="s">
        <v>7678</v>
      </c>
      <c r="C2684" s="6" t="s">
        <v>13590</v>
      </c>
      <c r="D2684" s="4">
        <v>24</v>
      </c>
      <c r="E2684" s="5" t="s">
        <v>32</v>
      </c>
      <c r="F2684" s="5" t="s">
        <v>7705</v>
      </c>
      <c r="G2684" s="6" t="s">
        <v>14</v>
      </c>
      <c r="H2684" s="4">
        <v>15</v>
      </c>
      <c r="I2684" s="5" t="s">
        <v>22</v>
      </c>
      <c r="J2684" s="5" t="s">
        <v>7738</v>
      </c>
      <c r="K2684" s="5"/>
      <c r="L2684" s="5" t="s">
        <v>7739</v>
      </c>
      <c r="M2684" s="5" t="s">
        <v>301</v>
      </c>
      <c r="N2684" s="5" t="s">
        <v>296</v>
      </c>
      <c r="O2684" s="5" t="s">
        <v>7691</v>
      </c>
      <c r="P2684" s="5"/>
      <c r="Q2684" s="5" t="s">
        <v>7740</v>
      </c>
    </row>
    <row r="2685" spans="2:17" x14ac:dyDescent="0.2">
      <c r="B2685" s="5" t="s">
        <v>7678</v>
      </c>
      <c r="C2685" s="6" t="s">
        <v>13590</v>
      </c>
      <c r="D2685" s="4">
        <v>25</v>
      </c>
      <c r="E2685" s="5" t="s">
        <v>32</v>
      </c>
      <c r="F2685" s="5" t="s">
        <v>7705</v>
      </c>
      <c r="G2685" s="6" t="s">
        <v>14</v>
      </c>
      <c r="H2685" s="4">
        <v>16</v>
      </c>
      <c r="I2685" s="5" t="s">
        <v>22</v>
      </c>
      <c r="J2685" s="5" t="s">
        <v>7741</v>
      </c>
      <c r="K2685" s="5" t="s">
        <v>7683</v>
      </c>
      <c r="L2685" s="5"/>
      <c r="M2685" s="5" t="s">
        <v>301</v>
      </c>
      <c r="N2685" s="5" t="s">
        <v>296</v>
      </c>
      <c r="O2685" s="5" t="s">
        <v>7684</v>
      </c>
      <c r="P2685" s="5"/>
      <c r="Q2685" s="5" t="s">
        <v>7742</v>
      </c>
    </row>
    <row r="2686" spans="2:17" x14ac:dyDescent="0.2">
      <c r="B2686" s="5" t="s">
        <v>7678</v>
      </c>
      <c r="C2686" s="6" t="s">
        <v>13590</v>
      </c>
      <c r="D2686" s="4">
        <v>26</v>
      </c>
      <c r="E2686" s="5" t="s">
        <v>32</v>
      </c>
      <c r="F2686" s="5" t="s">
        <v>7705</v>
      </c>
      <c r="G2686" s="6" t="s">
        <v>14</v>
      </c>
      <c r="H2686" s="4">
        <v>17</v>
      </c>
      <c r="I2686" s="5" t="s">
        <v>22</v>
      </c>
      <c r="J2686" s="5" t="s">
        <v>7743</v>
      </c>
      <c r="K2686" s="5" t="s">
        <v>7693</v>
      </c>
      <c r="L2686" s="5"/>
      <c r="M2686" s="5" t="s">
        <v>301</v>
      </c>
      <c r="N2686" s="5" t="s">
        <v>296</v>
      </c>
      <c r="O2686" s="5" t="s">
        <v>7692</v>
      </c>
      <c r="P2686" s="5"/>
      <c r="Q2686" s="5" t="s">
        <v>7744</v>
      </c>
    </row>
    <row r="2687" spans="2:17" x14ac:dyDescent="0.2">
      <c r="B2687" s="5" t="s">
        <v>7678</v>
      </c>
      <c r="C2687" s="6" t="s">
        <v>13590</v>
      </c>
      <c r="D2687" s="4">
        <v>27</v>
      </c>
      <c r="E2687" s="5" t="s">
        <v>32</v>
      </c>
      <c r="F2687" s="5" t="s">
        <v>7705</v>
      </c>
      <c r="G2687" s="6" t="s">
        <v>14</v>
      </c>
      <c r="H2687" s="4">
        <v>18</v>
      </c>
      <c r="I2687" s="5" t="s">
        <v>22</v>
      </c>
      <c r="J2687" s="5" t="s">
        <v>7745</v>
      </c>
      <c r="K2687" s="5" t="s">
        <v>7746</v>
      </c>
      <c r="L2687" s="5"/>
      <c r="M2687" s="5" t="s">
        <v>301</v>
      </c>
      <c r="N2687" s="5" t="s">
        <v>296</v>
      </c>
      <c r="O2687" s="5" t="s">
        <v>7692</v>
      </c>
      <c r="P2687" s="5"/>
      <c r="Q2687" s="5" t="s">
        <v>7747</v>
      </c>
    </row>
    <row r="2688" spans="2:17" x14ac:dyDescent="0.2">
      <c r="B2688" s="5" t="s">
        <v>7678</v>
      </c>
      <c r="C2688" s="6" t="s">
        <v>13590</v>
      </c>
      <c r="D2688" s="4">
        <v>28</v>
      </c>
      <c r="E2688" s="5" t="s">
        <v>32</v>
      </c>
      <c r="F2688" s="5" t="s">
        <v>7705</v>
      </c>
      <c r="G2688" s="6" t="s">
        <v>14</v>
      </c>
      <c r="H2688" s="4">
        <v>19</v>
      </c>
      <c r="I2688" s="5" t="s">
        <v>22</v>
      </c>
      <c r="J2688" s="5" t="s">
        <v>7706</v>
      </c>
      <c r="K2688" s="5" t="s">
        <v>7685</v>
      </c>
      <c r="L2688" s="5" t="s">
        <v>7703</v>
      </c>
      <c r="M2688" s="5" t="s">
        <v>301</v>
      </c>
      <c r="N2688" s="5" t="s">
        <v>296</v>
      </c>
      <c r="O2688" s="5" t="s">
        <v>7686</v>
      </c>
      <c r="P2688" s="5"/>
      <c r="Q2688" s="5" t="s">
        <v>7707</v>
      </c>
    </row>
    <row r="2689" spans="2:17" x14ac:dyDescent="0.2">
      <c r="B2689" s="5" t="s">
        <v>7678</v>
      </c>
      <c r="C2689" s="6" t="s">
        <v>13590</v>
      </c>
      <c r="D2689" s="4">
        <v>29</v>
      </c>
      <c r="E2689" s="5" t="s">
        <v>32</v>
      </c>
      <c r="F2689" s="5" t="s">
        <v>7708</v>
      </c>
      <c r="G2689" s="6" t="s">
        <v>14</v>
      </c>
      <c r="H2689" s="4">
        <v>20</v>
      </c>
      <c r="I2689" s="5" t="s">
        <v>22</v>
      </c>
      <c r="J2689" s="5" t="s">
        <v>7709</v>
      </c>
      <c r="K2689" s="5" t="s">
        <v>7694</v>
      </c>
      <c r="L2689" s="5"/>
      <c r="M2689" s="5" t="s">
        <v>301</v>
      </c>
      <c r="N2689" s="5" t="s">
        <v>296</v>
      </c>
      <c r="O2689" s="5" t="s">
        <v>7679</v>
      </c>
      <c r="P2689" s="5"/>
      <c r="Q2689" s="5" t="s">
        <v>7710</v>
      </c>
    </row>
    <row r="2690" spans="2:17" x14ac:dyDescent="0.2">
      <c r="B2690" s="5" t="s">
        <v>7678</v>
      </c>
      <c r="C2690" s="6" t="s">
        <v>13590</v>
      </c>
      <c r="D2690" s="4">
        <v>30</v>
      </c>
      <c r="E2690" s="5" t="s">
        <v>32</v>
      </c>
      <c r="F2690" s="5" t="s">
        <v>7705</v>
      </c>
      <c r="G2690" s="6" t="s">
        <v>14</v>
      </c>
      <c r="H2690" s="4">
        <v>21</v>
      </c>
      <c r="I2690" s="5" t="s">
        <v>22</v>
      </c>
      <c r="J2690" s="5" t="s">
        <v>7711</v>
      </c>
      <c r="K2690" s="5" t="s">
        <v>7694</v>
      </c>
      <c r="L2690" s="5"/>
      <c r="M2690" s="5" t="s">
        <v>301</v>
      </c>
      <c r="N2690" s="5" t="s">
        <v>296</v>
      </c>
      <c r="O2690" s="5" t="s">
        <v>7679</v>
      </c>
      <c r="P2690" s="5"/>
      <c r="Q2690" s="5" t="s">
        <v>7712</v>
      </c>
    </row>
    <row r="2691" spans="2:17" x14ac:dyDescent="0.2">
      <c r="B2691" s="5" t="s">
        <v>7678</v>
      </c>
      <c r="C2691" s="6" t="s">
        <v>13590</v>
      </c>
      <c r="D2691" s="4">
        <v>33</v>
      </c>
      <c r="E2691" s="5" t="s">
        <v>20</v>
      </c>
      <c r="F2691" s="5" t="s">
        <v>7695</v>
      </c>
      <c r="G2691" s="6" t="s">
        <v>14</v>
      </c>
      <c r="H2691" s="4">
        <v>22</v>
      </c>
      <c r="I2691" s="5" t="s">
        <v>22</v>
      </c>
      <c r="J2691" s="5" t="s">
        <v>7696</v>
      </c>
      <c r="K2691" s="5" t="s">
        <v>7680</v>
      </c>
      <c r="L2691" s="5"/>
      <c r="M2691" s="5" t="s">
        <v>1251</v>
      </c>
      <c r="N2691" s="5" t="s">
        <v>2863</v>
      </c>
      <c r="O2691" s="5" t="s">
        <v>7681</v>
      </c>
      <c r="P2691" s="5"/>
      <c r="Q2691" s="5" t="s">
        <v>7697</v>
      </c>
    </row>
    <row r="2692" spans="2:17" x14ac:dyDescent="0.2">
      <c r="B2692" s="5" t="s">
        <v>7678</v>
      </c>
      <c r="C2692" s="6" t="s">
        <v>13590</v>
      </c>
      <c r="D2692" s="4">
        <v>34</v>
      </c>
      <c r="E2692" s="5" t="s">
        <v>32</v>
      </c>
      <c r="F2692" s="5" t="s">
        <v>7809</v>
      </c>
      <c r="G2692" s="6" t="s">
        <v>14</v>
      </c>
      <c r="H2692" s="4">
        <v>23</v>
      </c>
      <c r="I2692" s="5" t="s">
        <v>22</v>
      </c>
      <c r="J2692" s="5" t="s">
        <v>7810</v>
      </c>
      <c r="K2692" s="5" t="s">
        <v>7811</v>
      </c>
      <c r="L2692" s="5" t="s">
        <v>7812</v>
      </c>
      <c r="M2692" s="5" t="s">
        <v>3784</v>
      </c>
      <c r="N2692" s="5" t="s">
        <v>3541</v>
      </c>
      <c r="O2692" s="5" t="s">
        <v>7761</v>
      </c>
      <c r="P2692" s="5" t="s">
        <v>7813</v>
      </c>
      <c r="Q2692" s="5" t="s">
        <v>7814</v>
      </c>
    </row>
    <row r="2693" spans="2:17" x14ac:dyDescent="0.2">
      <c r="B2693" s="5" t="s">
        <v>7678</v>
      </c>
      <c r="C2693" s="6" t="s">
        <v>13590</v>
      </c>
      <c r="D2693" s="4">
        <v>35</v>
      </c>
      <c r="E2693" s="5" t="s">
        <v>24</v>
      </c>
      <c r="F2693" s="5" t="s">
        <v>7764</v>
      </c>
      <c r="G2693" s="6" t="s">
        <v>14</v>
      </c>
      <c r="H2693" s="4">
        <v>24</v>
      </c>
      <c r="I2693" s="5"/>
      <c r="J2693" s="5" t="s">
        <v>7765</v>
      </c>
      <c r="K2693" s="5" t="s">
        <v>7688</v>
      </c>
      <c r="L2693" s="5"/>
      <c r="M2693" s="5" t="s">
        <v>3134</v>
      </c>
      <c r="N2693" s="5" t="s">
        <v>3134</v>
      </c>
      <c r="O2693" s="5" t="s">
        <v>7761</v>
      </c>
      <c r="P2693" s="5" t="s">
        <v>7766</v>
      </c>
      <c r="Q2693" s="5" t="s">
        <v>7767</v>
      </c>
    </row>
    <row r="2694" spans="2:17" x14ac:dyDescent="0.2">
      <c r="B2694" s="5" t="s">
        <v>7678</v>
      </c>
      <c r="C2694" s="6" t="s">
        <v>13590</v>
      </c>
      <c r="D2694" s="4">
        <v>36</v>
      </c>
      <c r="E2694" s="5" t="s">
        <v>15</v>
      </c>
      <c r="F2694" s="5" t="s">
        <v>7804</v>
      </c>
      <c r="G2694" s="6" t="s">
        <v>14</v>
      </c>
      <c r="H2694" s="4">
        <v>25</v>
      </c>
      <c r="I2694" s="5"/>
      <c r="J2694" s="5" t="s">
        <v>7805</v>
      </c>
      <c r="K2694" s="5" t="s">
        <v>7688</v>
      </c>
      <c r="L2694" s="5" t="s">
        <v>7806</v>
      </c>
      <c r="M2694" s="5" t="s">
        <v>533</v>
      </c>
      <c r="N2694" s="5" t="s">
        <v>2278</v>
      </c>
      <c r="O2694" s="5" t="s">
        <v>7761</v>
      </c>
      <c r="P2694" s="5" t="s">
        <v>7807</v>
      </c>
      <c r="Q2694" s="5" t="s">
        <v>7808</v>
      </c>
    </row>
    <row r="2695" spans="2:17" x14ac:dyDescent="0.2">
      <c r="B2695" s="5" t="s">
        <v>7678</v>
      </c>
      <c r="C2695" s="6" t="s">
        <v>13590</v>
      </c>
      <c r="D2695" s="4">
        <v>37</v>
      </c>
      <c r="E2695" s="5" t="s">
        <v>15</v>
      </c>
      <c r="F2695" s="5" t="s">
        <v>7758</v>
      </c>
      <c r="G2695" s="6" t="s">
        <v>14</v>
      </c>
      <c r="H2695" s="4">
        <v>26</v>
      </c>
      <c r="I2695" s="5"/>
      <c r="J2695" s="5" t="s">
        <v>7759</v>
      </c>
      <c r="K2695" s="5" t="s">
        <v>7688</v>
      </c>
      <c r="L2695" s="5" t="s">
        <v>7760</v>
      </c>
      <c r="M2695" s="5" t="s">
        <v>4498</v>
      </c>
      <c r="N2695" s="5" t="s">
        <v>4498</v>
      </c>
      <c r="O2695" s="5" t="s">
        <v>7761</v>
      </c>
      <c r="P2695" s="5" t="s">
        <v>7762</v>
      </c>
      <c r="Q2695" s="5" t="s">
        <v>7763</v>
      </c>
    </row>
    <row r="2696" spans="2:17" x14ac:dyDescent="0.2">
      <c r="B2696" s="5" t="s">
        <v>7816</v>
      </c>
      <c r="C2696" s="6" t="s">
        <v>13590</v>
      </c>
      <c r="D2696" s="4">
        <v>39</v>
      </c>
      <c r="E2696" s="5" t="s">
        <v>15</v>
      </c>
      <c r="F2696" s="5" t="s">
        <v>8139</v>
      </c>
      <c r="G2696" s="6" t="s">
        <v>14</v>
      </c>
      <c r="H2696" s="4">
        <v>27</v>
      </c>
      <c r="I2696" s="5"/>
      <c r="J2696" s="5" t="s">
        <v>8140</v>
      </c>
      <c r="K2696" s="5" t="s">
        <v>7835</v>
      </c>
      <c r="L2696" s="5"/>
      <c r="M2696" s="5" t="s">
        <v>3487</v>
      </c>
      <c r="N2696" s="5" t="s">
        <v>3487</v>
      </c>
      <c r="O2696" s="5" t="s">
        <v>7822</v>
      </c>
      <c r="P2696" s="5"/>
      <c r="Q2696" s="5" t="s">
        <v>8141</v>
      </c>
    </row>
    <row r="2697" spans="2:17" x14ac:dyDescent="0.2">
      <c r="B2697" s="5" t="s">
        <v>7816</v>
      </c>
      <c r="C2697" s="6" t="s">
        <v>13590</v>
      </c>
      <c r="D2697" s="4">
        <v>40</v>
      </c>
      <c r="E2697" s="5" t="s">
        <v>15</v>
      </c>
      <c r="F2697" s="5" t="s">
        <v>8133</v>
      </c>
      <c r="G2697" s="6" t="s">
        <v>14</v>
      </c>
      <c r="H2697" s="4">
        <v>28</v>
      </c>
      <c r="I2697" s="5"/>
      <c r="J2697" s="5" t="s">
        <v>8133</v>
      </c>
      <c r="K2697" s="5" t="s">
        <v>7821</v>
      </c>
      <c r="L2697" s="5"/>
      <c r="M2697" s="5" t="s">
        <v>1681</v>
      </c>
      <c r="N2697" s="5" t="s">
        <v>1681</v>
      </c>
      <c r="O2697" s="5" t="s">
        <v>7822</v>
      </c>
      <c r="P2697" s="5"/>
      <c r="Q2697" s="5" t="s">
        <v>8134</v>
      </c>
    </row>
    <row r="2698" spans="2:17" x14ac:dyDescent="0.2">
      <c r="B2698" s="5" t="s">
        <v>7816</v>
      </c>
      <c r="C2698" s="6" t="s">
        <v>13590</v>
      </c>
      <c r="D2698" s="4">
        <v>42</v>
      </c>
      <c r="E2698" s="5" t="s">
        <v>32</v>
      </c>
      <c r="F2698" s="5" t="s">
        <v>3353</v>
      </c>
      <c r="G2698" s="6" t="s">
        <v>14</v>
      </c>
      <c r="H2698" s="4">
        <v>29</v>
      </c>
      <c r="I2698" s="5" t="s">
        <v>22</v>
      </c>
      <c r="J2698" s="5" t="s">
        <v>8085</v>
      </c>
      <c r="K2698" s="5" t="s">
        <v>7909</v>
      </c>
      <c r="L2698" s="5" t="s">
        <v>8069</v>
      </c>
      <c r="M2698" s="5" t="s">
        <v>3362</v>
      </c>
      <c r="N2698" s="5" t="s">
        <v>3355</v>
      </c>
      <c r="O2698" s="5" t="s">
        <v>7819</v>
      </c>
      <c r="P2698" s="5"/>
      <c r="Q2698" s="5" t="s">
        <v>8086</v>
      </c>
    </row>
    <row r="2699" spans="2:17" x14ac:dyDescent="0.2">
      <c r="B2699" s="5" t="s">
        <v>7816</v>
      </c>
      <c r="C2699" s="6" t="s">
        <v>13590</v>
      </c>
      <c r="D2699" s="4">
        <v>43</v>
      </c>
      <c r="E2699" s="5" t="s">
        <v>32</v>
      </c>
      <c r="F2699" s="5" t="s">
        <v>3353</v>
      </c>
      <c r="G2699" s="6" t="s">
        <v>14</v>
      </c>
      <c r="H2699" s="4">
        <v>30</v>
      </c>
      <c r="I2699" s="5" t="s">
        <v>22</v>
      </c>
      <c r="J2699" s="5" t="s">
        <v>8087</v>
      </c>
      <c r="K2699" s="5"/>
      <c r="L2699" s="5" t="s">
        <v>8088</v>
      </c>
      <c r="M2699" s="5" t="s">
        <v>3362</v>
      </c>
      <c r="N2699" s="5" t="s">
        <v>3355</v>
      </c>
      <c r="O2699" s="5" t="s">
        <v>7819</v>
      </c>
      <c r="P2699" s="5"/>
      <c r="Q2699" s="5" t="s">
        <v>8089</v>
      </c>
    </row>
    <row r="2700" spans="2:17" x14ac:dyDescent="0.2">
      <c r="B2700" s="5" t="s">
        <v>7816</v>
      </c>
      <c r="C2700" s="6" t="s">
        <v>13590</v>
      </c>
      <c r="D2700" s="4">
        <v>44</v>
      </c>
      <c r="E2700" s="5" t="s">
        <v>32</v>
      </c>
      <c r="F2700" s="5" t="s">
        <v>3353</v>
      </c>
      <c r="G2700" s="6" t="s">
        <v>14</v>
      </c>
      <c r="H2700" s="4">
        <v>31</v>
      </c>
      <c r="I2700" s="5" t="s">
        <v>22</v>
      </c>
      <c r="J2700" s="5" t="s">
        <v>8161</v>
      </c>
      <c r="K2700" s="5" t="s">
        <v>7828</v>
      </c>
      <c r="L2700" s="5"/>
      <c r="M2700" s="5" t="s">
        <v>535</v>
      </c>
      <c r="N2700" s="5" t="s">
        <v>3355</v>
      </c>
      <c r="O2700" s="5" t="s">
        <v>7819</v>
      </c>
      <c r="P2700" s="5"/>
      <c r="Q2700" s="5" t="s">
        <v>8162</v>
      </c>
    </row>
    <row r="2701" spans="2:17" x14ac:dyDescent="0.2">
      <c r="B2701" s="5" t="s">
        <v>7816</v>
      </c>
      <c r="C2701" s="6" t="s">
        <v>13590</v>
      </c>
      <c r="D2701" s="4">
        <v>45</v>
      </c>
      <c r="E2701" s="5" t="s">
        <v>32</v>
      </c>
      <c r="F2701" s="5" t="s">
        <v>3353</v>
      </c>
      <c r="G2701" s="6" t="s">
        <v>14</v>
      </c>
      <c r="H2701" s="4">
        <v>32</v>
      </c>
      <c r="I2701" s="5" t="s">
        <v>22</v>
      </c>
      <c r="J2701" s="5" t="s">
        <v>8083</v>
      </c>
      <c r="K2701" s="5" t="s">
        <v>7828</v>
      </c>
      <c r="L2701" s="5"/>
      <c r="M2701" s="5" t="s">
        <v>3362</v>
      </c>
      <c r="N2701" s="5" t="s">
        <v>3355</v>
      </c>
      <c r="O2701" s="5" t="s">
        <v>7819</v>
      </c>
      <c r="P2701" s="5"/>
      <c r="Q2701" s="5" t="s">
        <v>8084</v>
      </c>
    </row>
    <row r="2702" spans="2:17" x14ac:dyDescent="0.2">
      <c r="B2702" s="5" t="s">
        <v>7816</v>
      </c>
      <c r="C2702" s="6" t="s">
        <v>13590</v>
      </c>
      <c r="D2702" s="4">
        <v>47</v>
      </c>
      <c r="E2702" s="5" t="s">
        <v>15</v>
      </c>
      <c r="F2702" s="5" t="s">
        <v>8074</v>
      </c>
      <c r="G2702" s="6" t="s">
        <v>14</v>
      </c>
      <c r="H2702" s="4">
        <v>33</v>
      </c>
      <c r="I2702" s="5"/>
      <c r="J2702" s="5" t="s">
        <v>8075</v>
      </c>
      <c r="K2702" s="5" t="s">
        <v>7825</v>
      </c>
      <c r="L2702" s="5" t="s">
        <v>8076</v>
      </c>
      <c r="M2702" s="5" t="s">
        <v>938</v>
      </c>
      <c r="N2702" s="5" t="s">
        <v>938</v>
      </c>
      <c r="O2702" s="5" t="s">
        <v>7826</v>
      </c>
      <c r="P2702" s="5" t="s">
        <v>8077</v>
      </c>
      <c r="Q2702" s="5" t="s">
        <v>8078</v>
      </c>
    </row>
    <row r="2703" spans="2:17" x14ac:dyDescent="0.2">
      <c r="B2703" s="5" t="s">
        <v>7816</v>
      </c>
      <c r="C2703" s="6" t="s">
        <v>13590</v>
      </c>
      <c r="D2703" s="4">
        <v>48</v>
      </c>
      <c r="E2703" s="5" t="s">
        <v>20</v>
      </c>
      <c r="F2703" s="5" t="s">
        <v>8060</v>
      </c>
      <c r="G2703" s="6" t="s">
        <v>14</v>
      </c>
      <c r="H2703" s="4">
        <v>34</v>
      </c>
      <c r="I2703" s="5" t="s">
        <v>22</v>
      </c>
      <c r="J2703" s="5" t="s">
        <v>8061</v>
      </c>
      <c r="K2703" s="5" t="s">
        <v>7828</v>
      </c>
      <c r="L2703" s="5"/>
      <c r="M2703" s="5" t="s">
        <v>163</v>
      </c>
      <c r="N2703" s="5" t="s">
        <v>157</v>
      </c>
      <c r="O2703" s="5" t="s">
        <v>7819</v>
      </c>
      <c r="P2703" s="5"/>
      <c r="Q2703" s="5" t="s">
        <v>8062</v>
      </c>
    </row>
    <row r="2704" spans="2:17" x14ac:dyDescent="0.2">
      <c r="B2704" s="5" t="s">
        <v>7816</v>
      </c>
      <c r="C2704" s="6" t="s">
        <v>13590</v>
      </c>
      <c r="D2704" s="4">
        <v>49</v>
      </c>
      <c r="E2704" s="5" t="s">
        <v>20</v>
      </c>
      <c r="F2704" s="5" t="s">
        <v>8060</v>
      </c>
      <c r="G2704" s="6" t="s">
        <v>14</v>
      </c>
      <c r="H2704" s="4">
        <v>35</v>
      </c>
      <c r="I2704" s="5" t="s">
        <v>22</v>
      </c>
      <c r="J2704" s="5" t="s">
        <v>8067</v>
      </c>
      <c r="K2704" s="5" t="s">
        <v>8068</v>
      </c>
      <c r="L2704" s="5" t="s">
        <v>8069</v>
      </c>
      <c r="M2704" s="5" t="s">
        <v>163</v>
      </c>
      <c r="N2704" s="5" t="s">
        <v>157</v>
      </c>
      <c r="O2704" s="5" t="s">
        <v>7819</v>
      </c>
      <c r="P2704" s="5"/>
      <c r="Q2704" s="5" t="s">
        <v>8070</v>
      </c>
    </row>
    <row r="2705" spans="2:17" x14ac:dyDescent="0.2">
      <c r="B2705" s="5" t="s">
        <v>7816</v>
      </c>
      <c r="C2705" s="6" t="s">
        <v>13590</v>
      </c>
      <c r="D2705" s="4">
        <v>51</v>
      </c>
      <c r="E2705" s="5" t="s">
        <v>32</v>
      </c>
      <c r="F2705" s="5" t="s">
        <v>8071</v>
      </c>
      <c r="G2705" s="6" t="s">
        <v>14</v>
      </c>
      <c r="H2705" s="4">
        <v>36</v>
      </c>
      <c r="I2705" s="5" t="s">
        <v>22</v>
      </c>
      <c r="J2705" s="5" t="s">
        <v>8072</v>
      </c>
      <c r="K2705" s="5" t="s">
        <v>7827</v>
      </c>
      <c r="L2705" s="5"/>
      <c r="M2705" s="5" t="s">
        <v>163</v>
      </c>
      <c r="N2705" s="5" t="s">
        <v>157</v>
      </c>
      <c r="O2705" s="5" t="s">
        <v>7824</v>
      </c>
      <c r="P2705" s="5"/>
      <c r="Q2705" s="5" t="s">
        <v>8073</v>
      </c>
    </row>
    <row r="2706" spans="2:17" x14ac:dyDescent="0.2">
      <c r="B2706" s="5" t="s">
        <v>7816</v>
      </c>
      <c r="C2706" s="6" t="s">
        <v>13590</v>
      </c>
      <c r="D2706" s="4">
        <v>53</v>
      </c>
      <c r="E2706" s="5" t="s">
        <v>20</v>
      </c>
      <c r="F2706" s="5" t="s">
        <v>8054</v>
      </c>
      <c r="G2706" s="6" t="s">
        <v>14</v>
      </c>
      <c r="H2706" s="4">
        <v>37</v>
      </c>
      <c r="I2706" s="5" t="s">
        <v>22</v>
      </c>
      <c r="J2706" s="5" t="s">
        <v>8055</v>
      </c>
      <c r="K2706" s="5" t="s">
        <v>7828</v>
      </c>
      <c r="L2706" s="5"/>
      <c r="M2706" s="5" t="s">
        <v>147</v>
      </c>
      <c r="N2706" s="5" t="s">
        <v>4507</v>
      </c>
      <c r="O2706" s="5" t="s">
        <v>7819</v>
      </c>
      <c r="P2706" s="5"/>
      <c r="Q2706" s="5" t="s">
        <v>8056</v>
      </c>
    </row>
    <row r="2707" spans="2:17" x14ac:dyDescent="0.2">
      <c r="B2707" s="5" t="s">
        <v>7816</v>
      </c>
      <c r="C2707" s="6" t="s">
        <v>13590</v>
      </c>
      <c r="D2707" s="4">
        <v>54</v>
      </c>
      <c r="E2707" s="5" t="s">
        <v>24</v>
      </c>
      <c r="F2707" s="5" t="s">
        <v>8051</v>
      </c>
      <c r="G2707" s="6" t="s">
        <v>14</v>
      </c>
      <c r="H2707" s="4">
        <v>38</v>
      </c>
      <c r="I2707" s="5"/>
      <c r="J2707" s="5" t="s">
        <v>8052</v>
      </c>
      <c r="K2707" s="5" t="s">
        <v>7821</v>
      </c>
      <c r="L2707" s="5"/>
      <c r="M2707" s="5" t="s">
        <v>428</v>
      </c>
      <c r="N2707" s="5" t="s">
        <v>428</v>
      </c>
      <c r="O2707" s="5" t="s">
        <v>7822</v>
      </c>
      <c r="P2707" s="5"/>
      <c r="Q2707" s="5" t="s">
        <v>8053</v>
      </c>
    </row>
    <row r="2708" spans="2:17" x14ac:dyDescent="0.2">
      <c r="B2708" s="5" t="s">
        <v>7816</v>
      </c>
      <c r="C2708" s="6" t="s">
        <v>13590</v>
      </c>
      <c r="D2708" s="4">
        <v>58</v>
      </c>
      <c r="E2708" s="5" t="s">
        <v>13</v>
      </c>
      <c r="F2708" s="5" t="s">
        <v>8003</v>
      </c>
      <c r="G2708" s="6" t="s">
        <v>14</v>
      </c>
      <c r="H2708" s="4">
        <v>39</v>
      </c>
      <c r="I2708" s="5"/>
      <c r="J2708" s="5" t="s">
        <v>8004</v>
      </c>
      <c r="K2708" s="5" t="s">
        <v>7835</v>
      </c>
      <c r="L2708" s="5"/>
      <c r="M2708" s="5" t="s">
        <v>1464</v>
      </c>
      <c r="N2708" s="5" t="s">
        <v>1464</v>
      </c>
      <c r="O2708" s="5" t="s">
        <v>7822</v>
      </c>
      <c r="P2708" s="5"/>
      <c r="Q2708" s="5" t="s">
        <v>8005</v>
      </c>
    </row>
    <row r="2709" spans="2:17" x14ac:dyDescent="0.2">
      <c r="B2709" s="5" t="s">
        <v>7816</v>
      </c>
      <c r="C2709" s="6" t="s">
        <v>13590</v>
      </c>
      <c r="D2709" s="4">
        <v>59</v>
      </c>
      <c r="E2709" s="5" t="s">
        <v>13</v>
      </c>
      <c r="F2709" s="5" t="s">
        <v>8000</v>
      </c>
      <c r="G2709" s="6" t="s">
        <v>14</v>
      </c>
      <c r="H2709" s="4">
        <v>40</v>
      </c>
      <c r="I2709" s="5"/>
      <c r="J2709" s="5" t="s">
        <v>8001</v>
      </c>
      <c r="K2709" s="5" t="s">
        <v>7817</v>
      </c>
      <c r="L2709" s="5"/>
      <c r="M2709" s="5" t="s">
        <v>2089</v>
      </c>
      <c r="N2709" s="5" t="s">
        <v>3053</v>
      </c>
      <c r="O2709" s="5" t="s">
        <v>7818</v>
      </c>
      <c r="P2709" s="5"/>
      <c r="Q2709" s="5" t="s">
        <v>8002</v>
      </c>
    </row>
    <row r="2710" spans="2:17" x14ac:dyDescent="0.2">
      <c r="B2710" s="5" t="s">
        <v>7816</v>
      </c>
      <c r="C2710" s="6" t="s">
        <v>13590</v>
      </c>
      <c r="D2710" s="4">
        <v>62</v>
      </c>
      <c r="E2710" s="5" t="s">
        <v>32</v>
      </c>
      <c r="F2710" s="5" t="s">
        <v>7990</v>
      </c>
      <c r="G2710" s="6" t="s">
        <v>14</v>
      </c>
      <c r="H2710" s="4">
        <v>41</v>
      </c>
      <c r="I2710" s="5" t="s">
        <v>22</v>
      </c>
      <c r="J2710" s="5" t="s">
        <v>7991</v>
      </c>
      <c r="K2710" s="5" t="s">
        <v>7835</v>
      </c>
      <c r="L2710" s="5"/>
      <c r="M2710" s="5" t="s">
        <v>2376</v>
      </c>
      <c r="N2710" s="5" t="s">
        <v>2376</v>
      </c>
      <c r="O2710" s="5" t="s">
        <v>7822</v>
      </c>
      <c r="P2710" s="5"/>
      <c r="Q2710" s="5" t="s">
        <v>7992</v>
      </c>
    </row>
    <row r="2711" spans="2:17" x14ac:dyDescent="0.2">
      <c r="B2711" s="5" t="s">
        <v>7816</v>
      </c>
      <c r="C2711" s="6" t="s">
        <v>13590</v>
      </c>
      <c r="D2711" s="4">
        <v>63</v>
      </c>
      <c r="E2711" s="5" t="s">
        <v>32</v>
      </c>
      <c r="F2711" s="5" t="s">
        <v>7983</v>
      </c>
      <c r="G2711" s="6" t="s">
        <v>14</v>
      </c>
      <c r="H2711" s="4">
        <v>42</v>
      </c>
      <c r="I2711" s="5" t="s">
        <v>22</v>
      </c>
      <c r="J2711" s="5" t="s">
        <v>7984</v>
      </c>
      <c r="K2711" s="5" t="s">
        <v>7828</v>
      </c>
      <c r="L2711" s="5" t="s">
        <v>7985</v>
      </c>
      <c r="M2711" s="5" t="s">
        <v>112</v>
      </c>
      <c r="N2711" s="5" t="s">
        <v>106</v>
      </c>
      <c r="O2711" s="5" t="s">
        <v>7819</v>
      </c>
      <c r="P2711" s="5"/>
      <c r="Q2711" s="5" t="s">
        <v>7986</v>
      </c>
    </row>
    <row r="2712" spans="2:17" x14ac:dyDescent="0.2">
      <c r="B2712" s="5" t="s">
        <v>7816</v>
      </c>
      <c r="C2712" s="6" t="s">
        <v>13590</v>
      </c>
      <c r="D2712" s="4">
        <v>64</v>
      </c>
      <c r="E2712" s="5" t="s">
        <v>32</v>
      </c>
      <c r="F2712" s="5" t="s">
        <v>7987</v>
      </c>
      <c r="G2712" s="6" t="s">
        <v>14</v>
      </c>
      <c r="H2712" s="4">
        <v>43</v>
      </c>
      <c r="I2712" s="5" t="s">
        <v>22</v>
      </c>
      <c r="J2712" s="5" t="s">
        <v>7988</v>
      </c>
      <c r="K2712" s="5" t="s">
        <v>7825</v>
      </c>
      <c r="L2712" s="5"/>
      <c r="M2712" s="5" t="s">
        <v>112</v>
      </c>
      <c r="N2712" s="5" t="s">
        <v>337</v>
      </c>
      <c r="O2712" s="5" t="s">
        <v>7958</v>
      </c>
      <c r="P2712" s="5"/>
      <c r="Q2712" s="5" t="s">
        <v>7989</v>
      </c>
    </row>
    <row r="2713" spans="2:17" x14ac:dyDescent="0.2">
      <c r="B2713" s="5" t="s">
        <v>7816</v>
      </c>
      <c r="C2713" s="6" t="s">
        <v>13590</v>
      </c>
      <c r="D2713" s="4">
        <v>65</v>
      </c>
      <c r="E2713" s="5" t="s">
        <v>32</v>
      </c>
      <c r="F2713" s="5" t="s">
        <v>7975</v>
      </c>
      <c r="G2713" s="6" t="s">
        <v>14</v>
      </c>
      <c r="H2713" s="4">
        <v>44</v>
      </c>
      <c r="I2713" s="5" t="s">
        <v>22</v>
      </c>
      <c r="J2713" s="5" t="s">
        <v>7976</v>
      </c>
      <c r="K2713" s="5" t="s">
        <v>7828</v>
      </c>
      <c r="L2713" s="5" t="s">
        <v>7977</v>
      </c>
      <c r="M2713" s="5" t="s">
        <v>1416</v>
      </c>
      <c r="N2713" s="5" t="s">
        <v>1416</v>
      </c>
      <c r="O2713" s="5" t="s">
        <v>7819</v>
      </c>
      <c r="P2713" s="5"/>
      <c r="Q2713" s="5" t="s">
        <v>7978</v>
      </c>
    </row>
    <row r="2714" spans="2:17" x14ac:dyDescent="0.2">
      <c r="B2714" s="5" t="s">
        <v>7816</v>
      </c>
      <c r="C2714" s="6" t="s">
        <v>13590</v>
      </c>
      <c r="D2714" s="4">
        <v>67</v>
      </c>
      <c r="E2714" s="5" t="s">
        <v>13</v>
      </c>
      <c r="F2714" s="5" t="s">
        <v>7973</v>
      </c>
      <c r="G2714" s="6" t="s">
        <v>14</v>
      </c>
      <c r="H2714" s="4">
        <v>45</v>
      </c>
      <c r="I2714" s="5"/>
      <c r="J2714" s="5" t="s">
        <v>7974</v>
      </c>
      <c r="K2714" s="5" t="s">
        <v>7836</v>
      </c>
      <c r="L2714" s="5"/>
      <c r="M2714" s="5" t="s">
        <v>1384</v>
      </c>
      <c r="N2714" s="5" t="s">
        <v>1384</v>
      </c>
      <c r="O2714" s="5" t="s">
        <v>7837</v>
      </c>
      <c r="P2714" s="5"/>
      <c r="Q2714" s="5" t="s">
        <v>6903</v>
      </c>
    </row>
    <row r="2715" spans="2:17" x14ac:dyDescent="0.2">
      <c r="B2715" s="5" t="s">
        <v>7816</v>
      </c>
      <c r="C2715" s="6" t="s">
        <v>13590</v>
      </c>
      <c r="D2715" s="4">
        <v>68</v>
      </c>
      <c r="E2715" s="5" t="s">
        <v>32</v>
      </c>
      <c r="F2715" s="5" t="s">
        <v>7708</v>
      </c>
      <c r="G2715" s="6" t="s">
        <v>14</v>
      </c>
      <c r="H2715" s="4">
        <v>46</v>
      </c>
      <c r="I2715" s="5" t="s">
        <v>22</v>
      </c>
      <c r="J2715" s="5" t="s">
        <v>7952</v>
      </c>
      <c r="K2715" s="5" t="s">
        <v>7953</v>
      </c>
      <c r="L2715" s="5"/>
      <c r="M2715" s="5" t="s">
        <v>295</v>
      </c>
      <c r="N2715" s="5" t="s">
        <v>295</v>
      </c>
      <c r="O2715" s="5" t="s">
        <v>7833</v>
      </c>
      <c r="P2715" s="5"/>
      <c r="Q2715" s="5" t="s">
        <v>7954</v>
      </c>
    </row>
    <row r="2716" spans="2:17" x14ac:dyDescent="0.2">
      <c r="B2716" s="5" t="s">
        <v>7816</v>
      </c>
      <c r="C2716" s="6" t="s">
        <v>13590</v>
      </c>
      <c r="D2716" s="4">
        <v>69</v>
      </c>
      <c r="E2716" s="5" t="s">
        <v>32</v>
      </c>
      <c r="F2716" s="5" t="s">
        <v>7955</v>
      </c>
      <c r="G2716" s="6" t="s">
        <v>14</v>
      </c>
      <c r="H2716" s="4">
        <v>47</v>
      </c>
      <c r="I2716" s="5" t="s">
        <v>22</v>
      </c>
      <c r="J2716" s="5" t="s">
        <v>7956</v>
      </c>
      <c r="K2716" s="5"/>
      <c r="L2716" s="5" t="s">
        <v>7957</v>
      </c>
      <c r="M2716" s="5" t="s">
        <v>301</v>
      </c>
      <c r="N2716" s="5" t="s">
        <v>296</v>
      </c>
      <c r="O2716" s="5" t="s">
        <v>7958</v>
      </c>
      <c r="P2716" s="5"/>
      <c r="Q2716" s="5" t="s">
        <v>7959</v>
      </c>
    </row>
    <row r="2717" spans="2:17" x14ac:dyDescent="0.2">
      <c r="B2717" s="5" t="s">
        <v>7816</v>
      </c>
      <c r="C2717" s="6" t="s">
        <v>13590</v>
      </c>
      <c r="D2717" s="4">
        <v>70</v>
      </c>
      <c r="E2717" s="5" t="s">
        <v>24</v>
      </c>
      <c r="F2717" s="5" t="s">
        <v>7938</v>
      </c>
      <c r="G2717" s="6" t="s">
        <v>14</v>
      </c>
      <c r="H2717" s="4">
        <v>48</v>
      </c>
      <c r="I2717" s="5"/>
      <c r="J2717" s="5" t="s">
        <v>7939</v>
      </c>
      <c r="K2717" s="5" t="s">
        <v>7827</v>
      </c>
      <c r="L2717" s="5"/>
      <c r="M2717" s="5" t="s">
        <v>296</v>
      </c>
      <c r="N2717" s="5" t="s">
        <v>296</v>
      </c>
      <c r="O2717" s="5" t="s">
        <v>7824</v>
      </c>
      <c r="P2717" s="5"/>
      <c r="Q2717" s="5" t="s">
        <v>7940</v>
      </c>
    </row>
    <row r="2718" spans="2:17" x14ac:dyDescent="0.2">
      <c r="B2718" s="5" t="s">
        <v>7816</v>
      </c>
      <c r="C2718" s="6" t="s">
        <v>13590</v>
      </c>
      <c r="D2718" s="4">
        <v>71</v>
      </c>
      <c r="E2718" s="5" t="s">
        <v>32</v>
      </c>
      <c r="F2718" s="5" t="s">
        <v>7960</v>
      </c>
      <c r="G2718" s="6" t="s">
        <v>14</v>
      </c>
      <c r="H2718" s="4">
        <v>49</v>
      </c>
      <c r="I2718" s="5" t="s">
        <v>22</v>
      </c>
      <c r="J2718" s="5" t="s">
        <v>7961</v>
      </c>
      <c r="K2718" s="5" t="s">
        <v>7868</v>
      </c>
      <c r="L2718" s="5"/>
      <c r="M2718" s="5" t="s">
        <v>301</v>
      </c>
      <c r="N2718" s="5" t="s">
        <v>296</v>
      </c>
      <c r="O2718" s="5" t="s">
        <v>7818</v>
      </c>
      <c r="P2718" s="5"/>
      <c r="Q2718" s="5" t="s">
        <v>7962</v>
      </c>
    </row>
    <row r="2719" spans="2:17" x14ac:dyDescent="0.2">
      <c r="B2719" s="5" t="s">
        <v>7816</v>
      </c>
      <c r="C2719" s="6" t="s">
        <v>13590</v>
      </c>
      <c r="D2719" s="4">
        <v>72</v>
      </c>
      <c r="E2719" s="5" t="s">
        <v>32</v>
      </c>
      <c r="F2719" s="5" t="s">
        <v>7960</v>
      </c>
      <c r="G2719" s="6" t="s">
        <v>14</v>
      </c>
      <c r="H2719" s="4">
        <v>50</v>
      </c>
      <c r="I2719" s="5" t="s">
        <v>22</v>
      </c>
      <c r="J2719" s="5" t="s">
        <v>7963</v>
      </c>
      <c r="K2719" s="5" t="s">
        <v>7817</v>
      </c>
      <c r="L2719" s="5" t="s">
        <v>7831</v>
      </c>
      <c r="M2719" s="5" t="s">
        <v>301</v>
      </c>
      <c r="N2719" s="5" t="s">
        <v>296</v>
      </c>
      <c r="O2719" s="5" t="s">
        <v>7818</v>
      </c>
      <c r="P2719" s="5"/>
      <c r="Q2719" s="5" t="s">
        <v>7964</v>
      </c>
    </row>
    <row r="2720" spans="2:17" x14ac:dyDescent="0.2">
      <c r="B2720" s="5" t="s">
        <v>7816</v>
      </c>
      <c r="C2720" s="6" t="s">
        <v>13590</v>
      </c>
      <c r="D2720" s="4">
        <v>73</v>
      </c>
      <c r="E2720" s="5" t="s">
        <v>32</v>
      </c>
      <c r="F2720" s="5" t="s">
        <v>7960</v>
      </c>
      <c r="G2720" s="6" t="s">
        <v>14</v>
      </c>
      <c r="H2720" s="4">
        <v>51</v>
      </c>
      <c r="I2720" s="5" t="s">
        <v>22</v>
      </c>
      <c r="J2720" s="5" t="s">
        <v>7965</v>
      </c>
      <c r="K2720" s="5" t="s">
        <v>7817</v>
      </c>
      <c r="L2720" s="5"/>
      <c r="M2720" s="5" t="s">
        <v>301</v>
      </c>
      <c r="N2720" s="5" t="s">
        <v>296</v>
      </c>
      <c r="O2720" s="5" t="s">
        <v>7818</v>
      </c>
      <c r="P2720" s="5"/>
      <c r="Q2720" s="5" t="s">
        <v>7966</v>
      </c>
    </row>
    <row r="2721" spans="2:17" x14ac:dyDescent="0.2">
      <c r="B2721" s="5" t="s">
        <v>7816</v>
      </c>
      <c r="C2721" s="6" t="s">
        <v>13590</v>
      </c>
      <c r="D2721" s="4">
        <v>74</v>
      </c>
      <c r="E2721" s="5" t="s">
        <v>32</v>
      </c>
      <c r="F2721" s="5" t="s">
        <v>7955</v>
      </c>
      <c r="G2721" s="6" t="s">
        <v>14</v>
      </c>
      <c r="H2721" s="4">
        <v>52</v>
      </c>
      <c r="I2721" s="5" t="s">
        <v>22</v>
      </c>
      <c r="J2721" s="5" t="s">
        <v>7967</v>
      </c>
      <c r="K2721" s="5" t="s">
        <v>7825</v>
      </c>
      <c r="L2721" s="5"/>
      <c r="M2721" s="5" t="s">
        <v>301</v>
      </c>
      <c r="N2721" s="5" t="s">
        <v>296</v>
      </c>
      <c r="O2721" s="5" t="s">
        <v>7826</v>
      </c>
      <c r="P2721" s="5"/>
      <c r="Q2721" s="5" t="s">
        <v>7968</v>
      </c>
    </row>
    <row r="2722" spans="2:17" x14ac:dyDescent="0.2">
      <c r="B2722" s="5" t="s">
        <v>7816</v>
      </c>
      <c r="C2722" s="6" t="s">
        <v>13590</v>
      </c>
      <c r="D2722" s="4">
        <v>76</v>
      </c>
      <c r="E2722" s="5" t="s">
        <v>32</v>
      </c>
      <c r="F2722" s="5" t="s">
        <v>7969</v>
      </c>
      <c r="G2722" s="6" t="s">
        <v>14</v>
      </c>
      <c r="H2722" s="4">
        <v>53</v>
      </c>
      <c r="I2722" s="5" t="s">
        <v>22</v>
      </c>
      <c r="J2722" s="5" t="s">
        <v>7970</v>
      </c>
      <c r="K2722" s="5" t="s">
        <v>7825</v>
      </c>
      <c r="L2722" s="5" t="s">
        <v>7971</v>
      </c>
      <c r="M2722" s="5" t="s">
        <v>301</v>
      </c>
      <c r="N2722" s="5" t="s">
        <v>296</v>
      </c>
      <c r="O2722" s="5" t="s">
        <v>7826</v>
      </c>
      <c r="P2722" s="5"/>
      <c r="Q2722" s="5" t="s">
        <v>7972</v>
      </c>
    </row>
    <row r="2723" spans="2:17" x14ac:dyDescent="0.2">
      <c r="B2723" s="5" t="s">
        <v>7816</v>
      </c>
      <c r="C2723" s="6" t="s">
        <v>13590</v>
      </c>
      <c r="D2723" s="4">
        <v>77</v>
      </c>
      <c r="E2723" s="5" t="s">
        <v>24</v>
      </c>
      <c r="F2723" s="5" t="s">
        <v>7941</v>
      </c>
      <c r="G2723" s="6" t="s">
        <v>14</v>
      </c>
      <c r="H2723" s="4">
        <v>54</v>
      </c>
      <c r="I2723" s="5" t="s">
        <v>22</v>
      </c>
      <c r="J2723" s="5" t="s">
        <v>7942</v>
      </c>
      <c r="K2723" s="5" t="s">
        <v>7825</v>
      </c>
      <c r="L2723" s="5" t="s">
        <v>7943</v>
      </c>
      <c r="M2723" s="5" t="s">
        <v>296</v>
      </c>
      <c r="N2723" s="5" t="s">
        <v>302</v>
      </c>
      <c r="O2723" s="5" t="s">
        <v>7826</v>
      </c>
      <c r="P2723" s="5"/>
      <c r="Q2723" s="5" t="s">
        <v>7944</v>
      </c>
    </row>
    <row r="2724" spans="2:17" x14ac:dyDescent="0.2">
      <c r="B2724" s="5" t="s">
        <v>7816</v>
      </c>
      <c r="C2724" s="6" t="s">
        <v>13590</v>
      </c>
      <c r="D2724" s="4">
        <v>78</v>
      </c>
      <c r="E2724" s="5" t="s">
        <v>20</v>
      </c>
      <c r="F2724" s="5" t="s">
        <v>7907</v>
      </c>
      <c r="G2724" s="6" t="s">
        <v>14</v>
      </c>
      <c r="H2724" s="4">
        <v>55</v>
      </c>
      <c r="I2724" s="5" t="s">
        <v>22</v>
      </c>
      <c r="J2724" s="5" t="s">
        <v>7920</v>
      </c>
      <c r="K2724" s="5" t="s">
        <v>7921</v>
      </c>
      <c r="L2724" s="5" t="s">
        <v>7922</v>
      </c>
      <c r="M2724" s="5" t="s">
        <v>1750</v>
      </c>
      <c r="N2724" s="5" t="s">
        <v>1750</v>
      </c>
      <c r="O2724" s="5" t="s">
        <v>7822</v>
      </c>
      <c r="P2724" s="5"/>
      <c r="Q2724" s="5" t="s">
        <v>7923</v>
      </c>
    </row>
    <row r="2725" spans="2:17" x14ac:dyDescent="0.2">
      <c r="B2725" s="5" t="s">
        <v>7816</v>
      </c>
      <c r="C2725" s="6" t="s">
        <v>13590</v>
      </c>
      <c r="D2725" s="4">
        <v>79</v>
      </c>
      <c r="E2725" s="5" t="s">
        <v>20</v>
      </c>
      <c r="F2725" s="5" t="s">
        <v>7907</v>
      </c>
      <c r="G2725" s="6" t="s">
        <v>14</v>
      </c>
      <c r="H2725" s="4">
        <v>56</v>
      </c>
      <c r="I2725" s="5" t="s">
        <v>22</v>
      </c>
      <c r="J2725" s="5" t="s">
        <v>7916</v>
      </c>
      <c r="K2725" s="5" t="s">
        <v>7917</v>
      </c>
      <c r="L2725" s="5" t="s">
        <v>7918</v>
      </c>
      <c r="M2725" s="5" t="s">
        <v>1750</v>
      </c>
      <c r="N2725" s="5" t="s">
        <v>1750</v>
      </c>
      <c r="O2725" s="5" t="s">
        <v>7822</v>
      </c>
      <c r="P2725" s="5"/>
      <c r="Q2725" s="5" t="s">
        <v>7919</v>
      </c>
    </row>
    <row r="2726" spans="2:17" x14ac:dyDescent="0.2">
      <c r="B2726" s="5" t="s">
        <v>7816</v>
      </c>
      <c r="C2726" s="6" t="s">
        <v>13590</v>
      </c>
      <c r="D2726" s="4">
        <v>80</v>
      </c>
      <c r="E2726" s="5" t="s">
        <v>20</v>
      </c>
      <c r="F2726" s="5" t="s">
        <v>7907</v>
      </c>
      <c r="G2726" s="6" t="s">
        <v>14</v>
      </c>
      <c r="H2726" s="4">
        <v>57</v>
      </c>
      <c r="I2726" s="5" t="s">
        <v>22</v>
      </c>
      <c r="J2726" s="5" t="s">
        <v>7924</v>
      </c>
      <c r="K2726" s="5" t="s">
        <v>7838</v>
      </c>
      <c r="L2726" s="5"/>
      <c r="M2726" s="5" t="s">
        <v>1750</v>
      </c>
      <c r="N2726" s="5" t="s">
        <v>1750</v>
      </c>
      <c r="O2726" s="5" t="s">
        <v>7822</v>
      </c>
      <c r="P2726" s="5"/>
      <c r="Q2726" s="5" t="s">
        <v>7925</v>
      </c>
    </row>
    <row r="2727" spans="2:17" x14ac:dyDescent="0.2">
      <c r="B2727" s="5" t="s">
        <v>7816</v>
      </c>
      <c r="C2727" s="6" t="s">
        <v>13590</v>
      </c>
      <c r="D2727" s="4">
        <v>81</v>
      </c>
      <c r="E2727" s="5" t="s">
        <v>20</v>
      </c>
      <c r="F2727" s="5" t="s">
        <v>7907</v>
      </c>
      <c r="G2727" s="6" t="s">
        <v>14</v>
      </c>
      <c r="H2727" s="4">
        <v>58</v>
      </c>
      <c r="I2727" s="5" t="s">
        <v>22</v>
      </c>
      <c r="J2727" s="5" t="s">
        <v>7926</v>
      </c>
      <c r="K2727" s="5" t="s">
        <v>7838</v>
      </c>
      <c r="L2727" s="5"/>
      <c r="M2727" s="5" t="s">
        <v>1750</v>
      </c>
      <c r="N2727" s="5" t="s">
        <v>1750</v>
      </c>
      <c r="O2727" s="5" t="s">
        <v>7822</v>
      </c>
      <c r="P2727" s="5"/>
      <c r="Q2727" s="5" t="s">
        <v>7927</v>
      </c>
    </row>
    <row r="2728" spans="2:17" x14ac:dyDescent="0.2">
      <c r="B2728" s="5" t="s">
        <v>7816</v>
      </c>
      <c r="C2728" s="6" t="s">
        <v>13590</v>
      </c>
      <c r="D2728" s="4">
        <v>82</v>
      </c>
      <c r="E2728" s="5" t="s">
        <v>20</v>
      </c>
      <c r="F2728" s="5" t="s">
        <v>7891</v>
      </c>
      <c r="G2728" s="6" t="s">
        <v>14</v>
      </c>
      <c r="H2728" s="4">
        <v>59</v>
      </c>
      <c r="I2728" s="5" t="s">
        <v>22</v>
      </c>
      <c r="J2728" s="5" t="s">
        <v>7899</v>
      </c>
      <c r="K2728" s="5" t="s">
        <v>7821</v>
      </c>
      <c r="L2728" s="5"/>
      <c r="M2728" s="5" t="s">
        <v>1928</v>
      </c>
      <c r="N2728" s="5" t="s">
        <v>1928</v>
      </c>
      <c r="O2728" s="5" t="s">
        <v>7822</v>
      </c>
      <c r="P2728" s="5"/>
      <c r="Q2728" s="5" t="s">
        <v>7900</v>
      </c>
    </row>
    <row r="2729" spans="2:17" x14ac:dyDescent="0.2">
      <c r="B2729" s="5" t="s">
        <v>7816</v>
      </c>
      <c r="C2729" s="6" t="s">
        <v>13590</v>
      </c>
      <c r="D2729" s="4">
        <v>83</v>
      </c>
      <c r="E2729" s="5" t="s">
        <v>32</v>
      </c>
      <c r="F2729" s="5" t="s">
        <v>7928</v>
      </c>
      <c r="G2729" s="6" t="s">
        <v>14</v>
      </c>
      <c r="H2729" s="4">
        <v>60</v>
      </c>
      <c r="I2729" s="5" t="s">
        <v>22</v>
      </c>
      <c r="J2729" s="5" t="s">
        <v>7929</v>
      </c>
      <c r="K2729" s="5"/>
      <c r="L2729" s="5" t="s">
        <v>7930</v>
      </c>
      <c r="M2729" s="5" t="s">
        <v>1750</v>
      </c>
      <c r="N2729" s="5" t="s">
        <v>1751</v>
      </c>
      <c r="O2729" s="5" t="s">
        <v>7826</v>
      </c>
      <c r="P2729" s="5"/>
      <c r="Q2729" s="5" t="s">
        <v>7931</v>
      </c>
    </row>
    <row r="2730" spans="2:17" x14ac:dyDescent="0.2">
      <c r="B2730" s="5" t="s">
        <v>7816</v>
      </c>
      <c r="C2730" s="6" t="s">
        <v>13590</v>
      </c>
      <c r="D2730" s="4">
        <v>84</v>
      </c>
      <c r="E2730" s="5" t="s">
        <v>32</v>
      </c>
      <c r="F2730" s="5" t="s">
        <v>7896</v>
      </c>
      <c r="G2730" s="6" t="s">
        <v>14</v>
      </c>
      <c r="H2730" s="4">
        <v>61</v>
      </c>
      <c r="I2730" s="5" t="s">
        <v>22</v>
      </c>
      <c r="J2730" s="5" t="s">
        <v>7897</v>
      </c>
      <c r="K2730" s="5" t="s">
        <v>7834</v>
      </c>
      <c r="L2730" s="5"/>
      <c r="M2730" s="5" t="s">
        <v>1751</v>
      </c>
      <c r="N2730" s="5" t="s">
        <v>1751</v>
      </c>
      <c r="O2730" s="5" t="s">
        <v>7833</v>
      </c>
      <c r="P2730" s="5"/>
      <c r="Q2730" s="5" t="s">
        <v>7898</v>
      </c>
    </row>
    <row r="2731" spans="2:17" x14ac:dyDescent="0.2">
      <c r="B2731" s="5" t="s">
        <v>7816</v>
      </c>
      <c r="C2731" s="6" t="s">
        <v>13590</v>
      </c>
      <c r="D2731" s="4">
        <v>85</v>
      </c>
      <c r="E2731" s="5" t="s">
        <v>32</v>
      </c>
      <c r="F2731" s="5" t="s">
        <v>7928</v>
      </c>
      <c r="G2731" s="6" t="s">
        <v>14</v>
      </c>
      <c r="H2731" s="4">
        <v>62</v>
      </c>
      <c r="I2731" s="5" t="s">
        <v>22</v>
      </c>
      <c r="J2731" s="5" t="s">
        <v>7932</v>
      </c>
      <c r="K2731" s="5" t="s">
        <v>7825</v>
      </c>
      <c r="L2731" s="5" t="s">
        <v>7933</v>
      </c>
      <c r="M2731" s="5" t="s">
        <v>1750</v>
      </c>
      <c r="N2731" s="5" t="s">
        <v>1751</v>
      </c>
      <c r="O2731" s="5" t="s">
        <v>7826</v>
      </c>
      <c r="P2731" s="5"/>
      <c r="Q2731" s="5" t="s">
        <v>7934</v>
      </c>
    </row>
    <row r="2732" spans="2:17" x14ac:dyDescent="0.2">
      <c r="B2732" s="5" t="s">
        <v>7816</v>
      </c>
      <c r="C2732" s="6" t="s">
        <v>13590</v>
      </c>
      <c r="D2732" s="4">
        <v>86</v>
      </c>
      <c r="E2732" s="5" t="s">
        <v>20</v>
      </c>
      <c r="F2732" s="5" t="s">
        <v>7907</v>
      </c>
      <c r="G2732" s="6" t="s">
        <v>14</v>
      </c>
      <c r="H2732" s="4">
        <v>63</v>
      </c>
      <c r="I2732" s="5" t="s">
        <v>22</v>
      </c>
      <c r="J2732" s="5" t="s">
        <v>7908</v>
      </c>
      <c r="K2732" s="5" t="s">
        <v>7909</v>
      </c>
      <c r="L2732" s="5"/>
      <c r="M2732" s="5" t="s">
        <v>1750</v>
      </c>
      <c r="N2732" s="5" t="s">
        <v>1751</v>
      </c>
      <c r="O2732" s="5" t="s">
        <v>7819</v>
      </c>
      <c r="P2732" s="5"/>
      <c r="Q2732" s="5" t="s">
        <v>7910</v>
      </c>
    </row>
    <row r="2733" spans="2:17" x14ac:dyDescent="0.2">
      <c r="B2733" s="5" t="s">
        <v>7816</v>
      </c>
      <c r="C2733" s="6" t="s">
        <v>13590</v>
      </c>
      <c r="D2733" s="4">
        <v>87</v>
      </c>
      <c r="E2733" s="5" t="s">
        <v>20</v>
      </c>
      <c r="F2733" s="5" t="s">
        <v>7907</v>
      </c>
      <c r="G2733" s="6" t="s">
        <v>14</v>
      </c>
      <c r="H2733" s="4">
        <v>64</v>
      </c>
      <c r="I2733" s="5" t="s">
        <v>22</v>
      </c>
      <c r="J2733" s="5" t="s">
        <v>7911</v>
      </c>
      <c r="K2733" s="5" t="s">
        <v>7909</v>
      </c>
      <c r="L2733" s="5"/>
      <c r="M2733" s="5" t="s">
        <v>1750</v>
      </c>
      <c r="N2733" s="5" t="s">
        <v>1751</v>
      </c>
      <c r="O2733" s="5" t="s">
        <v>7819</v>
      </c>
      <c r="P2733" s="5"/>
      <c r="Q2733" s="5" t="s">
        <v>7912</v>
      </c>
    </row>
    <row r="2734" spans="2:17" x14ac:dyDescent="0.2">
      <c r="B2734" s="5" t="s">
        <v>7816</v>
      </c>
      <c r="C2734" s="6" t="s">
        <v>13590</v>
      </c>
      <c r="D2734" s="4">
        <v>88</v>
      </c>
      <c r="E2734" s="5" t="s">
        <v>20</v>
      </c>
      <c r="F2734" s="5" t="s">
        <v>7907</v>
      </c>
      <c r="G2734" s="6" t="s">
        <v>14</v>
      </c>
      <c r="H2734" s="4">
        <v>65</v>
      </c>
      <c r="I2734" s="5" t="s">
        <v>22</v>
      </c>
      <c r="J2734" s="5" t="s">
        <v>7913</v>
      </c>
      <c r="K2734" s="5" t="s">
        <v>7829</v>
      </c>
      <c r="L2734" s="5" t="s">
        <v>7914</v>
      </c>
      <c r="M2734" s="5" t="s">
        <v>1750</v>
      </c>
      <c r="N2734" s="5" t="s">
        <v>1751</v>
      </c>
      <c r="O2734" s="5" t="s">
        <v>7819</v>
      </c>
      <c r="P2734" s="5"/>
      <c r="Q2734" s="5" t="s">
        <v>7915</v>
      </c>
    </row>
    <row r="2735" spans="2:17" x14ac:dyDescent="0.2">
      <c r="B2735" s="5" t="s">
        <v>7816</v>
      </c>
      <c r="C2735" s="6" t="s">
        <v>13590</v>
      </c>
      <c r="D2735" s="4">
        <v>89</v>
      </c>
      <c r="E2735" s="5" t="s">
        <v>20</v>
      </c>
      <c r="F2735" s="5" t="s">
        <v>7891</v>
      </c>
      <c r="G2735" s="6" t="s">
        <v>14</v>
      </c>
      <c r="H2735" s="4">
        <v>66</v>
      </c>
      <c r="I2735" s="5" t="s">
        <v>22</v>
      </c>
      <c r="J2735" s="5" t="s">
        <v>7892</v>
      </c>
      <c r="K2735" s="5" t="s">
        <v>7835</v>
      </c>
      <c r="L2735" s="5"/>
      <c r="M2735" s="5" t="s">
        <v>1751</v>
      </c>
      <c r="N2735" s="5" t="s">
        <v>1751</v>
      </c>
      <c r="O2735" s="5" t="s">
        <v>7822</v>
      </c>
      <c r="P2735" s="5"/>
      <c r="Q2735" s="5" t="s">
        <v>7893</v>
      </c>
    </row>
    <row r="2736" spans="2:17" x14ac:dyDescent="0.2">
      <c r="B2736" s="5" t="s">
        <v>7816</v>
      </c>
      <c r="C2736" s="6" t="s">
        <v>13590</v>
      </c>
      <c r="D2736" s="4">
        <v>90</v>
      </c>
      <c r="E2736" s="5" t="s">
        <v>32</v>
      </c>
      <c r="F2736" s="5" t="s">
        <v>7935</v>
      </c>
      <c r="G2736" s="6" t="s">
        <v>14</v>
      </c>
      <c r="H2736" s="4">
        <v>67</v>
      </c>
      <c r="I2736" s="5" t="s">
        <v>22</v>
      </c>
      <c r="J2736" s="5" t="s">
        <v>7936</v>
      </c>
      <c r="K2736" s="5" t="s">
        <v>7825</v>
      </c>
      <c r="L2736" s="5"/>
      <c r="M2736" s="5" t="s">
        <v>1750</v>
      </c>
      <c r="N2736" s="5" t="s">
        <v>1751</v>
      </c>
      <c r="O2736" s="5" t="s">
        <v>7826</v>
      </c>
      <c r="P2736" s="5"/>
      <c r="Q2736" s="5" t="s">
        <v>7937</v>
      </c>
    </row>
    <row r="2737" spans="2:17" x14ac:dyDescent="0.2">
      <c r="B2737" s="5" t="s">
        <v>7816</v>
      </c>
      <c r="C2737" s="6" t="s">
        <v>13590</v>
      </c>
      <c r="D2737" s="4">
        <v>91</v>
      </c>
      <c r="E2737" s="5" t="s">
        <v>20</v>
      </c>
      <c r="F2737" s="5" t="s">
        <v>7901</v>
      </c>
      <c r="G2737" s="6" t="s">
        <v>14</v>
      </c>
      <c r="H2737" s="4">
        <v>68</v>
      </c>
      <c r="I2737" s="5" t="s">
        <v>22</v>
      </c>
      <c r="J2737" s="5" t="s">
        <v>7902</v>
      </c>
      <c r="K2737" s="5" t="s">
        <v>7903</v>
      </c>
      <c r="L2737" s="5"/>
      <c r="M2737" s="5" t="s">
        <v>1750</v>
      </c>
      <c r="N2737" s="5" t="s">
        <v>1751</v>
      </c>
      <c r="O2737" s="5" t="s">
        <v>7818</v>
      </c>
      <c r="P2737" s="5"/>
      <c r="Q2737" s="5" t="s">
        <v>7904</v>
      </c>
    </row>
    <row r="2738" spans="2:17" x14ac:dyDescent="0.2">
      <c r="B2738" s="5" t="s">
        <v>7816</v>
      </c>
      <c r="C2738" s="6" t="s">
        <v>13590</v>
      </c>
      <c r="D2738" s="4">
        <v>92</v>
      </c>
      <c r="E2738" s="5" t="s">
        <v>20</v>
      </c>
      <c r="F2738" s="5" t="s">
        <v>7901</v>
      </c>
      <c r="G2738" s="6" t="s">
        <v>14</v>
      </c>
      <c r="H2738" s="4">
        <v>69</v>
      </c>
      <c r="I2738" s="5" t="s">
        <v>22</v>
      </c>
      <c r="J2738" s="5" t="s">
        <v>7905</v>
      </c>
      <c r="K2738" s="5" t="s">
        <v>7817</v>
      </c>
      <c r="L2738" s="5" t="s">
        <v>7830</v>
      </c>
      <c r="M2738" s="5" t="s">
        <v>1750</v>
      </c>
      <c r="N2738" s="5" t="s">
        <v>1751</v>
      </c>
      <c r="O2738" s="5" t="s">
        <v>7818</v>
      </c>
      <c r="P2738" s="5"/>
      <c r="Q2738" s="5" t="s">
        <v>7906</v>
      </c>
    </row>
    <row r="2739" spans="2:17" x14ac:dyDescent="0.2">
      <c r="B2739" s="5" t="s">
        <v>7816</v>
      </c>
      <c r="C2739" s="6" t="s">
        <v>13590</v>
      </c>
      <c r="D2739" s="4">
        <v>94</v>
      </c>
      <c r="E2739" s="5" t="s">
        <v>20</v>
      </c>
      <c r="F2739" s="5" t="s">
        <v>7894</v>
      </c>
      <c r="G2739" s="6" t="s">
        <v>14</v>
      </c>
      <c r="H2739" s="4">
        <v>70</v>
      </c>
      <c r="I2739" s="5" t="s">
        <v>22</v>
      </c>
      <c r="J2739" s="5" t="s">
        <v>272</v>
      </c>
      <c r="K2739" s="5" t="s">
        <v>7825</v>
      </c>
      <c r="L2739" s="5"/>
      <c r="M2739" s="5" t="s">
        <v>1751</v>
      </c>
      <c r="N2739" s="5" t="s">
        <v>4765</v>
      </c>
      <c r="O2739" s="5" t="s">
        <v>7826</v>
      </c>
      <c r="P2739" s="5"/>
      <c r="Q2739" s="5" t="s">
        <v>7895</v>
      </c>
    </row>
    <row r="2740" spans="2:17" x14ac:dyDescent="0.2">
      <c r="B2740" s="5" t="s">
        <v>7816</v>
      </c>
      <c r="C2740" s="6" t="s">
        <v>13590</v>
      </c>
      <c r="D2740" s="4">
        <v>95</v>
      </c>
      <c r="E2740" s="5" t="s">
        <v>32</v>
      </c>
      <c r="F2740" s="5" t="s">
        <v>7881</v>
      </c>
      <c r="G2740" s="6" t="s">
        <v>14</v>
      </c>
      <c r="H2740" s="4">
        <v>71</v>
      </c>
      <c r="I2740" s="5" t="s">
        <v>22</v>
      </c>
      <c r="J2740" s="5" t="s">
        <v>7882</v>
      </c>
      <c r="K2740" s="5" t="s">
        <v>7834</v>
      </c>
      <c r="L2740" s="5" t="s">
        <v>7883</v>
      </c>
      <c r="M2740" s="5" t="s">
        <v>291</v>
      </c>
      <c r="N2740" s="5" t="s">
        <v>291</v>
      </c>
      <c r="O2740" s="5" t="s">
        <v>7833</v>
      </c>
      <c r="P2740" s="5"/>
      <c r="Q2740" s="5" t="s">
        <v>7884</v>
      </c>
    </row>
    <row r="2741" spans="2:17" x14ac:dyDescent="0.2">
      <c r="B2741" s="5" t="s">
        <v>7816</v>
      </c>
      <c r="C2741" s="6" t="s">
        <v>13590</v>
      </c>
      <c r="D2741" s="4">
        <v>98</v>
      </c>
      <c r="E2741" s="5" t="s">
        <v>13</v>
      </c>
      <c r="F2741" s="5" t="s">
        <v>7879</v>
      </c>
      <c r="G2741" s="6" t="s">
        <v>14</v>
      </c>
      <c r="H2741" s="4">
        <v>72</v>
      </c>
      <c r="I2741" s="5"/>
      <c r="J2741" s="5" t="s">
        <v>7879</v>
      </c>
      <c r="K2741" s="5" t="s">
        <v>7832</v>
      </c>
      <c r="L2741" s="5"/>
      <c r="M2741" s="5" t="s">
        <v>97</v>
      </c>
      <c r="N2741" s="5" t="s">
        <v>97</v>
      </c>
      <c r="O2741" s="5" t="s">
        <v>7833</v>
      </c>
      <c r="P2741" s="5"/>
      <c r="Q2741" s="5" t="s">
        <v>7880</v>
      </c>
    </row>
    <row r="2742" spans="2:17" x14ac:dyDescent="0.2">
      <c r="B2742" s="5" t="s">
        <v>7816</v>
      </c>
      <c r="C2742" s="6" t="s">
        <v>13590</v>
      </c>
      <c r="D2742" s="4">
        <v>99</v>
      </c>
      <c r="E2742" s="5" t="s">
        <v>32</v>
      </c>
      <c r="F2742" s="5" t="s">
        <v>7872</v>
      </c>
      <c r="G2742" s="6" t="s">
        <v>14</v>
      </c>
      <c r="H2742" s="4">
        <v>73</v>
      </c>
      <c r="I2742" s="5" t="s">
        <v>22</v>
      </c>
      <c r="J2742" s="5" t="s">
        <v>7873</v>
      </c>
      <c r="K2742" s="5" t="s">
        <v>7828</v>
      </c>
      <c r="L2742" s="5" t="s">
        <v>7874</v>
      </c>
      <c r="M2742" s="5" t="s">
        <v>97</v>
      </c>
      <c r="N2742" s="5" t="s">
        <v>284</v>
      </c>
      <c r="O2742" s="5" t="s">
        <v>7819</v>
      </c>
      <c r="P2742" s="5"/>
      <c r="Q2742" s="5" t="s">
        <v>7875</v>
      </c>
    </row>
    <row r="2743" spans="2:17" x14ac:dyDescent="0.2">
      <c r="B2743" s="5" t="s">
        <v>7816</v>
      </c>
      <c r="C2743" s="6" t="s">
        <v>13590</v>
      </c>
      <c r="D2743" s="4">
        <v>100</v>
      </c>
      <c r="E2743" s="5" t="s">
        <v>32</v>
      </c>
      <c r="F2743" s="5" t="s">
        <v>7876</v>
      </c>
      <c r="G2743" s="6" t="s">
        <v>14</v>
      </c>
      <c r="H2743" s="4">
        <v>74</v>
      </c>
      <c r="I2743" s="5" t="s">
        <v>22</v>
      </c>
      <c r="J2743" s="5" t="s">
        <v>7877</v>
      </c>
      <c r="K2743" s="5" t="s">
        <v>7828</v>
      </c>
      <c r="L2743" s="5"/>
      <c r="M2743" s="5" t="s">
        <v>97</v>
      </c>
      <c r="N2743" s="5" t="s">
        <v>284</v>
      </c>
      <c r="O2743" s="5" t="s">
        <v>7819</v>
      </c>
      <c r="P2743" s="5"/>
      <c r="Q2743" s="5" t="s">
        <v>7878</v>
      </c>
    </row>
    <row r="2744" spans="2:17" x14ac:dyDescent="0.2">
      <c r="B2744" s="5" t="s">
        <v>7816</v>
      </c>
      <c r="C2744" s="6" t="s">
        <v>13590</v>
      </c>
      <c r="D2744" s="4">
        <v>101</v>
      </c>
      <c r="E2744" s="5" t="s">
        <v>32</v>
      </c>
      <c r="F2744" s="5" t="s">
        <v>7869</v>
      </c>
      <c r="G2744" s="6" t="s">
        <v>14</v>
      </c>
      <c r="H2744" s="4">
        <v>75</v>
      </c>
      <c r="I2744" s="5" t="s">
        <v>22</v>
      </c>
      <c r="J2744" s="5" t="s">
        <v>7870</v>
      </c>
      <c r="K2744" s="5" t="s">
        <v>7834</v>
      </c>
      <c r="L2744" s="5"/>
      <c r="M2744" s="5" t="s">
        <v>1269</v>
      </c>
      <c r="N2744" s="5" t="s">
        <v>1258</v>
      </c>
      <c r="O2744" s="5" t="s">
        <v>7833</v>
      </c>
      <c r="P2744" s="5"/>
      <c r="Q2744" s="5" t="s">
        <v>7871</v>
      </c>
    </row>
    <row r="2745" spans="2:17" x14ac:dyDescent="0.2">
      <c r="B2745" s="5" t="s">
        <v>7816</v>
      </c>
      <c r="C2745" s="6" t="s">
        <v>13590</v>
      </c>
      <c r="D2745" s="4">
        <v>102</v>
      </c>
      <c r="E2745" s="5" t="s">
        <v>24</v>
      </c>
      <c r="F2745" s="5" t="s">
        <v>7865</v>
      </c>
      <c r="G2745" s="6" t="s">
        <v>14</v>
      </c>
      <c r="H2745" s="4">
        <v>76</v>
      </c>
      <c r="I2745" s="5"/>
      <c r="J2745" s="5" t="s">
        <v>7866</v>
      </c>
      <c r="K2745" s="5" t="s">
        <v>7827</v>
      </c>
      <c r="L2745" s="5"/>
      <c r="M2745" s="5" t="s">
        <v>1251</v>
      </c>
      <c r="N2745" s="5" t="s">
        <v>1251</v>
      </c>
      <c r="O2745" s="5" t="s">
        <v>7824</v>
      </c>
      <c r="P2745" s="5"/>
      <c r="Q2745" s="5" t="s">
        <v>7867</v>
      </c>
    </row>
    <row r="2746" spans="2:17" x14ac:dyDescent="0.2">
      <c r="B2746" s="5" t="s">
        <v>7816</v>
      </c>
      <c r="C2746" s="6" t="s">
        <v>13590</v>
      </c>
      <c r="D2746" s="4">
        <v>103</v>
      </c>
      <c r="E2746" s="5" t="s">
        <v>32</v>
      </c>
      <c r="F2746" s="5" t="s">
        <v>7858</v>
      </c>
      <c r="G2746" s="6" t="s">
        <v>14</v>
      </c>
      <c r="H2746" s="4">
        <v>77</v>
      </c>
      <c r="I2746" s="5" t="s">
        <v>22</v>
      </c>
      <c r="J2746" s="5" t="s">
        <v>7859</v>
      </c>
      <c r="K2746" s="5" t="s">
        <v>7828</v>
      </c>
      <c r="L2746" s="5" t="s">
        <v>7860</v>
      </c>
      <c r="M2746" s="5" t="s">
        <v>1226</v>
      </c>
      <c r="N2746" s="5" t="s">
        <v>1226</v>
      </c>
      <c r="O2746" s="5" t="s">
        <v>7819</v>
      </c>
      <c r="P2746" s="5"/>
      <c r="Q2746" s="5" t="s">
        <v>7861</v>
      </c>
    </row>
    <row r="2747" spans="2:17" x14ac:dyDescent="0.2">
      <c r="B2747" s="5" t="s">
        <v>7816</v>
      </c>
      <c r="C2747" s="6" t="s">
        <v>13590</v>
      </c>
      <c r="D2747" s="4">
        <v>105</v>
      </c>
      <c r="E2747" s="5" t="s">
        <v>15</v>
      </c>
      <c r="F2747" s="5" t="s">
        <v>8037</v>
      </c>
      <c r="G2747" s="6" t="s">
        <v>14</v>
      </c>
      <c r="H2747" s="4">
        <v>78</v>
      </c>
      <c r="I2747" s="5"/>
      <c r="J2747" s="5" t="s">
        <v>8038</v>
      </c>
      <c r="K2747" s="5" t="s">
        <v>8039</v>
      </c>
      <c r="L2747" s="5"/>
      <c r="M2747" s="5" t="s">
        <v>1520</v>
      </c>
      <c r="N2747" s="5" t="s">
        <v>2147</v>
      </c>
      <c r="O2747" s="5" t="s">
        <v>7837</v>
      </c>
      <c r="P2747" s="5"/>
      <c r="Q2747" s="5" t="s">
        <v>8040</v>
      </c>
    </row>
    <row r="2748" spans="2:17" x14ac:dyDescent="0.2">
      <c r="B2748" s="5" t="s">
        <v>7816</v>
      </c>
      <c r="C2748" s="6" t="s">
        <v>13590</v>
      </c>
      <c r="D2748" s="4">
        <v>108</v>
      </c>
      <c r="E2748" s="5" t="s">
        <v>24</v>
      </c>
      <c r="F2748" s="5" t="s">
        <v>8154</v>
      </c>
      <c r="G2748" s="6" t="s">
        <v>14</v>
      </c>
      <c r="H2748" s="4">
        <v>79</v>
      </c>
      <c r="I2748" s="5"/>
      <c r="J2748" s="5" t="s">
        <v>8155</v>
      </c>
      <c r="K2748" s="5" t="s">
        <v>7835</v>
      </c>
      <c r="L2748" s="5"/>
      <c r="M2748" s="5" t="s">
        <v>8156</v>
      </c>
      <c r="N2748" s="5" t="s">
        <v>8156</v>
      </c>
      <c r="O2748" s="5" t="s">
        <v>7822</v>
      </c>
      <c r="P2748" s="5"/>
      <c r="Q2748" s="5" t="s">
        <v>8157</v>
      </c>
    </row>
    <row r="2749" spans="2:17" x14ac:dyDescent="0.2">
      <c r="B2749" s="5" t="s">
        <v>7816</v>
      </c>
      <c r="C2749" s="6" t="s">
        <v>13590</v>
      </c>
      <c r="D2749" s="4">
        <v>109</v>
      </c>
      <c r="E2749" s="5" t="s">
        <v>15</v>
      </c>
      <c r="F2749" s="5" t="s">
        <v>7820</v>
      </c>
      <c r="G2749" s="6" t="s">
        <v>14</v>
      </c>
      <c r="H2749" s="4">
        <v>80</v>
      </c>
      <c r="I2749" s="5" t="s">
        <v>22</v>
      </c>
      <c r="J2749" s="5" t="s">
        <v>7846</v>
      </c>
      <c r="K2749" s="5" t="s">
        <v>7821</v>
      </c>
      <c r="L2749" s="5" t="s">
        <v>7847</v>
      </c>
      <c r="M2749" s="5" t="s">
        <v>2827</v>
      </c>
      <c r="N2749" s="5" t="s">
        <v>2827</v>
      </c>
      <c r="O2749" s="5" t="s">
        <v>7822</v>
      </c>
      <c r="P2749" s="5"/>
      <c r="Q2749" s="5" t="s">
        <v>7848</v>
      </c>
    </row>
    <row r="2750" spans="2:17" x14ac:dyDescent="0.2">
      <c r="B2750" s="5" t="s">
        <v>7816</v>
      </c>
      <c r="C2750" s="6" t="s">
        <v>13590</v>
      </c>
      <c r="D2750" s="4">
        <v>111</v>
      </c>
      <c r="E2750" s="5" t="s">
        <v>15</v>
      </c>
      <c r="F2750" s="5" t="s">
        <v>7820</v>
      </c>
      <c r="G2750" s="6" t="s">
        <v>14</v>
      </c>
      <c r="H2750" s="4">
        <v>81</v>
      </c>
      <c r="I2750" s="5"/>
      <c r="J2750" s="5" t="s">
        <v>7843</v>
      </c>
      <c r="K2750" s="5"/>
      <c r="L2750" s="5" t="s">
        <v>7844</v>
      </c>
      <c r="M2750" s="5" t="s">
        <v>1723</v>
      </c>
      <c r="N2750" s="5" t="s">
        <v>1723</v>
      </c>
      <c r="O2750" s="5" t="s">
        <v>7822</v>
      </c>
      <c r="P2750" s="5"/>
      <c r="Q2750" s="5" t="s">
        <v>7845</v>
      </c>
    </row>
    <row r="2751" spans="2:17" x14ac:dyDescent="0.2">
      <c r="B2751" s="5" t="s">
        <v>7816</v>
      </c>
      <c r="C2751" s="6" t="s">
        <v>13590</v>
      </c>
      <c r="D2751" s="4">
        <v>112</v>
      </c>
      <c r="E2751" s="5" t="s">
        <v>32</v>
      </c>
      <c r="F2751" s="5" t="s">
        <v>8024</v>
      </c>
      <c r="G2751" s="6" t="s">
        <v>14</v>
      </c>
      <c r="H2751" s="4">
        <v>82</v>
      </c>
      <c r="I2751" s="5" t="s">
        <v>22</v>
      </c>
      <c r="J2751" s="5" t="s">
        <v>8031</v>
      </c>
      <c r="K2751" s="5" t="s">
        <v>7821</v>
      </c>
      <c r="L2751" s="5" t="s">
        <v>8032</v>
      </c>
      <c r="M2751" s="5" t="s">
        <v>399</v>
      </c>
      <c r="N2751" s="5" t="s">
        <v>399</v>
      </c>
      <c r="O2751" s="5" t="s">
        <v>7822</v>
      </c>
      <c r="P2751" s="5"/>
      <c r="Q2751" s="5" t="s">
        <v>8033</v>
      </c>
    </row>
    <row r="2752" spans="2:17" x14ac:dyDescent="0.2">
      <c r="B2752" s="5" t="s">
        <v>7816</v>
      </c>
      <c r="C2752" s="6" t="s">
        <v>13590</v>
      </c>
      <c r="D2752" s="4">
        <v>114</v>
      </c>
      <c r="E2752" s="5" t="s">
        <v>32</v>
      </c>
      <c r="F2752" s="5" t="s">
        <v>8024</v>
      </c>
      <c r="G2752" s="6" t="s">
        <v>14</v>
      </c>
      <c r="H2752" s="4">
        <v>83</v>
      </c>
      <c r="I2752" s="5" t="s">
        <v>22</v>
      </c>
      <c r="J2752" s="5" t="s">
        <v>8025</v>
      </c>
      <c r="K2752" s="5" t="s">
        <v>7821</v>
      </c>
      <c r="L2752" s="5" t="s">
        <v>8026</v>
      </c>
      <c r="M2752" s="5" t="s">
        <v>399</v>
      </c>
      <c r="N2752" s="5" t="s">
        <v>400</v>
      </c>
      <c r="O2752" s="5" t="s">
        <v>7822</v>
      </c>
      <c r="P2752" s="5"/>
      <c r="Q2752" s="5" t="s">
        <v>8027</v>
      </c>
    </row>
    <row r="2753" spans="2:17" x14ac:dyDescent="0.2">
      <c r="B2753" s="5" t="s">
        <v>7816</v>
      </c>
      <c r="C2753" s="6" t="s">
        <v>13590</v>
      </c>
      <c r="D2753" s="4">
        <v>115</v>
      </c>
      <c r="E2753" s="5" t="s">
        <v>32</v>
      </c>
      <c r="F2753" s="5" t="s">
        <v>8024</v>
      </c>
      <c r="G2753" s="6" t="s">
        <v>14</v>
      </c>
      <c r="H2753" s="4">
        <v>84</v>
      </c>
      <c r="I2753" s="5" t="s">
        <v>22</v>
      </c>
      <c r="J2753" s="5" t="s">
        <v>8028</v>
      </c>
      <c r="K2753" s="5" t="s">
        <v>7821</v>
      </c>
      <c r="L2753" s="5" t="s">
        <v>8029</v>
      </c>
      <c r="M2753" s="5" t="s">
        <v>399</v>
      </c>
      <c r="N2753" s="5" t="s">
        <v>400</v>
      </c>
      <c r="O2753" s="5" t="s">
        <v>7822</v>
      </c>
      <c r="P2753" s="5"/>
      <c r="Q2753" s="5" t="s">
        <v>8030</v>
      </c>
    </row>
    <row r="2754" spans="2:17" x14ac:dyDescent="0.2">
      <c r="B2754" s="5" t="s">
        <v>7816</v>
      </c>
      <c r="C2754" s="6" t="s">
        <v>13590</v>
      </c>
      <c r="D2754" s="4">
        <v>116</v>
      </c>
      <c r="E2754" s="5" t="s">
        <v>32</v>
      </c>
      <c r="F2754" s="5" t="s">
        <v>8024</v>
      </c>
      <c r="G2754" s="6" t="s">
        <v>14</v>
      </c>
      <c r="H2754" s="4">
        <v>85</v>
      </c>
      <c r="I2754" s="5" t="s">
        <v>38</v>
      </c>
      <c r="J2754" s="5" t="s">
        <v>8034</v>
      </c>
      <c r="K2754" s="5" t="s">
        <v>7838</v>
      </c>
      <c r="L2754" s="5" t="s">
        <v>8035</v>
      </c>
      <c r="M2754" s="5" t="s">
        <v>399</v>
      </c>
      <c r="N2754" s="5" t="s">
        <v>400</v>
      </c>
      <c r="O2754" s="5" t="s">
        <v>7822</v>
      </c>
      <c r="P2754" s="5"/>
      <c r="Q2754" s="5" t="s">
        <v>8036</v>
      </c>
    </row>
    <row r="2755" spans="2:17" x14ac:dyDescent="0.2">
      <c r="B2755" s="5" t="s">
        <v>7816</v>
      </c>
      <c r="C2755" s="6" t="s">
        <v>13590</v>
      </c>
      <c r="D2755" s="4">
        <v>120</v>
      </c>
      <c r="E2755" s="5" t="s">
        <v>32</v>
      </c>
      <c r="F2755" s="5" t="s">
        <v>8142</v>
      </c>
      <c r="G2755" s="6" t="s">
        <v>14</v>
      </c>
      <c r="H2755" s="4">
        <v>86</v>
      </c>
      <c r="I2755" s="5" t="s">
        <v>22</v>
      </c>
      <c r="J2755" s="5" t="s">
        <v>8143</v>
      </c>
      <c r="K2755" s="5" t="s">
        <v>7821</v>
      </c>
      <c r="L2755" s="5"/>
      <c r="M2755" s="5" t="s">
        <v>533</v>
      </c>
      <c r="N2755" s="5" t="s">
        <v>2278</v>
      </c>
      <c r="O2755" s="5" t="s">
        <v>7822</v>
      </c>
      <c r="P2755" s="5"/>
      <c r="Q2755" s="5" t="s">
        <v>8144</v>
      </c>
    </row>
    <row r="2756" spans="2:17" x14ac:dyDescent="0.2">
      <c r="B2756" s="5" t="s">
        <v>7816</v>
      </c>
      <c r="C2756" s="6" t="s">
        <v>13590</v>
      </c>
      <c r="D2756" s="4">
        <v>121</v>
      </c>
      <c r="E2756" s="5" t="s">
        <v>32</v>
      </c>
      <c r="F2756" s="5" t="s">
        <v>8142</v>
      </c>
      <c r="G2756" s="6" t="s">
        <v>14</v>
      </c>
      <c r="H2756" s="4">
        <v>87</v>
      </c>
      <c r="I2756" s="5" t="s">
        <v>22</v>
      </c>
      <c r="J2756" s="5" t="s">
        <v>8145</v>
      </c>
      <c r="K2756" s="5" t="s">
        <v>7921</v>
      </c>
      <c r="L2756" s="5" t="s">
        <v>8146</v>
      </c>
      <c r="M2756" s="5" t="s">
        <v>533</v>
      </c>
      <c r="N2756" s="5" t="s">
        <v>2278</v>
      </c>
      <c r="O2756" s="5" t="s">
        <v>7822</v>
      </c>
      <c r="P2756" s="5"/>
      <c r="Q2756" s="5" t="s">
        <v>8147</v>
      </c>
    </row>
    <row r="2757" spans="2:17" x14ac:dyDescent="0.2">
      <c r="B2757" s="5" t="s">
        <v>7816</v>
      </c>
      <c r="C2757" s="6" t="s">
        <v>13590</v>
      </c>
      <c r="D2757" s="4">
        <v>122</v>
      </c>
      <c r="E2757" s="5" t="s">
        <v>32</v>
      </c>
      <c r="F2757" s="5" t="s">
        <v>7839</v>
      </c>
      <c r="G2757" s="6" t="s">
        <v>14</v>
      </c>
      <c r="H2757" s="4">
        <v>88</v>
      </c>
      <c r="I2757" s="5" t="s">
        <v>22</v>
      </c>
      <c r="J2757" s="5" t="s">
        <v>7840</v>
      </c>
      <c r="K2757" s="5"/>
      <c r="L2757" s="5" t="s">
        <v>7841</v>
      </c>
      <c r="M2757" s="5" t="s">
        <v>1715</v>
      </c>
      <c r="N2757" s="5" t="s">
        <v>1208</v>
      </c>
      <c r="O2757" s="5" t="s">
        <v>7833</v>
      </c>
      <c r="P2757" s="5"/>
      <c r="Q2757" s="5" t="s">
        <v>7842</v>
      </c>
    </row>
    <row r="2758" spans="2:17" x14ac:dyDescent="0.2">
      <c r="B2758" s="5" t="s">
        <v>7816</v>
      </c>
      <c r="C2758" s="6" t="s">
        <v>13590</v>
      </c>
      <c r="D2758" s="4">
        <v>124</v>
      </c>
      <c r="E2758" s="5" t="s">
        <v>13</v>
      </c>
      <c r="F2758" s="5" t="s">
        <v>8115</v>
      </c>
      <c r="G2758" s="6" t="s">
        <v>14</v>
      </c>
      <c r="H2758" s="4">
        <v>89</v>
      </c>
      <c r="I2758" s="5"/>
      <c r="J2758" s="5" t="s">
        <v>8116</v>
      </c>
      <c r="K2758" s="5" t="s">
        <v>7817</v>
      </c>
      <c r="L2758" s="5"/>
      <c r="M2758" s="5" t="s">
        <v>1062</v>
      </c>
      <c r="N2758" s="5" t="s">
        <v>1062</v>
      </c>
      <c r="O2758" s="5" t="s">
        <v>7818</v>
      </c>
      <c r="P2758" s="5"/>
      <c r="Q2758" s="5" t="s">
        <v>8117</v>
      </c>
    </row>
    <row r="2759" spans="2:17" x14ac:dyDescent="0.2">
      <c r="B2759" s="5" t="s">
        <v>7816</v>
      </c>
      <c r="C2759" s="6" t="s">
        <v>13590</v>
      </c>
      <c r="D2759" s="4">
        <v>125</v>
      </c>
      <c r="E2759" s="5" t="s">
        <v>13</v>
      </c>
      <c r="F2759" s="5" t="s">
        <v>8109</v>
      </c>
      <c r="G2759" s="6" t="s">
        <v>14</v>
      </c>
      <c r="H2759" s="4">
        <v>90</v>
      </c>
      <c r="I2759" s="5"/>
      <c r="J2759" s="5" t="s">
        <v>8110</v>
      </c>
      <c r="K2759" s="5" t="s">
        <v>7825</v>
      </c>
      <c r="L2759" s="5"/>
      <c r="M2759" s="5" t="s">
        <v>1658</v>
      </c>
      <c r="N2759" s="5" t="s">
        <v>1658</v>
      </c>
      <c r="O2759" s="5" t="s">
        <v>7826</v>
      </c>
      <c r="P2759" s="5"/>
      <c r="Q2759" s="5" t="s">
        <v>8111</v>
      </c>
    </row>
    <row r="2760" spans="2:17" x14ac:dyDescent="0.2">
      <c r="B2760" s="5" t="s">
        <v>7816</v>
      </c>
      <c r="C2760" s="6" t="s">
        <v>13590</v>
      </c>
      <c r="D2760" s="4">
        <v>127</v>
      </c>
      <c r="E2760" s="5" t="s">
        <v>24</v>
      </c>
      <c r="F2760" s="5" t="s">
        <v>8106</v>
      </c>
      <c r="G2760" s="6" t="s">
        <v>14</v>
      </c>
      <c r="H2760" s="4">
        <v>91</v>
      </c>
      <c r="I2760" s="5"/>
      <c r="J2760" s="5" t="s">
        <v>8107</v>
      </c>
      <c r="K2760" s="5" t="s">
        <v>7817</v>
      </c>
      <c r="L2760" s="5"/>
      <c r="M2760" s="5" t="s">
        <v>3422</v>
      </c>
      <c r="N2760" s="5" t="s">
        <v>3422</v>
      </c>
      <c r="O2760" s="5" t="s">
        <v>7818</v>
      </c>
      <c r="P2760" s="5"/>
      <c r="Q2760" s="5" t="s">
        <v>8108</v>
      </c>
    </row>
    <row r="2761" spans="2:17" x14ac:dyDescent="0.2">
      <c r="B2761" s="5" t="s">
        <v>7816</v>
      </c>
      <c r="C2761" s="6" t="s">
        <v>13590</v>
      </c>
      <c r="D2761" s="4">
        <v>128</v>
      </c>
      <c r="E2761" s="5" t="s">
        <v>13</v>
      </c>
      <c r="F2761" s="5" t="s">
        <v>8021</v>
      </c>
      <c r="G2761" s="6" t="s">
        <v>14</v>
      </c>
      <c r="H2761" s="4">
        <v>92</v>
      </c>
      <c r="I2761" s="5"/>
      <c r="J2761" s="5" t="s">
        <v>8022</v>
      </c>
      <c r="K2761" s="5" t="s">
        <v>7825</v>
      </c>
      <c r="L2761" s="5" t="s">
        <v>7943</v>
      </c>
      <c r="M2761" s="5" t="s">
        <v>122</v>
      </c>
      <c r="N2761" s="5" t="s">
        <v>366</v>
      </c>
      <c r="O2761" s="5" t="s">
        <v>7826</v>
      </c>
      <c r="P2761" s="5"/>
      <c r="Q2761" s="5" t="s">
        <v>8023</v>
      </c>
    </row>
    <row r="2762" spans="2:17" x14ac:dyDescent="0.2">
      <c r="B2762" s="5" t="s">
        <v>7816</v>
      </c>
      <c r="C2762" s="6" t="s">
        <v>13590</v>
      </c>
      <c r="D2762" s="4">
        <v>129</v>
      </c>
      <c r="E2762" s="5" t="s">
        <v>20</v>
      </c>
      <c r="F2762" s="5" t="s">
        <v>7949</v>
      </c>
      <c r="G2762" s="6" t="s">
        <v>14</v>
      </c>
      <c r="H2762" s="4">
        <v>93</v>
      </c>
      <c r="I2762" s="5" t="s">
        <v>22</v>
      </c>
      <c r="J2762" s="5" t="s">
        <v>7950</v>
      </c>
      <c r="K2762" s="5" t="s">
        <v>7827</v>
      </c>
      <c r="L2762" s="5"/>
      <c r="M2762" s="5" t="s">
        <v>295</v>
      </c>
      <c r="N2762" s="5" t="s">
        <v>366</v>
      </c>
      <c r="O2762" s="5" t="s">
        <v>7824</v>
      </c>
      <c r="P2762" s="5"/>
      <c r="Q2762" s="5" t="s">
        <v>7951</v>
      </c>
    </row>
    <row r="2763" spans="2:17" x14ac:dyDescent="0.2">
      <c r="B2763" s="5" t="s">
        <v>7816</v>
      </c>
      <c r="C2763" s="6" t="s">
        <v>13590</v>
      </c>
      <c r="D2763" s="4">
        <v>130</v>
      </c>
      <c r="E2763" s="5" t="s">
        <v>20</v>
      </c>
      <c r="F2763" s="5" t="s">
        <v>8098</v>
      </c>
      <c r="G2763" s="6" t="s">
        <v>14</v>
      </c>
      <c r="H2763" s="4">
        <v>94</v>
      </c>
      <c r="I2763" s="5" t="s">
        <v>22</v>
      </c>
      <c r="J2763" s="5" t="s">
        <v>8099</v>
      </c>
      <c r="K2763" s="5" t="s">
        <v>7821</v>
      </c>
      <c r="L2763" s="5"/>
      <c r="M2763" s="5" t="s">
        <v>484</v>
      </c>
      <c r="N2763" s="5" t="s">
        <v>485</v>
      </c>
      <c r="O2763" s="5" t="s">
        <v>7822</v>
      </c>
      <c r="P2763" s="5"/>
      <c r="Q2763" s="5" t="s">
        <v>8100</v>
      </c>
    </row>
    <row r="2764" spans="2:17" x14ac:dyDescent="0.2">
      <c r="B2764" s="5" t="s">
        <v>7816</v>
      </c>
      <c r="C2764" s="6" t="s">
        <v>13590</v>
      </c>
      <c r="D2764" s="4">
        <v>131</v>
      </c>
      <c r="E2764" s="5" t="s">
        <v>20</v>
      </c>
      <c r="F2764" s="5" t="s">
        <v>8098</v>
      </c>
      <c r="G2764" s="6" t="s">
        <v>14</v>
      </c>
      <c r="H2764" s="4">
        <v>95</v>
      </c>
      <c r="I2764" s="5" t="s">
        <v>22</v>
      </c>
      <c r="J2764" s="5" t="s">
        <v>8101</v>
      </c>
      <c r="K2764" s="5" t="s">
        <v>7821</v>
      </c>
      <c r="L2764" s="5"/>
      <c r="M2764" s="5" t="s">
        <v>484</v>
      </c>
      <c r="N2764" s="5" t="s">
        <v>485</v>
      </c>
      <c r="O2764" s="5" t="s">
        <v>7822</v>
      </c>
      <c r="P2764" s="5"/>
      <c r="Q2764" s="5" t="s">
        <v>8102</v>
      </c>
    </row>
    <row r="2765" spans="2:17" x14ac:dyDescent="0.2">
      <c r="B2765" s="5" t="s">
        <v>7816</v>
      </c>
      <c r="C2765" s="6" t="s">
        <v>13590</v>
      </c>
      <c r="D2765" s="4">
        <v>132</v>
      </c>
      <c r="E2765" s="5" t="s">
        <v>20</v>
      </c>
      <c r="F2765" s="5" t="s">
        <v>8090</v>
      </c>
      <c r="G2765" s="6" t="s">
        <v>14</v>
      </c>
      <c r="H2765" s="4">
        <v>96</v>
      </c>
      <c r="I2765" s="5" t="s">
        <v>22</v>
      </c>
      <c r="J2765" s="5" t="s">
        <v>8091</v>
      </c>
      <c r="K2765" s="5" t="s">
        <v>8092</v>
      </c>
      <c r="L2765" s="5"/>
      <c r="M2765" s="5" t="s">
        <v>484</v>
      </c>
      <c r="N2765" s="5" t="s">
        <v>485</v>
      </c>
      <c r="O2765" s="5" t="s">
        <v>7818</v>
      </c>
      <c r="P2765" s="5"/>
      <c r="Q2765" s="5" t="s">
        <v>8093</v>
      </c>
    </row>
    <row r="2766" spans="2:17" x14ac:dyDescent="0.2">
      <c r="B2766" s="5" t="s">
        <v>7816</v>
      </c>
      <c r="C2766" s="6" t="s">
        <v>13590</v>
      </c>
      <c r="D2766" s="4">
        <v>133</v>
      </c>
      <c r="E2766" s="5" t="s">
        <v>20</v>
      </c>
      <c r="F2766" s="5" t="s">
        <v>8090</v>
      </c>
      <c r="G2766" s="6" t="s">
        <v>14</v>
      </c>
      <c r="H2766" s="4">
        <v>97</v>
      </c>
      <c r="I2766" s="5" t="s">
        <v>22</v>
      </c>
      <c r="J2766" s="5" t="s">
        <v>8094</v>
      </c>
      <c r="K2766" s="5" t="s">
        <v>7817</v>
      </c>
      <c r="L2766" s="5"/>
      <c r="M2766" s="5" t="s">
        <v>484</v>
      </c>
      <c r="N2766" s="5" t="s">
        <v>485</v>
      </c>
      <c r="O2766" s="5" t="s">
        <v>7818</v>
      </c>
      <c r="P2766" s="5"/>
      <c r="Q2766" s="5" t="s">
        <v>8095</v>
      </c>
    </row>
    <row r="2767" spans="2:17" x14ac:dyDescent="0.2">
      <c r="B2767" s="5" t="s">
        <v>7816</v>
      </c>
      <c r="C2767" s="6" t="s">
        <v>13590</v>
      </c>
      <c r="D2767" s="4">
        <v>134</v>
      </c>
      <c r="E2767" s="5" t="s">
        <v>20</v>
      </c>
      <c r="F2767" s="5" t="s">
        <v>8090</v>
      </c>
      <c r="G2767" s="6" t="s">
        <v>14</v>
      </c>
      <c r="H2767" s="4">
        <v>98</v>
      </c>
      <c r="I2767" s="5" t="s">
        <v>22</v>
      </c>
      <c r="J2767" s="5" t="s">
        <v>8096</v>
      </c>
      <c r="K2767" s="5" t="s">
        <v>7868</v>
      </c>
      <c r="L2767" s="5"/>
      <c r="M2767" s="5" t="s">
        <v>484</v>
      </c>
      <c r="N2767" s="5" t="s">
        <v>485</v>
      </c>
      <c r="O2767" s="5" t="s">
        <v>7818</v>
      </c>
      <c r="P2767" s="5"/>
      <c r="Q2767" s="5" t="s">
        <v>8097</v>
      </c>
    </row>
    <row r="2768" spans="2:17" x14ac:dyDescent="0.2">
      <c r="B2768" s="5" t="s">
        <v>7816</v>
      </c>
      <c r="C2768" s="6" t="s">
        <v>13590</v>
      </c>
      <c r="D2768" s="4">
        <v>135</v>
      </c>
      <c r="E2768" s="5" t="s">
        <v>32</v>
      </c>
      <c r="F2768" s="5" t="s">
        <v>8103</v>
      </c>
      <c r="G2768" s="6" t="s">
        <v>14</v>
      </c>
      <c r="H2768" s="4">
        <v>99</v>
      </c>
      <c r="I2768" s="5" t="s">
        <v>22</v>
      </c>
      <c r="J2768" s="5" t="s">
        <v>8104</v>
      </c>
      <c r="K2768" s="5" t="s">
        <v>7834</v>
      </c>
      <c r="L2768" s="5"/>
      <c r="M2768" s="5" t="s">
        <v>484</v>
      </c>
      <c r="N2768" s="5" t="s">
        <v>485</v>
      </c>
      <c r="O2768" s="5" t="s">
        <v>7824</v>
      </c>
      <c r="P2768" s="5"/>
      <c r="Q2768" s="5" t="s">
        <v>8105</v>
      </c>
    </row>
    <row r="2769" spans="2:17" x14ac:dyDescent="0.2">
      <c r="B2769" s="5" t="s">
        <v>7816</v>
      </c>
      <c r="C2769" s="6" t="s">
        <v>13590</v>
      </c>
      <c r="D2769" s="4">
        <v>136</v>
      </c>
      <c r="E2769" s="5" t="s">
        <v>13</v>
      </c>
      <c r="F2769" s="5" t="s">
        <v>8010</v>
      </c>
      <c r="G2769" s="6" t="s">
        <v>14</v>
      </c>
      <c r="H2769" s="4">
        <v>100</v>
      </c>
      <c r="I2769" s="5"/>
      <c r="J2769" s="5" t="s">
        <v>8011</v>
      </c>
      <c r="K2769" s="5" t="s">
        <v>7825</v>
      </c>
      <c r="L2769" s="5"/>
      <c r="M2769" s="5" t="s">
        <v>1470</v>
      </c>
      <c r="N2769" s="5" t="s">
        <v>1470</v>
      </c>
      <c r="O2769" s="5" t="s">
        <v>7826</v>
      </c>
      <c r="P2769" s="5"/>
      <c r="Q2769" s="5" t="s">
        <v>8012</v>
      </c>
    </row>
    <row r="2770" spans="2:17" x14ac:dyDescent="0.2">
      <c r="B2770" s="5" t="s">
        <v>7816</v>
      </c>
      <c r="C2770" s="6" t="s">
        <v>13590</v>
      </c>
      <c r="D2770" s="4">
        <v>137</v>
      </c>
      <c r="E2770" s="5" t="s">
        <v>32</v>
      </c>
      <c r="F2770" s="5" t="s">
        <v>8006</v>
      </c>
      <c r="G2770" s="6" t="s">
        <v>14</v>
      </c>
      <c r="H2770" s="4">
        <v>101</v>
      </c>
      <c r="I2770" s="5" t="s">
        <v>22</v>
      </c>
      <c r="J2770" s="5" t="s">
        <v>8007</v>
      </c>
      <c r="K2770" s="5" t="s">
        <v>7838</v>
      </c>
      <c r="L2770" s="5" t="s">
        <v>8008</v>
      </c>
      <c r="M2770" s="5" t="s">
        <v>1470</v>
      </c>
      <c r="N2770" s="5" t="s">
        <v>352</v>
      </c>
      <c r="O2770" s="5" t="s">
        <v>7822</v>
      </c>
      <c r="P2770" s="5"/>
      <c r="Q2770" s="5" t="s">
        <v>8009</v>
      </c>
    </row>
    <row r="2771" spans="2:17" x14ac:dyDescent="0.2">
      <c r="B2771" s="5" t="s">
        <v>7678</v>
      </c>
      <c r="C2771" s="6" t="s">
        <v>13590</v>
      </c>
      <c r="D2771" s="4">
        <v>32</v>
      </c>
      <c r="E2771" s="5" t="s">
        <v>20</v>
      </c>
      <c r="F2771" s="5" t="s">
        <v>7698</v>
      </c>
      <c r="G2771" s="6" t="s">
        <v>25</v>
      </c>
      <c r="H2771" s="4"/>
      <c r="I2771" s="5" t="s">
        <v>22</v>
      </c>
      <c r="J2771" s="5" t="s">
        <v>7699</v>
      </c>
      <c r="K2771" s="5" t="s">
        <v>7682</v>
      </c>
      <c r="L2771" s="5"/>
      <c r="M2771" s="5" t="s">
        <v>1269</v>
      </c>
      <c r="N2771" s="5" t="s">
        <v>1258</v>
      </c>
      <c r="O2771" s="5" t="s">
        <v>7681</v>
      </c>
      <c r="P2771" s="5"/>
      <c r="Q2771" s="5" t="s">
        <v>7700</v>
      </c>
    </row>
    <row r="2772" spans="2:17" x14ac:dyDescent="0.2">
      <c r="B2772" s="5" t="s">
        <v>7816</v>
      </c>
      <c r="C2772" s="6" t="s">
        <v>13590</v>
      </c>
      <c r="D2772" s="4">
        <v>38</v>
      </c>
      <c r="E2772" s="5" t="s">
        <v>20</v>
      </c>
      <c r="F2772" s="5" t="s">
        <v>8135</v>
      </c>
      <c r="G2772" s="6" t="s">
        <v>25</v>
      </c>
      <c r="H2772" s="4"/>
      <c r="I2772" s="5" t="s">
        <v>22</v>
      </c>
      <c r="J2772" s="5" t="s">
        <v>8136</v>
      </c>
      <c r="K2772" s="5" t="s">
        <v>7821</v>
      </c>
      <c r="L2772" s="5" t="s">
        <v>8137</v>
      </c>
      <c r="M2772" s="5" t="s">
        <v>3487</v>
      </c>
      <c r="N2772" s="5" t="s">
        <v>3487</v>
      </c>
      <c r="O2772" s="5" t="s">
        <v>7822</v>
      </c>
      <c r="P2772" s="5"/>
      <c r="Q2772" s="5" t="s">
        <v>8138</v>
      </c>
    </row>
    <row r="2773" spans="2:17" x14ac:dyDescent="0.2">
      <c r="B2773" s="5" t="s">
        <v>7678</v>
      </c>
      <c r="C2773" s="6" t="s">
        <v>13590</v>
      </c>
      <c r="D2773" s="4">
        <v>6</v>
      </c>
      <c r="E2773" s="5" t="s">
        <v>20</v>
      </c>
      <c r="F2773" s="5" t="s">
        <v>7781</v>
      </c>
      <c r="G2773" s="6" t="s">
        <v>39</v>
      </c>
      <c r="H2773" s="4"/>
      <c r="I2773" s="5" t="s">
        <v>22</v>
      </c>
      <c r="J2773" s="5" t="s">
        <v>7782</v>
      </c>
      <c r="K2773" s="5" t="s">
        <v>7680</v>
      </c>
      <c r="L2773" s="5"/>
      <c r="M2773" s="5" t="s">
        <v>157</v>
      </c>
      <c r="N2773" s="5" t="s">
        <v>153</v>
      </c>
      <c r="O2773" s="5" t="s">
        <v>7681</v>
      </c>
      <c r="P2773" s="5"/>
      <c r="Q2773" s="5" t="s">
        <v>7783</v>
      </c>
    </row>
    <row r="2774" spans="2:17" x14ac:dyDescent="0.2">
      <c r="B2774" s="5" t="s">
        <v>7678</v>
      </c>
      <c r="C2774" s="6" t="s">
        <v>13590</v>
      </c>
      <c r="D2774" s="4">
        <v>7</v>
      </c>
      <c r="E2774" s="5" t="s">
        <v>20</v>
      </c>
      <c r="F2774" s="5" t="s">
        <v>7775</v>
      </c>
      <c r="G2774" s="6" t="s">
        <v>39</v>
      </c>
      <c r="H2774" s="4"/>
      <c r="I2774" s="5" t="s">
        <v>22</v>
      </c>
      <c r="J2774" s="5" t="s">
        <v>7776</v>
      </c>
      <c r="K2774" s="5" t="s">
        <v>7682</v>
      </c>
      <c r="L2774" s="5"/>
      <c r="M2774" s="5" t="s">
        <v>1548</v>
      </c>
      <c r="N2774" s="5" t="s">
        <v>1544</v>
      </c>
      <c r="O2774" s="5" t="s">
        <v>7681</v>
      </c>
      <c r="P2774" s="5"/>
      <c r="Q2774" s="5" t="s">
        <v>7777</v>
      </c>
    </row>
    <row r="2775" spans="2:17" x14ac:dyDescent="0.2">
      <c r="B2775" s="5" t="s">
        <v>7678</v>
      </c>
      <c r="C2775" s="6" t="s">
        <v>13590</v>
      </c>
      <c r="D2775" s="4">
        <v>8</v>
      </c>
      <c r="E2775" s="5" t="s">
        <v>20</v>
      </c>
      <c r="F2775" s="5" t="s">
        <v>7778</v>
      </c>
      <c r="G2775" s="6" t="s">
        <v>39</v>
      </c>
      <c r="H2775" s="4"/>
      <c r="I2775" s="5" t="s">
        <v>22</v>
      </c>
      <c r="J2775" s="5" t="s">
        <v>7779</v>
      </c>
      <c r="K2775" s="5" t="s">
        <v>7680</v>
      </c>
      <c r="L2775" s="5"/>
      <c r="M2775" s="5" t="s">
        <v>1548</v>
      </c>
      <c r="N2775" s="5" t="s">
        <v>1544</v>
      </c>
      <c r="O2775" s="5" t="s">
        <v>7681</v>
      </c>
      <c r="P2775" s="5"/>
      <c r="Q2775" s="5" t="s">
        <v>7780</v>
      </c>
    </row>
    <row r="2776" spans="2:17" x14ac:dyDescent="0.2">
      <c r="B2776" s="5" t="s">
        <v>7678</v>
      </c>
      <c r="C2776" s="6" t="s">
        <v>13590</v>
      </c>
      <c r="D2776" s="4">
        <v>11</v>
      </c>
      <c r="E2776" s="5" t="s">
        <v>20</v>
      </c>
      <c r="F2776" s="5" t="s">
        <v>7753</v>
      </c>
      <c r="G2776" s="6" t="s">
        <v>39</v>
      </c>
      <c r="H2776" s="4"/>
      <c r="I2776" s="5" t="s">
        <v>22</v>
      </c>
      <c r="J2776" s="5" t="s">
        <v>7754</v>
      </c>
      <c r="K2776" s="5" t="s">
        <v>7680</v>
      </c>
      <c r="L2776" s="5"/>
      <c r="M2776" s="5" t="s">
        <v>804</v>
      </c>
      <c r="N2776" s="5" t="s">
        <v>1464</v>
      </c>
      <c r="O2776" s="5" t="s">
        <v>7681</v>
      </c>
      <c r="P2776" s="5"/>
      <c r="Q2776" s="5" t="s">
        <v>7755</v>
      </c>
    </row>
    <row r="2777" spans="2:17" x14ac:dyDescent="0.2">
      <c r="B2777" s="5" t="s">
        <v>7678</v>
      </c>
      <c r="C2777" s="6" t="s">
        <v>13590</v>
      </c>
      <c r="D2777" s="4">
        <v>12</v>
      </c>
      <c r="E2777" s="5" t="s">
        <v>20</v>
      </c>
      <c r="F2777" s="5" t="s">
        <v>7753</v>
      </c>
      <c r="G2777" s="6" t="s">
        <v>39</v>
      </c>
      <c r="H2777" s="4"/>
      <c r="I2777" s="5" t="s">
        <v>38</v>
      </c>
      <c r="J2777" s="5" t="s">
        <v>7756</v>
      </c>
      <c r="K2777" s="5" t="s">
        <v>7682</v>
      </c>
      <c r="L2777" s="5"/>
      <c r="M2777" s="5" t="s">
        <v>804</v>
      </c>
      <c r="N2777" s="5" t="s">
        <v>1464</v>
      </c>
      <c r="O2777" s="5" t="s">
        <v>7681</v>
      </c>
      <c r="P2777" s="5"/>
      <c r="Q2777" s="5" t="s">
        <v>7757</v>
      </c>
    </row>
    <row r="2778" spans="2:17" x14ac:dyDescent="0.2">
      <c r="B2778" s="5" t="s">
        <v>7816</v>
      </c>
      <c r="C2778" s="6" t="s">
        <v>13590</v>
      </c>
      <c r="D2778" s="4">
        <v>55</v>
      </c>
      <c r="E2778" s="5" t="s">
        <v>13</v>
      </c>
      <c r="F2778" s="5" t="s">
        <v>8048</v>
      </c>
      <c r="G2778" s="6" t="s">
        <v>39</v>
      </c>
      <c r="H2778" s="4"/>
      <c r="I2778" s="5"/>
      <c r="J2778" s="5" t="s">
        <v>8049</v>
      </c>
      <c r="K2778" s="5" t="s">
        <v>7832</v>
      </c>
      <c r="L2778" s="5"/>
      <c r="M2778" s="5" t="s">
        <v>142</v>
      </c>
      <c r="N2778" s="5" t="s">
        <v>3182</v>
      </c>
      <c r="O2778" s="5" t="s">
        <v>7833</v>
      </c>
      <c r="P2778" s="5"/>
      <c r="Q2778" s="5" t="s">
        <v>8050</v>
      </c>
    </row>
    <row r="2779" spans="2:17" x14ac:dyDescent="0.2">
      <c r="B2779" s="5" t="s">
        <v>7816</v>
      </c>
      <c r="C2779" s="6" t="s">
        <v>13590</v>
      </c>
      <c r="D2779" s="4">
        <v>104</v>
      </c>
      <c r="E2779" s="5" t="s">
        <v>20</v>
      </c>
      <c r="F2779" s="5" t="s">
        <v>7862</v>
      </c>
      <c r="G2779" s="6" t="s">
        <v>39</v>
      </c>
      <c r="H2779" s="4"/>
      <c r="I2779" s="5" t="s">
        <v>22</v>
      </c>
      <c r="J2779" s="5" t="s">
        <v>7863</v>
      </c>
      <c r="K2779" s="5" t="s">
        <v>7825</v>
      </c>
      <c r="L2779" s="5"/>
      <c r="M2779" s="5" t="s">
        <v>1236</v>
      </c>
      <c r="N2779" s="5" t="s">
        <v>1222</v>
      </c>
      <c r="O2779" s="5" t="s">
        <v>7826</v>
      </c>
      <c r="P2779" s="5"/>
      <c r="Q2779" s="5" t="s">
        <v>7864</v>
      </c>
    </row>
    <row r="2780" spans="2:17" x14ac:dyDescent="0.2">
      <c r="B2780" s="5" t="s">
        <v>7816</v>
      </c>
      <c r="C2780" s="6" t="s">
        <v>13590</v>
      </c>
      <c r="D2780" s="4">
        <v>106</v>
      </c>
      <c r="E2780" s="5" t="s">
        <v>15</v>
      </c>
      <c r="F2780" s="5" t="s">
        <v>7852</v>
      </c>
      <c r="G2780" s="6" t="s">
        <v>39</v>
      </c>
      <c r="H2780" s="4"/>
      <c r="I2780" s="5"/>
      <c r="J2780" s="5" t="s">
        <v>7853</v>
      </c>
      <c r="K2780" s="5" t="s">
        <v>7825</v>
      </c>
      <c r="L2780" s="5"/>
      <c r="M2780" s="5" t="s">
        <v>2821</v>
      </c>
      <c r="N2780" s="5" t="s">
        <v>2821</v>
      </c>
      <c r="O2780" s="5" t="s">
        <v>7826</v>
      </c>
      <c r="P2780" s="5"/>
      <c r="Q2780" s="5" t="s">
        <v>7854</v>
      </c>
    </row>
    <row r="2781" spans="2:17" x14ac:dyDescent="0.2">
      <c r="B2781" s="5" t="s">
        <v>7816</v>
      </c>
      <c r="C2781" s="6" t="s">
        <v>13590</v>
      </c>
      <c r="D2781" s="4">
        <v>107</v>
      </c>
      <c r="E2781" s="5" t="s">
        <v>15</v>
      </c>
      <c r="F2781" s="5" t="s">
        <v>7849</v>
      </c>
      <c r="G2781" s="6" t="s">
        <v>39</v>
      </c>
      <c r="H2781" s="4"/>
      <c r="I2781" s="5"/>
      <c r="J2781" s="5" t="s">
        <v>7850</v>
      </c>
      <c r="K2781" s="5" t="s">
        <v>7825</v>
      </c>
      <c r="L2781" s="5"/>
      <c r="M2781" s="5" t="s">
        <v>2821</v>
      </c>
      <c r="N2781" s="5" t="s">
        <v>2821</v>
      </c>
      <c r="O2781" s="5" t="s">
        <v>7826</v>
      </c>
      <c r="P2781" s="5"/>
      <c r="Q2781" s="5" t="s">
        <v>7851</v>
      </c>
    </row>
    <row r="2782" spans="2:17" x14ac:dyDescent="0.2">
      <c r="B2782" s="5" t="s">
        <v>7816</v>
      </c>
      <c r="C2782" s="6" t="s">
        <v>13590</v>
      </c>
      <c r="D2782" s="4">
        <v>110</v>
      </c>
      <c r="E2782" s="5" t="s">
        <v>15</v>
      </c>
      <c r="F2782" s="5" t="s">
        <v>7855</v>
      </c>
      <c r="G2782" s="6" t="s">
        <v>39</v>
      </c>
      <c r="H2782" s="4"/>
      <c r="I2782" s="5"/>
      <c r="J2782" s="5" t="s">
        <v>7856</v>
      </c>
      <c r="K2782" s="5" t="s">
        <v>7825</v>
      </c>
      <c r="L2782" s="5"/>
      <c r="M2782" s="5" t="s">
        <v>548</v>
      </c>
      <c r="N2782" s="5" t="s">
        <v>2827</v>
      </c>
      <c r="O2782" s="5" t="s">
        <v>7826</v>
      </c>
      <c r="P2782" s="5"/>
      <c r="Q2782" s="5" t="s">
        <v>7857</v>
      </c>
    </row>
    <row r="2783" spans="2:17" x14ac:dyDescent="0.2">
      <c r="B2783" s="5" t="s">
        <v>7816</v>
      </c>
      <c r="C2783" s="6" t="s">
        <v>13590</v>
      </c>
      <c r="D2783" s="4">
        <v>126</v>
      </c>
      <c r="E2783" s="5" t="s">
        <v>24</v>
      </c>
      <c r="F2783" s="5" t="s">
        <v>8112</v>
      </c>
      <c r="G2783" s="6" t="s">
        <v>39</v>
      </c>
      <c r="H2783" s="4"/>
      <c r="I2783" s="5"/>
      <c r="J2783" s="5" t="s">
        <v>8113</v>
      </c>
      <c r="K2783" s="5" t="s">
        <v>7817</v>
      </c>
      <c r="L2783" s="5"/>
      <c r="M2783" s="5" t="s">
        <v>489</v>
      </c>
      <c r="N2783" s="5" t="s">
        <v>496</v>
      </c>
      <c r="O2783" s="5" t="s">
        <v>7818</v>
      </c>
      <c r="P2783" s="5"/>
      <c r="Q2783" s="5" t="s">
        <v>8114</v>
      </c>
    </row>
    <row r="2784" spans="2:17" x14ac:dyDescent="0.2">
      <c r="B2784" s="5" t="s">
        <v>7678</v>
      </c>
      <c r="C2784" s="6" t="s">
        <v>13590</v>
      </c>
      <c r="D2784" s="4">
        <v>1</v>
      </c>
      <c r="E2784" s="5" t="s">
        <v>20</v>
      </c>
      <c r="F2784" s="5" t="s">
        <v>7800</v>
      </c>
      <c r="G2784" s="6" t="s">
        <v>18</v>
      </c>
      <c r="H2784" s="4"/>
      <c r="I2784" s="5" t="s">
        <v>22</v>
      </c>
      <c r="J2784" s="5" t="s">
        <v>7801</v>
      </c>
      <c r="K2784" s="5" t="s">
        <v>7726</v>
      </c>
      <c r="L2784" s="5" t="s">
        <v>7802</v>
      </c>
      <c r="M2784" s="5" t="s">
        <v>2254</v>
      </c>
      <c r="N2784" s="5" t="s">
        <v>1682</v>
      </c>
      <c r="O2784" s="5" t="s">
        <v>7690</v>
      </c>
      <c r="P2784" s="5"/>
      <c r="Q2784" s="5" t="s">
        <v>7803</v>
      </c>
    </row>
    <row r="2785" spans="2:17" x14ac:dyDescent="0.2">
      <c r="B2785" s="5" t="s">
        <v>7678</v>
      </c>
      <c r="C2785" s="6" t="s">
        <v>13590</v>
      </c>
      <c r="D2785" s="4">
        <v>10</v>
      </c>
      <c r="E2785" s="5" t="s">
        <v>20</v>
      </c>
      <c r="F2785" s="5" t="s">
        <v>7768</v>
      </c>
      <c r="G2785" s="6" t="s">
        <v>18</v>
      </c>
      <c r="H2785" s="4"/>
      <c r="I2785" s="5" t="s">
        <v>22</v>
      </c>
      <c r="J2785" s="5" t="s">
        <v>7769</v>
      </c>
      <c r="K2785" s="5" t="s">
        <v>7688</v>
      </c>
      <c r="L2785" s="5"/>
      <c r="M2785" s="5" t="s">
        <v>411</v>
      </c>
      <c r="N2785" s="5" t="s">
        <v>138</v>
      </c>
      <c r="O2785" s="5" t="s">
        <v>7761</v>
      </c>
      <c r="P2785" s="5" t="s">
        <v>7770</v>
      </c>
      <c r="Q2785" s="5" t="s">
        <v>7771</v>
      </c>
    </row>
    <row r="2786" spans="2:17" x14ac:dyDescent="0.2">
      <c r="B2786" s="5" t="s">
        <v>7678</v>
      </c>
      <c r="C2786" s="6" t="s">
        <v>13590</v>
      </c>
      <c r="D2786" s="4">
        <v>31</v>
      </c>
      <c r="E2786" s="5" t="s">
        <v>20</v>
      </c>
      <c r="F2786" s="5" t="s">
        <v>7701</v>
      </c>
      <c r="G2786" s="6" t="s">
        <v>18</v>
      </c>
      <c r="H2786" s="4"/>
      <c r="I2786" s="5" t="s">
        <v>22</v>
      </c>
      <c r="J2786" s="5" t="s">
        <v>7702</v>
      </c>
      <c r="K2786" s="5" t="s">
        <v>7685</v>
      </c>
      <c r="L2786" s="5" t="s">
        <v>7703</v>
      </c>
      <c r="M2786" s="5" t="s">
        <v>1929</v>
      </c>
      <c r="N2786" s="5" t="s">
        <v>96</v>
      </c>
      <c r="O2786" s="5" t="s">
        <v>7686</v>
      </c>
      <c r="P2786" s="5"/>
      <c r="Q2786" s="5" t="s">
        <v>7704</v>
      </c>
    </row>
    <row r="2787" spans="2:17" x14ac:dyDescent="0.2">
      <c r="B2787" s="5" t="s">
        <v>7816</v>
      </c>
      <c r="C2787" s="6" t="s">
        <v>13590</v>
      </c>
      <c r="D2787" s="4">
        <v>123</v>
      </c>
      <c r="E2787" s="5" t="s">
        <v>20</v>
      </c>
      <c r="F2787" s="5" t="s">
        <v>8118</v>
      </c>
      <c r="G2787" s="6" t="s">
        <v>18</v>
      </c>
      <c r="H2787" s="4"/>
      <c r="I2787" s="5" t="s">
        <v>38</v>
      </c>
      <c r="J2787" s="5" t="s">
        <v>8119</v>
      </c>
      <c r="K2787" s="5" t="s">
        <v>7821</v>
      </c>
      <c r="L2787" s="5" t="s">
        <v>8120</v>
      </c>
      <c r="M2787" s="5" t="s">
        <v>3438</v>
      </c>
      <c r="N2787" s="5" t="s">
        <v>495</v>
      </c>
      <c r="O2787" s="5" t="s">
        <v>7822</v>
      </c>
      <c r="P2787" s="5"/>
      <c r="Q2787" s="5" t="s">
        <v>8121</v>
      </c>
    </row>
    <row r="2788" spans="2:17" x14ac:dyDescent="0.2">
      <c r="B2788" s="5" t="s">
        <v>7816</v>
      </c>
      <c r="C2788" s="6" t="s">
        <v>13590</v>
      </c>
      <c r="D2788" s="4">
        <v>138</v>
      </c>
      <c r="E2788" s="5" t="s">
        <v>20</v>
      </c>
      <c r="F2788" s="5" t="s">
        <v>8013</v>
      </c>
      <c r="G2788" s="6" t="s">
        <v>68</v>
      </c>
      <c r="H2788" s="4"/>
      <c r="I2788" s="5" t="s">
        <v>22</v>
      </c>
      <c r="J2788" s="5" t="s">
        <v>8014</v>
      </c>
      <c r="K2788" s="5" t="s">
        <v>7817</v>
      </c>
      <c r="L2788" s="5" t="s">
        <v>7830</v>
      </c>
      <c r="M2788" s="5" t="s">
        <v>3094</v>
      </c>
      <c r="N2788" s="5" t="s">
        <v>3638</v>
      </c>
      <c r="O2788" s="5" t="s">
        <v>7818</v>
      </c>
      <c r="P2788" s="5"/>
      <c r="Q2788" s="5" t="s">
        <v>8015</v>
      </c>
    </row>
    <row r="2789" spans="2:17" x14ac:dyDescent="0.2">
      <c r="B2789" s="5" t="s">
        <v>7816</v>
      </c>
      <c r="C2789" s="6" t="s">
        <v>13590</v>
      </c>
      <c r="D2789" s="4">
        <v>139</v>
      </c>
      <c r="E2789" s="5" t="s">
        <v>20</v>
      </c>
      <c r="F2789" s="5" t="s">
        <v>8013</v>
      </c>
      <c r="G2789" s="6" t="s">
        <v>68</v>
      </c>
      <c r="H2789" s="4"/>
      <c r="I2789" s="5" t="s">
        <v>22</v>
      </c>
      <c r="J2789" s="5" t="s">
        <v>8016</v>
      </c>
      <c r="K2789" s="5" t="s">
        <v>7817</v>
      </c>
      <c r="L2789" s="5" t="s">
        <v>7830</v>
      </c>
      <c r="M2789" s="5" t="s">
        <v>3094</v>
      </c>
      <c r="N2789" s="5" t="s">
        <v>3638</v>
      </c>
      <c r="O2789" s="5" t="s">
        <v>7818</v>
      </c>
      <c r="P2789" s="5"/>
      <c r="Q2789" s="5" t="s">
        <v>8017</v>
      </c>
    </row>
    <row r="2790" spans="2:17" x14ac:dyDescent="0.2">
      <c r="B2790" s="5" t="s">
        <v>7816</v>
      </c>
      <c r="C2790" s="6" t="s">
        <v>13590</v>
      </c>
      <c r="D2790" s="4">
        <v>140</v>
      </c>
      <c r="E2790" s="5" t="s">
        <v>20</v>
      </c>
      <c r="F2790" s="5" t="s">
        <v>8013</v>
      </c>
      <c r="G2790" s="6" t="s">
        <v>68</v>
      </c>
      <c r="H2790" s="4"/>
      <c r="I2790" s="5" t="s">
        <v>22</v>
      </c>
      <c r="J2790" s="5" t="s">
        <v>8018</v>
      </c>
      <c r="K2790" s="5" t="s">
        <v>7817</v>
      </c>
      <c r="L2790" s="5" t="s">
        <v>8019</v>
      </c>
      <c r="M2790" s="5" t="s">
        <v>3094</v>
      </c>
      <c r="N2790" s="5" t="s">
        <v>3638</v>
      </c>
      <c r="O2790" s="5" t="s">
        <v>7818</v>
      </c>
      <c r="P2790" s="5"/>
      <c r="Q2790" s="5" t="s">
        <v>8020</v>
      </c>
    </row>
    <row r="2791" spans="2:17" x14ac:dyDescent="0.2">
      <c r="B2791" s="5" t="s">
        <v>7816</v>
      </c>
      <c r="C2791" s="6" t="s">
        <v>13590</v>
      </c>
      <c r="D2791" s="4">
        <v>118</v>
      </c>
      <c r="E2791" s="5" t="s">
        <v>24</v>
      </c>
      <c r="F2791" s="5" t="s">
        <v>8122</v>
      </c>
      <c r="G2791" s="6" t="s">
        <v>273</v>
      </c>
      <c r="H2791" s="4"/>
      <c r="I2791" s="5"/>
      <c r="J2791" s="5" t="s">
        <v>8122</v>
      </c>
      <c r="K2791" s="5" t="s">
        <v>8039</v>
      </c>
      <c r="L2791" s="5" t="s">
        <v>8123</v>
      </c>
      <c r="M2791" s="5" t="s">
        <v>3438</v>
      </c>
      <c r="N2791" s="5" t="s">
        <v>3438</v>
      </c>
      <c r="O2791" s="5" t="s">
        <v>7837</v>
      </c>
      <c r="P2791" s="5"/>
      <c r="Q2791" s="5" t="s">
        <v>8124</v>
      </c>
    </row>
    <row r="2792" spans="2:17" x14ac:dyDescent="0.2">
      <c r="B2792" s="5" t="s">
        <v>7678</v>
      </c>
      <c r="C2792" s="6" t="s">
        <v>13590</v>
      </c>
      <c r="D2792" s="4">
        <v>9</v>
      </c>
      <c r="E2792" s="5" t="s">
        <v>20</v>
      </c>
      <c r="F2792" s="5" t="s">
        <v>7772</v>
      </c>
      <c r="G2792" s="6" t="s">
        <v>53</v>
      </c>
      <c r="H2792" s="4"/>
      <c r="I2792" s="5" t="s">
        <v>22</v>
      </c>
      <c r="J2792" s="5" t="s">
        <v>7773</v>
      </c>
      <c r="K2792" s="5" t="s">
        <v>7693</v>
      </c>
      <c r="L2792" s="5"/>
      <c r="M2792" s="5" t="s">
        <v>422</v>
      </c>
      <c r="N2792" s="5" t="s">
        <v>423</v>
      </c>
      <c r="O2792" s="5" t="s">
        <v>7692</v>
      </c>
      <c r="P2792" s="5"/>
      <c r="Q2792" s="5" t="s">
        <v>7774</v>
      </c>
    </row>
    <row r="2793" spans="2:17" x14ac:dyDescent="0.2">
      <c r="B2793" s="5" t="s">
        <v>7816</v>
      </c>
      <c r="C2793" s="6" t="s">
        <v>13590</v>
      </c>
      <c r="D2793" s="4">
        <v>57</v>
      </c>
      <c r="E2793" s="5" t="s">
        <v>20</v>
      </c>
      <c r="F2793" s="5" t="s">
        <v>8041</v>
      </c>
      <c r="G2793" s="6" t="s">
        <v>53</v>
      </c>
      <c r="H2793" s="4"/>
      <c r="I2793" s="5" t="s">
        <v>22</v>
      </c>
      <c r="J2793" s="5" t="s">
        <v>8042</v>
      </c>
      <c r="K2793" s="5" t="s">
        <v>7832</v>
      </c>
      <c r="L2793" s="5"/>
      <c r="M2793" s="5" t="s">
        <v>417</v>
      </c>
      <c r="N2793" s="5" t="s">
        <v>417</v>
      </c>
      <c r="O2793" s="5" t="s">
        <v>7833</v>
      </c>
      <c r="P2793" s="5"/>
      <c r="Q2793" s="5" t="s">
        <v>8043</v>
      </c>
    </row>
    <row r="2794" spans="2:17" x14ac:dyDescent="0.2">
      <c r="B2794" s="5" t="s">
        <v>7816</v>
      </c>
      <c r="C2794" s="6" t="s">
        <v>13590</v>
      </c>
      <c r="D2794" s="4">
        <v>119</v>
      </c>
      <c r="E2794" s="5" t="s">
        <v>20</v>
      </c>
      <c r="F2794" s="5" t="s">
        <v>8150</v>
      </c>
      <c r="G2794" s="6" t="s">
        <v>48</v>
      </c>
      <c r="H2794" s="4"/>
      <c r="I2794" s="5" t="s">
        <v>22</v>
      </c>
      <c r="J2794" s="5" t="s">
        <v>8151</v>
      </c>
      <c r="K2794" s="5" t="s">
        <v>8152</v>
      </c>
      <c r="L2794" s="5"/>
      <c r="M2794" s="5" t="s">
        <v>513</v>
      </c>
      <c r="N2794" s="5" t="s">
        <v>843</v>
      </c>
      <c r="O2794" s="5" t="s">
        <v>7822</v>
      </c>
      <c r="P2794" s="5"/>
      <c r="Q2794" s="5" t="s">
        <v>8153</v>
      </c>
    </row>
    <row r="2795" spans="2:17" x14ac:dyDescent="0.2">
      <c r="B2795" s="5" t="s">
        <v>7816</v>
      </c>
      <c r="C2795" s="6" t="s">
        <v>13590</v>
      </c>
      <c r="D2795" s="4">
        <v>41</v>
      </c>
      <c r="E2795" s="5" t="s">
        <v>20</v>
      </c>
      <c r="F2795" s="5" t="s">
        <v>8129</v>
      </c>
      <c r="G2795" s="6" t="s">
        <v>40</v>
      </c>
      <c r="H2795" s="4"/>
      <c r="I2795" s="5" t="s">
        <v>22</v>
      </c>
      <c r="J2795" s="5" t="s">
        <v>8130</v>
      </c>
      <c r="K2795" s="5" t="s">
        <v>7835</v>
      </c>
      <c r="L2795" s="5" t="s">
        <v>8131</v>
      </c>
      <c r="M2795" s="5" t="s">
        <v>2421</v>
      </c>
      <c r="N2795" s="5" t="s">
        <v>2421</v>
      </c>
      <c r="O2795" s="5" t="s">
        <v>7822</v>
      </c>
      <c r="P2795" s="5"/>
      <c r="Q2795" s="5" t="s">
        <v>8132</v>
      </c>
    </row>
    <row r="2796" spans="2:17" x14ac:dyDescent="0.2">
      <c r="B2796" s="5" t="s">
        <v>7816</v>
      </c>
      <c r="C2796" s="6" t="s">
        <v>13590</v>
      </c>
      <c r="D2796" s="4">
        <v>46</v>
      </c>
      <c r="E2796" s="5" t="s">
        <v>20</v>
      </c>
      <c r="F2796" s="5" t="s">
        <v>8079</v>
      </c>
      <c r="G2796" s="6" t="s">
        <v>40</v>
      </c>
      <c r="H2796" s="4"/>
      <c r="I2796" s="5" t="s">
        <v>22</v>
      </c>
      <c r="J2796" s="5" t="s">
        <v>8080</v>
      </c>
      <c r="K2796" s="5" t="s">
        <v>7821</v>
      </c>
      <c r="L2796" s="5" t="s">
        <v>8081</v>
      </c>
      <c r="M2796" s="5" t="s">
        <v>3271</v>
      </c>
      <c r="N2796" s="5" t="s">
        <v>3271</v>
      </c>
      <c r="O2796" s="5" t="s">
        <v>7822</v>
      </c>
      <c r="P2796" s="5"/>
      <c r="Q2796" s="5" t="s">
        <v>8082</v>
      </c>
    </row>
    <row r="2797" spans="2:17" x14ac:dyDescent="0.2">
      <c r="B2797" s="5" t="s">
        <v>7816</v>
      </c>
      <c r="C2797" s="6" t="s">
        <v>13590</v>
      </c>
      <c r="D2797" s="4">
        <v>50</v>
      </c>
      <c r="E2797" s="5" t="s">
        <v>15</v>
      </c>
      <c r="F2797" s="5" t="s">
        <v>8057</v>
      </c>
      <c r="G2797" s="6" t="s">
        <v>40</v>
      </c>
      <c r="H2797" s="4"/>
      <c r="I2797" s="5"/>
      <c r="J2797" s="5" t="s">
        <v>8058</v>
      </c>
      <c r="K2797" s="5" t="s">
        <v>7817</v>
      </c>
      <c r="L2797" s="5"/>
      <c r="M2797" s="5" t="s">
        <v>157</v>
      </c>
      <c r="N2797" s="5" t="s">
        <v>157</v>
      </c>
      <c r="O2797" s="5" t="s">
        <v>7818</v>
      </c>
      <c r="P2797" s="5"/>
      <c r="Q2797" s="5" t="s">
        <v>8059</v>
      </c>
    </row>
    <row r="2798" spans="2:17" x14ac:dyDescent="0.2">
      <c r="B2798" s="5" t="s">
        <v>7816</v>
      </c>
      <c r="C2798" s="6" t="s">
        <v>13590</v>
      </c>
      <c r="D2798" s="4">
        <v>75</v>
      </c>
      <c r="E2798" s="5" t="s">
        <v>13</v>
      </c>
      <c r="F2798" s="5" t="s">
        <v>7945</v>
      </c>
      <c r="G2798" s="6" t="s">
        <v>40</v>
      </c>
      <c r="H2798" s="4"/>
      <c r="I2798" s="5" t="s">
        <v>22</v>
      </c>
      <c r="J2798" s="5" t="s">
        <v>7946</v>
      </c>
      <c r="K2798" s="5" t="s">
        <v>7947</v>
      </c>
      <c r="L2798" s="5"/>
      <c r="M2798" s="5" t="s">
        <v>296</v>
      </c>
      <c r="N2798" s="5" t="s">
        <v>296</v>
      </c>
      <c r="O2798" s="5" t="s">
        <v>7822</v>
      </c>
      <c r="P2798" s="5"/>
      <c r="Q2798" s="5" t="s">
        <v>7948</v>
      </c>
    </row>
    <row r="2799" spans="2:17" x14ac:dyDescent="0.2">
      <c r="B2799" s="5" t="s">
        <v>7816</v>
      </c>
      <c r="C2799" s="6" t="s">
        <v>13590</v>
      </c>
      <c r="D2799" s="4">
        <v>93</v>
      </c>
      <c r="E2799" s="5" t="s">
        <v>24</v>
      </c>
      <c r="F2799" s="5" t="s">
        <v>8159</v>
      </c>
      <c r="G2799" s="6" t="s">
        <v>40</v>
      </c>
      <c r="H2799" s="4"/>
      <c r="I2799" s="5"/>
      <c r="J2799" s="5" t="s">
        <v>8160</v>
      </c>
      <c r="K2799" s="5" t="s">
        <v>7821</v>
      </c>
      <c r="L2799" s="5"/>
      <c r="M2799" s="5" t="s">
        <v>1704</v>
      </c>
      <c r="N2799" s="5" t="s">
        <v>4765</v>
      </c>
      <c r="O2799" s="5" t="s">
        <v>7822</v>
      </c>
      <c r="P2799" s="5"/>
      <c r="Q2799" s="5" t="s">
        <v>8158</v>
      </c>
    </row>
    <row r="2800" spans="2:17" x14ac:dyDescent="0.2">
      <c r="B2800" s="5" t="s">
        <v>7816</v>
      </c>
      <c r="C2800" s="6" t="s">
        <v>13590</v>
      </c>
      <c r="D2800" s="4">
        <v>52</v>
      </c>
      <c r="E2800" s="5" t="s">
        <v>20</v>
      </c>
      <c r="F2800" s="5" t="s">
        <v>8063</v>
      </c>
      <c r="G2800" s="6" t="s">
        <v>26</v>
      </c>
      <c r="H2800" s="4"/>
      <c r="I2800" s="5" t="s">
        <v>22</v>
      </c>
      <c r="J2800" s="5" t="s">
        <v>8064</v>
      </c>
      <c r="K2800" s="5" t="s">
        <v>7825</v>
      </c>
      <c r="L2800" s="5" t="s">
        <v>8065</v>
      </c>
      <c r="M2800" s="5" t="s">
        <v>163</v>
      </c>
      <c r="N2800" s="5" t="s">
        <v>153</v>
      </c>
      <c r="O2800" s="5" t="s">
        <v>7826</v>
      </c>
      <c r="P2800" s="5"/>
      <c r="Q2800" s="5" t="s">
        <v>8066</v>
      </c>
    </row>
    <row r="2801" spans="2:17" x14ac:dyDescent="0.2">
      <c r="B2801" s="5" t="s">
        <v>7816</v>
      </c>
      <c r="C2801" s="6" t="s">
        <v>13590</v>
      </c>
      <c r="D2801" s="4">
        <v>56</v>
      </c>
      <c r="E2801" s="5" t="s">
        <v>20</v>
      </c>
      <c r="F2801" s="5" t="s">
        <v>8044</v>
      </c>
      <c r="G2801" s="6" t="s">
        <v>26</v>
      </c>
      <c r="H2801" s="4"/>
      <c r="I2801" s="5" t="s">
        <v>22</v>
      </c>
      <c r="J2801" s="5" t="s">
        <v>8045</v>
      </c>
      <c r="K2801" s="5" t="s">
        <v>7825</v>
      </c>
      <c r="L2801" s="5" t="s">
        <v>8046</v>
      </c>
      <c r="M2801" s="5" t="s">
        <v>423</v>
      </c>
      <c r="N2801" s="5" t="s">
        <v>4373</v>
      </c>
      <c r="O2801" s="5" t="s">
        <v>7826</v>
      </c>
      <c r="P2801" s="5"/>
      <c r="Q2801" s="5" t="s">
        <v>8047</v>
      </c>
    </row>
    <row r="2802" spans="2:17" x14ac:dyDescent="0.2">
      <c r="B2802" s="5" t="s">
        <v>7678</v>
      </c>
      <c r="C2802" s="6" t="s">
        <v>13590</v>
      </c>
      <c r="D2802" s="4">
        <v>4</v>
      </c>
      <c r="E2802" s="5" t="s">
        <v>20</v>
      </c>
      <c r="F2802" s="5" t="s">
        <v>7790</v>
      </c>
      <c r="G2802" s="6" t="s">
        <v>72</v>
      </c>
      <c r="H2802" s="4"/>
      <c r="I2802" s="5" t="s">
        <v>22</v>
      </c>
      <c r="J2802" s="5" t="s">
        <v>7791</v>
      </c>
      <c r="K2802" s="5" t="s">
        <v>7726</v>
      </c>
      <c r="L2802" s="5"/>
      <c r="M2802" s="5" t="s">
        <v>1843</v>
      </c>
      <c r="N2802" s="5" t="s">
        <v>204</v>
      </c>
      <c r="O2802" s="5" t="s">
        <v>7690</v>
      </c>
      <c r="P2802" s="5"/>
      <c r="Q2802" s="5" t="s">
        <v>7792</v>
      </c>
    </row>
    <row r="2803" spans="2:17" x14ac:dyDescent="0.2">
      <c r="B2803" s="5" t="s">
        <v>1164</v>
      </c>
      <c r="C2803" s="6" t="s">
        <v>13587</v>
      </c>
      <c r="D2803" s="4">
        <v>367</v>
      </c>
      <c r="E2803" s="5" t="s">
        <v>35</v>
      </c>
      <c r="F2803" s="5" t="s">
        <v>1409</v>
      </c>
      <c r="G2803" s="6" t="s">
        <v>41</v>
      </c>
      <c r="H2803" s="4"/>
      <c r="I2803" s="5"/>
      <c r="J2803" s="5" t="s">
        <v>1410</v>
      </c>
      <c r="K2803" s="5" t="s">
        <v>1411</v>
      </c>
      <c r="L2803" s="5" t="s">
        <v>1412</v>
      </c>
      <c r="M2803" s="5" t="s">
        <v>330</v>
      </c>
      <c r="N2803" s="5" t="s">
        <v>1384</v>
      </c>
      <c r="O2803" s="5" t="s">
        <v>1166</v>
      </c>
      <c r="P2803" s="5"/>
      <c r="Q2803" s="5" t="s">
        <v>1413</v>
      </c>
    </row>
    <row r="2804" spans="2:17" x14ac:dyDescent="0.2">
      <c r="B2804" s="5" t="s">
        <v>1164</v>
      </c>
      <c r="C2804" s="6" t="s">
        <v>13587</v>
      </c>
      <c r="D2804" s="4">
        <v>416</v>
      </c>
      <c r="E2804" s="5" t="s">
        <v>35</v>
      </c>
      <c r="F2804" s="5" t="s">
        <v>1224</v>
      </c>
      <c r="G2804" s="6" t="s">
        <v>41</v>
      </c>
      <c r="H2804" s="4"/>
      <c r="I2804" s="5"/>
      <c r="J2804" s="5" t="s">
        <v>1225</v>
      </c>
      <c r="K2804" s="5" t="s">
        <v>1194</v>
      </c>
      <c r="L2804" s="5"/>
      <c r="M2804" s="5" t="s">
        <v>1226</v>
      </c>
      <c r="N2804" s="5" t="s">
        <v>1226</v>
      </c>
      <c r="O2804" s="5" t="s">
        <v>1170</v>
      </c>
      <c r="P2804" s="5"/>
      <c r="Q2804" s="5" t="s">
        <v>1227</v>
      </c>
    </row>
    <row r="2805" spans="2:17" x14ac:dyDescent="0.2">
      <c r="B2805" s="5" t="s">
        <v>1164</v>
      </c>
      <c r="C2805" s="6" t="s">
        <v>13587</v>
      </c>
      <c r="D2805" s="4">
        <v>434</v>
      </c>
      <c r="E2805" s="5" t="s">
        <v>24</v>
      </c>
      <c r="F2805" s="5" t="s">
        <v>1644</v>
      </c>
      <c r="G2805" s="6" t="s">
        <v>41</v>
      </c>
      <c r="H2805" s="4"/>
      <c r="I2805" s="5"/>
      <c r="J2805" s="5" t="s">
        <v>1645</v>
      </c>
      <c r="K2805" s="5" t="s">
        <v>1338</v>
      </c>
      <c r="L2805" s="5"/>
      <c r="M2805" s="5" t="s">
        <v>484</v>
      </c>
      <c r="N2805" s="5" t="s">
        <v>484</v>
      </c>
      <c r="O2805" s="5" t="s">
        <v>1170</v>
      </c>
      <c r="P2805" s="5"/>
      <c r="Q2805" s="5" t="s">
        <v>1646</v>
      </c>
    </row>
    <row r="2806" spans="2:17" x14ac:dyDescent="0.2">
      <c r="B2806" s="5" t="s">
        <v>1906</v>
      </c>
      <c r="C2806" s="6" t="s">
        <v>13587</v>
      </c>
      <c r="D2806" s="4">
        <v>532</v>
      </c>
      <c r="E2806" s="5" t="s">
        <v>20</v>
      </c>
      <c r="F2806" s="5" t="s">
        <v>2205</v>
      </c>
      <c r="G2806" s="6" t="s">
        <v>41</v>
      </c>
      <c r="H2806" s="4"/>
      <c r="I2806" s="5" t="s">
        <v>38</v>
      </c>
      <c r="J2806" s="5" t="s">
        <v>2206</v>
      </c>
      <c r="K2806" s="5" t="s">
        <v>2207</v>
      </c>
      <c r="L2806" s="5"/>
      <c r="M2806" s="5" t="s">
        <v>211</v>
      </c>
      <c r="N2806" s="5" t="s">
        <v>207</v>
      </c>
      <c r="O2806" s="5" t="s">
        <v>1930</v>
      </c>
      <c r="P2806" s="5"/>
      <c r="Q2806" s="5" t="s">
        <v>2208</v>
      </c>
    </row>
    <row r="2807" spans="2:17" x14ac:dyDescent="0.2">
      <c r="B2807" s="5" t="s">
        <v>2535</v>
      </c>
      <c r="C2807" s="6" t="s">
        <v>13587</v>
      </c>
      <c r="D2807" s="4">
        <v>725</v>
      </c>
      <c r="E2807" s="5" t="s">
        <v>15</v>
      </c>
      <c r="F2807" s="5" t="s">
        <v>2654</v>
      </c>
      <c r="G2807" s="6" t="s">
        <v>41</v>
      </c>
      <c r="H2807" s="4"/>
      <c r="I2807" s="5"/>
      <c r="J2807" s="5" t="s">
        <v>2655</v>
      </c>
      <c r="K2807" s="5" t="s">
        <v>2543</v>
      </c>
      <c r="L2807" s="5"/>
      <c r="M2807" s="5" t="s">
        <v>804</v>
      </c>
      <c r="N2807" s="5" t="s">
        <v>1464</v>
      </c>
      <c r="O2807" s="5" t="s">
        <v>2536</v>
      </c>
      <c r="P2807" s="5"/>
      <c r="Q2807" s="5" t="s">
        <v>2656</v>
      </c>
    </row>
    <row r="2808" spans="2:17" x14ac:dyDescent="0.2">
      <c r="B2808" s="5" t="s">
        <v>2758</v>
      </c>
      <c r="C2808" s="6" t="s">
        <v>13587</v>
      </c>
      <c r="D2808" s="4">
        <v>792</v>
      </c>
      <c r="E2808" s="5" t="s">
        <v>15</v>
      </c>
      <c r="F2808" s="5" t="s">
        <v>3453</v>
      </c>
      <c r="G2808" s="6" t="s">
        <v>41</v>
      </c>
      <c r="H2808" s="4"/>
      <c r="I2808" s="5"/>
      <c r="J2808" s="5" t="s">
        <v>3454</v>
      </c>
      <c r="K2808" s="5" t="s">
        <v>2768</v>
      </c>
      <c r="L2808" s="5"/>
      <c r="M2808" s="5" t="s">
        <v>3455</v>
      </c>
      <c r="N2808" s="5" t="s">
        <v>538</v>
      </c>
      <c r="O2808" s="5" t="s">
        <v>2762</v>
      </c>
      <c r="P2808" s="5" t="s">
        <v>3456</v>
      </c>
      <c r="Q2808" s="5" t="s">
        <v>3457</v>
      </c>
    </row>
    <row r="2809" spans="2:17" x14ac:dyDescent="0.2">
      <c r="B2809" s="5" t="s">
        <v>2758</v>
      </c>
      <c r="C2809" s="6" t="s">
        <v>13587</v>
      </c>
      <c r="D2809" s="4">
        <v>894</v>
      </c>
      <c r="E2809" s="5" t="s">
        <v>82</v>
      </c>
      <c r="F2809" s="5" t="s">
        <v>3059</v>
      </c>
      <c r="G2809" s="6" t="s">
        <v>41</v>
      </c>
      <c r="H2809" s="4"/>
      <c r="I2809" s="5"/>
      <c r="J2809" s="5"/>
      <c r="K2809" s="5" t="s">
        <v>2792</v>
      </c>
      <c r="L2809" s="5"/>
      <c r="M2809" s="5" t="s">
        <v>2089</v>
      </c>
      <c r="N2809" s="5" t="s">
        <v>3053</v>
      </c>
      <c r="O2809" s="5" t="s">
        <v>2762</v>
      </c>
      <c r="P2809" s="5" t="s">
        <v>3060</v>
      </c>
      <c r="Q2809" s="5" t="s">
        <v>3061</v>
      </c>
    </row>
    <row r="2810" spans="2:17" x14ac:dyDescent="0.2">
      <c r="B2810" s="5" t="s">
        <v>2758</v>
      </c>
      <c r="C2810" s="6" t="s">
        <v>13587</v>
      </c>
      <c r="D2810" s="4">
        <v>922</v>
      </c>
      <c r="E2810" s="5" t="s">
        <v>13</v>
      </c>
      <c r="F2810" s="5" t="s">
        <v>2955</v>
      </c>
      <c r="G2810" s="6" t="s">
        <v>41</v>
      </c>
      <c r="H2810" s="4"/>
      <c r="I2810" s="5"/>
      <c r="J2810" s="5"/>
      <c r="K2810" s="5" t="s">
        <v>2785</v>
      </c>
      <c r="L2810" s="5"/>
      <c r="M2810" s="5" t="s">
        <v>330</v>
      </c>
      <c r="N2810" s="5" t="s">
        <v>330</v>
      </c>
      <c r="O2810" s="5" t="s">
        <v>2762</v>
      </c>
      <c r="P2810" s="5" t="s">
        <v>2956</v>
      </c>
      <c r="Q2810" s="5" t="s">
        <v>2957</v>
      </c>
    </row>
    <row r="2811" spans="2:17" x14ac:dyDescent="0.2">
      <c r="B2811" s="5" t="s">
        <v>2758</v>
      </c>
      <c r="C2811" s="6" t="s">
        <v>13587</v>
      </c>
      <c r="D2811" s="4">
        <v>925</v>
      </c>
      <c r="E2811" s="5" t="s">
        <v>15</v>
      </c>
      <c r="F2811" s="5" t="s">
        <v>2953</v>
      </c>
      <c r="G2811" s="6" t="s">
        <v>41</v>
      </c>
      <c r="H2811" s="4"/>
      <c r="I2811" s="5"/>
      <c r="J2811" s="5" t="s">
        <v>2953</v>
      </c>
      <c r="K2811" s="5" t="s">
        <v>2785</v>
      </c>
      <c r="L2811" s="5"/>
      <c r="M2811" s="5" t="s">
        <v>330</v>
      </c>
      <c r="N2811" s="5" t="s">
        <v>1384</v>
      </c>
      <c r="O2811" s="5" t="s">
        <v>2762</v>
      </c>
      <c r="P2811" s="5"/>
      <c r="Q2811" s="5" t="s">
        <v>2954</v>
      </c>
    </row>
    <row r="2812" spans="2:17" x14ac:dyDescent="0.2">
      <c r="B2812" s="5" t="s">
        <v>2758</v>
      </c>
      <c r="C2812" s="6" t="s">
        <v>13587</v>
      </c>
      <c r="D2812" s="4">
        <v>972</v>
      </c>
      <c r="E2812" s="5" t="s">
        <v>24</v>
      </c>
      <c r="F2812" s="5" t="s">
        <v>3124</v>
      </c>
      <c r="G2812" s="6" t="s">
        <v>41</v>
      </c>
      <c r="H2812" s="4"/>
      <c r="I2812" s="5"/>
      <c r="J2812" s="5" t="s">
        <v>3125</v>
      </c>
      <c r="K2812" s="5" t="s">
        <v>2786</v>
      </c>
      <c r="L2812" s="5"/>
      <c r="M2812" s="5" t="s">
        <v>2134</v>
      </c>
      <c r="N2812" s="5" t="s">
        <v>2134</v>
      </c>
      <c r="O2812" s="5" t="s">
        <v>2762</v>
      </c>
      <c r="P2812" s="5"/>
      <c r="Q2812" s="5" t="s">
        <v>3126</v>
      </c>
    </row>
    <row r="2813" spans="2:17" x14ac:dyDescent="0.2">
      <c r="B2813" s="5" t="s">
        <v>2758</v>
      </c>
      <c r="C2813" s="6" t="s">
        <v>13587</v>
      </c>
      <c r="D2813" s="4">
        <v>981</v>
      </c>
      <c r="E2813" s="5" t="s">
        <v>24</v>
      </c>
      <c r="F2813" s="5" t="s">
        <v>3440</v>
      </c>
      <c r="G2813" s="6" t="s">
        <v>41</v>
      </c>
      <c r="H2813" s="4"/>
      <c r="I2813" s="5"/>
      <c r="J2813" s="5" t="s">
        <v>3441</v>
      </c>
      <c r="K2813" s="5" t="s">
        <v>2783</v>
      </c>
      <c r="L2813" s="5"/>
      <c r="M2813" s="5" t="s">
        <v>2236</v>
      </c>
      <c r="N2813" s="5" t="s">
        <v>224</v>
      </c>
      <c r="O2813" s="5" t="s">
        <v>2762</v>
      </c>
      <c r="P2813" s="5" t="s">
        <v>3442</v>
      </c>
      <c r="Q2813" s="5" t="s">
        <v>3443</v>
      </c>
    </row>
    <row r="2814" spans="2:17" x14ac:dyDescent="0.2">
      <c r="B2814" s="5" t="s">
        <v>544</v>
      </c>
      <c r="C2814" s="6" t="s">
        <v>13587</v>
      </c>
      <c r="D2814" s="4">
        <v>282</v>
      </c>
      <c r="E2814" s="5" t="s">
        <v>35</v>
      </c>
      <c r="F2814" s="5" t="s">
        <v>876</v>
      </c>
      <c r="G2814" s="6" t="s">
        <v>877</v>
      </c>
      <c r="H2814" s="4"/>
      <c r="I2814" s="5"/>
      <c r="J2814" s="5" t="s">
        <v>878</v>
      </c>
      <c r="K2814" s="5" t="s">
        <v>831</v>
      </c>
      <c r="L2814" s="5"/>
      <c r="M2814" s="5" t="s">
        <v>866</v>
      </c>
      <c r="N2814" s="5" t="s">
        <v>866</v>
      </c>
      <c r="O2814" s="5" t="s">
        <v>816</v>
      </c>
      <c r="P2814" s="5"/>
      <c r="Q2814" s="5" t="s">
        <v>879</v>
      </c>
    </row>
    <row r="2815" spans="2:17" x14ac:dyDescent="0.2">
      <c r="B2815" s="5" t="s">
        <v>544</v>
      </c>
      <c r="C2815" s="6" t="s">
        <v>13587</v>
      </c>
      <c r="D2815" s="4">
        <v>284</v>
      </c>
      <c r="E2815" s="5" t="s">
        <v>35</v>
      </c>
      <c r="F2815" s="5" t="s">
        <v>1155</v>
      </c>
      <c r="G2815" s="6" t="s">
        <v>877</v>
      </c>
      <c r="H2815" s="4"/>
      <c r="I2815" s="5"/>
      <c r="J2815" s="5" t="s">
        <v>892</v>
      </c>
      <c r="K2815" s="5" t="s">
        <v>831</v>
      </c>
      <c r="L2815" s="5"/>
      <c r="M2815" s="5" t="s">
        <v>513</v>
      </c>
      <c r="N2815" s="5" t="s">
        <v>513</v>
      </c>
      <c r="O2815" s="5" t="s">
        <v>816</v>
      </c>
      <c r="P2815" s="5"/>
      <c r="Q2815" s="5" t="s">
        <v>1156</v>
      </c>
    </row>
    <row r="2816" spans="2:17" x14ac:dyDescent="0.2">
      <c r="B2816" s="5" t="s">
        <v>92</v>
      </c>
      <c r="C2816" s="6" t="s">
        <v>13587</v>
      </c>
      <c r="D2816" s="4">
        <v>4</v>
      </c>
      <c r="E2816" s="5" t="s">
        <v>20</v>
      </c>
      <c r="F2816" s="5" t="s">
        <v>226</v>
      </c>
      <c r="G2816" s="6" t="s">
        <v>34</v>
      </c>
      <c r="H2816" s="4"/>
      <c r="I2816" s="5" t="s">
        <v>22</v>
      </c>
      <c r="J2816" s="5" t="s">
        <v>227</v>
      </c>
      <c r="K2816" s="5" t="s">
        <v>111</v>
      </c>
      <c r="L2816" s="5" t="s">
        <v>228</v>
      </c>
      <c r="M2816" s="5" t="s">
        <v>229</v>
      </c>
      <c r="N2816" s="5" t="s">
        <v>230</v>
      </c>
      <c r="O2816" s="5" t="s">
        <v>98</v>
      </c>
      <c r="P2816" s="5"/>
      <c r="Q2816" s="5" t="s">
        <v>231</v>
      </c>
    </row>
    <row r="2817" spans="2:17" x14ac:dyDescent="0.2">
      <c r="B2817" s="5" t="s">
        <v>92</v>
      </c>
      <c r="C2817" s="6" t="s">
        <v>13587</v>
      </c>
      <c r="D2817" s="4">
        <v>8</v>
      </c>
      <c r="E2817" s="5" t="s">
        <v>20</v>
      </c>
      <c r="F2817" s="5" t="s">
        <v>190</v>
      </c>
      <c r="G2817" s="6" t="s">
        <v>34</v>
      </c>
      <c r="H2817" s="4"/>
      <c r="I2817" s="5" t="s">
        <v>22</v>
      </c>
      <c r="J2817" s="5" t="s">
        <v>191</v>
      </c>
      <c r="K2817" s="5" t="s">
        <v>111</v>
      </c>
      <c r="L2817" s="5"/>
      <c r="M2817" s="5" t="s">
        <v>192</v>
      </c>
      <c r="N2817" s="5" t="s">
        <v>193</v>
      </c>
      <c r="O2817" s="5" t="s">
        <v>98</v>
      </c>
      <c r="P2817" s="5"/>
      <c r="Q2817" s="5" t="s">
        <v>194</v>
      </c>
    </row>
    <row r="2818" spans="2:17" x14ac:dyDescent="0.2">
      <c r="B2818" s="5" t="s">
        <v>92</v>
      </c>
      <c r="C2818" s="6" t="s">
        <v>13587</v>
      </c>
      <c r="D2818" s="4">
        <v>22</v>
      </c>
      <c r="E2818" s="5" t="s">
        <v>35</v>
      </c>
      <c r="F2818" s="5" t="s">
        <v>114</v>
      </c>
      <c r="G2818" s="6" t="s">
        <v>34</v>
      </c>
      <c r="H2818" s="4"/>
      <c r="I2818" s="5"/>
      <c r="J2818" s="5" t="s">
        <v>115</v>
      </c>
      <c r="K2818" s="5" t="s">
        <v>116</v>
      </c>
      <c r="L2818" s="5"/>
      <c r="M2818" s="5" t="s">
        <v>117</v>
      </c>
      <c r="N2818" s="5" t="s">
        <v>118</v>
      </c>
      <c r="O2818" s="5" t="s">
        <v>107</v>
      </c>
      <c r="P2818" s="5"/>
      <c r="Q2818" s="5" t="s">
        <v>119</v>
      </c>
    </row>
    <row r="2819" spans="2:17" x14ac:dyDescent="0.2">
      <c r="B2819" s="5" t="s">
        <v>92</v>
      </c>
      <c r="C2819" s="6" t="s">
        <v>13587</v>
      </c>
      <c r="D2819" s="4">
        <v>30</v>
      </c>
      <c r="E2819" s="5" t="s">
        <v>13</v>
      </c>
      <c r="F2819" s="5" t="s">
        <v>129</v>
      </c>
      <c r="G2819" s="6" t="s">
        <v>34</v>
      </c>
      <c r="H2819" s="4"/>
      <c r="I2819" s="5"/>
      <c r="J2819" s="5" t="s">
        <v>130</v>
      </c>
      <c r="K2819" s="5" t="s">
        <v>116</v>
      </c>
      <c r="L2819" s="5"/>
      <c r="M2819" s="5" t="s">
        <v>131</v>
      </c>
      <c r="N2819" s="5" t="s">
        <v>132</v>
      </c>
      <c r="O2819" s="5" t="s">
        <v>107</v>
      </c>
      <c r="P2819" s="5"/>
      <c r="Q2819" s="5" t="s">
        <v>133</v>
      </c>
    </row>
    <row r="2820" spans="2:17" x14ac:dyDescent="0.2">
      <c r="B2820" s="5" t="s">
        <v>278</v>
      </c>
      <c r="C2820" s="6" t="s">
        <v>13587</v>
      </c>
      <c r="D2820" s="4">
        <v>64</v>
      </c>
      <c r="E2820" s="5" t="s">
        <v>15</v>
      </c>
      <c r="F2820" s="5" t="s">
        <v>338</v>
      </c>
      <c r="G2820" s="6" t="s">
        <v>34</v>
      </c>
      <c r="H2820" s="4"/>
      <c r="I2820" s="5" t="s">
        <v>22</v>
      </c>
      <c r="J2820" s="5" t="s">
        <v>339</v>
      </c>
      <c r="K2820" s="5" t="s">
        <v>300</v>
      </c>
      <c r="L2820" s="5" t="s">
        <v>340</v>
      </c>
      <c r="M2820" s="5" t="s">
        <v>341</v>
      </c>
      <c r="N2820" s="5" t="s">
        <v>342</v>
      </c>
      <c r="O2820" s="5" t="s">
        <v>285</v>
      </c>
      <c r="P2820" s="5"/>
      <c r="Q2820" s="5" t="s">
        <v>286</v>
      </c>
    </row>
    <row r="2821" spans="2:17" x14ac:dyDescent="0.2">
      <c r="B2821" s="5" t="s">
        <v>544</v>
      </c>
      <c r="C2821" s="6" t="s">
        <v>13587</v>
      </c>
      <c r="D2821" s="4">
        <v>157</v>
      </c>
      <c r="E2821" s="5" t="s">
        <v>35</v>
      </c>
      <c r="F2821" s="5" t="s">
        <v>940</v>
      </c>
      <c r="G2821" s="6" t="s">
        <v>34</v>
      </c>
      <c r="H2821" s="4"/>
      <c r="I2821" s="5"/>
      <c r="J2821" s="5" t="s">
        <v>941</v>
      </c>
      <c r="K2821" s="5" t="s">
        <v>661</v>
      </c>
      <c r="L2821" s="5"/>
      <c r="M2821" s="5" t="s">
        <v>464</v>
      </c>
      <c r="N2821" s="5" t="s">
        <v>464</v>
      </c>
      <c r="O2821" s="5" t="s">
        <v>657</v>
      </c>
      <c r="P2821" s="5"/>
      <c r="Q2821" s="5" t="s">
        <v>942</v>
      </c>
    </row>
    <row r="2822" spans="2:17" x14ac:dyDescent="0.2">
      <c r="B2822" s="5" t="s">
        <v>544</v>
      </c>
      <c r="C2822" s="6" t="s">
        <v>13587</v>
      </c>
      <c r="D2822" s="4">
        <v>182</v>
      </c>
      <c r="E2822" s="5" t="s">
        <v>35</v>
      </c>
      <c r="F2822" s="5" t="s">
        <v>818</v>
      </c>
      <c r="G2822" s="6" t="s">
        <v>34</v>
      </c>
      <c r="H2822" s="4"/>
      <c r="I2822" s="5"/>
      <c r="J2822" s="5" t="s">
        <v>836</v>
      </c>
      <c r="K2822" s="5" t="s">
        <v>820</v>
      </c>
      <c r="L2822" s="5"/>
      <c r="M2822" s="5" t="s">
        <v>804</v>
      </c>
      <c r="N2822" s="5" t="s">
        <v>347</v>
      </c>
      <c r="O2822" s="5" t="s">
        <v>683</v>
      </c>
      <c r="P2822" s="5"/>
      <c r="Q2822" s="5" t="s">
        <v>837</v>
      </c>
    </row>
    <row r="2823" spans="2:17" x14ac:dyDescent="0.2">
      <c r="B2823" s="5" t="s">
        <v>544</v>
      </c>
      <c r="C2823" s="6" t="s">
        <v>13587</v>
      </c>
      <c r="D2823" s="4">
        <v>183</v>
      </c>
      <c r="E2823" s="5" t="s">
        <v>35</v>
      </c>
      <c r="F2823" s="5" t="s">
        <v>818</v>
      </c>
      <c r="G2823" s="6" t="s">
        <v>34</v>
      </c>
      <c r="H2823" s="4"/>
      <c r="I2823" s="5"/>
      <c r="J2823" s="5" t="s">
        <v>838</v>
      </c>
      <c r="K2823" s="5" t="s">
        <v>820</v>
      </c>
      <c r="L2823" s="5"/>
      <c r="M2823" s="5" t="s">
        <v>804</v>
      </c>
      <c r="N2823" s="5" t="s">
        <v>347</v>
      </c>
      <c r="O2823" s="5" t="s">
        <v>683</v>
      </c>
      <c r="P2823" s="5"/>
      <c r="Q2823" s="5" t="s">
        <v>839</v>
      </c>
    </row>
    <row r="2824" spans="2:17" x14ac:dyDescent="0.2">
      <c r="B2824" s="5" t="s">
        <v>544</v>
      </c>
      <c r="C2824" s="6" t="s">
        <v>13587</v>
      </c>
      <c r="D2824" s="4">
        <v>184</v>
      </c>
      <c r="E2824" s="5" t="s">
        <v>35</v>
      </c>
      <c r="F2824" s="5" t="s">
        <v>818</v>
      </c>
      <c r="G2824" s="6" t="s">
        <v>34</v>
      </c>
      <c r="H2824" s="4"/>
      <c r="I2824" s="5"/>
      <c r="J2824" s="5" t="s">
        <v>819</v>
      </c>
      <c r="K2824" s="5" t="s">
        <v>820</v>
      </c>
      <c r="L2824" s="5"/>
      <c r="M2824" s="5" t="s">
        <v>804</v>
      </c>
      <c r="N2824" s="5" t="s">
        <v>347</v>
      </c>
      <c r="O2824" s="5" t="s">
        <v>683</v>
      </c>
      <c r="P2824" s="5"/>
      <c r="Q2824" s="5" t="s">
        <v>821</v>
      </c>
    </row>
    <row r="2825" spans="2:17" x14ac:dyDescent="0.2">
      <c r="B2825" s="5" t="s">
        <v>544</v>
      </c>
      <c r="C2825" s="6" t="s">
        <v>13587</v>
      </c>
      <c r="D2825" s="4">
        <v>190</v>
      </c>
      <c r="E2825" s="5" t="s">
        <v>35</v>
      </c>
      <c r="F2825" s="5" t="s">
        <v>800</v>
      </c>
      <c r="G2825" s="6" t="s">
        <v>34</v>
      </c>
      <c r="H2825" s="4"/>
      <c r="I2825" s="5"/>
      <c r="J2825" s="5" t="s">
        <v>749</v>
      </c>
      <c r="K2825" s="5" t="s">
        <v>679</v>
      </c>
      <c r="L2825" s="5"/>
      <c r="M2825" s="5" t="s">
        <v>341</v>
      </c>
      <c r="N2825" s="5" t="s">
        <v>341</v>
      </c>
      <c r="O2825" s="5" t="s">
        <v>657</v>
      </c>
      <c r="P2825" s="5"/>
      <c r="Q2825" s="5" t="s">
        <v>801</v>
      </c>
    </row>
    <row r="2826" spans="2:17" x14ac:dyDescent="0.2">
      <c r="B2826" s="5" t="s">
        <v>544</v>
      </c>
      <c r="C2826" s="6" t="s">
        <v>13587</v>
      </c>
      <c r="D2826" s="4">
        <v>262</v>
      </c>
      <c r="E2826" s="5" t="s">
        <v>20</v>
      </c>
      <c r="F2826" s="5" t="s">
        <v>570</v>
      </c>
      <c r="G2826" s="6" t="s">
        <v>34</v>
      </c>
      <c r="H2826" s="4"/>
      <c r="I2826" s="5" t="s">
        <v>22</v>
      </c>
      <c r="J2826" s="5" t="s">
        <v>571</v>
      </c>
      <c r="K2826" s="5" t="s">
        <v>572</v>
      </c>
      <c r="L2826" s="5"/>
      <c r="M2826" s="5" t="s">
        <v>573</v>
      </c>
      <c r="N2826" s="5" t="s">
        <v>573</v>
      </c>
      <c r="O2826" s="5" t="s">
        <v>574</v>
      </c>
      <c r="P2826" s="5"/>
      <c r="Q2826" s="5" t="s">
        <v>575</v>
      </c>
    </row>
    <row r="2827" spans="2:17" x14ac:dyDescent="0.2">
      <c r="B2827" s="5" t="s">
        <v>544</v>
      </c>
      <c r="C2827" s="6" t="s">
        <v>13587</v>
      </c>
      <c r="D2827" s="4">
        <v>263</v>
      </c>
      <c r="E2827" s="5" t="s">
        <v>20</v>
      </c>
      <c r="F2827" s="5" t="s">
        <v>570</v>
      </c>
      <c r="G2827" s="6" t="s">
        <v>34</v>
      </c>
      <c r="H2827" s="4"/>
      <c r="I2827" s="5" t="s">
        <v>22</v>
      </c>
      <c r="J2827" s="5" t="s">
        <v>576</v>
      </c>
      <c r="K2827" s="5" t="s">
        <v>572</v>
      </c>
      <c r="L2827" s="5"/>
      <c r="M2827" s="5" t="s">
        <v>573</v>
      </c>
      <c r="N2827" s="5" t="s">
        <v>573</v>
      </c>
      <c r="O2827" s="5" t="s">
        <v>574</v>
      </c>
      <c r="P2827" s="5"/>
      <c r="Q2827" s="5" t="s">
        <v>577</v>
      </c>
    </row>
    <row r="2828" spans="2:17" x14ac:dyDescent="0.2">
      <c r="B2828" s="5" t="s">
        <v>544</v>
      </c>
      <c r="C2828" s="6" t="s">
        <v>13587</v>
      </c>
      <c r="D2828" s="4">
        <v>290</v>
      </c>
      <c r="E2828" s="5" t="s">
        <v>20</v>
      </c>
      <c r="F2828" s="5" t="s">
        <v>840</v>
      </c>
      <c r="G2828" s="6" t="s">
        <v>34</v>
      </c>
      <c r="H2828" s="4"/>
      <c r="I2828" s="5" t="s">
        <v>22</v>
      </c>
      <c r="J2828" s="5" t="s">
        <v>841</v>
      </c>
      <c r="K2828" s="5" t="s">
        <v>842</v>
      </c>
      <c r="L2828" s="5"/>
      <c r="M2828" s="5" t="s">
        <v>843</v>
      </c>
      <c r="N2828" s="5" t="s">
        <v>843</v>
      </c>
      <c r="O2828" s="5" t="s">
        <v>588</v>
      </c>
      <c r="P2828" s="5"/>
      <c r="Q2828" s="5" t="s">
        <v>844</v>
      </c>
    </row>
    <row r="2829" spans="2:17" x14ac:dyDescent="0.2">
      <c r="B2829" s="5" t="s">
        <v>544</v>
      </c>
      <c r="C2829" s="6" t="s">
        <v>13587</v>
      </c>
      <c r="D2829" s="4">
        <v>291</v>
      </c>
      <c r="E2829" s="5" t="s">
        <v>35</v>
      </c>
      <c r="F2829" s="5" t="s">
        <v>840</v>
      </c>
      <c r="G2829" s="6" t="s">
        <v>34</v>
      </c>
      <c r="H2829" s="4"/>
      <c r="I2829" s="5"/>
      <c r="J2829" s="5" t="s">
        <v>862</v>
      </c>
      <c r="K2829" s="5" t="s">
        <v>842</v>
      </c>
      <c r="L2829" s="5"/>
      <c r="M2829" s="5" t="s">
        <v>843</v>
      </c>
      <c r="N2829" s="5" t="s">
        <v>843</v>
      </c>
      <c r="O2829" s="5" t="s">
        <v>588</v>
      </c>
      <c r="P2829" s="5"/>
      <c r="Q2829" s="5" t="s">
        <v>863</v>
      </c>
    </row>
    <row r="2830" spans="2:17" x14ac:dyDescent="0.2">
      <c r="B2830" s="5" t="s">
        <v>1164</v>
      </c>
      <c r="C2830" s="6" t="s">
        <v>13587</v>
      </c>
      <c r="D2830" s="4">
        <v>345</v>
      </c>
      <c r="E2830" s="5" t="s">
        <v>15</v>
      </c>
      <c r="F2830" s="5" t="s">
        <v>1550</v>
      </c>
      <c r="G2830" s="6" t="s">
        <v>34</v>
      </c>
      <c r="H2830" s="4"/>
      <c r="I2830" s="5"/>
      <c r="J2830" s="5" t="s">
        <v>1551</v>
      </c>
      <c r="K2830" s="5" t="s">
        <v>1347</v>
      </c>
      <c r="L2830" s="5"/>
      <c r="M2830" s="5" t="s">
        <v>432</v>
      </c>
      <c r="N2830" s="5" t="s">
        <v>432</v>
      </c>
      <c r="O2830" s="5" t="s">
        <v>1167</v>
      </c>
      <c r="P2830" s="5"/>
      <c r="Q2830" s="5" t="s">
        <v>1552</v>
      </c>
    </row>
    <row r="2831" spans="2:17" x14ac:dyDescent="0.2">
      <c r="B2831" s="5" t="s">
        <v>1164</v>
      </c>
      <c r="C2831" s="6" t="s">
        <v>13587</v>
      </c>
      <c r="D2831" s="4">
        <v>346</v>
      </c>
      <c r="E2831" s="5" t="s">
        <v>20</v>
      </c>
      <c r="F2831" s="5" t="s">
        <v>1546</v>
      </c>
      <c r="G2831" s="6" t="s">
        <v>34</v>
      </c>
      <c r="H2831" s="4"/>
      <c r="I2831" s="5" t="s">
        <v>22</v>
      </c>
      <c r="J2831" s="5" t="s">
        <v>1547</v>
      </c>
      <c r="K2831" s="5" t="s">
        <v>1347</v>
      </c>
      <c r="L2831" s="5"/>
      <c r="M2831" s="5" t="s">
        <v>1548</v>
      </c>
      <c r="N2831" s="5" t="s">
        <v>1548</v>
      </c>
      <c r="O2831" s="5" t="s">
        <v>1167</v>
      </c>
      <c r="P2831" s="5"/>
      <c r="Q2831" s="5" t="s">
        <v>1549</v>
      </c>
    </row>
    <row r="2832" spans="2:17" x14ac:dyDescent="0.2">
      <c r="B2832" s="5" t="s">
        <v>1164</v>
      </c>
      <c r="C2832" s="6" t="s">
        <v>13587</v>
      </c>
      <c r="D2832" s="4">
        <v>408</v>
      </c>
      <c r="E2832" s="5" t="s">
        <v>13</v>
      </c>
      <c r="F2832" s="5" t="s">
        <v>1277</v>
      </c>
      <c r="G2832" s="6" t="s">
        <v>34</v>
      </c>
      <c r="H2832" s="4"/>
      <c r="I2832" s="5"/>
      <c r="J2832" s="5" t="s">
        <v>1278</v>
      </c>
      <c r="K2832" s="5" t="s">
        <v>1279</v>
      </c>
      <c r="L2832" s="5"/>
      <c r="M2832" s="5" t="s">
        <v>1269</v>
      </c>
      <c r="N2832" s="5" t="s">
        <v>1258</v>
      </c>
      <c r="O2832" s="5" t="s">
        <v>1167</v>
      </c>
      <c r="P2832" s="5"/>
      <c r="Q2832" s="5" t="s">
        <v>1280</v>
      </c>
    </row>
    <row r="2833" spans="2:17" x14ac:dyDescent="0.2">
      <c r="B2833" s="5" t="s">
        <v>1164</v>
      </c>
      <c r="C2833" s="6" t="s">
        <v>13587</v>
      </c>
      <c r="D2833" s="4">
        <v>411</v>
      </c>
      <c r="E2833" s="5" t="s">
        <v>82</v>
      </c>
      <c r="F2833" s="5" t="s">
        <v>1249</v>
      </c>
      <c r="G2833" s="6" t="s">
        <v>34</v>
      </c>
      <c r="H2833" s="4"/>
      <c r="I2833" s="5"/>
      <c r="J2833" s="5" t="s">
        <v>1250</v>
      </c>
      <c r="K2833" s="5" t="s">
        <v>1172</v>
      </c>
      <c r="L2833" s="5"/>
      <c r="M2833" s="5" t="s">
        <v>1251</v>
      </c>
      <c r="N2833" s="5" t="s">
        <v>1247</v>
      </c>
      <c r="O2833" s="5" t="s">
        <v>1173</v>
      </c>
      <c r="P2833" s="5"/>
      <c r="Q2833" s="5" t="s">
        <v>1252</v>
      </c>
    </row>
    <row r="2834" spans="2:17" x14ac:dyDescent="0.2">
      <c r="B2834" s="5" t="s">
        <v>1164</v>
      </c>
      <c r="C2834" s="6" t="s">
        <v>13587</v>
      </c>
      <c r="D2834" s="4">
        <v>413</v>
      </c>
      <c r="E2834" s="5" t="s">
        <v>82</v>
      </c>
      <c r="F2834" s="5" t="s">
        <v>1249</v>
      </c>
      <c r="G2834" s="6" t="s">
        <v>34</v>
      </c>
      <c r="H2834" s="4"/>
      <c r="I2834" s="5"/>
      <c r="J2834" s="5" t="s">
        <v>1253</v>
      </c>
      <c r="K2834" s="5" t="s">
        <v>1254</v>
      </c>
      <c r="L2834" s="5"/>
      <c r="M2834" s="5" t="s">
        <v>1251</v>
      </c>
      <c r="N2834" s="5" t="s">
        <v>1247</v>
      </c>
      <c r="O2834" s="5" t="s">
        <v>1180</v>
      </c>
      <c r="P2834" s="5"/>
      <c r="Q2834" s="5" t="s">
        <v>1255</v>
      </c>
    </row>
    <row r="2835" spans="2:17" x14ac:dyDescent="0.2">
      <c r="B2835" s="5" t="s">
        <v>1906</v>
      </c>
      <c r="C2835" s="6" t="s">
        <v>13587</v>
      </c>
      <c r="D2835" s="4">
        <v>551</v>
      </c>
      <c r="E2835" s="5" t="s">
        <v>15</v>
      </c>
      <c r="F2835" s="5" t="s">
        <v>2081</v>
      </c>
      <c r="G2835" s="6" t="s">
        <v>34</v>
      </c>
      <c r="H2835" s="4"/>
      <c r="I2835" s="5"/>
      <c r="J2835" s="5" t="s">
        <v>2082</v>
      </c>
      <c r="K2835" s="5" t="s">
        <v>1997</v>
      </c>
      <c r="L2835" s="5"/>
      <c r="M2835" s="5" t="s">
        <v>347</v>
      </c>
      <c r="N2835" s="5" t="s">
        <v>2083</v>
      </c>
      <c r="O2835" s="5" t="s">
        <v>1910</v>
      </c>
      <c r="P2835" s="5"/>
      <c r="Q2835" s="5" t="s">
        <v>2084</v>
      </c>
    </row>
    <row r="2836" spans="2:17" x14ac:dyDescent="0.2">
      <c r="B2836" s="5" t="s">
        <v>1906</v>
      </c>
      <c r="C2836" s="6" t="s">
        <v>13587</v>
      </c>
      <c r="D2836" s="4">
        <v>552</v>
      </c>
      <c r="E2836" s="5" t="s">
        <v>15</v>
      </c>
      <c r="F2836" s="5" t="s">
        <v>2081</v>
      </c>
      <c r="G2836" s="6" t="s">
        <v>34</v>
      </c>
      <c r="H2836" s="4"/>
      <c r="I2836" s="5"/>
      <c r="J2836" s="5" t="s">
        <v>2085</v>
      </c>
      <c r="K2836" s="5" t="s">
        <v>2037</v>
      </c>
      <c r="L2836" s="5"/>
      <c r="M2836" s="5" t="s">
        <v>347</v>
      </c>
      <c r="N2836" s="5" t="s">
        <v>2083</v>
      </c>
      <c r="O2836" s="5" t="s">
        <v>1910</v>
      </c>
      <c r="P2836" s="5"/>
      <c r="Q2836" s="5" t="s">
        <v>2084</v>
      </c>
    </row>
    <row r="2837" spans="2:17" x14ac:dyDescent="0.2">
      <c r="B2837" s="5" t="s">
        <v>1906</v>
      </c>
      <c r="C2837" s="6" t="s">
        <v>13587</v>
      </c>
      <c r="D2837" s="4">
        <v>554</v>
      </c>
      <c r="E2837" s="5" t="s">
        <v>20</v>
      </c>
      <c r="F2837" s="5" t="s">
        <v>2072</v>
      </c>
      <c r="G2837" s="6" t="s">
        <v>34</v>
      </c>
      <c r="H2837" s="4"/>
      <c r="I2837" s="5" t="s">
        <v>38</v>
      </c>
      <c r="J2837" s="5" t="s">
        <v>2073</v>
      </c>
      <c r="K2837" s="5" t="s">
        <v>1966</v>
      </c>
      <c r="L2837" s="5"/>
      <c r="M2837" s="5" t="s">
        <v>2074</v>
      </c>
      <c r="N2837" s="5" t="s">
        <v>2075</v>
      </c>
      <c r="O2837" s="5" t="s">
        <v>1939</v>
      </c>
      <c r="P2837" s="5"/>
      <c r="Q2837" s="5" t="s">
        <v>2076</v>
      </c>
    </row>
    <row r="2838" spans="2:17" x14ac:dyDescent="0.2">
      <c r="B2838" s="5" t="s">
        <v>2535</v>
      </c>
      <c r="C2838" s="6" t="s">
        <v>13587</v>
      </c>
      <c r="D2838" s="4">
        <v>736</v>
      </c>
      <c r="E2838" s="5" t="s">
        <v>20</v>
      </c>
      <c r="F2838" s="5" t="s">
        <v>2607</v>
      </c>
      <c r="G2838" s="6" t="s">
        <v>34</v>
      </c>
      <c r="H2838" s="4"/>
      <c r="I2838" s="5" t="s">
        <v>22</v>
      </c>
      <c r="J2838" s="5" t="s">
        <v>2608</v>
      </c>
      <c r="K2838" s="5" t="s">
        <v>2609</v>
      </c>
      <c r="L2838" s="5" t="s">
        <v>2610</v>
      </c>
      <c r="M2838" s="5" t="s">
        <v>1447</v>
      </c>
      <c r="N2838" s="5" t="s">
        <v>1448</v>
      </c>
      <c r="O2838" s="5" t="s">
        <v>2541</v>
      </c>
      <c r="P2838" s="5"/>
      <c r="Q2838" s="5" t="s">
        <v>2611</v>
      </c>
    </row>
    <row r="2839" spans="2:17" x14ac:dyDescent="0.2">
      <c r="B2839" s="5" t="s">
        <v>2535</v>
      </c>
      <c r="C2839" s="6" t="s">
        <v>13587</v>
      </c>
      <c r="D2839" s="4">
        <v>737</v>
      </c>
      <c r="E2839" s="5" t="s">
        <v>20</v>
      </c>
      <c r="F2839" s="5" t="s">
        <v>2607</v>
      </c>
      <c r="G2839" s="6" t="s">
        <v>34</v>
      </c>
      <c r="H2839" s="4"/>
      <c r="I2839" s="5" t="s">
        <v>22</v>
      </c>
      <c r="J2839" s="5" t="s">
        <v>2612</v>
      </c>
      <c r="K2839" s="5" t="s">
        <v>2609</v>
      </c>
      <c r="L2839" s="5" t="s">
        <v>2613</v>
      </c>
      <c r="M2839" s="5" t="s">
        <v>1447</v>
      </c>
      <c r="N2839" s="5" t="s">
        <v>1448</v>
      </c>
      <c r="O2839" s="5" t="s">
        <v>2541</v>
      </c>
      <c r="P2839" s="5"/>
      <c r="Q2839" s="5" t="s">
        <v>2614</v>
      </c>
    </row>
    <row r="2840" spans="2:17" x14ac:dyDescent="0.2">
      <c r="B2840" s="5" t="s">
        <v>2758</v>
      </c>
      <c r="C2840" s="6" t="s">
        <v>13587</v>
      </c>
      <c r="D2840" s="4">
        <v>820</v>
      </c>
      <c r="E2840" s="5" t="s">
        <v>20</v>
      </c>
      <c r="F2840" s="5" t="s">
        <v>3323</v>
      </c>
      <c r="G2840" s="6" t="s">
        <v>34</v>
      </c>
      <c r="H2840" s="4"/>
      <c r="I2840" s="5" t="s">
        <v>22</v>
      </c>
      <c r="J2840" s="5" t="s">
        <v>3324</v>
      </c>
      <c r="K2840" s="5" t="s">
        <v>3325</v>
      </c>
      <c r="L2840" s="5"/>
      <c r="M2840" s="5" t="s">
        <v>1634</v>
      </c>
      <c r="N2840" s="5" t="s">
        <v>2199</v>
      </c>
      <c r="O2840" s="5" t="s">
        <v>2760</v>
      </c>
      <c r="P2840" s="5"/>
      <c r="Q2840" s="5" t="s">
        <v>3326</v>
      </c>
    </row>
    <row r="2841" spans="2:17" x14ac:dyDescent="0.2">
      <c r="B2841" s="5" t="s">
        <v>2758</v>
      </c>
      <c r="C2841" s="6" t="s">
        <v>13587</v>
      </c>
      <c r="D2841" s="4">
        <v>941</v>
      </c>
      <c r="E2841" s="5" t="s">
        <v>20</v>
      </c>
      <c r="F2841" s="5" t="s">
        <v>2902</v>
      </c>
      <c r="G2841" s="6" t="s">
        <v>34</v>
      </c>
      <c r="H2841" s="4"/>
      <c r="I2841" s="5" t="s">
        <v>22</v>
      </c>
      <c r="J2841" s="5" t="s">
        <v>2910</v>
      </c>
      <c r="K2841" s="5" t="s">
        <v>2774</v>
      </c>
      <c r="L2841" s="5"/>
      <c r="M2841" s="5" t="s">
        <v>283</v>
      </c>
      <c r="N2841" s="5" t="s">
        <v>283</v>
      </c>
      <c r="O2841" s="5" t="s">
        <v>2762</v>
      </c>
      <c r="P2841" s="5"/>
      <c r="Q2841" s="5" t="s">
        <v>2911</v>
      </c>
    </row>
    <row r="2842" spans="2:17" x14ac:dyDescent="0.2">
      <c r="B2842" s="5" t="s">
        <v>2758</v>
      </c>
      <c r="C2842" s="6" t="s">
        <v>13587</v>
      </c>
      <c r="D2842" s="4">
        <v>942</v>
      </c>
      <c r="E2842" s="5" t="s">
        <v>20</v>
      </c>
      <c r="F2842" s="5" t="s">
        <v>2902</v>
      </c>
      <c r="G2842" s="6" t="s">
        <v>34</v>
      </c>
      <c r="H2842" s="4"/>
      <c r="I2842" s="5" t="s">
        <v>22</v>
      </c>
      <c r="J2842" s="5" t="s">
        <v>2912</v>
      </c>
      <c r="K2842" s="5" t="s">
        <v>2774</v>
      </c>
      <c r="L2842" s="5"/>
      <c r="M2842" s="5" t="s">
        <v>283</v>
      </c>
      <c r="N2842" s="5" t="s">
        <v>283</v>
      </c>
      <c r="O2842" s="5" t="s">
        <v>2762</v>
      </c>
      <c r="P2842" s="5"/>
      <c r="Q2842" s="5" t="s">
        <v>2913</v>
      </c>
    </row>
    <row r="2843" spans="2:17" x14ac:dyDescent="0.2">
      <c r="B2843" s="5" t="s">
        <v>2758</v>
      </c>
      <c r="C2843" s="6" t="s">
        <v>13587</v>
      </c>
      <c r="D2843" s="4">
        <v>943</v>
      </c>
      <c r="E2843" s="5" t="s">
        <v>20</v>
      </c>
      <c r="F2843" s="5" t="s">
        <v>2902</v>
      </c>
      <c r="G2843" s="6" t="s">
        <v>34</v>
      </c>
      <c r="H2843" s="4"/>
      <c r="I2843" s="5" t="s">
        <v>22</v>
      </c>
      <c r="J2843" s="5" t="s">
        <v>2903</v>
      </c>
      <c r="K2843" s="5" t="s">
        <v>2774</v>
      </c>
      <c r="L2843" s="5"/>
      <c r="M2843" s="5" t="s">
        <v>291</v>
      </c>
      <c r="N2843" s="5" t="s">
        <v>291</v>
      </c>
      <c r="O2843" s="5" t="s">
        <v>2762</v>
      </c>
      <c r="P2843" s="5"/>
      <c r="Q2843" s="5" t="s">
        <v>2904</v>
      </c>
    </row>
    <row r="2844" spans="2:17" x14ac:dyDescent="0.2">
      <c r="B2844" s="5" t="s">
        <v>2758</v>
      </c>
      <c r="C2844" s="6" t="s">
        <v>13587</v>
      </c>
      <c r="D2844" s="4">
        <v>961</v>
      </c>
      <c r="E2844" s="5" t="s">
        <v>24</v>
      </c>
      <c r="F2844" s="5" t="s">
        <v>2843</v>
      </c>
      <c r="G2844" s="6" t="s">
        <v>34</v>
      </c>
      <c r="H2844" s="4"/>
      <c r="I2844" s="5"/>
      <c r="J2844" s="5" t="s">
        <v>2844</v>
      </c>
      <c r="K2844" s="5" t="s">
        <v>2769</v>
      </c>
      <c r="L2844" s="5" t="s">
        <v>2845</v>
      </c>
      <c r="M2844" s="5" t="s">
        <v>1236</v>
      </c>
      <c r="N2844" s="5" t="s">
        <v>1236</v>
      </c>
      <c r="O2844" s="5" t="s">
        <v>2762</v>
      </c>
      <c r="P2844" s="5"/>
      <c r="Q2844" s="5" t="s">
        <v>2846</v>
      </c>
    </row>
    <row r="2845" spans="2:17" x14ac:dyDescent="0.2">
      <c r="B2845" s="5" t="s">
        <v>2758</v>
      </c>
      <c r="C2845" s="6" t="s">
        <v>13587</v>
      </c>
      <c r="D2845" s="4">
        <v>962</v>
      </c>
      <c r="E2845" s="5" t="s">
        <v>13</v>
      </c>
      <c r="F2845" s="5" t="s">
        <v>2832</v>
      </c>
      <c r="G2845" s="6" t="s">
        <v>34</v>
      </c>
      <c r="H2845" s="4"/>
      <c r="I2845" s="5"/>
      <c r="J2845" s="5" t="s">
        <v>2833</v>
      </c>
      <c r="K2845" s="5" t="s">
        <v>2800</v>
      </c>
      <c r="L2845" s="5" t="s">
        <v>2834</v>
      </c>
      <c r="M2845" s="5" t="s">
        <v>1226</v>
      </c>
      <c r="N2845" s="5" t="s">
        <v>1226</v>
      </c>
      <c r="O2845" s="5" t="s">
        <v>2762</v>
      </c>
      <c r="P2845" s="5" t="s">
        <v>2835</v>
      </c>
      <c r="Q2845" s="5" t="s">
        <v>2836</v>
      </c>
    </row>
    <row r="2846" spans="2:17" x14ac:dyDescent="0.2">
      <c r="B2846" s="5" t="s">
        <v>2758</v>
      </c>
      <c r="C2846" s="6" t="s">
        <v>13587</v>
      </c>
      <c r="D2846" s="4">
        <v>966</v>
      </c>
      <c r="E2846" s="5" t="s">
        <v>15</v>
      </c>
      <c r="F2846" s="5" t="s">
        <v>2825</v>
      </c>
      <c r="G2846" s="6" t="s">
        <v>34</v>
      </c>
      <c r="H2846" s="4"/>
      <c r="I2846" s="5"/>
      <c r="J2846" s="5" t="s">
        <v>2826</v>
      </c>
      <c r="K2846" s="5" t="s">
        <v>2771</v>
      </c>
      <c r="L2846" s="5"/>
      <c r="M2846" s="5" t="s">
        <v>2821</v>
      </c>
      <c r="N2846" s="5" t="s">
        <v>2827</v>
      </c>
      <c r="O2846" s="5" t="s">
        <v>2762</v>
      </c>
      <c r="P2846" s="5"/>
      <c r="Q2846" s="5" t="s">
        <v>2828</v>
      </c>
    </row>
    <row r="2847" spans="2:17" x14ac:dyDescent="0.2">
      <c r="B2847" s="5" t="s">
        <v>2758</v>
      </c>
      <c r="C2847" s="6" t="s">
        <v>13587</v>
      </c>
      <c r="D2847" s="4">
        <v>1001</v>
      </c>
      <c r="E2847" s="5" t="s">
        <v>13</v>
      </c>
      <c r="F2847" s="5" t="s">
        <v>3418</v>
      </c>
      <c r="G2847" s="6" t="s">
        <v>34</v>
      </c>
      <c r="H2847" s="4"/>
      <c r="I2847" s="5"/>
      <c r="J2847" s="5"/>
      <c r="K2847" s="5" t="s">
        <v>2790</v>
      </c>
      <c r="L2847" s="5" t="s">
        <v>3419</v>
      </c>
      <c r="M2847" s="5" t="s">
        <v>484</v>
      </c>
      <c r="N2847" s="5" t="s">
        <v>484</v>
      </c>
      <c r="O2847" s="5" t="s">
        <v>2762</v>
      </c>
      <c r="P2847" s="5"/>
      <c r="Q2847" s="5" t="s">
        <v>3420</v>
      </c>
    </row>
    <row r="2848" spans="2:17" x14ac:dyDescent="0.2">
      <c r="B2848" s="5" t="s">
        <v>2758</v>
      </c>
      <c r="C2848" s="6" t="s">
        <v>13587</v>
      </c>
      <c r="D2848" s="4">
        <v>1003</v>
      </c>
      <c r="E2848" s="5" t="s">
        <v>20</v>
      </c>
      <c r="F2848" s="5" t="s">
        <v>3411</v>
      </c>
      <c r="G2848" s="6" t="s">
        <v>34</v>
      </c>
      <c r="H2848" s="4"/>
      <c r="I2848" s="5" t="s">
        <v>22</v>
      </c>
      <c r="J2848" s="5" t="s">
        <v>3412</v>
      </c>
      <c r="K2848" s="5" t="s">
        <v>2794</v>
      </c>
      <c r="L2848" s="5"/>
      <c r="M2848" s="5" t="s">
        <v>484</v>
      </c>
      <c r="N2848" s="5" t="s">
        <v>484</v>
      </c>
      <c r="O2848" s="5" t="s">
        <v>2762</v>
      </c>
      <c r="P2848" s="5"/>
      <c r="Q2848" s="5" t="s">
        <v>3413</v>
      </c>
    </row>
    <row r="2849" spans="2:17" x14ac:dyDescent="0.2">
      <c r="B2849" s="5" t="s">
        <v>2758</v>
      </c>
      <c r="C2849" s="6" t="s">
        <v>13587</v>
      </c>
      <c r="D2849" s="4">
        <v>1005</v>
      </c>
      <c r="E2849" s="5" t="s">
        <v>20</v>
      </c>
      <c r="F2849" s="5" t="s">
        <v>3405</v>
      </c>
      <c r="G2849" s="6" t="s">
        <v>34</v>
      </c>
      <c r="H2849" s="4"/>
      <c r="I2849" s="5" t="s">
        <v>22</v>
      </c>
      <c r="J2849" s="5" t="s">
        <v>3406</v>
      </c>
      <c r="K2849" s="5" t="s">
        <v>2790</v>
      </c>
      <c r="L2849" s="5"/>
      <c r="M2849" s="5" t="s">
        <v>2225</v>
      </c>
      <c r="N2849" s="5" t="s">
        <v>2225</v>
      </c>
      <c r="O2849" s="5" t="s">
        <v>2762</v>
      </c>
      <c r="P2849" s="5"/>
      <c r="Q2849" s="5" t="s">
        <v>3407</v>
      </c>
    </row>
    <row r="2850" spans="2:17" x14ac:dyDescent="0.2">
      <c r="B2850" s="5" t="s">
        <v>544</v>
      </c>
      <c r="C2850" s="6" t="s">
        <v>13587</v>
      </c>
      <c r="D2850" s="4">
        <v>239</v>
      </c>
      <c r="E2850" s="5" t="s">
        <v>24</v>
      </c>
      <c r="F2850" s="5" t="s">
        <v>637</v>
      </c>
      <c r="G2850" s="6" t="s">
        <v>51</v>
      </c>
      <c r="H2850" s="4"/>
      <c r="I2850" s="5"/>
      <c r="J2850" s="5" t="s">
        <v>638</v>
      </c>
      <c r="K2850" s="5" t="s">
        <v>555</v>
      </c>
      <c r="L2850" s="5"/>
      <c r="M2850" s="5" t="s">
        <v>330</v>
      </c>
      <c r="N2850" s="5" t="s">
        <v>330</v>
      </c>
      <c r="O2850" s="5" t="s">
        <v>549</v>
      </c>
      <c r="P2850" s="5"/>
      <c r="Q2850" s="5" t="s">
        <v>639</v>
      </c>
    </row>
    <row r="2851" spans="2:17" x14ac:dyDescent="0.2">
      <c r="B2851" s="5" t="s">
        <v>544</v>
      </c>
      <c r="C2851" s="6" t="s">
        <v>13587</v>
      </c>
      <c r="D2851" s="4">
        <v>247</v>
      </c>
      <c r="E2851" s="5" t="s">
        <v>24</v>
      </c>
      <c r="F2851" s="5" t="s">
        <v>618</v>
      </c>
      <c r="G2851" s="6" t="s">
        <v>51</v>
      </c>
      <c r="H2851" s="4"/>
      <c r="I2851" s="5"/>
      <c r="J2851" s="5" t="s">
        <v>618</v>
      </c>
      <c r="K2851" s="5" t="s">
        <v>582</v>
      </c>
      <c r="L2851" s="5"/>
      <c r="M2851" s="5" t="s">
        <v>96</v>
      </c>
      <c r="N2851" s="5" t="s">
        <v>96</v>
      </c>
      <c r="O2851" s="5" t="s">
        <v>549</v>
      </c>
      <c r="P2851" s="5"/>
      <c r="Q2851" s="5" t="s">
        <v>619</v>
      </c>
    </row>
    <row r="2852" spans="2:17" x14ac:dyDescent="0.2">
      <c r="B2852" s="5" t="s">
        <v>544</v>
      </c>
      <c r="C2852" s="6" t="s">
        <v>13587</v>
      </c>
      <c r="D2852" s="4">
        <v>266</v>
      </c>
      <c r="E2852" s="5" t="s">
        <v>24</v>
      </c>
      <c r="F2852" s="5" t="s">
        <v>553</v>
      </c>
      <c r="G2852" s="6" t="s">
        <v>51</v>
      </c>
      <c r="H2852" s="4"/>
      <c r="I2852" s="5"/>
      <c r="J2852" s="5" t="s">
        <v>554</v>
      </c>
      <c r="K2852" s="5" t="s">
        <v>555</v>
      </c>
      <c r="L2852" s="5"/>
      <c r="M2852" s="5" t="s">
        <v>548</v>
      </c>
      <c r="N2852" s="5" t="s">
        <v>548</v>
      </c>
      <c r="O2852" s="5" t="s">
        <v>549</v>
      </c>
      <c r="P2852" s="5"/>
      <c r="Q2852" s="5" t="s">
        <v>556</v>
      </c>
    </row>
    <row r="2853" spans="2:17" x14ac:dyDescent="0.2">
      <c r="B2853" s="5" t="s">
        <v>544</v>
      </c>
      <c r="C2853" s="6" t="s">
        <v>13587</v>
      </c>
      <c r="D2853" s="4">
        <v>287</v>
      </c>
      <c r="E2853" s="5" t="s">
        <v>24</v>
      </c>
      <c r="F2853" s="5" t="s">
        <v>850</v>
      </c>
      <c r="G2853" s="6" t="s">
        <v>51</v>
      </c>
      <c r="H2853" s="4"/>
      <c r="I2853" s="5"/>
      <c r="J2853" s="5" t="s">
        <v>851</v>
      </c>
      <c r="K2853" s="5" t="s">
        <v>555</v>
      </c>
      <c r="L2853" s="5"/>
      <c r="M2853" s="5" t="s">
        <v>843</v>
      </c>
      <c r="N2853" s="5" t="s">
        <v>843</v>
      </c>
      <c r="O2853" s="5" t="s">
        <v>549</v>
      </c>
      <c r="P2853" s="5"/>
      <c r="Q2853" s="5" t="s">
        <v>852</v>
      </c>
    </row>
    <row r="2854" spans="2:17" x14ac:dyDescent="0.2">
      <c r="B2854" s="5" t="s">
        <v>544</v>
      </c>
      <c r="C2854" s="6" t="s">
        <v>13587</v>
      </c>
      <c r="D2854" s="4">
        <v>288</v>
      </c>
      <c r="E2854" s="5" t="s">
        <v>15</v>
      </c>
      <c r="F2854" s="5" t="s">
        <v>845</v>
      </c>
      <c r="G2854" s="6" t="s">
        <v>51</v>
      </c>
      <c r="H2854" s="4"/>
      <c r="I2854" s="5"/>
      <c r="J2854" s="5" t="s">
        <v>846</v>
      </c>
      <c r="K2854" s="5" t="s">
        <v>582</v>
      </c>
      <c r="L2854" s="5"/>
      <c r="M2854" s="5" t="s">
        <v>843</v>
      </c>
      <c r="N2854" s="5" t="s">
        <v>843</v>
      </c>
      <c r="O2854" s="5" t="s">
        <v>549</v>
      </c>
      <c r="P2854" s="5"/>
      <c r="Q2854" s="5" t="s">
        <v>847</v>
      </c>
    </row>
    <row r="2855" spans="2:17" x14ac:dyDescent="0.2">
      <c r="B2855" s="5" t="s">
        <v>1164</v>
      </c>
      <c r="C2855" s="6" t="s">
        <v>13587</v>
      </c>
      <c r="D2855" s="4">
        <v>419</v>
      </c>
      <c r="E2855" s="5" t="s">
        <v>13</v>
      </c>
      <c r="F2855" s="5" t="s">
        <v>1517</v>
      </c>
      <c r="G2855" s="6" t="s">
        <v>51</v>
      </c>
      <c r="H2855" s="4"/>
      <c r="I2855" s="5"/>
      <c r="J2855" s="5" t="s">
        <v>1518</v>
      </c>
      <c r="K2855" s="5" t="s">
        <v>1519</v>
      </c>
      <c r="L2855" s="5"/>
      <c r="M2855" s="5" t="s">
        <v>1520</v>
      </c>
      <c r="N2855" s="5" t="s">
        <v>1520</v>
      </c>
      <c r="O2855" s="5" t="s">
        <v>1167</v>
      </c>
      <c r="P2855" s="5"/>
      <c r="Q2855" s="5" t="s">
        <v>1521</v>
      </c>
    </row>
    <row r="2856" spans="2:17" x14ac:dyDescent="0.2">
      <c r="B2856" s="5" t="s">
        <v>278</v>
      </c>
      <c r="C2856" s="6" t="s">
        <v>13587</v>
      </c>
      <c r="D2856" s="4">
        <v>83</v>
      </c>
      <c r="E2856" s="5" t="s">
        <v>20</v>
      </c>
      <c r="F2856" s="5" t="s">
        <v>491</v>
      </c>
      <c r="G2856" s="6" t="s">
        <v>59</v>
      </c>
      <c r="H2856" s="4"/>
      <c r="I2856" s="5" t="s">
        <v>38</v>
      </c>
      <c r="J2856" s="5" t="s">
        <v>492</v>
      </c>
      <c r="K2856" s="5" t="s">
        <v>493</v>
      </c>
      <c r="L2856" s="5" t="s">
        <v>494</v>
      </c>
      <c r="M2856" s="5" t="s">
        <v>495</v>
      </c>
      <c r="N2856" s="5" t="s">
        <v>496</v>
      </c>
      <c r="O2856" s="5" t="s">
        <v>285</v>
      </c>
      <c r="P2856" s="5"/>
      <c r="Q2856" s="5" t="s">
        <v>286</v>
      </c>
    </row>
    <row r="2857" spans="2:17" x14ac:dyDescent="0.2">
      <c r="B2857" s="5" t="s">
        <v>278</v>
      </c>
      <c r="C2857" s="6" t="s">
        <v>13587</v>
      </c>
      <c r="D2857" s="4">
        <v>84</v>
      </c>
      <c r="E2857" s="5" t="s">
        <v>20</v>
      </c>
      <c r="F2857" s="5" t="s">
        <v>491</v>
      </c>
      <c r="G2857" s="6" t="s">
        <v>59</v>
      </c>
      <c r="H2857" s="4"/>
      <c r="I2857" s="5" t="s">
        <v>22</v>
      </c>
      <c r="J2857" s="5" t="s">
        <v>445</v>
      </c>
      <c r="K2857" s="5" t="s">
        <v>371</v>
      </c>
      <c r="L2857" s="5" t="s">
        <v>497</v>
      </c>
      <c r="M2857" s="5" t="s">
        <v>495</v>
      </c>
      <c r="N2857" s="5" t="s">
        <v>496</v>
      </c>
      <c r="O2857" s="5" t="s">
        <v>376</v>
      </c>
      <c r="P2857" s="5"/>
      <c r="Q2857" s="5" t="s">
        <v>286</v>
      </c>
    </row>
    <row r="2858" spans="2:17" x14ac:dyDescent="0.2">
      <c r="B2858" s="5" t="s">
        <v>278</v>
      </c>
      <c r="C2858" s="6" t="s">
        <v>13587</v>
      </c>
      <c r="D2858" s="4">
        <v>85</v>
      </c>
      <c r="E2858" s="5" t="s">
        <v>20</v>
      </c>
      <c r="F2858" s="5" t="s">
        <v>491</v>
      </c>
      <c r="G2858" s="6" t="s">
        <v>59</v>
      </c>
      <c r="H2858" s="4"/>
      <c r="I2858" s="5" t="s">
        <v>38</v>
      </c>
      <c r="J2858" s="5" t="s">
        <v>498</v>
      </c>
      <c r="K2858" s="5" t="s">
        <v>371</v>
      </c>
      <c r="L2858" s="5" t="s">
        <v>499</v>
      </c>
      <c r="M2858" s="5" t="s">
        <v>495</v>
      </c>
      <c r="N2858" s="5" t="s">
        <v>496</v>
      </c>
      <c r="O2858" s="5" t="s">
        <v>376</v>
      </c>
      <c r="P2858" s="5"/>
      <c r="Q2858" s="5" t="s">
        <v>286</v>
      </c>
    </row>
    <row r="2859" spans="2:17" x14ac:dyDescent="0.2">
      <c r="B2859" s="5" t="s">
        <v>278</v>
      </c>
      <c r="C2859" s="6" t="s">
        <v>13587</v>
      </c>
      <c r="D2859" s="4">
        <v>86</v>
      </c>
      <c r="E2859" s="5" t="s">
        <v>20</v>
      </c>
      <c r="F2859" s="5" t="s">
        <v>491</v>
      </c>
      <c r="G2859" s="6" t="s">
        <v>59</v>
      </c>
      <c r="H2859" s="4"/>
      <c r="I2859" s="5" t="s">
        <v>22</v>
      </c>
      <c r="J2859" s="5" t="s">
        <v>500</v>
      </c>
      <c r="K2859" s="5" t="s">
        <v>371</v>
      </c>
      <c r="L2859" s="5" t="s">
        <v>501</v>
      </c>
      <c r="M2859" s="5" t="s">
        <v>495</v>
      </c>
      <c r="N2859" s="5" t="s">
        <v>496</v>
      </c>
      <c r="O2859" s="5" t="s">
        <v>376</v>
      </c>
      <c r="P2859" s="5"/>
      <c r="Q2859" s="5" t="s">
        <v>286</v>
      </c>
    </row>
    <row r="2860" spans="2:17" x14ac:dyDescent="0.2">
      <c r="B2860" s="5" t="s">
        <v>278</v>
      </c>
      <c r="C2860" s="6" t="s">
        <v>13587</v>
      </c>
      <c r="D2860" s="4">
        <v>87</v>
      </c>
      <c r="E2860" s="5" t="s">
        <v>20</v>
      </c>
      <c r="F2860" s="5" t="s">
        <v>491</v>
      </c>
      <c r="G2860" s="6" t="s">
        <v>59</v>
      </c>
      <c r="H2860" s="4"/>
      <c r="I2860" s="5" t="s">
        <v>38</v>
      </c>
      <c r="J2860" s="5" t="s">
        <v>502</v>
      </c>
      <c r="K2860" s="5" t="s">
        <v>371</v>
      </c>
      <c r="L2860" s="5" t="s">
        <v>503</v>
      </c>
      <c r="M2860" s="5" t="s">
        <v>495</v>
      </c>
      <c r="N2860" s="5" t="s">
        <v>496</v>
      </c>
      <c r="O2860" s="5" t="s">
        <v>376</v>
      </c>
      <c r="P2860" s="5"/>
      <c r="Q2860" s="5" t="s">
        <v>286</v>
      </c>
    </row>
    <row r="2861" spans="2:17" x14ac:dyDescent="0.2">
      <c r="B2861" s="5" t="s">
        <v>1164</v>
      </c>
      <c r="C2861" s="6" t="s">
        <v>13587</v>
      </c>
      <c r="D2861" s="4">
        <v>429</v>
      </c>
      <c r="E2861" s="5" t="s">
        <v>20</v>
      </c>
      <c r="F2861" s="5" t="s">
        <v>491</v>
      </c>
      <c r="G2861" s="6" t="s">
        <v>59</v>
      </c>
      <c r="H2861" s="4"/>
      <c r="I2861" s="5" t="s">
        <v>38</v>
      </c>
      <c r="J2861" s="5" t="s">
        <v>1660</v>
      </c>
      <c r="K2861" s="5" t="s">
        <v>1661</v>
      </c>
      <c r="L2861" s="5"/>
      <c r="M2861" s="5" t="s">
        <v>495</v>
      </c>
      <c r="N2861" s="5" t="s">
        <v>496</v>
      </c>
      <c r="O2861" s="5" t="s">
        <v>1166</v>
      </c>
      <c r="P2861" s="5"/>
      <c r="Q2861" s="5" t="s">
        <v>1662</v>
      </c>
    </row>
    <row r="2862" spans="2:17" x14ac:dyDescent="0.2">
      <c r="B2862" s="5" t="s">
        <v>2535</v>
      </c>
      <c r="C2862" s="6" t="s">
        <v>13587</v>
      </c>
      <c r="D2862" s="4">
        <v>767</v>
      </c>
      <c r="E2862" s="5" t="s">
        <v>20</v>
      </c>
      <c r="F2862" s="5" t="s">
        <v>491</v>
      </c>
      <c r="G2862" s="6" t="s">
        <v>59</v>
      </c>
      <c r="H2862" s="4"/>
      <c r="I2862" s="5" t="s">
        <v>22</v>
      </c>
      <c r="J2862" s="5" t="s">
        <v>2749</v>
      </c>
      <c r="K2862" s="5" t="s">
        <v>2609</v>
      </c>
      <c r="L2862" s="5" t="s">
        <v>2750</v>
      </c>
      <c r="M2862" s="5" t="s">
        <v>495</v>
      </c>
      <c r="N2862" s="5" t="s">
        <v>496</v>
      </c>
      <c r="O2862" s="5" t="s">
        <v>2541</v>
      </c>
      <c r="P2862" s="5"/>
      <c r="Q2862" s="5" t="s">
        <v>2751</v>
      </c>
    </row>
    <row r="2863" spans="2:17" x14ac:dyDescent="0.2">
      <c r="B2863" s="5" t="s">
        <v>2758</v>
      </c>
      <c r="C2863" s="6" t="s">
        <v>13587</v>
      </c>
      <c r="D2863" s="4">
        <v>995</v>
      </c>
      <c r="E2863" s="5" t="s">
        <v>13</v>
      </c>
      <c r="F2863" s="5" t="s">
        <v>3425</v>
      </c>
      <c r="G2863" s="6" t="s">
        <v>59</v>
      </c>
      <c r="H2863" s="4"/>
      <c r="I2863" s="5"/>
      <c r="J2863" s="5"/>
      <c r="K2863" s="5" t="s">
        <v>2786</v>
      </c>
      <c r="L2863" s="5"/>
      <c r="M2863" s="5" t="s">
        <v>3422</v>
      </c>
      <c r="N2863" s="5" t="s">
        <v>3422</v>
      </c>
      <c r="O2863" s="5" t="s">
        <v>2762</v>
      </c>
      <c r="P2863" s="5" t="s">
        <v>3426</v>
      </c>
      <c r="Q2863" s="5" t="s">
        <v>3427</v>
      </c>
    </row>
    <row r="2864" spans="2:17" x14ac:dyDescent="0.2">
      <c r="B2864" s="5" t="s">
        <v>3543</v>
      </c>
      <c r="C2864" s="6" t="s">
        <v>13587</v>
      </c>
      <c r="D2864" s="4">
        <v>1105</v>
      </c>
      <c r="E2864" s="5" t="s">
        <v>20</v>
      </c>
      <c r="F2864" s="5" t="s">
        <v>3764</v>
      </c>
      <c r="G2864" s="6" t="s">
        <v>59</v>
      </c>
      <c r="H2864" s="4"/>
      <c r="I2864" s="5" t="s">
        <v>38</v>
      </c>
      <c r="J2864" s="5" t="s">
        <v>3765</v>
      </c>
      <c r="K2864" s="5" t="s">
        <v>3601</v>
      </c>
      <c r="L2864" s="5" t="s">
        <v>3766</v>
      </c>
      <c r="M2864" s="5" t="s">
        <v>495</v>
      </c>
      <c r="N2864" s="5" t="s">
        <v>496</v>
      </c>
      <c r="O2864" s="5" t="s">
        <v>3575</v>
      </c>
      <c r="P2864" s="5"/>
      <c r="Q2864" s="5" t="s">
        <v>3548</v>
      </c>
    </row>
    <row r="2865" spans="2:17" x14ac:dyDescent="0.2">
      <c r="B2865" s="5" t="s">
        <v>278</v>
      </c>
      <c r="C2865" s="6" t="s">
        <v>13587</v>
      </c>
      <c r="D2865" s="4">
        <v>58</v>
      </c>
      <c r="E2865" s="5" t="s">
        <v>20</v>
      </c>
      <c r="F2865" s="5" t="s">
        <v>424</v>
      </c>
      <c r="G2865" s="6" t="s">
        <v>86</v>
      </c>
      <c r="H2865" s="4"/>
      <c r="I2865" s="5" t="s">
        <v>22</v>
      </c>
      <c r="J2865" s="5" t="s">
        <v>425</v>
      </c>
      <c r="K2865" s="5"/>
      <c r="L2865" s="5"/>
      <c r="M2865" s="5" t="s">
        <v>426</v>
      </c>
      <c r="N2865" s="5" t="s">
        <v>423</v>
      </c>
      <c r="O2865" s="5" t="s">
        <v>372</v>
      </c>
      <c r="P2865" s="5"/>
      <c r="Q2865" s="5" t="s">
        <v>286</v>
      </c>
    </row>
    <row r="2866" spans="2:17" x14ac:dyDescent="0.2">
      <c r="B2866" s="5" t="s">
        <v>1164</v>
      </c>
      <c r="C2866" s="6" t="s">
        <v>13587</v>
      </c>
      <c r="D2866" s="4">
        <v>312</v>
      </c>
      <c r="E2866" s="5" t="s">
        <v>35</v>
      </c>
      <c r="F2866" s="5" t="s">
        <v>1189</v>
      </c>
      <c r="G2866" s="6" t="s">
        <v>86</v>
      </c>
      <c r="H2866" s="4"/>
      <c r="I2866" s="5"/>
      <c r="J2866" s="5" t="s">
        <v>1684</v>
      </c>
      <c r="K2866" s="5" t="s">
        <v>1191</v>
      </c>
      <c r="L2866" s="5"/>
      <c r="M2866" s="5" t="s">
        <v>1685</v>
      </c>
      <c r="N2866" s="5" t="s">
        <v>1685</v>
      </c>
      <c r="O2866" s="5" t="s">
        <v>1193</v>
      </c>
      <c r="P2866" s="5"/>
      <c r="Q2866" s="5" t="s">
        <v>1686</v>
      </c>
    </row>
    <row r="2867" spans="2:17" x14ac:dyDescent="0.2">
      <c r="B2867" s="5" t="s">
        <v>2758</v>
      </c>
      <c r="C2867" s="6" t="s">
        <v>13587</v>
      </c>
      <c r="D2867" s="4">
        <v>991</v>
      </c>
      <c r="E2867" s="5" t="s">
        <v>13</v>
      </c>
      <c r="F2867" s="5" t="s">
        <v>3425</v>
      </c>
      <c r="G2867" s="6" t="s">
        <v>86</v>
      </c>
      <c r="H2867" s="4"/>
      <c r="I2867" s="5"/>
      <c r="J2867" s="5"/>
      <c r="K2867" s="5" t="s">
        <v>2786</v>
      </c>
      <c r="L2867" s="5"/>
      <c r="M2867" s="5" t="s">
        <v>1658</v>
      </c>
      <c r="N2867" s="5" t="s">
        <v>1658</v>
      </c>
      <c r="O2867" s="5" t="s">
        <v>2762</v>
      </c>
      <c r="P2867" s="5" t="s">
        <v>3428</v>
      </c>
      <c r="Q2867" s="5" t="s">
        <v>3429</v>
      </c>
    </row>
    <row r="2868" spans="2:17" x14ac:dyDescent="0.2">
      <c r="B2868" s="5" t="s">
        <v>544</v>
      </c>
      <c r="C2868" s="6" t="s">
        <v>13587</v>
      </c>
      <c r="D2868" s="4">
        <v>206</v>
      </c>
      <c r="E2868" s="5" t="s">
        <v>35</v>
      </c>
      <c r="F2868" s="5" t="s">
        <v>759</v>
      </c>
      <c r="G2868" s="6" t="s">
        <v>84</v>
      </c>
      <c r="H2868" s="4"/>
      <c r="I2868" s="5"/>
      <c r="J2868" s="5" t="s">
        <v>759</v>
      </c>
      <c r="K2868" s="5" t="s">
        <v>631</v>
      </c>
      <c r="L2868" s="5"/>
      <c r="M2868" s="5" t="s">
        <v>336</v>
      </c>
      <c r="N2868" s="5" t="s">
        <v>337</v>
      </c>
      <c r="O2868" s="5" t="s">
        <v>623</v>
      </c>
      <c r="P2868" s="5"/>
      <c r="Q2868" s="5" t="s">
        <v>760</v>
      </c>
    </row>
    <row r="2869" spans="2:17" x14ac:dyDescent="0.2">
      <c r="B2869" s="5" t="s">
        <v>544</v>
      </c>
      <c r="C2869" s="6" t="s">
        <v>13587</v>
      </c>
      <c r="D2869" s="4">
        <v>281</v>
      </c>
      <c r="E2869" s="5" t="s">
        <v>35</v>
      </c>
      <c r="F2869" s="5" t="s">
        <v>872</v>
      </c>
      <c r="G2869" s="6" t="s">
        <v>84</v>
      </c>
      <c r="H2869" s="4"/>
      <c r="I2869" s="5"/>
      <c r="J2869" s="5" t="s">
        <v>873</v>
      </c>
      <c r="K2869" s="5" t="s">
        <v>874</v>
      </c>
      <c r="L2869" s="5"/>
      <c r="M2869" s="5" t="s">
        <v>866</v>
      </c>
      <c r="N2869" s="5" t="s">
        <v>866</v>
      </c>
      <c r="O2869" s="5" t="s">
        <v>623</v>
      </c>
      <c r="P2869" s="5"/>
      <c r="Q2869" s="5" t="s">
        <v>875</v>
      </c>
    </row>
    <row r="2870" spans="2:17" x14ac:dyDescent="0.2">
      <c r="B2870" s="5" t="s">
        <v>92</v>
      </c>
      <c r="C2870" s="6" t="s">
        <v>13587</v>
      </c>
      <c r="D2870" s="4">
        <v>23</v>
      </c>
      <c r="E2870" s="5" t="s">
        <v>15</v>
      </c>
      <c r="F2870" s="5" t="s">
        <v>109</v>
      </c>
      <c r="G2870" s="6" t="s">
        <v>43</v>
      </c>
      <c r="H2870" s="4"/>
      <c r="I2870" s="5"/>
      <c r="J2870" s="5" t="s">
        <v>110</v>
      </c>
      <c r="K2870" s="5" t="s">
        <v>111</v>
      </c>
      <c r="L2870" s="5"/>
      <c r="M2870" s="5" t="s">
        <v>112</v>
      </c>
      <c r="N2870" s="5" t="s">
        <v>106</v>
      </c>
      <c r="O2870" s="5" t="s">
        <v>98</v>
      </c>
      <c r="P2870" s="5"/>
      <c r="Q2870" s="5" t="s">
        <v>113</v>
      </c>
    </row>
    <row r="2871" spans="2:17" x14ac:dyDescent="0.2">
      <c r="B2871" s="5" t="s">
        <v>92</v>
      </c>
      <c r="C2871" s="6" t="s">
        <v>13587</v>
      </c>
      <c r="D2871" s="4">
        <v>34</v>
      </c>
      <c r="E2871" s="5" t="s">
        <v>24</v>
      </c>
      <c r="F2871" s="5" t="s">
        <v>120</v>
      </c>
      <c r="G2871" s="6" t="s">
        <v>43</v>
      </c>
      <c r="H2871" s="4"/>
      <c r="I2871" s="5"/>
      <c r="J2871" s="5" t="s">
        <v>121</v>
      </c>
      <c r="K2871" s="5" t="s">
        <v>111</v>
      </c>
      <c r="L2871" s="5"/>
      <c r="M2871" s="5" t="s">
        <v>122</v>
      </c>
      <c r="N2871" s="5" t="s">
        <v>122</v>
      </c>
      <c r="O2871" s="5" t="s">
        <v>98</v>
      </c>
      <c r="P2871" s="5"/>
      <c r="Q2871" s="5" t="s">
        <v>123</v>
      </c>
    </row>
    <row r="2872" spans="2:17" x14ac:dyDescent="0.2">
      <c r="B2872" s="5" t="s">
        <v>92</v>
      </c>
      <c r="C2872" s="6" t="s">
        <v>13587</v>
      </c>
      <c r="D2872" s="4">
        <v>35</v>
      </c>
      <c r="E2872" s="5" t="s">
        <v>15</v>
      </c>
      <c r="F2872" s="5" t="s">
        <v>217</v>
      </c>
      <c r="G2872" s="6" t="s">
        <v>43</v>
      </c>
      <c r="H2872" s="4"/>
      <c r="I2872" s="5"/>
      <c r="J2872" s="5" t="s">
        <v>218</v>
      </c>
      <c r="K2872" s="5" t="s">
        <v>111</v>
      </c>
      <c r="L2872" s="5"/>
      <c r="M2872" s="5" t="s">
        <v>219</v>
      </c>
      <c r="N2872" s="5" t="s">
        <v>219</v>
      </c>
      <c r="O2872" s="5" t="s">
        <v>98</v>
      </c>
      <c r="P2872" s="5"/>
      <c r="Q2872" s="5" t="s">
        <v>220</v>
      </c>
    </row>
    <row r="2873" spans="2:17" x14ac:dyDescent="0.2">
      <c r="B2873" s="5" t="s">
        <v>278</v>
      </c>
      <c r="C2873" s="6" t="s">
        <v>13587</v>
      </c>
      <c r="D2873" s="4">
        <v>90</v>
      </c>
      <c r="E2873" s="5" t="s">
        <v>20</v>
      </c>
      <c r="F2873" s="5" t="s">
        <v>367</v>
      </c>
      <c r="G2873" s="6" t="s">
        <v>43</v>
      </c>
      <c r="H2873" s="4"/>
      <c r="I2873" s="5" t="s">
        <v>22</v>
      </c>
      <c r="J2873" s="5" t="s">
        <v>368</v>
      </c>
      <c r="K2873" s="5" t="s">
        <v>345</v>
      </c>
      <c r="L2873" s="5"/>
      <c r="M2873" s="5" t="s">
        <v>127</v>
      </c>
      <c r="N2873" s="5" t="s">
        <v>366</v>
      </c>
      <c r="O2873" s="5" t="s">
        <v>285</v>
      </c>
      <c r="P2873" s="5"/>
      <c r="Q2873" s="5" t="s">
        <v>286</v>
      </c>
    </row>
    <row r="2874" spans="2:17" x14ac:dyDescent="0.2">
      <c r="B2874" s="5" t="s">
        <v>278</v>
      </c>
      <c r="C2874" s="6" t="s">
        <v>13587</v>
      </c>
      <c r="D2874" s="4">
        <v>91</v>
      </c>
      <c r="E2874" s="5" t="s">
        <v>20</v>
      </c>
      <c r="F2874" s="5" t="s">
        <v>369</v>
      </c>
      <c r="G2874" s="6" t="s">
        <v>43</v>
      </c>
      <c r="H2874" s="4"/>
      <c r="I2874" s="5" t="s">
        <v>22</v>
      </c>
      <c r="J2874" s="5" t="s">
        <v>370</v>
      </c>
      <c r="K2874" s="5" t="s">
        <v>371</v>
      </c>
      <c r="L2874" s="5"/>
      <c r="M2874" s="5" t="s">
        <v>127</v>
      </c>
      <c r="N2874" s="5" t="s">
        <v>366</v>
      </c>
      <c r="O2874" s="5" t="s">
        <v>372</v>
      </c>
      <c r="P2874" s="5"/>
      <c r="Q2874" s="5" t="s">
        <v>286</v>
      </c>
    </row>
    <row r="2875" spans="2:17" x14ac:dyDescent="0.2">
      <c r="B2875" s="5" t="s">
        <v>278</v>
      </c>
      <c r="C2875" s="6" t="s">
        <v>13587</v>
      </c>
      <c r="D2875" s="4">
        <v>97</v>
      </c>
      <c r="E2875" s="5" t="s">
        <v>20</v>
      </c>
      <c r="F2875" s="5" t="s">
        <v>385</v>
      </c>
      <c r="G2875" s="6" t="s">
        <v>43</v>
      </c>
      <c r="H2875" s="4"/>
      <c r="I2875" s="5" t="s">
        <v>22</v>
      </c>
      <c r="J2875" s="5" t="s">
        <v>386</v>
      </c>
      <c r="K2875" s="5" t="s">
        <v>305</v>
      </c>
      <c r="L2875" s="5" t="s">
        <v>387</v>
      </c>
      <c r="M2875" s="5" t="s">
        <v>127</v>
      </c>
      <c r="N2875" s="5" t="s">
        <v>366</v>
      </c>
      <c r="O2875" s="5" t="s">
        <v>388</v>
      </c>
      <c r="P2875" s="5"/>
      <c r="Q2875" s="5" t="s">
        <v>286</v>
      </c>
    </row>
    <row r="2876" spans="2:17" x14ac:dyDescent="0.2">
      <c r="B2876" s="5" t="s">
        <v>278</v>
      </c>
      <c r="C2876" s="6" t="s">
        <v>13587</v>
      </c>
      <c r="D2876" s="4">
        <v>98</v>
      </c>
      <c r="E2876" s="5" t="s">
        <v>20</v>
      </c>
      <c r="F2876" s="5" t="s">
        <v>385</v>
      </c>
      <c r="G2876" s="6" t="s">
        <v>43</v>
      </c>
      <c r="H2876" s="4"/>
      <c r="I2876" s="5" t="s">
        <v>22</v>
      </c>
      <c r="J2876" s="5" t="s">
        <v>389</v>
      </c>
      <c r="K2876" s="5" t="s">
        <v>305</v>
      </c>
      <c r="L2876" s="5" t="s">
        <v>390</v>
      </c>
      <c r="M2876" s="5" t="s">
        <v>127</v>
      </c>
      <c r="N2876" s="5" t="s">
        <v>366</v>
      </c>
      <c r="O2876" s="5" t="s">
        <v>372</v>
      </c>
      <c r="P2876" s="5"/>
      <c r="Q2876" s="5" t="s">
        <v>286</v>
      </c>
    </row>
    <row r="2877" spans="2:17" x14ac:dyDescent="0.2">
      <c r="B2877" s="5" t="s">
        <v>544</v>
      </c>
      <c r="C2877" s="6" t="s">
        <v>13587</v>
      </c>
      <c r="D2877" s="4">
        <v>113</v>
      </c>
      <c r="E2877" s="5" t="s">
        <v>24</v>
      </c>
      <c r="F2877" s="5" t="s">
        <v>736</v>
      </c>
      <c r="G2877" s="6" t="s">
        <v>43</v>
      </c>
      <c r="H2877" s="4"/>
      <c r="I2877" s="5"/>
      <c r="J2877" s="5" t="s">
        <v>737</v>
      </c>
      <c r="K2877" s="5" t="s">
        <v>734</v>
      </c>
      <c r="L2877" s="5"/>
      <c r="M2877" s="5" t="s">
        <v>336</v>
      </c>
      <c r="N2877" s="5" t="s">
        <v>738</v>
      </c>
      <c r="O2877" s="5" t="s">
        <v>683</v>
      </c>
      <c r="P2877" s="5"/>
      <c r="Q2877" s="5" t="s">
        <v>739</v>
      </c>
    </row>
    <row r="2878" spans="2:17" x14ac:dyDescent="0.2">
      <c r="B2878" s="5" t="s">
        <v>544</v>
      </c>
      <c r="C2878" s="6" t="s">
        <v>13587</v>
      </c>
      <c r="D2878" s="4">
        <v>179</v>
      </c>
      <c r="E2878" s="5" t="s">
        <v>35</v>
      </c>
      <c r="F2878" s="5" t="s">
        <v>822</v>
      </c>
      <c r="G2878" s="6" t="s">
        <v>43</v>
      </c>
      <c r="H2878" s="4"/>
      <c r="I2878" s="5"/>
      <c r="J2878" s="5" t="s">
        <v>823</v>
      </c>
      <c r="K2878" s="5" t="s">
        <v>824</v>
      </c>
      <c r="L2878" s="5"/>
      <c r="M2878" s="5" t="s">
        <v>804</v>
      </c>
      <c r="N2878" s="5" t="s">
        <v>804</v>
      </c>
      <c r="O2878" s="5" t="s">
        <v>623</v>
      </c>
      <c r="P2878" s="5"/>
      <c r="Q2878" s="5" t="s">
        <v>825</v>
      </c>
    </row>
    <row r="2879" spans="2:17" x14ac:dyDescent="0.2">
      <c r="B2879" s="5" t="s">
        <v>544</v>
      </c>
      <c r="C2879" s="6" t="s">
        <v>13587</v>
      </c>
      <c r="D2879" s="4">
        <v>197</v>
      </c>
      <c r="E2879" s="5" t="s">
        <v>24</v>
      </c>
      <c r="F2879" s="5" t="s">
        <v>732</v>
      </c>
      <c r="G2879" s="6" t="s">
        <v>43</v>
      </c>
      <c r="H2879" s="4"/>
      <c r="I2879" s="5"/>
      <c r="J2879" s="5" t="s">
        <v>733</v>
      </c>
      <c r="K2879" s="5" t="s">
        <v>734</v>
      </c>
      <c r="L2879" s="5"/>
      <c r="M2879" s="5" t="s">
        <v>336</v>
      </c>
      <c r="N2879" s="5" t="s">
        <v>337</v>
      </c>
      <c r="O2879" s="5" t="s">
        <v>683</v>
      </c>
      <c r="P2879" s="5"/>
      <c r="Q2879" s="5" t="s">
        <v>735</v>
      </c>
    </row>
    <row r="2880" spans="2:17" x14ac:dyDescent="0.2">
      <c r="B2880" s="5" t="s">
        <v>544</v>
      </c>
      <c r="C2880" s="6" t="s">
        <v>13587</v>
      </c>
      <c r="D2880" s="4">
        <v>198</v>
      </c>
      <c r="E2880" s="5" t="s">
        <v>24</v>
      </c>
      <c r="F2880" s="5" t="s">
        <v>740</v>
      </c>
      <c r="G2880" s="6" t="s">
        <v>43</v>
      </c>
      <c r="H2880" s="4"/>
      <c r="I2880" s="5"/>
      <c r="J2880" s="5" t="s">
        <v>741</v>
      </c>
      <c r="K2880" s="5" t="s">
        <v>734</v>
      </c>
      <c r="L2880" s="5"/>
      <c r="M2880" s="5" t="s">
        <v>336</v>
      </c>
      <c r="N2880" s="5" t="s">
        <v>337</v>
      </c>
      <c r="O2880" s="5" t="s">
        <v>683</v>
      </c>
      <c r="P2880" s="5"/>
      <c r="Q2880" s="5" t="s">
        <v>742</v>
      </c>
    </row>
    <row r="2881" spans="2:17" x14ac:dyDescent="0.2">
      <c r="B2881" s="5" t="s">
        <v>544</v>
      </c>
      <c r="C2881" s="6" t="s">
        <v>13587</v>
      </c>
      <c r="D2881" s="4">
        <v>199</v>
      </c>
      <c r="E2881" s="5" t="s">
        <v>24</v>
      </c>
      <c r="F2881" s="5" t="s">
        <v>736</v>
      </c>
      <c r="G2881" s="6" t="s">
        <v>43</v>
      </c>
      <c r="H2881" s="4"/>
      <c r="I2881" s="5"/>
      <c r="J2881" s="5" t="s">
        <v>743</v>
      </c>
      <c r="K2881" s="5" t="s">
        <v>734</v>
      </c>
      <c r="L2881" s="5"/>
      <c r="M2881" s="5" t="s">
        <v>336</v>
      </c>
      <c r="N2881" s="5" t="s">
        <v>337</v>
      </c>
      <c r="O2881" s="5" t="s">
        <v>683</v>
      </c>
      <c r="P2881" s="5"/>
      <c r="Q2881" s="5" t="s">
        <v>744</v>
      </c>
    </row>
    <row r="2882" spans="2:17" x14ac:dyDescent="0.2">
      <c r="B2882" s="5" t="s">
        <v>544</v>
      </c>
      <c r="C2882" s="6" t="s">
        <v>13587</v>
      </c>
      <c r="D2882" s="4">
        <v>200</v>
      </c>
      <c r="E2882" s="5" t="s">
        <v>24</v>
      </c>
      <c r="F2882" s="5" t="s">
        <v>740</v>
      </c>
      <c r="G2882" s="6" t="s">
        <v>43</v>
      </c>
      <c r="H2882" s="4"/>
      <c r="I2882" s="5"/>
      <c r="J2882" s="5" t="s">
        <v>745</v>
      </c>
      <c r="K2882" s="5" t="s">
        <v>734</v>
      </c>
      <c r="L2882" s="5"/>
      <c r="M2882" s="5" t="s">
        <v>336</v>
      </c>
      <c r="N2882" s="5" t="s">
        <v>337</v>
      </c>
      <c r="O2882" s="5" t="s">
        <v>683</v>
      </c>
      <c r="P2882" s="5"/>
      <c r="Q2882" s="5" t="s">
        <v>744</v>
      </c>
    </row>
    <row r="2883" spans="2:17" x14ac:dyDescent="0.2">
      <c r="B2883" s="5" t="s">
        <v>544</v>
      </c>
      <c r="C2883" s="6" t="s">
        <v>13587</v>
      </c>
      <c r="D2883" s="4">
        <v>201</v>
      </c>
      <c r="E2883" s="5" t="s">
        <v>24</v>
      </c>
      <c r="F2883" s="5" t="s">
        <v>740</v>
      </c>
      <c r="G2883" s="6" t="s">
        <v>43</v>
      </c>
      <c r="H2883" s="4"/>
      <c r="I2883" s="5"/>
      <c r="J2883" s="5" t="s">
        <v>746</v>
      </c>
      <c r="K2883" s="5" t="s">
        <v>734</v>
      </c>
      <c r="L2883" s="5"/>
      <c r="M2883" s="5" t="s">
        <v>336</v>
      </c>
      <c r="N2883" s="5" t="s">
        <v>337</v>
      </c>
      <c r="O2883" s="5" t="s">
        <v>683</v>
      </c>
      <c r="P2883" s="5"/>
      <c r="Q2883" s="5" t="s">
        <v>747</v>
      </c>
    </row>
    <row r="2884" spans="2:17" x14ac:dyDescent="0.2">
      <c r="B2884" s="5" t="s">
        <v>544</v>
      </c>
      <c r="C2884" s="6" t="s">
        <v>13587</v>
      </c>
      <c r="D2884" s="4">
        <v>265</v>
      </c>
      <c r="E2884" s="5" t="s">
        <v>35</v>
      </c>
      <c r="F2884" s="5" t="s">
        <v>1079</v>
      </c>
      <c r="G2884" s="6" t="s">
        <v>43</v>
      </c>
      <c r="H2884" s="4"/>
      <c r="I2884" s="5"/>
      <c r="J2884" s="5" t="s">
        <v>1080</v>
      </c>
      <c r="K2884" s="5" t="s">
        <v>1081</v>
      </c>
      <c r="L2884" s="5"/>
      <c r="M2884" s="5" t="s">
        <v>1082</v>
      </c>
      <c r="N2884" s="5" t="s">
        <v>1082</v>
      </c>
      <c r="O2884" s="5" t="s">
        <v>588</v>
      </c>
      <c r="P2884" s="5"/>
      <c r="Q2884" s="5" t="s">
        <v>1083</v>
      </c>
    </row>
    <row r="2885" spans="2:17" x14ac:dyDescent="0.2">
      <c r="B2885" s="5" t="s">
        <v>544</v>
      </c>
      <c r="C2885" s="6" t="s">
        <v>13587</v>
      </c>
      <c r="D2885" s="4">
        <v>306</v>
      </c>
      <c r="E2885" s="5" t="s">
        <v>35</v>
      </c>
      <c r="F2885" s="5" t="s">
        <v>1149</v>
      </c>
      <c r="G2885" s="6" t="s">
        <v>43</v>
      </c>
      <c r="H2885" s="4"/>
      <c r="I2885" s="5"/>
      <c r="J2885" s="5" t="s">
        <v>741</v>
      </c>
      <c r="K2885" s="5" t="s">
        <v>87</v>
      </c>
      <c r="L2885" s="5"/>
      <c r="M2885" s="5" t="s">
        <v>1122</v>
      </c>
      <c r="N2885" s="5" t="s">
        <v>1150</v>
      </c>
      <c r="O2885" s="5" t="s">
        <v>683</v>
      </c>
      <c r="P2885" s="5"/>
      <c r="Q2885" s="5" t="s">
        <v>1151</v>
      </c>
    </row>
    <row r="2886" spans="2:17" x14ac:dyDescent="0.2">
      <c r="B2886" s="5" t="s">
        <v>544</v>
      </c>
      <c r="C2886" s="6" t="s">
        <v>13587</v>
      </c>
      <c r="D2886" s="4">
        <v>307</v>
      </c>
      <c r="E2886" s="5" t="s">
        <v>35</v>
      </c>
      <c r="F2886" s="5" t="s">
        <v>1149</v>
      </c>
      <c r="G2886" s="6" t="s">
        <v>43</v>
      </c>
      <c r="H2886" s="4"/>
      <c r="I2886" s="5"/>
      <c r="J2886" s="5" t="s">
        <v>741</v>
      </c>
      <c r="K2886" s="5" t="s">
        <v>87</v>
      </c>
      <c r="L2886" s="5"/>
      <c r="M2886" s="5" t="s">
        <v>1122</v>
      </c>
      <c r="N2886" s="5" t="s">
        <v>1150</v>
      </c>
      <c r="O2886" s="5" t="s">
        <v>683</v>
      </c>
      <c r="P2886" s="5"/>
      <c r="Q2886" s="5" t="s">
        <v>1152</v>
      </c>
    </row>
    <row r="2887" spans="2:17" x14ac:dyDescent="0.2">
      <c r="B2887" s="5" t="s">
        <v>544</v>
      </c>
      <c r="C2887" s="6" t="s">
        <v>13587</v>
      </c>
      <c r="D2887" s="4">
        <v>308</v>
      </c>
      <c r="E2887" s="5" t="s">
        <v>35</v>
      </c>
      <c r="F2887" s="5" t="s">
        <v>1153</v>
      </c>
      <c r="G2887" s="6" t="s">
        <v>43</v>
      </c>
      <c r="H2887" s="4"/>
      <c r="I2887" s="5"/>
      <c r="J2887" s="5" t="s">
        <v>741</v>
      </c>
      <c r="K2887" s="5" t="s">
        <v>87</v>
      </c>
      <c r="L2887" s="5"/>
      <c r="M2887" s="5" t="s">
        <v>1122</v>
      </c>
      <c r="N2887" s="5" t="s">
        <v>1150</v>
      </c>
      <c r="O2887" s="5" t="s">
        <v>683</v>
      </c>
      <c r="P2887" s="5"/>
      <c r="Q2887" s="5" t="s">
        <v>1154</v>
      </c>
    </row>
    <row r="2888" spans="2:17" x14ac:dyDescent="0.2">
      <c r="B2888" s="5" t="s">
        <v>1164</v>
      </c>
      <c r="C2888" s="6" t="s">
        <v>13587</v>
      </c>
      <c r="D2888" s="4">
        <v>311</v>
      </c>
      <c r="E2888" s="5" t="s">
        <v>15</v>
      </c>
      <c r="F2888" s="5" t="s">
        <v>1687</v>
      </c>
      <c r="G2888" s="6" t="s">
        <v>43</v>
      </c>
      <c r="H2888" s="4"/>
      <c r="I2888" s="5"/>
      <c r="J2888" s="5" t="s">
        <v>1688</v>
      </c>
      <c r="K2888" s="5" t="s">
        <v>1197</v>
      </c>
      <c r="L2888" s="5" t="s">
        <v>1689</v>
      </c>
      <c r="M2888" s="5" t="s">
        <v>1690</v>
      </c>
      <c r="N2888" s="5" t="s">
        <v>1691</v>
      </c>
      <c r="O2888" s="5" t="s">
        <v>1167</v>
      </c>
      <c r="P2888" s="5"/>
      <c r="Q2888" s="5" t="s">
        <v>1692</v>
      </c>
    </row>
    <row r="2889" spans="2:17" x14ac:dyDescent="0.2">
      <c r="B2889" s="5" t="s">
        <v>1164</v>
      </c>
      <c r="C2889" s="6" t="s">
        <v>13587</v>
      </c>
      <c r="D2889" s="4">
        <v>323</v>
      </c>
      <c r="E2889" s="5" t="s">
        <v>24</v>
      </c>
      <c r="F2889" s="5" t="s">
        <v>1620</v>
      </c>
      <c r="G2889" s="6" t="s">
        <v>43</v>
      </c>
      <c r="H2889" s="4"/>
      <c r="I2889" s="5"/>
      <c r="J2889" s="5" t="s">
        <v>1621</v>
      </c>
      <c r="K2889" s="5" t="s">
        <v>1186</v>
      </c>
      <c r="L2889" s="5"/>
      <c r="M2889" s="5" t="s">
        <v>1618</v>
      </c>
      <c r="N2889" s="5" t="s">
        <v>1012</v>
      </c>
      <c r="O2889" s="5" t="s">
        <v>1187</v>
      </c>
      <c r="P2889" s="5"/>
      <c r="Q2889" s="5" t="s">
        <v>1622</v>
      </c>
    </row>
    <row r="2890" spans="2:17" x14ac:dyDescent="0.2">
      <c r="B2890" s="5" t="s">
        <v>1164</v>
      </c>
      <c r="C2890" s="6" t="s">
        <v>13587</v>
      </c>
      <c r="D2890" s="4">
        <v>353</v>
      </c>
      <c r="E2890" s="5" t="s">
        <v>24</v>
      </c>
      <c r="F2890" s="5" t="s">
        <v>1461</v>
      </c>
      <c r="G2890" s="6" t="s">
        <v>43</v>
      </c>
      <c r="H2890" s="4"/>
      <c r="I2890" s="5"/>
      <c r="J2890" s="5" t="s">
        <v>1462</v>
      </c>
      <c r="K2890" s="5" t="s">
        <v>1463</v>
      </c>
      <c r="L2890" s="5"/>
      <c r="M2890" s="5" t="s">
        <v>804</v>
      </c>
      <c r="N2890" s="5" t="s">
        <v>1464</v>
      </c>
      <c r="O2890" s="5" t="s">
        <v>1166</v>
      </c>
      <c r="P2890" s="5"/>
      <c r="Q2890" s="5" t="s">
        <v>1465</v>
      </c>
    </row>
    <row r="2891" spans="2:17" x14ac:dyDescent="0.2">
      <c r="B2891" s="5" t="s">
        <v>1164</v>
      </c>
      <c r="C2891" s="6" t="s">
        <v>13587</v>
      </c>
      <c r="D2891" s="4">
        <v>356</v>
      </c>
      <c r="E2891" s="5" t="s">
        <v>35</v>
      </c>
      <c r="F2891" s="5" t="s">
        <v>1479</v>
      </c>
      <c r="G2891" s="6" t="s">
        <v>43</v>
      </c>
      <c r="H2891" s="4"/>
      <c r="I2891" s="5"/>
      <c r="J2891" s="5" t="s">
        <v>1480</v>
      </c>
      <c r="K2891" s="5" t="s">
        <v>1338</v>
      </c>
      <c r="L2891" s="5"/>
      <c r="M2891" s="5" t="s">
        <v>1470</v>
      </c>
      <c r="N2891" s="5" t="s">
        <v>342</v>
      </c>
      <c r="O2891" s="5" t="s">
        <v>1170</v>
      </c>
      <c r="P2891" s="5"/>
      <c r="Q2891" s="5" t="s">
        <v>1481</v>
      </c>
    </row>
    <row r="2892" spans="2:17" x14ac:dyDescent="0.2">
      <c r="B2892" s="5" t="s">
        <v>1164</v>
      </c>
      <c r="C2892" s="6" t="s">
        <v>13587</v>
      </c>
      <c r="D2892" s="4">
        <v>358</v>
      </c>
      <c r="E2892" s="5" t="s">
        <v>24</v>
      </c>
      <c r="F2892" s="5" t="s">
        <v>1444</v>
      </c>
      <c r="G2892" s="6" t="s">
        <v>43</v>
      </c>
      <c r="H2892" s="4"/>
      <c r="I2892" s="5"/>
      <c r="J2892" s="5" t="s">
        <v>1445</v>
      </c>
      <c r="K2892" s="5" t="s">
        <v>1165</v>
      </c>
      <c r="L2892" s="5" t="s">
        <v>1446</v>
      </c>
      <c r="M2892" s="5" t="s">
        <v>1447</v>
      </c>
      <c r="N2892" s="5" t="s">
        <v>1448</v>
      </c>
      <c r="O2892" s="5" t="s">
        <v>1166</v>
      </c>
      <c r="P2892" s="5"/>
      <c r="Q2892" s="5" t="s">
        <v>1449</v>
      </c>
    </row>
    <row r="2893" spans="2:17" x14ac:dyDescent="0.2">
      <c r="B2893" s="5" t="s">
        <v>1164</v>
      </c>
      <c r="C2893" s="6" t="s">
        <v>13587</v>
      </c>
      <c r="D2893" s="4">
        <v>363</v>
      </c>
      <c r="E2893" s="5" t="s">
        <v>15</v>
      </c>
      <c r="F2893" s="5" t="s">
        <v>1431</v>
      </c>
      <c r="G2893" s="6" t="s">
        <v>43</v>
      </c>
      <c r="H2893" s="4"/>
      <c r="I2893" s="5"/>
      <c r="J2893" s="5" t="s">
        <v>1432</v>
      </c>
      <c r="K2893" s="5" t="s">
        <v>1197</v>
      </c>
      <c r="L2893" s="5"/>
      <c r="M2893" s="5" t="s">
        <v>112</v>
      </c>
      <c r="N2893" s="5" t="s">
        <v>337</v>
      </c>
      <c r="O2893" s="5" t="s">
        <v>1167</v>
      </c>
      <c r="P2893" s="5"/>
      <c r="Q2893" s="5" t="s">
        <v>1433</v>
      </c>
    </row>
    <row r="2894" spans="2:17" x14ac:dyDescent="0.2">
      <c r="B2894" s="5" t="s">
        <v>1164</v>
      </c>
      <c r="C2894" s="6" t="s">
        <v>13587</v>
      </c>
      <c r="D2894" s="4">
        <v>414</v>
      </c>
      <c r="E2894" s="5" t="s">
        <v>20</v>
      </c>
      <c r="F2894" s="5" t="s">
        <v>1238</v>
      </c>
      <c r="G2894" s="6" t="s">
        <v>43</v>
      </c>
      <c r="H2894" s="4"/>
      <c r="I2894" s="5" t="s">
        <v>22</v>
      </c>
      <c r="J2894" s="5" t="s">
        <v>1239</v>
      </c>
      <c r="K2894" s="5" t="s">
        <v>1240</v>
      </c>
      <c r="L2894" s="5" t="s">
        <v>1241</v>
      </c>
      <c r="M2894" s="5" t="s">
        <v>1236</v>
      </c>
      <c r="N2894" s="5" t="s">
        <v>1236</v>
      </c>
      <c r="O2894" s="5" t="s">
        <v>1167</v>
      </c>
      <c r="P2894" s="5"/>
      <c r="Q2894" s="5" t="s">
        <v>1242</v>
      </c>
    </row>
    <row r="2895" spans="2:17" x14ac:dyDescent="0.2">
      <c r="B2895" s="5" t="s">
        <v>1164</v>
      </c>
      <c r="C2895" s="6" t="s">
        <v>13587</v>
      </c>
      <c r="D2895" s="4">
        <v>421</v>
      </c>
      <c r="E2895" s="5" t="s">
        <v>82</v>
      </c>
      <c r="F2895" s="5" t="s">
        <v>1663</v>
      </c>
      <c r="G2895" s="6" t="s">
        <v>43</v>
      </c>
      <c r="H2895" s="4"/>
      <c r="I2895" s="5"/>
      <c r="J2895" s="5" t="s">
        <v>1664</v>
      </c>
      <c r="K2895" s="5" t="s">
        <v>1338</v>
      </c>
      <c r="L2895" s="5"/>
      <c r="M2895" s="5" t="s">
        <v>1074</v>
      </c>
      <c r="N2895" s="5" t="s">
        <v>1074</v>
      </c>
      <c r="O2895" s="5" t="s">
        <v>1170</v>
      </c>
      <c r="P2895" s="5"/>
      <c r="Q2895" s="5" t="s">
        <v>1665</v>
      </c>
    </row>
    <row r="2896" spans="2:17" x14ac:dyDescent="0.2">
      <c r="B2896" s="5" t="s">
        <v>1708</v>
      </c>
      <c r="C2896" s="6" t="s">
        <v>13587</v>
      </c>
      <c r="D2896" s="4">
        <v>525</v>
      </c>
      <c r="E2896" s="5" t="s">
        <v>20</v>
      </c>
      <c r="F2896" s="5" t="s">
        <v>1833</v>
      </c>
      <c r="G2896" s="6" t="s">
        <v>43</v>
      </c>
      <c r="H2896" s="4"/>
      <c r="I2896" s="5" t="s">
        <v>38</v>
      </c>
      <c r="J2896" s="5" t="s">
        <v>1834</v>
      </c>
      <c r="K2896" s="5" t="s">
        <v>1735</v>
      </c>
      <c r="L2896" s="5"/>
      <c r="M2896" s="5" t="s">
        <v>1512</v>
      </c>
      <c r="N2896" s="5" t="s">
        <v>1835</v>
      </c>
      <c r="O2896" s="5" t="s">
        <v>1737</v>
      </c>
      <c r="P2896" s="5"/>
      <c r="Q2896" s="5" t="s">
        <v>1717</v>
      </c>
    </row>
    <row r="2897" spans="2:17" x14ac:dyDescent="0.2">
      <c r="B2897" s="5" t="s">
        <v>1906</v>
      </c>
      <c r="C2897" s="6" t="s">
        <v>13587</v>
      </c>
      <c r="D2897" s="4">
        <v>540</v>
      </c>
      <c r="E2897" s="5" t="s">
        <v>20</v>
      </c>
      <c r="F2897" s="5" t="s">
        <v>2177</v>
      </c>
      <c r="G2897" s="6" t="s">
        <v>43</v>
      </c>
      <c r="H2897" s="4"/>
      <c r="I2897" s="5" t="s">
        <v>22</v>
      </c>
      <c r="J2897" s="5" t="s">
        <v>2115</v>
      </c>
      <c r="K2897" s="5" t="s">
        <v>1944</v>
      </c>
      <c r="L2897" s="5"/>
      <c r="M2897" s="5" t="s">
        <v>464</v>
      </c>
      <c r="N2897" s="5" t="s">
        <v>465</v>
      </c>
      <c r="O2897" s="5" t="s">
        <v>1945</v>
      </c>
      <c r="P2897" s="5"/>
      <c r="Q2897" s="5" t="s">
        <v>2178</v>
      </c>
    </row>
    <row r="2898" spans="2:17" x14ac:dyDescent="0.2">
      <c r="B2898" s="5" t="s">
        <v>1906</v>
      </c>
      <c r="C2898" s="6" t="s">
        <v>13587</v>
      </c>
      <c r="D2898" s="4">
        <v>541</v>
      </c>
      <c r="E2898" s="5" t="s">
        <v>20</v>
      </c>
      <c r="F2898" s="5" t="s">
        <v>2179</v>
      </c>
      <c r="G2898" s="6" t="s">
        <v>43</v>
      </c>
      <c r="H2898" s="4"/>
      <c r="I2898" s="5" t="s">
        <v>38</v>
      </c>
      <c r="J2898" s="5" t="s">
        <v>2180</v>
      </c>
      <c r="K2898" s="5" t="s">
        <v>2181</v>
      </c>
      <c r="L2898" s="5"/>
      <c r="M2898" s="5" t="s">
        <v>464</v>
      </c>
      <c r="N2898" s="5" t="s">
        <v>465</v>
      </c>
      <c r="O2898" s="5" t="s">
        <v>1988</v>
      </c>
      <c r="P2898" s="5"/>
      <c r="Q2898" s="5" t="s">
        <v>2182</v>
      </c>
    </row>
    <row r="2899" spans="2:17" x14ac:dyDescent="0.2">
      <c r="B2899" s="5" t="s">
        <v>1906</v>
      </c>
      <c r="C2899" s="6" t="s">
        <v>13587</v>
      </c>
      <c r="D2899" s="4">
        <v>555</v>
      </c>
      <c r="E2899" s="5" t="s">
        <v>20</v>
      </c>
      <c r="F2899" s="5" t="s">
        <v>2065</v>
      </c>
      <c r="G2899" s="6" t="s">
        <v>43</v>
      </c>
      <c r="H2899" s="4"/>
      <c r="I2899" s="5" t="s">
        <v>22</v>
      </c>
      <c r="J2899" s="5" t="s">
        <v>2066</v>
      </c>
      <c r="K2899" s="5" t="s">
        <v>2067</v>
      </c>
      <c r="L2899" s="5"/>
      <c r="M2899" s="5" t="s">
        <v>1812</v>
      </c>
      <c r="N2899" s="5" t="s">
        <v>1436</v>
      </c>
      <c r="O2899" s="5" t="s">
        <v>1945</v>
      </c>
      <c r="P2899" s="5"/>
      <c r="Q2899" s="5" t="s">
        <v>2068</v>
      </c>
    </row>
    <row r="2900" spans="2:17" x14ac:dyDescent="0.2">
      <c r="B2900" s="5" t="s">
        <v>1906</v>
      </c>
      <c r="C2900" s="6" t="s">
        <v>13587</v>
      </c>
      <c r="D2900" s="4">
        <v>617</v>
      </c>
      <c r="E2900" s="5" t="s">
        <v>56</v>
      </c>
      <c r="F2900" s="5" t="s">
        <v>2132</v>
      </c>
      <c r="G2900" s="6" t="s">
        <v>43</v>
      </c>
      <c r="H2900" s="4"/>
      <c r="I2900" s="5"/>
      <c r="J2900" s="5" t="s">
        <v>2133</v>
      </c>
      <c r="K2900" s="5" t="s">
        <v>1944</v>
      </c>
      <c r="L2900" s="5"/>
      <c r="M2900" s="5" t="s">
        <v>2134</v>
      </c>
      <c r="N2900" s="5" t="s">
        <v>131</v>
      </c>
      <c r="O2900" s="5" t="s">
        <v>1945</v>
      </c>
      <c r="P2900" s="5"/>
      <c r="Q2900" s="5" t="s">
        <v>2135</v>
      </c>
    </row>
    <row r="2901" spans="2:17" x14ac:dyDescent="0.2">
      <c r="B2901" s="5" t="s">
        <v>1906</v>
      </c>
      <c r="C2901" s="6" t="s">
        <v>13587</v>
      </c>
      <c r="D2901" s="4">
        <v>620</v>
      </c>
      <c r="E2901" s="5" t="s">
        <v>20</v>
      </c>
      <c r="F2901" s="5" t="s">
        <v>2128</v>
      </c>
      <c r="G2901" s="6" t="s">
        <v>43</v>
      </c>
      <c r="H2901" s="4"/>
      <c r="I2901" s="5" t="s">
        <v>22</v>
      </c>
      <c r="J2901" s="5" t="s">
        <v>2129</v>
      </c>
      <c r="K2901" s="5" t="s">
        <v>1944</v>
      </c>
      <c r="L2901" s="5"/>
      <c r="M2901" s="5" t="s">
        <v>2130</v>
      </c>
      <c r="N2901" s="5" t="s">
        <v>132</v>
      </c>
      <c r="O2901" s="5" t="s">
        <v>1945</v>
      </c>
      <c r="P2901" s="5"/>
      <c r="Q2901" s="5" t="s">
        <v>2131</v>
      </c>
    </row>
    <row r="2902" spans="2:17" x14ac:dyDescent="0.2">
      <c r="B2902" s="5" t="s">
        <v>1906</v>
      </c>
      <c r="C2902" s="6" t="s">
        <v>13587</v>
      </c>
      <c r="D2902" s="4">
        <v>625</v>
      </c>
      <c r="E2902" s="5" t="s">
        <v>20</v>
      </c>
      <c r="F2902" s="5" t="s">
        <v>2114</v>
      </c>
      <c r="G2902" s="6" t="s">
        <v>43</v>
      </c>
      <c r="H2902" s="4"/>
      <c r="I2902" s="5" t="s">
        <v>22</v>
      </c>
      <c r="J2902" s="5" t="s">
        <v>2115</v>
      </c>
      <c r="K2902" s="5" t="s">
        <v>1944</v>
      </c>
      <c r="L2902" s="5"/>
      <c r="M2902" s="5" t="s">
        <v>2116</v>
      </c>
      <c r="N2902" s="5" t="s">
        <v>366</v>
      </c>
      <c r="O2902" s="5" t="s">
        <v>1945</v>
      </c>
      <c r="P2902" s="5"/>
      <c r="Q2902" s="5" t="s">
        <v>2117</v>
      </c>
    </row>
    <row r="2903" spans="2:17" x14ac:dyDescent="0.2">
      <c r="B2903" s="5" t="s">
        <v>1906</v>
      </c>
      <c r="C2903" s="6" t="s">
        <v>13587</v>
      </c>
      <c r="D2903" s="4">
        <v>626</v>
      </c>
      <c r="E2903" s="5" t="s">
        <v>20</v>
      </c>
      <c r="F2903" s="5" t="s">
        <v>2114</v>
      </c>
      <c r="G2903" s="6" t="s">
        <v>43</v>
      </c>
      <c r="H2903" s="4"/>
      <c r="I2903" s="5" t="s">
        <v>22</v>
      </c>
      <c r="J2903" s="5" t="s">
        <v>2118</v>
      </c>
      <c r="K2903" s="5" t="s">
        <v>2119</v>
      </c>
      <c r="L2903" s="5"/>
      <c r="M2903" s="5" t="s">
        <v>2116</v>
      </c>
      <c r="N2903" s="5" t="s">
        <v>366</v>
      </c>
      <c r="O2903" s="5" t="s">
        <v>1945</v>
      </c>
      <c r="P2903" s="5"/>
      <c r="Q2903" s="5" t="s">
        <v>2120</v>
      </c>
    </row>
    <row r="2904" spans="2:17" x14ac:dyDescent="0.2">
      <c r="B2904" s="5" t="s">
        <v>1906</v>
      </c>
      <c r="C2904" s="6" t="s">
        <v>13587</v>
      </c>
      <c r="D2904" s="4">
        <v>628</v>
      </c>
      <c r="E2904" s="5" t="s">
        <v>20</v>
      </c>
      <c r="F2904" s="5" t="s">
        <v>2121</v>
      </c>
      <c r="G2904" s="6" t="s">
        <v>43</v>
      </c>
      <c r="H2904" s="4"/>
      <c r="I2904" s="5" t="s">
        <v>38</v>
      </c>
      <c r="J2904" s="5" t="s">
        <v>2122</v>
      </c>
      <c r="K2904" s="5" t="s">
        <v>2123</v>
      </c>
      <c r="L2904" s="5"/>
      <c r="M2904" s="5" t="s">
        <v>2116</v>
      </c>
      <c r="N2904" s="5" t="s">
        <v>366</v>
      </c>
      <c r="O2904" s="5" t="s">
        <v>1988</v>
      </c>
      <c r="P2904" s="5"/>
      <c r="Q2904" s="5" t="s">
        <v>2124</v>
      </c>
    </row>
    <row r="2905" spans="2:17" x14ac:dyDescent="0.2">
      <c r="B2905" s="5" t="s">
        <v>2535</v>
      </c>
      <c r="C2905" s="6" t="s">
        <v>13587</v>
      </c>
      <c r="D2905" s="4">
        <v>771</v>
      </c>
      <c r="E2905" s="5" t="s">
        <v>35</v>
      </c>
      <c r="F2905" s="5" t="s">
        <v>2661</v>
      </c>
      <c r="G2905" s="6" t="s">
        <v>43</v>
      </c>
      <c r="H2905" s="4"/>
      <c r="I2905" s="5"/>
      <c r="J2905" s="5" t="s">
        <v>88</v>
      </c>
      <c r="K2905" s="5" t="s">
        <v>2538</v>
      </c>
      <c r="L2905" s="5"/>
      <c r="M2905" s="5" t="s">
        <v>2662</v>
      </c>
      <c r="N2905" s="5" t="s">
        <v>351</v>
      </c>
      <c r="O2905" s="5" t="s">
        <v>2539</v>
      </c>
      <c r="P2905" s="5"/>
      <c r="Q2905" s="5" t="s">
        <v>2663</v>
      </c>
    </row>
    <row r="2906" spans="2:17" x14ac:dyDescent="0.2">
      <c r="B2906" s="5" t="s">
        <v>2758</v>
      </c>
      <c r="C2906" s="6" t="s">
        <v>13587</v>
      </c>
      <c r="D2906" s="4">
        <v>783</v>
      </c>
      <c r="E2906" s="5" t="s">
        <v>15</v>
      </c>
      <c r="F2906" s="5" t="s">
        <v>3480</v>
      </c>
      <c r="G2906" s="6" t="s">
        <v>43</v>
      </c>
      <c r="H2906" s="4"/>
      <c r="I2906" s="5"/>
      <c r="J2906" s="5" t="s">
        <v>3480</v>
      </c>
      <c r="K2906" s="5" t="s">
        <v>2786</v>
      </c>
      <c r="L2906" s="5"/>
      <c r="M2906" s="5" t="s">
        <v>229</v>
      </c>
      <c r="N2906" s="5" t="s">
        <v>3478</v>
      </c>
      <c r="O2906" s="5" t="s">
        <v>2762</v>
      </c>
      <c r="P2906" s="5" t="s">
        <v>3481</v>
      </c>
      <c r="Q2906" s="5" t="s">
        <v>3482</v>
      </c>
    </row>
    <row r="2907" spans="2:17" x14ac:dyDescent="0.2">
      <c r="B2907" s="5" t="s">
        <v>2758</v>
      </c>
      <c r="C2907" s="6" t="s">
        <v>13587</v>
      </c>
      <c r="D2907" s="4">
        <v>784</v>
      </c>
      <c r="E2907" s="5" t="s">
        <v>13</v>
      </c>
      <c r="F2907" s="5" t="s">
        <v>3470</v>
      </c>
      <c r="G2907" s="6" t="s">
        <v>43</v>
      </c>
      <c r="H2907" s="4"/>
      <c r="I2907" s="5"/>
      <c r="J2907" s="5"/>
      <c r="K2907" s="5" t="s">
        <v>2786</v>
      </c>
      <c r="L2907" s="5"/>
      <c r="M2907" s="5" t="s">
        <v>1681</v>
      </c>
      <c r="N2907" s="5" t="s">
        <v>1681</v>
      </c>
      <c r="O2907" s="5" t="s">
        <v>2762</v>
      </c>
      <c r="P2907" s="5"/>
      <c r="Q2907" s="5" t="s">
        <v>3471</v>
      </c>
    </row>
    <row r="2908" spans="2:17" x14ac:dyDescent="0.2">
      <c r="B2908" s="5" t="s">
        <v>2758</v>
      </c>
      <c r="C2908" s="6" t="s">
        <v>13587</v>
      </c>
      <c r="D2908" s="4">
        <v>937</v>
      </c>
      <c r="E2908" s="5" t="s">
        <v>13</v>
      </c>
      <c r="F2908" s="5" t="s">
        <v>2920</v>
      </c>
      <c r="G2908" s="6" t="s">
        <v>43</v>
      </c>
      <c r="H2908" s="4"/>
      <c r="I2908" s="5"/>
      <c r="J2908" s="5"/>
      <c r="K2908" s="5" t="s">
        <v>2786</v>
      </c>
      <c r="L2908" s="5" t="s">
        <v>2921</v>
      </c>
      <c r="M2908" s="5" t="s">
        <v>1928</v>
      </c>
      <c r="N2908" s="5" t="s">
        <v>1928</v>
      </c>
      <c r="O2908" s="5" t="s">
        <v>2762</v>
      </c>
      <c r="P2908" s="5"/>
      <c r="Q2908" s="5" t="s">
        <v>2923</v>
      </c>
    </row>
    <row r="2909" spans="2:17" x14ac:dyDescent="0.2">
      <c r="B2909" s="5" t="s">
        <v>2758</v>
      </c>
      <c r="C2909" s="6" t="s">
        <v>13587</v>
      </c>
      <c r="D2909" s="4">
        <v>938</v>
      </c>
      <c r="E2909" s="5" t="s">
        <v>13</v>
      </c>
      <c r="F2909" s="5" t="s">
        <v>2920</v>
      </c>
      <c r="G2909" s="6" t="s">
        <v>43</v>
      </c>
      <c r="H2909" s="4"/>
      <c r="I2909" s="5"/>
      <c r="J2909" s="5"/>
      <c r="K2909" s="5" t="s">
        <v>2786</v>
      </c>
      <c r="L2909" s="5" t="s">
        <v>2921</v>
      </c>
      <c r="M2909" s="5" t="s">
        <v>1751</v>
      </c>
      <c r="N2909" s="5" t="s">
        <v>1751</v>
      </c>
      <c r="O2909" s="5" t="s">
        <v>2762</v>
      </c>
      <c r="P2909" s="5"/>
      <c r="Q2909" s="5" t="s">
        <v>2922</v>
      </c>
    </row>
    <row r="2910" spans="2:17" x14ac:dyDescent="0.2">
      <c r="B2910" s="5" t="s">
        <v>2758</v>
      </c>
      <c r="C2910" s="6" t="s">
        <v>13587</v>
      </c>
      <c r="D2910" s="4">
        <v>963</v>
      </c>
      <c r="E2910" s="5" t="s">
        <v>20</v>
      </c>
      <c r="F2910" s="5" t="s">
        <v>2837</v>
      </c>
      <c r="G2910" s="6" t="s">
        <v>43</v>
      </c>
      <c r="H2910" s="4"/>
      <c r="I2910" s="5" t="s">
        <v>22</v>
      </c>
      <c r="J2910" s="5" t="s">
        <v>2838</v>
      </c>
      <c r="K2910" s="5" t="s">
        <v>2764</v>
      </c>
      <c r="L2910" s="5"/>
      <c r="M2910" s="5" t="s">
        <v>1236</v>
      </c>
      <c r="N2910" s="5" t="s">
        <v>1222</v>
      </c>
      <c r="O2910" s="5" t="s">
        <v>2762</v>
      </c>
      <c r="P2910" s="5" t="s">
        <v>2839</v>
      </c>
      <c r="Q2910" s="5" t="s">
        <v>2840</v>
      </c>
    </row>
    <row r="2911" spans="2:17" x14ac:dyDescent="0.2">
      <c r="B2911" s="5" t="s">
        <v>2758</v>
      </c>
      <c r="C2911" s="6" t="s">
        <v>13587</v>
      </c>
      <c r="D2911" s="4">
        <v>964</v>
      </c>
      <c r="E2911" s="5" t="s">
        <v>20</v>
      </c>
      <c r="F2911" s="5" t="s">
        <v>2837</v>
      </c>
      <c r="G2911" s="6" t="s">
        <v>43</v>
      </c>
      <c r="H2911" s="4"/>
      <c r="I2911" s="5" t="s">
        <v>22</v>
      </c>
      <c r="J2911" s="5" t="s">
        <v>2841</v>
      </c>
      <c r="K2911" s="5" t="s">
        <v>2764</v>
      </c>
      <c r="L2911" s="5"/>
      <c r="M2911" s="5" t="s">
        <v>1236</v>
      </c>
      <c r="N2911" s="5" t="s">
        <v>1222</v>
      </c>
      <c r="O2911" s="5" t="s">
        <v>2762</v>
      </c>
      <c r="P2911" s="5" t="s">
        <v>2839</v>
      </c>
      <c r="Q2911" s="5" t="s">
        <v>2842</v>
      </c>
    </row>
    <row r="2912" spans="2:17" x14ac:dyDescent="0.2">
      <c r="B2912" s="5" t="s">
        <v>3543</v>
      </c>
      <c r="C2912" s="6" t="s">
        <v>13587</v>
      </c>
      <c r="D2912" s="4">
        <v>1103</v>
      </c>
      <c r="E2912" s="5" t="s">
        <v>32</v>
      </c>
      <c r="F2912" s="5" t="s">
        <v>3769</v>
      </c>
      <c r="G2912" s="6" t="s">
        <v>43</v>
      </c>
      <c r="H2912" s="4"/>
      <c r="I2912" s="5" t="s">
        <v>22</v>
      </c>
      <c r="J2912" s="5" t="s">
        <v>3770</v>
      </c>
      <c r="K2912" s="5" t="s">
        <v>3553</v>
      </c>
      <c r="L2912" s="5" t="s">
        <v>276</v>
      </c>
      <c r="M2912" s="5" t="s">
        <v>2236</v>
      </c>
      <c r="N2912" s="5" t="s">
        <v>224</v>
      </c>
      <c r="O2912" s="5" t="s">
        <v>3551</v>
      </c>
      <c r="P2912" s="5"/>
      <c r="Q2912" s="5" t="s">
        <v>3548</v>
      </c>
    </row>
    <row r="2913" spans="2:17" x14ac:dyDescent="0.2">
      <c r="B2913" s="5" t="s">
        <v>1906</v>
      </c>
      <c r="C2913" s="6" t="s">
        <v>13587</v>
      </c>
      <c r="D2913" s="4">
        <v>546</v>
      </c>
      <c r="E2913" s="5" t="s">
        <v>20</v>
      </c>
      <c r="F2913" s="5" t="s">
        <v>2160</v>
      </c>
      <c r="G2913" s="6" t="s">
        <v>54</v>
      </c>
      <c r="H2913" s="4"/>
      <c r="I2913" s="5" t="s">
        <v>38</v>
      </c>
      <c r="J2913" s="5" t="s">
        <v>2161</v>
      </c>
      <c r="K2913" s="5" t="s">
        <v>2123</v>
      </c>
      <c r="L2913" s="5"/>
      <c r="M2913" s="5" t="s">
        <v>423</v>
      </c>
      <c r="N2913" s="5" t="s">
        <v>416</v>
      </c>
      <c r="O2913" s="5" t="s">
        <v>1988</v>
      </c>
      <c r="P2913" s="5"/>
      <c r="Q2913" s="5" t="s">
        <v>2162</v>
      </c>
    </row>
    <row r="2914" spans="2:17" x14ac:dyDescent="0.2">
      <c r="B2914" s="5" t="s">
        <v>2758</v>
      </c>
      <c r="C2914" s="6" t="s">
        <v>13587</v>
      </c>
      <c r="D2914" s="4">
        <v>902</v>
      </c>
      <c r="E2914" s="5" t="s">
        <v>24</v>
      </c>
      <c r="F2914" s="5" t="s">
        <v>3021</v>
      </c>
      <c r="G2914" s="6" t="s">
        <v>54</v>
      </c>
      <c r="H2914" s="4"/>
      <c r="I2914" s="5"/>
      <c r="J2914" s="5" t="s">
        <v>3021</v>
      </c>
      <c r="K2914" s="5" t="s">
        <v>2795</v>
      </c>
      <c r="L2914" s="5"/>
      <c r="M2914" s="5" t="s">
        <v>1436</v>
      </c>
      <c r="N2914" s="5" t="s">
        <v>1436</v>
      </c>
      <c r="O2914" s="5" t="s">
        <v>2759</v>
      </c>
      <c r="P2914" s="5"/>
      <c r="Q2914" s="5" t="s">
        <v>3022</v>
      </c>
    </row>
    <row r="2915" spans="2:17" x14ac:dyDescent="0.2">
      <c r="B2915" s="5" t="s">
        <v>2758</v>
      </c>
      <c r="C2915" s="6" t="s">
        <v>13587</v>
      </c>
      <c r="D2915" s="4">
        <v>984</v>
      </c>
      <c r="E2915" s="5" t="s">
        <v>20</v>
      </c>
      <c r="F2915" s="5" t="s">
        <v>3120</v>
      </c>
      <c r="G2915" s="6" t="s">
        <v>54</v>
      </c>
      <c r="H2915" s="4"/>
      <c r="I2915" s="5" t="s">
        <v>22</v>
      </c>
      <c r="J2915" s="5" t="s">
        <v>3121</v>
      </c>
      <c r="K2915" s="5" t="s">
        <v>2789</v>
      </c>
      <c r="L2915" s="5"/>
      <c r="M2915" s="5" t="s">
        <v>2134</v>
      </c>
      <c r="N2915" s="5" t="s">
        <v>1512</v>
      </c>
      <c r="O2915" s="5" t="s">
        <v>2759</v>
      </c>
      <c r="P2915" s="5"/>
      <c r="Q2915" s="5" t="s">
        <v>3122</v>
      </c>
    </row>
    <row r="2916" spans="2:17" x14ac:dyDescent="0.2">
      <c r="B2916" s="5" t="s">
        <v>2758</v>
      </c>
      <c r="C2916" s="6" t="s">
        <v>13587</v>
      </c>
      <c r="D2916" s="4">
        <v>985</v>
      </c>
      <c r="E2916" s="5" t="s">
        <v>20</v>
      </c>
      <c r="F2916" s="5" t="s">
        <v>3120</v>
      </c>
      <c r="G2916" s="6" t="s">
        <v>54</v>
      </c>
      <c r="H2916" s="4"/>
      <c r="I2916" s="5" t="s">
        <v>22</v>
      </c>
      <c r="J2916" s="5" t="s">
        <v>3097</v>
      </c>
      <c r="K2916" s="5" t="s">
        <v>2791</v>
      </c>
      <c r="L2916" s="5"/>
      <c r="M2916" s="5" t="s">
        <v>2134</v>
      </c>
      <c r="N2916" s="5" t="s">
        <v>1512</v>
      </c>
      <c r="O2916" s="5" t="s">
        <v>2759</v>
      </c>
      <c r="P2916" s="5"/>
      <c r="Q2916" s="5" t="s">
        <v>3123</v>
      </c>
    </row>
    <row r="2917" spans="2:17" x14ac:dyDescent="0.2">
      <c r="B2917" s="5" t="s">
        <v>92</v>
      </c>
      <c r="C2917" s="6" t="s">
        <v>13587</v>
      </c>
      <c r="D2917" s="4">
        <v>5</v>
      </c>
      <c r="E2917" s="5" t="s">
        <v>13</v>
      </c>
      <c r="F2917" s="5" t="s">
        <v>213</v>
      </c>
      <c r="G2917" s="6" t="s">
        <v>14</v>
      </c>
      <c r="H2917" s="4">
        <v>1</v>
      </c>
      <c r="I2917" s="5"/>
      <c r="J2917" s="5" t="s">
        <v>214</v>
      </c>
      <c r="K2917" s="5" t="s">
        <v>202</v>
      </c>
      <c r="L2917" s="5"/>
      <c r="M2917" s="5" t="s">
        <v>215</v>
      </c>
      <c r="N2917" s="5" t="s">
        <v>215</v>
      </c>
      <c r="O2917" s="5" t="s">
        <v>107</v>
      </c>
      <c r="P2917" s="5"/>
      <c r="Q2917" s="5" t="s">
        <v>216</v>
      </c>
    </row>
    <row r="2918" spans="2:17" x14ac:dyDescent="0.2">
      <c r="B2918" s="5" t="s">
        <v>92</v>
      </c>
      <c r="C2918" s="6" t="s">
        <v>13587</v>
      </c>
      <c r="D2918" s="4">
        <v>16</v>
      </c>
      <c r="E2918" s="5" t="s">
        <v>13</v>
      </c>
      <c r="F2918" s="5" t="s">
        <v>150</v>
      </c>
      <c r="G2918" s="6" t="s">
        <v>14</v>
      </c>
      <c r="H2918" s="4">
        <v>2</v>
      </c>
      <c r="I2918" s="5"/>
      <c r="J2918" s="5" t="s">
        <v>151</v>
      </c>
      <c r="K2918" s="5" t="s">
        <v>152</v>
      </c>
      <c r="L2918" s="5"/>
      <c r="M2918" s="5" t="s">
        <v>153</v>
      </c>
      <c r="N2918" s="5" t="s">
        <v>153</v>
      </c>
      <c r="O2918" s="5" t="s">
        <v>98</v>
      </c>
      <c r="P2918" s="5"/>
      <c r="Q2918" s="5" t="s">
        <v>154</v>
      </c>
    </row>
    <row r="2919" spans="2:17" x14ac:dyDescent="0.2">
      <c r="B2919" s="5" t="s">
        <v>92</v>
      </c>
      <c r="C2919" s="6" t="s">
        <v>13587</v>
      </c>
      <c r="D2919" s="4">
        <v>20</v>
      </c>
      <c r="E2919" s="5" t="s">
        <v>15</v>
      </c>
      <c r="F2919" s="5" t="s">
        <v>140</v>
      </c>
      <c r="G2919" s="6" t="s">
        <v>14</v>
      </c>
      <c r="H2919" s="4">
        <v>3</v>
      </c>
      <c r="I2919" s="5"/>
      <c r="J2919" s="5" t="s">
        <v>141</v>
      </c>
      <c r="K2919" s="5" t="s">
        <v>111</v>
      </c>
      <c r="L2919" s="5"/>
      <c r="M2919" s="5" t="s">
        <v>142</v>
      </c>
      <c r="N2919" s="5" t="s">
        <v>142</v>
      </c>
      <c r="O2919" s="5" t="s">
        <v>98</v>
      </c>
      <c r="P2919" s="5"/>
      <c r="Q2919" s="5" t="s">
        <v>143</v>
      </c>
    </row>
    <row r="2920" spans="2:17" x14ac:dyDescent="0.2">
      <c r="B2920" s="5" t="s">
        <v>92</v>
      </c>
      <c r="C2920" s="6" t="s">
        <v>13587</v>
      </c>
      <c r="D2920" s="4">
        <v>24</v>
      </c>
      <c r="E2920" s="5" t="s">
        <v>32</v>
      </c>
      <c r="F2920" s="5" t="s">
        <v>103</v>
      </c>
      <c r="G2920" s="6" t="s">
        <v>14</v>
      </c>
      <c r="H2920" s="4">
        <v>4</v>
      </c>
      <c r="I2920" s="5" t="s">
        <v>22</v>
      </c>
      <c r="J2920" s="5" t="s">
        <v>104</v>
      </c>
      <c r="K2920" s="5" t="s">
        <v>105</v>
      </c>
      <c r="L2920" s="5"/>
      <c r="M2920" s="5" t="s">
        <v>106</v>
      </c>
      <c r="N2920" s="5" t="s">
        <v>106</v>
      </c>
      <c r="O2920" s="5" t="s">
        <v>107</v>
      </c>
      <c r="P2920" s="5"/>
      <c r="Q2920" s="5" t="s">
        <v>108</v>
      </c>
    </row>
    <row r="2921" spans="2:17" x14ac:dyDescent="0.2">
      <c r="B2921" s="5" t="s">
        <v>92</v>
      </c>
      <c r="C2921" s="6" t="s">
        <v>13587</v>
      </c>
      <c r="D2921" s="4">
        <v>25</v>
      </c>
      <c r="E2921" s="5" t="s">
        <v>20</v>
      </c>
      <c r="F2921" s="5" t="s">
        <v>144</v>
      </c>
      <c r="G2921" s="6" t="s">
        <v>14</v>
      </c>
      <c r="H2921" s="4">
        <v>5</v>
      </c>
      <c r="I2921" s="5" t="s">
        <v>22</v>
      </c>
      <c r="J2921" s="5" t="s">
        <v>145</v>
      </c>
      <c r="K2921" s="5" t="s">
        <v>146</v>
      </c>
      <c r="L2921" s="5"/>
      <c r="M2921" s="5" t="s">
        <v>147</v>
      </c>
      <c r="N2921" s="5" t="s">
        <v>148</v>
      </c>
      <c r="O2921" s="5" t="s">
        <v>98</v>
      </c>
      <c r="P2921" s="5"/>
      <c r="Q2921" s="5" t="s">
        <v>149</v>
      </c>
    </row>
    <row r="2922" spans="2:17" x14ac:dyDescent="0.2">
      <c r="B2922" s="5" t="s">
        <v>92</v>
      </c>
      <c r="C2922" s="6" t="s">
        <v>13587</v>
      </c>
      <c r="D2922" s="4">
        <v>26</v>
      </c>
      <c r="E2922" s="5" t="s">
        <v>20</v>
      </c>
      <c r="F2922" s="5" t="s">
        <v>93</v>
      </c>
      <c r="G2922" s="6" t="s">
        <v>14</v>
      </c>
      <c r="H2922" s="4">
        <v>6</v>
      </c>
      <c r="I2922" s="5" t="s">
        <v>22</v>
      </c>
      <c r="J2922" s="5" t="s">
        <v>94</v>
      </c>
      <c r="K2922" s="5" t="s">
        <v>95</v>
      </c>
      <c r="L2922" s="5"/>
      <c r="M2922" s="5" t="s">
        <v>96</v>
      </c>
      <c r="N2922" s="5" t="s">
        <v>97</v>
      </c>
      <c r="O2922" s="5" t="s">
        <v>98</v>
      </c>
      <c r="P2922" s="5"/>
      <c r="Q2922" s="5" t="s">
        <v>99</v>
      </c>
    </row>
    <row r="2923" spans="2:17" x14ac:dyDescent="0.2">
      <c r="B2923" s="5" t="s">
        <v>92</v>
      </c>
      <c r="C2923" s="6" t="s">
        <v>13587</v>
      </c>
      <c r="D2923" s="4">
        <v>27</v>
      </c>
      <c r="E2923" s="5" t="s">
        <v>20</v>
      </c>
      <c r="F2923" s="5" t="s">
        <v>93</v>
      </c>
      <c r="G2923" s="6" t="s">
        <v>14</v>
      </c>
      <c r="H2923" s="4">
        <v>7</v>
      </c>
      <c r="I2923" s="5" t="s">
        <v>22</v>
      </c>
      <c r="J2923" s="5" t="s">
        <v>100</v>
      </c>
      <c r="K2923" s="5" t="s">
        <v>95</v>
      </c>
      <c r="L2923" s="5" t="s">
        <v>101</v>
      </c>
      <c r="M2923" s="5" t="s">
        <v>96</v>
      </c>
      <c r="N2923" s="5" t="s">
        <v>97</v>
      </c>
      <c r="O2923" s="5" t="s">
        <v>98</v>
      </c>
      <c r="P2923" s="5"/>
      <c r="Q2923" s="5" t="s">
        <v>102</v>
      </c>
    </row>
    <row r="2924" spans="2:17" x14ac:dyDescent="0.2">
      <c r="B2924" s="5" t="s">
        <v>92</v>
      </c>
      <c r="C2924" s="6" t="s">
        <v>13587</v>
      </c>
      <c r="D2924" s="4">
        <v>31</v>
      </c>
      <c r="E2924" s="5" t="s">
        <v>15</v>
      </c>
      <c r="F2924" s="5" t="s">
        <v>263</v>
      </c>
      <c r="G2924" s="6" t="s">
        <v>14</v>
      </c>
      <c r="H2924" s="4">
        <v>8</v>
      </c>
      <c r="I2924" s="5"/>
      <c r="J2924" s="5" t="s">
        <v>259</v>
      </c>
      <c r="K2924" s="5" t="s">
        <v>126</v>
      </c>
      <c r="L2924" s="5"/>
      <c r="M2924" s="5" t="s">
        <v>260</v>
      </c>
      <c r="N2924" s="5" t="s">
        <v>261</v>
      </c>
      <c r="O2924" s="5" t="s">
        <v>107</v>
      </c>
      <c r="P2924" s="5"/>
      <c r="Q2924" s="5" t="s">
        <v>264</v>
      </c>
    </row>
    <row r="2925" spans="2:17" x14ac:dyDescent="0.2">
      <c r="B2925" s="5" t="s">
        <v>92</v>
      </c>
      <c r="C2925" s="6" t="s">
        <v>13587</v>
      </c>
      <c r="D2925" s="4">
        <v>32</v>
      </c>
      <c r="E2925" s="5" t="s">
        <v>32</v>
      </c>
      <c r="F2925" s="5" t="s">
        <v>258</v>
      </c>
      <c r="G2925" s="6" t="s">
        <v>14</v>
      </c>
      <c r="H2925" s="4">
        <v>9</v>
      </c>
      <c r="I2925" s="5" t="s">
        <v>22</v>
      </c>
      <c r="J2925" s="5" t="s">
        <v>259</v>
      </c>
      <c r="K2925" s="5" t="s">
        <v>126</v>
      </c>
      <c r="L2925" s="5"/>
      <c r="M2925" s="5" t="s">
        <v>260</v>
      </c>
      <c r="N2925" s="5" t="s">
        <v>261</v>
      </c>
      <c r="O2925" s="5" t="s">
        <v>107</v>
      </c>
      <c r="P2925" s="5"/>
      <c r="Q2925" s="5" t="s">
        <v>262</v>
      </c>
    </row>
    <row r="2926" spans="2:17" x14ac:dyDescent="0.2">
      <c r="B2926" s="5" t="s">
        <v>92</v>
      </c>
      <c r="C2926" s="6" t="s">
        <v>13587</v>
      </c>
      <c r="D2926" s="4">
        <v>33</v>
      </c>
      <c r="E2926" s="5" t="s">
        <v>20</v>
      </c>
      <c r="F2926" s="5" t="s">
        <v>124</v>
      </c>
      <c r="G2926" s="6" t="s">
        <v>14</v>
      </c>
      <c r="H2926" s="4">
        <v>10</v>
      </c>
      <c r="I2926" s="5" t="s">
        <v>22</v>
      </c>
      <c r="J2926" s="5" t="s">
        <v>125</v>
      </c>
      <c r="K2926" s="5" t="s">
        <v>126</v>
      </c>
      <c r="L2926" s="5"/>
      <c r="M2926" s="5" t="s">
        <v>127</v>
      </c>
      <c r="N2926" s="5" t="s">
        <v>127</v>
      </c>
      <c r="O2926" s="5" t="s">
        <v>107</v>
      </c>
      <c r="P2926" s="5"/>
      <c r="Q2926" s="5" t="s">
        <v>128</v>
      </c>
    </row>
    <row r="2927" spans="2:17" x14ac:dyDescent="0.2">
      <c r="B2927" s="5" t="s">
        <v>278</v>
      </c>
      <c r="C2927" s="6" t="s">
        <v>13587</v>
      </c>
      <c r="D2927" s="4">
        <v>38</v>
      </c>
      <c r="E2927" s="5" t="s">
        <v>13</v>
      </c>
      <c r="F2927" s="5" t="s">
        <v>504</v>
      </c>
      <c r="G2927" s="6" t="s">
        <v>14</v>
      </c>
      <c r="H2927" s="4">
        <v>11</v>
      </c>
      <c r="I2927" s="5" t="s">
        <v>22</v>
      </c>
      <c r="J2927" s="5" t="s">
        <v>505</v>
      </c>
      <c r="K2927" s="5" t="s">
        <v>311</v>
      </c>
      <c r="L2927" s="5"/>
      <c r="M2927" s="5" t="s">
        <v>506</v>
      </c>
      <c r="N2927" s="5" t="s">
        <v>506</v>
      </c>
      <c r="O2927" s="5" t="s">
        <v>285</v>
      </c>
      <c r="P2927" s="5"/>
      <c r="Q2927" s="5" t="s">
        <v>286</v>
      </c>
    </row>
    <row r="2928" spans="2:17" x14ac:dyDescent="0.2">
      <c r="B2928" s="5" t="s">
        <v>278</v>
      </c>
      <c r="C2928" s="6" t="s">
        <v>13587</v>
      </c>
      <c r="D2928" s="4">
        <v>39</v>
      </c>
      <c r="E2928" s="5" t="s">
        <v>32</v>
      </c>
      <c r="F2928" s="5" t="s">
        <v>536</v>
      </c>
      <c r="G2928" s="6" t="s">
        <v>14</v>
      </c>
      <c r="H2928" s="4">
        <v>12</v>
      </c>
      <c r="I2928" s="5" t="s">
        <v>22</v>
      </c>
      <c r="J2928" s="5" t="s">
        <v>537</v>
      </c>
      <c r="K2928" s="5" t="s">
        <v>431</v>
      </c>
      <c r="L2928" s="5"/>
      <c r="M2928" s="5" t="s">
        <v>271</v>
      </c>
      <c r="N2928" s="5" t="s">
        <v>538</v>
      </c>
      <c r="O2928" s="5" t="s">
        <v>372</v>
      </c>
      <c r="P2928" s="5"/>
      <c r="Q2928" s="5" t="s">
        <v>514</v>
      </c>
    </row>
    <row r="2929" spans="2:17" x14ac:dyDescent="0.2">
      <c r="B2929" s="5" t="s">
        <v>278</v>
      </c>
      <c r="C2929" s="6" t="s">
        <v>13587</v>
      </c>
      <c r="D2929" s="4">
        <v>40</v>
      </c>
      <c r="E2929" s="5" t="s">
        <v>15</v>
      </c>
      <c r="F2929" s="5" t="s">
        <v>477</v>
      </c>
      <c r="G2929" s="6" t="s">
        <v>14</v>
      </c>
      <c r="H2929" s="4">
        <v>13</v>
      </c>
      <c r="I2929" s="5" t="s">
        <v>22</v>
      </c>
      <c r="J2929" s="5" t="s">
        <v>478</v>
      </c>
      <c r="K2929" s="5" t="s">
        <v>420</v>
      </c>
      <c r="L2929" s="5"/>
      <c r="M2929" s="5" t="s">
        <v>479</v>
      </c>
      <c r="N2929" s="5" t="s">
        <v>480</v>
      </c>
      <c r="O2929" s="5" t="s">
        <v>372</v>
      </c>
      <c r="P2929" s="5"/>
      <c r="Q2929" s="5" t="s">
        <v>286</v>
      </c>
    </row>
    <row r="2930" spans="2:17" x14ac:dyDescent="0.2">
      <c r="B2930" s="5" t="s">
        <v>278</v>
      </c>
      <c r="C2930" s="6" t="s">
        <v>13587</v>
      </c>
      <c r="D2930" s="4">
        <v>41</v>
      </c>
      <c r="E2930" s="5" t="s">
        <v>32</v>
      </c>
      <c r="F2930" s="5" t="s">
        <v>473</v>
      </c>
      <c r="G2930" s="6" t="s">
        <v>14</v>
      </c>
      <c r="H2930" s="4">
        <v>14</v>
      </c>
      <c r="I2930" s="5" t="s">
        <v>22</v>
      </c>
      <c r="J2930" s="5" t="s">
        <v>474</v>
      </c>
      <c r="K2930" s="5" t="s">
        <v>334</v>
      </c>
      <c r="L2930" s="5" t="s">
        <v>475</v>
      </c>
      <c r="M2930" s="5" t="s">
        <v>215</v>
      </c>
      <c r="N2930" s="5" t="s">
        <v>476</v>
      </c>
      <c r="O2930" s="5" t="s">
        <v>372</v>
      </c>
      <c r="P2930" s="5"/>
      <c r="Q2930" s="5" t="s">
        <v>286</v>
      </c>
    </row>
    <row r="2931" spans="2:17" x14ac:dyDescent="0.2">
      <c r="B2931" s="5" t="s">
        <v>278</v>
      </c>
      <c r="C2931" s="6" t="s">
        <v>13587</v>
      </c>
      <c r="D2931" s="4">
        <v>51</v>
      </c>
      <c r="E2931" s="5" t="s">
        <v>15</v>
      </c>
      <c r="F2931" s="5" t="s">
        <v>438</v>
      </c>
      <c r="G2931" s="6" t="s">
        <v>14</v>
      </c>
      <c r="H2931" s="4">
        <v>15</v>
      </c>
      <c r="I2931" s="5" t="s">
        <v>22</v>
      </c>
      <c r="J2931" s="5" t="s">
        <v>439</v>
      </c>
      <c r="K2931" s="5" t="s">
        <v>345</v>
      </c>
      <c r="L2931" s="5" t="s">
        <v>440</v>
      </c>
      <c r="M2931" s="5" t="s">
        <v>163</v>
      </c>
      <c r="N2931" s="5" t="s">
        <v>153</v>
      </c>
      <c r="O2931" s="5" t="s">
        <v>285</v>
      </c>
      <c r="P2931" s="5"/>
      <c r="Q2931" s="5" t="s">
        <v>286</v>
      </c>
    </row>
    <row r="2932" spans="2:17" x14ac:dyDescent="0.2">
      <c r="B2932" s="5" t="s">
        <v>278</v>
      </c>
      <c r="C2932" s="6" t="s">
        <v>13587</v>
      </c>
      <c r="D2932" s="4">
        <v>65</v>
      </c>
      <c r="E2932" s="5" t="s">
        <v>15</v>
      </c>
      <c r="F2932" s="5" t="s">
        <v>332</v>
      </c>
      <c r="G2932" s="6" t="s">
        <v>14</v>
      </c>
      <c r="H2932" s="4">
        <v>16</v>
      </c>
      <c r="I2932" s="5" t="s">
        <v>22</v>
      </c>
      <c r="J2932" s="5" t="s">
        <v>333</v>
      </c>
      <c r="K2932" s="5" t="s">
        <v>334</v>
      </c>
      <c r="L2932" s="5" t="s">
        <v>335</v>
      </c>
      <c r="M2932" s="5" t="s">
        <v>336</v>
      </c>
      <c r="N2932" s="5" t="s">
        <v>337</v>
      </c>
      <c r="O2932" s="5" t="s">
        <v>297</v>
      </c>
      <c r="P2932" s="5"/>
      <c r="Q2932" s="5" t="s">
        <v>286</v>
      </c>
    </row>
    <row r="2933" spans="2:17" x14ac:dyDescent="0.2">
      <c r="B2933" s="5" t="s">
        <v>278</v>
      </c>
      <c r="C2933" s="6" t="s">
        <v>13587</v>
      </c>
      <c r="D2933" s="4">
        <v>66</v>
      </c>
      <c r="E2933" s="5" t="s">
        <v>32</v>
      </c>
      <c r="F2933" s="5" t="s">
        <v>326</v>
      </c>
      <c r="G2933" s="6" t="s">
        <v>14</v>
      </c>
      <c r="H2933" s="4">
        <v>17</v>
      </c>
      <c r="I2933" s="5" t="s">
        <v>22</v>
      </c>
      <c r="J2933" s="5" t="s">
        <v>327</v>
      </c>
      <c r="K2933" s="5" t="s">
        <v>328</v>
      </c>
      <c r="L2933" s="5" t="s">
        <v>329</v>
      </c>
      <c r="M2933" s="5" t="s">
        <v>330</v>
      </c>
      <c r="N2933" s="5" t="s">
        <v>331</v>
      </c>
      <c r="O2933" s="5" t="s">
        <v>297</v>
      </c>
      <c r="P2933" s="5"/>
      <c r="Q2933" s="5" t="s">
        <v>286</v>
      </c>
    </row>
    <row r="2934" spans="2:17" x14ac:dyDescent="0.2">
      <c r="B2934" s="5" t="s">
        <v>278</v>
      </c>
      <c r="C2934" s="6" t="s">
        <v>13587</v>
      </c>
      <c r="D2934" s="4">
        <v>67</v>
      </c>
      <c r="E2934" s="5" t="s">
        <v>32</v>
      </c>
      <c r="F2934" s="5" t="s">
        <v>292</v>
      </c>
      <c r="G2934" s="6" t="s">
        <v>14</v>
      </c>
      <c r="H2934" s="4">
        <v>18</v>
      </c>
      <c r="I2934" s="5" t="s">
        <v>22</v>
      </c>
      <c r="J2934" s="5" t="s">
        <v>293</v>
      </c>
      <c r="K2934" s="5" t="s">
        <v>294</v>
      </c>
      <c r="L2934" s="5"/>
      <c r="M2934" s="5" t="s">
        <v>295</v>
      </c>
      <c r="N2934" s="5" t="s">
        <v>296</v>
      </c>
      <c r="O2934" s="5" t="s">
        <v>297</v>
      </c>
      <c r="P2934" s="5"/>
      <c r="Q2934" s="5" t="s">
        <v>286</v>
      </c>
    </row>
    <row r="2935" spans="2:17" x14ac:dyDescent="0.2">
      <c r="B2935" s="5" t="s">
        <v>278</v>
      </c>
      <c r="C2935" s="6" t="s">
        <v>13587</v>
      </c>
      <c r="D2935" s="4">
        <v>69</v>
      </c>
      <c r="E2935" s="5" t="s">
        <v>32</v>
      </c>
      <c r="F2935" s="5" t="s">
        <v>309</v>
      </c>
      <c r="G2935" s="6" t="s">
        <v>14</v>
      </c>
      <c r="H2935" s="4">
        <v>19</v>
      </c>
      <c r="I2935" s="5" t="s">
        <v>38</v>
      </c>
      <c r="J2935" s="5" t="s">
        <v>310</v>
      </c>
      <c r="K2935" s="5" t="s">
        <v>311</v>
      </c>
      <c r="L2935" s="5" t="s">
        <v>282</v>
      </c>
      <c r="M2935" s="5" t="s">
        <v>312</v>
      </c>
      <c r="N2935" s="5" t="s">
        <v>302</v>
      </c>
      <c r="O2935" s="5" t="s">
        <v>285</v>
      </c>
      <c r="P2935" s="5"/>
      <c r="Q2935" s="5" t="s">
        <v>286</v>
      </c>
    </row>
    <row r="2936" spans="2:17" x14ac:dyDescent="0.2">
      <c r="B2936" s="5" t="s">
        <v>278</v>
      </c>
      <c r="C2936" s="6" t="s">
        <v>13587</v>
      </c>
      <c r="D2936" s="4">
        <v>70</v>
      </c>
      <c r="E2936" s="5" t="s">
        <v>32</v>
      </c>
      <c r="F2936" s="5" t="s">
        <v>309</v>
      </c>
      <c r="G2936" s="6" t="s">
        <v>14</v>
      </c>
      <c r="H2936" s="4">
        <v>20</v>
      </c>
      <c r="I2936" s="5" t="s">
        <v>22</v>
      </c>
      <c r="J2936" s="5" t="s">
        <v>313</v>
      </c>
      <c r="K2936" s="5" t="s">
        <v>281</v>
      </c>
      <c r="L2936" s="5" t="s">
        <v>314</v>
      </c>
      <c r="M2936" s="5" t="s">
        <v>312</v>
      </c>
      <c r="N2936" s="5" t="s">
        <v>302</v>
      </c>
      <c r="O2936" s="5" t="s">
        <v>285</v>
      </c>
      <c r="P2936" s="5"/>
      <c r="Q2936" s="5" t="s">
        <v>286</v>
      </c>
    </row>
    <row r="2937" spans="2:17" x14ac:dyDescent="0.2">
      <c r="B2937" s="5" t="s">
        <v>278</v>
      </c>
      <c r="C2937" s="6" t="s">
        <v>13587</v>
      </c>
      <c r="D2937" s="4">
        <v>71</v>
      </c>
      <c r="E2937" s="5" t="s">
        <v>32</v>
      </c>
      <c r="F2937" s="5" t="s">
        <v>309</v>
      </c>
      <c r="G2937" s="6" t="s">
        <v>14</v>
      </c>
      <c r="H2937" s="4">
        <v>21</v>
      </c>
      <c r="I2937" s="5" t="s">
        <v>22</v>
      </c>
      <c r="J2937" s="5" t="s">
        <v>315</v>
      </c>
      <c r="K2937" s="5" t="s">
        <v>311</v>
      </c>
      <c r="L2937" s="5" t="s">
        <v>316</v>
      </c>
      <c r="M2937" s="5" t="s">
        <v>312</v>
      </c>
      <c r="N2937" s="5" t="s">
        <v>302</v>
      </c>
      <c r="O2937" s="5" t="s">
        <v>285</v>
      </c>
      <c r="P2937" s="5"/>
      <c r="Q2937" s="5" t="s">
        <v>286</v>
      </c>
    </row>
    <row r="2938" spans="2:17" x14ac:dyDescent="0.2">
      <c r="B2938" s="5" t="s">
        <v>278</v>
      </c>
      <c r="C2938" s="6" t="s">
        <v>13587</v>
      </c>
      <c r="D2938" s="4">
        <v>72</v>
      </c>
      <c r="E2938" s="5" t="s">
        <v>32</v>
      </c>
      <c r="F2938" s="5" t="s">
        <v>309</v>
      </c>
      <c r="G2938" s="6" t="s">
        <v>14</v>
      </c>
      <c r="H2938" s="4">
        <v>22</v>
      </c>
      <c r="I2938" s="5" t="s">
        <v>22</v>
      </c>
      <c r="J2938" s="5" t="s">
        <v>317</v>
      </c>
      <c r="K2938" s="5" t="s">
        <v>294</v>
      </c>
      <c r="L2938" s="5" t="s">
        <v>318</v>
      </c>
      <c r="M2938" s="5" t="s">
        <v>312</v>
      </c>
      <c r="N2938" s="5" t="s">
        <v>302</v>
      </c>
      <c r="O2938" s="5" t="s">
        <v>285</v>
      </c>
      <c r="P2938" s="5"/>
      <c r="Q2938" s="5" t="s">
        <v>286</v>
      </c>
    </row>
    <row r="2939" spans="2:17" x14ac:dyDescent="0.2">
      <c r="B2939" s="5" t="s">
        <v>278</v>
      </c>
      <c r="C2939" s="6" t="s">
        <v>13587</v>
      </c>
      <c r="D2939" s="4">
        <v>73</v>
      </c>
      <c r="E2939" s="5" t="s">
        <v>32</v>
      </c>
      <c r="F2939" s="5" t="s">
        <v>309</v>
      </c>
      <c r="G2939" s="6" t="s">
        <v>14</v>
      </c>
      <c r="H2939" s="4">
        <v>23</v>
      </c>
      <c r="I2939" s="5" t="s">
        <v>22</v>
      </c>
      <c r="J2939" s="5" t="s">
        <v>319</v>
      </c>
      <c r="K2939" s="5" t="s">
        <v>311</v>
      </c>
      <c r="L2939" s="5" t="s">
        <v>320</v>
      </c>
      <c r="M2939" s="5" t="s">
        <v>312</v>
      </c>
      <c r="N2939" s="5" t="s">
        <v>302</v>
      </c>
      <c r="O2939" s="5" t="s">
        <v>285</v>
      </c>
      <c r="P2939" s="5"/>
      <c r="Q2939" s="5" t="s">
        <v>286</v>
      </c>
    </row>
    <row r="2940" spans="2:17" x14ac:dyDescent="0.2">
      <c r="B2940" s="5" t="s">
        <v>278</v>
      </c>
      <c r="C2940" s="6" t="s">
        <v>13587</v>
      </c>
      <c r="D2940" s="4">
        <v>74</v>
      </c>
      <c r="E2940" s="5" t="s">
        <v>32</v>
      </c>
      <c r="F2940" s="5" t="s">
        <v>309</v>
      </c>
      <c r="G2940" s="6" t="s">
        <v>14</v>
      </c>
      <c r="H2940" s="4">
        <v>24</v>
      </c>
      <c r="I2940" s="5" t="s">
        <v>38</v>
      </c>
      <c r="J2940" s="5" t="s">
        <v>321</v>
      </c>
      <c r="K2940" s="5" t="s">
        <v>311</v>
      </c>
      <c r="L2940" s="5" t="s">
        <v>322</v>
      </c>
      <c r="M2940" s="5" t="s">
        <v>312</v>
      </c>
      <c r="N2940" s="5" t="s">
        <v>302</v>
      </c>
      <c r="O2940" s="5" t="s">
        <v>285</v>
      </c>
      <c r="P2940" s="5"/>
      <c r="Q2940" s="5" t="s">
        <v>286</v>
      </c>
    </row>
    <row r="2941" spans="2:17" x14ac:dyDescent="0.2">
      <c r="B2941" s="5" t="s">
        <v>278</v>
      </c>
      <c r="C2941" s="6" t="s">
        <v>13587</v>
      </c>
      <c r="D2941" s="4">
        <v>75</v>
      </c>
      <c r="E2941" s="5" t="s">
        <v>32</v>
      </c>
      <c r="F2941" s="5" t="s">
        <v>309</v>
      </c>
      <c r="G2941" s="6" t="s">
        <v>14</v>
      </c>
      <c r="H2941" s="4">
        <v>25</v>
      </c>
      <c r="I2941" s="5" t="s">
        <v>38</v>
      </c>
      <c r="J2941" s="5" t="s">
        <v>323</v>
      </c>
      <c r="K2941" s="5" t="s">
        <v>324</v>
      </c>
      <c r="L2941" s="5" t="s">
        <v>325</v>
      </c>
      <c r="M2941" s="5" t="s">
        <v>312</v>
      </c>
      <c r="N2941" s="5" t="s">
        <v>302</v>
      </c>
      <c r="O2941" s="5" t="s">
        <v>285</v>
      </c>
      <c r="P2941" s="5"/>
      <c r="Q2941" s="5" t="s">
        <v>286</v>
      </c>
    </row>
    <row r="2942" spans="2:17" x14ac:dyDescent="0.2">
      <c r="B2942" s="5" t="s">
        <v>278</v>
      </c>
      <c r="C2942" s="6" t="s">
        <v>13587</v>
      </c>
      <c r="D2942" s="4">
        <v>76</v>
      </c>
      <c r="E2942" s="5" t="s">
        <v>32</v>
      </c>
      <c r="F2942" s="5" t="s">
        <v>303</v>
      </c>
      <c r="G2942" s="6" t="s">
        <v>14</v>
      </c>
      <c r="H2942" s="4">
        <v>26</v>
      </c>
      <c r="I2942" s="5" t="s">
        <v>22</v>
      </c>
      <c r="J2942" s="5" t="s">
        <v>304</v>
      </c>
      <c r="K2942" s="5" t="s">
        <v>305</v>
      </c>
      <c r="L2942" s="5" t="s">
        <v>306</v>
      </c>
      <c r="M2942" s="5" t="s">
        <v>301</v>
      </c>
      <c r="N2942" s="5" t="s">
        <v>307</v>
      </c>
      <c r="O2942" s="5" t="s">
        <v>308</v>
      </c>
      <c r="P2942" s="5"/>
      <c r="Q2942" s="5" t="s">
        <v>286</v>
      </c>
    </row>
    <row r="2943" spans="2:17" x14ac:dyDescent="0.2">
      <c r="B2943" s="5" t="s">
        <v>278</v>
      </c>
      <c r="C2943" s="6" t="s">
        <v>13587</v>
      </c>
      <c r="D2943" s="4">
        <v>77</v>
      </c>
      <c r="E2943" s="5" t="s">
        <v>32</v>
      </c>
      <c r="F2943" s="5" t="s">
        <v>287</v>
      </c>
      <c r="G2943" s="6" t="s">
        <v>14</v>
      </c>
      <c r="H2943" s="4">
        <v>27</v>
      </c>
      <c r="I2943" s="5" t="s">
        <v>22</v>
      </c>
      <c r="J2943" s="5" t="s">
        <v>288</v>
      </c>
      <c r="K2943" s="5" t="s">
        <v>289</v>
      </c>
      <c r="L2943" s="5" t="s">
        <v>290</v>
      </c>
      <c r="M2943" s="5" t="s">
        <v>96</v>
      </c>
      <c r="N2943" s="5" t="s">
        <v>291</v>
      </c>
      <c r="O2943" s="5" t="s">
        <v>285</v>
      </c>
      <c r="P2943" s="5"/>
      <c r="Q2943" s="5" t="s">
        <v>286</v>
      </c>
    </row>
    <row r="2944" spans="2:17" x14ac:dyDescent="0.2">
      <c r="B2944" s="5" t="s">
        <v>278</v>
      </c>
      <c r="C2944" s="6" t="s">
        <v>13587</v>
      </c>
      <c r="D2944" s="4">
        <v>78</v>
      </c>
      <c r="E2944" s="5" t="s">
        <v>32</v>
      </c>
      <c r="F2944" s="5" t="s">
        <v>279</v>
      </c>
      <c r="G2944" s="6" t="s">
        <v>14</v>
      </c>
      <c r="H2944" s="4">
        <v>28</v>
      </c>
      <c r="I2944" s="5" t="s">
        <v>22</v>
      </c>
      <c r="J2944" s="5" t="s">
        <v>280</v>
      </c>
      <c r="K2944" s="5" t="s">
        <v>281</v>
      </c>
      <c r="L2944" s="5" t="s">
        <v>282</v>
      </c>
      <c r="M2944" s="5" t="s">
        <v>283</v>
      </c>
      <c r="N2944" s="5" t="s">
        <v>284</v>
      </c>
      <c r="O2944" s="5" t="s">
        <v>285</v>
      </c>
      <c r="P2944" s="5"/>
      <c r="Q2944" s="5" t="s">
        <v>286</v>
      </c>
    </row>
    <row r="2945" spans="2:17" x14ac:dyDescent="0.2">
      <c r="B2945" s="5" t="s">
        <v>278</v>
      </c>
      <c r="C2945" s="6" t="s">
        <v>13587</v>
      </c>
      <c r="D2945" s="4">
        <v>79</v>
      </c>
      <c r="E2945" s="5" t="s">
        <v>13</v>
      </c>
      <c r="F2945" s="5" t="s">
        <v>397</v>
      </c>
      <c r="G2945" s="6" t="s">
        <v>14</v>
      </c>
      <c r="H2945" s="4">
        <v>29</v>
      </c>
      <c r="I2945" s="5" t="s">
        <v>22</v>
      </c>
      <c r="J2945" s="5" t="s">
        <v>398</v>
      </c>
      <c r="K2945" s="5"/>
      <c r="L2945" s="5"/>
      <c r="M2945" s="5" t="s">
        <v>399</v>
      </c>
      <c r="N2945" s="5" t="s">
        <v>400</v>
      </c>
      <c r="O2945" s="5" t="s">
        <v>401</v>
      </c>
      <c r="P2945" s="5"/>
      <c r="Q2945" s="5" t="s">
        <v>286</v>
      </c>
    </row>
    <row r="2946" spans="2:17" x14ac:dyDescent="0.2">
      <c r="B2946" s="5" t="s">
        <v>278</v>
      </c>
      <c r="C2946" s="6" t="s">
        <v>13587</v>
      </c>
      <c r="D2946" s="4">
        <v>80</v>
      </c>
      <c r="E2946" s="5" t="s">
        <v>24</v>
      </c>
      <c r="F2946" s="5" t="s">
        <v>511</v>
      </c>
      <c r="G2946" s="6" t="s">
        <v>14</v>
      </c>
      <c r="H2946" s="4">
        <v>30</v>
      </c>
      <c r="I2946" s="5" t="s">
        <v>22</v>
      </c>
      <c r="J2946" s="5" t="s">
        <v>512</v>
      </c>
      <c r="K2946" s="5" t="s">
        <v>345</v>
      </c>
      <c r="L2946" s="5"/>
      <c r="M2946" s="5" t="s">
        <v>513</v>
      </c>
      <c r="N2946" s="5" t="s">
        <v>513</v>
      </c>
      <c r="O2946" s="5" t="s">
        <v>285</v>
      </c>
      <c r="P2946" s="5"/>
      <c r="Q2946" s="5" t="s">
        <v>286</v>
      </c>
    </row>
    <row r="2947" spans="2:17" x14ac:dyDescent="0.2">
      <c r="B2947" s="5" t="s">
        <v>278</v>
      </c>
      <c r="C2947" s="6" t="s">
        <v>13587</v>
      </c>
      <c r="D2947" s="4">
        <v>82</v>
      </c>
      <c r="E2947" s="5" t="s">
        <v>32</v>
      </c>
      <c r="F2947" s="5" t="s">
        <v>530</v>
      </c>
      <c r="G2947" s="6" t="s">
        <v>14</v>
      </c>
      <c r="H2947" s="4">
        <v>31</v>
      </c>
      <c r="I2947" s="5" t="s">
        <v>22</v>
      </c>
      <c r="J2947" s="5" t="s">
        <v>531</v>
      </c>
      <c r="K2947" s="5" t="s">
        <v>515</v>
      </c>
      <c r="L2947" s="5"/>
      <c r="M2947" s="5" t="s">
        <v>532</v>
      </c>
      <c r="N2947" s="5" t="s">
        <v>533</v>
      </c>
      <c r="O2947" s="5" t="s">
        <v>372</v>
      </c>
      <c r="P2947" s="5"/>
      <c r="Q2947" s="5" t="s">
        <v>514</v>
      </c>
    </row>
    <row r="2948" spans="2:17" x14ac:dyDescent="0.2">
      <c r="B2948" s="5" t="s">
        <v>278</v>
      </c>
      <c r="C2948" s="6" t="s">
        <v>13587</v>
      </c>
      <c r="D2948" s="4">
        <v>89</v>
      </c>
      <c r="E2948" s="5" t="s">
        <v>32</v>
      </c>
      <c r="F2948" s="5" t="s">
        <v>363</v>
      </c>
      <c r="G2948" s="6" t="s">
        <v>14</v>
      </c>
      <c r="H2948" s="4">
        <v>32</v>
      </c>
      <c r="I2948" s="5" t="s">
        <v>22</v>
      </c>
      <c r="J2948" s="5" t="s">
        <v>364</v>
      </c>
      <c r="K2948" s="5" t="s">
        <v>311</v>
      </c>
      <c r="L2948" s="5" t="s">
        <v>365</v>
      </c>
      <c r="M2948" s="5" t="s">
        <v>122</v>
      </c>
      <c r="N2948" s="5" t="s">
        <v>366</v>
      </c>
      <c r="O2948" s="5" t="s">
        <v>297</v>
      </c>
      <c r="P2948" s="5"/>
      <c r="Q2948" s="5" t="s">
        <v>286</v>
      </c>
    </row>
    <row r="2949" spans="2:17" x14ac:dyDescent="0.2">
      <c r="B2949" s="5" t="s">
        <v>278</v>
      </c>
      <c r="C2949" s="6" t="s">
        <v>13587</v>
      </c>
      <c r="D2949" s="4">
        <v>92</v>
      </c>
      <c r="E2949" s="5" t="s">
        <v>20</v>
      </c>
      <c r="F2949" s="5" t="s">
        <v>373</v>
      </c>
      <c r="G2949" s="6" t="s">
        <v>14</v>
      </c>
      <c r="H2949" s="4">
        <v>33</v>
      </c>
      <c r="I2949" s="5" t="s">
        <v>22</v>
      </c>
      <c r="J2949" s="5" t="s">
        <v>374</v>
      </c>
      <c r="K2949" s="5" t="s">
        <v>371</v>
      </c>
      <c r="L2949" s="5" t="s">
        <v>375</v>
      </c>
      <c r="M2949" s="5" t="s">
        <v>127</v>
      </c>
      <c r="N2949" s="5" t="s">
        <v>366</v>
      </c>
      <c r="O2949" s="5" t="s">
        <v>376</v>
      </c>
      <c r="P2949" s="5"/>
      <c r="Q2949" s="5" t="s">
        <v>286</v>
      </c>
    </row>
    <row r="2950" spans="2:17" x14ac:dyDescent="0.2">
      <c r="B2950" s="5" t="s">
        <v>278</v>
      </c>
      <c r="C2950" s="6" t="s">
        <v>13587</v>
      </c>
      <c r="D2950" s="4">
        <v>93</v>
      </c>
      <c r="E2950" s="5" t="s">
        <v>20</v>
      </c>
      <c r="F2950" s="5" t="s">
        <v>373</v>
      </c>
      <c r="G2950" s="6" t="s">
        <v>14</v>
      </c>
      <c r="H2950" s="4">
        <v>34</v>
      </c>
      <c r="I2950" s="5" t="s">
        <v>22</v>
      </c>
      <c r="J2950" s="5" t="s">
        <v>377</v>
      </c>
      <c r="K2950" s="5" t="s">
        <v>371</v>
      </c>
      <c r="L2950" s="5" t="s">
        <v>378</v>
      </c>
      <c r="M2950" s="5" t="s">
        <v>127</v>
      </c>
      <c r="N2950" s="5" t="s">
        <v>366</v>
      </c>
      <c r="O2950" s="5" t="s">
        <v>376</v>
      </c>
      <c r="P2950" s="5"/>
      <c r="Q2950" s="5" t="s">
        <v>286</v>
      </c>
    </row>
    <row r="2951" spans="2:17" x14ac:dyDescent="0.2">
      <c r="B2951" s="5" t="s">
        <v>278</v>
      </c>
      <c r="C2951" s="6" t="s">
        <v>13587</v>
      </c>
      <c r="D2951" s="4">
        <v>94</v>
      </c>
      <c r="E2951" s="5" t="s">
        <v>20</v>
      </c>
      <c r="F2951" s="5" t="s">
        <v>373</v>
      </c>
      <c r="G2951" s="6" t="s">
        <v>14</v>
      </c>
      <c r="H2951" s="4">
        <v>35</v>
      </c>
      <c r="I2951" s="5" t="s">
        <v>22</v>
      </c>
      <c r="J2951" s="5" t="s">
        <v>379</v>
      </c>
      <c r="K2951" s="5" t="s">
        <v>371</v>
      </c>
      <c r="L2951" s="5" t="s">
        <v>380</v>
      </c>
      <c r="M2951" s="5" t="s">
        <v>127</v>
      </c>
      <c r="N2951" s="5" t="s">
        <v>366</v>
      </c>
      <c r="O2951" s="5" t="s">
        <v>376</v>
      </c>
      <c r="P2951" s="5"/>
      <c r="Q2951" s="5" t="s">
        <v>286</v>
      </c>
    </row>
    <row r="2952" spans="2:17" x14ac:dyDescent="0.2">
      <c r="B2952" s="5" t="s">
        <v>278</v>
      </c>
      <c r="C2952" s="6" t="s">
        <v>13587</v>
      </c>
      <c r="D2952" s="4">
        <v>95</v>
      </c>
      <c r="E2952" s="5" t="s">
        <v>20</v>
      </c>
      <c r="F2952" s="5" t="s">
        <v>373</v>
      </c>
      <c r="G2952" s="6" t="s">
        <v>14</v>
      </c>
      <c r="H2952" s="4">
        <v>36</v>
      </c>
      <c r="I2952" s="5" t="s">
        <v>38</v>
      </c>
      <c r="J2952" s="5" t="s">
        <v>381</v>
      </c>
      <c r="K2952" s="5" t="s">
        <v>371</v>
      </c>
      <c r="L2952" s="5" t="s">
        <v>382</v>
      </c>
      <c r="M2952" s="5" t="s">
        <v>127</v>
      </c>
      <c r="N2952" s="5" t="s">
        <v>366</v>
      </c>
      <c r="O2952" s="5" t="s">
        <v>376</v>
      </c>
      <c r="P2952" s="5"/>
      <c r="Q2952" s="5" t="s">
        <v>286</v>
      </c>
    </row>
    <row r="2953" spans="2:17" x14ac:dyDescent="0.2">
      <c r="B2953" s="5" t="s">
        <v>278</v>
      </c>
      <c r="C2953" s="6" t="s">
        <v>13587</v>
      </c>
      <c r="D2953" s="4">
        <v>96</v>
      </c>
      <c r="E2953" s="5" t="s">
        <v>20</v>
      </c>
      <c r="F2953" s="5" t="s">
        <v>373</v>
      </c>
      <c r="G2953" s="6" t="s">
        <v>14</v>
      </c>
      <c r="H2953" s="4">
        <v>37</v>
      </c>
      <c r="I2953" s="5" t="s">
        <v>38</v>
      </c>
      <c r="J2953" s="5" t="s">
        <v>383</v>
      </c>
      <c r="K2953" s="5" t="s">
        <v>311</v>
      </c>
      <c r="L2953" s="5" t="s">
        <v>384</v>
      </c>
      <c r="M2953" s="5" t="s">
        <v>127</v>
      </c>
      <c r="N2953" s="5" t="s">
        <v>366</v>
      </c>
      <c r="O2953" s="5" t="s">
        <v>376</v>
      </c>
      <c r="P2953" s="5"/>
      <c r="Q2953" s="5" t="s">
        <v>286</v>
      </c>
    </row>
    <row r="2954" spans="2:17" x14ac:dyDescent="0.2">
      <c r="B2954" s="5" t="s">
        <v>278</v>
      </c>
      <c r="C2954" s="6" t="s">
        <v>13587</v>
      </c>
      <c r="D2954" s="4">
        <v>101</v>
      </c>
      <c r="E2954" s="5" t="s">
        <v>20</v>
      </c>
      <c r="F2954" s="5" t="s">
        <v>526</v>
      </c>
      <c r="G2954" s="6" t="s">
        <v>14</v>
      </c>
      <c r="H2954" s="4">
        <v>38</v>
      </c>
      <c r="I2954" s="5" t="s">
        <v>22</v>
      </c>
      <c r="J2954" s="5" t="s">
        <v>527</v>
      </c>
      <c r="K2954" s="5" t="s">
        <v>516</v>
      </c>
      <c r="L2954" s="5" t="s">
        <v>517</v>
      </c>
      <c r="M2954" s="5" t="s">
        <v>528</v>
      </c>
      <c r="N2954" s="5" t="s">
        <v>529</v>
      </c>
      <c r="O2954" s="5" t="s">
        <v>285</v>
      </c>
      <c r="P2954" s="5"/>
      <c r="Q2954" s="5" t="s">
        <v>514</v>
      </c>
    </row>
    <row r="2955" spans="2:17" x14ac:dyDescent="0.2">
      <c r="B2955" s="5" t="s">
        <v>278</v>
      </c>
      <c r="C2955" s="6" t="s">
        <v>13587</v>
      </c>
      <c r="D2955" s="4">
        <v>103</v>
      </c>
      <c r="E2955" s="5" t="s">
        <v>56</v>
      </c>
      <c r="F2955" s="5" t="s">
        <v>507</v>
      </c>
      <c r="G2955" s="6" t="s">
        <v>14</v>
      </c>
      <c r="H2955" s="4">
        <v>39</v>
      </c>
      <c r="I2955" s="5" t="s">
        <v>22</v>
      </c>
      <c r="J2955" s="5" t="s">
        <v>508</v>
      </c>
      <c r="K2955" s="5" t="s">
        <v>509</v>
      </c>
      <c r="L2955" s="5" t="s">
        <v>510</v>
      </c>
      <c r="M2955" s="5" t="s">
        <v>251</v>
      </c>
      <c r="N2955" s="5" t="s">
        <v>251</v>
      </c>
      <c r="O2955" s="5" t="s">
        <v>308</v>
      </c>
      <c r="P2955" s="5"/>
      <c r="Q2955" s="5" t="s">
        <v>286</v>
      </c>
    </row>
    <row r="2956" spans="2:17" x14ac:dyDescent="0.2">
      <c r="B2956" s="5" t="s">
        <v>278</v>
      </c>
      <c r="C2956" s="6" t="s">
        <v>13587</v>
      </c>
      <c r="D2956" s="4">
        <v>104</v>
      </c>
      <c r="E2956" s="5" t="s">
        <v>20</v>
      </c>
      <c r="F2956" s="5" t="s">
        <v>355</v>
      </c>
      <c r="G2956" s="6" t="s">
        <v>14</v>
      </c>
      <c r="H2956" s="4">
        <v>40</v>
      </c>
      <c r="I2956" s="5" t="s">
        <v>22</v>
      </c>
      <c r="J2956" s="5" t="s">
        <v>356</v>
      </c>
      <c r="K2956" s="5" t="s">
        <v>357</v>
      </c>
      <c r="L2956" s="5" t="s">
        <v>358</v>
      </c>
      <c r="M2956" s="5" t="s">
        <v>359</v>
      </c>
      <c r="N2956" s="5" t="s">
        <v>351</v>
      </c>
      <c r="O2956" s="5" t="s">
        <v>297</v>
      </c>
      <c r="P2956" s="5"/>
      <c r="Q2956" s="5" t="s">
        <v>286</v>
      </c>
    </row>
    <row r="2957" spans="2:17" x14ac:dyDescent="0.2">
      <c r="B2957" s="5" t="s">
        <v>278</v>
      </c>
      <c r="C2957" s="6" t="s">
        <v>13587</v>
      </c>
      <c r="D2957" s="4">
        <v>105</v>
      </c>
      <c r="E2957" s="5" t="s">
        <v>32</v>
      </c>
      <c r="F2957" s="5" t="s">
        <v>348</v>
      </c>
      <c r="G2957" s="6" t="s">
        <v>14</v>
      </c>
      <c r="H2957" s="4">
        <v>41</v>
      </c>
      <c r="I2957" s="5" t="s">
        <v>22</v>
      </c>
      <c r="J2957" s="5" t="s">
        <v>349</v>
      </c>
      <c r="K2957" s="5" t="s">
        <v>311</v>
      </c>
      <c r="L2957" s="5" t="s">
        <v>350</v>
      </c>
      <c r="M2957" s="5" t="s">
        <v>351</v>
      </c>
      <c r="N2957" s="5" t="s">
        <v>352</v>
      </c>
      <c r="O2957" s="5" t="s">
        <v>285</v>
      </c>
      <c r="P2957" s="5"/>
      <c r="Q2957" s="5" t="s">
        <v>286</v>
      </c>
    </row>
    <row r="2958" spans="2:17" x14ac:dyDescent="0.2">
      <c r="B2958" s="5" t="s">
        <v>278</v>
      </c>
      <c r="C2958" s="6" t="s">
        <v>13587</v>
      </c>
      <c r="D2958" s="4">
        <v>106</v>
      </c>
      <c r="E2958" s="5" t="s">
        <v>32</v>
      </c>
      <c r="F2958" s="5" t="s">
        <v>348</v>
      </c>
      <c r="G2958" s="6" t="s">
        <v>14</v>
      </c>
      <c r="H2958" s="4">
        <v>42</v>
      </c>
      <c r="I2958" s="5" t="s">
        <v>22</v>
      </c>
      <c r="J2958" s="5" t="s">
        <v>321</v>
      </c>
      <c r="K2958" s="5" t="s">
        <v>353</v>
      </c>
      <c r="L2958" s="5" t="s">
        <v>322</v>
      </c>
      <c r="M2958" s="5" t="s">
        <v>351</v>
      </c>
      <c r="N2958" s="5" t="s">
        <v>352</v>
      </c>
      <c r="O2958" s="5" t="s">
        <v>285</v>
      </c>
      <c r="P2958" s="5"/>
      <c r="Q2958" s="5" t="s">
        <v>286</v>
      </c>
    </row>
    <row r="2959" spans="2:17" x14ac:dyDescent="0.2">
      <c r="B2959" s="5" t="s">
        <v>278</v>
      </c>
      <c r="C2959" s="6" t="s">
        <v>13587</v>
      </c>
      <c r="D2959" s="4">
        <v>107</v>
      </c>
      <c r="E2959" s="5" t="s">
        <v>13</v>
      </c>
      <c r="F2959" s="5" t="s">
        <v>354</v>
      </c>
      <c r="G2959" s="6" t="s">
        <v>14</v>
      </c>
      <c r="H2959" s="4">
        <v>43</v>
      </c>
      <c r="I2959" s="5" t="s">
        <v>22</v>
      </c>
      <c r="J2959" s="5" t="s">
        <v>333</v>
      </c>
      <c r="K2959" s="5" t="s">
        <v>311</v>
      </c>
      <c r="L2959" s="5" t="s">
        <v>335</v>
      </c>
      <c r="M2959" s="5" t="s">
        <v>351</v>
      </c>
      <c r="N2959" s="5" t="s">
        <v>352</v>
      </c>
      <c r="O2959" s="5" t="s">
        <v>297</v>
      </c>
      <c r="P2959" s="5"/>
      <c r="Q2959" s="5" t="s">
        <v>286</v>
      </c>
    </row>
    <row r="2960" spans="2:17" x14ac:dyDescent="0.2">
      <c r="B2960" s="5" t="s">
        <v>544</v>
      </c>
      <c r="C2960" s="6" t="s">
        <v>13587</v>
      </c>
      <c r="D2960" s="4">
        <v>114</v>
      </c>
      <c r="E2960" s="5" t="s">
        <v>35</v>
      </c>
      <c r="F2960" s="5" t="s">
        <v>1102</v>
      </c>
      <c r="G2960" s="6" t="s">
        <v>14</v>
      </c>
      <c r="H2960" s="4">
        <v>44</v>
      </c>
      <c r="I2960" s="5"/>
      <c r="J2960" s="5" t="s">
        <v>1103</v>
      </c>
      <c r="K2960" s="5" t="s">
        <v>682</v>
      </c>
      <c r="L2960" s="5"/>
      <c r="M2960" s="5" t="s">
        <v>738</v>
      </c>
      <c r="N2960" s="5" t="s">
        <v>738</v>
      </c>
      <c r="O2960" s="5" t="s">
        <v>683</v>
      </c>
      <c r="P2960" s="5"/>
      <c r="Q2960" s="5" t="s">
        <v>1104</v>
      </c>
    </row>
    <row r="2961" spans="2:17" x14ac:dyDescent="0.2">
      <c r="B2961" s="5" t="s">
        <v>544</v>
      </c>
      <c r="C2961" s="6" t="s">
        <v>13587</v>
      </c>
      <c r="D2961" s="4">
        <v>115</v>
      </c>
      <c r="E2961" s="5" t="s">
        <v>13</v>
      </c>
      <c r="F2961" s="5" t="s">
        <v>1055</v>
      </c>
      <c r="G2961" s="6" t="s">
        <v>14</v>
      </c>
      <c r="H2961" s="4">
        <v>45</v>
      </c>
      <c r="I2961" s="5"/>
      <c r="J2961" s="5" t="s">
        <v>1056</v>
      </c>
      <c r="K2961" s="5" t="s">
        <v>627</v>
      </c>
      <c r="L2961" s="5"/>
      <c r="M2961" s="5" t="s">
        <v>1057</v>
      </c>
      <c r="N2961" s="5" t="s">
        <v>1058</v>
      </c>
      <c r="O2961" s="5" t="s">
        <v>623</v>
      </c>
      <c r="P2961" s="5"/>
      <c r="Q2961" s="5" t="s">
        <v>1059</v>
      </c>
    </row>
    <row r="2962" spans="2:17" x14ac:dyDescent="0.2">
      <c r="B2962" s="5" t="s">
        <v>544</v>
      </c>
      <c r="C2962" s="6" t="s">
        <v>13587</v>
      </c>
      <c r="D2962" s="4">
        <v>116</v>
      </c>
      <c r="E2962" s="5" t="s">
        <v>35</v>
      </c>
      <c r="F2962" s="5" t="s">
        <v>1049</v>
      </c>
      <c r="G2962" s="6" t="s">
        <v>14</v>
      </c>
      <c r="H2962" s="4">
        <v>46</v>
      </c>
      <c r="I2962" s="5"/>
      <c r="J2962" s="5" t="s">
        <v>1050</v>
      </c>
      <c r="K2962" s="5" t="s">
        <v>668</v>
      </c>
      <c r="L2962" s="5"/>
      <c r="M2962" s="5" t="s">
        <v>479</v>
      </c>
      <c r="N2962" s="5" t="s">
        <v>479</v>
      </c>
      <c r="O2962" s="5" t="s">
        <v>657</v>
      </c>
      <c r="P2962" s="5"/>
      <c r="Q2962" s="5" t="s">
        <v>1051</v>
      </c>
    </row>
    <row r="2963" spans="2:17" x14ac:dyDescent="0.2">
      <c r="B2963" s="5" t="s">
        <v>544</v>
      </c>
      <c r="C2963" s="6" t="s">
        <v>13587</v>
      </c>
      <c r="D2963" s="4">
        <v>117</v>
      </c>
      <c r="E2963" s="5" t="s">
        <v>35</v>
      </c>
      <c r="F2963" s="5" t="s">
        <v>1052</v>
      </c>
      <c r="G2963" s="6" t="s">
        <v>14</v>
      </c>
      <c r="H2963" s="4">
        <v>47</v>
      </c>
      <c r="I2963" s="5"/>
      <c r="J2963" s="5" t="s">
        <v>1053</v>
      </c>
      <c r="K2963" s="5" t="s">
        <v>661</v>
      </c>
      <c r="L2963" s="5"/>
      <c r="M2963" s="5" t="s">
        <v>479</v>
      </c>
      <c r="N2963" s="5" t="s">
        <v>479</v>
      </c>
      <c r="O2963" s="5" t="s">
        <v>657</v>
      </c>
      <c r="P2963" s="5"/>
      <c r="Q2963" s="5" t="s">
        <v>1054</v>
      </c>
    </row>
    <row r="2964" spans="2:17" x14ac:dyDescent="0.2">
      <c r="B2964" s="5" t="s">
        <v>544</v>
      </c>
      <c r="C2964" s="6" t="s">
        <v>13587</v>
      </c>
      <c r="D2964" s="4">
        <v>120</v>
      </c>
      <c r="E2964" s="5" t="s">
        <v>35</v>
      </c>
      <c r="F2964" s="5" t="s">
        <v>1020</v>
      </c>
      <c r="G2964" s="6" t="s">
        <v>14</v>
      </c>
      <c r="H2964" s="4">
        <v>48</v>
      </c>
      <c r="I2964" s="5"/>
      <c r="J2964" s="5" t="s">
        <v>1021</v>
      </c>
      <c r="K2964" s="5" t="s">
        <v>757</v>
      </c>
      <c r="L2964" s="5"/>
      <c r="M2964" s="5" t="s">
        <v>197</v>
      </c>
      <c r="N2964" s="5" t="s">
        <v>197</v>
      </c>
      <c r="O2964" s="5" t="s">
        <v>623</v>
      </c>
      <c r="P2964" s="5"/>
      <c r="Q2964" s="5" t="s">
        <v>1022</v>
      </c>
    </row>
    <row r="2965" spans="2:17" x14ac:dyDescent="0.2">
      <c r="B2965" s="5" t="s">
        <v>544</v>
      </c>
      <c r="C2965" s="6" t="s">
        <v>13587</v>
      </c>
      <c r="D2965" s="4">
        <v>124</v>
      </c>
      <c r="E2965" s="5" t="s">
        <v>32</v>
      </c>
      <c r="F2965" s="5" t="s">
        <v>963</v>
      </c>
      <c r="G2965" s="6" t="s">
        <v>14</v>
      </c>
      <c r="H2965" s="4">
        <v>49</v>
      </c>
      <c r="I2965" s="5" t="s">
        <v>22</v>
      </c>
      <c r="J2965" s="5" t="s">
        <v>964</v>
      </c>
      <c r="K2965" s="5" t="s">
        <v>668</v>
      </c>
      <c r="L2965" s="5"/>
      <c r="M2965" s="5" t="s">
        <v>197</v>
      </c>
      <c r="N2965" s="5" t="s">
        <v>197</v>
      </c>
      <c r="O2965" s="5" t="s">
        <v>657</v>
      </c>
      <c r="P2965" s="5"/>
      <c r="Q2965" s="5" t="s">
        <v>965</v>
      </c>
    </row>
    <row r="2966" spans="2:17" x14ac:dyDescent="0.2">
      <c r="B2966" s="5" t="s">
        <v>544</v>
      </c>
      <c r="C2966" s="6" t="s">
        <v>13587</v>
      </c>
      <c r="D2966" s="4">
        <v>125</v>
      </c>
      <c r="E2966" s="5" t="s">
        <v>35</v>
      </c>
      <c r="F2966" s="5" t="s">
        <v>1026</v>
      </c>
      <c r="G2966" s="6" t="s">
        <v>14</v>
      </c>
      <c r="H2966" s="4">
        <v>50</v>
      </c>
      <c r="I2966" s="5"/>
      <c r="J2966" s="5" t="s">
        <v>1027</v>
      </c>
      <c r="K2966" s="5" t="s">
        <v>661</v>
      </c>
      <c r="L2966" s="5"/>
      <c r="M2966" s="5" t="s">
        <v>197</v>
      </c>
      <c r="N2966" s="5" t="s">
        <v>197</v>
      </c>
      <c r="O2966" s="5" t="s">
        <v>657</v>
      </c>
      <c r="P2966" s="5"/>
      <c r="Q2966" s="5" t="s">
        <v>1028</v>
      </c>
    </row>
    <row r="2967" spans="2:17" x14ac:dyDescent="0.2">
      <c r="B2967" s="5" t="s">
        <v>544</v>
      </c>
      <c r="C2967" s="6" t="s">
        <v>13587</v>
      </c>
      <c r="D2967" s="4">
        <v>127</v>
      </c>
      <c r="E2967" s="5" t="s">
        <v>35</v>
      </c>
      <c r="F2967" s="5" t="s">
        <v>1018</v>
      </c>
      <c r="G2967" s="6" t="s">
        <v>14</v>
      </c>
      <c r="H2967" s="4">
        <v>51</v>
      </c>
      <c r="I2967" s="5"/>
      <c r="J2967" s="5" t="s">
        <v>1031</v>
      </c>
      <c r="K2967" s="5" t="s">
        <v>792</v>
      </c>
      <c r="L2967" s="5"/>
      <c r="M2967" s="5" t="s">
        <v>197</v>
      </c>
      <c r="N2967" s="5" t="s">
        <v>197</v>
      </c>
      <c r="O2967" s="5" t="s">
        <v>657</v>
      </c>
      <c r="P2967" s="5"/>
      <c r="Q2967" s="5" t="s">
        <v>1032</v>
      </c>
    </row>
    <row r="2968" spans="2:17" x14ac:dyDescent="0.2">
      <c r="B2968" s="5" t="s">
        <v>544</v>
      </c>
      <c r="C2968" s="6" t="s">
        <v>13587</v>
      </c>
      <c r="D2968" s="4">
        <v>136</v>
      </c>
      <c r="E2968" s="5" t="s">
        <v>35</v>
      </c>
      <c r="F2968" s="5" t="s">
        <v>1036</v>
      </c>
      <c r="G2968" s="6" t="s">
        <v>14</v>
      </c>
      <c r="H2968" s="4">
        <v>52</v>
      </c>
      <c r="I2968" s="5"/>
      <c r="J2968" s="5" t="s">
        <v>1037</v>
      </c>
      <c r="K2968" s="5" t="s">
        <v>831</v>
      </c>
      <c r="L2968" s="5"/>
      <c r="M2968" s="5" t="s">
        <v>197</v>
      </c>
      <c r="N2968" s="5" t="s">
        <v>197</v>
      </c>
      <c r="O2968" s="5" t="s">
        <v>816</v>
      </c>
      <c r="P2968" s="5"/>
      <c r="Q2968" s="5" t="s">
        <v>1038</v>
      </c>
    </row>
    <row r="2969" spans="2:17" x14ac:dyDescent="0.2">
      <c r="B2969" s="5" t="s">
        <v>544</v>
      </c>
      <c r="C2969" s="6" t="s">
        <v>13587</v>
      </c>
      <c r="D2969" s="4">
        <v>137</v>
      </c>
      <c r="E2969" s="5" t="s">
        <v>35</v>
      </c>
      <c r="F2969" s="5" t="s">
        <v>1039</v>
      </c>
      <c r="G2969" s="6" t="s">
        <v>14</v>
      </c>
      <c r="H2969" s="4">
        <v>53</v>
      </c>
      <c r="I2969" s="5"/>
      <c r="J2969" s="5" t="s">
        <v>1040</v>
      </c>
      <c r="K2969" s="5" t="s">
        <v>815</v>
      </c>
      <c r="L2969" s="5"/>
      <c r="M2969" s="5" t="s">
        <v>197</v>
      </c>
      <c r="N2969" s="5" t="s">
        <v>197</v>
      </c>
      <c r="O2969" s="5" t="s">
        <v>816</v>
      </c>
      <c r="P2969" s="5"/>
      <c r="Q2969" s="5" t="s">
        <v>1041</v>
      </c>
    </row>
    <row r="2970" spans="2:17" x14ac:dyDescent="0.2">
      <c r="B2970" s="5" t="s">
        <v>544</v>
      </c>
      <c r="C2970" s="6" t="s">
        <v>13587</v>
      </c>
      <c r="D2970" s="4">
        <v>138</v>
      </c>
      <c r="E2970" s="5" t="s">
        <v>32</v>
      </c>
      <c r="F2970" s="5" t="s">
        <v>966</v>
      </c>
      <c r="G2970" s="6" t="s">
        <v>14</v>
      </c>
      <c r="H2970" s="4">
        <v>54</v>
      </c>
      <c r="I2970" s="5" t="s">
        <v>22</v>
      </c>
      <c r="J2970" s="5" t="s">
        <v>967</v>
      </c>
      <c r="K2970" s="5" t="s">
        <v>815</v>
      </c>
      <c r="L2970" s="5"/>
      <c r="M2970" s="5" t="s">
        <v>197</v>
      </c>
      <c r="N2970" s="5" t="s">
        <v>197</v>
      </c>
      <c r="O2970" s="5" t="s">
        <v>816</v>
      </c>
      <c r="P2970" s="5"/>
      <c r="Q2970" s="5" t="s">
        <v>968</v>
      </c>
    </row>
    <row r="2971" spans="2:17" x14ac:dyDescent="0.2">
      <c r="B2971" s="5" t="s">
        <v>544</v>
      </c>
      <c r="C2971" s="6" t="s">
        <v>13587</v>
      </c>
      <c r="D2971" s="4">
        <v>150</v>
      </c>
      <c r="E2971" s="5" t="s">
        <v>82</v>
      </c>
      <c r="F2971" s="5" t="s">
        <v>1018</v>
      </c>
      <c r="G2971" s="6" t="s">
        <v>14</v>
      </c>
      <c r="H2971" s="4">
        <v>55</v>
      </c>
      <c r="I2971" s="5"/>
      <c r="J2971" s="5" t="s">
        <v>1019</v>
      </c>
      <c r="K2971" s="5" t="s">
        <v>682</v>
      </c>
      <c r="L2971" s="5"/>
      <c r="M2971" s="5" t="s">
        <v>197</v>
      </c>
      <c r="N2971" s="5" t="s">
        <v>197</v>
      </c>
      <c r="O2971" s="5" t="s">
        <v>683</v>
      </c>
      <c r="P2971" s="5"/>
      <c r="Q2971" s="5" t="s">
        <v>777</v>
      </c>
    </row>
    <row r="2972" spans="2:17" x14ac:dyDescent="0.2">
      <c r="B2972" s="5" t="s">
        <v>544</v>
      </c>
      <c r="C2972" s="6" t="s">
        <v>13587</v>
      </c>
      <c r="D2972" s="4">
        <v>159</v>
      </c>
      <c r="E2972" s="5" t="s">
        <v>35</v>
      </c>
      <c r="F2972" s="5" t="s">
        <v>934</v>
      </c>
      <c r="G2972" s="6" t="s">
        <v>14</v>
      </c>
      <c r="H2972" s="4">
        <v>56</v>
      </c>
      <c r="I2972" s="5"/>
      <c r="J2972" s="5" t="s">
        <v>935</v>
      </c>
      <c r="K2972" s="5" t="s">
        <v>622</v>
      </c>
      <c r="L2972" s="5"/>
      <c r="M2972" s="5" t="s">
        <v>432</v>
      </c>
      <c r="N2972" s="5" t="s">
        <v>432</v>
      </c>
      <c r="O2972" s="5" t="s">
        <v>623</v>
      </c>
      <c r="P2972" s="5"/>
      <c r="Q2972" s="5" t="s">
        <v>936</v>
      </c>
    </row>
    <row r="2973" spans="2:17" x14ac:dyDescent="0.2">
      <c r="B2973" s="5" t="s">
        <v>544</v>
      </c>
      <c r="C2973" s="6" t="s">
        <v>13587</v>
      </c>
      <c r="D2973" s="4">
        <v>161</v>
      </c>
      <c r="E2973" s="5" t="s">
        <v>35</v>
      </c>
      <c r="F2973" s="5" t="s">
        <v>931</v>
      </c>
      <c r="G2973" s="6" t="s">
        <v>14</v>
      </c>
      <c r="H2973" s="4">
        <v>57</v>
      </c>
      <c r="I2973" s="5"/>
      <c r="J2973" s="5" t="s">
        <v>932</v>
      </c>
      <c r="K2973" s="5" t="s">
        <v>661</v>
      </c>
      <c r="L2973" s="5"/>
      <c r="M2973" s="5" t="s">
        <v>428</v>
      </c>
      <c r="N2973" s="5" t="s">
        <v>428</v>
      </c>
      <c r="O2973" s="5" t="s">
        <v>657</v>
      </c>
      <c r="P2973" s="5"/>
      <c r="Q2973" s="5" t="s">
        <v>933</v>
      </c>
    </row>
    <row r="2974" spans="2:17" x14ac:dyDescent="0.2">
      <c r="B2974" s="5" t="s">
        <v>544</v>
      </c>
      <c r="C2974" s="6" t="s">
        <v>13587</v>
      </c>
      <c r="D2974" s="4">
        <v>165</v>
      </c>
      <c r="E2974" s="5" t="s">
        <v>15</v>
      </c>
      <c r="F2974" s="5" t="s">
        <v>888</v>
      </c>
      <c r="G2974" s="6" t="s">
        <v>14</v>
      </c>
      <c r="H2974" s="4">
        <v>58</v>
      </c>
      <c r="I2974" s="5"/>
      <c r="J2974" s="5" t="s">
        <v>889</v>
      </c>
      <c r="K2974" s="5" t="s">
        <v>83</v>
      </c>
      <c r="L2974" s="5"/>
      <c r="M2974" s="5" t="s">
        <v>411</v>
      </c>
      <c r="N2974" s="5" t="s">
        <v>138</v>
      </c>
      <c r="O2974" s="5" t="s">
        <v>683</v>
      </c>
      <c r="P2974" s="5"/>
      <c r="Q2974" s="5" t="s">
        <v>890</v>
      </c>
    </row>
    <row r="2975" spans="2:17" x14ac:dyDescent="0.2">
      <c r="B2975" s="5" t="s">
        <v>544</v>
      </c>
      <c r="C2975" s="6" t="s">
        <v>13587</v>
      </c>
      <c r="D2975" s="4">
        <v>166</v>
      </c>
      <c r="E2975" s="5" t="s">
        <v>35</v>
      </c>
      <c r="F2975" s="5" t="s">
        <v>781</v>
      </c>
      <c r="G2975" s="6" t="s">
        <v>14</v>
      </c>
      <c r="H2975" s="4">
        <v>59</v>
      </c>
      <c r="I2975" s="5"/>
      <c r="J2975" s="5" t="s">
        <v>915</v>
      </c>
      <c r="K2975" s="5" t="s">
        <v>691</v>
      </c>
      <c r="L2975" s="5"/>
      <c r="M2975" s="5" t="s">
        <v>411</v>
      </c>
      <c r="N2975" s="5" t="s">
        <v>138</v>
      </c>
      <c r="O2975" s="5" t="s">
        <v>683</v>
      </c>
      <c r="P2975" s="5"/>
      <c r="Q2975" s="5" t="s">
        <v>916</v>
      </c>
    </row>
    <row r="2976" spans="2:17" x14ac:dyDescent="0.2">
      <c r="B2976" s="5" t="s">
        <v>544</v>
      </c>
      <c r="C2976" s="6" t="s">
        <v>13587</v>
      </c>
      <c r="D2976" s="4">
        <v>170</v>
      </c>
      <c r="E2976" s="5" t="s">
        <v>32</v>
      </c>
      <c r="F2976" s="5" t="s">
        <v>809</v>
      </c>
      <c r="G2976" s="6" t="s">
        <v>14</v>
      </c>
      <c r="H2976" s="4">
        <v>60</v>
      </c>
      <c r="I2976" s="5" t="s">
        <v>22</v>
      </c>
      <c r="J2976" s="5" t="s">
        <v>886</v>
      </c>
      <c r="K2976" s="5" t="s">
        <v>811</v>
      </c>
      <c r="L2976" s="5"/>
      <c r="M2976" s="5" t="s">
        <v>411</v>
      </c>
      <c r="N2976" s="5" t="s">
        <v>138</v>
      </c>
      <c r="O2976" s="5" t="s">
        <v>623</v>
      </c>
      <c r="P2976" s="5"/>
      <c r="Q2976" s="5" t="s">
        <v>887</v>
      </c>
    </row>
    <row r="2977" spans="2:17" x14ac:dyDescent="0.2">
      <c r="B2977" s="5" t="s">
        <v>544</v>
      </c>
      <c r="C2977" s="6" t="s">
        <v>13587</v>
      </c>
      <c r="D2977" s="4">
        <v>174</v>
      </c>
      <c r="E2977" s="5" t="s">
        <v>24</v>
      </c>
      <c r="F2977" s="5" t="s">
        <v>891</v>
      </c>
      <c r="G2977" s="6" t="s">
        <v>14</v>
      </c>
      <c r="H2977" s="4">
        <v>61</v>
      </c>
      <c r="I2977" s="5"/>
      <c r="J2977" s="5" t="s">
        <v>892</v>
      </c>
      <c r="K2977" s="5" t="s">
        <v>831</v>
      </c>
      <c r="L2977" s="5"/>
      <c r="M2977" s="5" t="s">
        <v>411</v>
      </c>
      <c r="N2977" s="5" t="s">
        <v>138</v>
      </c>
      <c r="O2977" s="5" t="s">
        <v>816</v>
      </c>
      <c r="P2977" s="5"/>
      <c r="Q2977" s="5" t="s">
        <v>893</v>
      </c>
    </row>
    <row r="2978" spans="2:17" x14ac:dyDescent="0.2">
      <c r="B2978" s="5" t="s">
        <v>544</v>
      </c>
      <c r="C2978" s="6" t="s">
        <v>13587</v>
      </c>
      <c r="D2978" s="4">
        <v>177</v>
      </c>
      <c r="E2978" s="5" t="s">
        <v>32</v>
      </c>
      <c r="F2978" s="5" t="s">
        <v>809</v>
      </c>
      <c r="G2978" s="6" t="s">
        <v>14</v>
      </c>
      <c r="H2978" s="4">
        <v>62</v>
      </c>
      <c r="I2978" s="5" t="s">
        <v>22</v>
      </c>
      <c r="J2978" s="5" t="s">
        <v>810</v>
      </c>
      <c r="K2978" s="5" t="s">
        <v>811</v>
      </c>
      <c r="L2978" s="5"/>
      <c r="M2978" s="5" t="s">
        <v>804</v>
      </c>
      <c r="N2978" s="5" t="s">
        <v>804</v>
      </c>
      <c r="O2978" s="5" t="s">
        <v>623</v>
      </c>
      <c r="P2978" s="5"/>
      <c r="Q2978" s="5" t="s">
        <v>812</v>
      </c>
    </row>
    <row r="2979" spans="2:17" x14ac:dyDescent="0.2">
      <c r="B2979" s="5" t="s">
        <v>544</v>
      </c>
      <c r="C2979" s="6" t="s">
        <v>13587</v>
      </c>
      <c r="D2979" s="4">
        <v>185</v>
      </c>
      <c r="E2979" s="5" t="s">
        <v>82</v>
      </c>
      <c r="F2979" s="5" t="s">
        <v>790</v>
      </c>
      <c r="G2979" s="6" t="s">
        <v>14</v>
      </c>
      <c r="H2979" s="4">
        <v>63</v>
      </c>
      <c r="I2979" s="5"/>
      <c r="J2979" s="5" t="s">
        <v>791</v>
      </c>
      <c r="K2979" s="5" t="s">
        <v>792</v>
      </c>
      <c r="L2979" s="5"/>
      <c r="M2979" s="5" t="s">
        <v>341</v>
      </c>
      <c r="N2979" s="5" t="s">
        <v>341</v>
      </c>
      <c r="O2979" s="5" t="s">
        <v>657</v>
      </c>
      <c r="P2979" s="5"/>
      <c r="Q2979" s="5" t="s">
        <v>793</v>
      </c>
    </row>
    <row r="2980" spans="2:17" x14ac:dyDescent="0.2">
      <c r="B2980" s="5" t="s">
        <v>544</v>
      </c>
      <c r="C2980" s="6" t="s">
        <v>13587</v>
      </c>
      <c r="D2980" s="4">
        <v>188</v>
      </c>
      <c r="E2980" s="5" t="s">
        <v>35</v>
      </c>
      <c r="F2980" s="5" t="s">
        <v>826</v>
      </c>
      <c r="G2980" s="6" t="s">
        <v>14</v>
      </c>
      <c r="H2980" s="4">
        <v>64</v>
      </c>
      <c r="I2980" s="5"/>
      <c r="J2980" s="5" t="s">
        <v>827</v>
      </c>
      <c r="K2980" s="5" t="s">
        <v>815</v>
      </c>
      <c r="L2980" s="5"/>
      <c r="M2980" s="5" t="s">
        <v>804</v>
      </c>
      <c r="N2980" s="5" t="s">
        <v>341</v>
      </c>
      <c r="O2980" s="5" t="s">
        <v>816</v>
      </c>
      <c r="P2980" s="5"/>
      <c r="Q2980" s="5" t="s">
        <v>828</v>
      </c>
    </row>
    <row r="2981" spans="2:17" x14ac:dyDescent="0.2">
      <c r="B2981" s="5" t="s">
        <v>544</v>
      </c>
      <c r="C2981" s="6" t="s">
        <v>13587</v>
      </c>
      <c r="D2981" s="4">
        <v>191</v>
      </c>
      <c r="E2981" s="5" t="s">
        <v>35</v>
      </c>
      <c r="F2981" s="5" t="s">
        <v>833</v>
      </c>
      <c r="G2981" s="6" t="s">
        <v>14</v>
      </c>
      <c r="H2981" s="4">
        <v>65</v>
      </c>
      <c r="I2981" s="5"/>
      <c r="J2981" s="5" t="s">
        <v>834</v>
      </c>
      <c r="K2981" s="5" t="s">
        <v>679</v>
      </c>
      <c r="L2981" s="5"/>
      <c r="M2981" s="5" t="s">
        <v>804</v>
      </c>
      <c r="N2981" s="5" t="s">
        <v>341</v>
      </c>
      <c r="O2981" s="5" t="s">
        <v>657</v>
      </c>
      <c r="P2981" s="5"/>
      <c r="Q2981" s="5" t="s">
        <v>835</v>
      </c>
    </row>
    <row r="2982" spans="2:17" x14ac:dyDescent="0.2">
      <c r="B2982" s="5" t="s">
        <v>544</v>
      </c>
      <c r="C2982" s="6" t="s">
        <v>13587</v>
      </c>
      <c r="D2982" s="4">
        <v>193</v>
      </c>
      <c r="E2982" s="5" t="s">
        <v>35</v>
      </c>
      <c r="F2982" s="5" t="s">
        <v>781</v>
      </c>
      <c r="G2982" s="6" t="s">
        <v>14</v>
      </c>
      <c r="H2982" s="4">
        <v>66</v>
      </c>
      <c r="I2982" s="5"/>
      <c r="J2982" s="5" t="s">
        <v>782</v>
      </c>
      <c r="K2982" s="5" t="s">
        <v>691</v>
      </c>
      <c r="L2982" s="5"/>
      <c r="M2982" s="5" t="s">
        <v>336</v>
      </c>
      <c r="N2982" s="5" t="s">
        <v>337</v>
      </c>
      <c r="O2982" s="5" t="s">
        <v>683</v>
      </c>
      <c r="P2982" s="5"/>
      <c r="Q2982" s="5" t="s">
        <v>783</v>
      </c>
    </row>
    <row r="2983" spans="2:17" x14ac:dyDescent="0.2">
      <c r="B2983" s="5" t="s">
        <v>544</v>
      </c>
      <c r="C2983" s="6" t="s">
        <v>13587</v>
      </c>
      <c r="D2983" s="4">
        <v>195</v>
      </c>
      <c r="E2983" s="5" t="s">
        <v>35</v>
      </c>
      <c r="F2983" s="5" t="s">
        <v>784</v>
      </c>
      <c r="G2983" s="6" t="s">
        <v>14</v>
      </c>
      <c r="H2983" s="4">
        <v>67</v>
      </c>
      <c r="I2983" s="5"/>
      <c r="J2983" s="5" t="s">
        <v>785</v>
      </c>
      <c r="K2983" s="5" t="s">
        <v>87</v>
      </c>
      <c r="L2983" s="5"/>
      <c r="M2983" s="5" t="s">
        <v>336</v>
      </c>
      <c r="N2983" s="5" t="s">
        <v>337</v>
      </c>
      <c r="O2983" s="5" t="s">
        <v>683</v>
      </c>
      <c r="P2983" s="5"/>
      <c r="Q2983" s="5" t="s">
        <v>786</v>
      </c>
    </row>
    <row r="2984" spans="2:17" x14ac:dyDescent="0.2">
      <c r="B2984" s="5" t="s">
        <v>544</v>
      </c>
      <c r="C2984" s="6" t="s">
        <v>13587</v>
      </c>
      <c r="D2984" s="4">
        <v>202</v>
      </c>
      <c r="E2984" s="5" t="s">
        <v>35</v>
      </c>
      <c r="F2984" s="5" t="s">
        <v>751</v>
      </c>
      <c r="G2984" s="6" t="s">
        <v>14</v>
      </c>
      <c r="H2984" s="4">
        <v>68</v>
      </c>
      <c r="I2984" s="5"/>
      <c r="J2984" s="5" t="s">
        <v>752</v>
      </c>
      <c r="K2984" s="5" t="s">
        <v>753</v>
      </c>
      <c r="L2984" s="5"/>
      <c r="M2984" s="5" t="s">
        <v>336</v>
      </c>
      <c r="N2984" s="5" t="s">
        <v>337</v>
      </c>
      <c r="O2984" s="5" t="s">
        <v>657</v>
      </c>
      <c r="P2984" s="5"/>
      <c r="Q2984" s="5" t="s">
        <v>754</v>
      </c>
    </row>
    <row r="2985" spans="2:17" x14ac:dyDescent="0.2">
      <c r="B2985" s="5" t="s">
        <v>544</v>
      </c>
      <c r="C2985" s="6" t="s">
        <v>13587</v>
      </c>
      <c r="D2985" s="4">
        <v>203</v>
      </c>
      <c r="E2985" s="5" t="s">
        <v>32</v>
      </c>
      <c r="F2985" s="5" t="s">
        <v>697</v>
      </c>
      <c r="G2985" s="6" t="s">
        <v>14</v>
      </c>
      <c r="H2985" s="4">
        <v>69</v>
      </c>
      <c r="I2985" s="5" t="s">
        <v>22</v>
      </c>
      <c r="J2985" s="5" t="s">
        <v>698</v>
      </c>
      <c r="K2985" s="5" t="s">
        <v>699</v>
      </c>
      <c r="L2985" s="5"/>
      <c r="M2985" s="5" t="s">
        <v>336</v>
      </c>
      <c r="N2985" s="5" t="s">
        <v>337</v>
      </c>
      <c r="O2985" s="5" t="s">
        <v>623</v>
      </c>
      <c r="P2985" s="5"/>
      <c r="Q2985" s="5" t="s">
        <v>700</v>
      </c>
    </row>
    <row r="2986" spans="2:17" x14ac:dyDescent="0.2">
      <c r="B2986" s="5" t="s">
        <v>544</v>
      </c>
      <c r="C2986" s="6" t="s">
        <v>13587</v>
      </c>
      <c r="D2986" s="4">
        <v>204</v>
      </c>
      <c r="E2986" s="5" t="s">
        <v>35</v>
      </c>
      <c r="F2986" s="5" t="s">
        <v>755</v>
      </c>
      <c r="G2986" s="6" t="s">
        <v>14</v>
      </c>
      <c r="H2986" s="4">
        <v>70</v>
      </c>
      <c r="I2986" s="5"/>
      <c r="J2986" s="5" t="s">
        <v>756</v>
      </c>
      <c r="K2986" s="5" t="s">
        <v>757</v>
      </c>
      <c r="L2986" s="5"/>
      <c r="M2986" s="5" t="s">
        <v>336</v>
      </c>
      <c r="N2986" s="5" t="s">
        <v>337</v>
      </c>
      <c r="O2986" s="5" t="s">
        <v>623</v>
      </c>
      <c r="P2986" s="5"/>
      <c r="Q2986" s="5" t="s">
        <v>758</v>
      </c>
    </row>
    <row r="2987" spans="2:17" x14ac:dyDescent="0.2">
      <c r="B2987" s="5" t="s">
        <v>544</v>
      </c>
      <c r="C2987" s="6" t="s">
        <v>13587</v>
      </c>
      <c r="D2987" s="4">
        <v>218</v>
      </c>
      <c r="E2987" s="5" t="s">
        <v>24</v>
      </c>
      <c r="F2987" s="5" t="s">
        <v>721</v>
      </c>
      <c r="G2987" s="6" t="s">
        <v>14</v>
      </c>
      <c r="H2987" s="4">
        <v>71</v>
      </c>
      <c r="I2987" s="5"/>
      <c r="J2987" s="5" t="s">
        <v>721</v>
      </c>
      <c r="K2987" s="5" t="s">
        <v>560</v>
      </c>
      <c r="L2987" s="5"/>
      <c r="M2987" s="5" t="s">
        <v>336</v>
      </c>
      <c r="N2987" s="5" t="s">
        <v>337</v>
      </c>
      <c r="O2987" s="5" t="s">
        <v>549</v>
      </c>
      <c r="P2987" s="5"/>
      <c r="Q2987" s="5" t="s">
        <v>722</v>
      </c>
    </row>
    <row r="2988" spans="2:17" x14ac:dyDescent="0.2">
      <c r="B2988" s="5" t="s">
        <v>544</v>
      </c>
      <c r="C2988" s="6" t="s">
        <v>13587</v>
      </c>
      <c r="D2988" s="4">
        <v>219</v>
      </c>
      <c r="E2988" s="5" t="s">
        <v>24</v>
      </c>
      <c r="F2988" s="5" t="s">
        <v>721</v>
      </c>
      <c r="G2988" s="6" t="s">
        <v>14</v>
      </c>
      <c r="H2988" s="4">
        <v>72</v>
      </c>
      <c r="I2988" s="5"/>
      <c r="J2988" s="5" t="s">
        <v>723</v>
      </c>
      <c r="K2988" s="5" t="s">
        <v>560</v>
      </c>
      <c r="L2988" s="5"/>
      <c r="M2988" s="5" t="s">
        <v>336</v>
      </c>
      <c r="N2988" s="5" t="s">
        <v>337</v>
      </c>
      <c r="O2988" s="5" t="s">
        <v>549</v>
      </c>
      <c r="P2988" s="5"/>
      <c r="Q2988" s="5" t="s">
        <v>724</v>
      </c>
    </row>
    <row r="2989" spans="2:17" x14ac:dyDescent="0.2">
      <c r="B2989" s="5" t="s">
        <v>544</v>
      </c>
      <c r="C2989" s="6" t="s">
        <v>13587</v>
      </c>
      <c r="D2989" s="4">
        <v>220</v>
      </c>
      <c r="E2989" s="5" t="s">
        <v>24</v>
      </c>
      <c r="F2989" s="5" t="s">
        <v>721</v>
      </c>
      <c r="G2989" s="6" t="s">
        <v>14</v>
      </c>
      <c r="H2989" s="4">
        <v>73</v>
      </c>
      <c r="I2989" s="5"/>
      <c r="J2989" s="5" t="s">
        <v>725</v>
      </c>
      <c r="K2989" s="5" t="s">
        <v>560</v>
      </c>
      <c r="L2989" s="5"/>
      <c r="M2989" s="5" t="s">
        <v>336</v>
      </c>
      <c r="N2989" s="5" t="s">
        <v>337</v>
      </c>
      <c r="O2989" s="5" t="s">
        <v>549</v>
      </c>
      <c r="P2989" s="5"/>
      <c r="Q2989" s="5" t="s">
        <v>726</v>
      </c>
    </row>
    <row r="2990" spans="2:17" x14ac:dyDescent="0.2">
      <c r="B2990" s="5" t="s">
        <v>544</v>
      </c>
      <c r="C2990" s="6" t="s">
        <v>13587</v>
      </c>
      <c r="D2990" s="4">
        <v>221</v>
      </c>
      <c r="E2990" s="5" t="s">
        <v>24</v>
      </c>
      <c r="F2990" s="5" t="s">
        <v>721</v>
      </c>
      <c r="G2990" s="6" t="s">
        <v>14</v>
      </c>
      <c r="H2990" s="4">
        <v>74</v>
      </c>
      <c r="I2990" s="5"/>
      <c r="J2990" s="5" t="s">
        <v>727</v>
      </c>
      <c r="K2990" s="5" t="s">
        <v>560</v>
      </c>
      <c r="L2990" s="5"/>
      <c r="M2990" s="5" t="s">
        <v>336</v>
      </c>
      <c r="N2990" s="5" t="s">
        <v>337</v>
      </c>
      <c r="O2990" s="5" t="s">
        <v>549</v>
      </c>
      <c r="P2990" s="5"/>
      <c r="Q2990" s="5" t="s">
        <v>728</v>
      </c>
    </row>
    <row r="2991" spans="2:17" x14ac:dyDescent="0.2">
      <c r="B2991" s="5" t="s">
        <v>544</v>
      </c>
      <c r="C2991" s="6" t="s">
        <v>13587</v>
      </c>
      <c r="D2991" s="4">
        <v>222</v>
      </c>
      <c r="E2991" s="5" t="s">
        <v>32</v>
      </c>
      <c r="F2991" s="5" t="s">
        <v>701</v>
      </c>
      <c r="G2991" s="6" t="s">
        <v>14</v>
      </c>
      <c r="H2991" s="4">
        <v>75</v>
      </c>
      <c r="I2991" s="5" t="s">
        <v>22</v>
      </c>
      <c r="J2991" s="5" t="s">
        <v>702</v>
      </c>
      <c r="K2991" s="5" t="s">
        <v>584</v>
      </c>
      <c r="L2991" s="5"/>
      <c r="M2991" s="5" t="s">
        <v>336</v>
      </c>
      <c r="N2991" s="5" t="s">
        <v>337</v>
      </c>
      <c r="O2991" s="5" t="s">
        <v>549</v>
      </c>
      <c r="P2991" s="5"/>
      <c r="Q2991" s="5" t="s">
        <v>703</v>
      </c>
    </row>
    <row r="2992" spans="2:17" x14ac:dyDescent="0.2">
      <c r="B2992" s="5" t="s">
        <v>544</v>
      </c>
      <c r="C2992" s="6" t="s">
        <v>13587</v>
      </c>
      <c r="D2992" s="4">
        <v>223</v>
      </c>
      <c r="E2992" s="5" t="s">
        <v>32</v>
      </c>
      <c r="F2992" s="5" t="s">
        <v>701</v>
      </c>
      <c r="G2992" s="6" t="s">
        <v>14</v>
      </c>
      <c r="H2992" s="4">
        <v>76</v>
      </c>
      <c r="I2992" s="5" t="s">
        <v>22</v>
      </c>
      <c r="J2992" s="5" t="s">
        <v>704</v>
      </c>
      <c r="K2992" s="5" t="s">
        <v>584</v>
      </c>
      <c r="L2992" s="5"/>
      <c r="M2992" s="5" t="s">
        <v>336</v>
      </c>
      <c r="N2992" s="5" t="s">
        <v>337</v>
      </c>
      <c r="O2992" s="5" t="s">
        <v>549</v>
      </c>
      <c r="P2992" s="5"/>
      <c r="Q2992" s="5" t="s">
        <v>705</v>
      </c>
    </row>
    <row r="2993" spans="2:17" x14ac:dyDescent="0.2">
      <c r="B2993" s="5" t="s">
        <v>544</v>
      </c>
      <c r="C2993" s="6" t="s">
        <v>13587</v>
      </c>
      <c r="D2993" s="4">
        <v>224</v>
      </c>
      <c r="E2993" s="5" t="s">
        <v>32</v>
      </c>
      <c r="F2993" s="5" t="s">
        <v>701</v>
      </c>
      <c r="G2993" s="6" t="s">
        <v>14</v>
      </c>
      <c r="H2993" s="4">
        <v>77</v>
      </c>
      <c r="I2993" s="5" t="s">
        <v>22</v>
      </c>
      <c r="J2993" s="5" t="s">
        <v>706</v>
      </c>
      <c r="K2993" s="5" t="s">
        <v>584</v>
      </c>
      <c r="L2993" s="5"/>
      <c r="M2993" s="5" t="s">
        <v>336</v>
      </c>
      <c r="N2993" s="5" t="s">
        <v>337</v>
      </c>
      <c r="O2993" s="5" t="s">
        <v>549</v>
      </c>
      <c r="P2993" s="5"/>
      <c r="Q2993" s="5" t="s">
        <v>705</v>
      </c>
    </row>
    <row r="2994" spans="2:17" x14ac:dyDescent="0.2">
      <c r="B2994" s="5" t="s">
        <v>544</v>
      </c>
      <c r="C2994" s="6" t="s">
        <v>13587</v>
      </c>
      <c r="D2994" s="4">
        <v>225</v>
      </c>
      <c r="E2994" s="5" t="s">
        <v>24</v>
      </c>
      <c r="F2994" s="5" t="s">
        <v>729</v>
      </c>
      <c r="G2994" s="6" t="s">
        <v>14</v>
      </c>
      <c r="H2994" s="4">
        <v>78</v>
      </c>
      <c r="I2994" s="5"/>
      <c r="J2994" s="5" t="s">
        <v>727</v>
      </c>
      <c r="K2994" s="5" t="s">
        <v>709</v>
      </c>
      <c r="L2994" s="5"/>
      <c r="M2994" s="5" t="s">
        <v>336</v>
      </c>
      <c r="N2994" s="5" t="s">
        <v>337</v>
      </c>
      <c r="O2994" s="5" t="s">
        <v>549</v>
      </c>
      <c r="P2994" s="5"/>
      <c r="Q2994" s="5" t="s">
        <v>730</v>
      </c>
    </row>
    <row r="2995" spans="2:17" x14ac:dyDescent="0.2">
      <c r="B2995" s="5" t="s">
        <v>544</v>
      </c>
      <c r="C2995" s="6" t="s">
        <v>13587</v>
      </c>
      <c r="D2995" s="4">
        <v>226</v>
      </c>
      <c r="E2995" s="5" t="s">
        <v>32</v>
      </c>
      <c r="F2995" s="5" t="s">
        <v>707</v>
      </c>
      <c r="G2995" s="6" t="s">
        <v>14</v>
      </c>
      <c r="H2995" s="4">
        <v>79</v>
      </c>
      <c r="I2995" s="5" t="s">
        <v>22</v>
      </c>
      <c r="J2995" s="5" t="s">
        <v>708</v>
      </c>
      <c r="K2995" s="5" t="s">
        <v>709</v>
      </c>
      <c r="L2995" s="5"/>
      <c r="M2995" s="5" t="s">
        <v>336</v>
      </c>
      <c r="N2995" s="5" t="s">
        <v>337</v>
      </c>
      <c r="O2995" s="5" t="s">
        <v>549</v>
      </c>
      <c r="P2995" s="5"/>
      <c r="Q2995" s="5" t="s">
        <v>710</v>
      </c>
    </row>
    <row r="2996" spans="2:17" x14ac:dyDescent="0.2">
      <c r="B2996" s="5" t="s">
        <v>544</v>
      </c>
      <c r="C2996" s="6" t="s">
        <v>13587</v>
      </c>
      <c r="D2996" s="4">
        <v>227</v>
      </c>
      <c r="E2996" s="5" t="s">
        <v>24</v>
      </c>
      <c r="F2996" s="5" t="s">
        <v>729</v>
      </c>
      <c r="G2996" s="6" t="s">
        <v>14</v>
      </c>
      <c r="H2996" s="4">
        <v>80</v>
      </c>
      <c r="I2996" s="5"/>
      <c r="J2996" s="5" t="s">
        <v>725</v>
      </c>
      <c r="K2996" s="5" t="s">
        <v>709</v>
      </c>
      <c r="L2996" s="5"/>
      <c r="M2996" s="5" t="s">
        <v>336</v>
      </c>
      <c r="N2996" s="5" t="s">
        <v>337</v>
      </c>
      <c r="O2996" s="5" t="s">
        <v>549</v>
      </c>
      <c r="P2996" s="5"/>
      <c r="Q2996" s="5" t="s">
        <v>731</v>
      </c>
    </row>
    <row r="2997" spans="2:17" x14ac:dyDescent="0.2">
      <c r="B2997" s="5" t="s">
        <v>544</v>
      </c>
      <c r="C2997" s="6" t="s">
        <v>13587</v>
      </c>
      <c r="D2997" s="4">
        <v>229</v>
      </c>
      <c r="E2997" s="5" t="s">
        <v>20</v>
      </c>
      <c r="F2997" s="5" t="s">
        <v>677</v>
      </c>
      <c r="G2997" s="6" t="s">
        <v>14</v>
      </c>
      <c r="H2997" s="4">
        <v>81</v>
      </c>
      <c r="I2997" s="5" t="s">
        <v>22</v>
      </c>
      <c r="J2997" s="5" t="s">
        <v>678</v>
      </c>
      <c r="K2997" s="5" t="s">
        <v>679</v>
      </c>
      <c r="L2997" s="5"/>
      <c r="M2997" s="5" t="s">
        <v>336</v>
      </c>
      <c r="N2997" s="5" t="s">
        <v>337</v>
      </c>
      <c r="O2997" s="5" t="s">
        <v>574</v>
      </c>
      <c r="P2997" s="5"/>
      <c r="Q2997" s="5" t="s">
        <v>680</v>
      </c>
    </row>
    <row r="2998" spans="2:17" x14ac:dyDescent="0.2">
      <c r="B2998" s="5" t="s">
        <v>544</v>
      </c>
      <c r="C2998" s="6" t="s">
        <v>13587</v>
      </c>
      <c r="D2998" s="4">
        <v>230</v>
      </c>
      <c r="E2998" s="5" t="s">
        <v>32</v>
      </c>
      <c r="F2998" s="5" t="s">
        <v>711</v>
      </c>
      <c r="G2998" s="6" t="s">
        <v>14</v>
      </c>
      <c r="H2998" s="4">
        <v>82</v>
      </c>
      <c r="I2998" s="5" t="s">
        <v>22</v>
      </c>
      <c r="J2998" s="5" t="s">
        <v>712</v>
      </c>
      <c r="K2998" s="5" t="s">
        <v>679</v>
      </c>
      <c r="L2998" s="5"/>
      <c r="M2998" s="5" t="s">
        <v>336</v>
      </c>
      <c r="N2998" s="5" t="s">
        <v>337</v>
      </c>
      <c r="O2998" s="5" t="s">
        <v>574</v>
      </c>
      <c r="P2998" s="5"/>
      <c r="Q2998" s="5" t="s">
        <v>713</v>
      </c>
    </row>
    <row r="2999" spans="2:17" x14ac:dyDescent="0.2">
      <c r="B2999" s="5" t="s">
        <v>544</v>
      </c>
      <c r="C2999" s="6" t="s">
        <v>13587</v>
      </c>
      <c r="D2999" s="4">
        <v>234</v>
      </c>
      <c r="E2999" s="5" t="s">
        <v>35</v>
      </c>
      <c r="F2999" s="5" t="s">
        <v>775</v>
      </c>
      <c r="G2999" s="6" t="s">
        <v>14</v>
      </c>
      <c r="H2999" s="4">
        <v>83</v>
      </c>
      <c r="I2999" s="5"/>
      <c r="J2999" s="5" t="s">
        <v>776</v>
      </c>
      <c r="K2999" s="5" t="s">
        <v>682</v>
      </c>
      <c r="L2999" s="5"/>
      <c r="M2999" s="5" t="s">
        <v>336</v>
      </c>
      <c r="N2999" s="5" t="s">
        <v>337</v>
      </c>
      <c r="O2999" s="5" t="s">
        <v>683</v>
      </c>
      <c r="P2999" s="5"/>
      <c r="Q2999" s="5" t="s">
        <v>777</v>
      </c>
    </row>
    <row r="3000" spans="2:17" x14ac:dyDescent="0.2">
      <c r="B3000" s="5" t="s">
        <v>544</v>
      </c>
      <c r="C3000" s="6" t="s">
        <v>13587</v>
      </c>
      <c r="D3000" s="4">
        <v>240</v>
      </c>
      <c r="E3000" s="5" t="s">
        <v>56</v>
      </c>
      <c r="F3000" s="5" t="s">
        <v>633</v>
      </c>
      <c r="G3000" s="6" t="s">
        <v>14</v>
      </c>
      <c r="H3000" s="4">
        <v>84</v>
      </c>
      <c r="I3000" s="5"/>
      <c r="J3000" s="5" t="s">
        <v>634</v>
      </c>
      <c r="K3000" s="5" t="s">
        <v>635</v>
      </c>
      <c r="L3000" s="5"/>
      <c r="M3000" s="5" t="s">
        <v>330</v>
      </c>
      <c r="N3000" s="5" t="s">
        <v>330</v>
      </c>
      <c r="O3000" s="5" t="s">
        <v>549</v>
      </c>
      <c r="P3000" s="5"/>
      <c r="Q3000" s="5" t="s">
        <v>636</v>
      </c>
    </row>
    <row r="3001" spans="2:17" x14ac:dyDescent="0.2">
      <c r="B3001" s="5" t="s">
        <v>544</v>
      </c>
      <c r="C3001" s="6" t="s">
        <v>13587</v>
      </c>
      <c r="D3001" s="4">
        <v>241</v>
      </c>
      <c r="E3001" s="5" t="s">
        <v>24</v>
      </c>
      <c r="F3001" s="5" t="s">
        <v>633</v>
      </c>
      <c r="G3001" s="6" t="s">
        <v>14</v>
      </c>
      <c r="H3001" s="4">
        <v>85</v>
      </c>
      <c r="I3001" s="5"/>
      <c r="J3001" s="5" t="s">
        <v>640</v>
      </c>
      <c r="K3001" s="5" t="s">
        <v>635</v>
      </c>
      <c r="L3001" s="5"/>
      <c r="M3001" s="5" t="s">
        <v>330</v>
      </c>
      <c r="N3001" s="5" t="s">
        <v>330</v>
      </c>
      <c r="O3001" s="5" t="s">
        <v>549</v>
      </c>
      <c r="P3001" s="5"/>
      <c r="Q3001" s="5" t="s">
        <v>641</v>
      </c>
    </row>
    <row r="3002" spans="2:17" x14ac:dyDescent="0.2">
      <c r="B3002" s="5" t="s">
        <v>544</v>
      </c>
      <c r="C3002" s="6" t="s">
        <v>13587</v>
      </c>
      <c r="D3002" s="4">
        <v>242</v>
      </c>
      <c r="E3002" s="5" t="s">
        <v>35</v>
      </c>
      <c r="F3002" s="5" t="s">
        <v>620</v>
      </c>
      <c r="G3002" s="6" t="s">
        <v>14</v>
      </c>
      <c r="H3002" s="4">
        <v>86</v>
      </c>
      <c r="I3002" s="5"/>
      <c r="J3002" s="5" t="s">
        <v>621</v>
      </c>
      <c r="K3002" s="5" t="s">
        <v>622</v>
      </c>
      <c r="L3002" s="5"/>
      <c r="M3002" s="5" t="s">
        <v>96</v>
      </c>
      <c r="N3002" s="5" t="s">
        <v>96</v>
      </c>
      <c r="O3002" s="5" t="s">
        <v>623</v>
      </c>
      <c r="P3002" s="5"/>
      <c r="Q3002" s="5" t="s">
        <v>624</v>
      </c>
    </row>
    <row r="3003" spans="2:17" x14ac:dyDescent="0.2">
      <c r="B3003" s="5" t="s">
        <v>544</v>
      </c>
      <c r="C3003" s="6" t="s">
        <v>13587</v>
      </c>
      <c r="D3003" s="4">
        <v>243</v>
      </c>
      <c r="E3003" s="5" t="s">
        <v>35</v>
      </c>
      <c r="F3003" s="5" t="s">
        <v>625</v>
      </c>
      <c r="G3003" s="6" t="s">
        <v>14</v>
      </c>
      <c r="H3003" s="4">
        <v>87</v>
      </c>
      <c r="I3003" s="5"/>
      <c r="J3003" s="5" t="s">
        <v>626</v>
      </c>
      <c r="K3003" s="5" t="s">
        <v>627</v>
      </c>
      <c r="L3003" s="5"/>
      <c r="M3003" s="5" t="s">
        <v>96</v>
      </c>
      <c r="N3003" s="5" t="s">
        <v>96</v>
      </c>
      <c r="O3003" s="5" t="s">
        <v>623</v>
      </c>
      <c r="P3003" s="5"/>
      <c r="Q3003" s="5" t="s">
        <v>628</v>
      </c>
    </row>
    <row r="3004" spans="2:17" x14ac:dyDescent="0.2">
      <c r="B3004" s="5" t="s">
        <v>544</v>
      </c>
      <c r="C3004" s="6" t="s">
        <v>13587</v>
      </c>
      <c r="D3004" s="4">
        <v>269</v>
      </c>
      <c r="E3004" s="5" t="s">
        <v>24</v>
      </c>
      <c r="F3004" s="5" t="s">
        <v>564</v>
      </c>
      <c r="G3004" s="6" t="s">
        <v>14</v>
      </c>
      <c r="H3004" s="4">
        <v>88</v>
      </c>
      <c r="I3004" s="5"/>
      <c r="J3004" s="5" t="s">
        <v>565</v>
      </c>
      <c r="K3004" s="5" t="s">
        <v>566</v>
      </c>
      <c r="L3004" s="5"/>
      <c r="M3004" s="5" t="s">
        <v>548</v>
      </c>
      <c r="N3004" s="5" t="s">
        <v>548</v>
      </c>
      <c r="O3004" s="5" t="s">
        <v>549</v>
      </c>
      <c r="P3004" s="5"/>
      <c r="Q3004" s="5" t="s">
        <v>567</v>
      </c>
    </row>
    <row r="3005" spans="2:17" x14ac:dyDescent="0.2">
      <c r="B3005" s="5" t="s">
        <v>544</v>
      </c>
      <c r="C3005" s="6" t="s">
        <v>13587</v>
      </c>
      <c r="D3005" s="4">
        <v>270</v>
      </c>
      <c r="E3005" s="5" t="s">
        <v>24</v>
      </c>
      <c r="F3005" s="5" t="s">
        <v>564</v>
      </c>
      <c r="G3005" s="6" t="s">
        <v>14</v>
      </c>
      <c r="H3005" s="4">
        <v>89</v>
      </c>
      <c r="I3005" s="5"/>
      <c r="J3005" s="5" t="s">
        <v>568</v>
      </c>
      <c r="K3005" s="5" t="s">
        <v>566</v>
      </c>
      <c r="L3005" s="5"/>
      <c r="M3005" s="5" t="s">
        <v>548</v>
      </c>
      <c r="N3005" s="5" t="s">
        <v>548</v>
      </c>
      <c r="O3005" s="5" t="s">
        <v>549</v>
      </c>
      <c r="P3005" s="5"/>
      <c r="Q3005" s="5" t="s">
        <v>569</v>
      </c>
    </row>
    <row r="3006" spans="2:17" x14ac:dyDescent="0.2">
      <c r="B3006" s="5" t="s">
        <v>544</v>
      </c>
      <c r="C3006" s="6" t="s">
        <v>13587</v>
      </c>
      <c r="D3006" s="4">
        <v>276</v>
      </c>
      <c r="E3006" s="5" t="s">
        <v>35</v>
      </c>
      <c r="F3006" s="5" t="s">
        <v>1098</v>
      </c>
      <c r="G3006" s="6" t="s">
        <v>14</v>
      </c>
      <c r="H3006" s="4">
        <v>90</v>
      </c>
      <c r="I3006" s="5"/>
      <c r="J3006" s="5" t="s">
        <v>1099</v>
      </c>
      <c r="K3006" s="5" t="s">
        <v>1100</v>
      </c>
      <c r="L3006" s="5"/>
      <c r="M3006" s="5" t="s">
        <v>1086</v>
      </c>
      <c r="N3006" s="5" t="s">
        <v>1074</v>
      </c>
      <c r="O3006" s="5" t="s">
        <v>623</v>
      </c>
      <c r="P3006" s="5"/>
      <c r="Q3006" s="5" t="s">
        <v>1101</v>
      </c>
    </row>
    <row r="3007" spans="2:17" x14ac:dyDescent="0.2">
      <c r="B3007" s="5" t="s">
        <v>544</v>
      </c>
      <c r="C3007" s="6" t="s">
        <v>13587</v>
      </c>
      <c r="D3007" s="4">
        <v>277</v>
      </c>
      <c r="E3007" s="5" t="s">
        <v>82</v>
      </c>
      <c r="F3007" s="5" t="s">
        <v>1090</v>
      </c>
      <c r="G3007" s="6" t="s">
        <v>14</v>
      </c>
      <c r="H3007" s="4">
        <v>91</v>
      </c>
      <c r="I3007" s="5"/>
      <c r="J3007" s="5" t="s">
        <v>1091</v>
      </c>
      <c r="K3007" s="5" t="s">
        <v>631</v>
      </c>
      <c r="L3007" s="5"/>
      <c r="M3007" s="5" t="s">
        <v>1086</v>
      </c>
      <c r="N3007" s="5" t="s">
        <v>1074</v>
      </c>
      <c r="O3007" s="5" t="s">
        <v>623</v>
      </c>
      <c r="P3007" s="5"/>
      <c r="Q3007" s="5" t="s">
        <v>1092</v>
      </c>
    </row>
    <row r="3008" spans="2:17" x14ac:dyDescent="0.2">
      <c r="B3008" s="5" t="s">
        <v>544</v>
      </c>
      <c r="C3008" s="6" t="s">
        <v>13587</v>
      </c>
      <c r="D3008" s="4">
        <v>279</v>
      </c>
      <c r="E3008" s="5" t="s">
        <v>15</v>
      </c>
      <c r="F3008" s="5" t="s">
        <v>864</v>
      </c>
      <c r="G3008" s="6" t="s">
        <v>14</v>
      </c>
      <c r="H3008" s="4">
        <v>92</v>
      </c>
      <c r="I3008" s="5"/>
      <c r="J3008" s="5" t="s">
        <v>865</v>
      </c>
      <c r="K3008" s="5" t="s">
        <v>811</v>
      </c>
      <c r="L3008" s="5"/>
      <c r="M3008" s="5" t="s">
        <v>866</v>
      </c>
      <c r="N3008" s="5" t="s">
        <v>866</v>
      </c>
      <c r="O3008" s="5" t="s">
        <v>623</v>
      </c>
      <c r="P3008" s="5"/>
      <c r="Q3008" s="5" t="s">
        <v>867</v>
      </c>
    </row>
    <row r="3009" spans="2:17" x14ac:dyDescent="0.2">
      <c r="B3009" s="5" t="s">
        <v>544</v>
      </c>
      <c r="C3009" s="6" t="s">
        <v>13587</v>
      </c>
      <c r="D3009" s="4">
        <v>283</v>
      </c>
      <c r="E3009" s="5" t="s">
        <v>32</v>
      </c>
      <c r="F3009" s="5" t="s">
        <v>1076</v>
      </c>
      <c r="G3009" s="6" t="s">
        <v>14</v>
      </c>
      <c r="H3009" s="4">
        <v>93</v>
      </c>
      <c r="I3009" s="5" t="s">
        <v>22</v>
      </c>
      <c r="J3009" s="5" t="s">
        <v>1077</v>
      </c>
      <c r="K3009" s="5" t="s">
        <v>675</v>
      </c>
      <c r="L3009" s="5"/>
      <c r="M3009" s="5" t="s">
        <v>1073</v>
      </c>
      <c r="N3009" s="5" t="s">
        <v>1073</v>
      </c>
      <c r="O3009" s="5" t="s">
        <v>657</v>
      </c>
      <c r="P3009" s="5"/>
      <c r="Q3009" s="5" t="s">
        <v>1078</v>
      </c>
    </row>
    <row r="3010" spans="2:17" x14ac:dyDescent="0.2">
      <c r="B3010" s="5" t="s">
        <v>544</v>
      </c>
      <c r="C3010" s="6" t="s">
        <v>13587</v>
      </c>
      <c r="D3010" s="4">
        <v>285</v>
      </c>
      <c r="E3010" s="5" t="s">
        <v>35</v>
      </c>
      <c r="F3010" s="5" t="s">
        <v>855</v>
      </c>
      <c r="G3010" s="6" t="s">
        <v>14</v>
      </c>
      <c r="H3010" s="4">
        <v>94</v>
      </c>
      <c r="I3010" s="5"/>
      <c r="J3010" s="5" t="s">
        <v>856</v>
      </c>
      <c r="K3010" s="5" t="s">
        <v>668</v>
      </c>
      <c r="L3010" s="5"/>
      <c r="M3010" s="5" t="s">
        <v>843</v>
      </c>
      <c r="N3010" s="5" t="s">
        <v>843</v>
      </c>
      <c r="O3010" s="5" t="s">
        <v>657</v>
      </c>
      <c r="P3010" s="5"/>
      <c r="Q3010" s="5" t="s">
        <v>857</v>
      </c>
    </row>
    <row r="3011" spans="2:17" x14ac:dyDescent="0.2">
      <c r="B3011" s="5" t="s">
        <v>544</v>
      </c>
      <c r="C3011" s="6" t="s">
        <v>13587</v>
      </c>
      <c r="D3011" s="4">
        <v>293</v>
      </c>
      <c r="E3011" s="5" t="s">
        <v>13</v>
      </c>
      <c r="F3011" s="5" t="s">
        <v>1060</v>
      </c>
      <c r="G3011" s="6" t="s">
        <v>14</v>
      </c>
      <c r="H3011" s="4">
        <v>95</v>
      </c>
      <c r="I3011" s="5"/>
      <c r="J3011" s="5" t="s">
        <v>1061</v>
      </c>
      <c r="K3011" s="5" t="s">
        <v>815</v>
      </c>
      <c r="L3011" s="5"/>
      <c r="M3011" s="5" t="s">
        <v>1062</v>
      </c>
      <c r="N3011" s="5" t="s">
        <v>1062</v>
      </c>
      <c r="O3011" s="5" t="s">
        <v>816</v>
      </c>
      <c r="P3011" s="5"/>
      <c r="Q3011" s="5" t="s">
        <v>1063</v>
      </c>
    </row>
    <row r="3012" spans="2:17" x14ac:dyDescent="0.2">
      <c r="B3012" s="5" t="s">
        <v>544</v>
      </c>
      <c r="C3012" s="6" t="s">
        <v>13587</v>
      </c>
      <c r="D3012" s="4">
        <v>294</v>
      </c>
      <c r="E3012" s="5" t="s">
        <v>13</v>
      </c>
      <c r="F3012" s="5" t="s">
        <v>1064</v>
      </c>
      <c r="G3012" s="6" t="s">
        <v>14</v>
      </c>
      <c r="H3012" s="4">
        <v>96</v>
      </c>
      <c r="I3012" s="5"/>
      <c r="J3012" s="5" t="s">
        <v>1065</v>
      </c>
      <c r="K3012" s="5" t="s">
        <v>815</v>
      </c>
      <c r="L3012" s="5"/>
      <c r="M3012" s="5" t="s">
        <v>1062</v>
      </c>
      <c r="N3012" s="5" t="s">
        <v>1062</v>
      </c>
      <c r="O3012" s="5" t="s">
        <v>816</v>
      </c>
      <c r="P3012" s="5"/>
      <c r="Q3012" s="5" t="s">
        <v>1066</v>
      </c>
    </row>
    <row r="3013" spans="2:17" x14ac:dyDescent="0.2">
      <c r="B3013" s="5" t="s">
        <v>544</v>
      </c>
      <c r="C3013" s="6" t="s">
        <v>13587</v>
      </c>
      <c r="D3013" s="4">
        <v>296</v>
      </c>
      <c r="E3013" s="5" t="s">
        <v>35</v>
      </c>
      <c r="F3013" s="5" t="s">
        <v>1144</v>
      </c>
      <c r="G3013" s="6" t="s">
        <v>14</v>
      </c>
      <c r="H3013" s="4">
        <v>97</v>
      </c>
      <c r="I3013" s="5"/>
      <c r="J3013" s="5" t="s">
        <v>1145</v>
      </c>
      <c r="K3013" s="5" t="s">
        <v>1107</v>
      </c>
      <c r="L3013" s="5"/>
      <c r="M3013" s="5" t="s">
        <v>1122</v>
      </c>
      <c r="N3013" s="5" t="s">
        <v>1122</v>
      </c>
      <c r="O3013" s="5" t="s">
        <v>683</v>
      </c>
      <c r="P3013" s="5"/>
      <c r="Q3013" s="5" t="s">
        <v>1146</v>
      </c>
    </row>
    <row r="3014" spans="2:17" x14ac:dyDescent="0.2">
      <c r="B3014" s="5" t="s">
        <v>544</v>
      </c>
      <c r="C3014" s="6" t="s">
        <v>13587</v>
      </c>
      <c r="D3014" s="4">
        <v>297</v>
      </c>
      <c r="E3014" s="5" t="s">
        <v>35</v>
      </c>
      <c r="F3014" s="5" t="s">
        <v>1144</v>
      </c>
      <c r="G3014" s="6" t="s">
        <v>14</v>
      </c>
      <c r="H3014" s="4">
        <v>98</v>
      </c>
      <c r="I3014" s="5"/>
      <c r="J3014" s="5" t="s">
        <v>1147</v>
      </c>
      <c r="K3014" s="5" t="s">
        <v>1107</v>
      </c>
      <c r="L3014" s="5"/>
      <c r="M3014" s="5" t="s">
        <v>1122</v>
      </c>
      <c r="N3014" s="5" t="s">
        <v>1122</v>
      </c>
      <c r="O3014" s="5" t="s">
        <v>683</v>
      </c>
      <c r="P3014" s="5"/>
      <c r="Q3014" s="5" t="s">
        <v>1148</v>
      </c>
    </row>
    <row r="3015" spans="2:17" x14ac:dyDescent="0.2">
      <c r="B3015" s="5" t="s">
        <v>544</v>
      </c>
      <c r="C3015" s="6" t="s">
        <v>13587</v>
      </c>
      <c r="D3015" s="4">
        <v>298</v>
      </c>
      <c r="E3015" s="5" t="s">
        <v>35</v>
      </c>
      <c r="F3015" s="5" t="s">
        <v>1130</v>
      </c>
      <c r="G3015" s="6" t="s">
        <v>14</v>
      </c>
      <c r="H3015" s="4">
        <v>99</v>
      </c>
      <c r="I3015" s="5"/>
      <c r="J3015" s="5" t="s">
        <v>1131</v>
      </c>
      <c r="K3015" s="5" t="s">
        <v>679</v>
      </c>
      <c r="L3015" s="5"/>
      <c r="M3015" s="5" t="s">
        <v>1122</v>
      </c>
      <c r="N3015" s="5" t="s">
        <v>1122</v>
      </c>
      <c r="O3015" s="5" t="s">
        <v>574</v>
      </c>
      <c r="P3015" s="5"/>
      <c r="Q3015" s="5" t="s">
        <v>1132</v>
      </c>
    </row>
    <row r="3016" spans="2:17" x14ac:dyDescent="0.2">
      <c r="B3016" s="5" t="s">
        <v>544</v>
      </c>
      <c r="C3016" s="6" t="s">
        <v>13587</v>
      </c>
      <c r="D3016" s="4">
        <v>299</v>
      </c>
      <c r="E3016" s="5" t="s">
        <v>35</v>
      </c>
      <c r="F3016" s="5" t="s">
        <v>1133</v>
      </c>
      <c r="G3016" s="6" t="s">
        <v>14</v>
      </c>
      <c r="H3016" s="4">
        <v>100</v>
      </c>
      <c r="I3016" s="5"/>
      <c r="J3016" s="5" t="s">
        <v>1134</v>
      </c>
      <c r="K3016" s="5" t="s">
        <v>679</v>
      </c>
      <c r="L3016" s="5"/>
      <c r="M3016" s="5" t="s">
        <v>1122</v>
      </c>
      <c r="N3016" s="5" t="s">
        <v>1122</v>
      </c>
      <c r="O3016" s="5" t="s">
        <v>574</v>
      </c>
      <c r="P3016" s="5"/>
      <c r="Q3016" s="5" t="s">
        <v>1135</v>
      </c>
    </row>
    <row r="3017" spans="2:17" x14ac:dyDescent="0.2">
      <c r="B3017" s="5" t="s">
        <v>544</v>
      </c>
      <c r="C3017" s="6" t="s">
        <v>13587</v>
      </c>
      <c r="D3017" s="4">
        <v>300</v>
      </c>
      <c r="E3017" s="5" t="s">
        <v>35</v>
      </c>
      <c r="F3017" s="5" t="s">
        <v>1136</v>
      </c>
      <c r="G3017" s="6" t="s">
        <v>14</v>
      </c>
      <c r="H3017" s="4">
        <v>101</v>
      </c>
      <c r="I3017" s="5"/>
      <c r="J3017" s="5" t="s">
        <v>1137</v>
      </c>
      <c r="K3017" s="5" t="s">
        <v>757</v>
      </c>
      <c r="L3017" s="5"/>
      <c r="M3017" s="5" t="s">
        <v>1122</v>
      </c>
      <c r="N3017" s="5" t="s">
        <v>1122</v>
      </c>
      <c r="O3017" s="5" t="s">
        <v>623</v>
      </c>
      <c r="P3017" s="5"/>
      <c r="Q3017" s="5" t="s">
        <v>1138</v>
      </c>
    </row>
    <row r="3018" spans="2:17" x14ac:dyDescent="0.2">
      <c r="B3018" s="5" t="s">
        <v>544</v>
      </c>
      <c r="C3018" s="6" t="s">
        <v>13587</v>
      </c>
      <c r="D3018" s="4">
        <v>301</v>
      </c>
      <c r="E3018" s="5" t="s">
        <v>35</v>
      </c>
      <c r="F3018" s="5" t="s">
        <v>1136</v>
      </c>
      <c r="G3018" s="6" t="s">
        <v>14</v>
      </c>
      <c r="H3018" s="4">
        <v>102</v>
      </c>
      <c r="I3018" s="5"/>
      <c r="J3018" s="5" t="s">
        <v>1139</v>
      </c>
      <c r="K3018" s="5" t="s">
        <v>757</v>
      </c>
      <c r="L3018" s="5"/>
      <c r="M3018" s="5" t="s">
        <v>1122</v>
      </c>
      <c r="N3018" s="5" t="s">
        <v>1122</v>
      </c>
      <c r="O3018" s="5" t="s">
        <v>623</v>
      </c>
      <c r="P3018" s="5"/>
      <c r="Q3018" s="5" t="s">
        <v>1140</v>
      </c>
    </row>
    <row r="3019" spans="2:17" x14ac:dyDescent="0.2">
      <c r="B3019" s="5" t="s">
        <v>544</v>
      </c>
      <c r="C3019" s="6" t="s">
        <v>13587</v>
      </c>
      <c r="D3019" s="4">
        <v>302</v>
      </c>
      <c r="E3019" s="5" t="s">
        <v>32</v>
      </c>
      <c r="F3019" s="5" t="s">
        <v>1124</v>
      </c>
      <c r="G3019" s="6" t="s">
        <v>14</v>
      </c>
      <c r="H3019" s="4">
        <v>103</v>
      </c>
      <c r="I3019" s="5" t="s">
        <v>22</v>
      </c>
      <c r="J3019" s="5" t="s">
        <v>1125</v>
      </c>
      <c r="K3019" s="5" t="s">
        <v>1126</v>
      </c>
      <c r="L3019" s="5"/>
      <c r="M3019" s="5" t="s">
        <v>1122</v>
      </c>
      <c r="N3019" s="5" t="s">
        <v>1122</v>
      </c>
      <c r="O3019" s="5" t="s">
        <v>657</v>
      </c>
      <c r="P3019" s="5"/>
      <c r="Q3019" s="5" t="s">
        <v>1127</v>
      </c>
    </row>
    <row r="3020" spans="2:17" x14ac:dyDescent="0.2">
      <c r="B3020" s="5" t="s">
        <v>544</v>
      </c>
      <c r="C3020" s="6" t="s">
        <v>13587</v>
      </c>
      <c r="D3020" s="4">
        <v>303</v>
      </c>
      <c r="E3020" s="5" t="s">
        <v>13</v>
      </c>
      <c r="F3020" s="5" t="s">
        <v>1128</v>
      </c>
      <c r="G3020" s="6" t="s">
        <v>14</v>
      </c>
      <c r="H3020" s="4">
        <v>104</v>
      </c>
      <c r="I3020" s="5"/>
      <c r="J3020" s="5" t="s">
        <v>1129</v>
      </c>
      <c r="K3020" s="5" t="s">
        <v>675</v>
      </c>
      <c r="L3020" s="5"/>
      <c r="M3020" s="5" t="s">
        <v>1122</v>
      </c>
      <c r="N3020" s="5" t="s">
        <v>1122</v>
      </c>
      <c r="O3020" s="5" t="s">
        <v>657</v>
      </c>
      <c r="P3020" s="5"/>
      <c r="Q3020" s="5" t="s">
        <v>857</v>
      </c>
    </row>
    <row r="3021" spans="2:17" x14ac:dyDescent="0.2">
      <c r="B3021" s="5" t="s">
        <v>1164</v>
      </c>
      <c r="C3021" s="6" t="s">
        <v>13587</v>
      </c>
      <c r="D3021" s="4">
        <v>313</v>
      </c>
      <c r="E3021" s="5" t="s">
        <v>13</v>
      </c>
      <c r="F3021" s="5" t="s">
        <v>1679</v>
      </c>
      <c r="G3021" s="6" t="s">
        <v>14</v>
      </c>
      <c r="H3021" s="4">
        <v>105</v>
      </c>
      <c r="I3021" s="5"/>
      <c r="J3021" s="5" t="s">
        <v>1680</v>
      </c>
      <c r="K3021" s="5" t="s">
        <v>1197</v>
      </c>
      <c r="L3021" s="5"/>
      <c r="M3021" s="5" t="s">
        <v>1681</v>
      </c>
      <c r="N3021" s="5" t="s">
        <v>1682</v>
      </c>
      <c r="O3021" s="5" t="s">
        <v>1167</v>
      </c>
      <c r="P3021" s="5"/>
      <c r="Q3021" s="5" t="s">
        <v>1683</v>
      </c>
    </row>
    <row r="3022" spans="2:17" x14ac:dyDescent="0.2">
      <c r="B3022" s="5" t="s">
        <v>1164</v>
      </c>
      <c r="C3022" s="6" t="s">
        <v>13587</v>
      </c>
      <c r="D3022" s="4">
        <v>322</v>
      </c>
      <c r="E3022" s="5" t="s">
        <v>24</v>
      </c>
      <c r="F3022" s="5" t="s">
        <v>1616</v>
      </c>
      <c r="G3022" s="6" t="s">
        <v>14</v>
      </c>
      <c r="H3022" s="4">
        <v>106</v>
      </c>
      <c r="I3022" s="5"/>
      <c r="J3022" s="5" t="s">
        <v>1617</v>
      </c>
      <c r="K3022" s="5" t="s">
        <v>1174</v>
      </c>
      <c r="L3022" s="5"/>
      <c r="M3022" s="5" t="s">
        <v>1618</v>
      </c>
      <c r="N3022" s="5" t="s">
        <v>1012</v>
      </c>
      <c r="O3022" s="5" t="s">
        <v>1173</v>
      </c>
      <c r="P3022" s="5"/>
      <c r="Q3022" s="5" t="s">
        <v>1619</v>
      </c>
    </row>
    <row r="3023" spans="2:17" x14ac:dyDescent="0.2">
      <c r="B3023" s="5" t="s">
        <v>1164</v>
      </c>
      <c r="C3023" s="6" t="s">
        <v>13587</v>
      </c>
      <c r="D3023" s="4">
        <v>327</v>
      </c>
      <c r="E3023" s="5" t="s">
        <v>24</v>
      </c>
      <c r="F3023" s="5" t="s">
        <v>1594</v>
      </c>
      <c r="G3023" s="6" t="s">
        <v>14</v>
      </c>
      <c r="H3023" s="4">
        <v>107</v>
      </c>
      <c r="I3023" s="5"/>
      <c r="J3023" s="5" t="s">
        <v>1595</v>
      </c>
      <c r="K3023" s="5" t="s">
        <v>1176</v>
      </c>
      <c r="L3023" s="5"/>
      <c r="M3023" s="5" t="s">
        <v>1596</v>
      </c>
      <c r="N3023" s="5" t="s">
        <v>1596</v>
      </c>
      <c r="O3023" s="5" t="s">
        <v>1170</v>
      </c>
      <c r="P3023" s="5"/>
      <c r="Q3023" s="5" t="s">
        <v>1597</v>
      </c>
    </row>
    <row r="3024" spans="2:17" x14ac:dyDescent="0.2">
      <c r="B3024" s="5" t="s">
        <v>1164</v>
      </c>
      <c r="C3024" s="6" t="s">
        <v>13587</v>
      </c>
      <c r="D3024" s="4">
        <v>349</v>
      </c>
      <c r="E3024" s="5" t="s">
        <v>24</v>
      </c>
      <c r="F3024" s="5" t="s">
        <v>1532</v>
      </c>
      <c r="G3024" s="6" t="s">
        <v>14</v>
      </c>
      <c r="H3024" s="4">
        <v>108</v>
      </c>
      <c r="I3024" s="5"/>
      <c r="J3024" s="5" t="s">
        <v>1533</v>
      </c>
      <c r="K3024" s="5" t="s">
        <v>1534</v>
      </c>
      <c r="L3024" s="5" t="s">
        <v>1535</v>
      </c>
      <c r="M3024" s="5" t="s">
        <v>138</v>
      </c>
      <c r="N3024" s="5" t="s">
        <v>138</v>
      </c>
      <c r="O3024" s="5" t="s">
        <v>1167</v>
      </c>
      <c r="P3024" s="5"/>
      <c r="Q3024" s="5" t="s">
        <v>1536</v>
      </c>
    </row>
    <row r="3025" spans="2:17" x14ac:dyDescent="0.2">
      <c r="B3025" s="5" t="s">
        <v>1164</v>
      </c>
      <c r="C3025" s="6" t="s">
        <v>13587</v>
      </c>
      <c r="D3025" s="4">
        <v>350</v>
      </c>
      <c r="E3025" s="5" t="s">
        <v>24</v>
      </c>
      <c r="F3025" s="5" t="s">
        <v>1532</v>
      </c>
      <c r="G3025" s="6" t="s">
        <v>14</v>
      </c>
      <c r="H3025" s="4">
        <v>109</v>
      </c>
      <c r="I3025" s="5"/>
      <c r="J3025" s="5" t="s">
        <v>1537</v>
      </c>
      <c r="K3025" s="5" t="s">
        <v>1279</v>
      </c>
      <c r="L3025" s="5"/>
      <c r="M3025" s="5" t="s">
        <v>412</v>
      </c>
      <c r="N3025" s="5" t="s">
        <v>138</v>
      </c>
      <c r="O3025" s="5" t="s">
        <v>1167</v>
      </c>
      <c r="P3025" s="5"/>
      <c r="Q3025" s="5" t="s">
        <v>1538</v>
      </c>
    </row>
    <row r="3026" spans="2:17" x14ac:dyDescent="0.2">
      <c r="B3026" s="5" t="s">
        <v>1164</v>
      </c>
      <c r="C3026" s="6" t="s">
        <v>13587</v>
      </c>
      <c r="D3026" s="4">
        <v>351</v>
      </c>
      <c r="E3026" s="5" t="s">
        <v>35</v>
      </c>
      <c r="F3026" s="5" t="s">
        <v>1528</v>
      </c>
      <c r="G3026" s="6" t="s">
        <v>14</v>
      </c>
      <c r="H3026" s="4">
        <v>110</v>
      </c>
      <c r="I3026" s="5"/>
      <c r="J3026" s="5" t="s">
        <v>1529</v>
      </c>
      <c r="K3026" s="5" t="s">
        <v>1172</v>
      </c>
      <c r="L3026" s="5"/>
      <c r="M3026" s="5" t="s">
        <v>1530</v>
      </c>
      <c r="N3026" s="5" t="s">
        <v>1530</v>
      </c>
      <c r="O3026" s="5" t="s">
        <v>1173</v>
      </c>
      <c r="P3026" s="5"/>
      <c r="Q3026" s="5" t="s">
        <v>1531</v>
      </c>
    </row>
    <row r="3027" spans="2:17" x14ac:dyDescent="0.2">
      <c r="B3027" s="5" t="s">
        <v>1164</v>
      </c>
      <c r="C3027" s="6" t="s">
        <v>13587</v>
      </c>
      <c r="D3027" s="4">
        <v>354</v>
      </c>
      <c r="E3027" s="5" t="s">
        <v>13</v>
      </c>
      <c r="F3027" s="5" t="s">
        <v>1455</v>
      </c>
      <c r="G3027" s="6" t="s">
        <v>14</v>
      </c>
      <c r="H3027" s="4">
        <v>111</v>
      </c>
      <c r="I3027" s="5"/>
      <c r="J3027" s="5" t="s">
        <v>1458</v>
      </c>
      <c r="K3027" s="5" t="s">
        <v>1172</v>
      </c>
      <c r="L3027" s="5" t="s">
        <v>1459</v>
      </c>
      <c r="M3027" s="5" t="s">
        <v>347</v>
      </c>
      <c r="N3027" s="5" t="s">
        <v>347</v>
      </c>
      <c r="O3027" s="5" t="s">
        <v>1173</v>
      </c>
      <c r="P3027" s="5"/>
      <c r="Q3027" s="5" t="s">
        <v>1460</v>
      </c>
    </row>
    <row r="3028" spans="2:17" x14ac:dyDescent="0.2">
      <c r="B3028" s="5" t="s">
        <v>1164</v>
      </c>
      <c r="C3028" s="6" t="s">
        <v>13587</v>
      </c>
      <c r="D3028" s="4">
        <v>355</v>
      </c>
      <c r="E3028" s="5" t="s">
        <v>13</v>
      </c>
      <c r="F3028" s="5" t="s">
        <v>1455</v>
      </c>
      <c r="G3028" s="6" t="s">
        <v>14</v>
      </c>
      <c r="H3028" s="4">
        <v>112</v>
      </c>
      <c r="I3028" s="5"/>
      <c r="J3028" s="5" t="s">
        <v>1456</v>
      </c>
      <c r="K3028" s="5" t="s">
        <v>1176</v>
      </c>
      <c r="L3028" s="5"/>
      <c r="M3028" s="5" t="s">
        <v>347</v>
      </c>
      <c r="N3028" s="5" t="s">
        <v>347</v>
      </c>
      <c r="O3028" s="5" t="s">
        <v>1170</v>
      </c>
      <c r="P3028" s="5"/>
      <c r="Q3028" s="5" t="s">
        <v>1457</v>
      </c>
    </row>
    <row r="3029" spans="2:17" x14ac:dyDescent="0.2">
      <c r="B3029" s="5" t="s">
        <v>1164</v>
      </c>
      <c r="C3029" s="6" t="s">
        <v>13587</v>
      </c>
      <c r="D3029" s="4">
        <v>357</v>
      </c>
      <c r="E3029" s="5" t="s">
        <v>15</v>
      </c>
      <c r="F3029" s="5" t="s">
        <v>1450</v>
      </c>
      <c r="G3029" s="6" t="s">
        <v>14</v>
      </c>
      <c r="H3029" s="4">
        <v>113</v>
      </c>
      <c r="I3029" s="5"/>
      <c r="J3029" s="5" t="s">
        <v>1451</v>
      </c>
      <c r="K3029" s="5" t="s">
        <v>1452</v>
      </c>
      <c r="L3029" s="5" t="s">
        <v>1453</v>
      </c>
      <c r="M3029" s="5" t="s">
        <v>341</v>
      </c>
      <c r="N3029" s="5" t="s">
        <v>342</v>
      </c>
      <c r="O3029" s="5" t="s">
        <v>1166</v>
      </c>
      <c r="P3029" s="5"/>
      <c r="Q3029" s="5" t="s">
        <v>1454</v>
      </c>
    </row>
    <row r="3030" spans="2:17" x14ac:dyDescent="0.2">
      <c r="B3030" s="5" t="s">
        <v>1164</v>
      </c>
      <c r="C3030" s="6" t="s">
        <v>13587</v>
      </c>
      <c r="D3030" s="4">
        <v>359</v>
      </c>
      <c r="E3030" s="5" t="s">
        <v>32</v>
      </c>
      <c r="F3030" s="5" t="s">
        <v>1434</v>
      </c>
      <c r="G3030" s="6" t="s">
        <v>14</v>
      </c>
      <c r="H3030" s="4">
        <v>114</v>
      </c>
      <c r="I3030" s="5" t="s">
        <v>22</v>
      </c>
      <c r="J3030" s="5" t="s">
        <v>1435</v>
      </c>
      <c r="K3030" s="5" t="s">
        <v>1272</v>
      </c>
      <c r="L3030" s="5"/>
      <c r="M3030" s="5" t="s">
        <v>1436</v>
      </c>
      <c r="N3030" s="5" t="s">
        <v>1437</v>
      </c>
      <c r="O3030" s="5" t="s">
        <v>1167</v>
      </c>
      <c r="P3030" s="5"/>
      <c r="Q3030" s="5" t="s">
        <v>1438</v>
      </c>
    </row>
    <row r="3031" spans="2:17" x14ac:dyDescent="0.2">
      <c r="B3031" s="5" t="s">
        <v>1164</v>
      </c>
      <c r="C3031" s="6" t="s">
        <v>13587</v>
      </c>
      <c r="D3031" s="4">
        <v>361</v>
      </c>
      <c r="E3031" s="5" t="s">
        <v>13</v>
      </c>
      <c r="F3031" s="5" t="s">
        <v>1421</v>
      </c>
      <c r="G3031" s="6" t="s">
        <v>14</v>
      </c>
      <c r="H3031" s="4">
        <v>115</v>
      </c>
      <c r="I3031" s="5"/>
      <c r="J3031" s="5" t="s">
        <v>1422</v>
      </c>
      <c r="K3031" s="5" t="s">
        <v>1423</v>
      </c>
      <c r="L3031" s="5" t="s">
        <v>1424</v>
      </c>
      <c r="M3031" s="5" t="s">
        <v>106</v>
      </c>
      <c r="N3031" s="5" t="s">
        <v>106</v>
      </c>
      <c r="O3031" s="5" t="s">
        <v>1167</v>
      </c>
      <c r="P3031" s="5"/>
      <c r="Q3031" s="5" t="s">
        <v>1425</v>
      </c>
    </row>
    <row r="3032" spans="2:17" x14ac:dyDescent="0.2">
      <c r="B3032" s="5" t="s">
        <v>1164</v>
      </c>
      <c r="C3032" s="6" t="s">
        <v>13587</v>
      </c>
      <c r="D3032" s="4">
        <v>362</v>
      </c>
      <c r="E3032" s="5" t="s">
        <v>32</v>
      </c>
      <c r="F3032" s="5" t="s">
        <v>1426</v>
      </c>
      <c r="G3032" s="6" t="s">
        <v>14</v>
      </c>
      <c r="H3032" s="4">
        <v>116</v>
      </c>
      <c r="I3032" s="5" t="s">
        <v>22</v>
      </c>
      <c r="J3032" s="5" t="s">
        <v>1427</v>
      </c>
      <c r="K3032" s="5" t="s">
        <v>1428</v>
      </c>
      <c r="L3032" s="5" t="s">
        <v>1429</v>
      </c>
      <c r="M3032" s="5" t="s">
        <v>112</v>
      </c>
      <c r="N3032" s="5" t="s">
        <v>337</v>
      </c>
      <c r="O3032" s="5" t="s">
        <v>1170</v>
      </c>
      <c r="P3032" s="5"/>
      <c r="Q3032" s="5" t="s">
        <v>1430</v>
      </c>
    </row>
    <row r="3033" spans="2:17" x14ac:dyDescent="0.2">
      <c r="B3033" s="5" t="s">
        <v>1164</v>
      </c>
      <c r="C3033" s="6" t="s">
        <v>13587</v>
      </c>
      <c r="D3033" s="4">
        <v>364</v>
      </c>
      <c r="E3033" s="5" t="s">
        <v>13</v>
      </c>
      <c r="F3033" s="5" t="s">
        <v>1418</v>
      </c>
      <c r="G3033" s="6" t="s">
        <v>14</v>
      </c>
      <c r="H3033" s="4">
        <v>117</v>
      </c>
      <c r="I3033" s="5"/>
      <c r="J3033" s="5" t="s">
        <v>1419</v>
      </c>
      <c r="K3033" s="5" t="s">
        <v>1174</v>
      </c>
      <c r="L3033" s="5"/>
      <c r="M3033" s="5" t="s">
        <v>645</v>
      </c>
      <c r="N3033" s="5" t="s">
        <v>645</v>
      </c>
      <c r="O3033" s="5" t="s">
        <v>1173</v>
      </c>
      <c r="P3033" s="5"/>
      <c r="Q3033" s="5" t="s">
        <v>1420</v>
      </c>
    </row>
    <row r="3034" spans="2:17" x14ac:dyDescent="0.2">
      <c r="B3034" s="5" t="s">
        <v>1164</v>
      </c>
      <c r="C3034" s="6" t="s">
        <v>13587</v>
      </c>
      <c r="D3034" s="4">
        <v>368</v>
      </c>
      <c r="E3034" s="5" t="s">
        <v>35</v>
      </c>
      <c r="F3034" s="5" t="s">
        <v>1379</v>
      </c>
      <c r="G3034" s="6" t="s">
        <v>14</v>
      </c>
      <c r="H3034" s="4">
        <v>118</v>
      </c>
      <c r="I3034" s="5"/>
      <c r="J3034" s="5" t="s">
        <v>1380</v>
      </c>
      <c r="K3034" s="5" t="s">
        <v>1174</v>
      </c>
      <c r="L3034" s="5"/>
      <c r="M3034" s="5" t="s">
        <v>1377</v>
      </c>
      <c r="N3034" s="5" t="s">
        <v>1377</v>
      </c>
      <c r="O3034" s="5" t="s">
        <v>1173</v>
      </c>
      <c r="P3034" s="5"/>
      <c r="Q3034" s="5" t="s">
        <v>1381</v>
      </c>
    </row>
    <row r="3035" spans="2:17" x14ac:dyDescent="0.2">
      <c r="B3035" s="5" t="s">
        <v>1164</v>
      </c>
      <c r="C3035" s="6" t="s">
        <v>13587</v>
      </c>
      <c r="D3035" s="4">
        <v>373</v>
      </c>
      <c r="E3035" s="5" t="s">
        <v>24</v>
      </c>
      <c r="F3035" s="5" t="s">
        <v>1382</v>
      </c>
      <c r="G3035" s="6" t="s">
        <v>14</v>
      </c>
      <c r="H3035" s="4">
        <v>119</v>
      </c>
      <c r="I3035" s="5"/>
      <c r="J3035" s="5" t="s">
        <v>1383</v>
      </c>
      <c r="K3035" s="5" t="s">
        <v>1267</v>
      </c>
      <c r="L3035" s="5" t="s">
        <v>1268</v>
      </c>
      <c r="M3035" s="5" t="s">
        <v>1384</v>
      </c>
      <c r="N3035" s="5" t="s">
        <v>1385</v>
      </c>
      <c r="O3035" s="5" t="s">
        <v>1167</v>
      </c>
      <c r="P3035" s="5"/>
      <c r="Q3035" s="5" t="s">
        <v>1386</v>
      </c>
    </row>
    <row r="3036" spans="2:17" x14ac:dyDescent="0.2">
      <c r="B3036" s="5" t="s">
        <v>1164</v>
      </c>
      <c r="C3036" s="6" t="s">
        <v>13587</v>
      </c>
      <c r="D3036" s="4">
        <v>374</v>
      </c>
      <c r="E3036" s="5" t="s">
        <v>24</v>
      </c>
      <c r="F3036" s="5" t="s">
        <v>1382</v>
      </c>
      <c r="G3036" s="6" t="s">
        <v>14</v>
      </c>
      <c r="H3036" s="4">
        <v>120</v>
      </c>
      <c r="I3036" s="5"/>
      <c r="J3036" s="5" t="s">
        <v>1387</v>
      </c>
      <c r="K3036" s="5" t="s">
        <v>1188</v>
      </c>
      <c r="L3036" s="5"/>
      <c r="M3036" s="5" t="s">
        <v>1384</v>
      </c>
      <c r="N3036" s="5" t="s">
        <v>1385</v>
      </c>
      <c r="O3036" s="5" t="s">
        <v>1167</v>
      </c>
      <c r="P3036" s="5"/>
      <c r="Q3036" s="5" t="s">
        <v>1388</v>
      </c>
    </row>
    <row r="3037" spans="2:17" x14ac:dyDescent="0.2">
      <c r="B3037" s="5" t="s">
        <v>1164</v>
      </c>
      <c r="C3037" s="6" t="s">
        <v>13587</v>
      </c>
      <c r="D3037" s="4">
        <v>375</v>
      </c>
      <c r="E3037" s="5" t="s">
        <v>24</v>
      </c>
      <c r="F3037" s="5" t="s">
        <v>1382</v>
      </c>
      <c r="G3037" s="6" t="s">
        <v>14</v>
      </c>
      <c r="H3037" s="4">
        <v>121</v>
      </c>
      <c r="I3037" s="5"/>
      <c r="J3037" s="5" t="s">
        <v>1389</v>
      </c>
      <c r="K3037" s="5" t="s">
        <v>1197</v>
      </c>
      <c r="L3037" s="5"/>
      <c r="M3037" s="5" t="s">
        <v>1384</v>
      </c>
      <c r="N3037" s="5" t="s">
        <v>1385</v>
      </c>
      <c r="O3037" s="5" t="s">
        <v>1167</v>
      </c>
      <c r="P3037" s="5"/>
      <c r="Q3037" s="5" t="s">
        <v>1390</v>
      </c>
    </row>
    <row r="3038" spans="2:17" x14ac:dyDescent="0.2">
      <c r="B3038" s="5" t="s">
        <v>1164</v>
      </c>
      <c r="C3038" s="6" t="s">
        <v>13587</v>
      </c>
      <c r="D3038" s="4">
        <v>376</v>
      </c>
      <c r="E3038" s="5" t="s">
        <v>24</v>
      </c>
      <c r="F3038" s="5" t="s">
        <v>1382</v>
      </c>
      <c r="G3038" s="6" t="s">
        <v>14</v>
      </c>
      <c r="H3038" s="4">
        <v>122</v>
      </c>
      <c r="I3038" s="5"/>
      <c r="J3038" s="5" t="s">
        <v>1391</v>
      </c>
      <c r="K3038" s="5" t="s">
        <v>1392</v>
      </c>
      <c r="L3038" s="5" t="s">
        <v>1393</v>
      </c>
      <c r="M3038" s="5" t="s">
        <v>1384</v>
      </c>
      <c r="N3038" s="5" t="s">
        <v>1385</v>
      </c>
      <c r="O3038" s="5" t="s">
        <v>1167</v>
      </c>
      <c r="P3038" s="5"/>
      <c r="Q3038" s="5" t="s">
        <v>1394</v>
      </c>
    </row>
    <row r="3039" spans="2:17" x14ac:dyDescent="0.2">
      <c r="B3039" s="5" t="s">
        <v>1164</v>
      </c>
      <c r="C3039" s="6" t="s">
        <v>13587</v>
      </c>
      <c r="D3039" s="4">
        <v>377</v>
      </c>
      <c r="E3039" s="5" t="s">
        <v>24</v>
      </c>
      <c r="F3039" s="5" t="s">
        <v>1382</v>
      </c>
      <c r="G3039" s="6" t="s">
        <v>14</v>
      </c>
      <c r="H3039" s="4">
        <v>123</v>
      </c>
      <c r="I3039" s="5"/>
      <c r="J3039" s="5" t="s">
        <v>1395</v>
      </c>
      <c r="K3039" s="5" t="s">
        <v>1392</v>
      </c>
      <c r="L3039" s="5" t="s">
        <v>1396</v>
      </c>
      <c r="M3039" s="5" t="s">
        <v>1384</v>
      </c>
      <c r="N3039" s="5" t="s">
        <v>1385</v>
      </c>
      <c r="O3039" s="5" t="s">
        <v>1167</v>
      </c>
      <c r="P3039" s="5"/>
      <c r="Q3039" s="5" t="s">
        <v>1397</v>
      </c>
    </row>
    <row r="3040" spans="2:17" x14ac:dyDescent="0.2">
      <c r="B3040" s="5" t="s">
        <v>1164</v>
      </c>
      <c r="C3040" s="6" t="s">
        <v>13587</v>
      </c>
      <c r="D3040" s="4">
        <v>378</v>
      </c>
      <c r="E3040" s="5" t="s">
        <v>24</v>
      </c>
      <c r="F3040" s="5" t="s">
        <v>1382</v>
      </c>
      <c r="G3040" s="6" t="s">
        <v>14</v>
      </c>
      <c r="H3040" s="4">
        <v>124</v>
      </c>
      <c r="I3040" s="5"/>
      <c r="J3040" s="5" t="s">
        <v>1398</v>
      </c>
      <c r="K3040" s="5" t="s">
        <v>1279</v>
      </c>
      <c r="L3040" s="5"/>
      <c r="M3040" s="5" t="s">
        <v>1384</v>
      </c>
      <c r="N3040" s="5" t="s">
        <v>1385</v>
      </c>
      <c r="O3040" s="5" t="s">
        <v>1167</v>
      </c>
      <c r="P3040" s="5"/>
      <c r="Q3040" s="5" t="s">
        <v>1399</v>
      </c>
    </row>
    <row r="3041" spans="2:17" x14ac:dyDescent="0.2">
      <c r="B3041" s="5" t="s">
        <v>1164</v>
      </c>
      <c r="C3041" s="6" t="s">
        <v>13587</v>
      </c>
      <c r="D3041" s="4">
        <v>379</v>
      </c>
      <c r="E3041" s="5" t="s">
        <v>24</v>
      </c>
      <c r="F3041" s="5" t="s">
        <v>1382</v>
      </c>
      <c r="G3041" s="6" t="s">
        <v>14</v>
      </c>
      <c r="H3041" s="4">
        <v>125</v>
      </c>
      <c r="I3041" s="5"/>
      <c r="J3041" s="5" t="s">
        <v>1400</v>
      </c>
      <c r="K3041" s="5" t="s">
        <v>1240</v>
      </c>
      <c r="L3041" s="5" t="s">
        <v>1401</v>
      </c>
      <c r="M3041" s="5" t="s">
        <v>1384</v>
      </c>
      <c r="N3041" s="5" t="s">
        <v>1385</v>
      </c>
      <c r="O3041" s="5" t="s">
        <v>1167</v>
      </c>
      <c r="P3041" s="5"/>
      <c r="Q3041" s="5" t="s">
        <v>1402</v>
      </c>
    </row>
    <row r="3042" spans="2:17" x14ac:dyDescent="0.2">
      <c r="B3042" s="5" t="s">
        <v>1164</v>
      </c>
      <c r="C3042" s="6" t="s">
        <v>13587</v>
      </c>
      <c r="D3042" s="4">
        <v>380</v>
      </c>
      <c r="E3042" s="5" t="s">
        <v>24</v>
      </c>
      <c r="F3042" s="5" t="s">
        <v>1382</v>
      </c>
      <c r="G3042" s="6" t="s">
        <v>14</v>
      </c>
      <c r="H3042" s="4">
        <v>126</v>
      </c>
      <c r="I3042" s="5" t="s">
        <v>22</v>
      </c>
      <c r="J3042" s="5" t="s">
        <v>1333</v>
      </c>
      <c r="K3042" s="5" t="s">
        <v>1240</v>
      </c>
      <c r="L3042" s="5" t="s">
        <v>1334</v>
      </c>
      <c r="M3042" s="5" t="s">
        <v>1384</v>
      </c>
      <c r="N3042" s="5" t="s">
        <v>1385</v>
      </c>
      <c r="O3042" s="5" t="s">
        <v>1167</v>
      </c>
      <c r="P3042" s="5"/>
      <c r="Q3042" s="5" t="s">
        <v>1403</v>
      </c>
    </row>
    <row r="3043" spans="2:17" x14ac:dyDescent="0.2">
      <c r="B3043" s="5" t="s">
        <v>1164</v>
      </c>
      <c r="C3043" s="6" t="s">
        <v>13587</v>
      </c>
      <c r="D3043" s="4">
        <v>381</v>
      </c>
      <c r="E3043" s="5" t="s">
        <v>24</v>
      </c>
      <c r="F3043" s="5" t="s">
        <v>1382</v>
      </c>
      <c r="G3043" s="6" t="s">
        <v>14</v>
      </c>
      <c r="H3043" s="4">
        <v>127</v>
      </c>
      <c r="I3043" s="5"/>
      <c r="J3043" s="5" t="s">
        <v>1404</v>
      </c>
      <c r="K3043" s="5" t="s">
        <v>1272</v>
      </c>
      <c r="L3043" s="5"/>
      <c r="M3043" s="5" t="s">
        <v>1384</v>
      </c>
      <c r="N3043" s="5" t="s">
        <v>1385</v>
      </c>
      <c r="O3043" s="5" t="s">
        <v>1167</v>
      </c>
      <c r="P3043" s="5"/>
      <c r="Q3043" s="5" t="s">
        <v>1405</v>
      </c>
    </row>
    <row r="3044" spans="2:17" x14ac:dyDescent="0.2">
      <c r="B3044" s="5" t="s">
        <v>1164</v>
      </c>
      <c r="C3044" s="6" t="s">
        <v>13587</v>
      </c>
      <c r="D3044" s="4">
        <v>382</v>
      </c>
      <c r="E3044" s="5" t="s">
        <v>24</v>
      </c>
      <c r="F3044" s="5" t="s">
        <v>1382</v>
      </c>
      <c r="G3044" s="6" t="s">
        <v>14</v>
      </c>
      <c r="H3044" s="4">
        <v>128</v>
      </c>
      <c r="I3044" s="5"/>
      <c r="J3044" s="5" t="s">
        <v>1178</v>
      </c>
      <c r="K3044" s="5" t="s">
        <v>1272</v>
      </c>
      <c r="L3044" s="5"/>
      <c r="M3044" s="5" t="s">
        <v>1384</v>
      </c>
      <c r="N3044" s="5" t="s">
        <v>1385</v>
      </c>
      <c r="O3044" s="5" t="s">
        <v>1167</v>
      </c>
      <c r="P3044" s="5"/>
      <c r="Q3044" s="5" t="s">
        <v>1406</v>
      </c>
    </row>
    <row r="3045" spans="2:17" x14ac:dyDescent="0.2">
      <c r="B3045" s="5" t="s">
        <v>1164</v>
      </c>
      <c r="C3045" s="6" t="s">
        <v>13587</v>
      </c>
      <c r="D3045" s="4">
        <v>384</v>
      </c>
      <c r="E3045" s="5" t="s">
        <v>35</v>
      </c>
      <c r="F3045" s="5" t="s">
        <v>1354</v>
      </c>
      <c r="G3045" s="6" t="s">
        <v>14</v>
      </c>
      <c r="H3045" s="4">
        <v>129</v>
      </c>
      <c r="I3045" s="5"/>
      <c r="J3045" s="5" t="s">
        <v>1355</v>
      </c>
      <c r="K3045" s="5" t="s">
        <v>1356</v>
      </c>
      <c r="L3045" s="5"/>
      <c r="M3045" s="5" t="s">
        <v>301</v>
      </c>
      <c r="N3045" s="5" t="s">
        <v>295</v>
      </c>
      <c r="O3045" s="5" t="s">
        <v>1166</v>
      </c>
      <c r="P3045" s="5"/>
      <c r="Q3045" s="5" t="s">
        <v>1357</v>
      </c>
    </row>
    <row r="3046" spans="2:17" x14ac:dyDescent="0.2">
      <c r="B3046" s="5" t="s">
        <v>1164</v>
      </c>
      <c r="C3046" s="6" t="s">
        <v>13587</v>
      </c>
      <c r="D3046" s="4">
        <v>385</v>
      </c>
      <c r="E3046" s="5" t="s">
        <v>56</v>
      </c>
      <c r="F3046" s="5" t="s">
        <v>1345</v>
      </c>
      <c r="G3046" s="6" t="s">
        <v>14</v>
      </c>
      <c r="H3046" s="4">
        <v>130</v>
      </c>
      <c r="I3046" s="5"/>
      <c r="J3046" s="5" t="s">
        <v>1346</v>
      </c>
      <c r="K3046" s="5" t="s">
        <v>1347</v>
      </c>
      <c r="L3046" s="5"/>
      <c r="M3046" s="5" t="s">
        <v>296</v>
      </c>
      <c r="N3046" s="5" t="s">
        <v>296</v>
      </c>
      <c r="O3046" s="5" t="s">
        <v>1167</v>
      </c>
      <c r="P3046" s="5"/>
      <c r="Q3046" s="5" t="s">
        <v>1348</v>
      </c>
    </row>
    <row r="3047" spans="2:17" x14ac:dyDescent="0.2">
      <c r="B3047" s="5" t="s">
        <v>1164</v>
      </c>
      <c r="C3047" s="6" t="s">
        <v>13587</v>
      </c>
      <c r="D3047" s="4">
        <v>388</v>
      </c>
      <c r="E3047" s="5" t="s">
        <v>32</v>
      </c>
      <c r="F3047" s="5" t="s">
        <v>1301</v>
      </c>
      <c r="G3047" s="6" t="s">
        <v>14</v>
      </c>
      <c r="H3047" s="4">
        <v>131</v>
      </c>
      <c r="I3047" s="5" t="s">
        <v>22</v>
      </c>
      <c r="J3047" s="5" t="s">
        <v>1312</v>
      </c>
      <c r="K3047" s="5" t="s">
        <v>1313</v>
      </c>
      <c r="L3047" s="5"/>
      <c r="M3047" s="5" t="s">
        <v>291</v>
      </c>
      <c r="N3047" s="5" t="s">
        <v>284</v>
      </c>
      <c r="O3047" s="5" t="s">
        <v>1167</v>
      </c>
      <c r="P3047" s="5"/>
      <c r="Q3047" s="5" t="s">
        <v>1314</v>
      </c>
    </row>
    <row r="3048" spans="2:17" x14ac:dyDescent="0.2">
      <c r="B3048" s="5" t="s">
        <v>1164</v>
      </c>
      <c r="C3048" s="6" t="s">
        <v>13587</v>
      </c>
      <c r="D3048" s="4">
        <v>389</v>
      </c>
      <c r="E3048" s="5" t="s">
        <v>24</v>
      </c>
      <c r="F3048" s="5" t="s">
        <v>1287</v>
      </c>
      <c r="G3048" s="6" t="s">
        <v>14</v>
      </c>
      <c r="H3048" s="4">
        <v>132</v>
      </c>
      <c r="I3048" s="5"/>
      <c r="J3048" s="5" t="s">
        <v>1266</v>
      </c>
      <c r="K3048" s="5" t="s">
        <v>1267</v>
      </c>
      <c r="L3048" s="5" t="s">
        <v>1288</v>
      </c>
      <c r="M3048" s="5" t="s">
        <v>97</v>
      </c>
      <c r="N3048" s="5" t="s">
        <v>284</v>
      </c>
      <c r="O3048" s="5" t="s">
        <v>1167</v>
      </c>
      <c r="P3048" s="5"/>
      <c r="Q3048" s="5" t="s">
        <v>1289</v>
      </c>
    </row>
    <row r="3049" spans="2:17" x14ac:dyDescent="0.2">
      <c r="B3049" s="5" t="s">
        <v>1164</v>
      </c>
      <c r="C3049" s="6" t="s">
        <v>13587</v>
      </c>
      <c r="D3049" s="4">
        <v>390</v>
      </c>
      <c r="E3049" s="5" t="s">
        <v>32</v>
      </c>
      <c r="F3049" s="5" t="s">
        <v>1301</v>
      </c>
      <c r="G3049" s="6" t="s">
        <v>14</v>
      </c>
      <c r="H3049" s="4">
        <v>133</v>
      </c>
      <c r="I3049" s="5" t="s">
        <v>22</v>
      </c>
      <c r="J3049" s="5" t="s">
        <v>1315</v>
      </c>
      <c r="K3049" s="5" t="s">
        <v>1316</v>
      </c>
      <c r="L3049" s="5" t="s">
        <v>1317</v>
      </c>
      <c r="M3049" s="5" t="s">
        <v>291</v>
      </c>
      <c r="N3049" s="5" t="s">
        <v>284</v>
      </c>
      <c r="O3049" s="5" t="s">
        <v>1170</v>
      </c>
      <c r="P3049" s="5"/>
      <c r="Q3049" s="5" t="s">
        <v>1318</v>
      </c>
    </row>
    <row r="3050" spans="2:17" x14ac:dyDescent="0.2">
      <c r="B3050" s="5" t="s">
        <v>1164</v>
      </c>
      <c r="C3050" s="6" t="s">
        <v>13587</v>
      </c>
      <c r="D3050" s="4">
        <v>391</v>
      </c>
      <c r="E3050" s="5" t="s">
        <v>32</v>
      </c>
      <c r="F3050" s="5" t="s">
        <v>1301</v>
      </c>
      <c r="G3050" s="6" t="s">
        <v>14</v>
      </c>
      <c r="H3050" s="4">
        <v>134</v>
      </c>
      <c r="I3050" s="5" t="s">
        <v>22</v>
      </c>
      <c r="J3050" s="5" t="s">
        <v>1319</v>
      </c>
      <c r="K3050" s="5" t="s">
        <v>1168</v>
      </c>
      <c r="L3050" s="5" t="s">
        <v>1320</v>
      </c>
      <c r="M3050" s="5" t="s">
        <v>291</v>
      </c>
      <c r="N3050" s="5" t="s">
        <v>284</v>
      </c>
      <c r="O3050" s="5" t="s">
        <v>1170</v>
      </c>
      <c r="P3050" s="5"/>
      <c r="Q3050" s="5" t="s">
        <v>1321</v>
      </c>
    </row>
    <row r="3051" spans="2:17" x14ac:dyDescent="0.2">
      <c r="B3051" s="5" t="s">
        <v>1164</v>
      </c>
      <c r="C3051" s="6" t="s">
        <v>13587</v>
      </c>
      <c r="D3051" s="4">
        <v>392</v>
      </c>
      <c r="E3051" s="5" t="s">
        <v>24</v>
      </c>
      <c r="F3051" s="5" t="s">
        <v>1287</v>
      </c>
      <c r="G3051" s="6" t="s">
        <v>14</v>
      </c>
      <c r="H3051" s="4">
        <v>135</v>
      </c>
      <c r="I3051" s="5"/>
      <c r="J3051" s="5" t="s">
        <v>1290</v>
      </c>
      <c r="K3051" s="5" t="s">
        <v>1291</v>
      </c>
      <c r="L3051" s="5" t="s">
        <v>1292</v>
      </c>
      <c r="M3051" s="5" t="s">
        <v>97</v>
      </c>
      <c r="N3051" s="5" t="s">
        <v>284</v>
      </c>
      <c r="O3051" s="5" t="s">
        <v>1170</v>
      </c>
      <c r="P3051" s="5"/>
      <c r="Q3051" s="5" t="s">
        <v>1293</v>
      </c>
    </row>
    <row r="3052" spans="2:17" x14ac:dyDescent="0.2">
      <c r="B3052" s="5" t="s">
        <v>1164</v>
      </c>
      <c r="C3052" s="6" t="s">
        <v>13587</v>
      </c>
      <c r="D3052" s="4">
        <v>393</v>
      </c>
      <c r="E3052" s="5" t="s">
        <v>32</v>
      </c>
      <c r="F3052" s="5" t="s">
        <v>1301</v>
      </c>
      <c r="G3052" s="6" t="s">
        <v>14</v>
      </c>
      <c r="H3052" s="4">
        <v>136</v>
      </c>
      <c r="I3052" s="5" t="s">
        <v>22</v>
      </c>
      <c r="J3052" s="5" t="s">
        <v>1322</v>
      </c>
      <c r="K3052" s="5" t="s">
        <v>1295</v>
      </c>
      <c r="L3052" s="5" t="s">
        <v>1323</v>
      </c>
      <c r="M3052" s="5" t="s">
        <v>291</v>
      </c>
      <c r="N3052" s="5" t="s">
        <v>284</v>
      </c>
      <c r="O3052" s="5" t="s">
        <v>1167</v>
      </c>
      <c r="P3052" s="5"/>
      <c r="Q3052" s="5" t="s">
        <v>1324</v>
      </c>
    </row>
    <row r="3053" spans="2:17" x14ac:dyDescent="0.2">
      <c r="B3053" s="5" t="s">
        <v>1164</v>
      </c>
      <c r="C3053" s="6" t="s">
        <v>13587</v>
      </c>
      <c r="D3053" s="4">
        <v>394</v>
      </c>
      <c r="E3053" s="5" t="s">
        <v>24</v>
      </c>
      <c r="F3053" s="5" t="s">
        <v>1287</v>
      </c>
      <c r="G3053" s="6" t="s">
        <v>14</v>
      </c>
      <c r="H3053" s="4">
        <v>137</v>
      </c>
      <c r="I3053" s="5"/>
      <c r="J3053" s="5" t="s">
        <v>1294</v>
      </c>
      <c r="K3053" s="5" t="s">
        <v>1295</v>
      </c>
      <c r="L3053" s="5" t="s">
        <v>1296</v>
      </c>
      <c r="M3053" s="5" t="s">
        <v>97</v>
      </c>
      <c r="N3053" s="5" t="s">
        <v>284</v>
      </c>
      <c r="O3053" s="5" t="s">
        <v>1167</v>
      </c>
      <c r="P3053" s="5"/>
      <c r="Q3053" s="5" t="s">
        <v>1297</v>
      </c>
    </row>
    <row r="3054" spans="2:17" x14ac:dyDescent="0.2">
      <c r="B3054" s="5" t="s">
        <v>1164</v>
      </c>
      <c r="C3054" s="6" t="s">
        <v>13587</v>
      </c>
      <c r="D3054" s="4">
        <v>395</v>
      </c>
      <c r="E3054" s="5" t="s">
        <v>32</v>
      </c>
      <c r="F3054" s="5" t="s">
        <v>1301</v>
      </c>
      <c r="G3054" s="6" t="s">
        <v>14</v>
      </c>
      <c r="H3054" s="4">
        <v>138</v>
      </c>
      <c r="I3054" s="5" t="s">
        <v>22</v>
      </c>
      <c r="J3054" s="5" t="s">
        <v>1302</v>
      </c>
      <c r="K3054" s="5" t="s">
        <v>1303</v>
      </c>
      <c r="L3054" s="5" t="s">
        <v>1304</v>
      </c>
      <c r="M3054" s="5" t="s">
        <v>291</v>
      </c>
      <c r="N3054" s="5" t="s">
        <v>284</v>
      </c>
      <c r="O3054" s="5" t="s">
        <v>1305</v>
      </c>
      <c r="P3054" s="5"/>
      <c r="Q3054" s="5" t="s">
        <v>1306</v>
      </c>
    </row>
    <row r="3055" spans="2:17" x14ac:dyDescent="0.2">
      <c r="B3055" s="5" t="s">
        <v>1164</v>
      </c>
      <c r="C3055" s="6" t="s">
        <v>13587</v>
      </c>
      <c r="D3055" s="4">
        <v>396</v>
      </c>
      <c r="E3055" s="5" t="s">
        <v>32</v>
      </c>
      <c r="F3055" s="5" t="s">
        <v>1301</v>
      </c>
      <c r="G3055" s="6" t="s">
        <v>14</v>
      </c>
      <c r="H3055" s="4">
        <v>139</v>
      </c>
      <c r="I3055" s="5" t="s">
        <v>22</v>
      </c>
      <c r="J3055" s="5" t="s">
        <v>1307</v>
      </c>
      <c r="K3055" s="5" t="s">
        <v>1181</v>
      </c>
      <c r="L3055" s="5" t="s">
        <v>1308</v>
      </c>
      <c r="M3055" s="5" t="s">
        <v>291</v>
      </c>
      <c r="N3055" s="5" t="s">
        <v>284</v>
      </c>
      <c r="O3055" s="5" t="s">
        <v>1182</v>
      </c>
      <c r="P3055" s="5"/>
      <c r="Q3055" s="5" t="s">
        <v>1309</v>
      </c>
    </row>
    <row r="3056" spans="2:17" x14ac:dyDescent="0.2">
      <c r="B3056" s="5" t="s">
        <v>1164</v>
      </c>
      <c r="C3056" s="6" t="s">
        <v>13587</v>
      </c>
      <c r="D3056" s="4">
        <v>397</v>
      </c>
      <c r="E3056" s="5" t="s">
        <v>32</v>
      </c>
      <c r="F3056" s="5" t="s">
        <v>1301</v>
      </c>
      <c r="G3056" s="6" t="s">
        <v>14</v>
      </c>
      <c r="H3056" s="4">
        <v>140</v>
      </c>
      <c r="I3056" s="5" t="s">
        <v>22</v>
      </c>
      <c r="J3056" s="5" t="s">
        <v>1310</v>
      </c>
      <c r="K3056" s="5" t="s">
        <v>1181</v>
      </c>
      <c r="L3056" s="5" t="s">
        <v>1308</v>
      </c>
      <c r="M3056" s="5" t="s">
        <v>291</v>
      </c>
      <c r="N3056" s="5" t="s">
        <v>284</v>
      </c>
      <c r="O3056" s="5" t="s">
        <v>1182</v>
      </c>
      <c r="P3056" s="5"/>
      <c r="Q3056" s="5" t="s">
        <v>1311</v>
      </c>
    </row>
    <row r="3057" spans="2:17" x14ac:dyDescent="0.2">
      <c r="B3057" s="5" t="s">
        <v>1164</v>
      </c>
      <c r="C3057" s="6" t="s">
        <v>13587</v>
      </c>
      <c r="D3057" s="4">
        <v>400</v>
      </c>
      <c r="E3057" s="5" t="s">
        <v>32</v>
      </c>
      <c r="F3057" s="5" t="s">
        <v>1301</v>
      </c>
      <c r="G3057" s="6" t="s">
        <v>14</v>
      </c>
      <c r="H3057" s="4">
        <v>141</v>
      </c>
      <c r="I3057" s="5" t="s">
        <v>22</v>
      </c>
      <c r="J3057" s="5" t="s">
        <v>1325</v>
      </c>
      <c r="K3057" s="5" t="s">
        <v>1326</v>
      </c>
      <c r="L3057" s="5" t="s">
        <v>1327</v>
      </c>
      <c r="M3057" s="5" t="s">
        <v>291</v>
      </c>
      <c r="N3057" s="5" t="s">
        <v>284</v>
      </c>
      <c r="O3057" s="5" t="s">
        <v>1170</v>
      </c>
      <c r="P3057" s="5"/>
      <c r="Q3057" s="5" t="s">
        <v>1328</v>
      </c>
    </row>
    <row r="3058" spans="2:17" x14ac:dyDescent="0.2">
      <c r="B3058" s="5" t="s">
        <v>1164</v>
      </c>
      <c r="C3058" s="6" t="s">
        <v>13587</v>
      </c>
      <c r="D3058" s="4">
        <v>401</v>
      </c>
      <c r="E3058" s="5" t="s">
        <v>32</v>
      </c>
      <c r="F3058" s="5" t="s">
        <v>1301</v>
      </c>
      <c r="G3058" s="6" t="s">
        <v>14</v>
      </c>
      <c r="H3058" s="4">
        <v>142</v>
      </c>
      <c r="I3058" s="5" t="s">
        <v>22</v>
      </c>
      <c r="J3058" s="5" t="s">
        <v>1329</v>
      </c>
      <c r="K3058" s="5" t="s">
        <v>1330</v>
      </c>
      <c r="L3058" s="5" t="s">
        <v>1331</v>
      </c>
      <c r="M3058" s="5" t="s">
        <v>291</v>
      </c>
      <c r="N3058" s="5" t="s">
        <v>284</v>
      </c>
      <c r="O3058" s="5" t="s">
        <v>1170</v>
      </c>
      <c r="P3058" s="5"/>
      <c r="Q3058" s="5" t="s">
        <v>1332</v>
      </c>
    </row>
    <row r="3059" spans="2:17" x14ac:dyDescent="0.2">
      <c r="B3059" s="5" t="s">
        <v>1164</v>
      </c>
      <c r="C3059" s="6" t="s">
        <v>13587</v>
      </c>
      <c r="D3059" s="4">
        <v>402</v>
      </c>
      <c r="E3059" s="5" t="s">
        <v>32</v>
      </c>
      <c r="F3059" s="5" t="s">
        <v>1301</v>
      </c>
      <c r="G3059" s="6" t="s">
        <v>14</v>
      </c>
      <c r="H3059" s="4">
        <v>143</v>
      </c>
      <c r="I3059" s="5" t="s">
        <v>22</v>
      </c>
      <c r="J3059" s="5" t="s">
        <v>1333</v>
      </c>
      <c r="K3059" s="5" t="s">
        <v>1240</v>
      </c>
      <c r="L3059" s="5" t="s">
        <v>1334</v>
      </c>
      <c r="M3059" s="5" t="s">
        <v>291</v>
      </c>
      <c r="N3059" s="5" t="s">
        <v>284</v>
      </c>
      <c r="O3059" s="5" t="s">
        <v>1167</v>
      </c>
      <c r="P3059" s="5"/>
      <c r="Q3059" s="5" t="s">
        <v>1335</v>
      </c>
    </row>
    <row r="3060" spans="2:17" x14ac:dyDescent="0.2">
      <c r="B3060" s="5" t="s">
        <v>1164</v>
      </c>
      <c r="C3060" s="6" t="s">
        <v>13587</v>
      </c>
      <c r="D3060" s="4">
        <v>406</v>
      </c>
      <c r="E3060" s="5" t="s">
        <v>32</v>
      </c>
      <c r="F3060" s="5" t="s">
        <v>1265</v>
      </c>
      <c r="G3060" s="6" t="s">
        <v>14</v>
      </c>
      <c r="H3060" s="4">
        <v>144</v>
      </c>
      <c r="I3060" s="5" t="s">
        <v>22</v>
      </c>
      <c r="J3060" s="5" t="s">
        <v>1266</v>
      </c>
      <c r="K3060" s="5" t="s">
        <v>1267</v>
      </c>
      <c r="L3060" s="5" t="s">
        <v>1268</v>
      </c>
      <c r="M3060" s="5" t="s">
        <v>1269</v>
      </c>
      <c r="N3060" s="5" t="s">
        <v>1258</v>
      </c>
      <c r="O3060" s="5" t="s">
        <v>1167</v>
      </c>
      <c r="P3060" s="5"/>
      <c r="Q3060" s="5" t="s">
        <v>1270</v>
      </c>
    </row>
    <row r="3061" spans="2:17" x14ac:dyDescent="0.2">
      <c r="B3061" s="5" t="s">
        <v>1164</v>
      </c>
      <c r="C3061" s="6" t="s">
        <v>13587</v>
      </c>
      <c r="D3061" s="4">
        <v>409</v>
      </c>
      <c r="E3061" s="5" t="s">
        <v>32</v>
      </c>
      <c r="F3061" s="5" t="s">
        <v>1271</v>
      </c>
      <c r="G3061" s="6" t="s">
        <v>14</v>
      </c>
      <c r="H3061" s="4">
        <v>145</v>
      </c>
      <c r="I3061" s="5" t="s">
        <v>22</v>
      </c>
      <c r="J3061" s="5" t="s">
        <v>1178</v>
      </c>
      <c r="K3061" s="5" t="s">
        <v>1272</v>
      </c>
      <c r="L3061" s="5"/>
      <c r="M3061" s="5" t="s">
        <v>1269</v>
      </c>
      <c r="N3061" s="5" t="s">
        <v>1258</v>
      </c>
      <c r="O3061" s="5" t="s">
        <v>1167</v>
      </c>
      <c r="P3061" s="5"/>
      <c r="Q3061" s="5" t="s">
        <v>1273</v>
      </c>
    </row>
    <row r="3062" spans="2:17" x14ac:dyDescent="0.2">
      <c r="B3062" s="5" t="s">
        <v>1164</v>
      </c>
      <c r="C3062" s="6" t="s">
        <v>13587</v>
      </c>
      <c r="D3062" s="4">
        <v>415</v>
      </c>
      <c r="E3062" s="5" t="s">
        <v>35</v>
      </c>
      <c r="F3062" s="5" t="s">
        <v>1228</v>
      </c>
      <c r="G3062" s="6" t="s">
        <v>14</v>
      </c>
      <c r="H3062" s="4">
        <v>146</v>
      </c>
      <c r="I3062" s="5"/>
      <c r="J3062" s="5" t="s">
        <v>1229</v>
      </c>
      <c r="K3062" s="5" t="s">
        <v>1194</v>
      </c>
      <c r="L3062" s="5"/>
      <c r="M3062" s="5" t="s">
        <v>1230</v>
      </c>
      <c r="N3062" s="5" t="s">
        <v>1230</v>
      </c>
      <c r="O3062" s="5" t="s">
        <v>1170</v>
      </c>
      <c r="P3062" s="5"/>
      <c r="Q3062" s="5" t="s">
        <v>1231</v>
      </c>
    </row>
    <row r="3063" spans="2:17" x14ac:dyDescent="0.2">
      <c r="B3063" s="5" t="s">
        <v>1164</v>
      </c>
      <c r="C3063" s="6" t="s">
        <v>13587</v>
      </c>
      <c r="D3063" s="4">
        <v>417</v>
      </c>
      <c r="E3063" s="5" t="s">
        <v>13</v>
      </c>
      <c r="F3063" s="5" t="s">
        <v>1220</v>
      </c>
      <c r="G3063" s="6" t="s">
        <v>14</v>
      </c>
      <c r="H3063" s="4">
        <v>147</v>
      </c>
      <c r="I3063" s="5"/>
      <c r="J3063" s="5" t="s">
        <v>1221</v>
      </c>
      <c r="K3063" s="5" t="s">
        <v>1188</v>
      </c>
      <c r="L3063" s="5"/>
      <c r="M3063" s="5" t="s">
        <v>1222</v>
      </c>
      <c r="N3063" s="5" t="s">
        <v>1222</v>
      </c>
      <c r="O3063" s="5" t="s">
        <v>1167</v>
      </c>
      <c r="P3063" s="5"/>
      <c r="Q3063" s="5" t="s">
        <v>1223</v>
      </c>
    </row>
    <row r="3064" spans="2:17" x14ac:dyDescent="0.2">
      <c r="B3064" s="5" t="s">
        <v>1164</v>
      </c>
      <c r="C3064" s="6" t="s">
        <v>13587</v>
      </c>
      <c r="D3064" s="4">
        <v>418</v>
      </c>
      <c r="E3064" s="5" t="s">
        <v>20</v>
      </c>
      <c r="F3064" s="5" t="s">
        <v>1232</v>
      </c>
      <c r="G3064" s="6" t="s">
        <v>14</v>
      </c>
      <c r="H3064" s="4">
        <v>148</v>
      </c>
      <c r="I3064" s="5" t="s">
        <v>22</v>
      </c>
      <c r="J3064" s="5" t="s">
        <v>1233</v>
      </c>
      <c r="K3064" s="5" t="s">
        <v>1234</v>
      </c>
      <c r="L3064" s="5" t="s">
        <v>1235</v>
      </c>
      <c r="M3064" s="5" t="s">
        <v>1236</v>
      </c>
      <c r="N3064" s="5" t="s">
        <v>1222</v>
      </c>
      <c r="O3064" s="5" t="s">
        <v>1170</v>
      </c>
      <c r="P3064" s="5"/>
      <c r="Q3064" s="5" t="s">
        <v>1237</v>
      </c>
    </row>
    <row r="3065" spans="2:17" x14ac:dyDescent="0.2">
      <c r="B3065" s="5" t="s">
        <v>1164</v>
      </c>
      <c r="C3065" s="6" t="s">
        <v>13587</v>
      </c>
      <c r="D3065" s="4">
        <v>422</v>
      </c>
      <c r="E3065" s="5" t="s">
        <v>13</v>
      </c>
      <c r="F3065" s="5" t="s">
        <v>1514</v>
      </c>
      <c r="G3065" s="6" t="s">
        <v>14</v>
      </c>
      <c r="H3065" s="4">
        <v>149</v>
      </c>
      <c r="I3065" s="5"/>
      <c r="J3065" s="5" t="s">
        <v>1515</v>
      </c>
      <c r="K3065" s="5" t="s">
        <v>1376</v>
      </c>
      <c r="L3065" s="5"/>
      <c r="M3065" s="5" t="s">
        <v>400</v>
      </c>
      <c r="N3065" s="5" t="s">
        <v>400</v>
      </c>
      <c r="O3065" s="5" t="s">
        <v>1180</v>
      </c>
      <c r="P3065" s="5"/>
      <c r="Q3065" s="5" t="s">
        <v>1516</v>
      </c>
    </row>
    <row r="3066" spans="2:17" x14ac:dyDescent="0.2">
      <c r="B3066" s="5" t="s">
        <v>1164</v>
      </c>
      <c r="C3066" s="6" t="s">
        <v>13587</v>
      </c>
      <c r="D3066" s="4">
        <v>428</v>
      </c>
      <c r="E3066" s="5" t="s">
        <v>82</v>
      </c>
      <c r="F3066" s="5" t="s">
        <v>1656</v>
      </c>
      <c r="G3066" s="6" t="s">
        <v>14</v>
      </c>
      <c r="H3066" s="4">
        <v>150</v>
      </c>
      <c r="I3066" s="5"/>
      <c r="J3066" s="5" t="s">
        <v>1657</v>
      </c>
      <c r="K3066" s="5" t="s">
        <v>1184</v>
      </c>
      <c r="L3066" s="5"/>
      <c r="M3066" s="5" t="s">
        <v>1062</v>
      </c>
      <c r="N3066" s="5" t="s">
        <v>1658</v>
      </c>
      <c r="O3066" s="5" t="s">
        <v>1166</v>
      </c>
      <c r="P3066" s="5"/>
      <c r="Q3066" s="5" t="s">
        <v>1659</v>
      </c>
    </row>
    <row r="3067" spans="2:17" x14ac:dyDescent="0.2">
      <c r="B3067" s="5" t="s">
        <v>1164</v>
      </c>
      <c r="C3067" s="6" t="s">
        <v>13587</v>
      </c>
      <c r="D3067" s="4">
        <v>433</v>
      </c>
      <c r="E3067" s="5" t="s">
        <v>24</v>
      </c>
      <c r="F3067" s="5" t="s">
        <v>1502</v>
      </c>
      <c r="G3067" s="6" t="s">
        <v>14</v>
      </c>
      <c r="H3067" s="4">
        <v>151</v>
      </c>
      <c r="I3067" s="5"/>
      <c r="J3067" s="5" t="s">
        <v>1503</v>
      </c>
      <c r="K3067" s="5" t="s">
        <v>1504</v>
      </c>
      <c r="L3067" s="5" t="s">
        <v>1505</v>
      </c>
      <c r="M3067" s="5" t="s">
        <v>122</v>
      </c>
      <c r="N3067" s="5" t="s">
        <v>366</v>
      </c>
      <c r="O3067" s="5" t="s">
        <v>1180</v>
      </c>
      <c r="P3067" s="5"/>
      <c r="Q3067" s="5" t="s">
        <v>1506</v>
      </c>
    </row>
    <row r="3068" spans="2:17" x14ac:dyDescent="0.2">
      <c r="B3068" s="5" t="s">
        <v>1164</v>
      </c>
      <c r="C3068" s="6" t="s">
        <v>13587</v>
      </c>
      <c r="D3068" s="4">
        <v>435</v>
      </c>
      <c r="E3068" s="5" t="s">
        <v>35</v>
      </c>
      <c r="F3068" s="5" t="s">
        <v>1499</v>
      </c>
      <c r="G3068" s="6" t="s">
        <v>14</v>
      </c>
      <c r="H3068" s="4">
        <v>152</v>
      </c>
      <c r="I3068" s="5"/>
      <c r="J3068" s="5" t="s">
        <v>1500</v>
      </c>
      <c r="K3068" s="5" t="s">
        <v>1376</v>
      </c>
      <c r="L3068" s="5"/>
      <c r="M3068" s="5" t="s">
        <v>366</v>
      </c>
      <c r="N3068" s="5" t="s">
        <v>362</v>
      </c>
      <c r="O3068" s="5" t="s">
        <v>1180</v>
      </c>
      <c r="P3068" s="5"/>
      <c r="Q3068" s="5" t="s">
        <v>1501</v>
      </c>
    </row>
    <row r="3069" spans="2:17" x14ac:dyDescent="0.2">
      <c r="B3069" s="5" t="s">
        <v>1164</v>
      </c>
      <c r="C3069" s="6" t="s">
        <v>13587</v>
      </c>
      <c r="D3069" s="4">
        <v>437</v>
      </c>
      <c r="E3069" s="5" t="s">
        <v>24</v>
      </c>
      <c r="F3069" s="5" t="s">
        <v>1482</v>
      </c>
      <c r="G3069" s="6" t="s">
        <v>14</v>
      </c>
      <c r="H3069" s="4">
        <v>153</v>
      </c>
      <c r="I3069" s="5"/>
      <c r="J3069" s="5" t="s">
        <v>1483</v>
      </c>
      <c r="K3069" s="5" t="s">
        <v>1484</v>
      </c>
      <c r="L3069" s="5" t="s">
        <v>1485</v>
      </c>
      <c r="M3069" s="5" t="s">
        <v>362</v>
      </c>
      <c r="N3069" s="5" t="s">
        <v>351</v>
      </c>
      <c r="O3069" s="5" t="s">
        <v>1166</v>
      </c>
      <c r="P3069" s="5"/>
      <c r="Q3069" s="5" t="s">
        <v>1486</v>
      </c>
    </row>
    <row r="3070" spans="2:17" x14ac:dyDescent="0.2">
      <c r="B3070" s="5" t="s">
        <v>1164</v>
      </c>
      <c r="C3070" s="6" t="s">
        <v>13587</v>
      </c>
      <c r="D3070" s="4">
        <v>438</v>
      </c>
      <c r="E3070" s="5" t="s">
        <v>24</v>
      </c>
      <c r="F3070" s="5" t="s">
        <v>1482</v>
      </c>
      <c r="G3070" s="6" t="s">
        <v>14</v>
      </c>
      <c r="H3070" s="4">
        <v>154</v>
      </c>
      <c r="I3070" s="5"/>
      <c r="J3070" s="5" t="s">
        <v>1487</v>
      </c>
      <c r="K3070" s="5" t="s">
        <v>1184</v>
      </c>
      <c r="L3070" s="5" t="s">
        <v>1488</v>
      </c>
      <c r="M3070" s="5" t="s">
        <v>362</v>
      </c>
      <c r="N3070" s="5" t="s">
        <v>351</v>
      </c>
      <c r="O3070" s="5" t="s">
        <v>1166</v>
      </c>
      <c r="P3070" s="5"/>
      <c r="Q3070" s="5" t="s">
        <v>1489</v>
      </c>
    </row>
    <row r="3071" spans="2:17" x14ac:dyDescent="0.2">
      <c r="B3071" s="5" t="s">
        <v>1164</v>
      </c>
      <c r="C3071" s="6" t="s">
        <v>13587</v>
      </c>
      <c r="D3071" s="4">
        <v>439</v>
      </c>
      <c r="E3071" s="5" t="s">
        <v>24</v>
      </c>
      <c r="F3071" s="5" t="s">
        <v>1482</v>
      </c>
      <c r="G3071" s="6" t="s">
        <v>14</v>
      </c>
      <c r="H3071" s="4">
        <v>155</v>
      </c>
      <c r="I3071" s="5"/>
      <c r="J3071" s="5" t="s">
        <v>1490</v>
      </c>
      <c r="K3071" s="5" t="s">
        <v>1184</v>
      </c>
      <c r="L3071" s="5" t="s">
        <v>1491</v>
      </c>
      <c r="M3071" s="5" t="s">
        <v>362</v>
      </c>
      <c r="N3071" s="5" t="s">
        <v>351</v>
      </c>
      <c r="O3071" s="5" t="s">
        <v>1166</v>
      </c>
      <c r="P3071" s="5"/>
      <c r="Q3071" s="5" t="s">
        <v>1492</v>
      </c>
    </row>
    <row r="3072" spans="2:17" x14ac:dyDescent="0.2">
      <c r="B3072" s="5" t="s">
        <v>1164</v>
      </c>
      <c r="C3072" s="6" t="s">
        <v>13587</v>
      </c>
      <c r="D3072" s="4">
        <v>440</v>
      </c>
      <c r="E3072" s="5" t="s">
        <v>24</v>
      </c>
      <c r="F3072" s="5" t="s">
        <v>1482</v>
      </c>
      <c r="G3072" s="6" t="s">
        <v>14</v>
      </c>
      <c r="H3072" s="4">
        <v>156</v>
      </c>
      <c r="I3072" s="5"/>
      <c r="J3072" s="5" t="s">
        <v>1493</v>
      </c>
      <c r="K3072" s="5" t="s">
        <v>1452</v>
      </c>
      <c r="L3072" s="5" t="s">
        <v>1494</v>
      </c>
      <c r="M3072" s="5" t="s">
        <v>362</v>
      </c>
      <c r="N3072" s="5" t="s">
        <v>351</v>
      </c>
      <c r="O3072" s="5" t="s">
        <v>1166</v>
      </c>
      <c r="P3072" s="5"/>
      <c r="Q3072" s="5" t="s">
        <v>1495</v>
      </c>
    </row>
    <row r="3073" spans="2:17" x14ac:dyDescent="0.2">
      <c r="B3073" s="5" t="s">
        <v>1164</v>
      </c>
      <c r="C3073" s="6" t="s">
        <v>13587</v>
      </c>
      <c r="D3073" s="4">
        <v>441</v>
      </c>
      <c r="E3073" s="5" t="s">
        <v>24</v>
      </c>
      <c r="F3073" s="5" t="s">
        <v>1482</v>
      </c>
      <c r="G3073" s="6" t="s">
        <v>14</v>
      </c>
      <c r="H3073" s="4">
        <v>157</v>
      </c>
      <c r="I3073" s="5"/>
      <c r="J3073" s="5" t="s">
        <v>1496</v>
      </c>
      <c r="K3073" s="5" t="s">
        <v>1184</v>
      </c>
      <c r="L3073" s="5" t="s">
        <v>1497</v>
      </c>
      <c r="M3073" s="5" t="s">
        <v>362</v>
      </c>
      <c r="N3073" s="5" t="s">
        <v>351</v>
      </c>
      <c r="O3073" s="5" t="s">
        <v>1166</v>
      </c>
      <c r="P3073" s="5"/>
      <c r="Q3073" s="5" t="s">
        <v>1498</v>
      </c>
    </row>
    <row r="3074" spans="2:17" x14ac:dyDescent="0.2">
      <c r="B3074" s="5" t="s">
        <v>1164</v>
      </c>
      <c r="C3074" s="6" t="s">
        <v>13587</v>
      </c>
      <c r="D3074" s="4">
        <v>442</v>
      </c>
      <c r="E3074" s="5" t="s">
        <v>32</v>
      </c>
      <c r="F3074" s="5" t="s">
        <v>1466</v>
      </c>
      <c r="G3074" s="6" t="s">
        <v>14</v>
      </c>
      <c r="H3074" s="4">
        <v>158</v>
      </c>
      <c r="I3074" s="5" t="s">
        <v>22</v>
      </c>
      <c r="J3074" s="5" t="s">
        <v>1467</v>
      </c>
      <c r="K3074" s="5" t="s">
        <v>1468</v>
      </c>
      <c r="L3074" s="5" t="s">
        <v>1469</v>
      </c>
      <c r="M3074" s="5" t="s">
        <v>1470</v>
      </c>
      <c r="N3074" s="5" t="s">
        <v>1470</v>
      </c>
      <c r="O3074" s="5" t="s">
        <v>1180</v>
      </c>
      <c r="P3074" s="5"/>
      <c r="Q3074" s="5" t="s">
        <v>1471</v>
      </c>
    </row>
    <row r="3075" spans="2:17" x14ac:dyDescent="0.2">
      <c r="B3075" s="5" t="s">
        <v>1164</v>
      </c>
      <c r="C3075" s="6" t="s">
        <v>13587</v>
      </c>
      <c r="D3075" s="4">
        <v>443</v>
      </c>
      <c r="E3075" s="5" t="s">
        <v>32</v>
      </c>
      <c r="F3075" s="5" t="s">
        <v>1466</v>
      </c>
      <c r="G3075" s="6" t="s">
        <v>14</v>
      </c>
      <c r="H3075" s="4">
        <v>159</v>
      </c>
      <c r="I3075" s="5" t="s">
        <v>22</v>
      </c>
      <c r="J3075" s="5" t="s">
        <v>1472</v>
      </c>
      <c r="K3075" s="5" t="s">
        <v>1473</v>
      </c>
      <c r="L3075" s="5" t="s">
        <v>1474</v>
      </c>
      <c r="M3075" s="5" t="s">
        <v>1470</v>
      </c>
      <c r="N3075" s="5" t="s">
        <v>1470</v>
      </c>
      <c r="O3075" s="5" t="s">
        <v>1173</v>
      </c>
      <c r="P3075" s="5"/>
      <c r="Q3075" s="5" t="s">
        <v>1475</v>
      </c>
    </row>
    <row r="3076" spans="2:17" x14ac:dyDescent="0.2">
      <c r="B3076" s="5" t="s">
        <v>1164</v>
      </c>
      <c r="C3076" s="6" t="s">
        <v>13587</v>
      </c>
      <c r="D3076" s="4">
        <v>444</v>
      </c>
      <c r="E3076" s="5" t="s">
        <v>24</v>
      </c>
      <c r="F3076" s="5" t="s">
        <v>1476</v>
      </c>
      <c r="G3076" s="6" t="s">
        <v>14</v>
      </c>
      <c r="H3076" s="4">
        <v>160</v>
      </c>
      <c r="I3076" s="5"/>
      <c r="J3076" s="5" t="s">
        <v>1477</v>
      </c>
      <c r="K3076" s="5" t="s">
        <v>1172</v>
      </c>
      <c r="L3076" s="5"/>
      <c r="M3076" s="5" t="s">
        <v>1470</v>
      </c>
      <c r="N3076" s="5" t="s">
        <v>1470</v>
      </c>
      <c r="O3076" s="5" t="s">
        <v>1173</v>
      </c>
      <c r="P3076" s="5"/>
      <c r="Q3076" s="5" t="s">
        <v>1478</v>
      </c>
    </row>
    <row r="3077" spans="2:17" x14ac:dyDescent="0.2">
      <c r="B3077" s="5" t="s">
        <v>1708</v>
      </c>
      <c r="C3077" s="6" t="s">
        <v>13587</v>
      </c>
      <c r="D3077" s="4">
        <v>445</v>
      </c>
      <c r="E3077" s="5" t="s">
        <v>32</v>
      </c>
      <c r="F3077" s="5" t="s">
        <v>1897</v>
      </c>
      <c r="G3077" s="6" t="s">
        <v>14</v>
      </c>
      <c r="H3077" s="4">
        <v>161</v>
      </c>
      <c r="I3077" s="5" t="s">
        <v>22</v>
      </c>
      <c r="J3077" s="5" t="s">
        <v>1898</v>
      </c>
      <c r="K3077" s="5" t="s">
        <v>1872</v>
      </c>
      <c r="L3077" s="5"/>
      <c r="M3077" s="5" t="s">
        <v>1899</v>
      </c>
      <c r="N3077" s="5" t="s">
        <v>506</v>
      </c>
      <c r="O3077" s="5" t="s">
        <v>1855</v>
      </c>
      <c r="P3077" s="5"/>
      <c r="Q3077" s="5" t="s">
        <v>1717</v>
      </c>
    </row>
    <row r="3078" spans="2:17" x14ac:dyDescent="0.2">
      <c r="B3078" s="5" t="s">
        <v>1708</v>
      </c>
      <c r="C3078" s="6" t="s">
        <v>13587</v>
      </c>
      <c r="D3078" s="4">
        <v>454</v>
      </c>
      <c r="E3078" s="5" t="s">
        <v>32</v>
      </c>
      <c r="F3078" s="5" t="s">
        <v>1845</v>
      </c>
      <c r="G3078" s="6" t="s">
        <v>14</v>
      </c>
      <c r="H3078" s="4">
        <v>162</v>
      </c>
      <c r="I3078" s="5" t="s">
        <v>22</v>
      </c>
      <c r="J3078" s="5" t="s">
        <v>1846</v>
      </c>
      <c r="K3078" s="5" t="s">
        <v>1847</v>
      </c>
      <c r="L3078" s="5" t="s">
        <v>1848</v>
      </c>
      <c r="M3078" s="5" t="s">
        <v>1843</v>
      </c>
      <c r="N3078" s="5" t="s">
        <v>1844</v>
      </c>
      <c r="O3078" s="5"/>
      <c r="P3078" s="5"/>
      <c r="Q3078" s="5" t="s">
        <v>1717</v>
      </c>
    </row>
    <row r="3079" spans="2:17" x14ac:dyDescent="0.2">
      <c r="B3079" s="5" t="s">
        <v>1708</v>
      </c>
      <c r="C3079" s="6" t="s">
        <v>13587</v>
      </c>
      <c r="D3079" s="4">
        <v>455</v>
      </c>
      <c r="E3079" s="5" t="s">
        <v>32</v>
      </c>
      <c r="F3079" s="5" t="s">
        <v>1845</v>
      </c>
      <c r="G3079" s="6" t="s">
        <v>14</v>
      </c>
      <c r="H3079" s="4">
        <v>163</v>
      </c>
      <c r="I3079" s="5" t="s">
        <v>38</v>
      </c>
      <c r="J3079" s="5" t="s">
        <v>1849</v>
      </c>
      <c r="K3079" s="5" t="s">
        <v>1847</v>
      </c>
      <c r="L3079" s="5" t="s">
        <v>1850</v>
      </c>
      <c r="M3079" s="5" t="s">
        <v>1843</v>
      </c>
      <c r="N3079" s="5" t="s">
        <v>1844</v>
      </c>
      <c r="O3079" s="5"/>
      <c r="P3079" s="5"/>
      <c r="Q3079" s="5" t="s">
        <v>1717</v>
      </c>
    </row>
    <row r="3080" spans="2:17" x14ac:dyDescent="0.2">
      <c r="B3080" s="5" t="s">
        <v>1708</v>
      </c>
      <c r="C3080" s="6" t="s">
        <v>13587</v>
      </c>
      <c r="D3080" s="4">
        <v>456</v>
      </c>
      <c r="E3080" s="5" t="s">
        <v>32</v>
      </c>
      <c r="F3080" s="5" t="s">
        <v>1851</v>
      </c>
      <c r="G3080" s="6" t="s">
        <v>14</v>
      </c>
      <c r="H3080" s="4">
        <v>164</v>
      </c>
      <c r="I3080" s="5" t="s">
        <v>22</v>
      </c>
      <c r="J3080" s="5" t="s">
        <v>1852</v>
      </c>
      <c r="K3080" s="5" t="s">
        <v>1853</v>
      </c>
      <c r="L3080" s="5" t="s">
        <v>1854</v>
      </c>
      <c r="M3080" s="5" t="s">
        <v>1843</v>
      </c>
      <c r="N3080" s="5" t="s">
        <v>1844</v>
      </c>
      <c r="O3080" s="5" t="s">
        <v>1855</v>
      </c>
      <c r="P3080" s="5"/>
      <c r="Q3080" s="5" t="s">
        <v>1717</v>
      </c>
    </row>
    <row r="3081" spans="2:17" x14ac:dyDescent="0.2">
      <c r="B3081" s="5" t="s">
        <v>1708</v>
      </c>
      <c r="C3081" s="6" t="s">
        <v>13587</v>
      </c>
      <c r="D3081" s="4">
        <v>457</v>
      </c>
      <c r="E3081" s="5" t="s">
        <v>32</v>
      </c>
      <c r="F3081" s="5" t="s">
        <v>1851</v>
      </c>
      <c r="G3081" s="6" t="s">
        <v>14</v>
      </c>
      <c r="H3081" s="4">
        <v>165</v>
      </c>
      <c r="I3081" s="5" t="s">
        <v>22</v>
      </c>
      <c r="J3081" s="5" t="s">
        <v>1856</v>
      </c>
      <c r="K3081" s="5" t="s">
        <v>1853</v>
      </c>
      <c r="L3081" s="5" t="s">
        <v>1857</v>
      </c>
      <c r="M3081" s="5" t="s">
        <v>1843</v>
      </c>
      <c r="N3081" s="5" t="s">
        <v>1844</v>
      </c>
      <c r="O3081" s="5" t="s">
        <v>1855</v>
      </c>
      <c r="P3081" s="5"/>
      <c r="Q3081" s="5" t="s">
        <v>1717</v>
      </c>
    </row>
    <row r="3082" spans="2:17" x14ac:dyDescent="0.2">
      <c r="B3082" s="5" t="s">
        <v>1708</v>
      </c>
      <c r="C3082" s="6" t="s">
        <v>13587</v>
      </c>
      <c r="D3082" s="4">
        <v>458</v>
      </c>
      <c r="E3082" s="5" t="s">
        <v>32</v>
      </c>
      <c r="F3082" s="5" t="s">
        <v>1851</v>
      </c>
      <c r="G3082" s="6" t="s">
        <v>14</v>
      </c>
      <c r="H3082" s="4">
        <v>166</v>
      </c>
      <c r="I3082" s="5" t="s">
        <v>22</v>
      </c>
      <c r="J3082" s="5" t="s">
        <v>1858</v>
      </c>
      <c r="K3082" s="5" t="s">
        <v>1853</v>
      </c>
      <c r="L3082" s="5" t="s">
        <v>1859</v>
      </c>
      <c r="M3082" s="5" t="s">
        <v>1843</v>
      </c>
      <c r="N3082" s="5" t="s">
        <v>1844</v>
      </c>
      <c r="O3082" s="5" t="s">
        <v>1855</v>
      </c>
      <c r="P3082" s="5"/>
      <c r="Q3082" s="5" t="s">
        <v>1717</v>
      </c>
    </row>
    <row r="3083" spans="2:17" x14ac:dyDescent="0.2">
      <c r="B3083" s="5" t="s">
        <v>1708</v>
      </c>
      <c r="C3083" s="6" t="s">
        <v>13587</v>
      </c>
      <c r="D3083" s="4">
        <v>459</v>
      </c>
      <c r="E3083" s="5" t="s">
        <v>32</v>
      </c>
      <c r="F3083" s="5" t="s">
        <v>1851</v>
      </c>
      <c r="G3083" s="6" t="s">
        <v>14</v>
      </c>
      <c r="H3083" s="4">
        <v>167</v>
      </c>
      <c r="I3083" s="5" t="s">
        <v>22</v>
      </c>
      <c r="J3083" s="5" t="s">
        <v>1860</v>
      </c>
      <c r="K3083" s="5" t="s">
        <v>1853</v>
      </c>
      <c r="L3083" s="5" t="s">
        <v>1861</v>
      </c>
      <c r="M3083" s="5" t="s">
        <v>1843</v>
      </c>
      <c r="N3083" s="5" t="s">
        <v>1844</v>
      </c>
      <c r="O3083" s="5" t="s">
        <v>1855</v>
      </c>
      <c r="P3083" s="5"/>
      <c r="Q3083" s="5" t="s">
        <v>1717</v>
      </c>
    </row>
    <row r="3084" spans="2:17" x14ac:dyDescent="0.2">
      <c r="B3084" s="5" t="s">
        <v>1708</v>
      </c>
      <c r="C3084" s="6" t="s">
        <v>13587</v>
      </c>
      <c r="D3084" s="4">
        <v>460</v>
      </c>
      <c r="E3084" s="5" t="s">
        <v>32</v>
      </c>
      <c r="F3084" s="5" t="s">
        <v>1851</v>
      </c>
      <c r="G3084" s="6" t="s">
        <v>14</v>
      </c>
      <c r="H3084" s="4">
        <v>168</v>
      </c>
      <c r="I3084" s="5" t="s">
        <v>22</v>
      </c>
      <c r="J3084" s="5" t="s">
        <v>1862</v>
      </c>
      <c r="K3084" s="5" t="s">
        <v>1853</v>
      </c>
      <c r="L3084" s="5" t="s">
        <v>1863</v>
      </c>
      <c r="M3084" s="5" t="s">
        <v>1843</v>
      </c>
      <c r="N3084" s="5" t="s">
        <v>1844</v>
      </c>
      <c r="O3084" s="5" t="s">
        <v>1855</v>
      </c>
      <c r="P3084" s="5"/>
      <c r="Q3084" s="5" t="s">
        <v>1717</v>
      </c>
    </row>
    <row r="3085" spans="2:17" x14ac:dyDescent="0.2">
      <c r="B3085" s="5" t="s">
        <v>1708</v>
      </c>
      <c r="C3085" s="6" t="s">
        <v>13587</v>
      </c>
      <c r="D3085" s="4">
        <v>461</v>
      </c>
      <c r="E3085" s="5" t="s">
        <v>32</v>
      </c>
      <c r="F3085" s="5" t="s">
        <v>1851</v>
      </c>
      <c r="G3085" s="6" t="s">
        <v>14</v>
      </c>
      <c r="H3085" s="4">
        <v>169</v>
      </c>
      <c r="I3085" s="5" t="s">
        <v>22</v>
      </c>
      <c r="J3085" s="5" t="s">
        <v>1864</v>
      </c>
      <c r="K3085" s="5" t="s">
        <v>1853</v>
      </c>
      <c r="L3085" s="5" t="s">
        <v>1865</v>
      </c>
      <c r="M3085" s="5" t="s">
        <v>1843</v>
      </c>
      <c r="N3085" s="5" t="s">
        <v>1844</v>
      </c>
      <c r="O3085" s="5" t="s">
        <v>1855</v>
      </c>
      <c r="P3085" s="5"/>
      <c r="Q3085" s="5" t="s">
        <v>1717</v>
      </c>
    </row>
    <row r="3086" spans="2:17" x14ac:dyDescent="0.2">
      <c r="B3086" s="5" t="s">
        <v>1708</v>
      </c>
      <c r="C3086" s="6" t="s">
        <v>13587</v>
      </c>
      <c r="D3086" s="4">
        <v>462</v>
      </c>
      <c r="E3086" s="5" t="s">
        <v>32</v>
      </c>
      <c r="F3086" s="5" t="s">
        <v>1851</v>
      </c>
      <c r="G3086" s="6" t="s">
        <v>14</v>
      </c>
      <c r="H3086" s="4">
        <v>170</v>
      </c>
      <c r="I3086" s="5" t="s">
        <v>22</v>
      </c>
      <c r="J3086" s="5" t="s">
        <v>1866</v>
      </c>
      <c r="K3086" s="5" t="s">
        <v>1853</v>
      </c>
      <c r="L3086" s="5" t="s">
        <v>1867</v>
      </c>
      <c r="M3086" s="5" t="s">
        <v>1843</v>
      </c>
      <c r="N3086" s="5" t="s">
        <v>1844</v>
      </c>
      <c r="O3086" s="5" t="s">
        <v>1855</v>
      </c>
      <c r="P3086" s="5"/>
      <c r="Q3086" s="5" t="s">
        <v>1717</v>
      </c>
    </row>
    <row r="3087" spans="2:17" x14ac:dyDescent="0.2">
      <c r="B3087" s="5" t="s">
        <v>1708</v>
      </c>
      <c r="C3087" s="6" t="s">
        <v>13587</v>
      </c>
      <c r="D3087" s="4">
        <v>463</v>
      </c>
      <c r="E3087" s="5" t="s">
        <v>32</v>
      </c>
      <c r="F3087" s="5" t="s">
        <v>1851</v>
      </c>
      <c r="G3087" s="6" t="s">
        <v>14</v>
      </c>
      <c r="H3087" s="4">
        <v>171</v>
      </c>
      <c r="I3087" s="5" t="s">
        <v>22</v>
      </c>
      <c r="J3087" s="5" t="s">
        <v>1868</v>
      </c>
      <c r="K3087" s="5" t="s">
        <v>1853</v>
      </c>
      <c r="L3087" s="5" t="s">
        <v>1869</v>
      </c>
      <c r="M3087" s="5" t="s">
        <v>1843</v>
      </c>
      <c r="N3087" s="5" t="s">
        <v>1844</v>
      </c>
      <c r="O3087" s="5" t="s">
        <v>1855</v>
      </c>
      <c r="P3087" s="5"/>
      <c r="Q3087" s="5" t="s">
        <v>1717</v>
      </c>
    </row>
    <row r="3088" spans="2:17" x14ac:dyDescent="0.2">
      <c r="B3088" s="5" t="s">
        <v>1708</v>
      </c>
      <c r="C3088" s="6" t="s">
        <v>13587</v>
      </c>
      <c r="D3088" s="4">
        <v>464</v>
      </c>
      <c r="E3088" s="5" t="s">
        <v>32</v>
      </c>
      <c r="F3088" s="5" t="s">
        <v>1870</v>
      </c>
      <c r="G3088" s="6" t="s">
        <v>14</v>
      </c>
      <c r="H3088" s="4">
        <v>172</v>
      </c>
      <c r="I3088" s="5" t="s">
        <v>22</v>
      </c>
      <c r="J3088" s="5" t="s">
        <v>1871</v>
      </c>
      <c r="K3088" s="5" t="s">
        <v>1872</v>
      </c>
      <c r="L3088" s="5" t="s">
        <v>1873</v>
      </c>
      <c r="M3088" s="5" t="s">
        <v>1843</v>
      </c>
      <c r="N3088" s="5" t="s">
        <v>1844</v>
      </c>
      <c r="O3088" s="5" t="s">
        <v>1855</v>
      </c>
      <c r="P3088" s="5"/>
      <c r="Q3088" s="5" t="s">
        <v>1717</v>
      </c>
    </row>
    <row r="3089" spans="2:17" x14ac:dyDescent="0.2">
      <c r="B3089" s="5" t="s">
        <v>1708</v>
      </c>
      <c r="C3089" s="6" t="s">
        <v>13587</v>
      </c>
      <c r="D3089" s="4">
        <v>465</v>
      </c>
      <c r="E3089" s="5" t="s">
        <v>32</v>
      </c>
      <c r="F3089" s="5" t="s">
        <v>1874</v>
      </c>
      <c r="G3089" s="6" t="s">
        <v>14</v>
      </c>
      <c r="H3089" s="4">
        <v>173</v>
      </c>
      <c r="I3089" s="5" t="s">
        <v>22</v>
      </c>
      <c r="J3089" s="5" t="s">
        <v>1875</v>
      </c>
      <c r="K3089" s="5" t="s">
        <v>1876</v>
      </c>
      <c r="L3089" s="5"/>
      <c r="M3089" s="5" t="s">
        <v>1843</v>
      </c>
      <c r="N3089" s="5" t="s">
        <v>1844</v>
      </c>
      <c r="O3089" s="5" t="s">
        <v>1716</v>
      </c>
      <c r="P3089" s="5"/>
      <c r="Q3089" s="5" t="s">
        <v>1717</v>
      </c>
    </row>
    <row r="3090" spans="2:17" x14ac:dyDescent="0.2">
      <c r="B3090" s="5" t="s">
        <v>1708</v>
      </c>
      <c r="C3090" s="6" t="s">
        <v>13587</v>
      </c>
      <c r="D3090" s="4">
        <v>466</v>
      </c>
      <c r="E3090" s="5" t="s">
        <v>32</v>
      </c>
      <c r="F3090" s="5" t="s">
        <v>1845</v>
      </c>
      <c r="G3090" s="6" t="s">
        <v>14</v>
      </c>
      <c r="H3090" s="4">
        <v>174</v>
      </c>
      <c r="I3090" s="5" t="s">
        <v>22</v>
      </c>
      <c r="J3090" s="5" t="s">
        <v>1877</v>
      </c>
      <c r="K3090" s="5" t="s">
        <v>1878</v>
      </c>
      <c r="L3090" s="5"/>
      <c r="M3090" s="5" t="s">
        <v>1843</v>
      </c>
      <c r="N3090" s="5" t="s">
        <v>1844</v>
      </c>
      <c r="O3090" s="5" t="s">
        <v>1752</v>
      </c>
      <c r="P3090" s="5"/>
      <c r="Q3090" s="5" t="s">
        <v>1717</v>
      </c>
    </row>
    <row r="3091" spans="2:17" x14ac:dyDescent="0.2">
      <c r="B3091" s="5" t="s">
        <v>1708</v>
      </c>
      <c r="C3091" s="6" t="s">
        <v>13587</v>
      </c>
      <c r="D3091" s="4">
        <v>467</v>
      </c>
      <c r="E3091" s="5" t="s">
        <v>32</v>
      </c>
      <c r="F3091" s="5" t="s">
        <v>1845</v>
      </c>
      <c r="G3091" s="6" t="s">
        <v>14</v>
      </c>
      <c r="H3091" s="4">
        <v>175</v>
      </c>
      <c r="I3091" s="5" t="s">
        <v>22</v>
      </c>
      <c r="J3091" s="5" t="s">
        <v>1879</v>
      </c>
      <c r="K3091" s="5" t="s">
        <v>1878</v>
      </c>
      <c r="L3091" s="5"/>
      <c r="M3091" s="5" t="s">
        <v>1843</v>
      </c>
      <c r="N3091" s="5" t="s">
        <v>1844</v>
      </c>
      <c r="O3091" s="5" t="s">
        <v>1752</v>
      </c>
      <c r="P3091" s="5"/>
      <c r="Q3091" s="5" t="s">
        <v>1717</v>
      </c>
    </row>
    <row r="3092" spans="2:17" x14ac:dyDescent="0.2">
      <c r="B3092" s="5" t="s">
        <v>1708</v>
      </c>
      <c r="C3092" s="6" t="s">
        <v>13587</v>
      </c>
      <c r="D3092" s="4">
        <v>468</v>
      </c>
      <c r="E3092" s="5" t="s">
        <v>32</v>
      </c>
      <c r="F3092" s="5" t="s">
        <v>1845</v>
      </c>
      <c r="G3092" s="6" t="s">
        <v>14</v>
      </c>
      <c r="H3092" s="4">
        <v>176</v>
      </c>
      <c r="I3092" s="5" t="s">
        <v>22</v>
      </c>
      <c r="J3092" s="5" t="s">
        <v>1877</v>
      </c>
      <c r="K3092" s="5" t="s">
        <v>1878</v>
      </c>
      <c r="L3092" s="5"/>
      <c r="M3092" s="5" t="s">
        <v>1843</v>
      </c>
      <c r="N3092" s="5" t="s">
        <v>1844</v>
      </c>
      <c r="O3092" s="5" t="s">
        <v>1752</v>
      </c>
      <c r="P3092" s="5"/>
      <c r="Q3092" s="5" t="s">
        <v>1717</v>
      </c>
    </row>
    <row r="3093" spans="2:17" x14ac:dyDescent="0.2">
      <c r="B3093" s="5" t="s">
        <v>1708</v>
      </c>
      <c r="C3093" s="6" t="s">
        <v>13587</v>
      </c>
      <c r="D3093" s="4">
        <v>469</v>
      </c>
      <c r="E3093" s="5" t="s">
        <v>32</v>
      </c>
      <c r="F3093" s="5" t="s">
        <v>1845</v>
      </c>
      <c r="G3093" s="6" t="s">
        <v>14</v>
      </c>
      <c r="H3093" s="4">
        <v>177</v>
      </c>
      <c r="I3093" s="5" t="s">
        <v>22</v>
      </c>
      <c r="J3093" s="5" t="s">
        <v>1879</v>
      </c>
      <c r="K3093" s="5" t="s">
        <v>1878</v>
      </c>
      <c r="L3093" s="5"/>
      <c r="M3093" s="5" t="s">
        <v>1843</v>
      </c>
      <c r="N3093" s="5" t="s">
        <v>1844</v>
      </c>
      <c r="O3093" s="5" t="s">
        <v>1752</v>
      </c>
      <c r="P3093" s="5"/>
      <c r="Q3093" s="5" t="s">
        <v>1717</v>
      </c>
    </row>
    <row r="3094" spans="2:17" x14ac:dyDescent="0.2">
      <c r="B3094" s="5" t="s">
        <v>1708</v>
      </c>
      <c r="C3094" s="6" t="s">
        <v>13587</v>
      </c>
      <c r="D3094" s="4">
        <v>470</v>
      </c>
      <c r="E3094" s="5" t="s">
        <v>32</v>
      </c>
      <c r="F3094" s="5" t="s">
        <v>1845</v>
      </c>
      <c r="G3094" s="6" t="s">
        <v>14</v>
      </c>
      <c r="H3094" s="4">
        <v>178</v>
      </c>
      <c r="I3094" s="5" t="s">
        <v>22</v>
      </c>
      <c r="J3094" s="5" t="s">
        <v>1877</v>
      </c>
      <c r="K3094" s="5" t="s">
        <v>1878</v>
      </c>
      <c r="L3094" s="5"/>
      <c r="M3094" s="5" t="s">
        <v>1843</v>
      </c>
      <c r="N3094" s="5" t="s">
        <v>1844</v>
      </c>
      <c r="O3094" s="5" t="s">
        <v>1752</v>
      </c>
      <c r="P3094" s="5"/>
      <c r="Q3094" s="5" t="s">
        <v>1717</v>
      </c>
    </row>
    <row r="3095" spans="2:17" x14ac:dyDescent="0.2">
      <c r="B3095" s="5" t="s">
        <v>1708</v>
      </c>
      <c r="C3095" s="6" t="s">
        <v>13587</v>
      </c>
      <c r="D3095" s="4">
        <v>471</v>
      </c>
      <c r="E3095" s="5" t="s">
        <v>32</v>
      </c>
      <c r="F3095" s="5" t="s">
        <v>1845</v>
      </c>
      <c r="G3095" s="6" t="s">
        <v>14</v>
      </c>
      <c r="H3095" s="4">
        <v>179</v>
      </c>
      <c r="I3095" s="5" t="s">
        <v>22</v>
      </c>
      <c r="J3095" s="5" t="s">
        <v>1879</v>
      </c>
      <c r="K3095" s="5" t="s">
        <v>1878</v>
      </c>
      <c r="L3095" s="5"/>
      <c r="M3095" s="5" t="s">
        <v>1843</v>
      </c>
      <c r="N3095" s="5" t="s">
        <v>1844</v>
      </c>
      <c r="O3095" s="5" t="s">
        <v>1752</v>
      </c>
      <c r="P3095" s="5"/>
      <c r="Q3095" s="5" t="s">
        <v>1717</v>
      </c>
    </row>
    <row r="3096" spans="2:17" x14ac:dyDescent="0.2">
      <c r="B3096" s="5" t="s">
        <v>1708</v>
      </c>
      <c r="C3096" s="6" t="s">
        <v>13587</v>
      </c>
      <c r="D3096" s="4">
        <v>472</v>
      </c>
      <c r="E3096" s="5" t="s">
        <v>32</v>
      </c>
      <c r="F3096" s="5" t="s">
        <v>1845</v>
      </c>
      <c r="G3096" s="6" t="s">
        <v>14</v>
      </c>
      <c r="H3096" s="4">
        <v>180</v>
      </c>
      <c r="I3096" s="5" t="s">
        <v>22</v>
      </c>
      <c r="J3096" s="5" t="s">
        <v>1877</v>
      </c>
      <c r="K3096" s="5" t="s">
        <v>1878</v>
      </c>
      <c r="L3096" s="5"/>
      <c r="M3096" s="5" t="s">
        <v>1843</v>
      </c>
      <c r="N3096" s="5" t="s">
        <v>1844</v>
      </c>
      <c r="O3096" s="5" t="s">
        <v>1752</v>
      </c>
      <c r="P3096" s="5"/>
      <c r="Q3096" s="5" t="s">
        <v>1717</v>
      </c>
    </row>
    <row r="3097" spans="2:17" x14ac:dyDescent="0.2">
      <c r="B3097" s="5" t="s">
        <v>1708</v>
      </c>
      <c r="C3097" s="6" t="s">
        <v>13587</v>
      </c>
      <c r="D3097" s="4">
        <v>473</v>
      </c>
      <c r="E3097" s="5" t="s">
        <v>32</v>
      </c>
      <c r="F3097" s="5" t="s">
        <v>1845</v>
      </c>
      <c r="G3097" s="6" t="s">
        <v>14</v>
      </c>
      <c r="H3097" s="4">
        <v>181</v>
      </c>
      <c r="I3097" s="5" t="s">
        <v>22</v>
      </c>
      <c r="J3097" s="5" t="s">
        <v>1879</v>
      </c>
      <c r="K3097" s="5" t="s">
        <v>1878</v>
      </c>
      <c r="L3097" s="5"/>
      <c r="M3097" s="5" t="s">
        <v>1843</v>
      </c>
      <c r="N3097" s="5" t="s">
        <v>1844</v>
      </c>
      <c r="O3097" s="5" t="s">
        <v>1752</v>
      </c>
      <c r="P3097" s="5"/>
      <c r="Q3097" s="5" t="s">
        <v>1717</v>
      </c>
    </row>
    <row r="3098" spans="2:17" x14ac:dyDescent="0.2">
      <c r="B3098" s="5" t="s">
        <v>1708</v>
      </c>
      <c r="C3098" s="6" t="s">
        <v>13587</v>
      </c>
      <c r="D3098" s="4">
        <v>474</v>
      </c>
      <c r="E3098" s="5" t="s">
        <v>24</v>
      </c>
      <c r="F3098" s="5" t="s">
        <v>1838</v>
      </c>
      <c r="G3098" s="6" t="s">
        <v>14</v>
      </c>
      <c r="H3098" s="4">
        <v>182</v>
      </c>
      <c r="I3098" s="5" t="s">
        <v>22</v>
      </c>
      <c r="J3098" s="5" t="s">
        <v>1839</v>
      </c>
      <c r="K3098" s="5" t="s">
        <v>1721</v>
      </c>
      <c r="L3098" s="5"/>
      <c r="M3098" s="5" t="s">
        <v>443</v>
      </c>
      <c r="N3098" s="5" t="s">
        <v>443</v>
      </c>
      <c r="O3098" s="5"/>
      <c r="P3098" s="5"/>
      <c r="Q3098" s="5" t="s">
        <v>1717</v>
      </c>
    </row>
    <row r="3099" spans="2:17" x14ac:dyDescent="0.2">
      <c r="B3099" s="5" t="s">
        <v>1708</v>
      </c>
      <c r="C3099" s="6" t="s">
        <v>13587</v>
      </c>
      <c r="D3099" s="4">
        <v>475</v>
      </c>
      <c r="E3099" s="5" t="s">
        <v>24</v>
      </c>
      <c r="F3099" s="5" t="s">
        <v>1836</v>
      </c>
      <c r="G3099" s="6" t="s">
        <v>14</v>
      </c>
      <c r="H3099" s="4">
        <v>183</v>
      </c>
      <c r="I3099" s="5" t="s">
        <v>22</v>
      </c>
      <c r="J3099" s="5" t="s">
        <v>1837</v>
      </c>
      <c r="K3099" s="5" t="s">
        <v>1721</v>
      </c>
      <c r="L3099" s="5"/>
      <c r="M3099" s="5" t="s">
        <v>437</v>
      </c>
      <c r="N3099" s="5" t="s">
        <v>437</v>
      </c>
      <c r="O3099" s="5"/>
      <c r="P3099" s="5"/>
      <c r="Q3099" s="5" t="s">
        <v>1717</v>
      </c>
    </row>
    <row r="3100" spans="2:17" x14ac:dyDescent="0.2">
      <c r="B3100" s="5" t="s">
        <v>1708</v>
      </c>
      <c r="C3100" s="6" t="s">
        <v>13587</v>
      </c>
      <c r="D3100" s="4">
        <v>490</v>
      </c>
      <c r="E3100" s="5" t="s">
        <v>32</v>
      </c>
      <c r="F3100" s="5" t="s">
        <v>1827</v>
      </c>
      <c r="G3100" s="6" t="s">
        <v>14</v>
      </c>
      <c r="H3100" s="4">
        <v>184</v>
      </c>
      <c r="I3100" s="5" t="s">
        <v>22</v>
      </c>
      <c r="J3100" s="5" t="s">
        <v>1763</v>
      </c>
      <c r="K3100" s="5" t="s">
        <v>1764</v>
      </c>
      <c r="L3100" s="5"/>
      <c r="M3100" s="5" t="s">
        <v>1464</v>
      </c>
      <c r="N3100" s="5" t="s">
        <v>148</v>
      </c>
      <c r="O3100" s="5" t="s">
        <v>1716</v>
      </c>
      <c r="P3100" s="5"/>
      <c r="Q3100" s="5" t="s">
        <v>1717</v>
      </c>
    </row>
    <row r="3101" spans="2:17" x14ac:dyDescent="0.2">
      <c r="B3101" s="5" t="s">
        <v>1708</v>
      </c>
      <c r="C3101" s="6" t="s">
        <v>13587</v>
      </c>
      <c r="D3101" s="4">
        <v>491</v>
      </c>
      <c r="E3101" s="5" t="s">
        <v>15</v>
      </c>
      <c r="F3101" s="5" t="s">
        <v>1791</v>
      </c>
      <c r="G3101" s="6" t="s">
        <v>14</v>
      </c>
      <c r="H3101" s="4">
        <v>185</v>
      </c>
      <c r="I3101" s="5" t="s">
        <v>22</v>
      </c>
      <c r="J3101" s="5" t="s">
        <v>1792</v>
      </c>
      <c r="K3101" s="5" t="s">
        <v>1721</v>
      </c>
      <c r="L3101" s="5"/>
      <c r="M3101" s="5" t="s">
        <v>1415</v>
      </c>
      <c r="N3101" s="5" t="s">
        <v>1416</v>
      </c>
      <c r="O3101" s="5"/>
      <c r="P3101" s="5"/>
      <c r="Q3101" s="5" t="s">
        <v>1717</v>
      </c>
    </row>
    <row r="3102" spans="2:17" x14ac:dyDescent="0.2">
      <c r="B3102" s="5" t="s">
        <v>1708</v>
      </c>
      <c r="C3102" s="6" t="s">
        <v>13587</v>
      </c>
      <c r="D3102" s="4">
        <v>492</v>
      </c>
      <c r="E3102" s="5" t="s">
        <v>15</v>
      </c>
      <c r="F3102" s="5" t="s">
        <v>1791</v>
      </c>
      <c r="G3102" s="6" t="s">
        <v>14</v>
      </c>
      <c r="H3102" s="4">
        <v>186</v>
      </c>
      <c r="I3102" s="5" t="s">
        <v>38</v>
      </c>
      <c r="J3102" s="5" t="s">
        <v>1793</v>
      </c>
      <c r="K3102" s="5" t="s">
        <v>1721</v>
      </c>
      <c r="L3102" s="5" t="s">
        <v>1794</v>
      </c>
      <c r="M3102" s="5" t="s">
        <v>1415</v>
      </c>
      <c r="N3102" s="5" t="s">
        <v>1416</v>
      </c>
      <c r="O3102" s="5"/>
      <c r="P3102" s="5"/>
      <c r="Q3102" s="5" t="s">
        <v>1717</v>
      </c>
    </row>
    <row r="3103" spans="2:17" x14ac:dyDescent="0.2">
      <c r="B3103" s="5" t="s">
        <v>1708</v>
      </c>
      <c r="C3103" s="6" t="s">
        <v>13587</v>
      </c>
      <c r="D3103" s="4">
        <v>493</v>
      </c>
      <c r="E3103" s="5" t="s">
        <v>15</v>
      </c>
      <c r="F3103" s="5" t="s">
        <v>1795</v>
      </c>
      <c r="G3103" s="6" t="s">
        <v>14</v>
      </c>
      <c r="H3103" s="4">
        <v>187</v>
      </c>
      <c r="I3103" s="5" t="s">
        <v>22</v>
      </c>
      <c r="J3103" s="5" t="s">
        <v>1796</v>
      </c>
      <c r="K3103" s="5" t="s">
        <v>1711</v>
      </c>
      <c r="L3103" s="5" t="s">
        <v>1790</v>
      </c>
      <c r="M3103" s="5" t="s">
        <v>1415</v>
      </c>
      <c r="N3103" s="5" t="s">
        <v>1416</v>
      </c>
      <c r="O3103" s="5"/>
      <c r="P3103" s="5"/>
      <c r="Q3103" s="5" t="s">
        <v>1717</v>
      </c>
    </row>
    <row r="3104" spans="2:17" x14ac:dyDescent="0.2">
      <c r="B3104" s="5" t="s">
        <v>1708</v>
      </c>
      <c r="C3104" s="6" t="s">
        <v>13587</v>
      </c>
      <c r="D3104" s="4">
        <v>494</v>
      </c>
      <c r="E3104" s="5" t="s">
        <v>24</v>
      </c>
      <c r="F3104" s="5" t="s">
        <v>1788</v>
      </c>
      <c r="G3104" s="6" t="s">
        <v>14</v>
      </c>
      <c r="H3104" s="4">
        <v>188</v>
      </c>
      <c r="I3104" s="5" t="s">
        <v>38</v>
      </c>
      <c r="J3104" s="5" t="s">
        <v>1739</v>
      </c>
      <c r="K3104" s="5" t="s">
        <v>1711</v>
      </c>
      <c r="L3104" s="5" t="s">
        <v>1740</v>
      </c>
      <c r="M3104" s="5" t="s">
        <v>331</v>
      </c>
      <c r="N3104" s="5" t="s">
        <v>331</v>
      </c>
      <c r="O3104" s="5" t="s">
        <v>1709</v>
      </c>
      <c r="P3104" s="5"/>
      <c r="Q3104" s="5" t="s">
        <v>1717</v>
      </c>
    </row>
    <row r="3105" spans="2:17" x14ac:dyDescent="0.2">
      <c r="B3105" s="5" t="s">
        <v>1708</v>
      </c>
      <c r="C3105" s="6" t="s">
        <v>13587</v>
      </c>
      <c r="D3105" s="4">
        <v>495</v>
      </c>
      <c r="E3105" s="5" t="s">
        <v>24</v>
      </c>
      <c r="F3105" s="5" t="s">
        <v>1788</v>
      </c>
      <c r="G3105" s="6" t="s">
        <v>14</v>
      </c>
      <c r="H3105" s="4">
        <v>189</v>
      </c>
      <c r="I3105" s="5" t="s">
        <v>38</v>
      </c>
      <c r="J3105" s="5" t="s">
        <v>1789</v>
      </c>
      <c r="K3105" s="5" t="s">
        <v>1711</v>
      </c>
      <c r="L3105" s="5" t="s">
        <v>1790</v>
      </c>
      <c r="M3105" s="5" t="s">
        <v>1365</v>
      </c>
      <c r="N3105" s="5" t="s">
        <v>331</v>
      </c>
      <c r="O3105" s="5" t="s">
        <v>1709</v>
      </c>
      <c r="P3105" s="5"/>
      <c r="Q3105" s="5" t="s">
        <v>1717</v>
      </c>
    </row>
    <row r="3106" spans="2:17" x14ac:dyDescent="0.2">
      <c r="B3106" s="5" t="s">
        <v>1708</v>
      </c>
      <c r="C3106" s="6" t="s">
        <v>13587</v>
      </c>
      <c r="D3106" s="4">
        <v>496</v>
      </c>
      <c r="E3106" s="5" t="s">
        <v>24</v>
      </c>
      <c r="F3106" s="5" t="s">
        <v>1728</v>
      </c>
      <c r="G3106" s="6" t="s">
        <v>14</v>
      </c>
      <c r="H3106" s="4">
        <v>190</v>
      </c>
      <c r="I3106" s="5" t="s">
        <v>22</v>
      </c>
      <c r="J3106" s="5" t="s">
        <v>1729</v>
      </c>
      <c r="K3106" s="5" t="s">
        <v>1721</v>
      </c>
      <c r="L3106" s="5"/>
      <c r="M3106" s="5" t="s">
        <v>1251</v>
      </c>
      <c r="N3106" s="5" t="s">
        <v>301</v>
      </c>
      <c r="O3106" s="5"/>
      <c r="P3106" s="5"/>
      <c r="Q3106" s="5" t="s">
        <v>1717</v>
      </c>
    </row>
    <row r="3107" spans="2:17" x14ac:dyDescent="0.2">
      <c r="B3107" s="5" t="s">
        <v>1708</v>
      </c>
      <c r="C3107" s="6" t="s">
        <v>13587</v>
      </c>
      <c r="D3107" s="4">
        <v>497</v>
      </c>
      <c r="E3107" s="5" t="s">
        <v>24</v>
      </c>
      <c r="F3107" s="5" t="s">
        <v>1728</v>
      </c>
      <c r="G3107" s="6" t="s">
        <v>14</v>
      </c>
      <c r="H3107" s="4">
        <v>191</v>
      </c>
      <c r="I3107" s="5" t="s">
        <v>22</v>
      </c>
      <c r="J3107" s="5" t="s">
        <v>1730</v>
      </c>
      <c r="K3107" s="5" t="s">
        <v>1731</v>
      </c>
      <c r="L3107" s="5" t="s">
        <v>1732</v>
      </c>
      <c r="M3107" s="5" t="s">
        <v>1251</v>
      </c>
      <c r="N3107" s="5" t="s">
        <v>301</v>
      </c>
      <c r="O3107" s="5"/>
      <c r="P3107" s="5"/>
      <c r="Q3107" s="5" t="s">
        <v>1717</v>
      </c>
    </row>
    <row r="3108" spans="2:17" x14ac:dyDescent="0.2">
      <c r="B3108" s="5" t="s">
        <v>1708</v>
      </c>
      <c r="C3108" s="6" t="s">
        <v>13587</v>
      </c>
      <c r="D3108" s="4">
        <v>498</v>
      </c>
      <c r="E3108" s="5" t="s">
        <v>32</v>
      </c>
      <c r="F3108" s="5" t="s">
        <v>1771</v>
      </c>
      <c r="G3108" s="6" t="s">
        <v>14</v>
      </c>
      <c r="H3108" s="4">
        <v>192</v>
      </c>
      <c r="I3108" s="5" t="s">
        <v>22</v>
      </c>
      <c r="J3108" s="5" t="s">
        <v>1772</v>
      </c>
      <c r="K3108" s="5" t="s">
        <v>1773</v>
      </c>
      <c r="L3108" s="5"/>
      <c r="M3108" s="5" t="s">
        <v>301</v>
      </c>
      <c r="N3108" s="5" t="s">
        <v>295</v>
      </c>
      <c r="O3108" s="5" t="s">
        <v>1774</v>
      </c>
      <c r="P3108" s="5"/>
      <c r="Q3108" s="5" t="s">
        <v>1717</v>
      </c>
    </row>
    <row r="3109" spans="2:17" x14ac:dyDescent="0.2">
      <c r="B3109" s="5" t="s">
        <v>1708</v>
      </c>
      <c r="C3109" s="6" t="s">
        <v>13587</v>
      </c>
      <c r="D3109" s="4">
        <v>499</v>
      </c>
      <c r="E3109" s="5" t="s">
        <v>32</v>
      </c>
      <c r="F3109" s="5" t="s">
        <v>1771</v>
      </c>
      <c r="G3109" s="6" t="s">
        <v>14</v>
      </c>
      <c r="H3109" s="4">
        <v>193</v>
      </c>
      <c r="I3109" s="5" t="s">
        <v>22</v>
      </c>
      <c r="J3109" s="5" t="s">
        <v>1775</v>
      </c>
      <c r="K3109" s="5" t="s">
        <v>1776</v>
      </c>
      <c r="L3109" s="5"/>
      <c r="M3109" s="5" t="s">
        <v>301</v>
      </c>
      <c r="N3109" s="5" t="s">
        <v>295</v>
      </c>
      <c r="O3109" s="5" t="s">
        <v>1774</v>
      </c>
      <c r="P3109" s="5"/>
      <c r="Q3109" s="5" t="s">
        <v>1717</v>
      </c>
    </row>
    <row r="3110" spans="2:17" x14ac:dyDescent="0.2">
      <c r="B3110" s="5" t="s">
        <v>1708</v>
      </c>
      <c r="C3110" s="6" t="s">
        <v>13587</v>
      </c>
      <c r="D3110" s="4">
        <v>500</v>
      </c>
      <c r="E3110" s="5" t="s">
        <v>32</v>
      </c>
      <c r="F3110" s="5" t="s">
        <v>1771</v>
      </c>
      <c r="G3110" s="6" t="s">
        <v>14</v>
      </c>
      <c r="H3110" s="4">
        <v>194</v>
      </c>
      <c r="I3110" s="5" t="s">
        <v>22</v>
      </c>
      <c r="J3110" s="5" t="s">
        <v>1777</v>
      </c>
      <c r="K3110" s="5" t="s">
        <v>1778</v>
      </c>
      <c r="L3110" s="5"/>
      <c r="M3110" s="5" t="s">
        <v>301</v>
      </c>
      <c r="N3110" s="5" t="s">
        <v>295</v>
      </c>
      <c r="O3110" s="5" t="s">
        <v>1774</v>
      </c>
      <c r="P3110" s="5"/>
      <c r="Q3110" s="5" t="s">
        <v>1717</v>
      </c>
    </row>
    <row r="3111" spans="2:17" x14ac:dyDescent="0.2">
      <c r="B3111" s="5" t="s">
        <v>1708</v>
      </c>
      <c r="C3111" s="6" t="s">
        <v>13587</v>
      </c>
      <c r="D3111" s="4">
        <v>501</v>
      </c>
      <c r="E3111" s="5" t="s">
        <v>32</v>
      </c>
      <c r="F3111" s="5" t="s">
        <v>1771</v>
      </c>
      <c r="G3111" s="6" t="s">
        <v>14</v>
      </c>
      <c r="H3111" s="4">
        <v>195</v>
      </c>
      <c r="I3111" s="5" t="s">
        <v>22</v>
      </c>
      <c r="J3111" s="5" t="s">
        <v>1779</v>
      </c>
      <c r="K3111" s="5" t="s">
        <v>1776</v>
      </c>
      <c r="L3111" s="5"/>
      <c r="M3111" s="5" t="s">
        <v>301</v>
      </c>
      <c r="N3111" s="5" t="s">
        <v>295</v>
      </c>
      <c r="O3111" s="5" t="s">
        <v>1774</v>
      </c>
      <c r="P3111" s="5"/>
      <c r="Q3111" s="5" t="s">
        <v>1717</v>
      </c>
    </row>
    <row r="3112" spans="2:17" x14ac:dyDescent="0.2">
      <c r="B3112" s="5" t="s">
        <v>1708</v>
      </c>
      <c r="C3112" s="6" t="s">
        <v>13587</v>
      </c>
      <c r="D3112" s="4">
        <v>502</v>
      </c>
      <c r="E3112" s="5" t="s">
        <v>32</v>
      </c>
      <c r="F3112" s="5" t="s">
        <v>1771</v>
      </c>
      <c r="G3112" s="6" t="s">
        <v>14</v>
      </c>
      <c r="H3112" s="4">
        <v>196</v>
      </c>
      <c r="I3112" s="5" t="s">
        <v>38</v>
      </c>
      <c r="J3112" s="5" t="s">
        <v>1780</v>
      </c>
      <c r="K3112" s="5" t="s">
        <v>1781</v>
      </c>
      <c r="L3112" s="5"/>
      <c r="M3112" s="5" t="s">
        <v>301</v>
      </c>
      <c r="N3112" s="5" t="s">
        <v>295</v>
      </c>
      <c r="O3112" s="5" t="s">
        <v>1774</v>
      </c>
      <c r="P3112" s="5"/>
      <c r="Q3112" s="5" t="s">
        <v>1717</v>
      </c>
    </row>
    <row r="3113" spans="2:17" x14ac:dyDescent="0.2">
      <c r="B3113" s="5" t="s">
        <v>1708</v>
      </c>
      <c r="C3113" s="6" t="s">
        <v>13587</v>
      </c>
      <c r="D3113" s="4">
        <v>503</v>
      </c>
      <c r="E3113" s="5" t="s">
        <v>32</v>
      </c>
      <c r="F3113" s="5" t="s">
        <v>1771</v>
      </c>
      <c r="G3113" s="6" t="s">
        <v>14</v>
      </c>
      <c r="H3113" s="4">
        <v>197</v>
      </c>
      <c r="I3113" s="5" t="s">
        <v>38</v>
      </c>
      <c r="J3113" s="5" t="s">
        <v>1782</v>
      </c>
      <c r="K3113" s="5" t="s">
        <v>1778</v>
      </c>
      <c r="L3113" s="5" t="s">
        <v>1783</v>
      </c>
      <c r="M3113" s="5" t="s">
        <v>301</v>
      </c>
      <c r="N3113" s="5" t="s">
        <v>295</v>
      </c>
      <c r="O3113" s="5" t="s">
        <v>1774</v>
      </c>
      <c r="P3113" s="5"/>
      <c r="Q3113" s="5" t="s">
        <v>1717</v>
      </c>
    </row>
    <row r="3114" spans="2:17" x14ac:dyDescent="0.2">
      <c r="B3114" s="5" t="s">
        <v>1708</v>
      </c>
      <c r="C3114" s="6" t="s">
        <v>13587</v>
      </c>
      <c r="D3114" s="4">
        <v>504</v>
      </c>
      <c r="E3114" s="5" t="s">
        <v>32</v>
      </c>
      <c r="F3114" s="5" t="s">
        <v>1771</v>
      </c>
      <c r="G3114" s="6" t="s">
        <v>14</v>
      </c>
      <c r="H3114" s="4">
        <v>198</v>
      </c>
      <c r="I3114" s="5" t="s">
        <v>38</v>
      </c>
      <c r="J3114" s="5" t="s">
        <v>1784</v>
      </c>
      <c r="K3114" s="5" t="s">
        <v>1778</v>
      </c>
      <c r="L3114" s="5" t="s">
        <v>1785</v>
      </c>
      <c r="M3114" s="5" t="s">
        <v>301</v>
      </c>
      <c r="N3114" s="5" t="s">
        <v>295</v>
      </c>
      <c r="O3114" s="5" t="s">
        <v>1774</v>
      </c>
      <c r="P3114" s="5"/>
      <c r="Q3114" s="5" t="s">
        <v>1717</v>
      </c>
    </row>
    <row r="3115" spans="2:17" x14ac:dyDescent="0.2">
      <c r="B3115" s="5" t="s">
        <v>1708</v>
      </c>
      <c r="C3115" s="6" t="s">
        <v>13587</v>
      </c>
      <c r="D3115" s="4">
        <v>505</v>
      </c>
      <c r="E3115" s="5" t="s">
        <v>32</v>
      </c>
      <c r="F3115" s="5" t="s">
        <v>1771</v>
      </c>
      <c r="G3115" s="6" t="s">
        <v>14</v>
      </c>
      <c r="H3115" s="4">
        <v>199</v>
      </c>
      <c r="I3115" s="5" t="s">
        <v>22</v>
      </c>
      <c r="J3115" s="5" t="s">
        <v>1786</v>
      </c>
      <c r="K3115" s="5" t="s">
        <v>1787</v>
      </c>
      <c r="L3115" s="5"/>
      <c r="M3115" s="5" t="s">
        <v>301</v>
      </c>
      <c r="N3115" s="5" t="s">
        <v>295</v>
      </c>
      <c r="O3115" s="5" t="s">
        <v>1774</v>
      </c>
      <c r="P3115" s="5"/>
      <c r="Q3115" s="5" t="s">
        <v>1717</v>
      </c>
    </row>
    <row r="3116" spans="2:17" x14ac:dyDescent="0.2">
      <c r="B3116" s="5" t="s">
        <v>1708</v>
      </c>
      <c r="C3116" s="6" t="s">
        <v>13587</v>
      </c>
      <c r="D3116" s="4">
        <v>506</v>
      </c>
      <c r="E3116" s="5" t="s">
        <v>32</v>
      </c>
      <c r="F3116" s="5" t="s">
        <v>1753</v>
      </c>
      <c r="G3116" s="6" t="s">
        <v>14</v>
      </c>
      <c r="H3116" s="4">
        <v>200</v>
      </c>
      <c r="I3116" s="5" t="s">
        <v>22</v>
      </c>
      <c r="J3116" s="5" t="s">
        <v>1742</v>
      </c>
      <c r="K3116" s="5" t="s">
        <v>1743</v>
      </c>
      <c r="L3116" s="5"/>
      <c r="M3116" s="5" t="s">
        <v>296</v>
      </c>
      <c r="N3116" s="5" t="s">
        <v>302</v>
      </c>
      <c r="O3116" s="5" t="s">
        <v>1716</v>
      </c>
      <c r="P3116" s="5"/>
      <c r="Q3116" s="5" t="s">
        <v>1717</v>
      </c>
    </row>
    <row r="3117" spans="2:17" x14ac:dyDescent="0.2">
      <c r="B3117" s="5" t="s">
        <v>1708</v>
      </c>
      <c r="C3117" s="6" t="s">
        <v>13587</v>
      </c>
      <c r="D3117" s="4">
        <v>507</v>
      </c>
      <c r="E3117" s="5" t="s">
        <v>32</v>
      </c>
      <c r="F3117" s="5" t="s">
        <v>1754</v>
      </c>
      <c r="G3117" s="6" t="s">
        <v>14</v>
      </c>
      <c r="H3117" s="4">
        <v>201</v>
      </c>
      <c r="I3117" s="5" t="s">
        <v>22</v>
      </c>
      <c r="J3117" s="5" t="s">
        <v>1755</v>
      </c>
      <c r="K3117" s="5" t="s">
        <v>1714</v>
      </c>
      <c r="L3117" s="5"/>
      <c r="M3117" s="5" t="s">
        <v>296</v>
      </c>
      <c r="N3117" s="5" t="s">
        <v>302</v>
      </c>
      <c r="O3117" s="5" t="s">
        <v>1716</v>
      </c>
      <c r="P3117" s="5"/>
      <c r="Q3117" s="5" t="s">
        <v>1717</v>
      </c>
    </row>
    <row r="3118" spans="2:17" x14ac:dyDescent="0.2">
      <c r="B3118" s="5" t="s">
        <v>1708</v>
      </c>
      <c r="C3118" s="6" t="s">
        <v>13587</v>
      </c>
      <c r="D3118" s="4">
        <v>508</v>
      </c>
      <c r="E3118" s="5" t="s">
        <v>32</v>
      </c>
      <c r="F3118" s="5" t="s">
        <v>1756</v>
      </c>
      <c r="G3118" s="6" t="s">
        <v>14</v>
      </c>
      <c r="H3118" s="4">
        <v>202</v>
      </c>
      <c r="I3118" s="5" t="s">
        <v>22</v>
      </c>
      <c r="J3118" s="5" t="s">
        <v>1757</v>
      </c>
      <c r="K3118" s="5" t="s">
        <v>1758</v>
      </c>
      <c r="L3118" s="5"/>
      <c r="M3118" s="5" t="s">
        <v>296</v>
      </c>
      <c r="N3118" s="5" t="s">
        <v>302</v>
      </c>
      <c r="O3118" s="5" t="s">
        <v>1716</v>
      </c>
      <c r="P3118" s="5"/>
      <c r="Q3118" s="5" t="s">
        <v>1717</v>
      </c>
    </row>
    <row r="3119" spans="2:17" x14ac:dyDescent="0.2">
      <c r="B3119" s="5" t="s">
        <v>1708</v>
      </c>
      <c r="C3119" s="6" t="s">
        <v>13587</v>
      </c>
      <c r="D3119" s="4">
        <v>509</v>
      </c>
      <c r="E3119" s="5" t="s">
        <v>32</v>
      </c>
      <c r="F3119" s="5" t="s">
        <v>1756</v>
      </c>
      <c r="G3119" s="6" t="s">
        <v>14</v>
      </c>
      <c r="H3119" s="4">
        <v>203</v>
      </c>
      <c r="I3119" s="5" t="s">
        <v>22</v>
      </c>
      <c r="J3119" s="5" t="s">
        <v>1759</v>
      </c>
      <c r="K3119" s="5" t="s">
        <v>1760</v>
      </c>
      <c r="L3119" s="5"/>
      <c r="M3119" s="5" t="s">
        <v>296</v>
      </c>
      <c r="N3119" s="5" t="s">
        <v>302</v>
      </c>
      <c r="O3119" s="5" t="s">
        <v>1716</v>
      </c>
      <c r="P3119" s="5"/>
      <c r="Q3119" s="5" t="s">
        <v>1717</v>
      </c>
    </row>
    <row r="3120" spans="2:17" x14ac:dyDescent="0.2">
      <c r="B3120" s="5" t="s">
        <v>1708</v>
      </c>
      <c r="C3120" s="6" t="s">
        <v>13587</v>
      </c>
      <c r="D3120" s="4">
        <v>510</v>
      </c>
      <c r="E3120" s="5" t="s">
        <v>32</v>
      </c>
      <c r="F3120" s="5" t="s">
        <v>1761</v>
      </c>
      <c r="G3120" s="6" t="s">
        <v>14</v>
      </c>
      <c r="H3120" s="4">
        <v>204</v>
      </c>
      <c r="I3120" s="5" t="s">
        <v>22</v>
      </c>
      <c r="J3120" s="5" t="s">
        <v>1713</v>
      </c>
      <c r="K3120" s="5" t="s">
        <v>1743</v>
      </c>
      <c r="L3120" s="5"/>
      <c r="M3120" s="5" t="s">
        <v>296</v>
      </c>
      <c r="N3120" s="5" t="s">
        <v>302</v>
      </c>
      <c r="O3120" s="5" t="s">
        <v>1716</v>
      </c>
      <c r="P3120" s="5"/>
      <c r="Q3120" s="5" t="s">
        <v>1717</v>
      </c>
    </row>
    <row r="3121" spans="2:17" x14ac:dyDescent="0.2">
      <c r="B3121" s="5" t="s">
        <v>1708</v>
      </c>
      <c r="C3121" s="6" t="s">
        <v>13587</v>
      </c>
      <c r="D3121" s="4">
        <v>511</v>
      </c>
      <c r="E3121" s="5" t="s">
        <v>32</v>
      </c>
      <c r="F3121" s="5" t="s">
        <v>1761</v>
      </c>
      <c r="G3121" s="6" t="s">
        <v>14</v>
      </c>
      <c r="H3121" s="4">
        <v>205</v>
      </c>
      <c r="I3121" s="5" t="s">
        <v>22</v>
      </c>
      <c r="J3121" s="5" t="s">
        <v>1718</v>
      </c>
      <c r="K3121" s="5" t="s">
        <v>1743</v>
      </c>
      <c r="L3121" s="5"/>
      <c r="M3121" s="5" t="s">
        <v>296</v>
      </c>
      <c r="N3121" s="5" t="s">
        <v>302</v>
      </c>
      <c r="O3121" s="5" t="s">
        <v>1716</v>
      </c>
      <c r="P3121" s="5"/>
      <c r="Q3121" s="5" t="s">
        <v>1717</v>
      </c>
    </row>
    <row r="3122" spans="2:17" x14ac:dyDescent="0.2">
      <c r="B3122" s="5" t="s">
        <v>1708</v>
      </c>
      <c r="C3122" s="6" t="s">
        <v>13587</v>
      </c>
      <c r="D3122" s="4">
        <v>512</v>
      </c>
      <c r="E3122" s="5" t="s">
        <v>32</v>
      </c>
      <c r="F3122" s="5" t="s">
        <v>1762</v>
      </c>
      <c r="G3122" s="6" t="s">
        <v>14</v>
      </c>
      <c r="H3122" s="4">
        <v>206</v>
      </c>
      <c r="I3122" s="5" t="s">
        <v>22</v>
      </c>
      <c r="J3122" s="5" t="s">
        <v>1763</v>
      </c>
      <c r="K3122" s="5" t="s">
        <v>1764</v>
      </c>
      <c r="L3122" s="5"/>
      <c r="M3122" s="5" t="s">
        <v>296</v>
      </c>
      <c r="N3122" s="5" t="s">
        <v>302</v>
      </c>
      <c r="O3122" s="5" t="s">
        <v>1716</v>
      </c>
      <c r="P3122" s="5"/>
      <c r="Q3122" s="5" t="s">
        <v>1717</v>
      </c>
    </row>
    <row r="3123" spans="2:17" x14ac:dyDescent="0.2">
      <c r="B3123" s="5" t="s">
        <v>1708</v>
      </c>
      <c r="C3123" s="6" t="s">
        <v>13587</v>
      </c>
      <c r="D3123" s="4">
        <v>515</v>
      </c>
      <c r="E3123" s="5" t="s">
        <v>32</v>
      </c>
      <c r="F3123" s="5" t="s">
        <v>1753</v>
      </c>
      <c r="G3123" s="6" t="s">
        <v>14</v>
      </c>
      <c r="H3123" s="4">
        <v>207</v>
      </c>
      <c r="I3123" s="5" t="s">
        <v>22</v>
      </c>
      <c r="J3123" s="5" t="s">
        <v>1742</v>
      </c>
      <c r="K3123" s="5" t="s">
        <v>1743</v>
      </c>
      <c r="L3123" s="5"/>
      <c r="M3123" s="5" t="s">
        <v>296</v>
      </c>
      <c r="N3123" s="5" t="s">
        <v>302</v>
      </c>
      <c r="O3123" s="5" t="s">
        <v>1745</v>
      </c>
      <c r="P3123" s="5"/>
      <c r="Q3123" s="5" t="s">
        <v>1765</v>
      </c>
    </row>
    <row r="3124" spans="2:17" x14ac:dyDescent="0.2">
      <c r="B3124" s="5" t="s">
        <v>1708</v>
      </c>
      <c r="C3124" s="6" t="s">
        <v>13587</v>
      </c>
      <c r="D3124" s="4">
        <v>519</v>
      </c>
      <c r="E3124" s="5" t="s">
        <v>32</v>
      </c>
      <c r="F3124" s="5" t="s">
        <v>1738</v>
      </c>
      <c r="G3124" s="6" t="s">
        <v>14</v>
      </c>
      <c r="H3124" s="4">
        <v>208</v>
      </c>
      <c r="I3124" s="5" t="s">
        <v>38</v>
      </c>
      <c r="J3124" s="5" t="s">
        <v>1739</v>
      </c>
      <c r="K3124" s="5" t="s">
        <v>1711</v>
      </c>
      <c r="L3124" s="5" t="s">
        <v>1740</v>
      </c>
      <c r="M3124" s="5" t="s">
        <v>283</v>
      </c>
      <c r="N3124" s="5" t="s">
        <v>284</v>
      </c>
      <c r="O3124" s="5" t="s">
        <v>1709</v>
      </c>
      <c r="P3124" s="5"/>
      <c r="Q3124" s="5" t="s">
        <v>1717</v>
      </c>
    </row>
    <row r="3125" spans="2:17" x14ac:dyDescent="0.2">
      <c r="B3125" s="5" t="s">
        <v>1708</v>
      </c>
      <c r="C3125" s="6" t="s">
        <v>13587</v>
      </c>
      <c r="D3125" s="4">
        <v>520</v>
      </c>
      <c r="E3125" s="5" t="s">
        <v>32</v>
      </c>
      <c r="F3125" s="5" t="s">
        <v>1733</v>
      </c>
      <c r="G3125" s="6" t="s">
        <v>14</v>
      </c>
      <c r="H3125" s="4">
        <v>209</v>
      </c>
      <c r="I3125" s="5" t="s">
        <v>22</v>
      </c>
      <c r="J3125" s="5" t="s">
        <v>1734</v>
      </c>
      <c r="K3125" s="5" t="s">
        <v>1735</v>
      </c>
      <c r="L3125" s="5"/>
      <c r="M3125" s="5" t="s">
        <v>1736</v>
      </c>
      <c r="N3125" s="5" t="s">
        <v>1247</v>
      </c>
      <c r="O3125" s="5" t="s">
        <v>1737</v>
      </c>
      <c r="P3125" s="5"/>
      <c r="Q3125" s="5" t="s">
        <v>1717</v>
      </c>
    </row>
    <row r="3126" spans="2:17" x14ac:dyDescent="0.2">
      <c r="B3126" s="5" t="s">
        <v>1708</v>
      </c>
      <c r="C3126" s="6" t="s">
        <v>13587</v>
      </c>
      <c r="D3126" s="4">
        <v>521</v>
      </c>
      <c r="E3126" s="5" t="s">
        <v>32</v>
      </c>
      <c r="F3126" s="5" t="s">
        <v>1724</v>
      </c>
      <c r="G3126" s="6" t="s">
        <v>14</v>
      </c>
      <c r="H3126" s="4">
        <v>210</v>
      </c>
      <c r="I3126" s="5" t="s">
        <v>22</v>
      </c>
      <c r="J3126" s="5" t="s">
        <v>1725</v>
      </c>
      <c r="K3126" s="5" t="s">
        <v>1726</v>
      </c>
      <c r="L3126" s="5" t="s">
        <v>1727</v>
      </c>
      <c r="M3126" s="5" t="s">
        <v>1230</v>
      </c>
      <c r="N3126" s="5" t="s">
        <v>1222</v>
      </c>
      <c r="O3126" s="5"/>
      <c r="P3126" s="5"/>
      <c r="Q3126" s="5" t="s">
        <v>1717</v>
      </c>
    </row>
    <row r="3127" spans="2:17" x14ac:dyDescent="0.2">
      <c r="B3127" s="5" t="s">
        <v>1708</v>
      </c>
      <c r="C3127" s="6" t="s">
        <v>13587</v>
      </c>
      <c r="D3127" s="4">
        <v>522</v>
      </c>
      <c r="E3127" s="5" t="s">
        <v>32</v>
      </c>
      <c r="F3127" s="5" t="s">
        <v>1719</v>
      </c>
      <c r="G3127" s="6" t="s">
        <v>14</v>
      </c>
      <c r="H3127" s="4">
        <v>211</v>
      </c>
      <c r="I3127" s="5" t="s">
        <v>22</v>
      </c>
      <c r="J3127" s="5" t="s">
        <v>1720</v>
      </c>
      <c r="K3127" s="5" t="s">
        <v>1721</v>
      </c>
      <c r="L3127" s="5" t="s">
        <v>1722</v>
      </c>
      <c r="M3127" s="5" t="s">
        <v>1218</v>
      </c>
      <c r="N3127" s="5" t="s">
        <v>1723</v>
      </c>
      <c r="O3127" s="5"/>
      <c r="P3127" s="5"/>
      <c r="Q3127" s="5" t="s">
        <v>1717</v>
      </c>
    </row>
    <row r="3128" spans="2:17" x14ac:dyDescent="0.2">
      <c r="B3128" s="5" t="s">
        <v>1708</v>
      </c>
      <c r="C3128" s="6" t="s">
        <v>13587</v>
      </c>
      <c r="D3128" s="4">
        <v>523</v>
      </c>
      <c r="E3128" s="5" t="s">
        <v>32</v>
      </c>
      <c r="F3128" s="5" t="s">
        <v>1712</v>
      </c>
      <c r="G3128" s="6" t="s">
        <v>14</v>
      </c>
      <c r="H3128" s="4">
        <v>212</v>
      </c>
      <c r="I3128" s="5" t="s">
        <v>22</v>
      </c>
      <c r="J3128" s="5" t="s">
        <v>1713</v>
      </c>
      <c r="K3128" s="5" t="s">
        <v>1714</v>
      </c>
      <c r="L3128" s="5"/>
      <c r="M3128" s="5" t="s">
        <v>1715</v>
      </c>
      <c r="N3128" s="5" t="s">
        <v>1208</v>
      </c>
      <c r="O3128" s="5" t="s">
        <v>1716</v>
      </c>
      <c r="P3128" s="5"/>
      <c r="Q3128" s="5" t="s">
        <v>1717</v>
      </c>
    </row>
    <row r="3129" spans="2:17" x14ac:dyDescent="0.2">
      <c r="B3129" s="5" t="s">
        <v>1708</v>
      </c>
      <c r="C3129" s="6" t="s">
        <v>13587</v>
      </c>
      <c r="D3129" s="4">
        <v>524</v>
      </c>
      <c r="E3129" s="5" t="s">
        <v>32</v>
      </c>
      <c r="F3129" s="5" t="s">
        <v>1712</v>
      </c>
      <c r="G3129" s="6" t="s">
        <v>14</v>
      </c>
      <c r="H3129" s="4">
        <v>213</v>
      </c>
      <c r="I3129" s="5" t="s">
        <v>22</v>
      </c>
      <c r="J3129" s="5" t="s">
        <v>1718</v>
      </c>
      <c r="K3129" s="5" t="s">
        <v>1714</v>
      </c>
      <c r="L3129" s="5"/>
      <c r="M3129" s="5" t="s">
        <v>1715</v>
      </c>
      <c r="N3129" s="5" t="s">
        <v>1208</v>
      </c>
      <c r="O3129" s="5" t="s">
        <v>1716</v>
      </c>
      <c r="P3129" s="5"/>
      <c r="Q3129" s="5" t="s">
        <v>1717</v>
      </c>
    </row>
    <row r="3130" spans="2:17" x14ac:dyDescent="0.2">
      <c r="B3130" s="5" t="s">
        <v>1708</v>
      </c>
      <c r="C3130" s="6" t="s">
        <v>13587</v>
      </c>
      <c r="D3130" s="4">
        <v>526</v>
      </c>
      <c r="E3130" s="5" t="s">
        <v>15</v>
      </c>
      <c r="F3130" s="5" t="s">
        <v>1895</v>
      </c>
      <c r="G3130" s="6" t="s">
        <v>14</v>
      </c>
      <c r="H3130" s="4">
        <v>214</v>
      </c>
      <c r="I3130" s="5" t="s">
        <v>22</v>
      </c>
      <c r="J3130" s="5" t="s">
        <v>1896</v>
      </c>
      <c r="K3130" s="5" t="s">
        <v>1711</v>
      </c>
      <c r="L3130" s="5"/>
      <c r="M3130" s="5" t="s">
        <v>1658</v>
      </c>
      <c r="N3130" s="5" t="s">
        <v>496</v>
      </c>
      <c r="O3130" s="5" t="s">
        <v>1709</v>
      </c>
      <c r="P3130" s="5"/>
      <c r="Q3130" s="5" t="s">
        <v>1717</v>
      </c>
    </row>
    <row r="3131" spans="2:17" x14ac:dyDescent="0.2">
      <c r="B3131" s="5" t="s">
        <v>1708</v>
      </c>
      <c r="C3131" s="6" t="s">
        <v>13587</v>
      </c>
      <c r="D3131" s="4">
        <v>527</v>
      </c>
      <c r="E3131" s="5" t="s">
        <v>24</v>
      </c>
      <c r="F3131" s="5" t="s">
        <v>1900</v>
      </c>
      <c r="G3131" s="6" t="s">
        <v>14</v>
      </c>
      <c r="H3131" s="4">
        <v>215</v>
      </c>
      <c r="I3131" s="5" t="s">
        <v>22</v>
      </c>
      <c r="J3131" s="5" t="s">
        <v>1901</v>
      </c>
      <c r="K3131" s="5" t="s">
        <v>1711</v>
      </c>
      <c r="L3131" s="5"/>
      <c r="M3131" s="5" t="s">
        <v>1902</v>
      </c>
      <c r="N3131" s="5" t="s">
        <v>1902</v>
      </c>
      <c r="O3131" s="5" t="s">
        <v>1709</v>
      </c>
      <c r="P3131" s="5"/>
      <c r="Q3131" s="5" t="s">
        <v>1717</v>
      </c>
    </row>
    <row r="3132" spans="2:17" x14ac:dyDescent="0.2">
      <c r="B3132" s="5" t="s">
        <v>1906</v>
      </c>
      <c r="C3132" s="6" t="s">
        <v>13587</v>
      </c>
      <c r="D3132" s="4">
        <v>533</v>
      </c>
      <c r="E3132" s="5" t="s">
        <v>32</v>
      </c>
      <c r="F3132" s="5" t="s">
        <v>2196</v>
      </c>
      <c r="G3132" s="6" t="s">
        <v>14</v>
      </c>
      <c r="H3132" s="4">
        <v>216</v>
      </c>
      <c r="I3132" s="5" t="s">
        <v>22</v>
      </c>
      <c r="J3132" s="5" t="s">
        <v>2197</v>
      </c>
      <c r="K3132" s="5" t="s">
        <v>1909</v>
      </c>
      <c r="L3132" s="5"/>
      <c r="M3132" s="5" t="s">
        <v>2198</v>
      </c>
      <c r="N3132" s="5" t="s">
        <v>2199</v>
      </c>
      <c r="O3132" s="5" t="s">
        <v>1910</v>
      </c>
      <c r="P3132" s="5"/>
      <c r="Q3132" s="5" t="s">
        <v>2200</v>
      </c>
    </row>
    <row r="3133" spans="2:17" x14ac:dyDescent="0.2">
      <c r="B3133" s="5" t="s">
        <v>1906</v>
      </c>
      <c r="C3133" s="6" t="s">
        <v>13587</v>
      </c>
      <c r="D3133" s="4">
        <v>534</v>
      </c>
      <c r="E3133" s="5" t="s">
        <v>32</v>
      </c>
      <c r="F3133" s="5" t="s">
        <v>2201</v>
      </c>
      <c r="G3133" s="6" t="s">
        <v>14</v>
      </c>
      <c r="H3133" s="4">
        <v>217</v>
      </c>
      <c r="I3133" s="5" t="s">
        <v>22</v>
      </c>
      <c r="J3133" s="5" t="s">
        <v>2202</v>
      </c>
      <c r="K3133" s="5" t="s">
        <v>2203</v>
      </c>
      <c r="L3133" s="5"/>
      <c r="M3133" s="5" t="s">
        <v>2198</v>
      </c>
      <c r="N3133" s="5" t="s">
        <v>2199</v>
      </c>
      <c r="O3133" s="5" t="s">
        <v>1910</v>
      </c>
      <c r="P3133" s="5"/>
      <c r="Q3133" s="5" t="s">
        <v>2204</v>
      </c>
    </row>
    <row r="3134" spans="2:17" x14ac:dyDescent="0.2">
      <c r="B3134" s="5" t="s">
        <v>1906</v>
      </c>
      <c r="C3134" s="6" t="s">
        <v>13587</v>
      </c>
      <c r="D3134" s="4">
        <v>535</v>
      </c>
      <c r="E3134" s="5" t="s">
        <v>24</v>
      </c>
      <c r="F3134" s="5" t="s">
        <v>2142</v>
      </c>
      <c r="G3134" s="6" t="s">
        <v>14</v>
      </c>
      <c r="H3134" s="4">
        <v>218</v>
      </c>
      <c r="I3134" s="5"/>
      <c r="J3134" s="5" t="s">
        <v>2194</v>
      </c>
      <c r="K3134" s="5" t="s">
        <v>1976</v>
      </c>
      <c r="L3134" s="5"/>
      <c r="M3134" s="5" t="s">
        <v>1844</v>
      </c>
      <c r="N3134" s="5" t="s">
        <v>1844</v>
      </c>
      <c r="O3134" s="5" t="s">
        <v>1977</v>
      </c>
      <c r="P3134" s="5"/>
      <c r="Q3134" s="5" t="s">
        <v>2195</v>
      </c>
    </row>
    <row r="3135" spans="2:17" x14ac:dyDescent="0.2">
      <c r="B3135" s="5" t="s">
        <v>1906</v>
      </c>
      <c r="C3135" s="6" t="s">
        <v>13587</v>
      </c>
      <c r="D3135" s="4">
        <v>537</v>
      </c>
      <c r="E3135" s="5" t="s">
        <v>32</v>
      </c>
      <c r="F3135" s="5" t="s">
        <v>2183</v>
      </c>
      <c r="G3135" s="6" t="s">
        <v>14</v>
      </c>
      <c r="H3135" s="4">
        <v>219</v>
      </c>
      <c r="I3135" s="5" t="s">
        <v>22</v>
      </c>
      <c r="J3135" s="5" t="s">
        <v>2184</v>
      </c>
      <c r="K3135" s="5" t="s">
        <v>2185</v>
      </c>
      <c r="L3135" s="5"/>
      <c r="M3135" s="5" t="s">
        <v>1618</v>
      </c>
      <c r="N3135" s="5" t="s">
        <v>1012</v>
      </c>
      <c r="O3135" s="5" t="s">
        <v>2186</v>
      </c>
      <c r="P3135" s="5"/>
      <c r="Q3135" s="5" t="s">
        <v>2187</v>
      </c>
    </row>
    <row r="3136" spans="2:17" x14ac:dyDescent="0.2">
      <c r="B3136" s="5" t="s">
        <v>1906</v>
      </c>
      <c r="C3136" s="6" t="s">
        <v>13587</v>
      </c>
      <c r="D3136" s="4">
        <v>538</v>
      </c>
      <c r="E3136" s="5" t="s">
        <v>32</v>
      </c>
      <c r="F3136" s="5" t="s">
        <v>2183</v>
      </c>
      <c r="G3136" s="6" t="s">
        <v>14</v>
      </c>
      <c r="H3136" s="4">
        <v>220</v>
      </c>
      <c r="I3136" s="5" t="s">
        <v>22</v>
      </c>
      <c r="J3136" s="5" t="s">
        <v>2188</v>
      </c>
      <c r="K3136" s="5" t="s">
        <v>2189</v>
      </c>
      <c r="L3136" s="5"/>
      <c r="M3136" s="5" t="s">
        <v>1618</v>
      </c>
      <c r="N3136" s="5" t="s">
        <v>1012</v>
      </c>
      <c r="O3136" s="5" t="s">
        <v>2186</v>
      </c>
      <c r="P3136" s="5"/>
      <c r="Q3136" s="5" t="s">
        <v>2190</v>
      </c>
    </row>
    <row r="3137" spans="2:17" x14ac:dyDescent="0.2">
      <c r="B3137" s="5" t="s">
        <v>1906</v>
      </c>
      <c r="C3137" s="6" t="s">
        <v>13587</v>
      </c>
      <c r="D3137" s="4">
        <v>539</v>
      </c>
      <c r="E3137" s="5" t="s">
        <v>32</v>
      </c>
      <c r="F3137" s="5" t="s">
        <v>2183</v>
      </c>
      <c r="G3137" s="6" t="s">
        <v>14</v>
      </c>
      <c r="H3137" s="4">
        <v>221</v>
      </c>
      <c r="I3137" s="5" t="s">
        <v>22</v>
      </c>
      <c r="J3137" s="5" t="s">
        <v>2191</v>
      </c>
      <c r="K3137" s="5" t="s">
        <v>2192</v>
      </c>
      <c r="L3137" s="5"/>
      <c r="M3137" s="5" t="s">
        <v>1618</v>
      </c>
      <c r="N3137" s="5" t="s">
        <v>1012</v>
      </c>
      <c r="O3137" s="5" t="s">
        <v>2186</v>
      </c>
      <c r="P3137" s="5"/>
      <c r="Q3137" s="5" t="s">
        <v>2193</v>
      </c>
    </row>
    <row r="3138" spans="2:17" x14ac:dyDescent="0.2">
      <c r="B3138" s="5" t="s">
        <v>1906</v>
      </c>
      <c r="C3138" s="6" t="s">
        <v>13587</v>
      </c>
      <c r="D3138" s="4">
        <v>545</v>
      </c>
      <c r="E3138" s="5" t="s">
        <v>24</v>
      </c>
      <c r="F3138" s="5" t="s">
        <v>2163</v>
      </c>
      <c r="G3138" s="6" t="s">
        <v>14</v>
      </c>
      <c r="H3138" s="4">
        <v>222</v>
      </c>
      <c r="I3138" s="5"/>
      <c r="J3138" s="5" t="s">
        <v>2164</v>
      </c>
      <c r="K3138" s="5" t="s">
        <v>1976</v>
      </c>
      <c r="L3138" s="5"/>
      <c r="M3138" s="5" t="s">
        <v>423</v>
      </c>
      <c r="N3138" s="5" t="s">
        <v>423</v>
      </c>
      <c r="O3138" s="5" t="s">
        <v>1977</v>
      </c>
      <c r="P3138" s="5"/>
      <c r="Q3138" s="5" t="s">
        <v>2165</v>
      </c>
    </row>
    <row r="3139" spans="2:17" x14ac:dyDescent="0.2">
      <c r="B3139" s="5" t="s">
        <v>1906</v>
      </c>
      <c r="C3139" s="6" t="s">
        <v>13587</v>
      </c>
      <c r="D3139" s="4">
        <v>548</v>
      </c>
      <c r="E3139" s="5" t="s">
        <v>32</v>
      </c>
      <c r="F3139" s="5" t="s">
        <v>2154</v>
      </c>
      <c r="G3139" s="6" t="s">
        <v>14</v>
      </c>
      <c r="H3139" s="4">
        <v>223</v>
      </c>
      <c r="I3139" s="5" t="s">
        <v>38</v>
      </c>
      <c r="J3139" s="5" t="s">
        <v>2155</v>
      </c>
      <c r="K3139" s="5" t="s">
        <v>1961</v>
      </c>
      <c r="L3139" s="5"/>
      <c r="M3139" s="5" t="s">
        <v>412</v>
      </c>
      <c r="N3139" s="5" t="s">
        <v>412</v>
      </c>
      <c r="O3139" s="5" t="s">
        <v>1945</v>
      </c>
      <c r="P3139" s="5"/>
      <c r="Q3139" s="5" t="s">
        <v>2156</v>
      </c>
    </row>
    <row r="3140" spans="2:17" x14ac:dyDescent="0.2">
      <c r="B3140" s="5" t="s">
        <v>1906</v>
      </c>
      <c r="C3140" s="6" t="s">
        <v>13587</v>
      </c>
      <c r="D3140" s="4">
        <v>549</v>
      </c>
      <c r="E3140" s="5" t="s">
        <v>20</v>
      </c>
      <c r="F3140" s="5" t="s">
        <v>2149</v>
      </c>
      <c r="G3140" s="6" t="s">
        <v>14</v>
      </c>
      <c r="H3140" s="4">
        <v>224</v>
      </c>
      <c r="I3140" s="5" t="s">
        <v>22</v>
      </c>
      <c r="J3140" s="5" t="s">
        <v>2150</v>
      </c>
      <c r="K3140" s="5" t="s">
        <v>1944</v>
      </c>
      <c r="L3140" s="5"/>
      <c r="M3140" s="5" t="s">
        <v>2151</v>
      </c>
      <c r="N3140" s="5" t="s">
        <v>2152</v>
      </c>
      <c r="O3140" s="5" t="s">
        <v>1945</v>
      </c>
      <c r="P3140" s="5"/>
      <c r="Q3140" s="5" t="s">
        <v>2153</v>
      </c>
    </row>
    <row r="3141" spans="2:17" x14ac:dyDescent="0.2">
      <c r="B3141" s="5" t="s">
        <v>1906</v>
      </c>
      <c r="C3141" s="6" t="s">
        <v>13587</v>
      </c>
      <c r="D3141" s="4">
        <v>550</v>
      </c>
      <c r="E3141" s="5" t="s">
        <v>15</v>
      </c>
      <c r="F3141" s="5" t="s">
        <v>2086</v>
      </c>
      <c r="G3141" s="6" t="s">
        <v>14</v>
      </c>
      <c r="H3141" s="4">
        <v>225</v>
      </c>
      <c r="I3141" s="5"/>
      <c r="J3141" s="5" t="s">
        <v>2087</v>
      </c>
      <c r="K3141" s="5" t="s">
        <v>2088</v>
      </c>
      <c r="L3141" s="5"/>
      <c r="M3141" s="5" t="s">
        <v>1464</v>
      </c>
      <c r="N3141" s="5" t="s">
        <v>2089</v>
      </c>
      <c r="O3141" s="5" t="s">
        <v>1910</v>
      </c>
      <c r="P3141" s="5"/>
      <c r="Q3141" s="5" t="s">
        <v>2090</v>
      </c>
    </row>
    <row r="3142" spans="2:17" x14ac:dyDescent="0.2">
      <c r="B3142" s="5" t="s">
        <v>1906</v>
      </c>
      <c r="C3142" s="6" t="s">
        <v>13587</v>
      </c>
      <c r="D3142" s="4">
        <v>556</v>
      </c>
      <c r="E3142" s="5" t="s">
        <v>32</v>
      </c>
      <c r="F3142" s="5" t="s">
        <v>2062</v>
      </c>
      <c r="G3142" s="6" t="s">
        <v>14</v>
      </c>
      <c r="H3142" s="4">
        <v>226</v>
      </c>
      <c r="I3142" s="5" t="s">
        <v>38</v>
      </c>
      <c r="J3142" s="5" t="s">
        <v>2063</v>
      </c>
      <c r="K3142" s="5" t="s">
        <v>1966</v>
      </c>
      <c r="L3142" s="5"/>
      <c r="M3142" s="5" t="s">
        <v>1436</v>
      </c>
      <c r="N3142" s="5" t="s">
        <v>1442</v>
      </c>
      <c r="O3142" s="5" t="s">
        <v>1939</v>
      </c>
      <c r="P3142" s="5"/>
      <c r="Q3142" s="5" t="s">
        <v>2064</v>
      </c>
    </row>
    <row r="3143" spans="2:17" x14ac:dyDescent="0.2">
      <c r="B3143" s="5" t="s">
        <v>1906</v>
      </c>
      <c r="C3143" s="6" t="s">
        <v>13587</v>
      </c>
      <c r="D3143" s="4">
        <v>558</v>
      </c>
      <c r="E3143" s="5" t="s">
        <v>24</v>
      </c>
      <c r="F3143" s="5" t="s">
        <v>1974</v>
      </c>
      <c r="G3143" s="6" t="s">
        <v>14</v>
      </c>
      <c r="H3143" s="4">
        <v>227</v>
      </c>
      <c r="I3143" s="5" t="s">
        <v>22</v>
      </c>
      <c r="J3143" s="5" t="s">
        <v>1975</v>
      </c>
      <c r="K3143" s="5" t="s">
        <v>1976</v>
      </c>
      <c r="L3143" s="5"/>
      <c r="M3143" s="5" t="s">
        <v>106</v>
      </c>
      <c r="N3143" s="5" t="s">
        <v>106</v>
      </c>
      <c r="O3143" s="5" t="s">
        <v>1977</v>
      </c>
      <c r="P3143" s="5"/>
      <c r="Q3143" s="5" t="s">
        <v>1978</v>
      </c>
    </row>
    <row r="3144" spans="2:17" x14ac:dyDescent="0.2">
      <c r="B3144" s="5" t="s">
        <v>1906</v>
      </c>
      <c r="C3144" s="6" t="s">
        <v>13587</v>
      </c>
      <c r="D3144" s="4">
        <v>559</v>
      </c>
      <c r="E3144" s="5" t="s">
        <v>32</v>
      </c>
      <c r="F3144" s="5" t="s">
        <v>1964</v>
      </c>
      <c r="G3144" s="6" t="s">
        <v>14</v>
      </c>
      <c r="H3144" s="4">
        <v>228</v>
      </c>
      <c r="I3144" s="5" t="s">
        <v>38</v>
      </c>
      <c r="J3144" s="5" t="s">
        <v>1968</v>
      </c>
      <c r="K3144" s="5" t="s">
        <v>1969</v>
      </c>
      <c r="L3144" s="5"/>
      <c r="M3144" s="5" t="s">
        <v>337</v>
      </c>
      <c r="N3144" s="5" t="s">
        <v>337</v>
      </c>
      <c r="O3144" s="5" t="s">
        <v>1939</v>
      </c>
      <c r="P3144" s="5"/>
      <c r="Q3144" s="5" t="s">
        <v>1970</v>
      </c>
    </row>
    <row r="3145" spans="2:17" x14ac:dyDescent="0.2">
      <c r="B3145" s="5" t="s">
        <v>1906</v>
      </c>
      <c r="C3145" s="6" t="s">
        <v>13587</v>
      </c>
      <c r="D3145" s="4">
        <v>560</v>
      </c>
      <c r="E3145" s="5" t="s">
        <v>32</v>
      </c>
      <c r="F3145" s="5" t="s">
        <v>1964</v>
      </c>
      <c r="G3145" s="6" t="s">
        <v>14</v>
      </c>
      <c r="H3145" s="4">
        <v>229</v>
      </c>
      <c r="I3145" s="5" t="s">
        <v>38</v>
      </c>
      <c r="J3145" s="5" t="s">
        <v>1971</v>
      </c>
      <c r="K3145" s="5" t="s">
        <v>1972</v>
      </c>
      <c r="L3145" s="5"/>
      <c r="M3145" s="5" t="s">
        <v>337</v>
      </c>
      <c r="N3145" s="5" t="s">
        <v>337</v>
      </c>
      <c r="O3145" s="5" t="s">
        <v>1939</v>
      </c>
      <c r="P3145" s="5"/>
      <c r="Q3145" s="5" t="s">
        <v>1973</v>
      </c>
    </row>
    <row r="3146" spans="2:17" x14ac:dyDescent="0.2">
      <c r="B3146" s="5" t="s">
        <v>1906</v>
      </c>
      <c r="C3146" s="6" t="s">
        <v>13587</v>
      </c>
      <c r="D3146" s="4">
        <v>561</v>
      </c>
      <c r="E3146" s="5" t="s">
        <v>32</v>
      </c>
      <c r="F3146" s="5" t="s">
        <v>2001</v>
      </c>
      <c r="G3146" s="6" t="s">
        <v>14</v>
      </c>
      <c r="H3146" s="4">
        <v>230</v>
      </c>
      <c r="I3146" s="5" t="s">
        <v>38</v>
      </c>
      <c r="J3146" s="5" t="s">
        <v>2044</v>
      </c>
      <c r="K3146" s="5" t="s">
        <v>2045</v>
      </c>
      <c r="L3146" s="5"/>
      <c r="M3146" s="5" t="s">
        <v>1802</v>
      </c>
      <c r="N3146" s="5" t="s">
        <v>337</v>
      </c>
      <c r="O3146" s="5" t="s">
        <v>2057</v>
      </c>
      <c r="P3146" s="5"/>
      <c r="Q3146" s="5" t="s">
        <v>2058</v>
      </c>
    </row>
    <row r="3147" spans="2:17" x14ac:dyDescent="0.2">
      <c r="B3147" s="5" t="s">
        <v>1906</v>
      </c>
      <c r="C3147" s="6" t="s">
        <v>13587</v>
      </c>
      <c r="D3147" s="4">
        <v>562</v>
      </c>
      <c r="E3147" s="5" t="s">
        <v>32</v>
      </c>
      <c r="F3147" s="5" t="s">
        <v>2001</v>
      </c>
      <c r="G3147" s="6" t="s">
        <v>14</v>
      </c>
      <c r="H3147" s="4">
        <v>231</v>
      </c>
      <c r="I3147" s="5" t="s">
        <v>38</v>
      </c>
      <c r="J3147" s="5" t="s">
        <v>2029</v>
      </c>
      <c r="K3147" s="5" t="s">
        <v>2059</v>
      </c>
      <c r="L3147" s="5"/>
      <c r="M3147" s="5" t="s">
        <v>1802</v>
      </c>
      <c r="N3147" s="5" t="s">
        <v>337</v>
      </c>
      <c r="O3147" s="5" t="s">
        <v>2057</v>
      </c>
      <c r="P3147" s="5"/>
      <c r="Q3147" s="5" t="s">
        <v>2060</v>
      </c>
    </row>
    <row r="3148" spans="2:17" x14ac:dyDescent="0.2">
      <c r="B3148" s="5" t="s">
        <v>1906</v>
      </c>
      <c r="C3148" s="6" t="s">
        <v>13587</v>
      </c>
      <c r="D3148" s="4">
        <v>563</v>
      </c>
      <c r="E3148" s="5" t="s">
        <v>32</v>
      </c>
      <c r="F3148" s="5" t="s">
        <v>2001</v>
      </c>
      <c r="G3148" s="6" t="s">
        <v>14</v>
      </c>
      <c r="H3148" s="4">
        <v>232</v>
      </c>
      <c r="I3148" s="5" t="s">
        <v>38</v>
      </c>
      <c r="J3148" s="5" t="s">
        <v>2024</v>
      </c>
      <c r="K3148" s="5" t="s">
        <v>1938</v>
      </c>
      <c r="L3148" s="5"/>
      <c r="M3148" s="5" t="s">
        <v>1802</v>
      </c>
      <c r="N3148" s="5" t="s">
        <v>337</v>
      </c>
      <c r="O3148" s="5" t="s">
        <v>1935</v>
      </c>
      <c r="P3148" s="5"/>
      <c r="Q3148" s="5" t="s">
        <v>2061</v>
      </c>
    </row>
    <row r="3149" spans="2:17" x14ac:dyDescent="0.2">
      <c r="B3149" s="5" t="s">
        <v>1906</v>
      </c>
      <c r="C3149" s="6" t="s">
        <v>13587</v>
      </c>
      <c r="D3149" s="4">
        <v>564</v>
      </c>
      <c r="E3149" s="5" t="s">
        <v>20</v>
      </c>
      <c r="F3149" s="5" t="s">
        <v>1979</v>
      </c>
      <c r="G3149" s="6" t="s">
        <v>14</v>
      </c>
      <c r="H3149" s="4">
        <v>233</v>
      </c>
      <c r="I3149" s="5" t="s">
        <v>22</v>
      </c>
      <c r="J3149" s="5" t="s">
        <v>1980</v>
      </c>
      <c r="K3149" s="5" t="s">
        <v>1981</v>
      </c>
      <c r="L3149" s="5"/>
      <c r="M3149" s="5" t="s">
        <v>1802</v>
      </c>
      <c r="N3149" s="5" t="s">
        <v>337</v>
      </c>
      <c r="O3149" s="5" t="s">
        <v>1910</v>
      </c>
      <c r="P3149" s="5"/>
      <c r="Q3149" s="5" t="s">
        <v>1982</v>
      </c>
    </row>
    <row r="3150" spans="2:17" x14ac:dyDescent="0.2">
      <c r="B3150" s="5" t="s">
        <v>1906</v>
      </c>
      <c r="C3150" s="6" t="s">
        <v>13587</v>
      </c>
      <c r="D3150" s="4">
        <v>565</v>
      </c>
      <c r="E3150" s="5" t="s">
        <v>32</v>
      </c>
      <c r="F3150" s="5" t="s">
        <v>1983</v>
      </c>
      <c r="G3150" s="6" t="s">
        <v>14</v>
      </c>
      <c r="H3150" s="4">
        <v>234</v>
      </c>
      <c r="I3150" s="5" t="s">
        <v>22</v>
      </c>
      <c r="J3150" s="5" t="s">
        <v>1986</v>
      </c>
      <c r="K3150" s="5" t="s">
        <v>1987</v>
      </c>
      <c r="L3150" s="5"/>
      <c r="M3150" s="5" t="s">
        <v>1802</v>
      </c>
      <c r="N3150" s="5" t="s">
        <v>337</v>
      </c>
      <c r="O3150" s="5" t="s">
        <v>1988</v>
      </c>
      <c r="P3150" s="5"/>
      <c r="Q3150" s="5" t="s">
        <v>1989</v>
      </c>
    </row>
    <row r="3151" spans="2:17" x14ac:dyDescent="0.2">
      <c r="B3151" s="5" t="s">
        <v>1906</v>
      </c>
      <c r="C3151" s="6" t="s">
        <v>13587</v>
      </c>
      <c r="D3151" s="4">
        <v>566</v>
      </c>
      <c r="E3151" s="5" t="s">
        <v>32</v>
      </c>
      <c r="F3151" s="5" t="s">
        <v>1983</v>
      </c>
      <c r="G3151" s="6" t="s">
        <v>14</v>
      </c>
      <c r="H3151" s="4">
        <v>235</v>
      </c>
      <c r="I3151" s="5" t="s">
        <v>22</v>
      </c>
      <c r="J3151" s="5" t="s">
        <v>1990</v>
      </c>
      <c r="K3151" s="5" t="s">
        <v>1991</v>
      </c>
      <c r="L3151" s="5"/>
      <c r="M3151" s="5" t="s">
        <v>1802</v>
      </c>
      <c r="N3151" s="5" t="s">
        <v>337</v>
      </c>
      <c r="O3151" s="5" t="s">
        <v>1988</v>
      </c>
      <c r="P3151" s="5"/>
      <c r="Q3151" s="5" t="s">
        <v>1992</v>
      </c>
    </row>
    <row r="3152" spans="2:17" x14ac:dyDescent="0.2">
      <c r="B3152" s="5" t="s">
        <v>1906</v>
      </c>
      <c r="C3152" s="6" t="s">
        <v>13587</v>
      </c>
      <c r="D3152" s="4">
        <v>567</v>
      </c>
      <c r="E3152" s="5" t="s">
        <v>32</v>
      </c>
      <c r="F3152" s="5" t="s">
        <v>1983</v>
      </c>
      <c r="G3152" s="6" t="s">
        <v>14</v>
      </c>
      <c r="H3152" s="4">
        <v>236</v>
      </c>
      <c r="I3152" s="5" t="s">
        <v>22</v>
      </c>
      <c r="J3152" s="5" t="s">
        <v>1993</v>
      </c>
      <c r="K3152" s="5" t="s">
        <v>1994</v>
      </c>
      <c r="L3152" s="5"/>
      <c r="M3152" s="5" t="s">
        <v>1802</v>
      </c>
      <c r="N3152" s="5" t="s">
        <v>337</v>
      </c>
      <c r="O3152" s="5" t="s">
        <v>1910</v>
      </c>
      <c r="P3152" s="5"/>
      <c r="Q3152" s="5" t="s">
        <v>1995</v>
      </c>
    </row>
    <row r="3153" spans="2:17" x14ac:dyDescent="0.2">
      <c r="B3153" s="5" t="s">
        <v>1906</v>
      </c>
      <c r="C3153" s="6" t="s">
        <v>13587</v>
      </c>
      <c r="D3153" s="4">
        <v>568</v>
      </c>
      <c r="E3153" s="5" t="s">
        <v>20</v>
      </c>
      <c r="F3153" s="5" t="s">
        <v>1983</v>
      </c>
      <c r="G3153" s="6" t="s">
        <v>14</v>
      </c>
      <c r="H3153" s="4">
        <v>237</v>
      </c>
      <c r="I3153" s="5" t="s">
        <v>22</v>
      </c>
      <c r="J3153" s="5" t="s">
        <v>1984</v>
      </c>
      <c r="K3153" s="5" t="s">
        <v>1981</v>
      </c>
      <c r="L3153" s="5"/>
      <c r="M3153" s="5" t="s">
        <v>1802</v>
      </c>
      <c r="N3153" s="5" t="s">
        <v>337</v>
      </c>
      <c r="O3153" s="5" t="s">
        <v>1910</v>
      </c>
      <c r="P3153" s="5"/>
      <c r="Q3153" s="5" t="s">
        <v>1985</v>
      </c>
    </row>
    <row r="3154" spans="2:17" x14ac:dyDescent="0.2">
      <c r="B3154" s="5" t="s">
        <v>1906</v>
      </c>
      <c r="C3154" s="6" t="s">
        <v>13587</v>
      </c>
      <c r="D3154" s="4">
        <v>569</v>
      </c>
      <c r="E3154" s="5" t="s">
        <v>32</v>
      </c>
      <c r="F3154" s="5" t="s">
        <v>1983</v>
      </c>
      <c r="G3154" s="6" t="s">
        <v>14</v>
      </c>
      <c r="H3154" s="4">
        <v>238</v>
      </c>
      <c r="I3154" s="5" t="s">
        <v>22</v>
      </c>
      <c r="J3154" s="5" t="s">
        <v>1996</v>
      </c>
      <c r="K3154" s="5" t="s">
        <v>1997</v>
      </c>
      <c r="L3154" s="5"/>
      <c r="M3154" s="5" t="s">
        <v>1802</v>
      </c>
      <c r="N3154" s="5" t="s">
        <v>337</v>
      </c>
      <c r="O3154" s="5" t="s">
        <v>1910</v>
      </c>
      <c r="P3154" s="5"/>
      <c r="Q3154" s="5" t="s">
        <v>1998</v>
      </c>
    </row>
    <row r="3155" spans="2:17" x14ac:dyDescent="0.2">
      <c r="B3155" s="5" t="s">
        <v>1906</v>
      </c>
      <c r="C3155" s="6" t="s">
        <v>13587</v>
      </c>
      <c r="D3155" s="4">
        <v>570</v>
      </c>
      <c r="E3155" s="5" t="s">
        <v>32</v>
      </c>
      <c r="F3155" s="5" t="s">
        <v>1983</v>
      </c>
      <c r="G3155" s="6" t="s">
        <v>14</v>
      </c>
      <c r="H3155" s="4">
        <v>239</v>
      </c>
      <c r="I3155" s="5" t="s">
        <v>22</v>
      </c>
      <c r="J3155" s="5" t="s">
        <v>1999</v>
      </c>
      <c r="K3155" s="5" t="s">
        <v>1976</v>
      </c>
      <c r="L3155" s="5"/>
      <c r="M3155" s="5" t="s">
        <v>1802</v>
      </c>
      <c r="N3155" s="5" t="s">
        <v>337</v>
      </c>
      <c r="O3155" s="5" t="s">
        <v>1977</v>
      </c>
      <c r="P3155" s="5"/>
      <c r="Q3155" s="5" t="s">
        <v>2000</v>
      </c>
    </row>
    <row r="3156" spans="2:17" x14ac:dyDescent="0.2">
      <c r="B3156" s="5" t="s">
        <v>1906</v>
      </c>
      <c r="C3156" s="6" t="s">
        <v>13587</v>
      </c>
      <c r="D3156" s="4">
        <v>571</v>
      </c>
      <c r="E3156" s="5" t="s">
        <v>32</v>
      </c>
      <c r="F3156" s="5" t="s">
        <v>1964</v>
      </c>
      <c r="G3156" s="6" t="s">
        <v>14</v>
      </c>
      <c r="H3156" s="4">
        <v>240</v>
      </c>
      <c r="I3156" s="5" t="s">
        <v>22</v>
      </c>
      <c r="J3156" s="5" t="s">
        <v>1965</v>
      </c>
      <c r="K3156" s="5" t="s">
        <v>1966</v>
      </c>
      <c r="L3156" s="5"/>
      <c r="M3156" s="5" t="s">
        <v>337</v>
      </c>
      <c r="N3156" s="5" t="s">
        <v>337</v>
      </c>
      <c r="O3156" s="5" t="s">
        <v>1939</v>
      </c>
      <c r="P3156" s="5"/>
      <c r="Q3156" s="5" t="s">
        <v>1967</v>
      </c>
    </row>
    <row r="3157" spans="2:17" x14ac:dyDescent="0.2">
      <c r="B3157" s="5" t="s">
        <v>1906</v>
      </c>
      <c r="C3157" s="6" t="s">
        <v>13587</v>
      </c>
      <c r="D3157" s="4">
        <v>572</v>
      </c>
      <c r="E3157" s="5" t="s">
        <v>32</v>
      </c>
      <c r="F3157" s="5" t="s">
        <v>2001</v>
      </c>
      <c r="G3157" s="6" t="s">
        <v>14</v>
      </c>
      <c r="H3157" s="4">
        <v>241</v>
      </c>
      <c r="I3157" s="5" t="s">
        <v>38</v>
      </c>
      <c r="J3157" s="5" t="s">
        <v>2002</v>
      </c>
      <c r="K3157" s="5" t="s">
        <v>2003</v>
      </c>
      <c r="L3157" s="5"/>
      <c r="M3157" s="5" t="s">
        <v>1802</v>
      </c>
      <c r="N3157" s="5" t="s">
        <v>337</v>
      </c>
      <c r="O3157" s="5" t="s">
        <v>1977</v>
      </c>
      <c r="P3157" s="5"/>
      <c r="Q3157" s="5" t="s">
        <v>2004</v>
      </c>
    </row>
    <row r="3158" spans="2:17" x14ac:dyDescent="0.2">
      <c r="B3158" s="5" t="s">
        <v>1906</v>
      </c>
      <c r="C3158" s="6" t="s">
        <v>13587</v>
      </c>
      <c r="D3158" s="4">
        <v>573</v>
      </c>
      <c r="E3158" s="5" t="s">
        <v>32</v>
      </c>
      <c r="F3158" s="5" t="s">
        <v>2001</v>
      </c>
      <c r="G3158" s="6" t="s">
        <v>14</v>
      </c>
      <c r="H3158" s="4">
        <v>242</v>
      </c>
      <c r="I3158" s="5" t="s">
        <v>38</v>
      </c>
      <c r="J3158" s="5" t="s">
        <v>2005</v>
      </c>
      <c r="K3158" s="5" t="s">
        <v>2006</v>
      </c>
      <c r="L3158" s="5"/>
      <c r="M3158" s="5" t="s">
        <v>1802</v>
      </c>
      <c r="N3158" s="5" t="s">
        <v>337</v>
      </c>
      <c r="O3158" s="5" t="s">
        <v>1977</v>
      </c>
      <c r="P3158" s="5"/>
      <c r="Q3158" s="5" t="s">
        <v>2004</v>
      </c>
    </row>
    <row r="3159" spans="2:17" x14ac:dyDescent="0.2">
      <c r="B3159" s="5" t="s">
        <v>1906</v>
      </c>
      <c r="C3159" s="6" t="s">
        <v>13587</v>
      </c>
      <c r="D3159" s="4">
        <v>574</v>
      </c>
      <c r="E3159" s="5" t="s">
        <v>32</v>
      </c>
      <c r="F3159" s="5" t="s">
        <v>2001</v>
      </c>
      <c r="G3159" s="6" t="s">
        <v>14</v>
      </c>
      <c r="H3159" s="4">
        <v>243</v>
      </c>
      <c r="I3159" s="5" t="s">
        <v>38</v>
      </c>
      <c r="J3159" s="5" t="s">
        <v>2007</v>
      </c>
      <c r="K3159" s="5" t="s">
        <v>2008</v>
      </c>
      <c r="L3159" s="5"/>
      <c r="M3159" s="5" t="s">
        <v>1802</v>
      </c>
      <c r="N3159" s="5" t="s">
        <v>337</v>
      </c>
      <c r="O3159" s="5" t="s">
        <v>1977</v>
      </c>
      <c r="P3159" s="5"/>
      <c r="Q3159" s="5" t="s">
        <v>2009</v>
      </c>
    </row>
    <row r="3160" spans="2:17" x14ac:dyDescent="0.2">
      <c r="B3160" s="5" t="s">
        <v>1906</v>
      </c>
      <c r="C3160" s="6" t="s">
        <v>13587</v>
      </c>
      <c r="D3160" s="4">
        <v>575</v>
      </c>
      <c r="E3160" s="5" t="s">
        <v>32</v>
      </c>
      <c r="F3160" s="5" t="s">
        <v>2001</v>
      </c>
      <c r="G3160" s="6" t="s">
        <v>14</v>
      </c>
      <c r="H3160" s="4">
        <v>244</v>
      </c>
      <c r="I3160" s="5" t="s">
        <v>38</v>
      </c>
      <c r="J3160" s="5" t="s">
        <v>2010</v>
      </c>
      <c r="K3160" s="5" t="s">
        <v>2011</v>
      </c>
      <c r="L3160" s="5"/>
      <c r="M3160" s="5" t="s">
        <v>1802</v>
      </c>
      <c r="N3160" s="5" t="s">
        <v>337</v>
      </c>
      <c r="O3160" s="5" t="s">
        <v>1977</v>
      </c>
      <c r="P3160" s="5"/>
      <c r="Q3160" s="5" t="s">
        <v>2009</v>
      </c>
    </row>
    <row r="3161" spans="2:17" x14ac:dyDescent="0.2">
      <c r="B3161" s="5" t="s">
        <v>1906</v>
      </c>
      <c r="C3161" s="6" t="s">
        <v>13587</v>
      </c>
      <c r="D3161" s="4">
        <v>576</v>
      </c>
      <c r="E3161" s="5" t="s">
        <v>32</v>
      </c>
      <c r="F3161" s="5" t="s">
        <v>2001</v>
      </c>
      <c r="G3161" s="6" t="s">
        <v>14</v>
      </c>
      <c r="H3161" s="4">
        <v>245</v>
      </c>
      <c r="I3161" s="5" t="s">
        <v>38</v>
      </c>
      <c r="J3161" s="5" t="s">
        <v>2012</v>
      </c>
      <c r="K3161" s="5" t="s">
        <v>2013</v>
      </c>
      <c r="L3161" s="5"/>
      <c r="M3161" s="5" t="s">
        <v>1802</v>
      </c>
      <c r="N3161" s="5" t="s">
        <v>337</v>
      </c>
      <c r="O3161" s="5" t="s">
        <v>1977</v>
      </c>
      <c r="P3161" s="5"/>
      <c r="Q3161" s="5" t="s">
        <v>2014</v>
      </c>
    </row>
    <row r="3162" spans="2:17" x14ac:dyDescent="0.2">
      <c r="B3162" s="5" t="s">
        <v>1906</v>
      </c>
      <c r="C3162" s="6" t="s">
        <v>13587</v>
      </c>
      <c r="D3162" s="4">
        <v>577</v>
      </c>
      <c r="E3162" s="5" t="s">
        <v>32</v>
      </c>
      <c r="F3162" s="5" t="s">
        <v>2001</v>
      </c>
      <c r="G3162" s="6" t="s">
        <v>14</v>
      </c>
      <c r="H3162" s="4">
        <v>246</v>
      </c>
      <c r="I3162" s="5" t="s">
        <v>38</v>
      </c>
      <c r="J3162" s="5" t="s">
        <v>2015</v>
      </c>
      <c r="K3162" s="5" t="s">
        <v>2016</v>
      </c>
      <c r="L3162" s="5"/>
      <c r="M3162" s="5" t="s">
        <v>1802</v>
      </c>
      <c r="N3162" s="5" t="s">
        <v>337</v>
      </c>
      <c r="O3162" s="5" t="s">
        <v>1945</v>
      </c>
      <c r="P3162" s="5"/>
      <c r="Q3162" s="5" t="s">
        <v>2017</v>
      </c>
    </row>
    <row r="3163" spans="2:17" x14ac:dyDescent="0.2">
      <c r="B3163" s="5" t="s">
        <v>1906</v>
      </c>
      <c r="C3163" s="6" t="s">
        <v>13587</v>
      </c>
      <c r="D3163" s="4">
        <v>578</v>
      </c>
      <c r="E3163" s="5" t="s">
        <v>32</v>
      </c>
      <c r="F3163" s="5" t="s">
        <v>2001</v>
      </c>
      <c r="G3163" s="6" t="s">
        <v>14</v>
      </c>
      <c r="H3163" s="4">
        <v>247</v>
      </c>
      <c r="I3163" s="5" t="s">
        <v>38</v>
      </c>
      <c r="J3163" s="5" t="s">
        <v>2018</v>
      </c>
      <c r="K3163" s="5" t="s">
        <v>2019</v>
      </c>
      <c r="L3163" s="5"/>
      <c r="M3163" s="5" t="s">
        <v>1802</v>
      </c>
      <c r="N3163" s="5" t="s">
        <v>337</v>
      </c>
      <c r="O3163" s="5" t="s">
        <v>1916</v>
      </c>
      <c r="P3163" s="5"/>
      <c r="Q3163" s="5" t="s">
        <v>2020</v>
      </c>
    </row>
    <row r="3164" spans="2:17" x14ac:dyDescent="0.2">
      <c r="B3164" s="5" t="s">
        <v>1906</v>
      </c>
      <c r="C3164" s="6" t="s">
        <v>13587</v>
      </c>
      <c r="D3164" s="4">
        <v>579</v>
      </c>
      <c r="E3164" s="5" t="s">
        <v>32</v>
      </c>
      <c r="F3164" s="5" t="s">
        <v>2001</v>
      </c>
      <c r="G3164" s="6" t="s">
        <v>14</v>
      </c>
      <c r="H3164" s="4">
        <v>248</v>
      </c>
      <c r="I3164" s="5" t="s">
        <v>38</v>
      </c>
      <c r="J3164" s="5" t="s">
        <v>2021</v>
      </c>
      <c r="K3164" s="5" t="s">
        <v>2022</v>
      </c>
      <c r="L3164" s="5"/>
      <c r="M3164" s="5" t="s">
        <v>1802</v>
      </c>
      <c r="N3164" s="5" t="s">
        <v>337</v>
      </c>
      <c r="O3164" s="5" t="s">
        <v>1977</v>
      </c>
      <c r="P3164" s="5"/>
      <c r="Q3164" s="5" t="s">
        <v>2023</v>
      </c>
    </row>
    <row r="3165" spans="2:17" x14ac:dyDescent="0.2">
      <c r="B3165" s="5" t="s">
        <v>1906</v>
      </c>
      <c r="C3165" s="6" t="s">
        <v>13587</v>
      </c>
      <c r="D3165" s="4">
        <v>580</v>
      </c>
      <c r="E3165" s="5" t="s">
        <v>32</v>
      </c>
      <c r="F3165" s="5" t="s">
        <v>2001</v>
      </c>
      <c r="G3165" s="6" t="s">
        <v>14</v>
      </c>
      <c r="H3165" s="4">
        <v>249</v>
      </c>
      <c r="I3165" s="5" t="s">
        <v>38</v>
      </c>
      <c r="J3165" s="5" t="s">
        <v>2024</v>
      </c>
      <c r="K3165" s="5" t="s">
        <v>1938</v>
      </c>
      <c r="L3165" s="5"/>
      <c r="M3165" s="5" t="s">
        <v>1802</v>
      </c>
      <c r="N3165" s="5" t="s">
        <v>337</v>
      </c>
      <c r="O3165" s="5" t="s">
        <v>1935</v>
      </c>
      <c r="P3165" s="5"/>
      <c r="Q3165" s="5" t="s">
        <v>2025</v>
      </c>
    </row>
    <row r="3166" spans="2:17" x14ac:dyDescent="0.2">
      <c r="B3166" s="5" t="s">
        <v>1906</v>
      </c>
      <c r="C3166" s="6" t="s">
        <v>13587</v>
      </c>
      <c r="D3166" s="4">
        <v>581</v>
      </c>
      <c r="E3166" s="5" t="s">
        <v>32</v>
      </c>
      <c r="F3166" s="5" t="s">
        <v>2001</v>
      </c>
      <c r="G3166" s="6" t="s">
        <v>14</v>
      </c>
      <c r="H3166" s="4">
        <v>250</v>
      </c>
      <c r="I3166" s="5" t="s">
        <v>38</v>
      </c>
      <c r="J3166" s="5" t="s">
        <v>2026</v>
      </c>
      <c r="K3166" s="5" t="s">
        <v>2027</v>
      </c>
      <c r="L3166" s="5"/>
      <c r="M3166" s="5" t="s">
        <v>1802</v>
      </c>
      <c r="N3166" s="5" t="s">
        <v>337</v>
      </c>
      <c r="O3166" s="5" t="s">
        <v>1910</v>
      </c>
      <c r="P3166" s="5"/>
      <c r="Q3166" s="5" t="s">
        <v>2028</v>
      </c>
    </row>
    <row r="3167" spans="2:17" x14ac:dyDescent="0.2">
      <c r="B3167" s="5" t="s">
        <v>1906</v>
      </c>
      <c r="C3167" s="6" t="s">
        <v>13587</v>
      </c>
      <c r="D3167" s="4">
        <v>582</v>
      </c>
      <c r="E3167" s="5" t="s">
        <v>32</v>
      </c>
      <c r="F3167" s="5" t="s">
        <v>2001</v>
      </c>
      <c r="G3167" s="6" t="s">
        <v>14</v>
      </c>
      <c r="H3167" s="4">
        <v>251</v>
      </c>
      <c r="I3167" s="5" t="s">
        <v>38</v>
      </c>
      <c r="J3167" s="5" t="s">
        <v>2029</v>
      </c>
      <c r="K3167" s="5" t="s">
        <v>2030</v>
      </c>
      <c r="L3167" s="5"/>
      <c r="M3167" s="5" t="s">
        <v>1802</v>
      </c>
      <c r="N3167" s="5" t="s">
        <v>337</v>
      </c>
      <c r="O3167" s="5" t="s">
        <v>1935</v>
      </c>
      <c r="P3167" s="5"/>
      <c r="Q3167" s="5" t="s">
        <v>2028</v>
      </c>
    </row>
    <row r="3168" spans="2:17" x14ac:dyDescent="0.2">
      <c r="B3168" s="5" t="s">
        <v>1906</v>
      </c>
      <c r="C3168" s="6" t="s">
        <v>13587</v>
      </c>
      <c r="D3168" s="4">
        <v>583</v>
      </c>
      <c r="E3168" s="5" t="s">
        <v>32</v>
      </c>
      <c r="F3168" s="5" t="s">
        <v>2001</v>
      </c>
      <c r="G3168" s="6" t="s">
        <v>14</v>
      </c>
      <c r="H3168" s="4">
        <v>252</v>
      </c>
      <c r="I3168" s="5" t="s">
        <v>38</v>
      </c>
      <c r="J3168" s="5" t="s">
        <v>2031</v>
      </c>
      <c r="K3168" s="5" t="s">
        <v>2032</v>
      </c>
      <c r="L3168" s="5"/>
      <c r="M3168" s="5" t="s">
        <v>1802</v>
      </c>
      <c r="N3168" s="5" t="s">
        <v>337</v>
      </c>
      <c r="O3168" s="5" t="s">
        <v>1977</v>
      </c>
      <c r="P3168" s="5"/>
      <c r="Q3168" s="5" t="s">
        <v>2033</v>
      </c>
    </row>
    <row r="3169" spans="2:17" x14ac:dyDescent="0.2">
      <c r="B3169" s="5" t="s">
        <v>1906</v>
      </c>
      <c r="C3169" s="6" t="s">
        <v>13587</v>
      </c>
      <c r="D3169" s="4">
        <v>584</v>
      </c>
      <c r="E3169" s="5" t="s">
        <v>32</v>
      </c>
      <c r="F3169" s="5" t="s">
        <v>2001</v>
      </c>
      <c r="G3169" s="6" t="s">
        <v>14</v>
      </c>
      <c r="H3169" s="4">
        <v>253</v>
      </c>
      <c r="I3169" s="5" t="s">
        <v>38</v>
      </c>
      <c r="J3169" s="5" t="s">
        <v>2034</v>
      </c>
      <c r="K3169" s="5" t="s">
        <v>1961</v>
      </c>
      <c r="L3169" s="5"/>
      <c r="M3169" s="5" t="s">
        <v>1802</v>
      </c>
      <c r="N3169" s="5" t="s">
        <v>337</v>
      </c>
      <c r="O3169" s="5" t="s">
        <v>1945</v>
      </c>
      <c r="P3169" s="5"/>
      <c r="Q3169" s="5" t="s">
        <v>2035</v>
      </c>
    </row>
    <row r="3170" spans="2:17" x14ac:dyDescent="0.2">
      <c r="B3170" s="5" t="s">
        <v>1906</v>
      </c>
      <c r="C3170" s="6" t="s">
        <v>13587</v>
      </c>
      <c r="D3170" s="4">
        <v>585</v>
      </c>
      <c r="E3170" s="5" t="s">
        <v>32</v>
      </c>
      <c r="F3170" s="5" t="s">
        <v>2001</v>
      </c>
      <c r="G3170" s="6" t="s">
        <v>14</v>
      </c>
      <c r="H3170" s="4">
        <v>254</v>
      </c>
      <c r="I3170" s="5" t="s">
        <v>38</v>
      </c>
      <c r="J3170" s="5" t="s">
        <v>2036</v>
      </c>
      <c r="K3170" s="5" t="s">
        <v>2037</v>
      </c>
      <c r="L3170" s="5"/>
      <c r="M3170" s="5" t="s">
        <v>1802</v>
      </c>
      <c r="N3170" s="5" t="s">
        <v>337</v>
      </c>
      <c r="O3170" s="5" t="s">
        <v>1910</v>
      </c>
      <c r="P3170" s="5"/>
      <c r="Q3170" s="5" t="s">
        <v>2035</v>
      </c>
    </row>
    <row r="3171" spans="2:17" x14ac:dyDescent="0.2">
      <c r="B3171" s="5" t="s">
        <v>1906</v>
      </c>
      <c r="C3171" s="6" t="s">
        <v>13587</v>
      </c>
      <c r="D3171" s="4">
        <v>586</v>
      </c>
      <c r="E3171" s="5" t="s">
        <v>32</v>
      </c>
      <c r="F3171" s="5" t="s">
        <v>2001</v>
      </c>
      <c r="G3171" s="6" t="s">
        <v>14</v>
      </c>
      <c r="H3171" s="4">
        <v>255</v>
      </c>
      <c r="I3171" s="5" t="s">
        <v>38</v>
      </c>
      <c r="J3171" s="5" t="s">
        <v>2038</v>
      </c>
      <c r="K3171" s="5" t="s">
        <v>2039</v>
      </c>
      <c r="L3171" s="5"/>
      <c r="M3171" s="5" t="s">
        <v>1802</v>
      </c>
      <c r="N3171" s="5" t="s">
        <v>337</v>
      </c>
      <c r="O3171" s="5" t="s">
        <v>1988</v>
      </c>
      <c r="P3171" s="5"/>
      <c r="Q3171" s="5" t="s">
        <v>2040</v>
      </c>
    </row>
    <row r="3172" spans="2:17" x14ac:dyDescent="0.2">
      <c r="B3172" s="5" t="s">
        <v>1906</v>
      </c>
      <c r="C3172" s="6" t="s">
        <v>13587</v>
      </c>
      <c r="D3172" s="4">
        <v>587</v>
      </c>
      <c r="E3172" s="5" t="s">
        <v>32</v>
      </c>
      <c r="F3172" s="5" t="s">
        <v>2001</v>
      </c>
      <c r="G3172" s="6" t="s">
        <v>14</v>
      </c>
      <c r="H3172" s="4">
        <v>256</v>
      </c>
      <c r="I3172" s="5" t="s">
        <v>38</v>
      </c>
      <c r="J3172" s="5" t="s">
        <v>2041</v>
      </c>
      <c r="K3172" s="5" t="s">
        <v>2042</v>
      </c>
      <c r="L3172" s="5"/>
      <c r="M3172" s="5" t="s">
        <v>1802</v>
      </c>
      <c r="N3172" s="5" t="s">
        <v>337</v>
      </c>
      <c r="O3172" s="5" t="s">
        <v>1977</v>
      </c>
      <c r="P3172" s="5"/>
      <c r="Q3172" s="5" t="s">
        <v>2043</v>
      </c>
    </row>
    <row r="3173" spans="2:17" x14ac:dyDescent="0.2">
      <c r="B3173" s="5" t="s">
        <v>1906</v>
      </c>
      <c r="C3173" s="6" t="s">
        <v>13587</v>
      </c>
      <c r="D3173" s="4">
        <v>588</v>
      </c>
      <c r="E3173" s="5" t="s">
        <v>32</v>
      </c>
      <c r="F3173" s="5" t="s">
        <v>2001</v>
      </c>
      <c r="G3173" s="6" t="s">
        <v>14</v>
      </c>
      <c r="H3173" s="4">
        <v>257</v>
      </c>
      <c r="I3173" s="5" t="s">
        <v>38</v>
      </c>
      <c r="J3173" s="5" t="s">
        <v>2044</v>
      </c>
      <c r="K3173" s="5" t="s">
        <v>2045</v>
      </c>
      <c r="L3173" s="5"/>
      <c r="M3173" s="5" t="s">
        <v>1802</v>
      </c>
      <c r="N3173" s="5" t="s">
        <v>337</v>
      </c>
      <c r="O3173" s="5" t="s">
        <v>1935</v>
      </c>
      <c r="P3173" s="5"/>
      <c r="Q3173" s="5" t="s">
        <v>2043</v>
      </c>
    </row>
    <row r="3174" spans="2:17" x14ac:dyDescent="0.2">
      <c r="B3174" s="5" t="s">
        <v>1906</v>
      </c>
      <c r="C3174" s="6" t="s">
        <v>13587</v>
      </c>
      <c r="D3174" s="4">
        <v>589</v>
      </c>
      <c r="E3174" s="5" t="s">
        <v>32</v>
      </c>
      <c r="F3174" s="5" t="s">
        <v>2001</v>
      </c>
      <c r="G3174" s="6" t="s">
        <v>14</v>
      </c>
      <c r="H3174" s="4">
        <v>258</v>
      </c>
      <c r="I3174" s="5" t="s">
        <v>38</v>
      </c>
      <c r="J3174" s="5" t="s">
        <v>2046</v>
      </c>
      <c r="K3174" s="5" t="s">
        <v>2047</v>
      </c>
      <c r="L3174" s="5"/>
      <c r="M3174" s="5" t="s">
        <v>1802</v>
      </c>
      <c r="N3174" s="5" t="s">
        <v>337</v>
      </c>
      <c r="O3174" s="5" t="s">
        <v>1977</v>
      </c>
      <c r="P3174" s="5"/>
      <c r="Q3174" s="5" t="s">
        <v>2048</v>
      </c>
    </row>
    <row r="3175" spans="2:17" x14ac:dyDescent="0.2">
      <c r="B3175" s="5" t="s">
        <v>1906</v>
      </c>
      <c r="C3175" s="6" t="s">
        <v>13587</v>
      </c>
      <c r="D3175" s="4">
        <v>590</v>
      </c>
      <c r="E3175" s="5" t="s">
        <v>32</v>
      </c>
      <c r="F3175" s="5" t="s">
        <v>2001</v>
      </c>
      <c r="G3175" s="6" t="s">
        <v>14</v>
      </c>
      <c r="H3175" s="4">
        <v>259</v>
      </c>
      <c r="I3175" s="5" t="s">
        <v>38</v>
      </c>
      <c r="J3175" s="5" t="s">
        <v>2049</v>
      </c>
      <c r="K3175" s="5" t="s">
        <v>2050</v>
      </c>
      <c r="L3175" s="5"/>
      <c r="M3175" s="5" t="s">
        <v>1802</v>
      </c>
      <c r="N3175" s="5" t="s">
        <v>337</v>
      </c>
      <c r="O3175" s="5" t="s">
        <v>1988</v>
      </c>
      <c r="P3175" s="5"/>
      <c r="Q3175" s="5" t="s">
        <v>2051</v>
      </c>
    </row>
    <row r="3176" spans="2:17" x14ac:dyDescent="0.2">
      <c r="B3176" s="5" t="s">
        <v>1906</v>
      </c>
      <c r="C3176" s="6" t="s">
        <v>13587</v>
      </c>
      <c r="D3176" s="4">
        <v>591</v>
      </c>
      <c r="E3176" s="5" t="s">
        <v>32</v>
      </c>
      <c r="F3176" s="5" t="s">
        <v>2001</v>
      </c>
      <c r="G3176" s="6" t="s">
        <v>14</v>
      </c>
      <c r="H3176" s="4">
        <v>260</v>
      </c>
      <c r="I3176" s="5" t="s">
        <v>38</v>
      </c>
      <c r="J3176" s="5" t="s">
        <v>2052</v>
      </c>
      <c r="K3176" s="5" t="s">
        <v>2053</v>
      </c>
      <c r="L3176" s="5"/>
      <c r="M3176" s="5" t="s">
        <v>1802</v>
      </c>
      <c r="N3176" s="5" t="s">
        <v>337</v>
      </c>
      <c r="O3176" s="5" t="s">
        <v>1977</v>
      </c>
      <c r="P3176" s="5"/>
      <c r="Q3176" s="5" t="s">
        <v>2051</v>
      </c>
    </row>
    <row r="3177" spans="2:17" x14ac:dyDescent="0.2">
      <c r="B3177" s="5" t="s">
        <v>1906</v>
      </c>
      <c r="C3177" s="6" t="s">
        <v>13587</v>
      </c>
      <c r="D3177" s="4">
        <v>592</v>
      </c>
      <c r="E3177" s="5" t="s">
        <v>32</v>
      </c>
      <c r="F3177" s="5" t="s">
        <v>2001</v>
      </c>
      <c r="G3177" s="6" t="s">
        <v>14</v>
      </c>
      <c r="H3177" s="4">
        <v>261</v>
      </c>
      <c r="I3177" s="5" t="s">
        <v>38</v>
      </c>
      <c r="J3177" s="5" t="s">
        <v>2054</v>
      </c>
      <c r="K3177" s="5" t="s">
        <v>2055</v>
      </c>
      <c r="L3177" s="5"/>
      <c r="M3177" s="5" t="s">
        <v>1802</v>
      </c>
      <c r="N3177" s="5" t="s">
        <v>337</v>
      </c>
      <c r="O3177" s="5" t="s">
        <v>1930</v>
      </c>
      <c r="P3177" s="5"/>
      <c r="Q3177" s="5" t="s">
        <v>2056</v>
      </c>
    </row>
    <row r="3178" spans="2:17" x14ac:dyDescent="0.2">
      <c r="B3178" s="5" t="s">
        <v>1906</v>
      </c>
      <c r="C3178" s="6" t="s">
        <v>13587</v>
      </c>
      <c r="D3178" s="4">
        <v>595</v>
      </c>
      <c r="E3178" s="5" t="s">
        <v>32</v>
      </c>
      <c r="F3178" s="5" t="s">
        <v>1950</v>
      </c>
      <c r="G3178" s="6" t="s">
        <v>14</v>
      </c>
      <c r="H3178" s="4">
        <v>262</v>
      </c>
      <c r="I3178" s="5" t="s">
        <v>38</v>
      </c>
      <c r="J3178" s="5" t="s">
        <v>1951</v>
      </c>
      <c r="K3178" s="5" t="s">
        <v>1952</v>
      </c>
      <c r="L3178" s="5"/>
      <c r="M3178" s="5" t="s">
        <v>1377</v>
      </c>
      <c r="N3178" s="5" t="s">
        <v>1385</v>
      </c>
      <c r="O3178" s="5" t="s">
        <v>1945</v>
      </c>
      <c r="P3178" s="5"/>
      <c r="Q3178" s="5" t="s">
        <v>1953</v>
      </c>
    </row>
    <row r="3179" spans="2:17" x14ac:dyDescent="0.2">
      <c r="B3179" s="5" t="s">
        <v>1906</v>
      </c>
      <c r="C3179" s="6" t="s">
        <v>13587</v>
      </c>
      <c r="D3179" s="4">
        <v>596</v>
      </c>
      <c r="E3179" s="5" t="s">
        <v>32</v>
      </c>
      <c r="F3179" s="5" t="s">
        <v>1947</v>
      </c>
      <c r="G3179" s="6" t="s">
        <v>14</v>
      </c>
      <c r="H3179" s="4">
        <v>263</v>
      </c>
      <c r="I3179" s="5" t="s">
        <v>22</v>
      </c>
      <c r="J3179" s="5" t="s">
        <v>1948</v>
      </c>
      <c r="K3179" s="5" t="s">
        <v>1919</v>
      </c>
      <c r="L3179" s="5"/>
      <c r="M3179" s="5" t="s">
        <v>1377</v>
      </c>
      <c r="N3179" s="5" t="s">
        <v>1385</v>
      </c>
      <c r="O3179" s="5" t="s">
        <v>1920</v>
      </c>
      <c r="P3179" s="5"/>
      <c r="Q3179" s="5" t="s">
        <v>1949</v>
      </c>
    </row>
    <row r="3180" spans="2:17" x14ac:dyDescent="0.2">
      <c r="B3180" s="5" t="s">
        <v>1906</v>
      </c>
      <c r="C3180" s="6" t="s">
        <v>13587</v>
      </c>
      <c r="D3180" s="4">
        <v>598</v>
      </c>
      <c r="E3180" s="5" t="s">
        <v>32</v>
      </c>
      <c r="F3180" s="5" t="s">
        <v>1932</v>
      </c>
      <c r="G3180" s="6" t="s">
        <v>14</v>
      </c>
      <c r="H3180" s="4">
        <v>264</v>
      </c>
      <c r="I3180" s="5" t="s">
        <v>38</v>
      </c>
      <c r="J3180" s="5" t="s">
        <v>1933</v>
      </c>
      <c r="K3180" s="5" t="s">
        <v>1934</v>
      </c>
      <c r="L3180" s="5"/>
      <c r="M3180" s="5" t="s">
        <v>295</v>
      </c>
      <c r="N3180" s="5" t="s">
        <v>302</v>
      </c>
      <c r="O3180" s="5" t="s">
        <v>1935</v>
      </c>
      <c r="P3180" s="5"/>
      <c r="Q3180" s="5" t="s">
        <v>1936</v>
      </c>
    </row>
    <row r="3181" spans="2:17" x14ac:dyDescent="0.2">
      <c r="B3181" s="5" t="s">
        <v>1906</v>
      </c>
      <c r="C3181" s="6" t="s">
        <v>13587</v>
      </c>
      <c r="D3181" s="4">
        <v>599</v>
      </c>
      <c r="E3181" s="5" t="s">
        <v>32</v>
      </c>
      <c r="F3181" s="5" t="s">
        <v>1932</v>
      </c>
      <c r="G3181" s="6" t="s">
        <v>14</v>
      </c>
      <c r="H3181" s="4">
        <v>265</v>
      </c>
      <c r="I3181" s="5" t="s">
        <v>38</v>
      </c>
      <c r="J3181" s="5" t="s">
        <v>1937</v>
      </c>
      <c r="K3181" s="5" t="s">
        <v>1938</v>
      </c>
      <c r="L3181" s="5"/>
      <c r="M3181" s="5" t="s">
        <v>295</v>
      </c>
      <c r="N3181" s="5" t="s">
        <v>302</v>
      </c>
      <c r="O3181" s="5" t="s">
        <v>1939</v>
      </c>
      <c r="P3181" s="5"/>
      <c r="Q3181" s="5" t="s">
        <v>1940</v>
      </c>
    </row>
    <row r="3182" spans="2:17" x14ac:dyDescent="0.2">
      <c r="B3182" s="5" t="s">
        <v>1906</v>
      </c>
      <c r="C3182" s="6" t="s">
        <v>13587</v>
      </c>
      <c r="D3182" s="4">
        <v>600</v>
      </c>
      <c r="E3182" s="5" t="s">
        <v>32</v>
      </c>
      <c r="F3182" s="5" t="s">
        <v>1932</v>
      </c>
      <c r="G3182" s="6" t="s">
        <v>14</v>
      </c>
      <c r="H3182" s="4">
        <v>266</v>
      </c>
      <c r="I3182" s="5" t="s">
        <v>38</v>
      </c>
      <c r="J3182" s="5" t="s">
        <v>1937</v>
      </c>
      <c r="K3182" s="5" t="s">
        <v>1938</v>
      </c>
      <c r="L3182" s="5"/>
      <c r="M3182" s="5" t="s">
        <v>295</v>
      </c>
      <c r="N3182" s="5" t="s">
        <v>302</v>
      </c>
      <c r="O3182" s="5" t="s">
        <v>1935</v>
      </c>
      <c r="P3182" s="5"/>
      <c r="Q3182" s="5" t="s">
        <v>1941</v>
      </c>
    </row>
    <row r="3183" spans="2:17" x14ac:dyDescent="0.2">
      <c r="B3183" s="5" t="s">
        <v>1906</v>
      </c>
      <c r="C3183" s="6" t="s">
        <v>13587</v>
      </c>
      <c r="D3183" s="4">
        <v>602</v>
      </c>
      <c r="E3183" s="5" t="s">
        <v>20</v>
      </c>
      <c r="F3183" s="5" t="s">
        <v>1912</v>
      </c>
      <c r="G3183" s="6" t="s">
        <v>14</v>
      </c>
      <c r="H3183" s="4">
        <v>267</v>
      </c>
      <c r="I3183" s="5" t="s">
        <v>38</v>
      </c>
      <c r="J3183" s="5" t="s">
        <v>1913</v>
      </c>
      <c r="K3183" s="5" t="s">
        <v>1914</v>
      </c>
      <c r="L3183" s="5"/>
      <c r="M3183" s="5" t="s">
        <v>1915</v>
      </c>
      <c r="N3183" s="5" t="s">
        <v>1247</v>
      </c>
      <c r="O3183" s="5" t="s">
        <v>1916</v>
      </c>
      <c r="P3183" s="5"/>
      <c r="Q3183" s="5" t="s">
        <v>1917</v>
      </c>
    </row>
    <row r="3184" spans="2:17" x14ac:dyDescent="0.2">
      <c r="B3184" s="5" t="s">
        <v>1906</v>
      </c>
      <c r="C3184" s="6" t="s">
        <v>13587</v>
      </c>
      <c r="D3184" s="4">
        <v>603</v>
      </c>
      <c r="E3184" s="5" t="s">
        <v>20</v>
      </c>
      <c r="F3184" s="5" t="s">
        <v>1912</v>
      </c>
      <c r="G3184" s="6" t="s">
        <v>14</v>
      </c>
      <c r="H3184" s="4">
        <v>268</v>
      </c>
      <c r="I3184" s="5" t="s">
        <v>38</v>
      </c>
      <c r="J3184" s="5" t="s">
        <v>1918</v>
      </c>
      <c r="K3184" s="5" t="s">
        <v>1919</v>
      </c>
      <c r="L3184" s="5"/>
      <c r="M3184" s="5" t="s">
        <v>1915</v>
      </c>
      <c r="N3184" s="5" t="s">
        <v>1247</v>
      </c>
      <c r="O3184" s="5" t="s">
        <v>1920</v>
      </c>
      <c r="P3184" s="5"/>
      <c r="Q3184" s="5" t="s">
        <v>1921</v>
      </c>
    </row>
    <row r="3185" spans="2:17" x14ac:dyDescent="0.2">
      <c r="B3185" s="5" t="s">
        <v>1906</v>
      </c>
      <c r="C3185" s="6" t="s">
        <v>13587</v>
      </c>
      <c r="D3185" s="4">
        <v>604</v>
      </c>
      <c r="E3185" s="5" t="s">
        <v>20</v>
      </c>
      <c r="F3185" s="5" t="s">
        <v>1912</v>
      </c>
      <c r="G3185" s="6" t="s">
        <v>14</v>
      </c>
      <c r="H3185" s="4">
        <v>269</v>
      </c>
      <c r="I3185" s="5" t="s">
        <v>38</v>
      </c>
      <c r="J3185" s="5" t="s">
        <v>1922</v>
      </c>
      <c r="K3185" s="5" t="s">
        <v>1923</v>
      </c>
      <c r="L3185" s="5"/>
      <c r="M3185" s="5" t="s">
        <v>1915</v>
      </c>
      <c r="N3185" s="5" t="s">
        <v>1247</v>
      </c>
      <c r="O3185" s="5" t="s">
        <v>1916</v>
      </c>
      <c r="P3185" s="5"/>
      <c r="Q3185" s="5" t="s">
        <v>1924</v>
      </c>
    </row>
    <row r="3186" spans="2:17" x14ac:dyDescent="0.2">
      <c r="B3186" s="5" t="s">
        <v>1906</v>
      </c>
      <c r="C3186" s="6" t="s">
        <v>13587</v>
      </c>
      <c r="D3186" s="4">
        <v>605</v>
      </c>
      <c r="E3186" s="5" t="s">
        <v>32</v>
      </c>
      <c r="F3186" s="5" t="s">
        <v>1932</v>
      </c>
      <c r="G3186" s="6" t="s">
        <v>14</v>
      </c>
      <c r="H3186" s="4">
        <v>270</v>
      </c>
      <c r="I3186" s="5" t="s">
        <v>38</v>
      </c>
      <c r="J3186" s="5" t="s">
        <v>1933</v>
      </c>
      <c r="K3186" s="5" t="s">
        <v>2288</v>
      </c>
      <c r="L3186" s="5"/>
      <c r="M3186" s="5" t="s">
        <v>2290</v>
      </c>
      <c r="N3186" s="5" t="s">
        <v>2852</v>
      </c>
      <c r="O3186" s="5" t="s">
        <v>1935</v>
      </c>
      <c r="P3186" s="5"/>
      <c r="Q3186" s="5" t="s">
        <v>2291</v>
      </c>
    </row>
    <row r="3187" spans="2:17" x14ac:dyDescent="0.2">
      <c r="B3187" s="5" t="s">
        <v>1906</v>
      </c>
      <c r="C3187" s="6" t="s">
        <v>13587</v>
      </c>
      <c r="D3187" s="4">
        <v>606</v>
      </c>
      <c r="E3187" s="5" t="s">
        <v>24</v>
      </c>
      <c r="F3187" s="5" t="s">
        <v>1907</v>
      </c>
      <c r="G3187" s="6" t="s">
        <v>14</v>
      </c>
      <c r="H3187" s="4">
        <v>271</v>
      </c>
      <c r="I3187" s="5"/>
      <c r="J3187" s="5" t="s">
        <v>1908</v>
      </c>
      <c r="K3187" s="5" t="s">
        <v>1909</v>
      </c>
      <c r="L3187" s="5"/>
      <c r="M3187" s="5" t="s">
        <v>1236</v>
      </c>
      <c r="N3187" s="5" t="s">
        <v>1236</v>
      </c>
      <c r="O3187" s="5" t="s">
        <v>1910</v>
      </c>
      <c r="P3187" s="5"/>
      <c r="Q3187" s="5" t="s">
        <v>1911</v>
      </c>
    </row>
    <row r="3188" spans="2:17" x14ac:dyDescent="0.2">
      <c r="B3188" s="5" t="s">
        <v>1906</v>
      </c>
      <c r="C3188" s="6" t="s">
        <v>13587</v>
      </c>
      <c r="D3188" s="4">
        <v>607</v>
      </c>
      <c r="E3188" s="5" t="s">
        <v>32</v>
      </c>
      <c r="F3188" s="5" t="s">
        <v>2145</v>
      </c>
      <c r="G3188" s="6" t="s">
        <v>14</v>
      </c>
      <c r="H3188" s="4">
        <v>272</v>
      </c>
      <c r="I3188" s="5" t="s">
        <v>22</v>
      </c>
      <c r="J3188" s="5" t="s">
        <v>2146</v>
      </c>
      <c r="K3188" s="5" t="s">
        <v>2108</v>
      </c>
      <c r="L3188" s="5"/>
      <c r="M3188" s="5" t="s">
        <v>1526</v>
      </c>
      <c r="N3188" s="5" t="s">
        <v>2147</v>
      </c>
      <c r="O3188" s="5" t="s">
        <v>2109</v>
      </c>
      <c r="P3188" s="5"/>
      <c r="Q3188" s="5" t="s">
        <v>2148</v>
      </c>
    </row>
    <row r="3189" spans="2:17" x14ac:dyDescent="0.2">
      <c r="B3189" s="5" t="s">
        <v>1906</v>
      </c>
      <c r="C3189" s="6" t="s">
        <v>13587</v>
      </c>
      <c r="D3189" s="4">
        <v>608</v>
      </c>
      <c r="E3189" s="5" t="s">
        <v>24</v>
      </c>
      <c r="F3189" s="5" t="s">
        <v>2247</v>
      </c>
      <c r="G3189" s="6" t="s">
        <v>14</v>
      </c>
      <c r="H3189" s="4">
        <v>273</v>
      </c>
      <c r="I3189" s="5"/>
      <c r="J3189" s="5" t="s">
        <v>2248</v>
      </c>
      <c r="K3189" s="5" t="s">
        <v>1976</v>
      </c>
      <c r="L3189" s="5"/>
      <c r="M3189" s="5" t="s">
        <v>2249</v>
      </c>
      <c r="N3189" s="5" t="s">
        <v>2249</v>
      </c>
      <c r="O3189" s="5" t="s">
        <v>1977</v>
      </c>
      <c r="P3189" s="5"/>
      <c r="Q3189" s="5" t="s">
        <v>2250</v>
      </c>
    </row>
    <row r="3190" spans="2:17" x14ac:dyDescent="0.2">
      <c r="B3190" s="5" t="s">
        <v>1906</v>
      </c>
      <c r="C3190" s="6" t="s">
        <v>13587</v>
      </c>
      <c r="D3190" s="4">
        <v>609</v>
      </c>
      <c r="E3190" s="5" t="s">
        <v>24</v>
      </c>
      <c r="F3190" s="5" t="s">
        <v>2139</v>
      </c>
      <c r="G3190" s="6" t="s">
        <v>14</v>
      </c>
      <c r="H3190" s="4">
        <v>274</v>
      </c>
      <c r="I3190" s="5"/>
      <c r="J3190" s="5" t="s">
        <v>2140</v>
      </c>
      <c r="K3190" s="5" t="s">
        <v>1976</v>
      </c>
      <c r="L3190" s="5"/>
      <c r="M3190" s="5" t="s">
        <v>400</v>
      </c>
      <c r="N3190" s="5" t="s">
        <v>400</v>
      </c>
      <c r="O3190" s="5" t="s">
        <v>1977</v>
      </c>
      <c r="P3190" s="5"/>
      <c r="Q3190" s="5" t="s">
        <v>2141</v>
      </c>
    </row>
    <row r="3191" spans="2:17" x14ac:dyDescent="0.2">
      <c r="B3191" s="5" t="s">
        <v>1906</v>
      </c>
      <c r="C3191" s="6" t="s">
        <v>13587</v>
      </c>
      <c r="D3191" s="4">
        <v>610</v>
      </c>
      <c r="E3191" s="5" t="s">
        <v>24</v>
      </c>
      <c r="F3191" s="5" t="s">
        <v>2142</v>
      </c>
      <c r="G3191" s="6" t="s">
        <v>14</v>
      </c>
      <c r="H3191" s="4">
        <v>275</v>
      </c>
      <c r="I3191" s="5"/>
      <c r="J3191" s="5" t="s">
        <v>2143</v>
      </c>
      <c r="K3191" s="5" t="s">
        <v>1976</v>
      </c>
      <c r="L3191" s="5"/>
      <c r="M3191" s="5" t="s">
        <v>400</v>
      </c>
      <c r="N3191" s="5" t="s">
        <v>400</v>
      </c>
      <c r="O3191" s="5" t="s">
        <v>1977</v>
      </c>
      <c r="P3191" s="5"/>
      <c r="Q3191" s="5" t="s">
        <v>2144</v>
      </c>
    </row>
    <row r="3192" spans="2:17" x14ac:dyDescent="0.2">
      <c r="B3192" s="5" t="s">
        <v>1906</v>
      </c>
      <c r="C3192" s="6" t="s">
        <v>13587</v>
      </c>
      <c r="D3192" s="4">
        <v>611</v>
      </c>
      <c r="E3192" s="5" t="s">
        <v>82</v>
      </c>
      <c r="F3192" s="5" t="s">
        <v>2136</v>
      </c>
      <c r="G3192" s="6" t="s">
        <v>14</v>
      </c>
      <c r="H3192" s="4">
        <v>276</v>
      </c>
      <c r="I3192" s="5"/>
      <c r="J3192" s="5" t="s">
        <v>2137</v>
      </c>
      <c r="K3192" s="5" t="s">
        <v>1976</v>
      </c>
      <c r="L3192" s="5"/>
      <c r="M3192" s="5" t="s">
        <v>2134</v>
      </c>
      <c r="N3192" s="5" t="s">
        <v>2134</v>
      </c>
      <c r="O3192" s="5" t="s">
        <v>1977</v>
      </c>
      <c r="P3192" s="5"/>
      <c r="Q3192" s="5" t="s">
        <v>2138</v>
      </c>
    </row>
    <row r="3193" spans="2:17" x14ac:dyDescent="0.2">
      <c r="B3193" s="5" t="s">
        <v>1906</v>
      </c>
      <c r="C3193" s="6" t="s">
        <v>13587</v>
      </c>
      <c r="D3193" s="4">
        <v>616</v>
      </c>
      <c r="E3193" s="5" t="s">
        <v>15</v>
      </c>
      <c r="F3193" s="5" t="s">
        <v>2276</v>
      </c>
      <c r="G3193" s="6" t="s">
        <v>14</v>
      </c>
      <c r="H3193" s="4">
        <v>277</v>
      </c>
      <c r="I3193" s="5"/>
      <c r="J3193" s="5" t="s">
        <v>2277</v>
      </c>
      <c r="K3193" s="5" t="s">
        <v>1976</v>
      </c>
      <c r="L3193" s="5"/>
      <c r="M3193" s="5" t="s">
        <v>533</v>
      </c>
      <c r="N3193" s="5" t="s">
        <v>2278</v>
      </c>
      <c r="O3193" s="5" t="s">
        <v>1977</v>
      </c>
      <c r="P3193" s="5"/>
      <c r="Q3193" s="5" t="s">
        <v>2279</v>
      </c>
    </row>
    <row r="3194" spans="2:17" x14ac:dyDescent="0.2">
      <c r="B3194" s="5" t="s">
        <v>1906</v>
      </c>
      <c r="C3194" s="6" t="s">
        <v>13587</v>
      </c>
      <c r="D3194" s="4">
        <v>618</v>
      </c>
      <c r="E3194" s="5" t="s">
        <v>20</v>
      </c>
      <c r="F3194" s="5" t="s">
        <v>2228</v>
      </c>
      <c r="G3194" s="6" t="s">
        <v>14</v>
      </c>
      <c r="H3194" s="4">
        <v>278</v>
      </c>
      <c r="I3194" s="5" t="s">
        <v>22</v>
      </c>
      <c r="J3194" s="5" t="s">
        <v>2229</v>
      </c>
      <c r="K3194" s="5" t="s">
        <v>2108</v>
      </c>
      <c r="L3194" s="5"/>
      <c r="M3194" s="5" t="s">
        <v>1062</v>
      </c>
      <c r="N3194" s="5" t="s">
        <v>1658</v>
      </c>
      <c r="O3194" s="5" t="s">
        <v>2109</v>
      </c>
      <c r="P3194" s="5"/>
      <c r="Q3194" s="5" t="s">
        <v>2230</v>
      </c>
    </row>
    <row r="3195" spans="2:17" x14ac:dyDescent="0.2">
      <c r="B3195" s="5" t="s">
        <v>1906</v>
      </c>
      <c r="C3195" s="6" t="s">
        <v>13587</v>
      </c>
      <c r="D3195" s="4">
        <v>619</v>
      </c>
      <c r="E3195" s="5" t="s">
        <v>20</v>
      </c>
      <c r="F3195" s="5" t="s">
        <v>2228</v>
      </c>
      <c r="G3195" s="6" t="s">
        <v>14</v>
      </c>
      <c r="H3195" s="4">
        <v>279</v>
      </c>
      <c r="I3195" s="5" t="s">
        <v>22</v>
      </c>
      <c r="J3195" s="5" t="s">
        <v>2231</v>
      </c>
      <c r="K3195" s="5" t="s">
        <v>2092</v>
      </c>
      <c r="L3195" s="5"/>
      <c r="M3195" s="5" t="s">
        <v>1062</v>
      </c>
      <c r="N3195" s="5" t="s">
        <v>1658</v>
      </c>
      <c r="O3195" s="5" t="s">
        <v>2093</v>
      </c>
      <c r="P3195" s="5"/>
      <c r="Q3195" s="5" t="s">
        <v>2232</v>
      </c>
    </row>
    <row r="3196" spans="2:17" x14ac:dyDescent="0.2">
      <c r="B3196" s="5" t="s">
        <v>1906</v>
      </c>
      <c r="C3196" s="6" t="s">
        <v>13587</v>
      </c>
      <c r="D3196" s="4">
        <v>621</v>
      </c>
      <c r="E3196" s="5" t="s">
        <v>20</v>
      </c>
      <c r="F3196" s="5" t="s">
        <v>2266</v>
      </c>
      <c r="G3196" s="6" t="s">
        <v>14</v>
      </c>
      <c r="H3196" s="4">
        <v>280</v>
      </c>
      <c r="I3196" s="5" t="s">
        <v>38</v>
      </c>
      <c r="J3196" s="5" t="s">
        <v>2267</v>
      </c>
      <c r="K3196" s="5" t="s">
        <v>2203</v>
      </c>
      <c r="L3196" s="5"/>
      <c r="M3196" s="5" t="s">
        <v>260</v>
      </c>
      <c r="N3196" s="5" t="s">
        <v>261</v>
      </c>
      <c r="O3196" s="5" t="s">
        <v>1910</v>
      </c>
      <c r="P3196" s="5"/>
      <c r="Q3196" s="5" t="s">
        <v>2268</v>
      </c>
    </row>
    <row r="3197" spans="2:17" x14ac:dyDescent="0.2">
      <c r="B3197" s="5" t="s">
        <v>1906</v>
      </c>
      <c r="C3197" s="6" t="s">
        <v>13587</v>
      </c>
      <c r="D3197" s="4">
        <v>622</v>
      </c>
      <c r="E3197" s="5" t="s">
        <v>82</v>
      </c>
      <c r="F3197" s="5" t="s">
        <v>2269</v>
      </c>
      <c r="G3197" s="6" t="s">
        <v>14</v>
      </c>
      <c r="H3197" s="4">
        <v>281</v>
      </c>
      <c r="I3197" s="5"/>
      <c r="J3197" s="5" t="s">
        <v>2270</v>
      </c>
      <c r="K3197" s="5" t="s">
        <v>1909</v>
      </c>
      <c r="L3197" s="5"/>
      <c r="M3197" s="5" t="s">
        <v>260</v>
      </c>
      <c r="N3197" s="5" t="s">
        <v>261</v>
      </c>
      <c r="O3197" s="5" t="s">
        <v>1910</v>
      </c>
      <c r="P3197" s="5"/>
      <c r="Q3197" s="5" t="s">
        <v>2271</v>
      </c>
    </row>
    <row r="3198" spans="2:17" x14ac:dyDescent="0.2">
      <c r="B3198" s="5" t="s">
        <v>1906</v>
      </c>
      <c r="C3198" s="6" t="s">
        <v>13587</v>
      </c>
      <c r="D3198" s="4">
        <v>623</v>
      </c>
      <c r="E3198" s="5" t="s">
        <v>82</v>
      </c>
      <c r="F3198" s="5" t="s">
        <v>2269</v>
      </c>
      <c r="G3198" s="6" t="s">
        <v>14</v>
      </c>
      <c r="H3198" s="4">
        <v>282</v>
      </c>
      <c r="I3198" s="5"/>
      <c r="J3198" s="5" t="s">
        <v>2272</v>
      </c>
      <c r="K3198" s="5" t="s">
        <v>1997</v>
      </c>
      <c r="L3198" s="5"/>
      <c r="M3198" s="5" t="s">
        <v>260</v>
      </c>
      <c r="N3198" s="5" t="s">
        <v>261</v>
      </c>
      <c r="O3198" s="5" t="s">
        <v>1910</v>
      </c>
      <c r="P3198" s="5"/>
      <c r="Q3198" s="5" t="s">
        <v>2273</v>
      </c>
    </row>
    <row r="3199" spans="2:17" x14ac:dyDescent="0.2">
      <c r="B3199" s="5" t="s">
        <v>1906</v>
      </c>
      <c r="C3199" s="6" t="s">
        <v>13587</v>
      </c>
      <c r="D3199" s="4">
        <v>624</v>
      </c>
      <c r="E3199" s="5" t="s">
        <v>82</v>
      </c>
      <c r="F3199" s="5" t="s">
        <v>2269</v>
      </c>
      <c r="G3199" s="6" t="s">
        <v>14</v>
      </c>
      <c r="H3199" s="4">
        <v>283</v>
      </c>
      <c r="I3199" s="5"/>
      <c r="J3199" s="5" t="s">
        <v>2274</v>
      </c>
      <c r="K3199" s="5" t="s">
        <v>1919</v>
      </c>
      <c r="L3199" s="5"/>
      <c r="M3199" s="5" t="s">
        <v>260</v>
      </c>
      <c r="N3199" s="5" t="s">
        <v>261</v>
      </c>
      <c r="O3199" s="5" t="s">
        <v>1920</v>
      </c>
      <c r="P3199" s="5"/>
      <c r="Q3199" s="5" t="s">
        <v>2275</v>
      </c>
    </row>
    <row r="3200" spans="2:17" x14ac:dyDescent="0.2">
      <c r="B3200" s="5" t="s">
        <v>1906</v>
      </c>
      <c r="C3200" s="6" t="s">
        <v>13587</v>
      </c>
      <c r="D3200" s="4">
        <v>627</v>
      </c>
      <c r="E3200" s="5" t="s">
        <v>20</v>
      </c>
      <c r="F3200" s="5" t="s">
        <v>2125</v>
      </c>
      <c r="G3200" s="6" t="s">
        <v>14</v>
      </c>
      <c r="H3200" s="4">
        <v>284</v>
      </c>
      <c r="I3200" s="5" t="s">
        <v>22</v>
      </c>
      <c r="J3200" s="5" t="s">
        <v>2126</v>
      </c>
      <c r="K3200" s="5" t="s">
        <v>2092</v>
      </c>
      <c r="L3200" s="5"/>
      <c r="M3200" s="5" t="s">
        <v>127</v>
      </c>
      <c r="N3200" s="5" t="s">
        <v>366</v>
      </c>
      <c r="O3200" s="5" t="s">
        <v>2093</v>
      </c>
      <c r="P3200" s="5"/>
      <c r="Q3200" s="5" t="s">
        <v>2127</v>
      </c>
    </row>
    <row r="3201" spans="2:17" x14ac:dyDescent="0.2">
      <c r="B3201" s="5" t="s">
        <v>1906</v>
      </c>
      <c r="C3201" s="6" t="s">
        <v>13587</v>
      </c>
      <c r="D3201" s="4">
        <v>629</v>
      </c>
      <c r="E3201" s="5" t="s">
        <v>56</v>
      </c>
      <c r="F3201" s="5" t="s">
        <v>2260</v>
      </c>
      <c r="G3201" s="6" t="s">
        <v>14</v>
      </c>
      <c r="H3201" s="4">
        <v>285</v>
      </c>
      <c r="I3201" s="5"/>
      <c r="J3201" s="5" t="s">
        <v>2261</v>
      </c>
      <c r="K3201" s="5" t="s">
        <v>1919</v>
      </c>
      <c r="L3201" s="5"/>
      <c r="M3201" s="5" t="s">
        <v>2262</v>
      </c>
      <c r="N3201" s="5" t="s">
        <v>256</v>
      </c>
      <c r="O3201" s="5" t="s">
        <v>1920</v>
      </c>
      <c r="P3201" s="5"/>
      <c r="Q3201" s="5" t="s">
        <v>2263</v>
      </c>
    </row>
    <row r="3202" spans="2:17" x14ac:dyDescent="0.2">
      <c r="B3202" s="5" t="s">
        <v>1906</v>
      </c>
      <c r="C3202" s="6" t="s">
        <v>13587</v>
      </c>
      <c r="D3202" s="4">
        <v>630</v>
      </c>
      <c r="E3202" s="5" t="s">
        <v>56</v>
      </c>
      <c r="F3202" s="5" t="s">
        <v>2260</v>
      </c>
      <c r="G3202" s="6" t="s">
        <v>14</v>
      </c>
      <c r="H3202" s="4">
        <v>286</v>
      </c>
      <c r="I3202" s="5"/>
      <c r="J3202" s="5" t="s">
        <v>2261</v>
      </c>
      <c r="K3202" s="5" t="s">
        <v>2264</v>
      </c>
      <c r="L3202" s="5"/>
      <c r="M3202" s="5" t="s">
        <v>2262</v>
      </c>
      <c r="N3202" s="5" t="s">
        <v>256</v>
      </c>
      <c r="O3202" s="5" t="s">
        <v>1920</v>
      </c>
      <c r="P3202" s="5"/>
      <c r="Q3202" s="5" t="s">
        <v>2265</v>
      </c>
    </row>
    <row r="3203" spans="2:17" x14ac:dyDescent="0.2">
      <c r="B3203" s="5" t="s">
        <v>1906</v>
      </c>
      <c r="C3203" s="6" t="s">
        <v>13587</v>
      </c>
      <c r="D3203" s="4">
        <v>632</v>
      </c>
      <c r="E3203" s="5" t="s">
        <v>20</v>
      </c>
      <c r="F3203" s="5" t="s">
        <v>2091</v>
      </c>
      <c r="G3203" s="6" t="s">
        <v>14</v>
      </c>
      <c r="H3203" s="4">
        <v>287</v>
      </c>
      <c r="I3203" s="5" t="s">
        <v>22</v>
      </c>
      <c r="J3203" s="5" t="s">
        <v>1487</v>
      </c>
      <c r="K3203" s="5" t="s">
        <v>2092</v>
      </c>
      <c r="L3203" s="5"/>
      <c r="M3203" s="5" t="s">
        <v>362</v>
      </c>
      <c r="N3203" s="5" t="s">
        <v>351</v>
      </c>
      <c r="O3203" s="5" t="s">
        <v>2093</v>
      </c>
      <c r="P3203" s="5"/>
      <c r="Q3203" s="5" t="s">
        <v>2094</v>
      </c>
    </row>
    <row r="3204" spans="2:17" x14ac:dyDescent="0.2">
      <c r="B3204" s="5" t="s">
        <v>1906</v>
      </c>
      <c r="C3204" s="6" t="s">
        <v>13587</v>
      </c>
      <c r="D3204" s="4">
        <v>633</v>
      </c>
      <c r="E3204" s="5" t="s">
        <v>20</v>
      </c>
      <c r="F3204" s="5" t="s">
        <v>2091</v>
      </c>
      <c r="G3204" s="6" t="s">
        <v>14</v>
      </c>
      <c r="H3204" s="4">
        <v>288</v>
      </c>
      <c r="I3204" s="5" t="s">
        <v>22</v>
      </c>
      <c r="J3204" s="5" t="s">
        <v>2095</v>
      </c>
      <c r="K3204" s="5" t="s">
        <v>2092</v>
      </c>
      <c r="L3204" s="5"/>
      <c r="M3204" s="5" t="s">
        <v>362</v>
      </c>
      <c r="N3204" s="5" t="s">
        <v>351</v>
      </c>
      <c r="O3204" s="5" t="s">
        <v>2093</v>
      </c>
      <c r="P3204" s="5"/>
      <c r="Q3204" s="5" t="s">
        <v>2096</v>
      </c>
    </row>
    <row r="3205" spans="2:17" x14ac:dyDescent="0.2">
      <c r="B3205" s="5" t="s">
        <v>1906</v>
      </c>
      <c r="C3205" s="6" t="s">
        <v>13587</v>
      </c>
      <c r="D3205" s="4">
        <v>634</v>
      </c>
      <c r="E3205" s="5" t="s">
        <v>20</v>
      </c>
      <c r="F3205" s="5" t="s">
        <v>2091</v>
      </c>
      <c r="G3205" s="6" t="s">
        <v>14</v>
      </c>
      <c r="H3205" s="4">
        <v>289</v>
      </c>
      <c r="I3205" s="5" t="s">
        <v>22</v>
      </c>
      <c r="J3205" s="5" t="s">
        <v>2097</v>
      </c>
      <c r="K3205" s="5" t="s">
        <v>2092</v>
      </c>
      <c r="L3205" s="5"/>
      <c r="M3205" s="5" t="s">
        <v>362</v>
      </c>
      <c r="N3205" s="5" t="s">
        <v>351</v>
      </c>
      <c r="O3205" s="5" t="s">
        <v>2093</v>
      </c>
      <c r="P3205" s="5"/>
      <c r="Q3205" s="5" t="s">
        <v>2098</v>
      </c>
    </row>
    <row r="3206" spans="2:17" x14ac:dyDescent="0.2">
      <c r="B3206" s="5" t="s">
        <v>1906</v>
      </c>
      <c r="C3206" s="6" t="s">
        <v>13587</v>
      </c>
      <c r="D3206" s="4">
        <v>635</v>
      </c>
      <c r="E3206" s="5" t="s">
        <v>20</v>
      </c>
      <c r="F3206" s="5" t="s">
        <v>2091</v>
      </c>
      <c r="G3206" s="6" t="s">
        <v>14</v>
      </c>
      <c r="H3206" s="4">
        <v>290</v>
      </c>
      <c r="I3206" s="5" t="s">
        <v>22</v>
      </c>
      <c r="J3206" s="5" t="s">
        <v>2099</v>
      </c>
      <c r="K3206" s="5" t="s">
        <v>2092</v>
      </c>
      <c r="L3206" s="5"/>
      <c r="M3206" s="5" t="s">
        <v>362</v>
      </c>
      <c r="N3206" s="5" t="s">
        <v>351</v>
      </c>
      <c r="O3206" s="5" t="s">
        <v>2093</v>
      </c>
      <c r="P3206" s="5"/>
      <c r="Q3206" s="5" t="s">
        <v>2098</v>
      </c>
    </row>
    <row r="3207" spans="2:17" x14ac:dyDescent="0.2">
      <c r="B3207" s="5" t="s">
        <v>1906</v>
      </c>
      <c r="C3207" s="6" t="s">
        <v>13587</v>
      </c>
      <c r="D3207" s="4">
        <v>636</v>
      </c>
      <c r="E3207" s="5" t="s">
        <v>20</v>
      </c>
      <c r="F3207" s="5" t="s">
        <v>2091</v>
      </c>
      <c r="G3207" s="6" t="s">
        <v>14</v>
      </c>
      <c r="H3207" s="4">
        <v>291</v>
      </c>
      <c r="I3207" s="5" t="s">
        <v>22</v>
      </c>
      <c r="J3207" s="5" t="s">
        <v>2100</v>
      </c>
      <c r="K3207" s="5" t="s">
        <v>2092</v>
      </c>
      <c r="L3207" s="5"/>
      <c r="M3207" s="5" t="s">
        <v>362</v>
      </c>
      <c r="N3207" s="5" t="s">
        <v>351</v>
      </c>
      <c r="O3207" s="5" t="s">
        <v>2093</v>
      </c>
      <c r="P3207" s="5"/>
      <c r="Q3207" s="5" t="s">
        <v>2101</v>
      </c>
    </row>
    <row r="3208" spans="2:17" x14ac:dyDescent="0.2">
      <c r="B3208" s="5" t="s">
        <v>1906</v>
      </c>
      <c r="C3208" s="6" t="s">
        <v>13587</v>
      </c>
      <c r="D3208" s="4">
        <v>637</v>
      </c>
      <c r="E3208" s="5" t="s">
        <v>20</v>
      </c>
      <c r="F3208" s="5" t="s">
        <v>2091</v>
      </c>
      <c r="G3208" s="6" t="s">
        <v>14</v>
      </c>
      <c r="H3208" s="4">
        <v>292</v>
      </c>
      <c r="I3208" s="5" t="s">
        <v>22</v>
      </c>
      <c r="J3208" s="5" t="s">
        <v>2102</v>
      </c>
      <c r="K3208" s="5" t="s">
        <v>2092</v>
      </c>
      <c r="L3208" s="5"/>
      <c r="M3208" s="5" t="s">
        <v>362</v>
      </c>
      <c r="N3208" s="5" t="s">
        <v>351</v>
      </c>
      <c r="O3208" s="5" t="s">
        <v>2093</v>
      </c>
      <c r="P3208" s="5"/>
      <c r="Q3208" s="5" t="s">
        <v>2103</v>
      </c>
    </row>
    <row r="3209" spans="2:17" x14ac:dyDescent="0.2">
      <c r="B3209" s="5" t="s">
        <v>1906</v>
      </c>
      <c r="C3209" s="6" t="s">
        <v>13587</v>
      </c>
      <c r="D3209" s="4">
        <v>638</v>
      </c>
      <c r="E3209" s="5" t="s">
        <v>20</v>
      </c>
      <c r="F3209" s="5" t="s">
        <v>2091</v>
      </c>
      <c r="G3209" s="6" t="s">
        <v>14</v>
      </c>
      <c r="H3209" s="4">
        <v>293</v>
      </c>
      <c r="I3209" s="5" t="s">
        <v>22</v>
      </c>
      <c r="J3209" s="5" t="s">
        <v>2104</v>
      </c>
      <c r="K3209" s="5" t="s">
        <v>2092</v>
      </c>
      <c r="L3209" s="5"/>
      <c r="M3209" s="5" t="s">
        <v>362</v>
      </c>
      <c r="N3209" s="5" t="s">
        <v>351</v>
      </c>
      <c r="O3209" s="5" t="s">
        <v>2093</v>
      </c>
      <c r="P3209" s="5"/>
      <c r="Q3209" s="5" t="s">
        <v>2105</v>
      </c>
    </row>
    <row r="3210" spans="2:17" x14ac:dyDescent="0.2">
      <c r="B3210" s="5" t="s">
        <v>1906</v>
      </c>
      <c r="C3210" s="6" t="s">
        <v>13587</v>
      </c>
      <c r="D3210" s="4">
        <v>639</v>
      </c>
      <c r="E3210" s="5" t="s">
        <v>20</v>
      </c>
      <c r="F3210" s="5" t="s">
        <v>2091</v>
      </c>
      <c r="G3210" s="6" t="s">
        <v>14</v>
      </c>
      <c r="H3210" s="4">
        <v>294</v>
      </c>
      <c r="I3210" s="5" t="s">
        <v>22</v>
      </c>
      <c r="J3210" s="5" t="s">
        <v>2106</v>
      </c>
      <c r="K3210" s="5" t="s">
        <v>2092</v>
      </c>
      <c r="L3210" s="5"/>
      <c r="M3210" s="5" t="s">
        <v>362</v>
      </c>
      <c r="N3210" s="5" t="s">
        <v>351</v>
      </c>
      <c r="O3210" s="5" t="s">
        <v>2093</v>
      </c>
      <c r="P3210" s="5"/>
      <c r="Q3210" s="5" t="s">
        <v>2105</v>
      </c>
    </row>
    <row r="3211" spans="2:17" x14ac:dyDescent="0.2">
      <c r="B3211" s="5" t="s">
        <v>1906</v>
      </c>
      <c r="C3211" s="6" t="s">
        <v>13587</v>
      </c>
      <c r="D3211" s="4">
        <v>640</v>
      </c>
      <c r="E3211" s="5" t="s">
        <v>20</v>
      </c>
      <c r="F3211" s="5" t="s">
        <v>2091</v>
      </c>
      <c r="G3211" s="6" t="s">
        <v>14</v>
      </c>
      <c r="H3211" s="4">
        <v>295</v>
      </c>
      <c r="I3211" s="5" t="s">
        <v>22</v>
      </c>
      <c r="J3211" s="5" t="s">
        <v>2107</v>
      </c>
      <c r="K3211" s="5" t="s">
        <v>2108</v>
      </c>
      <c r="L3211" s="5"/>
      <c r="M3211" s="5" t="s">
        <v>362</v>
      </c>
      <c r="N3211" s="5" t="s">
        <v>351</v>
      </c>
      <c r="O3211" s="5" t="s">
        <v>2109</v>
      </c>
      <c r="P3211" s="5"/>
      <c r="Q3211" s="5" t="s">
        <v>2110</v>
      </c>
    </row>
    <row r="3212" spans="2:17" x14ac:dyDescent="0.2">
      <c r="B3212" s="5" t="s">
        <v>1906</v>
      </c>
      <c r="C3212" s="6" t="s">
        <v>13587</v>
      </c>
      <c r="D3212" s="4">
        <v>641</v>
      </c>
      <c r="E3212" s="5" t="s">
        <v>20</v>
      </c>
      <c r="F3212" s="5" t="s">
        <v>2091</v>
      </c>
      <c r="G3212" s="6" t="s">
        <v>14</v>
      </c>
      <c r="H3212" s="4">
        <v>296</v>
      </c>
      <c r="I3212" s="5" t="s">
        <v>22</v>
      </c>
      <c r="J3212" s="5" t="s">
        <v>2111</v>
      </c>
      <c r="K3212" s="5" t="s">
        <v>2112</v>
      </c>
      <c r="L3212" s="5"/>
      <c r="M3212" s="5" t="s">
        <v>362</v>
      </c>
      <c r="N3212" s="5" t="s">
        <v>351</v>
      </c>
      <c r="O3212" s="5" t="s">
        <v>2109</v>
      </c>
      <c r="P3212" s="5"/>
      <c r="Q3212" s="5" t="s">
        <v>2113</v>
      </c>
    </row>
    <row r="3213" spans="2:17" x14ac:dyDescent="0.2">
      <c r="B3213" s="5" t="s">
        <v>1906</v>
      </c>
      <c r="C3213" s="6" t="s">
        <v>13587</v>
      </c>
      <c r="D3213" s="4">
        <v>642</v>
      </c>
      <c r="E3213" s="5" t="s">
        <v>82</v>
      </c>
      <c r="F3213" s="5" t="s">
        <v>1974</v>
      </c>
      <c r="G3213" s="6" t="s">
        <v>14</v>
      </c>
      <c r="H3213" s="4">
        <v>297</v>
      </c>
      <c r="I3213" s="5"/>
      <c r="J3213" s="5" t="s">
        <v>2218</v>
      </c>
      <c r="K3213" s="5" t="s">
        <v>1976</v>
      </c>
      <c r="L3213" s="5"/>
      <c r="M3213" s="5" t="s">
        <v>2219</v>
      </c>
      <c r="N3213" s="5" t="s">
        <v>2219</v>
      </c>
      <c r="O3213" s="5" t="s">
        <v>1977</v>
      </c>
      <c r="P3213" s="5"/>
      <c r="Q3213" s="5" t="s">
        <v>2220</v>
      </c>
    </row>
    <row r="3214" spans="2:17" x14ac:dyDescent="0.2">
      <c r="B3214" s="5" t="s">
        <v>2292</v>
      </c>
      <c r="C3214" s="6" t="s">
        <v>13587</v>
      </c>
      <c r="D3214" s="4">
        <v>653</v>
      </c>
      <c r="E3214" s="5" t="s">
        <v>32</v>
      </c>
      <c r="F3214" s="5" t="s">
        <v>2373</v>
      </c>
      <c r="G3214" s="6" t="s">
        <v>14</v>
      </c>
      <c r="H3214" s="4">
        <v>298</v>
      </c>
      <c r="I3214" s="5" t="s">
        <v>22</v>
      </c>
      <c r="J3214" s="5" t="s">
        <v>2374</v>
      </c>
      <c r="K3214" s="5" t="s">
        <v>2375</v>
      </c>
      <c r="L3214" s="5"/>
      <c r="M3214" s="5" t="s">
        <v>2376</v>
      </c>
      <c r="N3214" s="5" t="s">
        <v>2376</v>
      </c>
      <c r="O3214" s="5"/>
      <c r="P3214" s="5"/>
      <c r="Q3214" s="5" t="s">
        <v>2377</v>
      </c>
    </row>
    <row r="3215" spans="2:17" x14ac:dyDescent="0.2">
      <c r="B3215" s="5" t="s">
        <v>2292</v>
      </c>
      <c r="C3215" s="6" t="s">
        <v>13587</v>
      </c>
      <c r="D3215" s="4">
        <v>654</v>
      </c>
      <c r="E3215" s="5" t="s">
        <v>32</v>
      </c>
      <c r="F3215" s="5" t="s">
        <v>2373</v>
      </c>
      <c r="G3215" s="6" t="s">
        <v>14</v>
      </c>
      <c r="H3215" s="4">
        <v>299</v>
      </c>
      <c r="I3215" s="5" t="s">
        <v>22</v>
      </c>
      <c r="J3215" s="5" t="s">
        <v>2378</v>
      </c>
      <c r="K3215" s="5" t="s">
        <v>2379</v>
      </c>
      <c r="L3215" s="5"/>
      <c r="M3215" s="5" t="s">
        <v>2376</v>
      </c>
      <c r="N3215" s="5" t="s">
        <v>2376</v>
      </c>
      <c r="O3215" s="5"/>
      <c r="P3215" s="5"/>
      <c r="Q3215" s="5" t="s">
        <v>2380</v>
      </c>
    </row>
    <row r="3216" spans="2:17" x14ac:dyDescent="0.2">
      <c r="B3216" s="5" t="s">
        <v>2292</v>
      </c>
      <c r="C3216" s="6" t="s">
        <v>13587</v>
      </c>
      <c r="D3216" s="4">
        <v>655</v>
      </c>
      <c r="E3216" s="5" t="s">
        <v>32</v>
      </c>
      <c r="F3216" s="5" t="s">
        <v>2373</v>
      </c>
      <c r="G3216" s="6" t="s">
        <v>14</v>
      </c>
      <c r="H3216" s="4">
        <v>300</v>
      </c>
      <c r="I3216" s="5" t="s">
        <v>22</v>
      </c>
      <c r="J3216" s="5" t="s">
        <v>2381</v>
      </c>
      <c r="K3216" s="5" t="s">
        <v>2379</v>
      </c>
      <c r="L3216" s="5"/>
      <c r="M3216" s="5" t="s">
        <v>2376</v>
      </c>
      <c r="N3216" s="5" t="s">
        <v>2376</v>
      </c>
      <c r="O3216" s="5"/>
      <c r="P3216" s="5"/>
      <c r="Q3216" s="5" t="s">
        <v>2382</v>
      </c>
    </row>
    <row r="3217" spans="2:17" x14ac:dyDescent="0.2">
      <c r="B3217" s="5" t="s">
        <v>2292</v>
      </c>
      <c r="C3217" s="6" t="s">
        <v>13587</v>
      </c>
      <c r="D3217" s="4">
        <v>656</v>
      </c>
      <c r="E3217" s="5" t="s">
        <v>32</v>
      </c>
      <c r="F3217" s="5" t="s">
        <v>2362</v>
      </c>
      <c r="G3217" s="6" t="s">
        <v>14</v>
      </c>
      <c r="H3217" s="4">
        <v>301</v>
      </c>
      <c r="I3217" s="5" t="s">
        <v>22</v>
      </c>
      <c r="J3217" s="5" t="s">
        <v>2363</v>
      </c>
      <c r="K3217" s="5"/>
      <c r="L3217" s="5" t="s">
        <v>2364</v>
      </c>
      <c r="M3217" s="5" t="s">
        <v>331</v>
      </c>
      <c r="N3217" s="5" t="s">
        <v>331</v>
      </c>
      <c r="O3217" s="5"/>
      <c r="P3217" s="5"/>
      <c r="Q3217" s="5" t="s">
        <v>2365</v>
      </c>
    </row>
    <row r="3218" spans="2:17" x14ac:dyDescent="0.2">
      <c r="B3218" s="5" t="s">
        <v>2292</v>
      </c>
      <c r="C3218" s="6" t="s">
        <v>13587</v>
      </c>
      <c r="D3218" s="4">
        <v>657</v>
      </c>
      <c r="E3218" s="5" t="s">
        <v>32</v>
      </c>
      <c r="F3218" s="5" t="s">
        <v>2366</v>
      </c>
      <c r="G3218" s="6" t="s">
        <v>14</v>
      </c>
      <c r="H3218" s="4">
        <v>302</v>
      </c>
      <c r="I3218" s="5" t="s">
        <v>22</v>
      </c>
      <c r="J3218" s="5" t="s">
        <v>2367</v>
      </c>
      <c r="K3218" s="5" t="s">
        <v>2368</v>
      </c>
      <c r="L3218" s="5"/>
      <c r="M3218" s="5" t="s">
        <v>331</v>
      </c>
      <c r="N3218" s="5" t="s">
        <v>331</v>
      </c>
      <c r="O3218" s="5"/>
      <c r="P3218" s="5"/>
      <c r="Q3218" s="5" t="s">
        <v>2369</v>
      </c>
    </row>
    <row r="3219" spans="2:17" x14ac:dyDescent="0.2">
      <c r="B3219" s="5" t="s">
        <v>2292</v>
      </c>
      <c r="C3219" s="6" t="s">
        <v>13587</v>
      </c>
      <c r="D3219" s="4">
        <v>658</v>
      </c>
      <c r="E3219" s="5" t="s">
        <v>32</v>
      </c>
      <c r="F3219" s="5" t="s">
        <v>2362</v>
      </c>
      <c r="G3219" s="6" t="s">
        <v>14</v>
      </c>
      <c r="H3219" s="4">
        <v>303</v>
      </c>
      <c r="I3219" s="5" t="s">
        <v>38</v>
      </c>
      <c r="J3219" s="5" t="s">
        <v>2370</v>
      </c>
      <c r="K3219" s="5" t="s">
        <v>2371</v>
      </c>
      <c r="L3219" s="5"/>
      <c r="M3219" s="5" t="s">
        <v>331</v>
      </c>
      <c r="N3219" s="5" t="s">
        <v>331</v>
      </c>
      <c r="O3219" s="5"/>
      <c r="P3219" s="5"/>
      <c r="Q3219" s="5" t="s">
        <v>2372</v>
      </c>
    </row>
    <row r="3220" spans="2:17" x14ac:dyDescent="0.2">
      <c r="B3220" s="5" t="s">
        <v>2292</v>
      </c>
      <c r="C3220" s="6" t="s">
        <v>13587</v>
      </c>
      <c r="D3220" s="4">
        <v>659</v>
      </c>
      <c r="E3220" s="5" t="s">
        <v>13</v>
      </c>
      <c r="F3220" s="5" t="s">
        <v>2357</v>
      </c>
      <c r="G3220" s="6" t="s">
        <v>14</v>
      </c>
      <c r="H3220" s="4">
        <v>304</v>
      </c>
      <c r="I3220" s="5"/>
      <c r="J3220" s="5" t="s">
        <v>2358</v>
      </c>
      <c r="K3220" s="5" t="s">
        <v>2359</v>
      </c>
      <c r="L3220" s="5" t="s">
        <v>2360</v>
      </c>
      <c r="M3220" s="5" t="s">
        <v>302</v>
      </c>
      <c r="N3220" s="5" t="s">
        <v>302</v>
      </c>
      <c r="O3220" s="5"/>
      <c r="P3220" s="5"/>
      <c r="Q3220" s="5" t="s">
        <v>2361</v>
      </c>
    </row>
    <row r="3221" spans="2:17" x14ac:dyDescent="0.2">
      <c r="B3221" s="5" t="s">
        <v>2292</v>
      </c>
      <c r="C3221" s="6" t="s">
        <v>13587</v>
      </c>
      <c r="D3221" s="4">
        <v>661</v>
      </c>
      <c r="E3221" s="5" t="s">
        <v>32</v>
      </c>
      <c r="F3221" s="5" t="s">
        <v>2326</v>
      </c>
      <c r="G3221" s="6" t="s">
        <v>14</v>
      </c>
      <c r="H3221" s="4">
        <v>305</v>
      </c>
      <c r="I3221" s="5" t="s">
        <v>22</v>
      </c>
      <c r="J3221" s="5" t="s">
        <v>2327</v>
      </c>
      <c r="K3221" s="5" t="s">
        <v>2293</v>
      </c>
      <c r="L3221" s="5"/>
      <c r="M3221" s="5" t="s">
        <v>97</v>
      </c>
      <c r="N3221" s="5" t="s">
        <v>2328</v>
      </c>
      <c r="O3221" s="5"/>
      <c r="P3221" s="5"/>
      <c r="Q3221" s="5" t="s">
        <v>2329</v>
      </c>
    </row>
    <row r="3222" spans="2:17" x14ac:dyDescent="0.2">
      <c r="B3222" s="5" t="s">
        <v>2292</v>
      </c>
      <c r="C3222" s="6" t="s">
        <v>13587</v>
      </c>
      <c r="D3222" s="4">
        <v>662</v>
      </c>
      <c r="E3222" s="5" t="s">
        <v>32</v>
      </c>
      <c r="F3222" s="5" t="s">
        <v>2326</v>
      </c>
      <c r="G3222" s="6" t="s">
        <v>14</v>
      </c>
      <c r="H3222" s="4">
        <v>306</v>
      </c>
      <c r="I3222" s="5" t="s">
        <v>22</v>
      </c>
      <c r="J3222" s="5" t="s">
        <v>2330</v>
      </c>
      <c r="K3222" s="5" t="s">
        <v>2331</v>
      </c>
      <c r="L3222" s="5"/>
      <c r="M3222" s="5" t="s">
        <v>97</v>
      </c>
      <c r="N3222" s="5" t="s">
        <v>2328</v>
      </c>
      <c r="O3222" s="5"/>
      <c r="P3222" s="5"/>
      <c r="Q3222" s="5" t="s">
        <v>2332</v>
      </c>
    </row>
    <row r="3223" spans="2:17" x14ac:dyDescent="0.2">
      <c r="B3223" s="5" t="s">
        <v>2292</v>
      </c>
      <c r="C3223" s="6" t="s">
        <v>13587</v>
      </c>
      <c r="D3223" s="4">
        <v>663</v>
      </c>
      <c r="E3223" s="5" t="s">
        <v>32</v>
      </c>
      <c r="F3223" s="5" t="s">
        <v>2326</v>
      </c>
      <c r="G3223" s="6" t="s">
        <v>14</v>
      </c>
      <c r="H3223" s="4">
        <v>307</v>
      </c>
      <c r="I3223" s="5" t="s">
        <v>22</v>
      </c>
      <c r="J3223" s="5" t="s">
        <v>2333</v>
      </c>
      <c r="K3223" s="5" t="s">
        <v>2334</v>
      </c>
      <c r="L3223" s="5"/>
      <c r="M3223" s="5" t="s">
        <v>97</v>
      </c>
      <c r="N3223" s="5" t="s">
        <v>2328</v>
      </c>
      <c r="O3223" s="5"/>
      <c r="P3223" s="5"/>
      <c r="Q3223" s="5" t="s">
        <v>2335</v>
      </c>
    </row>
    <row r="3224" spans="2:17" x14ac:dyDescent="0.2">
      <c r="B3224" s="5" t="s">
        <v>2292</v>
      </c>
      <c r="C3224" s="6" t="s">
        <v>13587</v>
      </c>
      <c r="D3224" s="4">
        <v>664</v>
      </c>
      <c r="E3224" s="5" t="s">
        <v>32</v>
      </c>
      <c r="F3224" s="5" t="s">
        <v>2326</v>
      </c>
      <c r="G3224" s="6" t="s">
        <v>14</v>
      </c>
      <c r="H3224" s="4">
        <v>308</v>
      </c>
      <c r="I3224" s="5" t="s">
        <v>38</v>
      </c>
      <c r="J3224" s="5" t="s">
        <v>2336</v>
      </c>
      <c r="K3224" s="5" t="s">
        <v>2337</v>
      </c>
      <c r="L3224" s="5"/>
      <c r="M3224" s="5" t="s">
        <v>97</v>
      </c>
      <c r="N3224" s="5" t="s">
        <v>2328</v>
      </c>
      <c r="O3224" s="5"/>
      <c r="P3224" s="5"/>
      <c r="Q3224" s="5" t="s">
        <v>2338</v>
      </c>
    </row>
    <row r="3225" spans="2:17" x14ac:dyDescent="0.2">
      <c r="B3225" s="5" t="s">
        <v>2292</v>
      </c>
      <c r="C3225" s="6" t="s">
        <v>13587</v>
      </c>
      <c r="D3225" s="4">
        <v>665</v>
      </c>
      <c r="E3225" s="5" t="s">
        <v>32</v>
      </c>
      <c r="F3225" s="5" t="s">
        <v>2326</v>
      </c>
      <c r="G3225" s="6" t="s">
        <v>14</v>
      </c>
      <c r="H3225" s="4">
        <v>309</v>
      </c>
      <c r="I3225" s="5" t="s">
        <v>38</v>
      </c>
      <c r="J3225" s="5" t="s">
        <v>2330</v>
      </c>
      <c r="K3225" s="5" t="s">
        <v>2331</v>
      </c>
      <c r="L3225" s="5"/>
      <c r="M3225" s="5" t="s">
        <v>97</v>
      </c>
      <c r="N3225" s="5" t="s">
        <v>2328</v>
      </c>
      <c r="O3225" s="5"/>
      <c r="P3225" s="5"/>
      <c r="Q3225" s="5" t="s">
        <v>2339</v>
      </c>
    </row>
    <row r="3226" spans="2:17" x14ac:dyDescent="0.2">
      <c r="B3226" s="5" t="s">
        <v>2292</v>
      </c>
      <c r="C3226" s="6" t="s">
        <v>13587</v>
      </c>
      <c r="D3226" s="4">
        <v>666</v>
      </c>
      <c r="E3226" s="5" t="s">
        <v>32</v>
      </c>
      <c r="F3226" s="5" t="s">
        <v>2326</v>
      </c>
      <c r="G3226" s="6" t="s">
        <v>14</v>
      </c>
      <c r="H3226" s="4">
        <v>310</v>
      </c>
      <c r="I3226" s="5" t="s">
        <v>38</v>
      </c>
      <c r="J3226" s="5" t="s">
        <v>2340</v>
      </c>
      <c r="K3226" s="5"/>
      <c r="L3226" s="5" t="s">
        <v>2341</v>
      </c>
      <c r="M3226" s="5" t="s">
        <v>97</v>
      </c>
      <c r="N3226" s="5" t="s">
        <v>2328</v>
      </c>
      <c r="O3226" s="5"/>
      <c r="P3226" s="5"/>
      <c r="Q3226" s="5" t="s">
        <v>2342</v>
      </c>
    </row>
    <row r="3227" spans="2:17" x14ac:dyDescent="0.2">
      <c r="B3227" s="5" t="s">
        <v>2292</v>
      </c>
      <c r="C3227" s="6" t="s">
        <v>13587</v>
      </c>
      <c r="D3227" s="4">
        <v>667</v>
      </c>
      <c r="E3227" s="5" t="s">
        <v>32</v>
      </c>
      <c r="F3227" s="5" t="s">
        <v>2326</v>
      </c>
      <c r="G3227" s="6" t="s">
        <v>14</v>
      </c>
      <c r="H3227" s="4">
        <v>311</v>
      </c>
      <c r="I3227" s="5" t="s">
        <v>38</v>
      </c>
      <c r="J3227" s="5" t="s">
        <v>2343</v>
      </c>
      <c r="K3227" s="5"/>
      <c r="L3227" s="5" t="s">
        <v>2344</v>
      </c>
      <c r="M3227" s="5" t="s">
        <v>97</v>
      </c>
      <c r="N3227" s="5" t="s">
        <v>2328</v>
      </c>
      <c r="O3227" s="5"/>
      <c r="P3227" s="5"/>
      <c r="Q3227" s="5" t="s">
        <v>2345</v>
      </c>
    </row>
    <row r="3228" spans="2:17" x14ac:dyDescent="0.2">
      <c r="B3228" s="5" t="s">
        <v>2292</v>
      </c>
      <c r="C3228" s="6" t="s">
        <v>13587</v>
      </c>
      <c r="D3228" s="4">
        <v>668</v>
      </c>
      <c r="E3228" s="5" t="s">
        <v>32</v>
      </c>
      <c r="F3228" s="5" t="s">
        <v>2326</v>
      </c>
      <c r="G3228" s="6" t="s">
        <v>14</v>
      </c>
      <c r="H3228" s="4">
        <v>312</v>
      </c>
      <c r="I3228" s="5" t="s">
        <v>38</v>
      </c>
      <c r="J3228" s="5" t="s">
        <v>2346</v>
      </c>
      <c r="K3228" s="5" t="s">
        <v>2347</v>
      </c>
      <c r="L3228" s="5"/>
      <c r="M3228" s="5" t="s">
        <v>97</v>
      </c>
      <c r="N3228" s="5" t="s">
        <v>2328</v>
      </c>
      <c r="O3228" s="5"/>
      <c r="P3228" s="5"/>
      <c r="Q3228" s="5" t="s">
        <v>2345</v>
      </c>
    </row>
    <row r="3229" spans="2:17" x14ac:dyDescent="0.2">
      <c r="B3229" s="5" t="s">
        <v>2292</v>
      </c>
      <c r="C3229" s="6" t="s">
        <v>13587</v>
      </c>
      <c r="D3229" s="4">
        <v>669</v>
      </c>
      <c r="E3229" s="5" t="s">
        <v>32</v>
      </c>
      <c r="F3229" s="5" t="s">
        <v>2326</v>
      </c>
      <c r="G3229" s="6" t="s">
        <v>14</v>
      </c>
      <c r="H3229" s="4">
        <v>313</v>
      </c>
      <c r="I3229" s="5" t="s">
        <v>38</v>
      </c>
      <c r="J3229" s="5" t="s">
        <v>2348</v>
      </c>
      <c r="K3229" s="5" t="s">
        <v>2349</v>
      </c>
      <c r="L3229" s="5"/>
      <c r="M3229" s="5" t="s">
        <v>97</v>
      </c>
      <c r="N3229" s="5" t="s">
        <v>2328</v>
      </c>
      <c r="O3229" s="5"/>
      <c r="P3229" s="5"/>
      <c r="Q3229" s="5" t="s">
        <v>2350</v>
      </c>
    </row>
    <row r="3230" spans="2:17" x14ac:dyDescent="0.2">
      <c r="B3230" s="5" t="s">
        <v>2292</v>
      </c>
      <c r="C3230" s="6" t="s">
        <v>13587</v>
      </c>
      <c r="D3230" s="4">
        <v>670</v>
      </c>
      <c r="E3230" s="5" t="s">
        <v>32</v>
      </c>
      <c r="F3230" s="5" t="s">
        <v>2326</v>
      </c>
      <c r="G3230" s="6" t="s">
        <v>14</v>
      </c>
      <c r="H3230" s="4">
        <v>314</v>
      </c>
      <c r="I3230" s="5" t="s">
        <v>38</v>
      </c>
      <c r="J3230" s="5" t="s">
        <v>2351</v>
      </c>
      <c r="K3230" s="5" t="s">
        <v>2301</v>
      </c>
      <c r="L3230" s="5"/>
      <c r="M3230" s="5" t="s">
        <v>97</v>
      </c>
      <c r="N3230" s="5" t="s">
        <v>2328</v>
      </c>
      <c r="O3230" s="5"/>
      <c r="P3230" s="5"/>
      <c r="Q3230" s="5" t="s">
        <v>2352</v>
      </c>
    </row>
    <row r="3231" spans="2:17" x14ac:dyDescent="0.2">
      <c r="B3231" s="5" t="s">
        <v>2292</v>
      </c>
      <c r="C3231" s="6" t="s">
        <v>13587</v>
      </c>
      <c r="D3231" s="4">
        <v>671</v>
      </c>
      <c r="E3231" s="5" t="s">
        <v>32</v>
      </c>
      <c r="F3231" s="5" t="s">
        <v>2299</v>
      </c>
      <c r="G3231" s="6" t="s">
        <v>14</v>
      </c>
      <c r="H3231" s="4">
        <v>315</v>
      </c>
      <c r="I3231" s="5" t="s">
        <v>22</v>
      </c>
      <c r="J3231" s="5" t="s">
        <v>2310</v>
      </c>
      <c r="K3231" s="5" t="s">
        <v>2311</v>
      </c>
      <c r="L3231" s="5"/>
      <c r="M3231" s="5" t="s">
        <v>1915</v>
      </c>
      <c r="N3231" s="5" t="s">
        <v>1915</v>
      </c>
      <c r="O3231" s="5" t="s">
        <v>2312</v>
      </c>
      <c r="P3231" s="5"/>
      <c r="Q3231" s="5" t="s">
        <v>2313</v>
      </c>
    </row>
    <row r="3232" spans="2:17" x14ac:dyDescent="0.2">
      <c r="B3232" s="5" t="s">
        <v>2292</v>
      </c>
      <c r="C3232" s="6" t="s">
        <v>13587</v>
      </c>
      <c r="D3232" s="4">
        <v>672</v>
      </c>
      <c r="E3232" s="5" t="s">
        <v>32</v>
      </c>
      <c r="F3232" s="5" t="s">
        <v>2299</v>
      </c>
      <c r="G3232" s="6" t="s">
        <v>14</v>
      </c>
      <c r="H3232" s="4">
        <v>316</v>
      </c>
      <c r="I3232" s="5" t="s">
        <v>22</v>
      </c>
      <c r="J3232" s="5" t="s">
        <v>2314</v>
      </c>
      <c r="K3232" s="5" t="s">
        <v>2315</v>
      </c>
      <c r="L3232" s="5"/>
      <c r="M3232" s="5" t="s">
        <v>1915</v>
      </c>
      <c r="N3232" s="5" t="s">
        <v>1915</v>
      </c>
      <c r="O3232" s="5" t="s">
        <v>2295</v>
      </c>
      <c r="P3232" s="5"/>
      <c r="Q3232" s="5" t="s">
        <v>2316</v>
      </c>
    </row>
    <row r="3233" spans="2:17" x14ac:dyDescent="0.2">
      <c r="B3233" s="5" t="s">
        <v>2292</v>
      </c>
      <c r="C3233" s="6" t="s">
        <v>13587</v>
      </c>
      <c r="D3233" s="4">
        <v>673</v>
      </c>
      <c r="E3233" s="5" t="s">
        <v>32</v>
      </c>
      <c r="F3233" s="5" t="s">
        <v>2299</v>
      </c>
      <c r="G3233" s="6" t="s">
        <v>14</v>
      </c>
      <c r="H3233" s="4">
        <v>317</v>
      </c>
      <c r="I3233" s="5" t="s">
        <v>38</v>
      </c>
      <c r="J3233" s="5" t="s">
        <v>2317</v>
      </c>
      <c r="K3233" s="5" t="s">
        <v>2318</v>
      </c>
      <c r="L3233" s="5"/>
      <c r="M3233" s="5" t="s">
        <v>1915</v>
      </c>
      <c r="N3233" s="5" t="s">
        <v>1915</v>
      </c>
      <c r="O3233" s="5"/>
      <c r="P3233" s="5"/>
      <c r="Q3233" s="5" t="s">
        <v>2319</v>
      </c>
    </row>
    <row r="3234" spans="2:17" x14ac:dyDescent="0.2">
      <c r="B3234" s="5" t="s">
        <v>2292</v>
      </c>
      <c r="C3234" s="6" t="s">
        <v>13587</v>
      </c>
      <c r="D3234" s="4">
        <v>674</v>
      </c>
      <c r="E3234" s="5" t="s">
        <v>32</v>
      </c>
      <c r="F3234" s="5" t="s">
        <v>2299</v>
      </c>
      <c r="G3234" s="6" t="s">
        <v>14</v>
      </c>
      <c r="H3234" s="4">
        <v>318</v>
      </c>
      <c r="I3234" s="5" t="s">
        <v>38</v>
      </c>
      <c r="J3234" s="5" t="s">
        <v>2320</v>
      </c>
      <c r="K3234" s="5" t="s">
        <v>2321</v>
      </c>
      <c r="L3234" s="5"/>
      <c r="M3234" s="5" t="s">
        <v>1915</v>
      </c>
      <c r="N3234" s="5" t="s">
        <v>1915</v>
      </c>
      <c r="O3234" s="5"/>
      <c r="P3234" s="5"/>
      <c r="Q3234" s="5" t="s">
        <v>2322</v>
      </c>
    </row>
    <row r="3235" spans="2:17" x14ac:dyDescent="0.2">
      <c r="B3235" s="5" t="s">
        <v>2292</v>
      </c>
      <c r="C3235" s="6" t="s">
        <v>13587</v>
      </c>
      <c r="D3235" s="4">
        <v>675</v>
      </c>
      <c r="E3235" s="5" t="s">
        <v>32</v>
      </c>
      <c r="F3235" s="5" t="s">
        <v>2299</v>
      </c>
      <c r="G3235" s="6" t="s">
        <v>14</v>
      </c>
      <c r="H3235" s="4">
        <v>319</v>
      </c>
      <c r="I3235" s="5" t="s">
        <v>38</v>
      </c>
      <c r="J3235" s="5" t="s">
        <v>2323</v>
      </c>
      <c r="K3235" s="5" t="s">
        <v>2324</v>
      </c>
      <c r="L3235" s="5"/>
      <c r="M3235" s="5" t="s">
        <v>1915</v>
      </c>
      <c r="N3235" s="5" t="s">
        <v>1915</v>
      </c>
      <c r="O3235" s="5"/>
      <c r="P3235" s="5"/>
      <c r="Q3235" s="5" t="s">
        <v>2325</v>
      </c>
    </row>
    <row r="3236" spans="2:17" x14ac:dyDescent="0.2">
      <c r="B3236" s="5" t="s">
        <v>2292</v>
      </c>
      <c r="C3236" s="6" t="s">
        <v>13587</v>
      </c>
      <c r="D3236" s="4">
        <v>676</v>
      </c>
      <c r="E3236" s="5" t="s">
        <v>32</v>
      </c>
      <c r="F3236" s="5" t="s">
        <v>2299</v>
      </c>
      <c r="G3236" s="6" t="s">
        <v>14</v>
      </c>
      <c r="H3236" s="4">
        <v>320</v>
      </c>
      <c r="I3236" s="5" t="s">
        <v>22</v>
      </c>
      <c r="J3236" s="5" t="s">
        <v>2303</v>
      </c>
      <c r="K3236" s="5" t="s">
        <v>2293</v>
      </c>
      <c r="L3236" s="5"/>
      <c r="M3236" s="5" t="s">
        <v>2304</v>
      </c>
      <c r="N3236" s="5" t="s">
        <v>2304</v>
      </c>
      <c r="O3236" s="5" t="s">
        <v>2305</v>
      </c>
      <c r="P3236" s="5"/>
      <c r="Q3236" s="5" t="s">
        <v>2306</v>
      </c>
    </row>
    <row r="3237" spans="2:17" x14ac:dyDescent="0.2">
      <c r="B3237" s="5" t="s">
        <v>2292</v>
      </c>
      <c r="C3237" s="6" t="s">
        <v>13587</v>
      </c>
      <c r="D3237" s="4">
        <v>677</v>
      </c>
      <c r="E3237" s="5" t="s">
        <v>32</v>
      </c>
      <c r="F3237" s="5" t="s">
        <v>2299</v>
      </c>
      <c r="G3237" s="6" t="s">
        <v>14</v>
      </c>
      <c r="H3237" s="4">
        <v>321</v>
      </c>
      <c r="I3237" s="5" t="s">
        <v>38</v>
      </c>
      <c r="J3237" s="5" t="s">
        <v>2307</v>
      </c>
      <c r="K3237" s="5" t="s">
        <v>2308</v>
      </c>
      <c r="L3237" s="5"/>
      <c r="M3237" s="5" t="s">
        <v>2304</v>
      </c>
      <c r="N3237" s="5" t="s">
        <v>2304</v>
      </c>
      <c r="O3237" s="5"/>
      <c r="P3237" s="5"/>
      <c r="Q3237" s="5" t="s">
        <v>2309</v>
      </c>
    </row>
    <row r="3238" spans="2:17" x14ac:dyDescent="0.2">
      <c r="B3238" s="5" t="s">
        <v>2292</v>
      </c>
      <c r="C3238" s="6" t="s">
        <v>13587</v>
      </c>
      <c r="D3238" s="4">
        <v>678</v>
      </c>
      <c r="E3238" s="5" t="s">
        <v>32</v>
      </c>
      <c r="F3238" s="5" t="s">
        <v>2299</v>
      </c>
      <c r="G3238" s="6" t="s">
        <v>14</v>
      </c>
      <c r="H3238" s="4">
        <v>322</v>
      </c>
      <c r="I3238" s="5" t="s">
        <v>22</v>
      </c>
      <c r="J3238" s="5" t="s">
        <v>2300</v>
      </c>
      <c r="K3238" s="5" t="s">
        <v>2301</v>
      </c>
      <c r="L3238" s="5"/>
      <c r="M3238" s="5" t="s">
        <v>1251</v>
      </c>
      <c r="N3238" s="5" t="s">
        <v>1251</v>
      </c>
      <c r="O3238" s="5"/>
      <c r="P3238" s="5"/>
      <c r="Q3238" s="5" t="s">
        <v>2302</v>
      </c>
    </row>
    <row r="3239" spans="2:17" x14ac:dyDescent="0.2">
      <c r="B3239" s="5" t="s">
        <v>2292</v>
      </c>
      <c r="C3239" s="6" t="s">
        <v>13587</v>
      </c>
      <c r="D3239" s="4">
        <v>679</v>
      </c>
      <c r="E3239" s="5" t="s">
        <v>35</v>
      </c>
      <c r="F3239" s="5" t="s">
        <v>2296</v>
      </c>
      <c r="G3239" s="6" t="s">
        <v>14</v>
      </c>
      <c r="H3239" s="4">
        <v>323</v>
      </c>
      <c r="I3239" s="5"/>
      <c r="J3239" s="5"/>
      <c r="K3239" s="5" t="s">
        <v>2297</v>
      </c>
      <c r="L3239" s="5"/>
      <c r="M3239" s="5" t="s">
        <v>1715</v>
      </c>
      <c r="N3239" s="5" t="s">
        <v>1715</v>
      </c>
      <c r="O3239" s="5"/>
      <c r="P3239" s="5"/>
      <c r="Q3239" s="5" t="s">
        <v>2298</v>
      </c>
    </row>
    <row r="3240" spans="2:17" x14ac:dyDescent="0.2">
      <c r="B3240" s="5" t="s">
        <v>2292</v>
      </c>
      <c r="C3240" s="6" t="s">
        <v>13587</v>
      </c>
      <c r="D3240" s="4">
        <v>680</v>
      </c>
      <c r="E3240" s="5" t="s">
        <v>13</v>
      </c>
      <c r="F3240" s="5" t="s">
        <v>2429</v>
      </c>
      <c r="G3240" s="6" t="s">
        <v>14</v>
      </c>
      <c r="H3240" s="4">
        <v>324</v>
      </c>
      <c r="I3240" s="5"/>
      <c r="J3240" s="5" t="s">
        <v>2430</v>
      </c>
      <c r="K3240" s="5" t="s">
        <v>2426</v>
      </c>
      <c r="L3240" s="5"/>
      <c r="M3240" s="5" t="s">
        <v>2278</v>
      </c>
      <c r="N3240" s="5" t="s">
        <v>2278</v>
      </c>
      <c r="O3240" s="5" t="s">
        <v>2294</v>
      </c>
      <c r="P3240" s="5"/>
      <c r="Q3240" s="5" t="s">
        <v>2431</v>
      </c>
    </row>
    <row r="3241" spans="2:17" x14ac:dyDescent="0.2">
      <c r="B3241" s="5" t="s">
        <v>2292</v>
      </c>
      <c r="C3241" s="6" t="s">
        <v>13587</v>
      </c>
      <c r="D3241" s="4">
        <v>681</v>
      </c>
      <c r="E3241" s="5" t="s">
        <v>32</v>
      </c>
      <c r="F3241" s="5" t="s">
        <v>2424</v>
      </c>
      <c r="G3241" s="6" t="s">
        <v>14</v>
      </c>
      <c r="H3241" s="4">
        <v>325</v>
      </c>
      <c r="I3241" s="5" t="s">
        <v>22</v>
      </c>
      <c r="J3241" s="5" t="s">
        <v>2425</v>
      </c>
      <c r="K3241" s="5" t="s">
        <v>2426</v>
      </c>
      <c r="L3241" s="5"/>
      <c r="M3241" s="5" t="s">
        <v>2278</v>
      </c>
      <c r="N3241" s="5" t="s">
        <v>2278</v>
      </c>
      <c r="O3241" s="5" t="s">
        <v>2294</v>
      </c>
      <c r="P3241" s="5"/>
      <c r="Q3241" s="5" t="s">
        <v>2427</v>
      </c>
    </row>
    <row r="3242" spans="2:17" x14ac:dyDescent="0.2">
      <c r="B3242" s="5" t="s">
        <v>2292</v>
      </c>
      <c r="C3242" s="6" t="s">
        <v>13587</v>
      </c>
      <c r="D3242" s="4">
        <v>682</v>
      </c>
      <c r="E3242" s="5" t="s">
        <v>13</v>
      </c>
      <c r="F3242" s="5" t="s">
        <v>2424</v>
      </c>
      <c r="G3242" s="6" t="s">
        <v>14</v>
      </c>
      <c r="H3242" s="4">
        <v>326</v>
      </c>
      <c r="I3242" s="5" t="s">
        <v>22</v>
      </c>
      <c r="J3242" s="5"/>
      <c r="K3242" s="5" t="s">
        <v>2368</v>
      </c>
      <c r="L3242" s="5"/>
      <c r="M3242" s="5" t="s">
        <v>2278</v>
      </c>
      <c r="N3242" s="5" t="s">
        <v>2278</v>
      </c>
      <c r="O3242" s="5" t="s">
        <v>2294</v>
      </c>
      <c r="P3242" s="5"/>
      <c r="Q3242" s="5" t="s">
        <v>2428</v>
      </c>
    </row>
    <row r="3243" spans="2:17" x14ac:dyDescent="0.2">
      <c r="B3243" s="5" t="s">
        <v>2432</v>
      </c>
      <c r="C3243" s="6" t="s">
        <v>13587</v>
      </c>
      <c r="D3243" s="4">
        <v>685</v>
      </c>
      <c r="E3243" s="5" t="s">
        <v>24</v>
      </c>
      <c r="F3243" s="5" t="s">
        <v>2528</v>
      </c>
      <c r="G3243" s="6" t="s">
        <v>14</v>
      </c>
      <c r="H3243" s="4">
        <v>327</v>
      </c>
      <c r="I3243" s="5"/>
      <c r="J3243" s="5" t="s">
        <v>2529</v>
      </c>
      <c r="K3243" s="5" t="s">
        <v>2487</v>
      </c>
      <c r="L3243" s="5"/>
      <c r="M3243" s="5" t="s">
        <v>1681</v>
      </c>
      <c r="N3243" s="5" t="s">
        <v>1681</v>
      </c>
      <c r="O3243" s="5" t="s">
        <v>2441</v>
      </c>
      <c r="P3243" s="5"/>
      <c r="Q3243" s="5" t="s">
        <v>2530</v>
      </c>
    </row>
    <row r="3244" spans="2:17" x14ac:dyDescent="0.2">
      <c r="B3244" s="5" t="s">
        <v>2432</v>
      </c>
      <c r="C3244" s="6" t="s">
        <v>13587</v>
      </c>
      <c r="D3244" s="4">
        <v>686</v>
      </c>
      <c r="E3244" s="5" t="s">
        <v>13</v>
      </c>
      <c r="F3244" s="5" t="s">
        <v>2525</v>
      </c>
      <c r="G3244" s="6" t="s">
        <v>14</v>
      </c>
      <c r="H3244" s="4">
        <v>328</v>
      </c>
      <c r="I3244" s="5"/>
      <c r="J3244" s="5" t="s">
        <v>2526</v>
      </c>
      <c r="K3244" s="5" t="s">
        <v>2458</v>
      </c>
      <c r="L3244" s="5"/>
      <c r="M3244" s="5" t="s">
        <v>1668</v>
      </c>
      <c r="N3244" s="5" t="s">
        <v>1668</v>
      </c>
      <c r="O3244" s="5" t="s">
        <v>2436</v>
      </c>
      <c r="P3244" s="5"/>
      <c r="Q3244" s="5" t="s">
        <v>2527</v>
      </c>
    </row>
    <row r="3245" spans="2:17" x14ac:dyDescent="0.2">
      <c r="B3245" s="5" t="s">
        <v>2432</v>
      </c>
      <c r="C3245" s="6" t="s">
        <v>13587</v>
      </c>
      <c r="D3245" s="4">
        <v>689</v>
      </c>
      <c r="E3245" s="5" t="s">
        <v>32</v>
      </c>
      <c r="F3245" s="5" t="s">
        <v>2513</v>
      </c>
      <c r="G3245" s="6" t="s">
        <v>14</v>
      </c>
      <c r="H3245" s="4">
        <v>329</v>
      </c>
      <c r="I3245" s="5" t="s">
        <v>22</v>
      </c>
      <c r="J3245" s="5" t="s">
        <v>2514</v>
      </c>
      <c r="K3245" s="5" t="s">
        <v>2440</v>
      </c>
      <c r="L3245" s="5"/>
      <c r="M3245" s="5" t="s">
        <v>1634</v>
      </c>
      <c r="N3245" s="5" t="s">
        <v>1634</v>
      </c>
      <c r="O3245" s="5" t="s">
        <v>2441</v>
      </c>
      <c r="P3245" s="5"/>
      <c r="Q3245" s="5" t="s">
        <v>2515</v>
      </c>
    </row>
    <row r="3246" spans="2:17" x14ac:dyDescent="0.2">
      <c r="B3246" s="5" t="s">
        <v>2432</v>
      </c>
      <c r="C3246" s="6" t="s">
        <v>13587</v>
      </c>
      <c r="D3246" s="4">
        <v>692</v>
      </c>
      <c r="E3246" s="5" t="s">
        <v>82</v>
      </c>
      <c r="F3246" s="5" t="s">
        <v>2503</v>
      </c>
      <c r="G3246" s="6" t="s">
        <v>14</v>
      </c>
      <c r="H3246" s="4">
        <v>330</v>
      </c>
      <c r="I3246" s="5"/>
      <c r="J3246" s="5" t="s">
        <v>2504</v>
      </c>
      <c r="K3246" s="5" t="s">
        <v>2446</v>
      </c>
      <c r="L3246" s="5" t="s">
        <v>2447</v>
      </c>
      <c r="M3246" s="5" t="s">
        <v>804</v>
      </c>
      <c r="N3246" s="5" t="s">
        <v>804</v>
      </c>
      <c r="O3246" s="5" t="s">
        <v>2441</v>
      </c>
      <c r="P3246" s="5"/>
      <c r="Q3246" s="5" t="s">
        <v>2505</v>
      </c>
    </row>
    <row r="3247" spans="2:17" x14ac:dyDescent="0.2">
      <c r="B3247" s="5" t="s">
        <v>2432</v>
      </c>
      <c r="C3247" s="6" t="s">
        <v>13587</v>
      </c>
      <c r="D3247" s="4">
        <v>693</v>
      </c>
      <c r="E3247" s="5" t="s">
        <v>24</v>
      </c>
      <c r="F3247" s="5" t="s">
        <v>2500</v>
      </c>
      <c r="G3247" s="6" t="s">
        <v>14</v>
      </c>
      <c r="H3247" s="4">
        <v>331</v>
      </c>
      <c r="I3247" s="5"/>
      <c r="J3247" s="5" t="s">
        <v>2501</v>
      </c>
      <c r="K3247" s="5" t="s">
        <v>2458</v>
      </c>
      <c r="L3247" s="5"/>
      <c r="M3247" s="5" t="s">
        <v>1464</v>
      </c>
      <c r="N3247" s="5" t="s">
        <v>1464</v>
      </c>
      <c r="O3247" s="5" t="s">
        <v>2436</v>
      </c>
      <c r="P3247" s="5"/>
      <c r="Q3247" s="5" t="s">
        <v>2502</v>
      </c>
    </row>
    <row r="3248" spans="2:17" x14ac:dyDescent="0.2">
      <c r="B3248" s="5" t="s">
        <v>2432</v>
      </c>
      <c r="C3248" s="6" t="s">
        <v>13587</v>
      </c>
      <c r="D3248" s="4">
        <v>694</v>
      </c>
      <c r="E3248" s="5" t="s">
        <v>32</v>
      </c>
      <c r="F3248" s="5" t="s">
        <v>2496</v>
      </c>
      <c r="G3248" s="6" t="s">
        <v>14</v>
      </c>
      <c r="H3248" s="4">
        <v>332</v>
      </c>
      <c r="I3248" s="5" t="s">
        <v>22</v>
      </c>
      <c r="J3248" s="5" t="s">
        <v>2497</v>
      </c>
      <c r="K3248" s="5" t="s">
        <v>2498</v>
      </c>
      <c r="L3248" s="5"/>
      <c r="M3248" s="5" t="s">
        <v>1436</v>
      </c>
      <c r="N3248" s="5" t="s">
        <v>1436</v>
      </c>
      <c r="O3248" s="5" t="s">
        <v>2441</v>
      </c>
      <c r="P3248" s="5"/>
      <c r="Q3248" s="5" t="s">
        <v>2499</v>
      </c>
    </row>
    <row r="3249" spans="2:17" x14ac:dyDescent="0.2">
      <c r="B3249" s="5" t="s">
        <v>2432</v>
      </c>
      <c r="C3249" s="6" t="s">
        <v>13587</v>
      </c>
      <c r="D3249" s="4">
        <v>695</v>
      </c>
      <c r="E3249" s="5" t="s">
        <v>24</v>
      </c>
      <c r="F3249" s="5" t="s">
        <v>2493</v>
      </c>
      <c r="G3249" s="6" t="s">
        <v>14</v>
      </c>
      <c r="H3249" s="4">
        <v>333</v>
      </c>
      <c r="I3249" s="5" t="s">
        <v>22</v>
      </c>
      <c r="J3249" s="5" t="s">
        <v>2494</v>
      </c>
      <c r="K3249" s="5" t="s">
        <v>2458</v>
      </c>
      <c r="L3249" s="5"/>
      <c r="M3249" s="5" t="s">
        <v>2376</v>
      </c>
      <c r="N3249" s="5" t="s">
        <v>2376</v>
      </c>
      <c r="O3249" s="5" t="s">
        <v>2436</v>
      </c>
      <c r="P3249" s="5"/>
      <c r="Q3249" s="5" t="s">
        <v>2495</v>
      </c>
    </row>
    <row r="3250" spans="2:17" x14ac:dyDescent="0.2">
      <c r="B3250" s="5" t="s">
        <v>2432</v>
      </c>
      <c r="C3250" s="6" t="s">
        <v>13587</v>
      </c>
      <c r="D3250" s="4">
        <v>696</v>
      </c>
      <c r="E3250" s="5" t="s">
        <v>24</v>
      </c>
      <c r="F3250" s="5" t="s">
        <v>2482</v>
      </c>
      <c r="G3250" s="6" t="s">
        <v>14</v>
      </c>
      <c r="H3250" s="4">
        <v>334</v>
      </c>
      <c r="I3250" s="5"/>
      <c r="J3250" s="5" t="s">
        <v>2483</v>
      </c>
      <c r="K3250" s="5" t="s">
        <v>2480</v>
      </c>
      <c r="L3250" s="5"/>
      <c r="M3250" s="5" t="s">
        <v>337</v>
      </c>
      <c r="N3250" s="5" t="s">
        <v>337</v>
      </c>
      <c r="O3250" s="5" t="s">
        <v>2443</v>
      </c>
      <c r="P3250" s="5"/>
      <c r="Q3250" s="5" t="s">
        <v>2484</v>
      </c>
    </row>
    <row r="3251" spans="2:17" x14ac:dyDescent="0.2">
      <c r="B3251" s="5" t="s">
        <v>2432</v>
      </c>
      <c r="C3251" s="6" t="s">
        <v>13587</v>
      </c>
      <c r="D3251" s="4">
        <v>697</v>
      </c>
      <c r="E3251" s="5" t="s">
        <v>13</v>
      </c>
      <c r="F3251" s="5" t="s">
        <v>2489</v>
      </c>
      <c r="G3251" s="6" t="s">
        <v>14</v>
      </c>
      <c r="H3251" s="4">
        <v>335</v>
      </c>
      <c r="I3251" s="5"/>
      <c r="J3251" s="5" t="s">
        <v>2490</v>
      </c>
      <c r="K3251" s="5" t="s">
        <v>2491</v>
      </c>
      <c r="L3251" s="5" t="s">
        <v>2472</v>
      </c>
      <c r="M3251" s="5" t="s">
        <v>337</v>
      </c>
      <c r="N3251" s="5" t="s">
        <v>337</v>
      </c>
      <c r="O3251" s="5" t="s">
        <v>2441</v>
      </c>
      <c r="P3251" s="5"/>
      <c r="Q3251" s="5" t="s">
        <v>2492</v>
      </c>
    </row>
    <row r="3252" spans="2:17" x14ac:dyDescent="0.2">
      <c r="B3252" s="5" t="s">
        <v>2432</v>
      </c>
      <c r="C3252" s="6" t="s">
        <v>13587</v>
      </c>
      <c r="D3252" s="4">
        <v>698</v>
      </c>
      <c r="E3252" s="5" t="s">
        <v>24</v>
      </c>
      <c r="F3252" s="5" t="s">
        <v>2485</v>
      </c>
      <c r="G3252" s="6" t="s">
        <v>14</v>
      </c>
      <c r="H3252" s="4">
        <v>336</v>
      </c>
      <c r="I3252" s="5"/>
      <c r="J3252" s="5" t="s">
        <v>2486</v>
      </c>
      <c r="K3252" s="5" t="s">
        <v>2487</v>
      </c>
      <c r="L3252" s="5"/>
      <c r="M3252" s="5" t="s">
        <v>337</v>
      </c>
      <c r="N3252" s="5" t="s">
        <v>337</v>
      </c>
      <c r="O3252" s="5" t="s">
        <v>2441</v>
      </c>
      <c r="P3252" s="5"/>
      <c r="Q3252" s="5" t="s">
        <v>2488</v>
      </c>
    </row>
    <row r="3253" spans="2:17" x14ac:dyDescent="0.2">
      <c r="B3253" s="5" t="s">
        <v>2432</v>
      </c>
      <c r="C3253" s="6" t="s">
        <v>13587</v>
      </c>
      <c r="D3253" s="4">
        <v>699</v>
      </c>
      <c r="E3253" s="5" t="s">
        <v>24</v>
      </c>
      <c r="F3253" s="5" t="s">
        <v>2475</v>
      </c>
      <c r="G3253" s="6" t="s">
        <v>14</v>
      </c>
      <c r="H3253" s="4">
        <v>337</v>
      </c>
      <c r="I3253" s="5"/>
      <c r="J3253" s="5" t="s">
        <v>2476</v>
      </c>
      <c r="K3253" s="5" t="s">
        <v>2458</v>
      </c>
      <c r="L3253" s="5"/>
      <c r="M3253" s="5" t="s">
        <v>645</v>
      </c>
      <c r="N3253" s="5" t="s">
        <v>645</v>
      </c>
      <c r="O3253" s="5" t="s">
        <v>2436</v>
      </c>
      <c r="P3253" s="5"/>
      <c r="Q3253" s="5" t="s">
        <v>2477</v>
      </c>
    </row>
    <row r="3254" spans="2:17" x14ac:dyDescent="0.2">
      <c r="B3254" s="5" t="s">
        <v>2432</v>
      </c>
      <c r="C3254" s="6" t="s">
        <v>13587</v>
      </c>
      <c r="D3254" s="4">
        <v>700</v>
      </c>
      <c r="E3254" s="5" t="s">
        <v>24</v>
      </c>
      <c r="F3254" s="5" t="s">
        <v>2470</v>
      </c>
      <c r="G3254" s="6" t="s">
        <v>14</v>
      </c>
      <c r="H3254" s="4">
        <v>338</v>
      </c>
      <c r="I3254" s="5"/>
      <c r="J3254" s="5" t="s">
        <v>2471</v>
      </c>
      <c r="K3254" s="5" t="s">
        <v>2458</v>
      </c>
      <c r="L3254" s="5" t="s">
        <v>2472</v>
      </c>
      <c r="M3254" s="5" t="s">
        <v>2473</v>
      </c>
      <c r="N3254" s="5" t="s">
        <v>330</v>
      </c>
      <c r="O3254" s="5" t="s">
        <v>2436</v>
      </c>
      <c r="P3254" s="5"/>
      <c r="Q3254" s="5" t="s">
        <v>2474</v>
      </c>
    </row>
    <row r="3255" spans="2:17" x14ac:dyDescent="0.2">
      <c r="B3255" s="5" t="s">
        <v>2432</v>
      </c>
      <c r="C3255" s="6" t="s">
        <v>13587</v>
      </c>
      <c r="D3255" s="4">
        <v>701</v>
      </c>
      <c r="E3255" s="5" t="s">
        <v>32</v>
      </c>
      <c r="F3255" s="5" t="s">
        <v>2467</v>
      </c>
      <c r="G3255" s="6" t="s">
        <v>14</v>
      </c>
      <c r="H3255" s="4">
        <v>339</v>
      </c>
      <c r="I3255" s="5" t="s">
        <v>22</v>
      </c>
      <c r="J3255" s="5" t="s">
        <v>2468</v>
      </c>
      <c r="K3255" s="5" t="s">
        <v>2458</v>
      </c>
      <c r="L3255" s="5"/>
      <c r="M3255" s="5" t="s">
        <v>1377</v>
      </c>
      <c r="N3255" s="5" t="s">
        <v>1377</v>
      </c>
      <c r="O3255" s="5" t="s">
        <v>2436</v>
      </c>
      <c r="P3255" s="5"/>
      <c r="Q3255" s="5" t="s">
        <v>2469</v>
      </c>
    </row>
    <row r="3256" spans="2:17" x14ac:dyDescent="0.2">
      <c r="B3256" s="5" t="s">
        <v>2432</v>
      </c>
      <c r="C3256" s="6" t="s">
        <v>13587</v>
      </c>
      <c r="D3256" s="4">
        <v>702</v>
      </c>
      <c r="E3256" s="5" t="s">
        <v>32</v>
      </c>
      <c r="F3256" s="5" t="s">
        <v>2464</v>
      </c>
      <c r="G3256" s="6" t="s">
        <v>14</v>
      </c>
      <c r="H3256" s="4">
        <v>340</v>
      </c>
      <c r="I3256" s="5" t="s">
        <v>22</v>
      </c>
      <c r="J3256" s="5" t="s">
        <v>2465</v>
      </c>
      <c r="K3256" s="5" t="s">
        <v>2440</v>
      </c>
      <c r="L3256" s="5"/>
      <c r="M3256" s="5" t="s">
        <v>296</v>
      </c>
      <c r="N3256" s="5" t="s">
        <v>302</v>
      </c>
      <c r="O3256" s="5" t="s">
        <v>2441</v>
      </c>
      <c r="P3256" s="5"/>
      <c r="Q3256" s="5" t="s">
        <v>2466</v>
      </c>
    </row>
    <row r="3257" spans="2:17" x14ac:dyDescent="0.2">
      <c r="B3257" s="5" t="s">
        <v>2432</v>
      </c>
      <c r="C3257" s="6" t="s">
        <v>13587</v>
      </c>
      <c r="D3257" s="4">
        <v>703</v>
      </c>
      <c r="E3257" s="5" t="s">
        <v>35</v>
      </c>
      <c r="F3257" s="5" t="s">
        <v>2460</v>
      </c>
      <c r="G3257" s="6" t="s">
        <v>14</v>
      </c>
      <c r="H3257" s="4">
        <v>341</v>
      </c>
      <c r="I3257" s="5"/>
      <c r="J3257" s="5" t="s">
        <v>2461</v>
      </c>
      <c r="K3257" s="5" t="s">
        <v>2462</v>
      </c>
      <c r="L3257" s="5"/>
      <c r="M3257" s="5" t="s">
        <v>302</v>
      </c>
      <c r="N3257" s="5" t="s">
        <v>302</v>
      </c>
      <c r="O3257" s="5" t="s">
        <v>2443</v>
      </c>
      <c r="P3257" s="5"/>
      <c r="Q3257" s="5" t="s">
        <v>2463</v>
      </c>
    </row>
    <row r="3258" spans="2:17" x14ac:dyDescent="0.2">
      <c r="B3258" s="5" t="s">
        <v>2432</v>
      </c>
      <c r="C3258" s="6" t="s">
        <v>13587</v>
      </c>
      <c r="D3258" s="4">
        <v>704</v>
      </c>
      <c r="E3258" s="5" t="s">
        <v>13</v>
      </c>
      <c r="F3258" s="5" t="s">
        <v>2456</v>
      </c>
      <c r="G3258" s="6" t="s">
        <v>14</v>
      </c>
      <c r="H3258" s="4">
        <v>342</v>
      </c>
      <c r="I3258" s="5"/>
      <c r="J3258" s="5" t="s">
        <v>2457</v>
      </c>
      <c r="K3258" s="5" t="s">
        <v>2458</v>
      </c>
      <c r="L3258" s="5"/>
      <c r="M3258" s="5" t="s">
        <v>96</v>
      </c>
      <c r="N3258" s="5" t="s">
        <v>96</v>
      </c>
      <c r="O3258" s="5" t="s">
        <v>2436</v>
      </c>
      <c r="P3258" s="5"/>
      <c r="Q3258" s="5" t="s">
        <v>2459</v>
      </c>
    </row>
    <row r="3259" spans="2:17" x14ac:dyDescent="0.2">
      <c r="B3259" s="5" t="s">
        <v>2432</v>
      </c>
      <c r="C3259" s="6" t="s">
        <v>13587</v>
      </c>
      <c r="D3259" s="4">
        <v>705</v>
      </c>
      <c r="E3259" s="5" t="s">
        <v>32</v>
      </c>
      <c r="F3259" s="5" t="s">
        <v>2449</v>
      </c>
      <c r="G3259" s="6" t="s">
        <v>14</v>
      </c>
      <c r="H3259" s="4">
        <v>343</v>
      </c>
      <c r="I3259" s="5" t="s">
        <v>22</v>
      </c>
      <c r="J3259" s="5" t="s">
        <v>2450</v>
      </c>
      <c r="K3259" s="5" t="s">
        <v>2446</v>
      </c>
      <c r="L3259" s="5"/>
      <c r="M3259" s="5" t="s">
        <v>97</v>
      </c>
      <c r="N3259" s="5" t="s">
        <v>284</v>
      </c>
      <c r="O3259" s="5" t="s">
        <v>2441</v>
      </c>
      <c r="P3259" s="5"/>
      <c r="Q3259" s="5" t="s">
        <v>2452</v>
      </c>
    </row>
    <row r="3260" spans="2:17" x14ac:dyDescent="0.2">
      <c r="B3260" s="5" t="s">
        <v>2432</v>
      </c>
      <c r="C3260" s="6" t="s">
        <v>13587</v>
      </c>
      <c r="D3260" s="4">
        <v>706</v>
      </c>
      <c r="E3260" s="5" t="s">
        <v>32</v>
      </c>
      <c r="F3260" s="5" t="s">
        <v>2453</v>
      </c>
      <c r="G3260" s="6" t="s">
        <v>14</v>
      </c>
      <c r="H3260" s="4">
        <v>344</v>
      </c>
      <c r="I3260" s="5" t="s">
        <v>22</v>
      </c>
      <c r="J3260" s="5" t="s">
        <v>2454</v>
      </c>
      <c r="K3260" s="5" t="s">
        <v>2440</v>
      </c>
      <c r="L3260" s="5"/>
      <c r="M3260" s="5" t="s">
        <v>291</v>
      </c>
      <c r="N3260" s="5" t="s">
        <v>284</v>
      </c>
      <c r="O3260" s="5" t="s">
        <v>2441</v>
      </c>
      <c r="P3260" s="5"/>
      <c r="Q3260" s="5" t="s">
        <v>2455</v>
      </c>
    </row>
    <row r="3261" spans="2:17" x14ac:dyDescent="0.2">
      <c r="B3261" s="5" t="s">
        <v>2432</v>
      </c>
      <c r="C3261" s="6" t="s">
        <v>13587</v>
      </c>
      <c r="D3261" s="4">
        <v>707</v>
      </c>
      <c r="E3261" s="5" t="s">
        <v>32</v>
      </c>
      <c r="F3261" s="5" t="s">
        <v>2444</v>
      </c>
      <c r="G3261" s="6" t="s">
        <v>14</v>
      </c>
      <c r="H3261" s="4">
        <v>345</v>
      </c>
      <c r="I3261" s="5" t="s">
        <v>22</v>
      </c>
      <c r="J3261" s="5" t="s">
        <v>2445</v>
      </c>
      <c r="K3261" s="5" t="s">
        <v>2446</v>
      </c>
      <c r="L3261" s="5" t="s">
        <v>2447</v>
      </c>
      <c r="M3261" s="5" t="s">
        <v>284</v>
      </c>
      <c r="N3261" s="5" t="s">
        <v>284</v>
      </c>
      <c r="O3261" s="5" t="s">
        <v>2441</v>
      </c>
      <c r="P3261" s="5"/>
      <c r="Q3261" s="5" t="s">
        <v>2448</v>
      </c>
    </row>
    <row r="3262" spans="2:17" x14ac:dyDescent="0.2">
      <c r="B3262" s="5" t="s">
        <v>2432</v>
      </c>
      <c r="C3262" s="6" t="s">
        <v>13587</v>
      </c>
      <c r="D3262" s="4">
        <v>708</v>
      </c>
      <c r="E3262" s="5" t="s">
        <v>20</v>
      </c>
      <c r="F3262" s="5" t="s">
        <v>2449</v>
      </c>
      <c r="G3262" s="6" t="s">
        <v>14</v>
      </c>
      <c r="H3262" s="4">
        <v>346</v>
      </c>
      <c r="I3262" s="5" t="s">
        <v>22</v>
      </c>
      <c r="J3262" s="5" t="s">
        <v>2450</v>
      </c>
      <c r="K3262" s="5" t="s">
        <v>2446</v>
      </c>
      <c r="L3262" s="5"/>
      <c r="M3262" s="5" t="s">
        <v>97</v>
      </c>
      <c r="N3262" s="5" t="s">
        <v>2328</v>
      </c>
      <c r="O3262" s="5" t="s">
        <v>2441</v>
      </c>
      <c r="P3262" s="5"/>
      <c r="Q3262" s="5" t="s">
        <v>2451</v>
      </c>
    </row>
    <row r="3263" spans="2:17" x14ac:dyDescent="0.2">
      <c r="B3263" s="5" t="s">
        <v>2432</v>
      </c>
      <c r="C3263" s="6" t="s">
        <v>13587</v>
      </c>
      <c r="D3263" s="4">
        <v>709</v>
      </c>
      <c r="E3263" s="5" t="s">
        <v>32</v>
      </c>
      <c r="F3263" s="5" t="s">
        <v>2478</v>
      </c>
      <c r="G3263" s="6" t="s">
        <v>14</v>
      </c>
      <c r="H3263" s="4">
        <v>347</v>
      </c>
      <c r="I3263" s="5" t="s">
        <v>22</v>
      </c>
      <c r="J3263" s="5" t="s">
        <v>2479</v>
      </c>
      <c r="K3263" s="5" t="s">
        <v>2480</v>
      </c>
      <c r="L3263" s="5"/>
      <c r="M3263" s="5" t="s">
        <v>337</v>
      </c>
      <c r="N3263" s="5" t="s">
        <v>2328</v>
      </c>
      <c r="O3263" s="5" t="s">
        <v>2443</v>
      </c>
      <c r="P3263" s="5"/>
      <c r="Q3263" s="5" t="s">
        <v>2481</v>
      </c>
    </row>
    <row r="3264" spans="2:17" x14ac:dyDescent="0.2">
      <c r="B3264" s="5" t="s">
        <v>2432</v>
      </c>
      <c r="C3264" s="6" t="s">
        <v>13587</v>
      </c>
      <c r="D3264" s="4">
        <v>710</v>
      </c>
      <c r="E3264" s="5" t="s">
        <v>20</v>
      </c>
      <c r="F3264" s="5" t="s">
        <v>2433</v>
      </c>
      <c r="G3264" s="6" t="s">
        <v>14</v>
      </c>
      <c r="H3264" s="4">
        <v>348</v>
      </c>
      <c r="I3264" s="5" t="s">
        <v>22</v>
      </c>
      <c r="J3264" s="5" t="s">
        <v>2434</v>
      </c>
      <c r="K3264" s="5" t="s">
        <v>2435</v>
      </c>
      <c r="L3264" s="5"/>
      <c r="M3264" s="5" t="s">
        <v>1262</v>
      </c>
      <c r="N3264" s="5" t="s">
        <v>1263</v>
      </c>
      <c r="O3264" s="5" t="s">
        <v>2436</v>
      </c>
      <c r="P3264" s="5"/>
      <c r="Q3264" s="5" t="s">
        <v>2437</v>
      </c>
    </row>
    <row r="3265" spans="2:17" x14ac:dyDescent="0.2">
      <c r="B3265" s="5" t="s">
        <v>2432</v>
      </c>
      <c r="C3265" s="6" t="s">
        <v>13587</v>
      </c>
      <c r="D3265" s="4">
        <v>712</v>
      </c>
      <c r="E3265" s="5" t="s">
        <v>32</v>
      </c>
      <c r="F3265" s="5" t="s">
        <v>2522</v>
      </c>
      <c r="G3265" s="6" t="s">
        <v>14</v>
      </c>
      <c r="H3265" s="4">
        <v>349</v>
      </c>
      <c r="I3265" s="5" t="s">
        <v>22</v>
      </c>
      <c r="J3265" s="5" t="s">
        <v>2523</v>
      </c>
      <c r="K3265" s="5" t="s">
        <v>2440</v>
      </c>
      <c r="L3265" s="5"/>
      <c r="M3265" s="5" t="s">
        <v>2236</v>
      </c>
      <c r="N3265" s="5" t="s">
        <v>224</v>
      </c>
      <c r="O3265" s="5" t="s">
        <v>2441</v>
      </c>
      <c r="P3265" s="5"/>
      <c r="Q3265" s="5" t="s">
        <v>2524</v>
      </c>
    </row>
    <row r="3266" spans="2:17" x14ac:dyDescent="0.2">
      <c r="B3266" s="5" t="s">
        <v>2432</v>
      </c>
      <c r="C3266" s="6" t="s">
        <v>13587</v>
      </c>
      <c r="D3266" s="4">
        <v>713</v>
      </c>
      <c r="E3266" s="5" t="s">
        <v>32</v>
      </c>
      <c r="F3266" s="5" t="s">
        <v>2531</v>
      </c>
      <c r="G3266" s="6" t="s">
        <v>14</v>
      </c>
      <c r="H3266" s="4">
        <v>350</v>
      </c>
      <c r="I3266" s="5" t="s">
        <v>22</v>
      </c>
      <c r="J3266" s="5" t="s">
        <v>2532</v>
      </c>
      <c r="K3266" s="5" t="s">
        <v>2440</v>
      </c>
      <c r="L3266" s="5"/>
      <c r="M3266" s="5" t="s">
        <v>256</v>
      </c>
      <c r="N3266" s="5" t="s">
        <v>529</v>
      </c>
      <c r="O3266" s="5" t="s">
        <v>2441</v>
      </c>
      <c r="P3266" s="5"/>
      <c r="Q3266" s="5" t="s">
        <v>2533</v>
      </c>
    </row>
    <row r="3267" spans="2:17" x14ac:dyDescent="0.2">
      <c r="B3267" s="5" t="s">
        <v>2535</v>
      </c>
      <c r="C3267" s="6" t="s">
        <v>13587</v>
      </c>
      <c r="D3267" s="4">
        <v>714</v>
      </c>
      <c r="E3267" s="5" t="s">
        <v>15</v>
      </c>
      <c r="F3267" s="5" t="s">
        <v>2726</v>
      </c>
      <c r="G3267" s="6" t="s">
        <v>14</v>
      </c>
      <c r="H3267" s="4">
        <v>351</v>
      </c>
      <c r="I3267" s="5"/>
      <c r="J3267" s="5" t="s">
        <v>2727</v>
      </c>
      <c r="K3267" s="5" t="s">
        <v>2537</v>
      </c>
      <c r="L3267" s="5" t="s">
        <v>2728</v>
      </c>
      <c r="M3267" s="5" t="s">
        <v>1043</v>
      </c>
      <c r="N3267" s="5" t="s">
        <v>2729</v>
      </c>
      <c r="O3267" s="5" t="s">
        <v>2536</v>
      </c>
      <c r="P3267" s="5"/>
      <c r="Q3267" s="5" t="s">
        <v>2730</v>
      </c>
    </row>
    <row r="3268" spans="2:17" x14ac:dyDescent="0.2">
      <c r="B3268" s="5" t="s">
        <v>2535</v>
      </c>
      <c r="C3268" s="6" t="s">
        <v>13587</v>
      </c>
      <c r="D3268" s="4">
        <v>715</v>
      </c>
      <c r="E3268" s="5" t="s">
        <v>15</v>
      </c>
      <c r="F3268" s="5" t="s">
        <v>2726</v>
      </c>
      <c r="G3268" s="6" t="s">
        <v>14</v>
      </c>
      <c r="H3268" s="4">
        <v>352</v>
      </c>
      <c r="I3268" s="5"/>
      <c r="J3268" s="5" t="s">
        <v>2731</v>
      </c>
      <c r="K3268" s="5" t="s">
        <v>2537</v>
      </c>
      <c r="L3268" s="5" t="s">
        <v>2732</v>
      </c>
      <c r="M3268" s="5" t="s">
        <v>1043</v>
      </c>
      <c r="N3268" s="5" t="s">
        <v>2729</v>
      </c>
      <c r="O3268" s="5" t="s">
        <v>2536</v>
      </c>
      <c r="P3268" s="5"/>
      <c r="Q3268" s="5" t="s">
        <v>2733</v>
      </c>
    </row>
    <row r="3269" spans="2:17" x14ac:dyDescent="0.2">
      <c r="B3269" s="5" t="s">
        <v>2535</v>
      </c>
      <c r="C3269" s="6" t="s">
        <v>13587</v>
      </c>
      <c r="D3269" s="4">
        <v>716</v>
      </c>
      <c r="E3269" s="5" t="s">
        <v>15</v>
      </c>
      <c r="F3269" s="5" t="s">
        <v>2726</v>
      </c>
      <c r="G3269" s="6" t="s">
        <v>14</v>
      </c>
      <c r="H3269" s="4">
        <v>353</v>
      </c>
      <c r="I3269" s="5"/>
      <c r="J3269" s="5" t="s">
        <v>2734</v>
      </c>
      <c r="K3269" s="5" t="s">
        <v>2537</v>
      </c>
      <c r="L3269" s="5" t="s">
        <v>2735</v>
      </c>
      <c r="M3269" s="5" t="s">
        <v>1043</v>
      </c>
      <c r="N3269" s="5" t="s">
        <v>2729</v>
      </c>
      <c r="O3269" s="5" t="s">
        <v>2536</v>
      </c>
      <c r="P3269" s="5"/>
      <c r="Q3269" s="5" t="s">
        <v>2736</v>
      </c>
    </row>
    <row r="3270" spans="2:17" x14ac:dyDescent="0.2">
      <c r="B3270" s="5" t="s">
        <v>2535</v>
      </c>
      <c r="C3270" s="6" t="s">
        <v>13587</v>
      </c>
      <c r="D3270" s="4">
        <v>720</v>
      </c>
      <c r="E3270" s="5" t="s">
        <v>32</v>
      </c>
      <c r="F3270" s="5" t="s">
        <v>2710</v>
      </c>
      <c r="G3270" s="6" t="s">
        <v>14</v>
      </c>
      <c r="H3270" s="4">
        <v>354</v>
      </c>
      <c r="I3270" s="5" t="s">
        <v>22</v>
      </c>
      <c r="J3270" s="5" t="s">
        <v>2711</v>
      </c>
      <c r="K3270" s="5" t="s">
        <v>2573</v>
      </c>
      <c r="L3270" s="5"/>
      <c r="M3270" s="5" t="s">
        <v>1843</v>
      </c>
      <c r="N3270" s="5" t="s">
        <v>1844</v>
      </c>
      <c r="O3270" s="5" t="s">
        <v>2541</v>
      </c>
      <c r="P3270" s="5"/>
      <c r="Q3270" s="5" t="s">
        <v>2712</v>
      </c>
    </row>
    <row r="3271" spans="2:17" x14ac:dyDescent="0.2">
      <c r="B3271" s="5" t="s">
        <v>2535</v>
      </c>
      <c r="C3271" s="6" t="s">
        <v>13587</v>
      </c>
      <c r="D3271" s="4">
        <v>723</v>
      </c>
      <c r="E3271" s="5" t="s">
        <v>56</v>
      </c>
      <c r="F3271" s="5" t="s">
        <v>2707</v>
      </c>
      <c r="G3271" s="6" t="s">
        <v>14</v>
      </c>
      <c r="H3271" s="4">
        <v>355</v>
      </c>
      <c r="I3271" s="5"/>
      <c r="J3271" s="5" t="s">
        <v>88</v>
      </c>
      <c r="K3271" s="5" t="s">
        <v>2609</v>
      </c>
      <c r="L3271" s="5"/>
      <c r="M3271" s="5" t="s">
        <v>2708</v>
      </c>
      <c r="N3271" s="5" t="s">
        <v>422</v>
      </c>
      <c r="O3271" s="5" t="s">
        <v>2541</v>
      </c>
      <c r="P3271" s="5"/>
      <c r="Q3271" s="5" t="s">
        <v>2709</v>
      </c>
    </row>
    <row r="3272" spans="2:17" x14ac:dyDescent="0.2">
      <c r="B3272" s="5" t="s">
        <v>2535</v>
      </c>
      <c r="C3272" s="6" t="s">
        <v>13587</v>
      </c>
      <c r="D3272" s="4">
        <v>724</v>
      </c>
      <c r="E3272" s="5" t="s">
        <v>13</v>
      </c>
      <c r="F3272" s="5" t="s">
        <v>2700</v>
      </c>
      <c r="G3272" s="6" t="s">
        <v>14</v>
      </c>
      <c r="H3272" s="4">
        <v>356</v>
      </c>
      <c r="I3272" s="5"/>
      <c r="J3272" s="5" t="s">
        <v>88</v>
      </c>
      <c r="K3272" s="5" t="s">
        <v>2609</v>
      </c>
      <c r="L3272" s="5"/>
      <c r="M3272" s="5" t="s">
        <v>1526</v>
      </c>
      <c r="N3272" s="5" t="s">
        <v>1526</v>
      </c>
      <c r="O3272" s="5" t="s">
        <v>2541</v>
      </c>
      <c r="P3272" s="5"/>
      <c r="Q3272" s="5" t="s">
        <v>2701</v>
      </c>
    </row>
    <row r="3273" spans="2:17" x14ac:dyDescent="0.2">
      <c r="B3273" s="5" t="s">
        <v>2535</v>
      </c>
      <c r="C3273" s="6" t="s">
        <v>13587</v>
      </c>
      <c r="D3273" s="4">
        <v>726</v>
      </c>
      <c r="E3273" s="5" t="s">
        <v>20</v>
      </c>
      <c r="F3273" s="5" t="s">
        <v>2618</v>
      </c>
      <c r="G3273" s="6" t="s">
        <v>14</v>
      </c>
      <c r="H3273" s="4">
        <v>357</v>
      </c>
      <c r="I3273" s="5" t="s">
        <v>22</v>
      </c>
      <c r="J3273" s="5" t="s">
        <v>2619</v>
      </c>
      <c r="K3273" s="5" t="s">
        <v>2620</v>
      </c>
      <c r="L3273" s="5" t="s">
        <v>2621</v>
      </c>
      <c r="M3273" s="5" t="s">
        <v>1464</v>
      </c>
      <c r="N3273" s="5" t="s">
        <v>2089</v>
      </c>
      <c r="O3273" s="5" t="s">
        <v>2536</v>
      </c>
      <c r="P3273" s="5"/>
      <c r="Q3273" s="5" t="s">
        <v>2622</v>
      </c>
    </row>
    <row r="3274" spans="2:17" x14ac:dyDescent="0.2">
      <c r="B3274" s="5" t="s">
        <v>2535</v>
      </c>
      <c r="C3274" s="6" t="s">
        <v>13587</v>
      </c>
      <c r="D3274" s="4">
        <v>727</v>
      </c>
      <c r="E3274" s="5" t="s">
        <v>20</v>
      </c>
      <c r="F3274" s="5" t="s">
        <v>2618</v>
      </c>
      <c r="G3274" s="6" t="s">
        <v>14</v>
      </c>
      <c r="H3274" s="4">
        <v>358</v>
      </c>
      <c r="I3274" s="5" t="s">
        <v>22</v>
      </c>
      <c r="J3274" s="5" t="s">
        <v>2623</v>
      </c>
      <c r="K3274" s="5" t="s">
        <v>2624</v>
      </c>
      <c r="L3274" s="5" t="s">
        <v>2625</v>
      </c>
      <c r="M3274" s="5" t="s">
        <v>1464</v>
      </c>
      <c r="N3274" s="5" t="s">
        <v>2089</v>
      </c>
      <c r="O3274" s="5" t="s">
        <v>2539</v>
      </c>
      <c r="P3274" s="5"/>
      <c r="Q3274" s="5" t="s">
        <v>2626</v>
      </c>
    </row>
    <row r="3275" spans="2:17" x14ac:dyDescent="0.2">
      <c r="B3275" s="5" t="s">
        <v>2535</v>
      </c>
      <c r="C3275" s="6" t="s">
        <v>13587</v>
      </c>
      <c r="D3275" s="4">
        <v>728</v>
      </c>
      <c r="E3275" s="5" t="s">
        <v>20</v>
      </c>
      <c r="F3275" s="5" t="s">
        <v>2618</v>
      </c>
      <c r="G3275" s="6" t="s">
        <v>14</v>
      </c>
      <c r="H3275" s="4">
        <v>359</v>
      </c>
      <c r="I3275" s="5" t="s">
        <v>22</v>
      </c>
      <c r="J3275" s="5" t="s">
        <v>2627</v>
      </c>
      <c r="K3275" s="5" t="s">
        <v>2628</v>
      </c>
      <c r="L3275" s="5" t="s">
        <v>2629</v>
      </c>
      <c r="M3275" s="5" t="s">
        <v>1464</v>
      </c>
      <c r="N3275" s="5" t="s">
        <v>2089</v>
      </c>
      <c r="O3275" s="5" t="s">
        <v>2542</v>
      </c>
      <c r="P3275" s="5"/>
      <c r="Q3275" s="5" t="s">
        <v>2630</v>
      </c>
    </row>
    <row r="3276" spans="2:17" x14ac:dyDescent="0.2">
      <c r="B3276" s="5" t="s">
        <v>2535</v>
      </c>
      <c r="C3276" s="6" t="s">
        <v>13587</v>
      </c>
      <c r="D3276" s="4">
        <v>729</v>
      </c>
      <c r="E3276" s="5" t="s">
        <v>20</v>
      </c>
      <c r="F3276" s="5" t="s">
        <v>2618</v>
      </c>
      <c r="G3276" s="6" t="s">
        <v>14</v>
      </c>
      <c r="H3276" s="4">
        <v>360</v>
      </c>
      <c r="I3276" s="5" t="s">
        <v>22</v>
      </c>
      <c r="J3276" s="5" t="s">
        <v>2631</v>
      </c>
      <c r="K3276" s="5" t="s">
        <v>2546</v>
      </c>
      <c r="L3276" s="5" t="s">
        <v>2632</v>
      </c>
      <c r="M3276" s="5" t="s">
        <v>1464</v>
      </c>
      <c r="N3276" s="5" t="s">
        <v>2089</v>
      </c>
      <c r="O3276" s="5" t="s">
        <v>2541</v>
      </c>
      <c r="P3276" s="5"/>
      <c r="Q3276" s="5" t="s">
        <v>2633</v>
      </c>
    </row>
    <row r="3277" spans="2:17" x14ac:dyDescent="0.2">
      <c r="B3277" s="5" t="s">
        <v>2535</v>
      </c>
      <c r="C3277" s="6" t="s">
        <v>13587</v>
      </c>
      <c r="D3277" s="4">
        <v>730</v>
      </c>
      <c r="E3277" s="5" t="s">
        <v>20</v>
      </c>
      <c r="F3277" s="5" t="s">
        <v>2618</v>
      </c>
      <c r="G3277" s="6" t="s">
        <v>14</v>
      </c>
      <c r="H3277" s="4">
        <v>361</v>
      </c>
      <c r="I3277" s="5" t="s">
        <v>22</v>
      </c>
      <c r="J3277" s="5" t="s">
        <v>2634</v>
      </c>
      <c r="K3277" s="5" t="s">
        <v>2635</v>
      </c>
      <c r="L3277" s="5" t="s">
        <v>2636</v>
      </c>
      <c r="M3277" s="5" t="s">
        <v>1464</v>
      </c>
      <c r="N3277" s="5" t="s">
        <v>2089</v>
      </c>
      <c r="O3277" s="5" t="s">
        <v>2637</v>
      </c>
      <c r="P3277" s="5"/>
      <c r="Q3277" s="5" t="s">
        <v>2638</v>
      </c>
    </row>
    <row r="3278" spans="2:17" x14ac:dyDescent="0.2">
      <c r="B3278" s="5" t="s">
        <v>2535</v>
      </c>
      <c r="C3278" s="6" t="s">
        <v>13587</v>
      </c>
      <c r="D3278" s="4">
        <v>731</v>
      </c>
      <c r="E3278" s="5" t="s">
        <v>20</v>
      </c>
      <c r="F3278" s="5" t="s">
        <v>2618</v>
      </c>
      <c r="G3278" s="6" t="s">
        <v>14</v>
      </c>
      <c r="H3278" s="4">
        <v>362</v>
      </c>
      <c r="I3278" s="5" t="s">
        <v>22</v>
      </c>
      <c r="J3278" s="5" t="s">
        <v>2639</v>
      </c>
      <c r="K3278" s="5" t="s">
        <v>2635</v>
      </c>
      <c r="L3278" s="5" t="s">
        <v>2636</v>
      </c>
      <c r="M3278" s="5" t="s">
        <v>1464</v>
      </c>
      <c r="N3278" s="5" t="s">
        <v>2089</v>
      </c>
      <c r="O3278" s="5" t="s">
        <v>2637</v>
      </c>
      <c r="P3278" s="5"/>
      <c r="Q3278" s="5" t="s">
        <v>2640</v>
      </c>
    </row>
    <row r="3279" spans="2:17" x14ac:dyDescent="0.2">
      <c r="B3279" s="5" t="s">
        <v>2535</v>
      </c>
      <c r="C3279" s="6" t="s">
        <v>13587</v>
      </c>
      <c r="D3279" s="4">
        <v>732</v>
      </c>
      <c r="E3279" s="5" t="s">
        <v>20</v>
      </c>
      <c r="F3279" s="5" t="s">
        <v>2618</v>
      </c>
      <c r="G3279" s="6" t="s">
        <v>14</v>
      </c>
      <c r="H3279" s="4">
        <v>363</v>
      </c>
      <c r="I3279" s="5" t="s">
        <v>22</v>
      </c>
      <c r="J3279" s="5" t="s">
        <v>2641</v>
      </c>
      <c r="K3279" s="5" t="s">
        <v>2642</v>
      </c>
      <c r="L3279" s="5"/>
      <c r="M3279" s="5" t="s">
        <v>1464</v>
      </c>
      <c r="N3279" s="5" t="s">
        <v>2089</v>
      </c>
      <c r="O3279" s="5" t="s">
        <v>2539</v>
      </c>
      <c r="P3279" s="5"/>
      <c r="Q3279" s="5" t="s">
        <v>2643</v>
      </c>
    </row>
    <row r="3280" spans="2:17" x14ac:dyDescent="0.2">
      <c r="B3280" s="5" t="s">
        <v>2535</v>
      </c>
      <c r="C3280" s="6" t="s">
        <v>13587</v>
      </c>
      <c r="D3280" s="4">
        <v>733</v>
      </c>
      <c r="E3280" s="5" t="s">
        <v>20</v>
      </c>
      <c r="F3280" s="5" t="s">
        <v>2618</v>
      </c>
      <c r="G3280" s="6" t="s">
        <v>14</v>
      </c>
      <c r="H3280" s="4">
        <v>364</v>
      </c>
      <c r="I3280" s="5" t="s">
        <v>22</v>
      </c>
      <c r="J3280" s="5" t="s">
        <v>2644</v>
      </c>
      <c r="K3280" s="5" t="s">
        <v>2645</v>
      </c>
      <c r="L3280" s="5" t="s">
        <v>2646</v>
      </c>
      <c r="M3280" s="5" t="s">
        <v>1464</v>
      </c>
      <c r="N3280" s="5" t="s">
        <v>2089</v>
      </c>
      <c r="O3280" s="5" t="s">
        <v>2539</v>
      </c>
      <c r="P3280" s="5"/>
      <c r="Q3280" s="5" t="s">
        <v>2647</v>
      </c>
    </row>
    <row r="3281" spans="2:17" x14ac:dyDescent="0.2">
      <c r="B3281" s="5" t="s">
        <v>2535</v>
      </c>
      <c r="C3281" s="6" t="s">
        <v>13587</v>
      </c>
      <c r="D3281" s="4">
        <v>734</v>
      </c>
      <c r="E3281" s="5" t="s">
        <v>20</v>
      </c>
      <c r="F3281" s="5" t="s">
        <v>2618</v>
      </c>
      <c r="G3281" s="6" t="s">
        <v>14</v>
      </c>
      <c r="H3281" s="4">
        <v>365</v>
      </c>
      <c r="I3281" s="5" t="s">
        <v>22</v>
      </c>
      <c r="J3281" s="5" t="s">
        <v>2648</v>
      </c>
      <c r="K3281" s="5" t="s">
        <v>2544</v>
      </c>
      <c r="L3281" s="5" t="s">
        <v>2649</v>
      </c>
      <c r="M3281" s="5" t="s">
        <v>1464</v>
      </c>
      <c r="N3281" s="5" t="s">
        <v>2089</v>
      </c>
      <c r="O3281" s="5" t="s">
        <v>2536</v>
      </c>
      <c r="P3281" s="5"/>
      <c r="Q3281" s="5" t="s">
        <v>2650</v>
      </c>
    </row>
    <row r="3282" spans="2:17" x14ac:dyDescent="0.2">
      <c r="B3282" s="5" t="s">
        <v>2535</v>
      </c>
      <c r="C3282" s="6" t="s">
        <v>13587</v>
      </c>
      <c r="D3282" s="4">
        <v>735</v>
      </c>
      <c r="E3282" s="5" t="s">
        <v>20</v>
      </c>
      <c r="F3282" s="5" t="s">
        <v>2618</v>
      </c>
      <c r="G3282" s="6" t="s">
        <v>14</v>
      </c>
      <c r="H3282" s="4">
        <v>366</v>
      </c>
      <c r="I3282" s="5" t="s">
        <v>22</v>
      </c>
      <c r="J3282" s="5" t="s">
        <v>2651</v>
      </c>
      <c r="K3282" s="5" t="s">
        <v>2652</v>
      </c>
      <c r="L3282" s="5"/>
      <c r="M3282" s="5" t="s">
        <v>1464</v>
      </c>
      <c r="N3282" s="5" t="s">
        <v>2089</v>
      </c>
      <c r="O3282" s="5" t="s">
        <v>2536</v>
      </c>
      <c r="P3282" s="5"/>
      <c r="Q3282" s="5" t="s">
        <v>2653</v>
      </c>
    </row>
    <row r="3283" spans="2:17" x14ac:dyDescent="0.2">
      <c r="B3283" s="5" t="s">
        <v>2535</v>
      </c>
      <c r="C3283" s="6" t="s">
        <v>13587</v>
      </c>
      <c r="D3283" s="4">
        <v>742</v>
      </c>
      <c r="E3283" s="5" t="s">
        <v>32</v>
      </c>
      <c r="F3283" s="5" t="s">
        <v>2575</v>
      </c>
      <c r="G3283" s="6" t="s">
        <v>14</v>
      </c>
      <c r="H3283" s="4">
        <v>367</v>
      </c>
      <c r="I3283" s="5" t="s">
        <v>22</v>
      </c>
      <c r="J3283" s="5" t="s">
        <v>2576</v>
      </c>
      <c r="K3283" s="5" t="s">
        <v>2540</v>
      </c>
      <c r="L3283" s="5" t="s">
        <v>2577</v>
      </c>
      <c r="M3283" s="5" t="s">
        <v>648</v>
      </c>
      <c r="N3283" s="5" t="s">
        <v>1416</v>
      </c>
      <c r="O3283" s="5" t="s">
        <v>2541</v>
      </c>
      <c r="P3283" s="5"/>
      <c r="Q3283" s="5" t="s">
        <v>2578</v>
      </c>
    </row>
    <row r="3284" spans="2:17" x14ac:dyDescent="0.2">
      <c r="B3284" s="5" t="s">
        <v>2535</v>
      </c>
      <c r="C3284" s="6" t="s">
        <v>13587</v>
      </c>
      <c r="D3284" s="4">
        <v>743</v>
      </c>
      <c r="E3284" s="5" t="s">
        <v>32</v>
      </c>
      <c r="F3284" s="5" t="s">
        <v>2575</v>
      </c>
      <c r="G3284" s="6" t="s">
        <v>14</v>
      </c>
      <c r="H3284" s="4">
        <v>368</v>
      </c>
      <c r="I3284" s="5" t="s">
        <v>22</v>
      </c>
      <c r="J3284" s="5" t="s">
        <v>2579</v>
      </c>
      <c r="K3284" s="5" t="s">
        <v>2540</v>
      </c>
      <c r="L3284" s="5" t="s">
        <v>2580</v>
      </c>
      <c r="M3284" s="5" t="s">
        <v>648</v>
      </c>
      <c r="N3284" s="5" t="s">
        <v>1416</v>
      </c>
      <c r="O3284" s="5" t="s">
        <v>2541</v>
      </c>
      <c r="P3284" s="5"/>
      <c r="Q3284" s="5" t="s">
        <v>2581</v>
      </c>
    </row>
    <row r="3285" spans="2:17" x14ac:dyDescent="0.2">
      <c r="B3285" s="5" t="s">
        <v>2535</v>
      </c>
      <c r="C3285" s="6" t="s">
        <v>13587</v>
      </c>
      <c r="D3285" s="4">
        <v>744</v>
      </c>
      <c r="E3285" s="5" t="s">
        <v>32</v>
      </c>
      <c r="F3285" s="5" t="s">
        <v>2575</v>
      </c>
      <c r="G3285" s="6" t="s">
        <v>14</v>
      </c>
      <c r="H3285" s="4">
        <v>369</v>
      </c>
      <c r="I3285" s="5" t="s">
        <v>22</v>
      </c>
      <c r="J3285" s="5" t="s">
        <v>2582</v>
      </c>
      <c r="K3285" s="5" t="s">
        <v>2540</v>
      </c>
      <c r="L3285" s="5" t="s">
        <v>2583</v>
      </c>
      <c r="M3285" s="5" t="s">
        <v>648</v>
      </c>
      <c r="N3285" s="5" t="s">
        <v>1416</v>
      </c>
      <c r="O3285" s="5" t="s">
        <v>2541</v>
      </c>
      <c r="P3285" s="5"/>
      <c r="Q3285" s="5" t="s">
        <v>2584</v>
      </c>
    </row>
    <row r="3286" spans="2:17" x14ac:dyDescent="0.2">
      <c r="B3286" s="5" t="s">
        <v>2535</v>
      </c>
      <c r="C3286" s="6" t="s">
        <v>13587</v>
      </c>
      <c r="D3286" s="4">
        <v>745</v>
      </c>
      <c r="E3286" s="5" t="s">
        <v>32</v>
      </c>
      <c r="F3286" s="5" t="s">
        <v>2575</v>
      </c>
      <c r="G3286" s="6" t="s">
        <v>14</v>
      </c>
      <c r="H3286" s="4">
        <v>370</v>
      </c>
      <c r="I3286" s="5" t="s">
        <v>22</v>
      </c>
      <c r="J3286" s="5" t="s">
        <v>2585</v>
      </c>
      <c r="K3286" s="5" t="s">
        <v>2586</v>
      </c>
      <c r="L3286" s="5" t="s">
        <v>2587</v>
      </c>
      <c r="M3286" s="5" t="s">
        <v>648</v>
      </c>
      <c r="N3286" s="5" t="s">
        <v>1416</v>
      </c>
      <c r="O3286" s="5" t="s">
        <v>2542</v>
      </c>
      <c r="P3286" s="5"/>
      <c r="Q3286" s="5" t="s">
        <v>2588</v>
      </c>
    </row>
    <row r="3287" spans="2:17" x14ac:dyDescent="0.2">
      <c r="B3287" s="5" t="s">
        <v>2535</v>
      </c>
      <c r="C3287" s="6" t="s">
        <v>13587</v>
      </c>
      <c r="D3287" s="4">
        <v>746</v>
      </c>
      <c r="E3287" s="5" t="s">
        <v>32</v>
      </c>
      <c r="F3287" s="5" t="s">
        <v>2575</v>
      </c>
      <c r="G3287" s="6" t="s">
        <v>14</v>
      </c>
      <c r="H3287" s="4">
        <v>371</v>
      </c>
      <c r="I3287" s="5" t="s">
        <v>22</v>
      </c>
      <c r="J3287" s="5" t="s">
        <v>2589</v>
      </c>
      <c r="K3287" s="5" t="s">
        <v>2586</v>
      </c>
      <c r="L3287" s="5" t="s">
        <v>2590</v>
      </c>
      <c r="M3287" s="5" t="s">
        <v>648</v>
      </c>
      <c r="N3287" s="5" t="s">
        <v>1416</v>
      </c>
      <c r="O3287" s="5" t="s">
        <v>2542</v>
      </c>
      <c r="P3287" s="5"/>
      <c r="Q3287" s="5" t="s">
        <v>2591</v>
      </c>
    </row>
    <row r="3288" spans="2:17" x14ac:dyDescent="0.2">
      <c r="B3288" s="5" t="s">
        <v>2535</v>
      </c>
      <c r="C3288" s="6" t="s">
        <v>13587</v>
      </c>
      <c r="D3288" s="4">
        <v>747</v>
      </c>
      <c r="E3288" s="5" t="s">
        <v>32</v>
      </c>
      <c r="F3288" s="5" t="s">
        <v>2575</v>
      </c>
      <c r="G3288" s="6" t="s">
        <v>14</v>
      </c>
      <c r="H3288" s="4">
        <v>372</v>
      </c>
      <c r="I3288" s="5" t="s">
        <v>22</v>
      </c>
      <c r="J3288" s="5" t="s">
        <v>2592</v>
      </c>
      <c r="K3288" s="5" t="s">
        <v>2586</v>
      </c>
      <c r="L3288" s="5" t="s">
        <v>2593</v>
      </c>
      <c r="M3288" s="5" t="s">
        <v>648</v>
      </c>
      <c r="N3288" s="5" t="s">
        <v>1416</v>
      </c>
      <c r="O3288" s="5" t="s">
        <v>2542</v>
      </c>
      <c r="P3288" s="5"/>
      <c r="Q3288" s="5" t="s">
        <v>2594</v>
      </c>
    </row>
    <row r="3289" spans="2:17" x14ac:dyDescent="0.2">
      <c r="B3289" s="5" t="s">
        <v>2535</v>
      </c>
      <c r="C3289" s="6" t="s">
        <v>13587</v>
      </c>
      <c r="D3289" s="4">
        <v>748</v>
      </c>
      <c r="E3289" s="5" t="s">
        <v>24</v>
      </c>
      <c r="F3289" s="5" t="s">
        <v>2571</v>
      </c>
      <c r="G3289" s="6" t="s">
        <v>14</v>
      </c>
      <c r="H3289" s="4">
        <v>373</v>
      </c>
      <c r="I3289" s="5"/>
      <c r="J3289" s="5" t="s">
        <v>2572</v>
      </c>
      <c r="K3289" s="5" t="s">
        <v>2573</v>
      </c>
      <c r="L3289" s="5"/>
      <c r="M3289" s="5" t="s">
        <v>1928</v>
      </c>
      <c r="N3289" s="5" t="s">
        <v>1928</v>
      </c>
      <c r="O3289" s="5" t="s">
        <v>2541</v>
      </c>
      <c r="P3289" s="5"/>
      <c r="Q3289" s="5" t="s">
        <v>2574</v>
      </c>
    </row>
    <row r="3290" spans="2:17" x14ac:dyDescent="0.2">
      <c r="B3290" s="5" t="s">
        <v>2535</v>
      </c>
      <c r="C3290" s="6" t="s">
        <v>13587</v>
      </c>
      <c r="D3290" s="4">
        <v>749</v>
      </c>
      <c r="E3290" s="5" t="s">
        <v>15</v>
      </c>
      <c r="F3290" s="5" t="s">
        <v>2560</v>
      </c>
      <c r="G3290" s="6" t="s">
        <v>14</v>
      </c>
      <c r="H3290" s="4">
        <v>374</v>
      </c>
      <c r="I3290" s="5"/>
      <c r="J3290" s="5" t="s">
        <v>2561</v>
      </c>
      <c r="K3290" s="5" t="s">
        <v>2562</v>
      </c>
      <c r="L3290" s="5" t="s">
        <v>2563</v>
      </c>
      <c r="M3290" s="5" t="s">
        <v>1262</v>
      </c>
      <c r="N3290" s="5" t="s">
        <v>1258</v>
      </c>
      <c r="O3290" s="5" t="s">
        <v>2536</v>
      </c>
      <c r="P3290" s="5"/>
      <c r="Q3290" s="5" t="s">
        <v>2564</v>
      </c>
    </row>
    <row r="3291" spans="2:17" x14ac:dyDescent="0.2">
      <c r="B3291" s="5" t="s">
        <v>2535</v>
      </c>
      <c r="C3291" s="6" t="s">
        <v>13587</v>
      </c>
      <c r="D3291" s="4">
        <v>750</v>
      </c>
      <c r="E3291" s="5" t="s">
        <v>15</v>
      </c>
      <c r="F3291" s="5" t="s">
        <v>2560</v>
      </c>
      <c r="G3291" s="6" t="s">
        <v>14</v>
      </c>
      <c r="H3291" s="4">
        <v>375</v>
      </c>
      <c r="I3291" s="5"/>
      <c r="J3291" s="5" t="s">
        <v>2565</v>
      </c>
      <c r="K3291" s="5" t="s">
        <v>2562</v>
      </c>
      <c r="L3291" s="5" t="s">
        <v>2566</v>
      </c>
      <c r="M3291" s="5" t="s">
        <v>1262</v>
      </c>
      <c r="N3291" s="5" t="s">
        <v>1258</v>
      </c>
      <c r="O3291" s="5" t="s">
        <v>2536</v>
      </c>
      <c r="P3291" s="5"/>
      <c r="Q3291" s="5" t="s">
        <v>2567</v>
      </c>
    </row>
    <row r="3292" spans="2:17" x14ac:dyDescent="0.2">
      <c r="B3292" s="5" t="s">
        <v>2535</v>
      </c>
      <c r="C3292" s="6" t="s">
        <v>13587</v>
      </c>
      <c r="D3292" s="4">
        <v>751</v>
      </c>
      <c r="E3292" s="5" t="s">
        <v>15</v>
      </c>
      <c r="F3292" s="5" t="s">
        <v>2560</v>
      </c>
      <c r="G3292" s="6" t="s">
        <v>14</v>
      </c>
      <c r="H3292" s="4">
        <v>376</v>
      </c>
      <c r="I3292" s="5"/>
      <c r="J3292" s="5" t="s">
        <v>2568</v>
      </c>
      <c r="K3292" s="5" t="s">
        <v>2545</v>
      </c>
      <c r="L3292" s="5" t="s">
        <v>2569</v>
      </c>
      <c r="M3292" s="5" t="s">
        <v>1262</v>
      </c>
      <c r="N3292" s="5" t="s">
        <v>1258</v>
      </c>
      <c r="O3292" s="5" t="s">
        <v>2536</v>
      </c>
      <c r="P3292" s="5"/>
      <c r="Q3292" s="5" t="s">
        <v>2570</v>
      </c>
    </row>
    <row r="3293" spans="2:17" x14ac:dyDescent="0.2">
      <c r="B3293" s="5" t="s">
        <v>2535</v>
      </c>
      <c r="C3293" s="6" t="s">
        <v>13587</v>
      </c>
      <c r="D3293" s="4">
        <v>754</v>
      </c>
      <c r="E3293" s="5" t="s">
        <v>32</v>
      </c>
      <c r="F3293" s="5" t="s">
        <v>2752</v>
      </c>
      <c r="G3293" s="6" t="s">
        <v>14</v>
      </c>
      <c r="H3293" s="4">
        <v>377</v>
      </c>
      <c r="I3293" s="5" t="s">
        <v>38</v>
      </c>
      <c r="J3293" s="5" t="s">
        <v>2753</v>
      </c>
      <c r="K3293" s="5" t="s">
        <v>2754</v>
      </c>
      <c r="L3293" s="5"/>
      <c r="M3293" s="5" t="s">
        <v>1074</v>
      </c>
      <c r="N3293" s="5" t="s">
        <v>1074</v>
      </c>
      <c r="O3293" s="5" t="s">
        <v>2539</v>
      </c>
      <c r="P3293" s="5"/>
      <c r="Q3293" s="5" t="s">
        <v>2755</v>
      </c>
    </row>
    <row r="3294" spans="2:17" x14ac:dyDescent="0.2">
      <c r="B3294" s="5" t="s">
        <v>2535</v>
      </c>
      <c r="C3294" s="6" t="s">
        <v>13587</v>
      </c>
      <c r="D3294" s="4">
        <v>756</v>
      </c>
      <c r="E3294" s="5" t="s">
        <v>32</v>
      </c>
      <c r="F3294" s="5" t="s">
        <v>2690</v>
      </c>
      <c r="G3294" s="6" t="s">
        <v>14</v>
      </c>
      <c r="H3294" s="4">
        <v>378</v>
      </c>
      <c r="I3294" s="5" t="s">
        <v>22</v>
      </c>
      <c r="J3294" s="5" t="s">
        <v>2691</v>
      </c>
      <c r="K3294" s="5" t="s">
        <v>2692</v>
      </c>
      <c r="L3294" s="5"/>
      <c r="M3294" s="5" t="s">
        <v>399</v>
      </c>
      <c r="N3294" s="5" t="s">
        <v>400</v>
      </c>
      <c r="O3294" s="5" t="s">
        <v>2541</v>
      </c>
      <c r="P3294" s="5"/>
      <c r="Q3294" s="5" t="s">
        <v>2693</v>
      </c>
    </row>
    <row r="3295" spans="2:17" x14ac:dyDescent="0.2">
      <c r="B3295" s="5" t="s">
        <v>2535</v>
      </c>
      <c r="C3295" s="6" t="s">
        <v>13587</v>
      </c>
      <c r="D3295" s="4">
        <v>757</v>
      </c>
      <c r="E3295" s="5" t="s">
        <v>32</v>
      </c>
      <c r="F3295" s="5" t="s">
        <v>2667</v>
      </c>
      <c r="G3295" s="6" t="s">
        <v>14</v>
      </c>
      <c r="H3295" s="4">
        <v>379</v>
      </c>
      <c r="I3295" s="5" t="s">
        <v>22</v>
      </c>
      <c r="J3295" s="5" t="s">
        <v>2668</v>
      </c>
      <c r="K3295" s="5" t="s">
        <v>2562</v>
      </c>
      <c r="L3295" s="5" t="s">
        <v>2669</v>
      </c>
      <c r="M3295" s="5" t="s">
        <v>399</v>
      </c>
      <c r="N3295" s="5" t="s">
        <v>2134</v>
      </c>
      <c r="O3295" s="5" t="s">
        <v>2536</v>
      </c>
      <c r="P3295" s="5"/>
      <c r="Q3295" s="5" t="s">
        <v>2670</v>
      </c>
    </row>
    <row r="3296" spans="2:17" x14ac:dyDescent="0.2">
      <c r="B3296" s="5" t="s">
        <v>2535</v>
      </c>
      <c r="C3296" s="6" t="s">
        <v>13587</v>
      </c>
      <c r="D3296" s="4">
        <v>758</v>
      </c>
      <c r="E3296" s="5" t="s">
        <v>32</v>
      </c>
      <c r="F3296" s="5" t="s">
        <v>2667</v>
      </c>
      <c r="G3296" s="6" t="s">
        <v>14</v>
      </c>
      <c r="H3296" s="4">
        <v>380</v>
      </c>
      <c r="I3296" s="5" t="s">
        <v>38</v>
      </c>
      <c r="J3296" s="5" t="s">
        <v>2671</v>
      </c>
      <c r="K3296" s="5" t="s">
        <v>2672</v>
      </c>
      <c r="L3296" s="5" t="s">
        <v>2673</v>
      </c>
      <c r="M3296" s="5" t="s">
        <v>399</v>
      </c>
      <c r="N3296" s="5" t="s">
        <v>2134</v>
      </c>
      <c r="O3296" s="5" t="s">
        <v>2536</v>
      </c>
      <c r="P3296" s="5"/>
      <c r="Q3296" s="5" t="s">
        <v>2674</v>
      </c>
    </row>
    <row r="3297" spans="2:17" x14ac:dyDescent="0.2">
      <c r="B3297" s="5" t="s">
        <v>2535</v>
      </c>
      <c r="C3297" s="6" t="s">
        <v>13587</v>
      </c>
      <c r="D3297" s="4">
        <v>759</v>
      </c>
      <c r="E3297" s="5" t="s">
        <v>32</v>
      </c>
      <c r="F3297" s="5" t="s">
        <v>2675</v>
      </c>
      <c r="G3297" s="6" t="s">
        <v>14</v>
      </c>
      <c r="H3297" s="4">
        <v>381</v>
      </c>
      <c r="I3297" s="5" t="s">
        <v>38</v>
      </c>
      <c r="J3297" s="5" t="s">
        <v>2676</v>
      </c>
      <c r="K3297" s="5" t="s">
        <v>2562</v>
      </c>
      <c r="L3297" s="5" t="s">
        <v>2621</v>
      </c>
      <c r="M3297" s="5" t="s">
        <v>399</v>
      </c>
      <c r="N3297" s="5" t="s">
        <v>2134</v>
      </c>
      <c r="O3297" s="5" t="s">
        <v>2536</v>
      </c>
      <c r="P3297" s="5"/>
      <c r="Q3297" s="5" t="s">
        <v>2677</v>
      </c>
    </row>
    <row r="3298" spans="2:17" x14ac:dyDescent="0.2">
      <c r="B3298" s="5" t="s">
        <v>2535</v>
      </c>
      <c r="C3298" s="6" t="s">
        <v>13587</v>
      </c>
      <c r="D3298" s="4">
        <v>760</v>
      </c>
      <c r="E3298" s="5" t="s">
        <v>32</v>
      </c>
      <c r="F3298" s="5" t="s">
        <v>2675</v>
      </c>
      <c r="G3298" s="6" t="s">
        <v>14</v>
      </c>
      <c r="H3298" s="4">
        <v>382</v>
      </c>
      <c r="I3298" s="5" t="s">
        <v>38</v>
      </c>
      <c r="J3298" s="5" t="s">
        <v>2678</v>
      </c>
      <c r="K3298" s="5" t="s">
        <v>2562</v>
      </c>
      <c r="L3298" s="5" t="s">
        <v>2679</v>
      </c>
      <c r="M3298" s="5" t="s">
        <v>399</v>
      </c>
      <c r="N3298" s="5" t="s">
        <v>2134</v>
      </c>
      <c r="O3298" s="5" t="s">
        <v>2536</v>
      </c>
      <c r="P3298" s="5"/>
      <c r="Q3298" s="5" t="s">
        <v>2680</v>
      </c>
    </row>
    <row r="3299" spans="2:17" x14ac:dyDescent="0.2">
      <c r="B3299" s="5" t="s">
        <v>2535</v>
      </c>
      <c r="C3299" s="6" t="s">
        <v>13587</v>
      </c>
      <c r="D3299" s="4">
        <v>761</v>
      </c>
      <c r="E3299" s="5" t="s">
        <v>32</v>
      </c>
      <c r="F3299" s="5" t="s">
        <v>2681</v>
      </c>
      <c r="G3299" s="6" t="s">
        <v>14</v>
      </c>
      <c r="H3299" s="4">
        <v>383</v>
      </c>
      <c r="I3299" s="5" t="s">
        <v>22</v>
      </c>
      <c r="J3299" s="5" t="s">
        <v>2682</v>
      </c>
      <c r="K3299" s="5" t="s">
        <v>2683</v>
      </c>
      <c r="L3299" s="5"/>
      <c r="M3299" s="5" t="s">
        <v>399</v>
      </c>
      <c r="N3299" s="5" t="s">
        <v>2134</v>
      </c>
      <c r="O3299" s="5" t="s">
        <v>2539</v>
      </c>
      <c r="P3299" s="5"/>
      <c r="Q3299" s="5" t="s">
        <v>2684</v>
      </c>
    </row>
    <row r="3300" spans="2:17" x14ac:dyDescent="0.2">
      <c r="B3300" s="5" t="s">
        <v>2535</v>
      </c>
      <c r="C3300" s="6" t="s">
        <v>13587</v>
      </c>
      <c r="D3300" s="4">
        <v>762</v>
      </c>
      <c r="E3300" s="5" t="s">
        <v>32</v>
      </c>
      <c r="F3300" s="5" t="s">
        <v>2667</v>
      </c>
      <c r="G3300" s="6" t="s">
        <v>14</v>
      </c>
      <c r="H3300" s="4">
        <v>384</v>
      </c>
      <c r="I3300" s="5" t="s">
        <v>38</v>
      </c>
      <c r="J3300" s="5" t="s">
        <v>2685</v>
      </c>
      <c r="K3300" s="5" t="s">
        <v>2686</v>
      </c>
      <c r="L3300" s="5"/>
      <c r="M3300" s="5" t="s">
        <v>399</v>
      </c>
      <c r="N3300" s="5" t="s">
        <v>2134</v>
      </c>
      <c r="O3300" s="5" t="s">
        <v>2536</v>
      </c>
      <c r="P3300" s="5"/>
      <c r="Q3300" s="5" t="s">
        <v>2687</v>
      </c>
    </row>
    <row r="3301" spans="2:17" x14ac:dyDescent="0.2">
      <c r="B3301" s="5" t="s">
        <v>2535</v>
      </c>
      <c r="C3301" s="6" t="s">
        <v>13587</v>
      </c>
      <c r="D3301" s="4">
        <v>763</v>
      </c>
      <c r="E3301" s="5" t="s">
        <v>32</v>
      </c>
      <c r="F3301" s="5" t="s">
        <v>2681</v>
      </c>
      <c r="G3301" s="6" t="s">
        <v>14</v>
      </c>
      <c r="H3301" s="4">
        <v>385</v>
      </c>
      <c r="I3301" s="5" t="s">
        <v>22</v>
      </c>
      <c r="J3301" s="5" t="s">
        <v>2688</v>
      </c>
      <c r="K3301" s="5" t="s">
        <v>2547</v>
      </c>
      <c r="L3301" s="5"/>
      <c r="M3301" s="5" t="s">
        <v>399</v>
      </c>
      <c r="N3301" s="5" t="s">
        <v>2134</v>
      </c>
      <c r="O3301" s="5" t="s">
        <v>2539</v>
      </c>
      <c r="P3301" s="5"/>
      <c r="Q3301" s="5" t="s">
        <v>2689</v>
      </c>
    </row>
    <row r="3302" spans="2:17" x14ac:dyDescent="0.2">
      <c r="B3302" s="5" t="s">
        <v>2535</v>
      </c>
      <c r="C3302" s="6" t="s">
        <v>13587</v>
      </c>
      <c r="D3302" s="4">
        <v>764</v>
      </c>
      <c r="E3302" s="5" t="s">
        <v>32</v>
      </c>
      <c r="F3302" s="5" t="s">
        <v>2548</v>
      </c>
      <c r="G3302" s="6" t="s">
        <v>14</v>
      </c>
      <c r="H3302" s="4">
        <v>386</v>
      </c>
      <c r="I3302" s="5" t="s">
        <v>22</v>
      </c>
      <c r="J3302" s="5" t="s">
        <v>2549</v>
      </c>
      <c r="K3302" s="5" t="s">
        <v>2550</v>
      </c>
      <c r="L3302" s="5"/>
      <c r="M3302" s="5" t="s">
        <v>1715</v>
      </c>
      <c r="N3302" s="5" t="s">
        <v>1208</v>
      </c>
      <c r="O3302" s="5" t="s">
        <v>2541</v>
      </c>
      <c r="P3302" s="5"/>
      <c r="Q3302" s="5" t="s">
        <v>2551</v>
      </c>
    </row>
    <row r="3303" spans="2:17" x14ac:dyDescent="0.2">
      <c r="B3303" s="5" t="s">
        <v>2535</v>
      </c>
      <c r="C3303" s="6" t="s">
        <v>13587</v>
      </c>
      <c r="D3303" s="4">
        <v>765</v>
      </c>
      <c r="E3303" s="5" t="s">
        <v>32</v>
      </c>
      <c r="F3303" s="5" t="s">
        <v>2746</v>
      </c>
      <c r="G3303" s="6" t="s">
        <v>14</v>
      </c>
      <c r="H3303" s="4">
        <v>387</v>
      </c>
      <c r="I3303" s="5" t="s">
        <v>22</v>
      </c>
      <c r="J3303" s="5" t="s">
        <v>2747</v>
      </c>
      <c r="K3303" s="5" t="s">
        <v>2573</v>
      </c>
      <c r="L3303" s="5"/>
      <c r="M3303" s="5" t="s">
        <v>1062</v>
      </c>
      <c r="N3303" s="5" t="s">
        <v>1658</v>
      </c>
      <c r="O3303" s="5" t="s">
        <v>2541</v>
      </c>
      <c r="P3303" s="5"/>
      <c r="Q3303" s="5" t="s">
        <v>2748</v>
      </c>
    </row>
    <row r="3304" spans="2:17" x14ac:dyDescent="0.2">
      <c r="B3304" s="5" t="s">
        <v>2535</v>
      </c>
      <c r="C3304" s="6" t="s">
        <v>13587</v>
      </c>
      <c r="D3304" s="4">
        <v>766</v>
      </c>
      <c r="E3304" s="5" t="s">
        <v>24</v>
      </c>
      <c r="F3304" s="5" t="s">
        <v>2743</v>
      </c>
      <c r="G3304" s="6" t="s">
        <v>14</v>
      </c>
      <c r="H3304" s="4">
        <v>388</v>
      </c>
      <c r="I3304" s="5"/>
      <c r="J3304" s="5" t="s">
        <v>2744</v>
      </c>
      <c r="K3304" s="5" t="s">
        <v>2544</v>
      </c>
      <c r="L3304" s="5"/>
      <c r="M3304" s="5" t="s">
        <v>1658</v>
      </c>
      <c r="N3304" s="5" t="s">
        <v>496</v>
      </c>
      <c r="O3304" s="5" t="s">
        <v>2536</v>
      </c>
      <c r="P3304" s="5"/>
      <c r="Q3304" s="5" t="s">
        <v>2745</v>
      </c>
    </row>
    <row r="3305" spans="2:17" x14ac:dyDescent="0.2">
      <c r="B3305" s="5" t="s">
        <v>2535</v>
      </c>
      <c r="C3305" s="6" t="s">
        <v>13587</v>
      </c>
      <c r="D3305" s="4">
        <v>768</v>
      </c>
      <c r="E3305" s="5" t="s">
        <v>24</v>
      </c>
      <c r="F3305" s="5" t="s">
        <v>2664</v>
      </c>
      <c r="G3305" s="6" t="s">
        <v>14</v>
      </c>
      <c r="H3305" s="4">
        <v>389</v>
      </c>
      <c r="I3305" s="5"/>
      <c r="J3305" s="5" t="s">
        <v>2664</v>
      </c>
      <c r="K3305" s="5" t="s">
        <v>2538</v>
      </c>
      <c r="L3305" s="5" t="s">
        <v>2665</v>
      </c>
      <c r="M3305" s="5" t="s">
        <v>127</v>
      </c>
      <c r="N3305" s="5" t="s">
        <v>127</v>
      </c>
      <c r="O3305" s="5" t="s">
        <v>2539</v>
      </c>
      <c r="P3305" s="5"/>
      <c r="Q3305" s="5" t="s">
        <v>2666</v>
      </c>
    </row>
    <row r="3306" spans="2:17" x14ac:dyDescent="0.2">
      <c r="B3306" s="5" t="s">
        <v>2535</v>
      </c>
      <c r="C3306" s="6" t="s">
        <v>13587</v>
      </c>
      <c r="D3306" s="4">
        <v>769</v>
      </c>
      <c r="E3306" s="5" t="s">
        <v>32</v>
      </c>
      <c r="F3306" s="5" t="s">
        <v>2737</v>
      </c>
      <c r="G3306" s="6" t="s">
        <v>14</v>
      </c>
      <c r="H3306" s="4">
        <v>390</v>
      </c>
      <c r="I3306" s="5" t="s">
        <v>22</v>
      </c>
      <c r="J3306" s="5" t="s">
        <v>2740</v>
      </c>
      <c r="K3306" s="5" t="s">
        <v>2741</v>
      </c>
      <c r="L3306" s="5"/>
      <c r="M3306" s="5" t="s">
        <v>484</v>
      </c>
      <c r="N3306" s="5" t="s">
        <v>485</v>
      </c>
      <c r="O3306" s="5" t="s">
        <v>2536</v>
      </c>
      <c r="P3306" s="5"/>
      <c r="Q3306" s="5" t="s">
        <v>2742</v>
      </c>
    </row>
    <row r="3307" spans="2:17" x14ac:dyDescent="0.2">
      <c r="B3307" s="5" t="s">
        <v>2535</v>
      </c>
      <c r="C3307" s="6" t="s">
        <v>13587</v>
      </c>
      <c r="D3307" s="4">
        <v>770</v>
      </c>
      <c r="E3307" s="5" t="s">
        <v>20</v>
      </c>
      <c r="F3307" s="5" t="s">
        <v>2737</v>
      </c>
      <c r="G3307" s="6" t="s">
        <v>14</v>
      </c>
      <c r="H3307" s="4">
        <v>391</v>
      </c>
      <c r="I3307" s="5" t="s">
        <v>22</v>
      </c>
      <c r="J3307" s="5" t="s">
        <v>2738</v>
      </c>
      <c r="K3307" s="5" t="s">
        <v>2543</v>
      </c>
      <c r="L3307" s="5"/>
      <c r="M3307" s="5" t="s">
        <v>484</v>
      </c>
      <c r="N3307" s="5" t="s">
        <v>485</v>
      </c>
      <c r="O3307" s="5" t="s">
        <v>2536</v>
      </c>
      <c r="P3307" s="5"/>
      <c r="Q3307" s="5" t="s">
        <v>2739</v>
      </c>
    </row>
    <row r="3308" spans="2:17" x14ac:dyDescent="0.2">
      <c r="B3308" s="5" t="s">
        <v>2758</v>
      </c>
      <c r="C3308" s="6" t="s">
        <v>13587</v>
      </c>
      <c r="D3308" s="4">
        <v>774</v>
      </c>
      <c r="E3308" s="5" t="s">
        <v>13</v>
      </c>
      <c r="F3308" s="5" t="s">
        <v>3519</v>
      </c>
      <c r="G3308" s="6" t="s">
        <v>14</v>
      </c>
      <c r="H3308" s="4">
        <v>392</v>
      </c>
      <c r="I3308" s="5"/>
      <c r="J3308" s="5" t="s">
        <v>3520</v>
      </c>
      <c r="K3308" s="5" t="s">
        <v>3521</v>
      </c>
      <c r="L3308" s="5"/>
      <c r="M3308" s="5" t="s">
        <v>2278</v>
      </c>
      <c r="N3308" s="5" t="s">
        <v>1118</v>
      </c>
      <c r="O3308" s="5" t="s">
        <v>2760</v>
      </c>
      <c r="P3308" s="5"/>
      <c r="Q3308" s="5" t="s">
        <v>3522</v>
      </c>
    </row>
    <row r="3309" spans="2:17" x14ac:dyDescent="0.2">
      <c r="B3309" s="5" t="s">
        <v>2758</v>
      </c>
      <c r="C3309" s="6" t="s">
        <v>13587</v>
      </c>
      <c r="D3309" s="4">
        <v>778</v>
      </c>
      <c r="E3309" s="5" t="s">
        <v>13</v>
      </c>
      <c r="F3309" s="5" t="s">
        <v>3489</v>
      </c>
      <c r="G3309" s="6" t="s">
        <v>14</v>
      </c>
      <c r="H3309" s="4">
        <v>393</v>
      </c>
      <c r="I3309" s="5"/>
      <c r="J3309" s="5" t="s">
        <v>2855</v>
      </c>
      <c r="K3309" s="5" t="s">
        <v>2768</v>
      </c>
      <c r="L3309" s="5"/>
      <c r="M3309" s="5" t="s">
        <v>2258</v>
      </c>
      <c r="N3309" s="5" t="s">
        <v>2258</v>
      </c>
      <c r="O3309" s="5" t="s">
        <v>2762</v>
      </c>
      <c r="P3309" s="5"/>
      <c r="Q3309" s="5" t="s">
        <v>3490</v>
      </c>
    </row>
    <row r="3310" spans="2:17" x14ac:dyDescent="0.2">
      <c r="B3310" s="5" t="s">
        <v>2758</v>
      </c>
      <c r="C3310" s="6" t="s">
        <v>13587</v>
      </c>
      <c r="D3310" s="4">
        <v>781</v>
      </c>
      <c r="E3310" s="5" t="s">
        <v>13</v>
      </c>
      <c r="F3310" s="5" t="s">
        <v>3485</v>
      </c>
      <c r="G3310" s="6" t="s">
        <v>14</v>
      </c>
      <c r="H3310" s="4">
        <v>394</v>
      </c>
      <c r="I3310" s="5"/>
      <c r="J3310" s="5" t="s">
        <v>3485</v>
      </c>
      <c r="K3310" s="5" t="s">
        <v>3486</v>
      </c>
      <c r="L3310" s="5"/>
      <c r="M3310" s="5" t="s">
        <v>3487</v>
      </c>
      <c r="N3310" s="5" t="s">
        <v>3487</v>
      </c>
      <c r="O3310" s="5" t="s">
        <v>2760</v>
      </c>
      <c r="P3310" s="5"/>
      <c r="Q3310" s="5" t="s">
        <v>3488</v>
      </c>
    </row>
    <row r="3311" spans="2:17" x14ac:dyDescent="0.2">
      <c r="B3311" s="5" t="s">
        <v>2758</v>
      </c>
      <c r="C3311" s="6" t="s">
        <v>13587</v>
      </c>
      <c r="D3311" s="4">
        <v>785</v>
      </c>
      <c r="E3311" s="5" t="s">
        <v>13</v>
      </c>
      <c r="F3311" s="5" t="s">
        <v>3472</v>
      </c>
      <c r="G3311" s="6" t="s">
        <v>14</v>
      </c>
      <c r="H3311" s="4">
        <v>395</v>
      </c>
      <c r="I3311" s="5"/>
      <c r="J3311" s="5"/>
      <c r="K3311" s="5" t="s">
        <v>2776</v>
      </c>
      <c r="L3311" s="5" t="s">
        <v>3473</v>
      </c>
      <c r="M3311" s="5" t="s">
        <v>1681</v>
      </c>
      <c r="N3311" s="5" t="s">
        <v>1681</v>
      </c>
      <c r="O3311" s="5" t="s">
        <v>2762</v>
      </c>
      <c r="P3311" s="5" t="s">
        <v>3474</v>
      </c>
      <c r="Q3311" s="5" t="s">
        <v>3475</v>
      </c>
    </row>
    <row r="3312" spans="2:17" x14ac:dyDescent="0.2">
      <c r="B3312" s="5" t="s">
        <v>2758</v>
      </c>
      <c r="C3312" s="6" t="s">
        <v>13587</v>
      </c>
      <c r="D3312" s="4">
        <v>786</v>
      </c>
      <c r="E3312" s="5" t="s">
        <v>13</v>
      </c>
      <c r="F3312" s="5" t="s">
        <v>3483</v>
      </c>
      <c r="G3312" s="6" t="s">
        <v>14</v>
      </c>
      <c r="H3312" s="4">
        <v>396</v>
      </c>
      <c r="I3312" s="5"/>
      <c r="J3312" s="5"/>
      <c r="K3312" s="5" t="s">
        <v>2787</v>
      </c>
      <c r="L3312" s="5"/>
      <c r="M3312" s="5" t="s">
        <v>229</v>
      </c>
      <c r="N3312" s="5" t="s">
        <v>1682</v>
      </c>
      <c r="O3312" s="5" t="s">
        <v>2759</v>
      </c>
      <c r="P3312" s="5"/>
      <c r="Q3312" s="5" t="s">
        <v>3484</v>
      </c>
    </row>
    <row r="3313" spans="2:17" x14ac:dyDescent="0.2">
      <c r="B3313" s="5" t="s">
        <v>2758</v>
      </c>
      <c r="C3313" s="6" t="s">
        <v>13587</v>
      </c>
      <c r="D3313" s="4">
        <v>788</v>
      </c>
      <c r="E3313" s="5" t="s">
        <v>13</v>
      </c>
      <c r="F3313" s="5" t="s">
        <v>3458</v>
      </c>
      <c r="G3313" s="6" t="s">
        <v>14</v>
      </c>
      <c r="H3313" s="4">
        <v>397</v>
      </c>
      <c r="I3313" s="5"/>
      <c r="J3313" s="5"/>
      <c r="K3313" s="5" t="s">
        <v>2778</v>
      </c>
      <c r="L3313" s="5"/>
      <c r="M3313" s="5" t="s">
        <v>506</v>
      </c>
      <c r="N3313" s="5" t="s">
        <v>506</v>
      </c>
      <c r="O3313" s="5" t="s">
        <v>2762</v>
      </c>
      <c r="P3313" s="5" t="s">
        <v>3459</v>
      </c>
      <c r="Q3313" s="5" t="s">
        <v>3460</v>
      </c>
    </row>
    <row r="3314" spans="2:17" x14ac:dyDescent="0.2">
      <c r="B3314" s="5" t="s">
        <v>2758</v>
      </c>
      <c r="C3314" s="6" t="s">
        <v>13587</v>
      </c>
      <c r="D3314" s="4">
        <v>789</v>
      </c>
      <c r="E3314" s="5" t="s">
        <v>13</v>
      </c>
      <c r="F3314" s="5" t="s">
        <v>3461</v>
      </c>
      <c r="G3314" s="6" t="s">
        <v>14</v>
      </c>
      <c r="H3314" s="4">
        <v>398</v>
      </c>
      <c r="I3314" s="5"/>
      <c r="J3314" s="5"/>
      <c r="K3314" s="5" t="s">
        <v>2790</v>
      </c>
      <c r="L3314" s="5" t="s">
        <v>3462</v>
      </c>
      <c r="M3314" s="5" t="s">
        <v>506</v>
      </c>
      <c r="N3314" s="5" t="s">
        <v>506</v>
      </c>
      <c r="O3314" s="5" t="s">
        <v>2762</v>
      </c>
      <c r="P3314" s="5" t="s">
        <v>3463</v>
      </c>
      <c r="Q3314" s="5" t="s">
        <v>3464</v>
      </c>
    </row>
    <row r="3315" spans="2:17" x14ac:dyDescent="0.2">
      <c r="B3315" s="5" t="s">
        <v>2758</v>
      </c>
      <c r="C3315" s="6" t="s">
        <v>13587</v>
      </c>
      <c r="D3315" s="4">
        <v>790</v>
      </c>
      <c r="E3315" s="5" t="s">
        <v>13</v>
      </c>
      <c r="F3315" s="5" t="s">
        <v>3465</v>
      </c>
      <c r="G3315" s="6" t="s">
        <v>14</v>
      </c>
      <c r="H3315" s="4">
        <v>399</v>
      </c>
      <c r="I3315" s="5"/>
      <c r="J3315" s="5" t="s">
        <v>3465</v>
      </c>
      <c r="K3315" s="5" t="s">
        <v>3466</v>
      </c>
      <c r="L3315" s="5"/>
      <c r="M3315" s="5" t="s">
        <v>506</v>
      </c>
      <c r="N3315" s="5" t="s">
        <v>506</v>
      </c>
      <c r="O3315" s="5" t="s">
        <v>2760</v>
      </c>
      <c r="P3315" s="5"/>
      <c r="Q3315" s="5" t="s">
        <v>3467</v>
      </c>
    </row>
    <row r="3316" spans="2:17" x14ac:dyDescent="0.2">
      <c r="B3316" s="5" t="s">
        <v>2758</v>
      </c>
      <c r="C3316" s="6" t="s">
        <v>13587</v>
      </c>
      <c r="D3316" s="4">
        <v>791</v>
      </c>
      <c r="E3316" s="5" t="s">
        <v>13</v>
      </c>
      <c r="F3316" s="5" t="s">
        <v>3449</v>
      </c>
      <c r="G3316" s="6" t="s">
        <v>14</v>
      </c>
      <c r="H3316" s="4">
        <v>400</v>
      </c>
      <c r="I3316" s="5"/>
      <c r="J3316" s="5"/>
      <c r="K3316" s="5" t="s">
        <v>3450</v>
      </c>
      <c r="L3316" s="5"/>
      <c r="M3316" s="5" t="s">
        <v>3451</v>
      </c>
      <c r="N3316" s="5" t="s">
        <v>3451</v>
      </c>
      <c r="O3316" s="5" t="s">
        <v>2759</v>
      </c>
      <c r="P3316" s="5"/>
      <c r="Q3316" s="5" t="s">
        <v>3452</v>
      </c>
    </row>
    <row r="3317" spans="2:17" x14ac:dyDescent="0.2">
      <c r="B3317" s="5" t="s">
        <v>2758</v>
      </c>
      <c r="C3317" s="6" t="s">
        <v>13587</v>
      </c>
      <c r="D3317" s="4">
        <v>794</v>
      </c>
      <c r="E3317" s="5" t="s">
        <v>13</v>
      </c>
      <c r="F3317" s="5" t="s">
        <v>3399</v>
      </c>
      <c r="G3317" s="6" t="s">
        <v>14</v>
      </c>
      <c r="H3317" s="4">
        <v>401</v>
      </c>
      <c r="I3317" s="5"/>
      <c r="J3317" s="5"/>
      <c r="K3317" s="5" t="s">
        <v>2794</v>
      </c>
      <c r="L3317" s="5" t="s">
        <v>3400</v>
      </c>
      <c r="M3317" s="5" t="s">
        <v>3362</v>
      </c>
      <c r="N3317" s="5" t="s">
        <v>3362</v>
      </c>
      <c r="O3317" s="5" t="s">
        <v>2762</v>
      </c>
      <c r="P3317" s="5"/>
      <c r="Q3317" s="5" t="s">
        <v>3401</v>
      </c>
    </row>
    <row r="3318" spans="2:17" x14ac:dyDescent="0.2">
      <c r="B3318" s="5" t="s">
        <v>2758</v>
      </c>
      <c r="C3318" s="6" t="s">
        <v>13587</v>
      </c>
      <c r="D3318" s="4">
        <v>795</v>
      </c>
      <c r="E3318" s="5" t="s">
        <v>32</v>
      </c>
      <c r="F3318" s="5" t="s">
        <v>3353</v>
      </c>
      <c r="G3318" s="6" t="s">
        <v>14</v>
      </c>
      <c r="H3318" s="4">
        <v>402</v>
      </c>
      <c r="I3318" s="5" t="s">
        <v>22</v>
      </c>
      <c r="J3318" s="5" t="s">
        <v>3361</v>
      </c>
      <c r="K3318" s="5" t="s">
        <v>2769</v>
      </c>
      <c r="L3318" s="5"/>
      <c r="M3318" s="5" t="s">
        <v>3362</v>
      </c>
      <c r="N3318" s="5" t="s">
        <v>3362</v>
      </c>
      <c r="O3318" s="5" t="s">
        <v>2762</v>
      </c>
      <c r="P3318" s="5"/>
      <c r="Q3318" s="5" t="s">
        <v>3363</v>
      </c>
    </row>
    <row r="3319" spans="2:17" x14ac:dyDescent="0.2">
      <c r="B3319" s="5" t="s">
        <v>2758</v>
      </c>
      <c r="C3319" s="6" t="s">
        <v>13587</v>
      </c>
      <c r="D3319" s="4">
        <v>796</v>
      </c>
      <c r="E3319" s="5" t="s">
        <v>32</v>
      </c>
      <c r="F3319" s="5" t="s">
        <v>3353</v>
      </c>
      <c r="G3319" s="6" t="s">
        <v>14</v>
      </c>
      <c r="H3319" s="4">
        <v>403</v>
      </c>
      <c r="I3319" s="5" t="s">
        <v>22</v>
      </c>
      <c r="J3319" s="5" t="s">
        <v>3364</v>
      </c>
      <c r="K3319" s="5" t="s">
        <v>2763</v>
      </c>
      <c r="L3319" s="5"/>
      <c r="M3319" s="5" t="s">
        <v>3362</v>
      </c>
      <c r="N3319" s="5" t="s">
        <v>3362</v>
      </c>
      <c r="O3319" s="5" t="s">
        <v>2762</v>
      </c>
      <c r="P3319" s="5"/>
      <c r="Q3319" s="5" t="s">
        <v>3365</v>
      </c>
    </row>
    <row r="3320" spans="2:17" x14ac:dyDescent="0.2">
      <c r="B3320" s="5" t="s">
        <v>2758</v>
      </c>
      <c r="C3320" s="6" t="s">
        <v>13587</v>
      </c>
      <c r="D3320" s="4">
        <v>797</v>
      </c>
      <c r="E3320" s="5" t="s">
        <v>32</v>
      </c>
      <c r="F3320" s="5" t="s">
        <v>3353</v>
      </c>
      <c r="G3320" s="6" t="s">
        <v>14</v>
      </c>
      <c r="H3320" s="4">
        <v>404</v>
      </c>
      <c r="I3320" s="5" t="s">
        <v>22</v>
      </c>
      <c r="J3320" s="5" t="s">
        <v>3366</v>
      </c>
      <c r="K3320" s="5" t="s">
        <v>2763</v>
      </c>
      <c r="L3320" s="5"/>
      <c r="M3320" s="5" t="s">
        <v>3362</v>
      </c>
      <c r="N3320" s="5" t="s">
        <v>3362</v>
      </c>
      <c r="O3320" s="5" t="s">
        <v>2762</v>
      </c>
      <c r="P3320" s="5"/>
      <c r="Q3320" s="5" t="s">
        <v>3367</v>
      </c>
    </row>
    <row r="3321" spans="2:17" x14ac:dyDescent="0.2">
      <c r="B3321" s="5" t="s">
        <v>2758</v>
      </c>
      <c r="C3321" s="6" t="s">
        <v>13587</v>
      </c>
      <c r="D3321" s="4">
        <v>798</v>
      </c>
      <c r="E3321" s="5" t="s">
        <v>32</v>
      </c>
      <c r="F3321" s="5" t="s">
        <v>3353</v>
      </c>
      <c r="G3321" s="6" t="s">
        <v>14</v>
      </c>
      <c r="H3321" s="4">
        <v>405</v>
      </c>
      <c r="I3321" s="5" t="s">
        <v>22</v>
      </c>
      <c r="J3321" s="5" t="s">
        <v>3368</v>
      </c>
      <c r="K3321" s="5" t="s">
        <v>2792</v>
      </c>
      <c r="L3321" s="5"/>
      <c r="M3321" s="5" t="s">
        <v>3362</v>
      </c>
      <c r="N3321" s="5" t="s">
        <v>3362</v>
      </c>
      <c r="O3321" s="5" t="s">
        <v>2762</v>
      </c>
      <c r="P3321" s="5"/>
      <c r="Q3321" s="5" t="s">
        <v>3369</v>
      </c>
    </row>
    <row r="3322" spans="2:17" x14ac:dyDescent="0.2">
      <c r="B3322" s="5" t="s">
        <v>2758</v>
      </c>
      <c r="C3322" s="6" t="s">
        <v>13587</v>
      </c>
      <c r="D3322" s="4">
        <v>799</v>
      </c>
      <c r="E3322" s="5" t="s">
        <v>32</v>
      </c>
      <c r="F3322" s="5" t="s">
        <v>3353</v>
      </c>
      <c r="G3322" s="6" t="s">
        <v>14</v>
      </c>
      <c r="H3322" s="4">
        <v>406</v>
      </c>
      <c r="I3322" s="5" t="s">
        <v>22</v>
      </c>
      <c r="J3322" s="5" t="s">
        <v>3370</v>
      </c>
      <c r="K3322" s="5" t="s">
        <v>2776</v>
      </c>
      <c r="L3322" s="5"/>
      <c r="M3322" s="5" t="s">
        <v>3362</v>
      </c>
      <c r="N3322" s="5" t="s">
        <v>3362</v>
      </c>
      <c r="O3322" s="5" t="s">
        <v>2762</v>
      </c>
      <c r="P3322" s="5"/>
      <c r="Q3322" s="5" t="s">
        <v>3371</v>
      </c>
    </row>
    <row r="3323" spans="2:17" x14ac:dyDescent="0.2">
      <c r="B3323" s="5" t="s">
        <v>2758</v>
      </c>
      <c r="C3323" s="6" t="s">
        <v>13587</v>
      </c>
      <c r="D3323" s="4">
        <v>800</v>
      </c>
      <c r="E3323" s="5" t="s">
        <v>32</v>
      </c>
      <c r="F3323" s="5" t="s">
        <v>3353</v>
      </c>
      <c r="G3323" s="6" t="s">
        <v>14</v>
      </c>
      <c r="H3323" s="4">
        <v>407</v>
      </c>
      <c r="I3323" s="5" t="s">
        <v>22</v>
      </c>
      <c r="J3323" s="5" t="s">
        <v>3372</v>
      </c>
      <c r="K3323" s="5" t="s">
        <v>3373</v>
      </c>
      <c r="L3323" s="5"/>
      <c r="M3323" s="5" t="s">
        <v>3362</v>
      </c>
      <c r="N3323" s="5" t="s">
        <v>3362</v>
      </c>
      <c r="O3323" s="5" t="s">
        <v>2762</v>
      </c>
      <c r="P3323" s="5"/>
      <c r="Q3323" s="5" t="s">
        <v>3374</v>
      </c>
    </row>
    <row r="3324" spans="2:17" x14ac:dyDescent="0.2">
      <c r="B3324" s="5" t="s">
        <v>2758</v>
      </c>
      <c r="C3324" s="6" t="s">
        <v>13587</v>
      </c>
      <c r="D3324" s="4">
        <v>801</v>
      </c>
      <c r="E3324" s="5" t="s">
        <v>32</v>
      </c>
      <c r="F3324" s="5" t="s">
        <v>3353</v>
      </c>
      <c r="G3324" s="6" t="s">
        <v>14</v>
      </c>
      <c r="H3324" s="4">
        <v>408</v>
      </c>
      <c r="I3324" s="5" t="s">
        <v>22</v>
      </c>
      <c r="J3324" s="5" t="s">
        <v>3375</v>
      </c>
      <c r="K3324" s="5" t="s">
        <v>3376</v>
      </c>
      <c r="L3324" s="5"/>
      <c r="M3324" s="5" t="s">
        <v>3362</v>
      </c>
      <c r="N3324" s="5" t="s">
        <v>3362</v>
      </c>
      <c r="O3324" s="5" t="s">
        <v>2875</v>
      </c>
      <c r="P3324" s="5"/>
      <c r="Q3324" s="5" t="s">
        <v>3377</v>
      </c>
    </row>
    <row r="3325" spans="2:17" x14ac:dyDescent="0.2">
      <c r="B3325" s="5" t="s">
        <v>2758</v>
      </c>
      <c r="C3325" s="6" t="s">
        <v>13587</v>
      </c>
      <c r="D3325" s="4">
        <v>802</v>
      </c>
      <c r="E3325" s="5" t="s">
        <v>32</v>
      </c>
      <c r="F3325" s="5" t="s">
        <v>3353</v>
      </c>
      <c r="G3325" s="6" t="s">
        <v>14</v>
      </c>
      <c r="H3325" s="4">
        <v>409</v>
      </c>
      <c r="I3325" s="5" t="s">
        <v>22</v>
      </c>
      <c r="J3325" s="5" t="s">
        <v>3378</v>
      </c>
      <c r="K3325" s="5" t="s">
        <v>3379</v>
      </c>
      <c r="L3325" s="5"/>
      <c r="M3325" s="5" t="s">
        <v>3362</v>
      </c>
      <c r="N3325" s="5" t="s">
        <v>3362</v>
      </c>
      <c r="O3325" s="5" t="s">
        <v>2762</v>
      </c>
      <c r="P3325" s="5"/>
      <c r="Q3325" s="5" t="s">
        <v>3380</v>
      </c>
    </row>
    <row r="3326" spans="2:17" x14ac:dyDescent="0.2">
      <c r="B3326" s="5" t="s">
        <v>2758</v>
      </c>
      <c r="C3326" s="6" t="s">
        <v>13587</v>
      </c>
      <c r="D3326" s="4">
        <v>803</v>
      </c>
      <c r="E3326" s="5" t="s">
        <v>32</v>
      </c>
      <c r="F3326" s="5" t="s">
        <v>3353</v>
      </c>
      <c r="G3326" s="6" t="s">
        <v>14</v>
      </c>
      <c r="H3326" s="4">
        <v>410</v>
      </c>
      <c r="I3326" s="5" t="s">
        <v>22</v>
      </c>
      <c r="J3326" s="5" t="s">
        <v>3381</v>
      </c>
      <c r="K3326" s="5" t="s">
        <v>3382</v>
      </c>
      <c r="L3326" s="5"/>
      <c r="M3326" s="5" t="s">
        <v>3362</v>
      </c>
      <c r="N3326" s="5" t="s">
        <v>3362</v>
      </c>
      <c r="O3326" s="5" t="s">
        <v>2760</v>
      </c>
      <c r="P3326" s="5"/>
      <c r="Q3326" s="5" t="s">
        <v>3383</v>
      </c>
    </row>
    <row r="3327" spans="2:17" x14ac:dyDescent="0.2">
      <c r="B3327" s="5" t="s">
        <v>2758</v>
      </c>
      <c r="C3327" s="6" t="s">
        <v>13587</v>
      </c>
      <c r="D3327" s="4">
        <v>804</v>
      </c>
      <c r="E3327" s="5" t="s">
        <v>32</v>
      </c>
      <c r="F3327" s="5" t="s">
        <v>3353</v>
      </c>
      <c r="G3327" s="6" t="s">
        <v>14</v>
      </c>
      <c r="H3327" s="4">
        <v>411</v>
      </c>
      <c r="I3327" s="5" t="s">
        <v>22</v>
      </c>
      <c r="J3327" s="5" t="s">
        <v>3384</v>
      </c>
      <c r="K3327" s="5" t="s">
        <v>3382</v>
      </c>
      <c r="L3327" s="5"/>
      <c r="M3327" s="5" t="s">
        <v>3362</v>
      </c>
      <c r="N3327" s="5" t="s">
        <v>3362</v>
      </c>
      <c r="O3327" s="5" t="s">
        <v>2760</v>
      </c>
      <c r="P3327" s="5"/>
      <c r="Q3327" s="5" t="s">
        <v>3385</v>
      </c>
    </row>
    <row r="3328" spans="2:17" x14ac:dyDescent="0.2">
      <c r="B3328" s="5" t="s">
        <v>2758</v>
      </c>
      <c r="C3328" s="6" t="s">
        <v>13587</v>
      </c>
      <c r="D3328" s="4">
        <v>805</v>
      </c>
      <c r="E3328" s="5" t="s">
        <v>32</v>
      </c>
      <c r="F3328" s="5" t="s">
        <v>3353</v>
      </c>
      <c r="G3328" s="6" t="s">
        <v>14</v>
      </c>
      <c r="H3328" s="4">
        <v>412</v>
      </c>
      <c r="I3328" s="5" t="s">
        <v>22</v>
      </c>
      <c r="J3328" s="5" t="s">
        <v>3386</v>
      </c>
      <c r="K3328" s="5" t="s">
        <v>3387</v>
      </c>
      <c r="L3328" s="5"/>
      <c r="M3328" s="5" t="s">
        <v>3362</v>
      </c>
      <c r="N3328" s="5" t="s">
        <v>3362</v>
      </c>
      <c r="O3328" s="5" t="s">
        <v>2760</v>
      </c>
      <c r="P3328" s="5"/>
      <c r="Q3328" s="5" t="s">
        <v>3388</v>
      </c>
    </row>
    <row r="3329" spans="2:17" x14ac:dyDescent="0.2">
      <c r="B3329" s="5" t="s">
        <v>2758</v>
      </c>
      <c r="C3329" s="6" t="s">
        <v>13587</v>
      </c>
      <c r="D3329" s="4">
        <v>806</v>
      </c>
      <c r="E3329" s="5" t="s">
        <v>32</v>
      </c>
      <c r="F3329" s="5" t="s">
        <v>3353</v>
      </c>
      <c r="G3329" s="6" t="s">
        <v>14</v>
      </c>
      <c r="H3329" s="4">
        <v>413</v>
      </c>
      <c r="I3329" s="5" t="s">
        <v>22</v>
      </c>
      <c r="J3329" s="5" t="s">
        <v>3357</v>
      </c>
      <c r="K3329" s="5" t="s">
        <v>2793</v>
      </c>
      <c r="L3329" s="5"/>
      <c r="M3329" s="5" t="s">
        <v>1058</v>
      </c>
      <c r="N3329" s="5" t="s">
        <v>1058</v>
      </c>
      <c r="O3329" s="5" t="s">
        <v>2762</v>
      </c>
      <c r="P3329" s="5"/>
      <c r="Q3329" s="5" t="s">
        <v>3358</v>
      </c>
    </row>
    <row r="3330" spans="2:17" x14ac:dyDescent="0.2">
      <c r="B3330" s="5" t="s">
        <v>2758</v>
      </c>
      <c r="C3330" s="6" t="s">
        <v>13587</v>
      </c>
      <c r="D3330" s="4">
        <v>807</v>
      </c>
      <c r="E3330" s="5" t="s">
        <v>32</v>
      </c>
      <c r="F3330" s="5" t="s">
        <v>3353</v>
      </c>
      <c r="G3330" s="6" t="s">
        <v>14</v>
      </c>
      <c r="H3330" s="4">
        <v>414</v>
      </c>
      <c r="I3330" s="5" t="s">
        <v>22</v>
      </c>
      <c r="J3330" s="5" t="s">
        <v>3359</v>
      </c>
      <c r="K3330" s="5" t="s">
        <v>2776</v>
      </c>
      <c r="L3330" s="5"/>
      <c r="M3330" s="5" t="s">
        <v>1058</v>
      </c>
      <c r="N3330" s="5" t="s">
        <v>1058</v>
      </c>
      <c r="O3330" s="5" t="s">
        <v>2762</v>
      </c>
      <c r="P3330" s="5"/>
      <c r="Q3330" s="5" t="s">
        <v>3360</v>
      </c>
    </row>
    <row r="3331" spans="2:17" x14ac:dyDescent="0.2">
      <c r="B3331" s="5" t="s">
        <v>2758</v>
      </c>
      <c r="C3331" s="6" t="s">
        <v>13587</v>
      </c>
      <c r="D3331" s="4">
        <v>808</v>
      </c>
      <c r="E3331" s="5" t="s">
        <v>32</v>
      </c>
      <c r="F3331" s="5" t="s">
        <v>3389</v>
      </c>
      <c r="G3331" s="6" t="s">
        <v>14</v>
      </c>
      <c r="H3331" s="4">
        <v>415</v>
      </c>
      <c r="I3331" s="5" t="s">
        <v>22</v>
      </c>
      <c r="J3331" s="5" t="s">
        <v>3390</v>
      </c>
      <c r="K3331" s="5" t="s">
        <v>2789</v>
      </c>
      <c r="L3331" s="5" t="s">
        <v>3391</v>
      </c>
      <c r="M3331" s="5" t="s">
        <v>3362</v>
      </c>
      <c r="N3331" s="5" t="s">
        <v>3355</v>
      </c>
      <c r="O3331" s="5" t="s">
        <v>2759</v>
      </c>
      <c r="P3331" s="5"/>
      <c r="Q3331" s="5" t="s">
        <v>3392</v>
      </c>
    </row>
    <row r="3332" spans="2:17" x14ac:dyDescent="0.2">
      <c r="B3332" s="5" t="s">
        <v>2758</v>
      </c>
      <c r="C3332" s="6" t="s">
        <v>13587</v>
      </c>
      <c r="D3332" s="4">
        <v>809</v>
      </c>
      <c r="E3332" s="5" t="s">
        <v>32</v>
      </c>
      <c r="F3332" s="5" t="s">
        <v>3353</v>
      </c>
      <c r="G3332" s="6" t="s">
        <v>14</v>
      </c>
      <c r="H3332" s="4">
        <v>416</v>
      </c>
      <c r="I3332" s="5" t="s">
        <v>22</v>
      </c>
      <c r="J3332" s="5" t="s">
        <v>3393</v>
      </c>
      <c r="K3332" s="5" t="s">
        <v>3394</v>
      </c>
      <c r="L3332" s="5"/>
      <c r="M3332" s="5" t="s">
        <v>3362</v>
      </c>
      <c r="N3332" s="5" t="s">
        <v>3355</v>
      </c>
      <c r="O3332" s="5" t="s">
        <v>2780</v>
      </c>
      <c r="P3332" s="5"/>
      <c r="Q3332" s="5" t="s">
        <v>3395</v>
      </c>
    </row>
    <row r="3333" spans="2:17" x14ac:dyDescent="0.2">
      <c r="B3333" s="5" t="s">
        <v>2758</v>
      </c>
      <c r="C3333" s="6" t="s">
        <v>13587</v>
      </c>
      <c r="D3333" s="4">
        <v>810</v>
      </c>
      <c r="E3333" s="5" t="s">
        <v>32</v>
      </c>
      <c r="F3333" s="5" t="s">
        <v>3353</v>
      </c>
      <c r="G3333" s="6" t="s">
        <v>14</v>
      </c>
      <c r="H3333" s="4">
        <v>417</v>
      </c>
      <c r="I3333" s="5" t="s">
        <v>22</v>
      </c>
      <c r="J3333" s="5" t="s">
        <v>3393</v>
      </c>
      <c r="K3333" s="5" t="s">
        <v>3394</v>
      </c>
      <c r="L3333" s="5"/>
      <c r="M3333" s="5" t="s">
        <v>3362</v>
      </c>
      <c r="N3333" s="5" t="s">
        <v>3355</v>
      </c>
      <c r="O3333" s="5" t="s">
        <v>2780</v>
      </c>
      <c r="P3333" s="5"/>
      <c r="Q3333" s="5" t="s">
        <v>3396</v>
      </c>
    </row>
    <row r="3334" spans="2:17" x14ac:dyDescent="0.2">
      <c r="B3334" s="5" t="s">
        <v>2758</v>
      </c>
      <c r="C3334" s="6" t="s">
        <v>13587</v>
      </c>
      <c r="D3334" s="4">
        <v>811</v>
      </c>
      <c r="E3334" s="5" t="s">
        <v>32</v>
      </c>
      <c r="F3334" s="5" t="s">
        <v>3397</v>
      </c>
      <c r="G3334" s="6" t="s">
        <v>14</v>
      </c>
      <c r="H3334" s="4">
        <v>418</v>
      </c>
      <c r="I3334" s="5" t="s">
        <v>22</v>
      </c>
      <c r="J3334" s="5" t="s">
        <v>3398</v>
      </c>
      <c r="K3334" s="5" t="s">
        <v>2777</v>
      </c>
      <c r="L3334" s="5"/>
      <c r="M3334" s="5" t="s">
        <v>3362</v>
      </c>
      <c r="N3334" s="5" t="s">
        <v>3355</v>
      </c>
      <c r="O3334" s="5" t="s">
        <v>2759</v>
      </c>
      <c r="P3334" s="5"/>
      <c r="Q3334" s="5" t="s">
        <v>3046</v>
      </c>
    </row>
    <row r="3335" spans="2:17" x14ac:dyDescent="0.2">
      <c r="B3335" s="5" t="s">
        <v>2758</v>
      </c>
      <c r="C3335" s="6" t="s">
        <v>13587</v>
      </c>
      <c r="D3335" s="4">
        <v>812</v>
      </c>
      <c r="E3335" s="5" t="s">
        <v>32</v>
      </c>
      <c r="F3335" s="5" t="s">
        <v>3353</v>
      </c>
      <c r="G3335" s="6" t="s">
        <v>14</v>
      </c>
      <c r="H3335" s="4">
        <v>419</v>
      </c>
      <c r="I3335" s="5" t="s">
        <v>22</v>
      </c>
      <c r="J3335" s="5" t="s">
        <v>3354</v>
      </c>
      <c r="K3335" s="5" t="s">
        <v>2773</v>
      </c>
      <c r="L3335" s="5"/>
      <c r="M3335" s="5" t="s">
        <v>3355</v>
      </c>
      <c r="N3335" s="5" t="s">
        <v>3355</v>
      </c>
      <c r="O3335" s="5" t="s">
        <v>2762</v>
      </c>
      <c r="P3335" s="5"/>
      <c r="Q3335" s="5" t="s">
        <v>3356</v>
      </c>
    </row>
    <row r="3336" spans="2:17" x14ac:dyDescent="0.2">
      <c r="B3336" s="5" t="s">
        <v>2758</v>
      </c>
      <c r="C3336" s="6" t="s">
        <v>13587</v>
      </c>
      <c r="D3336" s="4">
        <v>813</v>
      </c>
      <c r="E3336" s="5" t="s">
        <v>13</v>
      </c>
      <c r="F3336" s="5" t="s">
        <v>3350</v>
      </c>
      <c r="G3336" s="6" t="s">
        <v>14</v>
      </c>
      <c r="H3336" s="4">
        <v>420</v>
      </c>
      <c r="I3336" s="5"/>
      <c r="J3336" s="5" t="s">
        <v>3351</v>
      </c>
      <c r="K3336" s="5" t="s">
        <v>2775</v>
      </c>
      <c r="L3336" s="5"/>
      <c r="M3336" s="5" t="s">
        <v>479</v>
      </c>
      <c r="N3336" s="5" t="s">
        <v>479</v>
      </c>
      <c r="O3336" s="5" t="s">
        <v>2762</v>
      </c>
      <c r="P3336" s="5"/>
      <c r="Q3336" s="5" t="s">
        <v>3352</v>
      </c>
    </row>
    <row r="3337" spans="2:17" x14ac:dyDescent="0.2">
      <c r="B3337" s="5" t="s">
        <v>2758</v>
      </c>
      <c r="C3337" s="6" t="s">
        <v>13587</v>
      </c>
      <c r="D3337" s="4">
        <v>814</v>
      </c>
      <c r="E3337" s="5" t="s">
        <v>15</v>
      </c>
      <c r="F3337" s="5" t="s">
        <v>3347</v>
      </c>
      <c r="G3337" s="6" t="s">
        <v>14</v>
      </c>
      <c r="H3337" s="4">
        <v>421</v>
      </c>
      <c r="I3337" s="5"/>
      <c r="J3337" s="5" t="s">
        <v>3348</v>
      </c>
      <c r="K3337" s="5" t="s">
        <v>406</v>
      </c>
      <c r="L3337" s="5"/>
      <c r="M3337" s="5" t="s">
        <v>479</v>
      </c>
      <c r="N3337" s="5" t="s">
        <v>479</v>
      </c>
      <c r="O3337" s="5" t="s">
        <v>2760</v>
      </c>
      <c r="P3337" s="5"/>
      <c r="Q3337" s="5" t="s">
        <v>3349</v>
      </c>
    </row>
    <row r="3338" spans="2:17" x14ac:dyDescent="0.2">
      <c r="B3338" s="5" t="s">
        <v>2758</v>
      </c>
      <c r="C3338" s="6" t="s">
        <v>13587</v>
      </c>
      <c r="D3338" s="4">
        <v>816</v>
      </c>
      <c r="E3338" s="5" t="s">
        <v>13</v>
      </c>
      <c r="F3338" s="5" t="s">
        <v>3337</v>
      </c>
      <c r="G3338" s="6" t="s">
        <v>14</v>
      </c>
      <c r="H3338" s="4">
        <v>422</v>
      </c>
      <c r="I3338" s="5"/>
      <c r="J3338" s="5" t="s">
        <v>3338</v>
      </c>
      <c r="K3338" s="5" t="s">
        <v>2774</v>
      </c>
      <c r="L3338" s="5" t="s">
        <v>3339</v>
      </c>
      <c r="M3338" s="5" t="s">
        <v>215</v>
      </c>
      <c r="N3338" s="5" t="s">
        <v>215</v>
      </c>
      <c r="O3338" s="5" t="s">
        <v>2762</v>
      </c>
      <c r="P3338" s="5" t="s">
        <v>3340</v>
      </c>
      <c r="Q3338" s="5" t="s">
        <v>3341</v>
      </c>
    </row>
    <row r="3339" spans="2:17" x14ac:dyDescent="0.2">
      <c r="B3339" s="5" t="s">
        <v>2758</v>
      </c>
      <c r="C3339" s="6" t="s">
        <v>13587</v>
      </c>
      <c r="D3339" s="4">
        <v>817</v>
      </c>
      <c r="E3339" s="5" t="s">
        <v>13</v>
      </c>
      <c r="F3339" s="5" t="s">
        <v>3333</v>
      </c>
      <c r="G3339" s="6" t="s">
        <v>14</v>
      </c>
      <c r="H3339" s="4">
        <v>423</v>
      </c>
      <c r="I3339" s="5"/>
      <c r="J3339" s="5" t="s">
        <v>3334</v>
      </c>
      <c r="K3339" s="5" t="s">
        <v>2769</v>
      </c>
      <c r="L3339" s="5"/>
      <c r="M3339" s="5" t="s">
        <v>2198</v>
      </c>
      <c r="N3339" s="5" t="s">
        <v>2198</v>
      </c>
      <c r="O3339" s="5" t="s">
        <v>2762</v>
      </c>
      <c r="P3339" s="5" t="s">
        <v>3335</v>
      </c>
      <c r="Q3339" s="5" t="s">
        <v>3336</v>
      </c>
    </row>
    <row r="3340" spans="2:17" x14ac:dyDescent="0.2">
      <c r="B3340" s="5" t="s">
        <v>2758</v>
      </c>
      <c r="C3340" s="6" t="s">
        <v>13587</v>
      </c>
      <c r="D3340" s="4">
        <v>818</v>
      </c>
      <c r="E3340" s="5" t="s">
        <v>56</v>
      </c>
      <c r="F3340" s="5" t="s">
        <v>3327</v>
      </c>
      <c r="G3340" s="6" t="s">
        <v>14</v>
      </c>
      <c r="H3340" s="4">
        <v>424</v>
      </c>
      <c r="I3340" s="5"/>
      <c r="J3340" s="5" t="s">
        <v>3328</v>
      </c>
      <c r="K3340" s="5" t="s">
        <v>2767</v>
      </c>
      <c r="L3340" s="5"/>
      <c r="M3340" s="5" t="s">
        <v>2198</v>
      </c>
      <c r="N3340" s="5" t="s">
        <v>2198</v>
      </c>
      <c r="O3340" s="5" t="s">
        <v>2762</v>
      </c>
      <c r="P3340" s="5"/>
      <c r="Q3340" s="5" t="s">
        <v>3329</v>
      </c>
    </row>
    <row r="3341" spans="2:17" x14ac:dyDescent="0.2">
      <c r="B3341" s="5" t="s">
        <v>2758</v>
      </c>
      <c r="C3341" s="6" t="s">
        <v>13587</v>
      </c>
      <c r="D3341" s="4">
        <v>821</v>
      </c>
      <c r="E3341" s="5" t="s">
        <v>13</v>
      </c>
      <c r="F3341" s="5" t="s">
        <v>3320</v>
      </c>
      <c r="G3341" s="6" t="s">
        <v>14</v>
      </c>
      <c r="H3341" s="4">
        <v>425</v>
      </c>
      <c r="I3341" s="5"/>
      <c r="J3341" s="5" t="s">
        <v>3321</v>
      </c>
      <c r="K3341" s="5" t="s">
        <v>2786</v>
      </c>
      <c r="L3341" s="5"/>
      <c r="M3341" s="5" t="s">
        <v>1843</v>
      </c>
      <c r="N3341" s="5" t="s">
        <v>1843</v>
      </c>
      <c r="O3341" s="5" t="s">
        <v>2762</v>
      </c>
      <c r="P3341" s="5"/>
      <c r="Q3341" s="5" t="s">
        <v>3322</v>
      </c>
    </row>
    <row r="3342" spans="2:17" x14ac:dyDescent="0.2">
      <c r="B3342" s="5" t="s">
        <v>2758</v>
      </c>
      <c r="C3342" s="6" t="s">
        <v>13587</v>
      </c>
      <c r="D3342" s="4">
        <v>822</v>
      </c>
      <c r="E3342" s="5" t="s">
        <v>13</v>
      </c>
      <c r="F3342" s="5" t="s">
        <v>3314</v>
      </c>
      <c r="G3342" s="6" t="s">
        <v>14</v>
      </c>
      <c r="H3342" s="4">
        <v>426</v>
      </c>
      <c r="I3342" s="5"/>
      <c r="J3342" s="5" t="s">
        <v>3315</v>
      </c>
      <c r="K3342" s="5" t="s">
        <v>2766</v>
      </c>
      <c r="L3342" s="5" t="s">
        <v>3316</v>
      </c>
      <c r="M3342" s="5" t="s">
        <v>3317</v>
      </c>
      <c r="N3342" s="5" t="s">
        <v>3317</v>
      </c>
      <c r="O3342" s="5" t="s">
        <v>2762</v>
      </c>
      <c r="P3342" s="5" t="s">
        <v>3318</v>
      </c>
      <c r="Q3342" s="5" t="s">
        <v>3319</v>
      </c>
    </row>
    <row r="3343" spans="2:17" x14ac:dyDescent="0.2">
      <c r="B3343" s="5" t="s">
        <v>2758</v>
      </c>
      <c r="C3343" s="6" t="s">
        <v>13587</v>
      </c>
      <c r="D3343" s="4">
        <v>823</v>
      </c>
      <c r="E3343" s="5" t="s">
        <v>13</v>
      </c>
      <c r="F3343" s="5" t="s">
        <v>3311</v>
      </c>
      <c r="G3343" s="6" t="s">
        <v>14</v>
      </c>
      <c r="H3343" s="4">
        <v>427</v>
      </c>
      <c r="I3343" s="5"/>
      <c r="J3343" s="5" t="s">
        <v>3312</v>
      </c>
      <c r="K3343" s="5" t="s">
        <v>2803</v>
      </c>
      <c r="L3343" s="5"/>
      <c r="M3343" s="5" t="s">
        <v>1625</v>
      </c>
      <c r="N3343" s="5" t="s">
        <v>1625</v>
      </c>
      <c r="O3343" s="5" t="s">
        <v>2762</v>
      </c>
      <c r="P3343" s="5" t="s">
        <v>2804</v>
      </c>
      <c r="Q3343" s="5" t="s">
        <v>3313</v>
      </c>
    </row>
    <row r="3344" spans="2:17" x14ac:dyDescent="0.2">
      <c r="B3344" s="5" t="s">
        <v>2758</v>
      </c>
      <c r="C3344" s="6" t="s">
        <v>13587</v>
      </c>
      <c r="D3344" s="4">
        <v>849</v>
      </c>
      <c r="E3344" s="5" t="s">
        <v>13</v>
      </c>
      <c r="F3344" s="5" t="s">
        <v>3252</v>
      </c>
      <c r="G3344" s="6" t="s">
        <v>14</v>
      </c>
      <c r="H3344" s="4">
        <v>428</v>
      </c>
      <c r="I3344" s="5" t="s">
        <v>22</v>
      </c>
      <c r="J3344" s="5" t="s">
        <v>3253</v>
      </c>
      <c r="K3344" s="5" t="s">
        <v>3254</v>
      </c>
      <c r="L3344" s="5"/>
      <c r="M3344" s="5" t="s">
        <v>2708</v>
      </c>
      <c r="N3344" s="5" t="s">
        <v>2708</v>
      </c>
      <c r="O3344" s="5" t="s">
        <v>2760</v>
      </c>
      <c r="P3344" s="5"/>
      <c r="Q3344" s="5" t="s">
        <v>3255</v>
      </c>
    </row>
    <row r="3345" spans="2:17" x14ac:dyDescent="0.2">
      <c r="B3345" s="5" t="s">
        <v>2758</v>
      </c>
      <c r="C3345" s="6" t="s">
        <v>13587</v>
      </c>
      <c r="D3345" s="4">
        <v>850</v>
      </c>
      <c r="E3345" s="5" t="s">
        <v>13</v>
      </c>
      <c r="F3345" s="5" t="s">
        <v>3245</v>
      </c>
      <c r="G3345" s="6" t="s">
        <v>14</v>
      </c>
      <c r="H3345" s="4">
        <v>429</v>
      </c>
      <c r="I3345" s="5"/>
      <c r="J3345" s="5"/>
      <c r="K3345" s="5" t="s">
        <v>2773</v>
      </c>
      <c r="L3345" s="5"/>
      <c r="M3345" s="5" t="s">
        <v>1596</v>
      </c>
      <c r="N3345" s="5" t="s">
        <v>1596</v>
      </c>
      <c r="O3345" s="5" t="s">
        <v>2762</v>
      </c>
      <c r="P3345" s="5"/>
      <c r="Q3345" s="5" t="s">
        <v>3246</v>
      </c>
    </row>
    <row r="3346" spans="2:17" x14ac:dyDescent="0.2">
      <c r="B3346" s="5" t="s">
        <v>2758</v>
      </c>
      <c r="C3346" s="6" t="s">
        <v>13587</v>
      </c>
      <c r="D3346" s="4">
        <v>853</v>
      </c>
      <c r="E3346" s="5" t="s">
        <v>13</v>
      </c>
      <c r="F3346" s="5" t="s">
        <v>3235</v>
      </c>
      <c r="G3346" s="6" t="s">
        <v>14</v>
      </c>
      <c r="H3346" s="4">
        <v>430</v>
      </c>
      <c r="I3346" s="5"/>
      <c r="J3346" s="5" t="s">
        <v>3236</v>
      </c>
      <c r="K3346" s="5" t="s">
        <v>2767</v>
      </c>
      <c r="L3346" s="5"/>
      <c r="M3346" s="5" t="s">
        <v>163</v>
      </c>
      <c r="N3346" s="5" t="s">
        <v>163</v>
      </c>
      <c r="O3346" s="5" t="s">
        <v>2762</v>
      </c>
      <c r="P3346" s="5" t="s">
        <v>3237</v>
      </c>
      <c r="Q3346" s="5" t="s">
        <v>3238</v>
      </c>
    </row>
    <row r="3347" spans="2:17" x14ac:dyDescent="0.2">
      <c r="B3347" s="5" t="s">
        <v>2758</v>
      </c>
      <c r="C3347" s="6" t="s">
        <v>13587</v>
      </c>
      <c r="D3347" s="4">
        <v>857</v>
      </c>
      <c r="E3347" s="5" t="s">
        <v>20</v>
      </c>
      <c r="F3347" s="5" t="s">
        <v>3229</v>
      </c>
      <c r="G3347" s="6" t="s">
        <v>14</v>
      </c>
      <c r="H3347" s="4">
        <v>431</v>
      </c>
      <c r="I3347" s="5" t="s">
        <v>22</v>
      </c>
      <c r="J3347" s="5" t="s">
        <v>3230</v>
      </c>
      <c r="K3347" s="5" t="s">
        <v>3231</v>
      </c>
      <c r="L3347" s="5"/>
      <c r="M3347" s="5" t="s">
        <v>437</v>
      </c>
      <c r="N3347" s="5" t="s">
        <v>437</v>
      </c>
      <c r="O3347" s="5" t="s">
        <v>2760</v>
      </c>
      <c r="P3347" s="5"/>
      <c r="Q3347" s="5" t="s">
        <v>3232</v>
      </c>
    </row>
    <row r="3348" spans="2:17" x14ac:dyDescent="0.2">
      <c r="B3348" s="5" t="s">
        <v>2758</v>
      </c>
      <c r="C3348" s="6" t="s">
        <v>13587</v>
      </c>
      <c r="D3348" s="4">
        <v>859</v>
      </c>
      <c r="E3348" s="5" t="s">
        <v>56</v>
      </c>
      <c r="F3348" s="5" t="s">
        <v>3222</v>
      </c>
      <c r="G3348" s="6" t="s">
        <v>14</v>
      </c>
      <c r="H3348" s="4">
        <v>432</v>
      </c>
      <c r="I3348" s="5"/>
      <c r="J3348" s="5"/>
      <c r="K3348" s="5" t="s">
        <v>2776</v>
      </c>
      <c r="L3348" s="5"/>
      <c r="M3348" s="5" t="s">
        <v>153</v>
      </c>
      <c r="N3348" s="5" t="s">
        <v>153</v>
      </c>
      <c r="O3348" s="5" t="s">
        <v>2762</v>
      </c>
      <c r="P3348" s="5"/>
      <c r="Q3348" s="5" t="s">
        <v>3223</v>
      </c>
    </row>
    <row r="3349" spans="2:17" x14ac:dyDescent="0.2">
      <c r="B3349" s="5" t="s">
        <v>2758</v>
      </c>
      <c r="C3349" s="6" t="s">
        <v>13587</v>
      </c>
      <c r="D3349" s="4">
        <v>860</v>
      </c>
      <c r="E3349" s="5" t="s">
        <v>13</v>
      </c>
      <c r="F3349" s="5" t="s">
        <v>3213</v>
      </c>
      <c r="G3349" s="6" t="s">
        <v>14</v>
      </c>
      <c r="H3349" s="4">
        <v>433</v>
      </c>
      <c r="I3349" s="5"/>
      <c r="J3349" s="5" t="s">
        <v>3214</v>
      </c>
      <c r="K3349" s="5" t="s">
        <v>2775</v>
      </c>
      <c r="L3349" s="5"/>
      <c r="M3349" s="5" t="s">
        <v>1548</v>
      </c>
      <c r="N3349" s="5" t="s">
        <v>1548</v>
      </c>
      <c r="O3349" s="5" t="s">
        <v>2762</v>
      </c>
      <c r="P3349" s="5" t="s">
        <v>3110</v>
      </c>
      <c r="Q3349" s="5" t="s">
        <v>3215</v>
      </c>
    </row>
    <row r="3350" spans="2:17" x14ac:dyDescent="0.2">
      <c r="B3350" s="5" t="s">
        <v>2758</v>
      </c>
      <c r="C3350" s="6" t="s">
        <v>13587</v>
      </c>
      <c r="D3350" s="4">
        <v>864</v>
      </c>
      <c r="E3350" s="5" t="s">
        <v>20</v>
      </c>
      <c r="F3350" s="5" t="s">
        <v>3201</v>
      </c>
      <c r="G3350" s="6" t="s">
        <v>14</v>
      </c>
      <c r="H3350" s="4">
        <v>434</v>
      </c>
      <c r="I3350" s="5" t="s">
        <v>22</v>
      </c>
      <c r="J3350" s="5" t="s">
        <v>3202</v>
      </c>
      <c r="K3350" s="5" t="s">
        <v>2774</v>
      </c>
      <c r="L3350" s="5"/>
      <c r="M3350" s="5" t="s">
        <v>1544</v>
      </c>
      <c r="N3350" s="5" t="s">
        <v>1544</v>
      </c>
      <c r="O3350" s="5" t="s">
        <v>2762</v>
      </c>
      <c r="P3350" s="5"/>
      <c r="Q3350" s="5" t="s">
        <v>3203</v>
      </c>
    </row>
    <row r="3351" spans="2:17" x14ac:dyDescent="0.2">
      <c r="B3351" s="5" t="s">
        <v>2758</v>
      </c>
      <c r="C3351" s="6" t="s">
        <v>13587</v>
      </c>
      <c r="D3351" s="4">
        <v>866</v>
      </c>
      <c r="E3351" s="5" t="s">
        <v>56</v>
      </c>
      <c r="F3351" s="5" t="s">
        <v>3197</v>
      </c>
      <c r="G3351" s="6" t="s">
        <v>14</v>
      </c>
      <c r="H3351" s="4">
        <v>435</v>
      </c>
      <c r="I3351" s="5"/>
      <c r="J3351" s="5"/>
      <c r="K3351" s="5" t="s">
        <v>2776</v>
      </c>
      <c r="L3351" s="5"/>
      <c r="M3351" s="5" t="s">
        <v>428</v>
      </c>
      <c r="N3351" s="5" t="s">
        <v>428</v>
      </c>
      <c r="O3351" s="5" t="s">
        <v>2762</v>
      </c>
      <c r="P3351" s="5" t="s">
        <v>3198</v>
      </c>
      <c r="Q3351" s="5" t="s">
        <v>3199</v>
      </c>
    </row>
    <row r="3352" spans="2:17" x14ac:dyDescent="0.2">
      <c r="B3352" s="5" t="s">
        <v>2758</v>
      </c>
      <c r="C3352" s="6" t="s">
        <v>13587</v>
      </c>
      <c r="D3352" s="4">
        <v>876</v>
      </c>
      <c r="E3352" s="5" t="s">
        <v>13</v>
      </c>
      <c r="F3352" s="5" t="s">
        <v>3156</v>
      </c>
      <c r="G3352" s="6" t="s">
        <v>14</v>
      </c>
      <c r="H3352" s="4">
        <v>436</v>
      </c>
      <c r="I3352" s="5"/>
      <c r="J3352" s="5"/>
      <c r="K3352" s="5" t="s">
        <v>2776</v>
      </c>
      <c r="L3352" s="5" t="s">
        <v>3157</v>
      </c>
      <c r="M3352" s="5" t="s">
        <v>417</v>
      </c>
      <c r="N3352" s="5" t="s">
        <v>417</v>
      </c>
      <c r="O3352" s="5" t="s">
        <v>2762</v>
      </c>
      <c r="P3352" s="5" t="s">
        <v>3158</v>
      </c>
      <c r="Q3352" s="5" t="s">
        <v>3159</v>
      </c>
    </row>
    <row r="3353" spans="2:17" x14ac:dyDescent="0.2">
      <c r="B3353" s="5" t="s">
        <v>2758</v>
      </c>
      <c r="C3353" s="6" t="s">
        <v>13587</v>
      </c>
      <c r="D3353" s="4">
        <v>882</v>
      </c>
      <c r="E3353" s="5" t="s">
        <v>13</v>
      </c>
      <c r="F3353" s="5" t="s">
        <v>3145</v>
      </c>
      <c r="G3353" s="6" t="s">
        <v>14</v>
      </c>
      <c r="H3353" s="4">
        <v>437</v>
      </c>
      <c r="I3353" s="5"/>
      <c r="J3353" s="5"/>
      <c r="K3353" s="5" t="s">
        <v>3146</v>
      </c>
      <c r="L3353" s="5" t="s">
        <v>3147</v>
      </c>
      <c r="M3353" s="5" t="s">
        <v>137</v>
      </c>
      <c r="N3353" s="5" t="s">
        <v>137</v>
      </c>
      <c r="O3353" s="5" t="s">
        <v>2762</v>
      </c>
      <c r="P3353" s="5" t="s">
        <v>3148</v>
      </c>
      <c r="Q3353" s="5" t="s">
        <v>3149</v>
      </c>
    </row>
    <row r="3354" spans="2:17" x14ac:dyDescent="0.2">
      <c r="B3354" s="5" t="s">
        <v>2758</v>
      </c>
      <c r="C3354" s="6" t="s">
        <v>13587</v>
      </c>
      <c r="D3354" s="4">
        <v>883</v>
      </c>
      <c r="E3354" s="5" t="s">
        <v>24</v>
      </c>
      <c r="F3354" s="5" t="s">
        <v>3142</v>
      </c>
      <c r="G3354" s="6" t="s">
        <v>14</v>
      </c>
      <c r="H3354" s="4">
        <v>438</v>
      </c>
      <c r="I3354" s="5"/>
      <c r="J3354" s="5" t="s">
        <v>3143</v>
      </c>
      <c r="K3354" s="5" t="s">
        <v>2787</v>
      </c>
      <c r="L3354" s="5"/>
      <c r="M3354" s="5" t="s">
        <v>137</v>
      </c>
      <c r="N3354" s="5" t="s">
        <v>412</v>
      </c>
      <c r="O3354" s="5" t="s">
        <v>2759</v>
      </c>
      <c r="P3354" s="5"/>
      <c r="Q3354" s="5" t="s">
        <v>3144</v>
      </c>
    </row>
    <row r="3355" spans="2:17" x14ac:dyDescent="0.2">
      <c r="B3355" s="5" t="s">
        <v>2758</v>
      </c>
      <c r="C3355" s="6" t="s">
        <v>13587</v>
      </c>
      <c r="D3355" s="4">
        <v>884</v>
      </c>
      <c r="E3355" s="5" t="s">
        <v>35</v>
      </c>
      <c r="F3355" s="5" t="s">
        <v>3139</v>
      </c>
      <c r="G3355" s="6" t="s">
        <v>14</v>
      </c>
      <c r="H3355" s="4">
        <v>439</v>
      </c>
      <c r="I3355" s="5"/>
      <c r="J3355" s="5" t="s">
        <v>3140</v>
      </c>
      <c r="K3355" s="5" t="s">
        <v>2795</v>
      </c>
      <c r="L3355" s="5"/>
      <c r="M3355" s="5" t="s">
        <v>412</v>
      </c>
      <c r="N3355" s="5" t="s">
        <v>138</v>
      </c>
      <c r="O3355" s="5" t="s">
        <v>2759</v>
      </c>
      <c r="P3355" s="5"/>
      <c r="Q3355" s="5" t="s">
        <v>3141</v>
      </c>
    </row>
    <row r="3356" spans="2:17" x14ac:dyDescent="0.2">
      <c r="B3356" s="5" t="s">
        <v>2758</v>
      </c>
      <c r="C3356" s="6" t="s">
        <v>13587</v>
      </c>
      <c r="D3356" s="4">
        <v>885</v>
      </c>
      <c r="E3356" s="5" t="s">
        <v>15</v>
      </c>
      <c r="F3356" s="5" t="s">
        <v>3136</v>
      </c>
      <c r="G3356" s="6" t="s">
        <v>14</v>
      </c>
      <c r="H3356" s="4">
        <v>440</v>
      </c>
      <c r="I3356" s="5"/>
      <c r="J3356" s="5" t="s">
        <v>3137</v>
      </c>
      <c r="K3356" s="5" t="s">
        <v>2776</v>
      </c>
      <c r="L3356" s="5"/>
      <c r="M3356" s="5" t="s">
        <v>138</v>
      </c>
      <c r="N3356" s="5" t="s">
        <v>138</v>
      </c>
      <c r="O3356" s="5" t="s">
        <v>2762</v>
      </c>
      <c r="P3356" s="5"/>
      <c r="Q3356" s="5" t="s">
        <v>3138</v>
      </c>
    </row>
    <row r="3357" spans="2:17" x14ac:dyDescent="0.2">
      <c r="B3357" s="5" t="s">
        <v>2758</v>
      </c>
      <c r="C3357" s="6" t="s">
        <v>13587</v>
      </c>
      <c r="D3357" s="4">
        <v>887</v>
      </c>
      <c r="E3357" s="5" t="s">
        <v>13</v>
      </c>
      <c r="F3357" s="5" t="s">
        <v>3071</v>
      </c>
      <c r="G3357" s="6" t="s">
        <v>14</v>
      </c>
      <c r="H3357" s="4">
        <v>441</v>
      </c>
      <c r="I3357" s="5"/>
      <c r="J3357" s="5" t="s">
        <v>3072</v>
      </c>
      <c r="K3357" s="5" t="s">
        <v>2782</v>
      </c>
      <c r="L3357" s="5"/>
      <c r="M3357" s="5" t="s">
        <v>804</v>
      </c>
      <c r="N3357" s="5" t="s">
        <v>804</v>
      </c>
      <c r="O3357" s="5" t="s">
        <v>2762</v>
      </c>
      <c r="P3357" s="5"/>
      <c r="Q3357" s="5" t="s">
        <v>3073</v>
      </c>
    </row>
    <row r="3358" spans="2:17" x14ac:dyDescent="0.2">
      <c r="B3358" s="5" t="s">
        <v>2758</v>
      </c>
      <c r="C3358" s="6" t="s">
        <v>13587</v>
      </c>
      <c r="D3358" s="4">
        <v>888</v>
      </c>
      <c r="E3358" s="5" t="s">
        <v>32</v>
      </c>
      <c r="F3358" s="5" t="s">
        <v>3062</v>
      </c>
      <c r="G3358" s="6" t="s">
        <v>14</v>
      </c>
      <c r="H3358" s="4">
        <v>442</v>
      </c>
      <c r="I3358" s="5" t="s">
        <v>22</v>
      </c>
      <c r="J3358" s="5" t="s">
        <v>3063</v>
      </c>
      <c r="K3358" s="5" t="s">
        <v>2771</v>
      </c>
      <c r="L3358" s="5"/>
      <c r="M3358" s="5" t="s">
        <v>346</v>
      </c>
      <c r="N3358" s="5" t="s">
        <v>346</v>
      </c>
      <c r="O3358" s="5" t="s">
        <v>2762</v>
      </c>
      <c r="P3358" s="5"/>
      <c r="Q3358" s="5" t="s">
        <v>3064</v>
      </c>
    </row>
    <row r="3359" spans="2:17" x14ac:dyDescent="0.2">
      <c r="B3359" s="5" t="s">
        <v>2758</v>
      </c>
      <c r="C3359" s="6" t="s">
        <v>13587</v>
      </c>
      <c r="D3359" s="4">
        <v>889</v>
      </c>
      <c r="E3359" s="5" t="s">
        <v>13</v>
      </c>
      <c r="F3359" s="5" t="s">
        <v>3068</v>
      </c>
      <c r="G3359" s="6" t="s">
        <v>14</v>
      </c>
      <c r="H3359" s="4">
        <v>443</v>
      </c>
      <c r="I3359" s="5"/>
      <c r="J3359" s="5"/>
      <c r="K3359" s="5" t="s">
        <v>2771</v>
      </c>
      <c r="L3359" s="5"/>
      <c r="M3359" s="5" t="s">
        <v>346</v>
      </c>
      <c r="N3359" s="5" t="s">
        <v>346</v>
      </c>
      <c r="O3359" s="5" t="s">
        <v>2762</v>
      </c>
      <c r="P3359" s="5" t="s">
        <v>3069</v>
      </c>
      <c r="Q3359" s="5" t="s">
        <v>3070</v>
      </c>
    </row>
    <row r="3360" spans="2:17" x14ac:dyDescent="0.2">
      <c r="B3360" s="5" t="s">
        <v>2758</v>
      </c>
      <c r="C3360" s="6" t="s">
        <v>13587</v>
      </c>
      <c r="D3360" s="4">
        <v>896</v>
      </c>
      <c r="E3360" s="5" t="s">
        <v>13</v>
      </c>
      <c r="F3360" s="5" t="s">
        <v>3045</v>
      </c>
      <c r="G3360" s="6" t="s">
        <v>14</v>
      </c>
      <c r="H3360" s="4">
        <v>444</v>
      </c>
      <c r="I3360" s="5"/>
      <c r="J3360" s="5" t="s">
        <v>2912</v>
      </c>
      <c r="K3360" s="5" t="s">
        <v>2774</v>
      </c>
      <c r="L3360" s="5"/>
      <c r="M3360" s="5" t="s">
        <v>342</v>
      </c>
      <c r="N3360" s="5" t="s">
        <v>342</v>
      </c>
      <c r="O3360" s="5" t="s">
        <v>2762</v>
      </c>
      <c r="P3360" s="5"/>
      <c r="Q3360" s="5" t="s">
        <v>3046</v>
      </c>
    </row>
    <row r="3361" spans="2:17" x14ac:dyDescent="0.2">
      <c r="B3361" s="5" t="s">
        <v>2758</v>
      </c>
      <c r="C3361" s="6" t="s">
        <v>13587</v>
      </c>
      <c r="D3361" s="4">
        <v>901</v>
      </c>
      <c r="E3361" s="5" t="s">
        <v>13</v>
      </c>
      <c r="F3361" s="5" t="s">
        <v>3023</v>
      </c>
      <c r="G3361" s="6" t="s">
        <v>14</v>
      </c>
      <c r="H3361" s="4">
        <v>445</v>
      </c>
      <c r="I3361" s="5"/>
      <c r="J3361" s="5"/>
      <c r="K3361" s="5" t="s">
        <v>3024</v>
      </c>
      <c r="L3361" s="5"/>
      <c r="M3361" s="5" t="s">
        <v>1436</v>
      </c>
      <c r="N3361" s="5" t="s">
        <v>1436</v>
      </c>
      <c r="O3361" s="5" t="s">
        <v>2762</v>
      </c>
      <c r="P3361" s="5" t="s">
        <v>3025</v>
      </c>
      <c r="Q3361" s="5" t="s">
        <v>3026</v>
      </c>
    </row>
    <row r="3362" spans="2:17" x14ac:dyDescent="0.2">
      <c r="B3362" s="5" t="s">
        <v>2758</v>
      </c>
      <c r="C3362" s="6" t="s">
        <v>13587</v>
      </c>
      <c r="D3362" s="4">
        <v>904</v>
      </c>
      <c r="E3362" s="5" t="s">
        <v>32</v>
      </c>
      <c r="F3362" s="5" t="s">
        <v>1434</v>
      </c>
      <c r="G3362" s="6" t="s">
        <v>14</v>
      </c>
      <c r="H3362" s="4">
        <v>446</v>
      </c>
      <c r="I3362" s="5" t="s">
        <v>22</v>
      </c>
      <c r="J3362" s="5" t="s">
        <v>3013</v>
      </c>
      <c r="K3362" s="5" t="s">
        <v>2790</v>
      </c>
      <c r="L3362" s="5"/>
      <c r="M3362" s="5" t="s">
        <v>2376</v>
      </c>
      <c r="N3362" s="5" t="s">
        <v>2376</v>
      </c>
      <c r="O3362" s="5" t="s">
        <v>2762</v>
      </c>
      <c r="P3362" s="5"/>
      <c r="Q3362" s="5" t="s">
        <v>3014</v>
      </c>
    </row>
    <row r="3363" spans="2:17" x14ac:dyDescent="0.2">
      <c r="B3363" s="5" t="s">
        <v>2758</v>
      </c>
      <c r="C3363" s="6" t="s">
        <v>13587</v>
      </c>
      <c r="D3363" s="4">
        <v>905</v>
      </c>
      <c r="E3363" s="5" t="s">
        <v>82</v>
      </c>
      <c r="F3363" s="5" t="s">
        <v>3018</v>
      </c>
      <c r="G3363" s="6" t="s">
        <v>14</v>
      </c>
      <c r="H3363" s="4">
        <v>447</v>
      </c>
      <c r="I3363" s="5"/>
      <c r="J3363" s="5" t="s">
        <v>3019</v>
      </c>
      <c r="K3363" s="5" t="s">
        <v>2778</v>
      </c>
      <c r="L3363" s="5"/>
      <c r="M3363" s="5" t="s">
        <v>2376</v>
      </c>
      <c r="N3363" s="5" t="s">
        <v>2376</v>
      </c>
      <c r="O3363" s="5" t="s">
        <v>2762</v>
      </c>
      <c r="P3363" s="5"/>
      <c r="Q3363" s="5" t="s">
        <v>3020</v>
      </c>
    </row>
    <row r="3364" spans="2:17" x14ac:dyDescent="0.2">
      <c r="B3364" s="5" t="s">
        <v>2758</v>
      </c>
      <c r="C3364" s="6" t="s">
        <v>13587</v>
      </c>
      <c r="D3364" s="4">
        <v>908</v>
      </c>
      <c r="E3364" s="5" t="s">
        <v>35</v>
      </c>
      <c r="F3364" s="5" t="s">
        <v>3002</v>
      </c>
      <c r="G3364" s="6" t="s">
        <v>14</v>
      </c>
      <c r="H3364" s="4">
        <v>448</v>
      </c>
      <c r="I3364" s="5"/>
      <c r="J3364" s="5" t="s">
        <v>3003</v>
      </c>
      <c r="K3364" s="5" t="s">
        <v>2786</v>
      </c>
      <c r="L3364" s="5"/>
      <c r="M3364" s="5" t="s">
        <v>336</v>
      </c>
      <c r="N3364" s="5" t="s">
        <v>336</v>
      </c>
      <c r="O3364" s="5" t="s">
        <v>2762</v>
      </c>
      <c r="P3364" s="5" t="s">
        <v>2804</v>
      </c>
      <c r="Q3364" s="5" t="s">
        <v>3004</v>
      </c>
    </row>
    <row r="3365" spans="2:17" x14ac:dyDescent="0.2">
      <c r="B3365" s="5" t="s">
        <v>2758</v>
      </c>
      <c r="C3365" s="6" t="s">
        <v>13587</v>
      </c>
      <c r="D3365" s="4">
        <v>909</v>
      </c>
      <c r="E3365" s="5" t="s">
        <v>13</v>
      </c>
      <c r="F3365" s="5" t="s">
        <v>2999</v>
      </c>
      <c r="G3365" s="6" t="s">
        <v>14</v>
      </c>
      <c r="H3365" s="4">
        <v>449</v>
      </c>
      <c r="I3365" s="5"/>
      <c r="J3365" s="5" t="s">
        <v>2999</v>
      </c>
      <c r="K3365" s="5" t="s">
        <v>3000</v>
      </c>
      <c r="L3365" s="5"/>
      <c r="M3365" s="5" t="s">
        <v>336</v>
      </c>
      <c r="N3365" s="5" t="s">
        <v>336</v>
      </c>
      <c r="O3365" s="5" t="s">
        <v>2760</v>
      </c>
      <c r="P3365" s="5"/>
      <c r="Q3365" s="5" t="s">
        <v>3001</v>
      </c>
    </row>
    <row r="3366" spans="2:17" x14ac:dyDescent="0.2">
      <c r="B3366" s="5" t="s">
        <v>2758</v>
      </c>
      <c r="C3366" s="6" t="s">
        <v>13587</v>
      </c>
      <c r="D3366" s="4">
        <v>911</v>
      </c>
      <c r="E3366" s="5" t="s">
        <v>13</v>
      </c>
      <c r="F3366" s="5" t="s">
        <v>2991</v>
      </c>
      <c r="G3366" s="6" t="s">
        <v>14</v>
      </c>
      <c r="H3366" s="4">
        <v>450</v>
      </c>
      <c r="I3366" s="5"/>
      <c r="J3366" s="5"/>
      <c r="K3366" s="5" t="s">
        <v>2773</v>
      </c>
      <c r="L3366" s="5" t="s">
        <v>2992</v>
      </c>
      <c r="M3366" s="5" t="s">
        <v>106</v>
      </c>
      <c r="N3366" s="5" t="s">
        <v>106</v>
      </c>
      <c r="O3366" s="5" t="s">
        <v>2762</v>
      </c>
      <c r="P3366" s="5" t="s">
        <v>2993</v>
      </c>
      <c r="Q3366" s="5" t="s">
        <v>2994</v>
      </c>
    </row>
    <row r="3367" spans="2:17" x14ac:dyDescent="0.2">
      <c r="B3367" s="5" t="s">
        <v>2758</v>
      </c>
      <c r="C3367" s="6" t="s">
        <v>13587</v>
      </c>
      <c r="D3367" s="4">
        <v>912</v>
      </c>
      <c r="E3367" s="5" t="s">
        <v>13</v>
      </c>
      <c r="F3367" s="5" t="s">
        <v>2995</v>
      </c>
      <c r="G3367" s="6" t="s">
        <v>14</v>
      </c>
      <c r="H3367" s="4">
        <v>451</v>
      </c>
      <c r="I3367" s="5"/>
      <c r="J3367" s="5"/>
      <c r="K3367" s="5" t="s">
        <v>2766</v>
      </c>
      <c r="L3367" s="5"/>
      <c r="M3367" s="5" t="s">
        <v>106</v>
      </c>
      <c r="N3367" s="5" t="s">
        <v>106</v>
      </c>
      <c r="O3367" s="5" t="s">
        <v>2762</v>
      </c>
      <c r="P3367" s="5"/>
      <c r="Q3367" s="5" t="s">
        <v>2996</v>
      </c>
    </row>
    <row r="3368" spans="2:17" x14ac:dyDescent="0.2">
      <c r="B3368" s="5" t="s">
        <v>2758</v>
      </c>
      <c r="C3368" s="6" t="s">
        <v>13587</v>
      </c>
      <c r="D3368" s="4">
        <v>914</v>
      </c>
      <c r="E3368" s="5" t="s">
        <v>13</v>
      </c>
      <c r="F3368" s="5" t="s">
        <v>2984</v>
      </c>
      <c r="G3368" s="6" t="s">
        <v>14</v>
      </c>
      <c r="H3368" s="4">
        <v>452</v>
      </c>
      <c r="I3368" s="5"/>
      <c r="J3368" s="5"/>
      <c r="K3368" s="5" t="s">
        <v>2771</v>
      </c>
      <c r="L3368" s="5" t="s">
        <v>2985</v>
      </c>
      <c r="M3368" s="5" t="s">
        <v>645</v>
      </c>
      <c r="N3368" s="5" t="s">
        <v>645</v>
      </c>
      <c r="O3368" s="5" t="s">
        <v>2762</v>
      </c>
      <c r="P3368" s="5"/>
      <c r="Q3368" s="5" t="s">
        <v>2986</v>
      </c>
    </row>
    <row r="3369" spans="2:17" x14ac:dyDescent="0.2">
      <c r="B3369" s="5" t="s">
        <v>2758</v>
      </c>
      <c r="C3369" s="6" t="s">
        <v>13587</v>
      </c>
      <c r="D3369" s="4">
        <v>915</v>
      </c>
      <c r="E3369" s="5" t="s">
        <v>15</v>
      </c>
      <c r="F3369" s="5" t="s">
        <v>2978</v>
      </c>
      <c r="G3369" s="6" t="s">
        <v>14</v>
      </c>
      <c r="H3369" s="4">
        <v>453</v>
      </c>
      <c r="I3369" s="5"/>
      <c r="J3369" s="5" t="s">
        <v>2979</v>
      </c>
      <c r="K3369" s="5" t="s">
        <v>2766</v>
      </c>
      <c r="L3369" s="5"/>
      <c r="M3369" s="5" t="s">
        <v>645</v>
      </c>
      <c r="N3369" s="5" t="s">
        <v>645</v>
      </c>
      <c r="O3369" s="5" t="s">
        <v>2762</v>
      </c>
      <c r="P3369" s="5"/>
      <c r="Q3369" s="5" t="s">
        <v>2980</v>
      </c>
    </row>
    <row r="3370" spans="2:17" x14ac:dyDescent="0.2">
      <c r="B3370" s="5" t="s">
        <v>2758</v>
      </c>
      <c r="C3370" s="6" t="s">
        <v>13587</v>
      </c>
      <c r="D3370" s="4">
        <v>916</v>
      </c>
      <c r="E3370" s="5" t="s">
        <v>15</v>
      </c>
      <c r="F3370" s="5" t="s">
        <v>2981</v>
      </c>
      <c r="G3370" s="6" t="s">
        <v>14</v>
      </c>
      <c r="H3370" s="4">
        <v>454</v>
      </c>
      <c r="I3370" s="5"/>
      <c r="J3370" s="5" t="s">
        <v>2982</v>
      </c>
      <c r="K3370" s="5" t="s">
        <v>2786</v>
      </c>
      <c r="L3370" s="5"/>
      <c r="M3370" s="5" t="s">
        <v>645</v>
      </c>
      <c r="N3370" s="5" t="s">
        <v>645</v>
      </c>
      <c r="O3370" s="5" t="s">
        <v>2762</v>
      </c>
      <c r="P3370" s="5"/>
      <c r="Q3370" s="5" t="s">
        <v>2983</v>
      </c>
    </row>
    <row r="3371" spans="2:17" x14ac:dyDescent="0.2">
      <c r="B3371" s="5" t="s">
        <v>2758</v>
      </c>
      <c r="C3371" s="6" t="s">
        <v>13587</v>
      </c>
      <c r="D3371" s="4">
        <v>917</v>
      </c>
      <c r="E3371" s="5" t="s">
        <v>13</v>
      </c>
      <c r="F3371" s="5" t="s">
        <v>2971</v>
      </c>
      <c r="G3371" s="6" t="s">
        <v>14</v>
      </c>
      <c r="H3371" s="4">
        <v>455</v>
      </c>
      <c r="I3371" s="5"/>
      <c r="J3371" s="5" t="s">
        <v>2971</v>
      </c>
      <c r="K3371" s="5" t="s">
        <v>2972</v>
      </c>
      <c r="L3371" s="5" t="s">
        <v>2973</v>
      </c>
      <c r="M3371" s="5" t="s">
        <v>1415</v>
      </c>
      <c r="N3371" s="5" t="s">
        <v>1415</v>
      </c>
      <c r="O3371" s="5" t="s">
        <v>2762</v>
      </c>
      <c r="P3371" s="5"/>
      <c r="Q3371" s="5" t="s">
        <v>2974</v>
      </c>
    </row>
    <row r="3372" spans="2:17" x14ac:dyDescent="0.2">
      <c r="B3372" s="5" t="s">
        <v>2758</v>
      </c>
      <c r="C3372" s="6" t="s">
        <v>13587</v>
      </c>
      <c r="D3372" s="4">
        <v>918</v>
      </c>
      <c r="E3372" s="5" t="s">
        <v>13</v>
      </c>
      <c r="F3372" s="5" t="s">
        <v>2975</v>
      </c>
      <c r="G3372" s="6" t="s">
        <v>14</v>
      </c>
      <c r="H3372" s="4">
        <v>456</v>
      </c>
      <c r="I3372" s="5"/>
      <c r="J3372" s="5"/>
      <c r="K3372" s="5" t="s">
        <v>2771</v>
      </c>
      <c r="L3372" s="5" t="s">
        <v>2976</v>
      </c>
      <c r="M3372" s="5" t="s">
        <v>1415</v>
      </c>
      <c r="N3372" s="5" t="s">
        <v>1415</v>
      </c>
      <c r="O3372" s="5" t="s">
        <v>2762</v>
      </c>
      <c r="P3372" s="5"/>
      <c r="Q3372" s="5" t="s">
        <v>2977</v>
      </c>
    </row>
    <row r="3373" spans="2:17" x14ac:dyDescent="0.2">
      <c r="B3373" s="5" t="s">
        <v>2758</v>
      </c>
      <c r="C3373" s="6" t="s">
        <v>13587</v>
      </c>
      <c r="D3373" s="4">
        <v>919</v>
      </c>
      <c r="E3373" s="5" t="s">
        <v>82</v>
      </c>
      <c r="F3373" s="5" t="s">
        <v>2987</v>
      </c>
      <c r="G3373" s="6" t="s">
        <v>14</v>
      </c>
      <c r="H3373" s="4">
        <v>457</v>
      </c>
      <c r="I3373" s="5"/>
      <c r="J3373" s="5"/>
      <c r="K3373" s="5" t="s">
        <v>2800</v>
      </c>
      <c r="L3373" s="5"/>
      <c r="M3373" s="5" t="s">
        <v>645</v>
      </c>
      <c r="N3373" s="5" t="s">
        <v>1415</v>
      </c>
      <c r="O3373" s="5" t="s">
        <v>2762</v>
      </c>
      <c r="P3373" s="5"/>
      <c r="Q3373" s="5" t="s">
        <v>2988</v>
      </c>
    </row>
    <row r="3374" spans="2:17" x14ac:dyDescent="0.2">
      <c r="B3374" s="5" t="s">
        <v>2758</v>
      </c>
      <c r="C3374" s="6" t="s">
        <v>13587</v>
      </c>
      <c r="D3374" s="4">
        <v>920</v>
      </c>
      <c r="E3374" s="5" t="s">
        <v>13</v>
      </c>
      <c r="F3374" s="5" t="s">
        <v>2968</v>
      </c>
      <c r="G3374" s="6" t="s">
        <v>14</v>
      </c>
      <c r="H3374" s="4">
        <v>458</v>
      </c>
      <c r="I3374" s="5"/>
      <c r="J3374" s="5" t="s">
        <v>2969</v>
      </c>
      <c r="K3374" s="5" t="s">
        <v>2792</v>
      </c>
      <c r="L3374" s="5"/>
      <c r="M3374" s="5" t="s">
        <v>1416</v>
      </c>
      <c r="N3374" s="5" t="s">
        <v>1416</v>
      </c>
      <c r="O3374" s="5" t="s">
        <v>2762</v>
      </c>
      <c r="P3374" s="5"/>
      <c r="Q3374" s="5" t="s">
        <v>2970</v>
      </c>
    </row>
    <row r="3375" spans="2:17" x14ac:dyDescent="0.2">
      <c r="B3375" s="5" t="s">
        <v>2758</v>
      </c>
      <c r="C3375" s="6" t="s">
        <v>13587</v>
      </c>
      <c r="D3375" s="4">
        <v>923</v>
      </c>
      <c r="E3375" s="5" t="s">
        <v>13</v>
      </c>
      <c r="F3375" s="5" t="s">
        <v>2958</v>
      </c>
      <c r="G3375" s="6" t="s">
        <v>14</v>
      </c>
      <c r="H3375" s="4">
        <v>459</v>
      </c>
      <c r="I3375" s="5"/>
      <c r="J3375" s="5"/>
      <c r="K3375" s="5" t="s">
        <v>2959</v>
      </c>
      <c r="L3375" s="5"/>
      <c r="M3375" s="5" t="s">
        <v>330</v>
      </c>
      <c r="N3375" s="5" t="s">
        <v>330</v>
      </c>
      <c r="O3375" s="5" t="s">
        <v>2875</v>
      </c>
      <c r="P3375" s="5"/>
      <c r="Q3375" s="5" t="s">
        <v>2960</v>
      </c>
    </row>
    <row r="3376" spans="2:17" x14ac:dyDescent="0.2">
      <c r="B3376" s="5" t="s">
        <v>2758</v>
      </c>
      <c r="C3376" s="6" t="s">
        <v>13587</v>
      </c>
      <c r="D3376" s="4">
        <v>924</v>
      </c>
      <c r="E3376" s="5" t="s">
        <v>13</v>
      </c>
      <c r="F3376" s="5" t="s">
        <v>2961</v>
      </c>
      <c r="G3376" s="6" t="s">
        <v>14</v>
      </c>
      <c r="H3376" s="4">
        <v>460</v>
      </c>
      <c r="I3376" s="5"/>
      <c r="J3376" s="5"/>
      <c r="K3376" s="5" t="s">
        <v>2962</v>
      </c>
      <c r="L3376" s="5"/>
      <c r="M3376" s="5" t="s">
        <v>330</v>
      </c>
      <c r="N3376" s="5" t="s">
        <v>330</v>
      </c>
      <c r="O3376" s="5" t="s">
        <v>2762</v>
      </c>
      <c r="P3376" s="5"/>
      <c r="Q3376" s="5" t="s">
        <v>2963</v>
      </c>
    </row>
    <row r="3377" spans="2:17" x14ac:dyDescent="0.2">
      <c r="B3377" s="5" t="s">
        <v>2758</v>
      </c>
      <c r="C3377" s="6" t="s">
        <v>13587</v>
      </c>
      <c r="D3377" s="4">
        <v>926</v>
      </c>
      <c r="E3377" s="5" t="s">
        <v>13</v>
      </c>
      <c r="F3377" s="5" t="s">
        <v>2950</v>
      </c>
      <c r="G3377" s="6" t="s">
        <v>14</v>
      </c>
      <c r="H3377" s="4">
        <v>461</v>
      </c>
      <c r="I3377" s="5"/>
      <c r="J3377" s="5"/>
      <c r="K3377" s="5" t="s">
        <v>2771</v>
      </c>
      <c r="L3377" s="5"/>
      <c r="M3377" s="5" t="s">
        <v>1384</v>
      </c>
      <c r="N3377" s="5" t="s">
        <v>1384</v>
      </c>
      <c r="O3377" s="5" t="s">
        <v>2762</v>
      </c>
      <c r="P3377" s="5" t="s">
        <v>2951</v>
      </c>
      <c r="Q3377" s="5" t="s">
        <v>2952</v>
      </c>
    </row>
    <row r="3378" spans="2:17" x14ac:dyDescent="0.2">
      <c r="B3378" s="5" t="s">
        <v>2758</v>
      </c>
      <c r="C3378" s="6" t="s">
        <v>13587</v>
      </c>
      <c r="D3378" s="4">
        <v>927</v>
      </c>
      <c r="E3378" s="5" t="s">
        <v>15</v>
      </c>
      <c r="F3378" s="5" t="s">
        <v>2944</v>
      </c>
      <c r="G3378" s="6" t="s">
        <v>14</v>
      </c>
      <c r="H3378" s="4">
        <v>462</v>
      </c>
      <c r="I3378" s="5"/>
      <c r="J3378" s="5" t="s">
        <v>2948</v>
      </c>
      <c r="K3378" s="5" t="s">
        <v>2778</v>
      </c>
      <c r="L3378" s="5"/>
      <c r="M3378" s="5" t="s">
        <v>1377</v>
      </c>
      <c r="N3378" s="5" t="s">
        <v>1377</v>
      </c>
      <c r="O3378" s="5" t="s">
        <v>2762</v>
      </c>
      <c r="P3378" s="5"/>
      <c r="Q3378" s="5" t="s">
        <v>2949</v>
      </c>
    </row>
    <row r="3379" spans="2:17" x14ac:dyDescent="0.2">
      <c r="B3379" s="5" t="s">
        <v>2758</v>
      </c>
      <c r="C3379" s="6" t="s">
        <v>13587</v>
      </c>
      <c r="D3379" s="4">
        <v>928</v>
      </c>
      <c r="E3379" s="5" t="s">
        <v>15</v>
      </c>
      <c r="F3379" s="5" t="s">
        <v>2944</v>
      </c>
      <c r="G3379" s="6" t="s">
        <v>14</v>
      </c>
      <c r="H3379" s="4">
        <v>463</v>
      </c>
      <c r="I3379" s="5"/>
      <c r="J3379" s="5" t="s">
        <v>2945</v>
      </c>
      <c r="K3379" s="5" t="s">
        <v>2778</v>
      </c>
      <c r="L3379" s="5"/>
      <c r="M3379" s="5" t="s">
        <v>1365</v>
      </c>
      <c r="N3379" s="5" t="s">
        <v>1365</v>
      </c>
      <c r="O3379" s="5" t="s">
        <v>2762</v>
      </c>
      <c r="P3379" s="5"/>
      <c r="Q3379" s="5" t="s">
        <v>2946</v>
      </c>
    </row>
    <row r="3380" spans="2:17" x14ac:dyDescent="0.2">
      <c r="B3380" s="5" t="s">
        <v>2758</v>
      </c>
      <c r="C3380" s="6" t="s">
        <v>13587</v>
      </c>
      <c r="D3380" s="4">
        <v>929</v>
      </c>
      <c r="E3380" s="5" t="s">
        <v>15</v>
      </c>
      <c r="F3380" s="5" t="s">
        <v>2944</v>
      </c>
      <c r="G3380" s="6" t="s">
        <v>14</v>
      </c>
      <c r="H3380" s="4">
        <v>464</v>
      </c>
      <c r="I3380" s="5"/>
      <c r="J3380" s="5" t="s">
        <v>2877</v>
      </c>
      <c r="K3380" s="5" t="s">
        <v>2773</v>
      </c>
      <c r="L3380" s="5"/>
      <c r="M3380" s="5" t="s">
        <v>1365</v>
      </c>
      <c r="N3380" s="5" t="s">
        <v>1365</v>
      </c>
      <c r="O3380" s="5" t="s">
        <v>2762</v>
      </c>
      <c r="P3380" s="5"/>
      <c r="Q3380" s="5" t="s">
        <v>2947</v>
      </c>
    </row>
    <row r="3381" spans="2:17" x14ac:dyDescent="0.2">
      <c r="B3381" s="5" t="s">
        <v>2758</v>
      </c>
      <c r="C3381" s="6" t="s">
        <v>13587</v>
      </c>
      <c r="D3381" s="4">
        <v>931</v>
      </c>
      <c r="E3381" s="5" t="s">
        <v>13</v>
      </c>
      <c r="F3381" s="5" t="s">
        <v>2932</v>
      </c>
      <c r="G3381" s="6" t="s">
        <v>14</v>
      </c>
      <c r="H3381" s="4">
        <v>465</v>
      </c>
      <c r="I3381" s="5"/>
      <c r="J3381" s="5" t="s">
        <v>2933</v>
      </c>
      <c r="K3381" s="5" t="s">
        <v>2766</v>
      </c>
      <c r="L3381" s="5"/>
      <c r="M3381" s="5" t="s">
        <v>295</v>
      </c>
      <c r="N3381" s="5" t="s">
        <v>295</v>
      </c>
      <c r="O3381" s="5" t="s">
        <v>2762</v>
      </c>
      <c r="P3381" s="5" t="s">
        <v>2934</v>
      </c>
      <c r="Q3381" s="5" t="s">
        <v>2935</v>
      </c>
    </row>
    <row r="3382" spans="2:17" x14ac:dyDescent="0.2">
      <c r="B3382" s="5" t="s">
        <v>2758</v>
      </c>
      <c r="C3382" s="6" t="s">
        <v>13587</v>
      </c>
      <c r="D3382" s="4">
        <v>933</v>
      </c>
      <c r="E3382" s="5" t="s">
        <v>13</v>
      </c>
      <c r="F3382" s="5" t="s">
        <v>2936</v>
      </c>
      <c r="G3382" s="6" t="s">
        <v>14</v>
      </c>
      <c r="H3382" s="4">
        <v>466</v>
      </c>
      <c r="I3382" s="5"/>
      <c r="J3382" s="5" t="s">
        <v>2937</v>
      </c>
      <c r="K3382" s="5" t="s">
        <v>2767</v>
      </c>
      <c r="L3382" s="5" t="s">
        <v>2938</v>
      </c>
      <c r="M3382" s="5" t="s">
        <v>295</v>
      </c>
      <c r="N3382" s="5" t="s">
        <v>295</v>
      </c>
      <c r="O3382" s="5" t="s">
        <v>2762</v>
      </c>
      <c r="P3382" s="5"/>
      <c r="Q3382" s="5" t="s">
        <v>2939</v>
      </c>
    </row>
    <row r="3383" spans="2:17" x14ac:dyDescent="0.2">
      <c r="B3383" s="5" t="s">
        <v>2758</v>
      </c>
      <c r="C3383" s="6" t="s">
        <v>13587</v>
      </c>
      <c r="D3383" s="4">
        <v>936</v>
      </c>
      <c r="E3383" s="5" t="s">
        <v>82</v>
      </c>
      <c r="F3383" s="5" t="s">
        <v>2924</v>
      </c>
      <c r="G3383" s="6" t="s">
        <v>14</v>
      </c>
      <c r="H3383" s="4">
        <v>467</v>
      </c>
      <c r="I3383" s="5"/>
      <c r="J3383" s="5"/>
      <c r="K3383" s="5" t="s">
        <v>2925</v>
      </c>
      <c r="L3383" s="5"/>
      <c r="M3383" s="5" t="s">
        <v>302</v>
      </c>
      <c r="N3383" s="5" t="s">
        <v>302</v>
      </c>
      <c r="O3383" s="5" t="s">
        <v>2762</v>
      </c>
      <c r="P3383" s="5"/>
      <c r="Q3383" s="5" t="s">
        <v>2926</v>
      </c>
    </row>
    <row r="3384" spans="2:17" x14ac:dyDescent="0.2">
      <c r="B3384" s="5" t="s">
        <v>2758</v>
      </c>
      <c r="C3384" s="6" t="s">
        <v>13587</v>
      </c>
      <c r="D3384" s="4">
        <v>939</v>
      </c>
      <c r="E3384" s="5" t="s">
        <v>15</v>
      </c>
      <c r="F3384" s="5" t="s">
        <v>2917</v>
      </c>
      <c r="G3384" s="6" t="s">
        <v>14</v>
      </c>
      <c r="H3384" s="4">
        <v>468</v>
      </c>
      <c r="I3384" s="5"/>
      <c r="J3384" s="5" t="s">
        <v>2918</v>
      </c>
      <c r="K3384" s="5" t="s">
        <v>2784</v>
      </c>
      <c r="L3384" s="5"/>
      <c r="M3384" s="5" t="s">
        <v>96</v>
      </c>
      <c r="N3384" s="5" t="s">
        <v>96</v>
      </c>
      <c r="O3384" s="5" t="s">
        <v>2762</v>
      </c>
      <c r="P3384" s="5"/>
      <c r="Q3384" s="5" t="s">
        <v>2919</v>
      </c>
    </row>
    <row r="3385" spans="2:17" x14ac:dyDescent="0.2">
      <c r="B3385" s="5" t="s">
        <v>2758</v>
      </c>
      <c r="C3385" s="6" t="s">
        <v>13587</v>
      </c>
      <c r="D3385" s="4">
        <v>940</v>
      </c>
      <c r="E3385" s="5" t="s">
        <v>13</v>
      </c>
      <c r="F3385" s="5" t="s">
        <v>2914</v>
      </c>
      <c r="G3385" s="6" t="s">
        <v>14</v>
      </c>
      <c r="H3385" s="4">
        <v>469</v>
      </c>
      <c r="I3385" s="5"/>
      <c r="J3385" s="5"/>
      <c r="K3385" s="5" t="s">
        <v>2767</v>
      </c>
      <c r="L3385" s="5" t="s">
        <v>2915</v>
      </c>
      <c r="M3385" s="5" t="s">
        <v>283</v>
      </c>
      <c r="N3385" s="5" t="s">
        <v>283</v>
      </c>
      <c r="O3385" s="5" t="s">
        <v>2762</v>
      </c>
      <c r="P3385" s="5"/>
      <c r="Q3385" s="5" t="s">
        <v>2916</v>
      </c>
    </row>
    <row r="3386" spans="2:17" x14ac:dyDescent="0.2">
      <c r="B3386" s="5" t="s">
        <v>2758</v>
      </c>
      <c r="C3386" s="6" t="s">
        <v>13587</v>
      </c>
      <c r="D3386" s="4">
        <v>944</v>
      </c>
      <c r="E3386" s="5" t="s">
        <v>13</v>
      </c>
      <c r="F3386" s="5" t="s">
        <v>2908</v>
      </c>
      <c r="G3386" s="6" t="s">
        <v>14</v>
      </c>
      <c r="H3386" s="4">
        <v>470</v>
      </c>
      <c r="I3386" s="5"/>
      <c r="J3386" s="5"/>
      <c r="K3386" s="5" t="s">
        <v>2792</v>
      </c>
      <c r="L3386" s="5"/>
      <c r="M3386" s="5" t="s">
        <v>291</v>
      </c>
      <c r="N3386" s="5" t="s">
        <v>291</v>
      </c>
      <c r="O3386" s="5" t="s">
        <v>2762</v>
      </c>
      <c r="P3386" s="5"/>
      <c r="Q3386" s="5" t="s">
        <v>2909</v>
      </c>
    </row>
    <row r="3387" spans="2:17" x14ac:dyDescent="0.2">
      <c r="B3387" s="5" t="s">
        <v>2758</v>
      </c>
      <c r="C3387" s="6" t="s">
        <v>13587</v>
      </c>
      <c r="D3387" s="4">
        <v>945</v>
      </c>
      <c r="E3387" s="5" t="s">
        <v>24</v>
      </c>
      <c r="F3387" s="5" t="s">
        <v>2905</v>
      </c>
      <c r="G3387" s="6" t="s">
        <v>14</v>
      </c>
      <c r="H3387" s="4">
        <v>471</v>
      </c>
      <c r="I3387" s="5"/>
      <c r="J3387" s="5" t="s">
        <v>2905</v>
      </c>
      <c r="K3387" s="5" t="s">
        <v>2773</v>
      </c>
      <c r="L3387" s="5" t="s">
        <v>2899</v>
      </c>
      <c r="M3387" s="5" t="s">
        <v>291</v>
      </c>
      <c r="N3387" s="5" t="s">
        <v>291</v>
      </c>
      <c r="O3387" s="5" t="s">
        <v>2762</v>
      </c>
      <c r="P3387" s="5" t="s">
        <v>2906</v>
      </c>
      <c r="Q3387" s="5" t="s">
        <v>2907</v>
      </c>
    </row>
    <row r="3388" spans="2:17" x14ac:dyDescent="0.2">
      <c r="B3388" s="5" t="s">
        <v>2758</v>
      </c>
      <c r="C3388" s="6" t="s">
        <v>13587</v>
      </c>
      <c r="D3388" s="4">
        <v>946</v>
      </c>
      <c r="E3388" s="5" t="s">
        <v>24</v>
      </c>
      <c r="F3388" s="5" t="s">
        <v>2897</v>
      </c>
      <c r="G3388" s="6" t="s">
        <v>14</v>
      </c>
      <c r="H3388" s="4">
        <v>472</v>
      </c>
      <c r="I3388" s="5"/>
      <c r="J3388" s="5" t="s">
        <v>2898</v>
      </c>
      <c r="K3388" s="5" t="s">
        <v>2773</v>
      </c>
      <c r="L3388" s="5" t="s">
        <v>2899</v>
      </c>
      <c r="M3388" s="5" t="s">
        <v>2328</v>
      </c>
      <c r="N3388" s="5" t="s">
        <v>2328</v>
      </c>
      <c r="O3388" s="5" t="s">
        <v>2762</v>
      </c>
      <c r="P3388" s="5" t="s">
        <v>2900</v>
      </c>
      <c r="Q3388" s="5" t="s">
        <v>2901</v>
      </c>
    </row>
    <row r="3389" spans="2:17" x14ac:dyDescent="0.2">
      <c r="B3389" s="5" t="s">
        <v>2758</v>
      </c>
      <c r="C3389" s="6" t="s">
        <v>13587</v>
      </c>
      <c r="D3389" s="4">
        <v>947</v>
      </c>
      <c r="E3389" s="5" t="s">
        <v>35</v>
      </c>
      <c r="F3389" s="5" t="s">
        <v>2888</v>
      </c>
      <c r="G3389" s="6" t="s">
        <v>14</v>
      </c>
      <c r="H3389" s="4">
        <v>473</v>
      </c>
      <c r="I3389" s="5"/>
      <c r="J3389" s="5" t="s">
        <v>2889</v>
      </c>
      <c r="K3389" s="5" t="s">
        <v>2767</v>
      </c>
      <c r="L3389" s="5" t="s">
        <v>2890</v>
      </c>
      <c r="M3389" s="5" t="s">
        <v>2891</v>
      </c>
      <c r="N3389" s="5" t="s">
        <v>2891</v>
      </c>
      <c r="O3389" s="5" t="s">
        <v>2762</v>
      </c>
      <c r="P3389" s="5" t="s">
        <v>2892</v>
      </c>
      <c r="Q3389" s="5" t="s">
        <v>2893</v>
      </c>
    </row>
    <row r="3390" spans="2:17" x14ac:dyDescent="0.2">
      <c r="B3390" s="5" t="s">
        <v>2758</v>
      </c>
      <c r="C3390" s="6" t="s">
        <v>13587</v>
      </c>
      <c r="D3390" s="4">
        <v>948</v>
      </c>
      <c r="E3390" s="5" t="s">
        <v>35</v>
      </c>
      <c r="F3390" s="5" t="s">
        <v>2894</v>
      </c>
      <c r="G3390" s="6" t="s">
        <v>14</v>
      </c>
      <c r="H3390" s="4">
        <v>474</v>
      </c>
      <c r="I3390" s="5"/>
      <c r="J3390" s="5"/>
      <c r="K3390" s="5" t="s">
        <v>2784</v>
      </c>
      <c r="L3390" s="5" t="s">
        <v>2895</v>
      </c>
      <c r="M3390" s="5" t="s">
        <v>2891</v>
      </c>
      <c r="N3390" s="5" t="s">
        <v>2891</v>
      </c>
      <c r="O3390" s="5" t="s">
        <v>2762</v>
      </c>
      <c r="P3390" s="5"/>
      <c r="Q3390" s="5" t="s">
        <v>2896</v>
      </c>
    </row>
    <row r="3391" spans="2:17" x14ac:dyDescent="0.2">
      <c r="B3391" s="5" t="s">
        <v>2758</v>
      </c>
      <c r="C3391" s="6" t="s">
        <v>13587</v>
      </c>
      <c r="D3391" s="4">
        <v>949</v>
      </c>
      <c r="E3391" s="5" t="s">
        <v>13</v>
      </c>
      <c r="F3391" s="5" t="s">
        <v>2884</v>
      </c>
      <c r="G3391" s="6" t="s">
        <v>14</v>
      </c>
      <c r="H3391" s="4">
        <v>475</v>
      </c>
      <c r="I3391" s="5"/>
      <c r="J3391" s="5" t="s">
        <v>2885</v>
      </c>
      <c r="K3391" s="5" t="s">
        <v>2773</v>
      </c>
      <c r="L3391" s="5" t="s">
        <v>2851</v>
      </c>
      <c r="M3391" s="5" t="s">
        <v>1262</v>
      </c>
      <c r="N3391" s="5" t="s">
        <v>1262</v>
      </c>
      <c r="O3391" s="5" t="s">
        <v>2762</v>
      </c>
      <c r="P3391" s="5" t="s">
        <v>2886</v>
      </c>
      <c r="Q3391" s="5" t="s">
        <v>2887</v>
      </c>
    </row>
    <row r="3392" spans="2:17" x14ac:dyDescent="0.2">
      <c r="B3392" s="5" t="s">
        <v>2758</v>
      </c>
      <c r="C3392" s="6" t="s">
        <v>13587</v>
      </c>
      <c r="D3392" s="4">
        <v>950</v>
      </c>
      <c r="E3392" s="5" t="s">
        <v>15</v>
      </c>
      <c r="F3392" s="5" t="s">
        <v>2879</v>
      </c>
      <c r="G3392" s="6" t="s">
        <v>14</v>
      </c>
      <c r="H3392" s="4">
        <v>476</v>
      </c>
      <c r="I3392" s="5"/>
      <c r="J3392" s="5" t="s">
        <v>2880</v>
      </c>
      <c r="K3392" s="5" t="s">
        <v>2784</v>
      </c>
      <c r="L3392" s="5"/>
      <c r="M3392" s="5" t="s">
        <v>1262</v>
      </c>
      <c r="N3392" s="5" t="s">
        <v>1262</v>
      </c>
      <c r="O3392" s="5" t="s">
        <v>2762</v>
      </c>
      <c r="P3392" s="5"/>
      <c r="Q3392" s="5" t="s">
        <v>2881</v>
      </c>
    </row>
    <row r="3393" spans="2:17" x14ac:dyDescent="0.2">
      <c r="B3393" s="5" t="s">
        <v>2758</v>
      </c>
      <c r="C3393" s="6" t="s">
        <v>13587</v>
      </c>
      <c r="D3393" s="4">
        <v>953</v>
      </c>
      <c r="E3393" s="5" t="s">
        <v>13</v>
      </c>
      <c r="F3393" s="5" t="s">
        <v>2872</v>
      </c>
      <c r="G3393" s="6" t="s">
        <v>14</v>
      </c>
      <c r="H3393" s="4">
        <v>477</v>
      </c>
      <c r="I3393" s="5"/>
      <c r="J3393" s="5"/>
      <c r="K3393" s="5" t="s">
        <v>2873</v>
      </c>
      <c r="L3393" s="5" t="s">
        <v>2874</v>
      </c>
      <c r="M3393" s="5" t="s">
        <v>1251</v>
      </c>
      <c r="N3393" s="5" t="s">
        <v>1251</v>
      </c>
      <c r="O3393" s="5" t="s">
        <v>2875</v>
      </c>
      <c r="P3393" s="5"/>
      <c r="Q3393" s="5" t="s">
        <v>2876</v>
      </c>
    </row>
    <row r="3394" spans="2:17" x14ac:dyDescent="0.2">
      <c r="B3394" s="5" t="s">
        <v>2758</v>
      </c>
      <c r="C3394" s="6" t="s">
        <v>13587</v>
      </c>
      <c r="D3394" s="4">
        <v>954</v>
      </c>
      <c r="E3394" s="5" t="s">
        <v>13</v>
      </c>
      <c r="F3394" s="5" t="s">
        <v>2868</v>
      </c>
      <c r="G3394" s="6" t="s">
        <v>14</v>
      </c>
      <c r="H3394" s="4">
        <v>478</v>
      </c>
      <c r="I3394" s="5"/>
      <c r="J3394" s="5"/>
      <c r="K3394" s="5" t="s">
        <v>2869</v>
      </c>
      <c r="L3394" s="5" t="s">
        <v>2870</v>
      </c>
      <c r="M3394" s="5" t="s">
        <v>2863</v>
      </c>
      <c r="N3394" s="5" t="s">
        <v>2863</v>
      </c>
      <c r="O3394" s="5" t="s">
        <v>2762</v>
      </c>
      <c r="P3394" s="5"/>
      <c r="Q3394" s="5" t="s">
        <v>2871</v>
      </c>
    </row>
    <row r="3395" spans="2:17" x14ac:dyDescent="0.2">
      <c r="B3395" s="5" t="s">
        <v>2758</v>
      </c>
      <c r="C3395" s="6" t="s">
        <v>13587</v>
      </c>
      <c r="D3395" s="4">
        <v>956</v>
      </c>
      <c r="E3395" s="5" t="s">
        <v>20</v>
      </c>
      <c r="F3395" s="5" t="s">
        <v>2865</v>
      </c>
      <c r="G3395" s="6" t="s">
        <v>14</v>
      </c>
      <c r="H3395" s="4">
        <v>479</v>
      </c>
      <c r="I3395" s="5" t="s">
        <v>22</v>
      </c>
      <c r="J3395" s="5" t="s">
        <v>2866</v>
      </c>
      <c r="K3395" s="5" t="s">
        <v>2763</v>
      </c>
      <c r="L3395" s="5"/>
      <c r="M3395" s="5" t="s">
        <v>2863</v>
      </c>
      <c r="N3395" s="5" t="s">
        <v>1247</v>
      </c>
      <c r="O3395" s="5" t="s">
        <v>2762</v>
      </c>
      <c r="P3395" s="5"/>
      <c r="Q3395" s="5" t="s">
        <v>2867</v>
      </c>
    </row>
    <row r="3396" spans="2:17" x14ac:dyDescent="0.2">
      <c r="B3396" s="5" t="s">
        <v>2758</v>
      </c>
      <c r="C3396" s="6" t="s">
        <v>13587</v>
      </c>
      <c r="D3396" s="4">
        <v>957</v>
      </c>
      <c r="E3396" s="5" t="s">
        <v>13</v>
      </c>
      <c r="F3396" s="5" t="s">
        <v>2858</v>
      </c>
      <c r="G3396" s="6" t="s">
        <v>14</v>
      </c>
      <c r="H3396" s="4">
        <v>480</v>
      </c>
      <c r="I3396" s="5"/>
      <c r="J3396" s="5"/>
      <c r="K3396" s="5" t="s">
        <v>2771</v>
      </c>
      <c r="L3396" s="5" t="s">
        <v>2859</v>
      </c>
      <c r="M3396" s="5" t="s">
        <v>1247</v>
      </c>
      <c r="N3396" s="5" t="s">
        <v>1247</v>
      </c>
      <c r="O3396" s="5" t="s">
        <v>2762</v>
      </c>
      <c r="P3396" s="5"/>
      <c r="Q3396" s="5" t="s">
        <v>2860</v>
      </c>
    </row>
    <row r="3397" spans="2:17" x14ac:dyDescent="0.2">
      <c r="B3397" s="5" t="s">
        <v>2758</v>
      </c>
      <c r="C3397" s="6" t="s">
        <v>13587</v>
      </c>
      <c r="D3397" s="4">
        <v>960</v>
      </c>
      <c r="E3397" s="5" t="s">
        <v>13</v>
      </c>
      <c r="F3397" s="5" t="s">
        <v>2847</v>
      </c>
      <c r="G3397" s="6" t="s">
        <v>14</v>
      </c>
      <c r="H3397" s="4">
        <v>481</v>
      </c>
      <c r="I3397" s="5"/>
      <c r="J3397" s="5"/>
      <c r="K3397" s="5" t="s">
        <v>2776</v>
      </c>
      <c r="L3397" s="5" t="s">
        <v>2848</v>
      </c>
      <c r="M3397" s="5" t="s">
        <v>1236</v>
      </c>
      <c r="N3397" s="5" t="s">
        <v>1236</v>
      </c>
      <c r="O3397" s="5" t="s">
        <v>2762</v>
      </c>
      <c r="P3397" s="5"/>
      <c r="Q3397" s="5" t="s">
        <v>2849</v>
      </c>
    </row>
    <row r="3398" spans="2:17" x14ac:dyDescent="0.2">
      <c r="B3398" s="5" t="s">
        <v>2758</v>
      </c>
      <c r="C3398" s="6" t="s">
        <v>13587</v>
      </c>
      <c r="D3398" s="4">
        <v>965</v>
      </c>
      <c r="E3398" s="5" t="s">
        <v>13</v>
      </c>
      <c r="F3398" s="5" t="s">
        <v>2829</v>
      </c>
      <c r="G3398" s="6" t="s">
        <v>14</v>
      </c>
      <c r="H3398" s="4">
        <v>482</v>
      </c>
      <c r="I3398" s="5"/>
      <c r="J3398" s="5"/>
      <c r="K3398" s="5" t="s">
        <v>2803</v>
      </c>
      <c r="L3398" s="5" t="s">
        <v>2830</v>
      </c>
      <c r="M3398" s="5" t="s">
        <v>1222</v>
      </c>
      <c r="N3398" s="5" t="s">
        <v>1222</v>
      </c>
      <c r="O3398" s="5" t="s">
        <v>2762</v>
      </c>
      <c r="P3398" s="5"/>
      <c r="Q3398" s="5" t="s">
        <v>2831</v>
      </c>
    </row>
    <row r="3399" spans="2:17" x14ac:dyDescent="0.2">
      <c r="B3399" s="5" t="s">
        <v>2758</v>
      </c>
      <c r="C3399" s="6" t="s">
        <v>13587</v>
      </c>
      <c r="D3399" s="4">
        <v>967</v>
      </c>
      <c r="E3399" s="5" t="s">
        <v>13</v>
      </c>
      <c r="F3399" s="5" t="s">
        <v>3132</v>
      </c>
      <c r="G3399" s="6" t="s">
        <v>14</v>
      </c>
      <c r="H3399" s="4">
        <v>483</v>
      </c>
      <c r="I3399" s="5"/>
      <c r="J3399" s="5"/>
      <c r="K3399" s="5" t="s">
        <v>3133</v>
      </c>
      <c r="L3399" s="5"/>
      <c r="M3399" s="5" t="s">
        <v>3134</v>
      </c>
      <c r="N3399" s="5" t="s">
        <v>3134</v>
      </c>
      <c r="O3399" s="5" t="s">
        <v>2759</v>
      </c>
      <c r="P3399" s="5"/>
      <c r="Q3399" s="5" t="s">
        <v>3135</v>
      </c>
    </row>
    <row r="3400" spans="2:17" x14ac:dyDescent="0.2">
      <c r="B3400" s="5" t="s">
        <v>2758</v>
      </c>
      <c r="C3400" s="6" t="s">
        <v>13587</v>
      </c>
      <c r="D3400" s="4">
        <v>968</v>
      </c>
      <c r="E3400" s="5" t="s">
        <v>20</v>
      </c>
      <c r="F3400" s="5" t="s">
        <v>2818</v>
      </c>
      <c r="G3400" s="6" t="s">
        <v>14</v>
      </c>
      <c r="H3400" s="4">
        <v>484</v>
      </c>
      <c r="I3400" s="5" t="s">
        <v>22</v>
      </c>
      <c r="J3400" s="5" t="s">
        <v>2819</v>
      </c>
      <c r="K3400" s="5" t="s">
        <v>2820</v>
      </c>
      <c r="L3400" s="5"/>
      <c r="M3400" s="5" t="s">
        <v>2821</v>
      </c>
      <c r="N3400" s="5" t="s">
        <v>1723</v>
      </c>
      <c r="O3400" s="5" t="s">
        <v>2762</v>
      </c>
      <c r="P3400" s="5"/>
      <c r="Q3400" s="5" t="s">
        <v>2822</v>
      </c>
    </row>
    <row r="3401" spans="2:17" x14ac:dyDescent="0.2">
      <c r="B3401" s="5" t="s">
        <v>2758</v>
      </c>
      <c r="C3401" s="6" t="s">
        <v>13587</v>
      </c>
      <c r="D3401" s="4">
        <v>969</v>
      </c>
      <c r="E3401" s="5" t="s">
        <v>20</v>
      </c>
      <c r="F3401" s="5" t="s">
        <v>2818</v>
      </c>
      <c r="G3401" s="6" t="s">
        <v>14</v>
      </c>
      <c r="H3401" s="4">
        <v>485</v>
      </c>
      <c r="I3401" s="5" t="s">
        <v>22</v>
      </c>
      <c r="J3401" s="5" t="s">
        <v>2823</v>
      </c>
      <c r="K3401" s="5" t="s">
        <v>2774</v>
      </c>
      <c r="L3401" s="5"/>
      <c r="M3401" s="5" t="s">
        <v>2821</v>
      </c>
      <c r="N3401" s="5" t="s">
        <v>1723</v>
      </c>
      <c r="O3401" s="5" t="s">
        <v>2762</v>
      </c>
      <c r="P3401" s="5"/>
      <c r="Q3401" s="5" t="s">
        <v>2824</v>
      </c>
    </row>
    <row r="3402" spans="2:17" x14ac:dyDescent="0.2">
      <c r="B3402" s="5" t="s">
        <v>2758</v>
      </c>
      <c r="C3402" s="6" t="s">
        <v>13587</v>
      </c>
      <c r="D3402" s="4">
        <v>970</v>
      </c>
      <c r="E3402" s="5" t="s">
        <v>35</v>
      </c>
      <c r="F3402" s="5" t="s">
        <v>3127</v>
      </c>
      <c r="G3402" s="6" t="s">
        <v>14</v>
      </c>
      <c r="H3402" s="4">
        <v>486</v>
      </c>
      <c r="I3402" s="5"/>
      <c r="J3402" s="5"/>
      <c r="K3402" s="5" t="s">
        <v>3128</v>
      </c>
      <c r="L3402" s="5" t="s">
        <v>3129</v>
      </c>
      <c r="M3402" s="5" t="s">
        <v>400</v>
      </c>
      <c r="N3402" s="5" t="s">
        <v>400</v>
      </c>
      <c r="O3402" s="5" t="s">
        <v>2762</v>
      </c>
      <c r="P3402" s="5" t="s">
        <v>3130</v>
      </c>
      <c r="Q3402" s="5" t="s">
        <v>3131</v>
      </c>
    </row>
    <row r="3403" spans="2:17" x14ac:dyDescent="0.2">
      <c r="B3403" s="5" t="s">
        <v>2758</v>
      </c>
      <c r="C3403" s="6" t="s">
        <v>13587</v>
      </c>
      <c r="D3403" s="4">
        <v>971</v>
      </c>
      <c r="E3403" s="5" t="s">
        <v>13</v>
      </c>
      <c r="F3403" s="5" t="s">
        <v>3539</v>
      </c>
      <c r="G3403" s="6" t="s">
        <v>14</v>
      </c>
      <c r="H3403" s="4">
        <v>487</v>
      </c>
      <c r="I3403" s="5"/>
      <c r="J3403" s="5"/>
      <c r="K3403" s="5" t="s">
        <v>2794</v>
      </c>
      <c r="L3403" s="5"/>
      <c r="M3403" s="5" t="s">
        <v>513</v>
      </c>
      <c r="N3403" s="5" t="s">
        <v>513</v>
      </c>
      <c r="O3403" s="5" t="s">
        <v>2762</v>
      </c>
      <c r="P3403" s="5"/>
      <c r="Q3403" s="5" t="s">
        <v>3540</v>
      </c>
    </row>
    <row r="3404" spans="2:17" x14ac:dyDescent="0.2">
      <c r="B3404" s="5" t="s">
        <v>2758</v>
      </c>
      <c r="C3404" s="6" t="s">
        <v>13587</v>
      </c>
      <c r="D3404" s="4">
        <v>973</v>
      </c>
      <c r="E3404" s="5" t="s">
        <v>13</v>
      </c>
      <c r="F3404" s="5" t="s">
        <v>3536</v>
      </c>
      <c r="G3404" s="6" t="s">
        <v>14</v>
      </c>
      <c r="H3404" s="4">
        <v>488</v>
      </c>
      <c r="I3404" s="5"/>
      <c r="J3404" s="5"/>
      <c r="K3404" s="5" t="s">
        <v>2787</v>
      </c>
      <c r="L3404" s="5"/>
      <c r="M3404" s="5" t="s">
        <v>3537</v>
      </c>
      <c r="N3404" s="5" t="s">
        <v>3537</v>
      </c>
      <c r="O3404" s="5" t="s">
        <v>2759</v>
      </c>
      <c r="P3404" s="5"/>
      <c r="Q3404" s="5" t="s">
        <v>3538</v>
      </c>
    </row>
    <row r="3405" spans="2:17" x14ac:dyDescent="0.2">
      <c r="B3405" s="5" t="s">
        <v>2758</v>
      </c>
      <c r="C3405" s="6" t="s">
        <v>13587</v>
      </c>
      <c r="D3405" s="4">
        <v>976</v>
      </c>
      <c r="E3405" s="5" t="s">
        <v>13</v>
      </c>
      <c r="F3405" s="5" t="s">
        <v>3523</v>
      </c>
      <c r="G3405" s="6" t="s">
        <v>14</v>
      </c>
      <c r="H3405" s="4">
        <v>489</v>
      </c>
      <c r="I3405" s="5"/>
      <c r="J3405" s="5" t="s">
        <v>3524</v>
      </c>
      <c r="K3405" s="5" t="s">
        <v>2785</v>
      </c>
      <c r="L3405" s="5"/>
      <c r="M3405" s="5" t="s">
        <v>533</v>
      </c>
      <c r="N3405" s="5" t="s">
        <v>533</v>
      </c>
      <c r="O3405" s="5" t="s">
        <v>2762</v>
      </c>
      <c r="P3405" s="5" t="s">
        <v>3525</v>
      </c>
      <c r="Q3405" s="5" t="s">
        <v>3526</v>
      </c>
    </row>
    <row r="3406" spans="2:17" x14ac:dyDescent="0.2">
      <c r="B3406" s="5" t="s">
        <v>2758</v>
      </c>
      <c r="C3406" s="6" t="s">
        <v>13587</v>
      </c>
      <c r="D3406" s="4">
        <v>977</v>
      </c>
      <c r="E3406" s="5" t="s">
        <v>13</v>
      </c>
      <c r="F3406" s="5" t="s">
        <v>3523</v>
      </c>
      <c r="G3406" s="6" t="s">
        <v>14</v>
      </c>
      <c r="H3406" s="4">
        <v>490</v>
      </c>
      <c r="I3406" s="5"/>
      <c r="J3406" s="5" t="s">
        <v>3527</v>
      </c>
      <c r="K3406" s="5" t="s">
        <v>2769</v>
      </c>
      <c r="L3406" s="5"/>
      <c r="M3406" s="5" t="s">
        <v>533</v>
      </c>
      <c r="N3406" s="5" t="s">
        <v>533</v>
      </c>
      <c r="O3406" s="5" t="s">
        <v>2762</v>
      </c>
      <c r="P3406" s="5"/>
      <c r="Q3406" s="5" t="s">
        <v>3528</v>
      </c>
    </row>
    <row r="3407" spans="2:17" x14ac:dyDescent="0.2">
      <c r="B3407" s="5" t="s">
        <v>2758</v>
      </c>
      <c r="C3407" s="6" t="s">
        <v>13587</v>
      </c>
      <c r="D3407" s="4">
        <v>978</v>
      </c>
      <c r="E3407" s="5" t="s">
        <v>13</v>
      </c>
      <c r="F3407" s="5" t="s">
        <v>3523</v>
      </c>
      <c r="G3407" s="6" t="s">
        <v>14</v>
      </c>
      <c r="H3407" s="4">
        <v>491</v>
      </c>
      <c r="I3407" s="5"/>
      <c r="J3407" s="5" t="s">
        <v>3529</v>
      </c>
      <c r="K3407" s="5" t="s">
        <v>2769</v>
      </c>
      <c r="L3407" s="5"/>
      <c r="M3407" s="5" t="s">
        <v>533</v>
      </c>
      <c r="N3407" s="5" t="s">
        <v>533</v>
      </c>
      <c r="O3407" s="5" t="s">
        <v>2762</v>
      </c>
      <c r="P3407" s="5"/>
      <c r="Q3407" s="5" t="s">
        <v>3530</v>
      </c>
    </row>
    <row r="3408" spans="2:17" x14ac:dyDescent="0.2">
      <c r="B3408" s="5" t="s">
        <v>2758</v>
      </c>
      <c r="C3408" s="6" t="s">
        <v>13587</v>
      </c>
      <c r="D3408" s="4">
        <v>979</v>
      </c>
      <c r="E3408" s="5" t="s">
        <v>13</v>
      </c>
      <c r="F3408" s="5" t="s">
        <v>3523</v>
      </c>
      <c r="G3408" s="6" t="s">
        <v>14</v>
      </c>
      <c r="H3408" s="4">
        <v>492</v>
      </c>
      <c r="I3408" s="5"/>
      <c r="J3408" s="5" t="s">
        <v>3531</v>
      </c>
      <c r="K3408" s="5" t="s">
        <v>3532</v>
      </c>
      <c r="L3408" s="5"/>
      <c r="M3408" s="5" t="s">
        <v>533</v>
      </c>
      <c r="N3408" s="5" t="s">
        <v>533</v>
      </c>
      <c r="O3408" s="5" t="s">
        <v>2762</v>
      </c>
      <c r="P3408" s="5"/>
      <c r="Q3408" s="5" t="s">
        <v>3533</v>
      </c>
    </row>
    <row r="3409" spans="2:17" x14ac:dyDescent="0.2">
      <c r="B3409" s="5" t="s">
        <v>2758</v>
      </c>
      <c r="C3409" s="6" t="s">
        <v>13587</v>
      </c>
      <c r="D3409" s="4">
        <v>980</v>
      </c>
      <c r="E3409" s="5" t="s">
        <v>13</v>
      </c>
      <c r="F3409" s="5" t="s">
        <v>3523</v>
      </c>
      <c r="G3409" s="6" t="s">
        <v>14</v>
      </c>
      <c r="H3409" s="4">
        <v>493</v>
      </c>
      <c r="I3409" s="5"/>
      <c r="J3409" s="5" t="s">
        <v>3534</v>
      </c>
      <c r="K3409" s="5" t="s">
        <v>2763</v>
      </c>
      <c r="L3409" s="5"/>
      <c r="M3409" s="5" t="s">
        <v>533</v>
      </c>
      <c r="N3409" s="5" t="s">
        <v>533</v>
      </c>
      <c r="O3409" s="5" t="s">
        <v>2762</v>
      </c>
      <c r="P3409" s="5"/>
      <c r="Q3409" s="5" t="s">
        <v>3535</v>
      </c>
    </row>
    <row r="3410" spans="2:17" x14ac:dyDescent="0.2">
      <c r="B3410" s="5" t="s">
        <v>2758</v>
      </c>
      <c r="C3410" s="6" t="s">
        <v>13587</v>
      </c>
      <c r="D3410" s="4">
        <v>983</v>
      </c>
      <c r="E3410" s="5" t="s">
        <v>35</v>
      </c>
      <c r="F3410" s="5" t="s">
        <v>3116</v>
      </c>
      <c r="G3410" s="6" t="s">
        <v>14</v>
      </c>
      <c r="H3410" s="4">
        <v>494</v>
      </c>
      <c r="I3410" s="5"/>
      <c r="J3410" s="5"/>
      <c r="K3410" s="5" t="s">
        <v>2783</v>
      </c>
      <c r="L3410" s="5" t="s">
        <v>3117</v>
      </c>
      <c r="M3410" s="5" t="s">
        <v>843</v>
      </c>
      <c r="N3410" s="5" t="s">
        <v>843</v>
      </c>
      <c r="O3410" s="5" t="s">
        <v>2762</v>
      </c>
      <c r="P3410" s="5" t="s">
        <v>3118</v>
      </c>
      <c r="Q3410" s="5" t="s">
        <v>3119</v>
      </c>
    </row>
    <row r="3411" spans="2:17" x14ac:dyDescent="0.2">
      <c r="B3411" s="5" t="s">
        <v>2758</v>
      </c>
      <c r="C3411" s="6" t="s">
        <v>13587</v>
      </c>
      <c r="D3411" s="4">
        <v>987</v>
      </c>
      <c r="E3411" s="5" t="s">
        <v>13</v>
      </c>
      <c r="F3411" s="5" t="s">
        <v>3434</v>
      </c>
      <c r="G3411" s="6" t="s">
        <v>14</v>
      </c>
      <c r="H3411" s="4">
        <v>495</v>
      </c>
      <c r="I3411" s="5"/>
      <c r="J3411" s="5"/>
      <c r="K3411" s="5" t="s">
        <v>2775</v>
      </c>
      <c r="L3411" s="5"/>
      <c r="M3411" s="5" t="s">
        <v>1062</v>
      </c>
      <c r="N3411" s="5" t="s">
        <v>1062</v>
      </c>
      <c r="O3411" s="5" t="s">
        <v>2762</v>
      </c>
      <c r="P3411" s="5"/>
      <c r="Q3411" s="5" t="s">
        <v>3435</v>
      </c>
    </row>
    <row r="3412" spans="2:17" x14ac:dyDescent="0.2">
      <c r="B3412" s="5" t="s">
        <v>2758</v>
      </c>
      <c r="C3412" s="6" t="s">
        <v>13587</v>
      </c>
      <c r="D3412" s="4">
        <v>988</v>
      </c>
      <c r="E3412" s="5" t="s">
        <v>13</v>
      </c>
      <c r="F3412" s="5" t="s">
        <v>2809</v>
      </c>
      <c r="G3412" s="6" t="s">
        <v>14</v>
      </c>
      <c r="H3412" s="4">
        <v>496</v>
      </c>
      <c r="I3412" s="5"/>
      <c r="J3412" s="5"/>
      <c r="K3412" s="5" t="s">
        <v>2771</v>
      </c>
      <c r="L3412" s="5" t="s">
        <v>2810</v>
      </c>
      <c r="M3412" s="5" t="s">
        <v>2811</v>
      </c>
      <c r="N3412" s="5" t="s">
        <v>2811</v>
      </c>
      <c r="O3412" s="5" t="s">
        <v>2762</v>
      </c>
      <c r="P3412" s="5"/>
      <c r="Q3412" s="5" t="s">
        <v>2812</v>
      </c>
    </row>
    <row r="3413" spans="2:17" x14ac:dyDescent="0.2">
      <c r="B3413" s="5" t="s">
        <v>2758</v>
      </c>
      <c r="C3413" s="6" t="s">
        <v>13587</v>
      </c>
      <c r="D3413" s="4">
        <v>989</v>
      </c>
      <c r="E3413" s="5" t="s">
        <v>15</v>
      </c>
      <c r="F3413" s="5" t="s">
        <v>89</v>
      </c>
      <c r="G3413" s="6" t="s">
        <v>14</v>
      </c>
      <c r="H3413" s="4">
        <v>497</v>
      </c>
      <c r="I3413" s="5"/>
      <c r="J3413" s="5" t="s">
        <v>3517</v>
      </c>
      <c r="K3413" s="5" t="s">
        <v>2777</v>
      </c>
      <c r="L3413" s="5"/>
      <c r="M3413" s="5" t="s">
        <v>1142</v>
      </c>
      <c r="N3413" s="5" t="s">
        <v>1142</v>
      </c>
      <c r="O3413" s="5" t="s">
        <v>2759</v>
      </c>
      <c r="P3413" s="5"/>
      <c r="Q3413" s="5" t="s">
        <v>3518</v>
      </c>
    </row>
    <row r="3414" spans="2:17" x14ac:dyDescent="0.2">
      <c r="B3414" s="5" t="s">
        <v>2758</v>
      </c>
      <c r="C3414" s="6" t="s">
        <v>13587</v>
      </c>
      <c r="D3414" s="4">
        <v>992</v>
      </c>
      <c r="E3414" s="5" t="s">
        <v>32</v>
      </c>
      <c r="F3414" s="5" t="s">
        <v>3513</v>
      </c>
      <c r="G3414" s="6" t="s">
        <v>14</v>
      </c>
      <c r="H3414" s="4">
        <v>498</v>
      </c>
      <c r="I3414" s="5" t="s">
        <v>22</v>
      </c>
      <c r="J3414" s="5" t="s">
        <v>3514</v>
      </c>
      <c r="K3414" s="5" t="s">
        <v>2771</v>
      </c>
      <c r="L3414" s="5"/>
      <c r="M3414" s="5" t="s">
        <v>1150</v>
      </c>
      <c r="N3414" s="5" t="s">
        <v>1150</v>
      </c>
      <c r="O3414" s="5" t="s">
        <v>2762</v>
      </c>
      <c r="P3414" s="5" t="s">
        <v>3515</v>
      </c>
      <c r="Q3414" s="5" t="s">
        <v>3516</v>
      </c>
    </row>
    <row r="3415" spans="2:17" x14ac:dyDescent="0.2">
      <c r="B3415" s="5" t="s">
        <v>2758</v>
      </c>
      <c r="C3415" s="6" t="s">
        <v>13587</v>
      </c>
      <c r="D3415" s="4">
        <v>994</v>
      </c>
      <c r="E3415" s="5" t="s">
        <v>13</v>
      </c>
      <c r="F3415" s="5" t="s">
        <v>3421</v>
      </c>
      <c r="G3415" s="6" t="s">
        <v>14</v>
      </c>
      <c r="H3415" s="4">
        <v>499</v>
      </c>
      <c r="I3415" s="5"/>
      <c r="J3415" s="5"/>
      <c r="K3415" s="5" t="s">
        <v>2771</v>
      </c>
      <c r="L3415" s="5"/>
      <c r="M3415" s="5" t="s">
        <v>3422</v>
      </c>
      <c r="N3415" s="5" t="s">
        <v>3422</v>
      </c>
      <c r="O3415" s="5" t="s">
        <v>2762</v>
      </c>
      <c r="P3415" s="5" t="s">
        <v>3423</v>
      </c>
      <c r="Q3415" s="5" t="s">
        <v>3424</v>
      </c>
    </row>
    <row r="3416" spans="2:17" x14ac:dyDescent="0.2">
      <c r="B3416" s="5" t="s">
        <v>2758</v>
      </c>
      <c r="C3416" s="6" t="s">
        <v>13587</v>
      </c>
      <c r="D3416" s="4">
        <v>996</v>
      </c>
      <c r="E3416" s="5" t="s">
        <v>35</v>
      </c>
      <c r="F3416" s="5" t="s">
        <v>3108</v>
      </c>
      <c r="G3416" s="6" t="s">
        <v>14</v>
      </c>
      <c r="H3416" s="4">
        <v>500</v>
      </c>
      <c r="I3416" s="5"/>
      <c r="J3416" s="5"/>
      <c r="K3416" s="5" t="s">
        <v>2790</v>
      </c>
      <c r="L3416" s="5" t="s">
        <v>3109</v>
      </c>
      <c r="M3416" s="5" t="s">
        <v>122</v>
      </c>
      <c r="N3416" s="5" t="s">
        <v>122</v>
      </c>
      <c r="O3416" s="5" t="s">
        <v>2762</v>
      </c>
      <c r="P3416" s="5" t="s">
        <v>3110</v>
      </c>
      <c r="Q3416" s="5" t="s">
        <v>3111</v>
      </c>
    </row>
    <row r="3417" spans="2:17" x14ac:dyDescent="0.2">
      <c r="B3417" s="5" t="s">
        <v>2758</v>
      </c>
      <c r="C3417" s="6" t="s">
        <v>13587</v>
      </c>
      <c r="D3417" s="4">
        <v>998</v>
      </c>
      <c r="E3417" s="5" t="s">
        <v>35</v>
      </c>
      <c r="F3417" s="5" t="s">
        <v>3112</v>
      </c>
      <c r="G3417" s="6" t="s">
        <v>14</v>
      </c>
      <c r="H3417" s="4">
        <v>501</v>
      </c>
      <c r="I3417" s="5"/>
      <c r="J3417" s="5"/>
      <c r="K3417" s="5" t="s">
        <v>2786</v>
      </c>
      <c r="L3417" s="5" t="s">
        <v>3113</v>
      </c>
      <c r="M3417" s="5" t="s">
        <v>122</v>
      </c>
      <c r="N3417" s="5" t="s">
        <v>122</v>
      </c>
      <c r="O3417" s="5" t="s">
        <v>2762</v>
      </c>
      <c r="P3417" s="5" t="s">
        <v>3114</v>
      </c>
      <c r="Q3417" s="5" t="s">
        <v>3115</v>
      </c>
    </row>
    <row r="3418" spans="2:17" x14ac:dyDescent="0.2">
      <c r="B3418" s="5" t="s">
        <v>2758</v>
      </c>
      <c r="C3418" s="6" t="s">
        <v>13587</v>
      </c>
      <c r="D3418" s="4">
        <v>999</v>
      </c>
      <c r="E3418" s="5" t="s">
        <v>13</v>
      </c>
      <c r="F3418" s="5" t="s">
        <v>3102</v>
      </c>
      <c r="G3418" s="6" t="s">
        <v>14</v>
      </c>
      <c r="H3418" s="4">
        <v>502</v>
      </c>
      <c r="I3418" s="5"/>
      <c r="J3418" s="5" t="s">
        <v>2855</v>
      </c>
      <c r="K3418" s="5" t="s">
        <v>2768</v>
      </c>
      <c r="L3418" s="5"/>
      <c r="M3418" s="5" t="s">
        <v>366</v>
      </c>
      <c r="N3418" s="5" t="s">
        <v>366</v>
      </c>
      <c r="O3418" s="5" t="s">
        <v>2762</v>
      </c>
      <c r="P3418" s="5"/>
      <c r="Q3418" s="5" t="s">
        <v>3103</v>
      </c>
    </row>
    <row r="3419" spans="2:17" x14ac:dyDescent="0.2">
      <c r="B3419" s="5" t="s">
        <v>2758</v>
      </c>
      <c r="C3419" s="6" t="s">
        <v>13587</v>
      </c>
      <c r="D3419" s="4">
        <v>1000</v>
      </c>
      <c r="E3419" s="5" t="s">
        <v>24</v>
      </c>
      <c r="F3419" s="5" t="s">
        <v>3099</v>
      </c>
      <c r="G3419" s="6" t="s">
        <v>14</v>
      </c>
      <c r="H3419" s="4">
        <v>503</v>
      </c>
      <c r="I3419" s="5"/>
      <c r="J3419" s="5" t="s">
        <v>3099</v>
      </c>
      <c r="K3419" s="5" t="s">
        <v>2773</v>
      </c>
      <c r="L3419" s="5" t="s">
        <v>2797</v>
      </c>
      <c r="M3419" s="5" t="s">
        <v>366</v>
      </c>
      <c r="N3419" s="5" t="s">
        <v>366</v>
      </c>
      <c r="O3419" s="5" t="s">
        <v>2762</v>
      </c>
      <c r="P3419" s="5" t="s">
        <v>3100</v>
      </c>
      <c r="Q3419" s="5" t="s">
        <v>3101</v>
      </c>
    </row>
    <row r="3420" spans="2:17" x14ac:dyDescent="0.2">
      <c r="B3420" s="5" t="s">
        <v>2758</v>
      </c>
      <c r="C3420" s="6" t="s">
        <v>13587</v>
      </c>
      <c r="D3420" s="4">
        <v>1002</v>
      </c>
      <c r="E3420" s="5" t="s">
        <v>56</v>
      </c>
      <c r="F3420" s="5" t="s">
        <v>3414</v>
      </c>
      <c r="G3420" s="6" t="s">
        <v>14</v>
      </c>
      <c r="H3420" s="4">
        <v>504</v>
      </c>
      <c r="I3420" s="5"/>
      <c r="J3420" s="5" t="s">
        <v>3415</v>
      </c>
      <c r="K3420" s="5" t="s">
        <v>2773</v>
      </c>
      <c r="L3420" s="5"/>
      <c r="M3420" s="5" t="s">
        <v>484</v>
      </c>
      <c r="N3420" s="5" t="s">
        <v>484</v>
      </c>
      <c r="O3420" s="5" t="s">
        <v>2762</v>
      </c>
      <c r="P3420" s="5" t="s">
        <v>3416</v>
      </c>
      <c r="Q3420" s="5" t="s">
        <v>3417</v>
      </c>
    </row>
    <row r="3421" spans="2:17" x14ac:dyDescent="0.2">
      <c r="B3421" s="5" t="s">
        <v>2758</v>
      </c>
      <c r="C3421" s="6" t="s">
        <v>13587</v>
      </c>
      <c r="D3421" s="4">
        <v>1004</v>
      </c>
      <c r="E3421" s="5" t="s">
        <v>13</v>
      </c>
      <c r="F3421" s="5" t="s">
        <v>3408</v>
      </c>
      <c r="G3421" s="6" t="s">
        <v>14</v>
      </c>
      <c r="H3421" s="4">
        <v>505</v>
      </c>
      <c r="I3421" s="5"/>
      <c r="J3421" s="5" t="s">
        <v>3409</v>
      </c>
      <c r="K3421" s="5" t="s">
        <v>406</v>
      </c>
      <c r="L3421" s="5"/>
      <c r="M3421" s="5" t="s">
        <v>485</v>
      </c>
      <c r="N3421" s="5" t="s">
        <v>485</v>
      </c>
      <c r="O3421" s="5" t="s">
        <v>2760</v>
      </c>
      <c r="P3421" s="5"/>
      <c r="Q3421" s="5" t="s">
        <v>3410</v>
      </c>
    </row>
    <row r="3422" spans="2:17" x14ac:dyDescent="0.2">
      <c r="B3422" s="5" t="s">
        <v>2758</v>
      </c>
      <c r="C3422" s="6" t="s">
        <v>13587</v>
      </c>
      <c r="D3422" s="4">
        <v>1006</v>
      </c>
      <c r="E3422" s="5" t="s">
        <v>13</v>
      </c>
      <c r="F3422" s="5" t="s">
        <v>3091</v>
      </c>
      <c r="G3422" s="6" t="s">
        <v>14</v>
      </c>
      <c r="H3422" s="4">
        <v>506</v>
      </c>
      <c r="I3422" s="5"/>
      <c r="J3422" s="5" t="s">
        <v>3092</v>
      </c>
      <c r="K3422" s="5" t="s">
        <v>2794</v>
      </c>
      <c r="L3422" s="5" t="s">
        <v>3093</v>
      </c>
      <c r="M3422" s="5" t="s">
        <v>3094</v>
      </c>
      <c r="N3422" s="5" t="s">
        <v>3094</v>
      </c>
      <c r="O3422" s="5" t="s">
        <v>2761</v>
      </c>
      <c r="P3422" s="5"/>
      <c r="Q3422" s="5" t="s">
        <v>3095</v>
      </c>
    </row>
    <row r="3423" spans="2:17" x14ac:dyDescent="0.2">
      <c r="B3423" s="5" t="s">
        <v>2758</v>
      </c>
      <c r="C3423" s="6" t="s">
        <v>13587</v>
      </c>
      <c r="D3423" s="4">
        <v>1007</v>
      </c>
      <c r="E3423" s="5" t="s">
        <v>13</v>
      </c>
      <c r="F3423" s="5" t="s">
        <v>3087</v>
      </c>
      <c r="G3423" s="6" t="s">
        <v>14</v>
      </c>
      <c r="H3423" s="4">
        <v>507</v>
      </c>
      <c r="I3423" s="5"/>
      <c r="J3423" s="5"/>
      <c r="K3423" s="5" t="s">
        <v>3088</v>
      </c>
      <c r="L3423" s="5"/>
      <c r="M3423" s="5" t="s">
        <v>351</v>
      </c>
      <c r="N3423" s="5" t="s">
        <v>351</v>
      </c>
      <c r="O3423" s="5" t="s">
        <v>2762</v>
      </c>
      <c r="P3423" s="5" t="s">
        <v>3089</v>
      </c>
      <c r="Q3423" s="5" t="s">
        <v>3090</v>
      </c>
    </row>
    <row r="3424" spans="2:17" x14ac:dyDescent="0.2">
      <c r="B3424" s="5" t="s">
        <v>2758</v>
      </c>
      <c r="C3424" s="6" t="s">
        <v>13587</v>
      </c>
      <c r="D3424" s="4">
        <v>1008</v>
      </c>
      <c r="E3424" s="5" t="s">
        <v>35</v>
      </c>
      <c r="F3424" s="5" t="s">
        <v>3402</v>
      </c>
      <c r="G3424" s="6" t="s">
        <v>14</v>
      </c>
      <c r="H3424" s="4">
        <v>508</v>
      </c>
      <c r="I3424" s="5"/>
      <c r="J3424" s="5"/>
      <c r="K3424" s="5" t="s">
        <v>2771</v>
      </c>
      <c r="L3424" s="5"/>
      <c r="M3424" s="5" t="s">
        <v>2219</v>
      </c>
      <c r="N3424" s="5" t="s">
        <v>2219</v>
      </c>
      <c r="O3424" s="5" t="s">
        <v>2762</v>
      </c>
      <c r="P3424" s="5" t="s">
        <v>3403</v>
      </c>
      <c r="Q3424" s="5" t="s">
        <v>3404</v>
      </c>
    </row>
    <row r="3425" spans="2:17" x14ac:dyDescent="0.2">
      <c r="B3425" s="5" t="s">
        <v>2758</v>
      </c>
      <c r="C3425" s="6" t="s">
        <v>13587</v>
      </c>
      <c r="D3425" s="4">
        <v>1009</v>
      </c>
      <c r="E3425" s="5" t="s">
        <v>13</v>
      </c>
      <c r="F3425" s="5" t="s">
        <v>3084</v>
      </c>
      <c r="G3425" s="6" t="s">
        <v>14</v>
      </c>
      <c r="H3425" s="4">
        <v>509</v>
      </c>
      <c r="I3425" s="5"/>
      <c r="J3425" s="5"/>
      <c r="K3425" s="5" t="s">
        <v>2786</v>
      </c>
      <c r="L3425" s="5" t="s">
        <v>3085</v>
      </c>
      <c r="M3425" s="5" t="s">
        <v>1470</v>
      </c>
      <c r="N3425" s="5" t="s">
        <v>1470</v>
      </c>
      <c r="O3425" s="5" t="s">
        <v>2762</v>
      </c>
      <c r="P3425" s="5"/>
      <c r="Q3425" s="5" t="s">
        <v>3086</v>
      </c>
    </row>
    <row r="3426" spans="2:17" x14ac:dyDescent="0.2">
      <c r="B3426" s="5" t="s">
        <v>2758</v>
      </c>
      <c r="C3426" s="6" t="s">
        <v>13587</v>
      </c>
      <c r="D3426" s="4">
        <v>1011</v>
      </c>
      <c r="E3426" s="5" t="s">
        <v>13</v>
      </c>
      <c r="F3426" s="5" t="s">
        <v>3077</v>
      </c>
      <c r="G3426" s="6" t="s">
        <v>14</v>
      </c>
      <c r="H3426" s="4">
        <v>510</v>
      </c>
      <c r="I3426" s="5"/>
      <c r="J3426" s="5"/>
      <c r="K3426" s="5" t="s">
        <v>3078</v>
      </c>
      <c r="L3426" s="5"/>
      <c r="M3426" s="5" t="s">
        <v>352</v>
      </c>
      <c r="N3426" s="5" t="s">
        <v>352</v>
      </c>
      <c r="O3426" s="5" t="s">
        <v>2762</v>
      </c>
      <c r="P3426" s="5"/>
      <c r="Q3426" s="5" t="s">
        <v>3079</v>
      </c>
    </row>
    <row r="3427" spans="2:17" x14ac:dyDescent="0.2">
      <c r="B3427" s="5" t="s">
        <v>2758</v>
      </c>
      <c r="C3427" s="6" t="s">
        <v>13587</v>
      </c>
      <c r="D3427" s="4">
        <v>1012</v>
      </c>
      <c r="E3427" s="5" t="s">
        <v>35</v>
      </c>
      <c r="F3427" s="5" t="s">
        <v>3080</v>
      </c>
      <c r="G3427" s="6" t="s">
        <v>14</v>
      </c>
      <c r="H3427" s="4">
        <v>511</v>
      </c>
      <c r="I3427" s="5"/>
      <c r="J3427" s="5"/>
      <c r="K3427" s="5" t="s">
        <v>3081</v>
      </c>
      <c r="L3427" s="5" t="s">
        <v>3082</v>
      </c>
      <c r="M3427" s="5" t="s">
        <v>352</v>
      </c>
      <c r="N3427" s="5" t="s">
        <v>352</v>
      </c>
      <c r="O3427" s="5" t="s">
        <v>2765</v>
      </c>
      <c r="P3427" s="5" t="s">
        <v>2804</v>
      </c>
      <c r="Q3427" s="5" t="s">
        <v>3083</v>
      </c>
    </row>
    <row r="3428" spans="2:17" x14ac:dyDescent="0.2">
      <c r="B3428" s="5" t="s">
        <v>2758</v>
      </c>
      <c r="C3428" s="6" t="s">
        <v>13587</v>
      </c>
      <c r="D3428" s="4">
        <v>1013</v>
      </c>
      <c r="E3428" s="5" t="s">
        <v>13</v>
      </c>
      <c r="F3428" s="5" t="s">
        <v>3510</v>
      </c>
      <c r="G3428" s="6" t="s">
        <v>14</v>
      </c>
      <c r="H3428" s="4">
        <v>512</v>
      </c>
      <c r="I3428" s="5"/>
      <c r="J3428" s="5"/>
      <c r="K3428" s="5" t="s">
        <v>2784</v>
      </c>
      <c r="L3428" s="5"/>
      <c r="M3428" s="5" t="s">
        <v>3511</v>
      </c>
      <c r="N3428" s="5" t="s">
        <v>3511</v>
      </c>
      <c r="O3428" s="5" t="s">
        <v>2762</v>
      </c>
      <c r="P3428" s="5" t="s">
        <v>2804</v>
      </c>
      <c r="Q3428" s="5" t="s">
        <v>3512</v>
      </c>
    </row>
    <row r="3429" spans="2:17" x14ac:dyDescent="0.2">
      <c r="B3429" s="5" t="s">
        <v>3543</v>
      </c>
      <c r="C3429" s="6" t="s">
        <v>13587</v>
      </c>
      <c r="D3429" s="4">
        <v>1016</v>
      </c>
      <c r="E3429" s="5" t="s">
        <v>32</v>
      </c>
      <c r="F3429" s="5" t="s">
        <v>3756</v>
      </c>
      <c r="G3429" s="6" t="s">
        <v>14</v>
      </c>
      <c r="H3429" s="4">
        <v>513</v>
      </c>
      <c r="I3429" s="5" t="s">
        <v>22</v>
      </c>
      <c r="J3429" s="5" t="s">
        <v>3757</v>
      </c>
      <c r="K3429" s="5"/>
      <c r="L3429" s="5"/>
      <c r="M3429" s="5" t="s">
        <v>3362</v>
      </c>
      <c r="N3429" s="5" t="s">
        <v>3355</v>
      </c>
      <c r="O3429" s="5" t="s">
        <v>3598</v>
      </c>
      <c r="P3429" s="5"/>
      <c r="Q3429" s="5" t="s">
        <v>3548</v>
      </c>
    </row>
    <row r="3430" spans="2:17" x14ac:dyDescent="0.2">
      <c r="B3430" s="5" t="s">
        <v>3543</v>
      </c>
      <c r="C3430" s="6" t="s">
        <v>13587</v>
      </c>
      <c r="D3430" s="4">
        <v>1017</v>
      </c>
      <c r="E3430" s="5" t="s">
        <v>32</v>
      </c>
      <c r="F3430" s="5" t="s">
        <v>3756</v>
      </c>
      <c r="G3430" s="6" t="s">
        <v>14</v>
      </c>
      <c r="H3430" s="4">
        <v>514</v>
      </c>
      <c r="I3430" s="5" t="s">
        <v>22</v>
      </c>
      <c r="J3430" s="5" t="s">
        <v>3758</v>
      </c>
      <c r="K3430" s="5"/>
      <c r="L3430" s="5"/>
      <c r="M3430" s="5" t="s">
        <v>3362</v>
      </c>
      <c r="N3430" s="5" t="s">
        <v>3355</v>
      </c>
      <c r="O3430" s="5" t="s">
        <v>3598</v>
      </c>
      <c r="P3430" s="5"/>
      <c r="Q3430" s="5" t="s">
        <v>3548</v>
      </c>
    </row>
    <row r="3431" spans="2:17" x14ac:dyDescent="0.2">
      <c r="B3431" s="5" t="s">
        <v>3543</v>
      </c>
      <c r="C3431" s="6" t="s">
        <v>13587</v>
      </c>
      <c r="D3431" s="4">
        <v>1022</v>
      </c>
      <c r="E3431" s="5" t="s">
        <v>20</v>
      </c>
      <c r="F3431" s="5" t="s">
        <v>3747</v>
      </c>
      <c r="G3431" s="6" t="s">
        <v>14</v>
      </c>
      <c r="H3431" s="4">
        <v>515</v>
      </c>
      <c r="I3431" s="5" t="s">
        <v>22</v>
      </c>
      <c r="J3431" s="5" t="s">
        <v>3748</v>
      </c>
      <c r="K3431" s="5" t="s">
        <v>3601</v>
      </c>
      <c r="L3431" s="5"/>
      <c r="M3431" s="5" t="s">
        <v>1893</v>
      </c>
      <c r="N3431" s="5" t="s">
        <v>1893</v>
      </c>
      <c r="O3431" s="5" t="s">
        <v>3575</v>
      </c>
      <c r="P3431" s="5"/>
      <c r="Q3431" s="5" t="s">
        <v>3548</v>
      </c>
    </row>
    <row r="3432" spans="2:17" x14ac:dyDescent="0.2">
      <c r="B3432" s="5" t="s">
        <v>3543</v>
      </c>
      <c r="C3432" s="6" t="s">
        <v>13587</v>
      </c>
      <c r="D3432" s="4">
        <v>1023</v>
      </c>
      <c r="E3432" s="5" t="s">
        <v>20</v>
      </c>
      <c r="F3432" s="5" t="s">
        <v>3747</v>
      </c>
      <c r="G3432" s="6" t="s">
        <v>14</v>
      </c>
      <c r="H3432" s="4">
        <v>516</v>
      </c>
      <c r="I3432" s="5" t="s">
        <v>22</v>
      </c>
      <c r="J3432" s="5" t="s">
        <v>3749</v>
      </c>
      <c r="K3432" s="5" t="s">
        <v>3658</v>
      </c>
      <c r="L3432" s="5"/>
      <c r="M3432" s="5" t="s">
        <v>1893</v>
      </c>
      <c r="N3432" s="5" t="s">
        <v>1893</v>
      </c>
      <c r="O3432" s="5" t="s">
        <v>3659</v>
      </c>
      <c r="P3432" s="5"/>
      <c r="Q3432" s="5" t="s">
        <v>3548</v>
      </c>
    </row>
    <row r="3433" spans="2:17" x14ac:dyDescent="0.2">
      <c r="B3433" s="5" t="s">
        <v>3543</v>
      </c>
      <c r="C3433" s="6" t="s">
        <v>13587</v>
      </c>
      <c r="D3433" s="4">
        <v>1024</v>
      </c>
      <c r="E3433" s="5" t="s">
        <v>20</v>
      </c>
      <c r="F3433" s="5" t="s">
        <v>3747</v>
      </c>
      <c r="G3433" s="6" t="s">
        <v>14</v>
      </c>
      <c r="H3433" s="4">
        <v>517</v>
      </c>
      <c r="I3433" s="5" t="s">
        <v>22</v>
      </c>
      <c r="J3433" s="5" t="s">
        <v>3750</v>
      </c>
      <c r="K3433" s="5" t="s">
        <v>3613</v>
      </c>
      <c r="L3433" s="5"/>
      <c r="M3433" s="5" t="s">
        <v>1893</v>
      </c>
      <c r="N3433" s="5" t="s">
        <v>1893</v>
      </c>
      <c r="O3433" s="5" t="s">
        <v>3751</v>
      </c>
      <c r="P3433" s="5"/>
      <c r="Q3433" s="5" t="s">
        <v>3548</v>
      </c>
    </row>
    <row r="3434" spans="2:17" x14ac:dyDescent="0.2">
      <c r="B3434" s="5" t="s">
        <v>3543</v>
      </c>
      <c r="C3434" s="6" t="s">
        <v>13587</v>
      </c>
      <c r="D3434" s="4">
        <v>1025</v>
      </c>
      <c r="E3434" s="5" t="s">
        <v>20</v>
      </c>
      <c r="F3434" s="5" t="s">
        <v>3747</v>
      </c>
      <c r="G3434" s="6" t="s">
        <v>14</v>
      </c>
      <c r="H3434" s="4">
        <v>518</v>
      </c>
      <c r="I3434" s="5" t="s">
        <v>22</v>
      </c>
      <c r="J3434" s="5" t="s">
        <v>3752</v>
      </c>
      <c r="K3434" s="5" t="s">
        <v>3603</v>
      </c>
      <c r="L3434" s="5"/>
      <c r="M3434" s="5" t="s">
        <v>1893</v>
      </c>
      <c r="N3434" s="5" t="s">
        <v>1893</v>
      </c>
      <c r="O3434" s="5" t="s">
        <v>3585</v>
      </c>
      <c r="P3434" s="5"/>
      <c r="Q3434" s="5" t="s">
        <v>3548</v>
      </c>
    </row>
    <row r="3435" spans="2:17" x14ac:dyDescent="0.2">
      <c r="B3435" s="5" t="s">
        <v>3543</v>
      </c>
      <c r="C3435" s="6" t="s">
        <v>13587</v>
      </c>
      <c r="D3435" s="4">
        <v>1026</v>
      </c>
      <c r="E3435" s="5" t="s">
        <v>20</v>
      </c>
      <c r="F3435" s="5" t="s">
        <v>3747</v>
      </c>
      <c r="G3435" s="6" t="s">
        <v>14</v>
      </c>
      <c r="H3435" s="4">
        <v>519</v>
      </c>
      <c r="I3435" s="5" t="s">
        <v>22</v>
      </c>
      <c r="J3435" s="5" t="s">
        <v>3753</v>
      </c>
      <c r="K3435" s="5" t="s">
        <v>3622</v>
      </c>
      <c r="L3435" s="5"/>
      <c r="M3435" s="5" t="s">
        <v>1893</v>
      </c>
      <c r="N3435" s="5" t="s">
        <v>1893</v>
      </c>
      <c r="O3435" s="5" t="s">
        <v>3545</v>
      </c>
      <c r="P3435" s="5"/>
      <c r="Q3435" s="5" t="s">
        <v>3548</v>
      </c>
    </row>
    <row r="3436" spans="2:17" x14ac:dyDescent="0.2">
      <c r="B3436" s="5" t="s">
        <v>3543</v>
      </c>
      <c r="C3436" s="6" t="s">
        <v>13587</v>
      </c>
      <c r="D3436" s="4">
        <v>1027</v>
      </c>
      <c r="E3436" s="5" t="s">
        <v>20</v>
      </c>
      <c r="F3436" s="5" t="s">
        <v>3747</v>
      </c>
      <c r="G3436" s="6" t="s">
        <v>14</v>
      </c>
      <c r="H3436" s="4">
        <v>520</v>
      </c>
      <c r="I3436" s="5" t="s">
        <v>22</v>
      </c>
      <c r="J3436" s="5" t="s">
        <v>3754</v>
      </c>
      <c r="K3436" s="5" t="s">
        <v>3755</v>
      </c>
      <c r="L3436" s="5"/>
      <c r="M3436" s="5" t="s">
        <v>1893</v>
      </c>
      <c r="N3436" s="5" t="s">
        <v>1893</v>
      </c>
      <c r="O3436" s="5" t="s">
        <v>3585</v>
      </c>
      <c r="P3436" s="5"/>
      <c r="Q3436" s="5" t="s">
        <v>3548</v>
      </c>
    </row>
    <row r="3437" spans="2:17" x14ac:dyDescent="0.2">
      <c r="B3437" s="5" t="s">
        <v>3543</v>
      </c>
      <c r="C3437" s="6" t="s">
        <v>13587</v>
      </c>
      <c r="D3437" s="4">
        <v>1028</v>
      </c>
      <c r="E3437" s="5" t="s">
        <v>32</v>
      </c>
      <c r="F3437" s="5" t="s">
        <v>3741</v>
      </c>
      <c r="G3437" s="6" t="s">
        <v>14</v>
      </c>
      <c r="H3437" s="4">
        <v>521</v>
      </c>
      <c r="I3437" s="5" t="s">
        <v>22</v>
      </c>
      <c r="J3437" s="5" t="s">
        <v>3742</v>
      </c>
      <c r="K3437" s="5" t="s">
        <v>3592</v>
      </c>
      <c r="L3437" s="5" t="s">
        <v>3743</v>
      </c>
      <c r="M3437" s="5" t="s">
        <v>215</v>
      </c>
      <c r="N3437" s="5" t="s">
        <v>215</v>
      </c>
      <c r="O3437" s="5" t="s">
        <v>3551</v>
      </c>
      <c r="P3437" s="5"/>
      <c r="Q3437" s="5" t="s">
        <v>3548</v>
      </c>
    </row>
    <row r="3438" spans="2:17" x14ac:dyDescent="0.2">
      <c r="B3438" s="5" t="s">
        <v>3543</v>
      </c>
      <c r="C3438" s="6" t="s">
        <v>13587</v>
      </c>
      <c r="D3438" s="4">
        <v>1064</v>
      </c>
      <c r="E3438" s="5" t="s">
        <v>20</v>
      </c>
      <c r="F3438" s="5" t="s">
        <v>3652</v>
      </c>
      <c r="G3438" s="6" t="s">
        <v>14</v>
      </c>
      <c r="H3438" s="4">
        <v>522</v>
      </c>
      <c r="I3438" s="5" t="s">
        <v>22</v>
      </c>
      <c r="J3438" s="5" t="s">
        <v>3653</v>
      </c>
      <c r="K3438" s="5" t="s">
        <v>3654</v>
      </c>
      <c r="L3438" s="5"/>
      <c r="M3438" s="5" t="s">
        <v>412</v>
      </c>
      <c r="N3438" s="5" t="s">
        <v>138</v>
      </c>
      <c r="O3438" s="5" t="s">
        <v>3598</v>
      </c>
      <c r="P3438" s="5"/>
      <c r="Q3438" s="5" t="s">
        <v>3548</v>
      </c>
    </row>
    <row r="3439" spans="2:17" x14ac:dyDescent="0.2">
      <c r="B3439" s="5" t="s">
        <v>3543</v>
      </c>
      <c r="C3439" s="6" t="s">
        <v>13587</v>
      </c>
      <c r="D3439" s="4">
        <v>1065</v>
      </c>
      <c r="E3439" s="5" t="s">
        <v>20</v>
      </c>
      <c r="F3439" s="5" t="s">
        <v>3652</v>
      </c>
      <c r="G3439" s="6" t="s">
        <v>14</v>
      </c>
      <c r="H3439" s="4">
        <v>523</v>
      </c>
      <c r="I3439" s="5" t="s">
        <v>22</v>
      </c>
      <c r="J3439" s="5" t="s">
        <v>3655</v>
      </c>
      <c r="K3439" s="5" t="s">
        <v>3654</v>
      </c>
      <c r="L3439" s="5"/>
      <c r="M3439" s="5" t="s">
        <v>412</v>
      </c>
      <c r="N3439" s="5" t="s">
        <v>138</v>
      </c>
      <c r="O3439" s="5" t="s">
        <v>3598</v>
      </c>
      <c r="P3439" s="5"/>
      <c r="Q3439" s="5" t="s">
        <v>3548</v>
      </c>
    </row>
    <row r="3440" spans="2:17" x14ac:dyDescent="0.2">
      <c r="B3440" s="5" t="s">
        <v>3543</v>
      </c>
      <c r="C3440" s="6" t="s">
        <v>13587</v>
      </c>
      <c r="D3440" s="4">
        <v>1066</v>
      </c>
      <c r="E3440" s="5" t="s">
        <v>32</v>
      </c>
      <c r="F3440" s="5" t="s">
        <v>3641</v>
      </c>
      <c r="G3440" s="6" t="s">
        <v>14</v>
      </c>
      <c r="H3440" s="4">
        <v>524</v>
      </c>
      <c r="I3440" s="5" t="s">
        <v>22</v>
      </c>
      <c r="J3440" s="5" t="s">
        <v>3642</v>
      </c>
      <c r="K3440" s="5" t="s">
        <v>3601</v>
      </c>
      <c r="L3440" s="5" t="s">
        <v>3643</v>
      </c>
      <c r="M3440" s="5" t="s">
        <v>2151</v>
      </c>
      <c r="N3440" s="5" t="s">
        <v>2152</v>
      </c>
      <c r="O3440" s="5" t="s">
        <v>3575</v>
      </c>
      <c r="P3440" s="5"/>
      <c r="Q3440" s="5" t="s">
        <v>3548</v>
      </c>
    </row>
    <row r="3441" spans="2:17" x14ac:dyDescent="0.2">
      <c r="B3441" s="5" t="s">
        <v>3543</v>
      </c>
      <c r="C3441" s="6" t="s">
        <v>13587</v>
      </c>
      <c r="D3441" s="4">
        <v>1067</v>
      </c>
      <c r="E3441" s="5" t="s">
        <v>32</v>
      </c>
      <c r="F3441" s="5" t="s">
        <v>3641</v>
      </c>
      <c r="G3441" s="6" t="s">
        <v>14</v>
      </c>
      <c r="H3441" s="4">
        <v>525</v>
      </c>
      <c r="I3441" s="5" t="s">
        <v>22</v>
      </c>
      <c r="J3441" s="5" t="s">
        <v>3644</v>
      </c>
      <c r="K3441" s="5" t="s">
        <v>3645</v>
      </c>
      <c r="L3441" s="5" t="s">
        <v>3646</v>
      </c>
      <c r="M3441" s="5" t="s">
        <v>2151</v>
      </c>
      <c r="N3441" s="5" t="s">
        <v>2152</v>
      </c>
      <c r="O3441" s="5" t="s">
        <v>3545</v>
      </c>
      <c r="P3441" s="5"/>
      <c r="Q3441" s="5" t="s">
        <v>3548</v>
      </c>
    </row>
    <row r="3442" spans="2:17" x14ac:dyDescent="0.2">
      <c r="B3442" s="5" t="s">
        <v>3543</v>
      </c>
      <c r="C3442" s="6" t="s">
        <v>13587</v>
      </c>
      <c r="D3442" s="4">
        <v>1070</v>
      </c>
      <c r="E3442" s="5" t="s">
        <v>15</v>
      </c>
      <c r="F3442" s="5" t="s">
        <v>3628</v>
      </c>
      <c r="G3442" s="6" t="s">
        <v>14</v>
      </c>
      <c r="H3442" s="4">
        <v>526</v>
      </c>
      <c r="I3442" s="5" t="s">
        <v>22</v>
      </c>
      <c r="J3442" s="5" t="s">
        <v>3629</v>
      </c>
      <c r="K3442" s="5" t="s">
        <v>3630</v>
      </c>
      <c r="L3442" s="5"/>
      <c r="M3442" s="5" t="s">
        <v>347</v>
      </c>
      <c r="N3442" s="5" t="s">
        <v>2089</v>
      </c>
      <c r="O3442" s="5" t="s">
        <v>3545</v>
      </c>
      <c r="P3442" s="5"/>
      <c r="Q3442" s="5" t="s">
        <v>3548</v>
      </c>
    </row>
    <row r="3443" spans="2:17" x14ac:dyDescent="0.2">
      <c r="B3443" s="5" t="s">
        <v>3543</v>
      </c>
      <c r="C3443" s="6" t="s">
        <v>13587</v>
      </c>
      <c r="D3443" s="4">
        <v>1078</v>
      </c>
      <c r="E3443" s="5" t="s">
        <v>32</v>
      </c>
      <c r="F3443" s="5" t="s">
        <v>3599</v>
      </c>
      <c r="G3443" s="6" t="s">
        <v>14</v>
      </c>
      <c r="H3443" s="4">
        <v>527</v>
      </c>
      <c r="I3443" s="5" t="s">
        <v>22</v>
      </c>
      <c r="J3443" s="5" t="s">
        <v>3600</v>
      </c>
      <c r="K3443" s="5" t="s">
        <v>3601</v>
      </c>
      <c r="L3443" s="5"/>
      <c r="M3443" s="5" t="s">
        <v>1437</v>
      </c>
      <c r="N3443" s="5" t="s">
        <v>1437</v>
      </c>
      <c r="O3443" s="5" t="s">
        <v>3575</v>
      </c>
      <c r="P3443" s="5"/>
      <c r="Q3443" s="5" t="s">
        <v>3548</v>
      </c>
    </row>
    <row r="3444" spans="2:17" x14ac:dyDescent="0.2">
      <c r="B3444" s="5" t="s">
        <v>3543</v>
      </c>
      <c r="C3444" s="6" t="s">
        <v>13587</v>
      </c>
      <c r="D3444" s="4">
        <v>1079</v>
      </c>
      <c r="E3444" s="5" t="s">
        <v>32</v>
      </c>
      <c r="F3444" s="5" t="s">
        <v>3599</v>
      </c>
      <c r="G3444" s="6" t="s">
        <v>14</v>
      </c>
      <c r="H3444" s="4">
        <v>528</v>
      </c>
      <c r="I3444" s="5" t="s">
        <v>22</v>
      </c>
      <c r="J3444" s="5" t="s">
        <v>3602</v>
      </c>
      <c r="K3444" s="5" t="s">
        <v>3603</v>
      </c>
      <c r="L3444" s="5"/>
      <c r="M3444" s="5" t="s">
        <v>1437</v>
      </c>
      <c r="N3444" s="5" t="s">
        <v>1437</v>
      </c>
      <c r="O3444" s="5" t="s">
        <v>3585</v>
      </c>
      <c r="P3444" s="5"/>
      <c r="Q3444" s="5" t="s">
        <v>3548</v>
      </c>
    </row>
    <row r="3445" spans="2:17" x14ac:dyDescent="0.2">
      <c r="B3445" s="5" t="s">
        <v>3543</v>
      </c>
      <c r="C3445" s="6" t="s">
        <v>13587</v>
      </c>
      <c r="D3445" s="4">
        <v>1081</v>
      </c>
      <c r="E3445" s="5" t="s">
        <v>15</v>
      </c>
      <c r="F3445" s="5" t="s">
        <v>3596</v>
      </c>
      <c r="G3445" s="6" t="s">
        <v>14</v>
      </c>
      <c r="H3445" s="4">
        <v>529</v>
      </c>
      <c r="I3445" s="5" t="s">
        <v>22</v>
      </c>
      <c r="J3445" s="5" t="s">
        <v>3597</v>
      </c>
      <c r="K3445" s="5"/>
      <c r="L3445" s="5"/>
      <c r="M3445" s="5" t="s">
        <v>112</v>
      </c>
      <c r="N3445" s="5" t="s">
        <v>106</v>
      </c>
      <c r="O3445" s="5" t="s">
        <v>3598</v>
      </c>
      <c r="P3445" s="5"/>
      <c r="Q3445" s="5" t="s">
        <v>3548</v>
      </c>
    </row>
    <row r="3446" spans="2:17" x14ac:dyDescent="0.2">
      <c r="B3446" s="5" t="s">
        <v>3543</v>
      </c>
      <c r="C3446" s="6" t="s">
        <v>13587</v>
      </c>
      <c r="D3446" s="4">
        <v>1082</v>
      </c>
      <c r="E3446" s="5" t="s">
        <v>32</v>
      </c>
      <c r="F3446" s="5" t="s">
        <v>3571</v>
      </c>
      <c r="G3446" s="6" t="s">
        <v>14</v>
      </c>
      <c r="H3446" s="4">
        <v>530</v>
      </c>
      <c r="I3446" s="5" t="s">
        <v>22</v>
      </c>
      <c r="J3446" s="5" t="s">
        <v>3572</v>
      </c>
      <c r="K3446" s="5" t="s">
        <v>3573</v>
      </c>
      <c r="L3446" s="5" t="s">
        <v>3574</v>
      </c>
      <c r="M3446" s="5" t="s">
        <v>106</v>
      </c>
      <c r="N3446" s="5" t="s">
        <v>337</v>
      </c>
      <c r="O3446" s="5" t="s">
        <v>3575</v>
      </c>
      <c r="P3446" s="5"/>
      <c r="Q3446" s="5" t="s">
        <v>3548</v>
      </c>
    </row>
    <row r="3447" spans="2:17" x14ac:dyDescent="0.2">
      <c r="B3447" s="5" t="s">
        <v>3543</v>
      </c>
      <c r="C3447" s="6" t="s">
        <v>13587</v>
      </c>
      <c r="D3447" s="4">
        <v>1083</v>
      </c>
      <c r="E3447" s="5" t="s">
        <v>32</v>
      </c>
      <c r="F3447" s="5" t="s">
        <v>3571</v>
      </c>
      <c r="G3447" s="6" t="s">
        <v>14</v>
      </c>
      <c r="H3447" s="4">
        <v>531</v>
      </c>
      <c r="I3447" s="5" t="s">
        <v>22</v>
      </c>
      <c r="J3447" s="5" t="s">
        <v>3576</v>
      </c>
      <c r="K3447" s="5" t="s">
        <v>3577</v>
      </c>
      <c r="L3447" s="5" t="s">
        <v>3578</v>
      </c>
      <c r="M3447" s="5" t="s">
        <v>106</v>
      </c>
      <c r="N3447" s="5" t="s">
        <v>337</v>
      </c>
      <c r="O3447" s="5" t="s">
        <v>3579</v>
      </c>
      <c r="P3447" s="5"/>
      <c r="Q3447" s="5" t="s">
        <v>3548</v>
      </c>
    </row>
    <row r="3448" spans="2:17" x14ac:dyDescent="0.2">
      <c r="B3448" s="5" t="s">
        <v>3543</v>
      </c>
      <c r="C3448" s="6" t="s">
        <v>13587</v>
      </c>
      <c r="D3448" s="4">
        <v>1084</v>
      </c>
      <c r="E3448" s="5" t="s">
        <v>32</v>
      </c>
      <c r="F3448" s="5" t="s">
        <v>3571</v>
      </c>
      <c r="G3448" s="6" t="s">
        <v>14</v>
      </c>
      <c r="H3448" s="4">
        <v>532</v>
      </c>
      <c r="I3448" s="5" t="s">
        <v>22</v>
      </c>
      <c r="J3448" s="5" t="s">
        <v>3580</v>
      </c>
      <c r="K3448" s="5" t="s">
        <v>3581</v>
      </c>
      <c r="L3448" s="5" t="s">
        <v>3582</v>
      </c>
      <c r="M3448" s="5" t="s">
        <v>106</v>
      </c>
      <c r="N3448" s="5" t="s">
        <v>337</v>
      </c>
      <c r="O3448" s="5" t="s">
        <v>3575</v>
      </c>
      <c r="P3448" s="5"/>
      <c r="Q3448" s="5" t="s">
        <v>3548</v>
      </c>
    </row>
    <row r="3449" spans="2:17" x14ac:dyDescent="0.2">
      <c r="B3449" s="5" t="s">
        <v>3543</v>
      </c>
      <c r="C3449" s="6" t="s">
        <v>13587</v>
      </c>
      <c r="D3449" s="4">
        <v>1085</v>
      </c>
      <c r="E3449" s="5" t="s">
        <v>32</v>
      </c>
      <c r="F3449" s="5" t="s">
        <v>3571</v>
      </c>
      <c r="G3449" s="6" t="s">
        <v>14</v>
      </c>
      <c r="H3449" s="4">
        <v>533</v>
      </c>
      <c r="I3449" s="5" t="s">
        <v>22</v>
      </c>
      <c r="J3449" s="5" t="s">
        <v>3583</v>
      </c>
      <c r="K3449" s="5" t="s">
        <v>3584</v>
      </c>
      <c r="L3449" s="5"/>
      <c r="M3449" s="5" t="s">
        <v>106</v>
      </c>
      <c r="N3449" s="5" t="s">
        <v>337</v>
      </c>
      <c r="O3449" s="5" t="s">
        <v>3585</v>
      </c>
      <c r="P3449" s="5"/>
      <c r="Q3449" s="5" t="s">
        <v>3548</v>
      </c>
    </row>
    <row r="3450" spans="2:17" x14ac:dyDescent="0.2">
      <c r="B3450" s="5" t="s">
        <v>3543</v>
      </c>
      <c r="C3450" s="6" t="s">
        <v>13587</v>
      </c>
      <c r="D3450" s="4">
        <v>1086</v>
      </c>
      <c r="E3450" s="5" t="s">
        <v>32</v>
      </c>
      <c r="F3450" s="5" t="s">
        <v>3571</v>
      </c>
      <c r="G3450" s="6" t="s">
        <v>14</v>
      </c>
      <c r="H3450" s="4">
        <v>534</v>
      </c>
      <c r="I3450" s="5" t="s">
        <v>22</v>
      </c>
      <c r="J3450" s="5" t="s">
        <v>3586</v>
      </c>
      <c r="K3450" s="5" t="s">
        <v>3587</v>
      </c>
      <c r="L3450" s="5" t="s">
        <v>3588</v>
      </c>
      <c r="M3450" s="5" t="s">
        <v>106</v>
      </c>
      <c r="N3450" s="5" t="s">
        <v>337</v>
      </c>
      <c r="O3450" s="5" t="s">
        <v>3589</v>
      </c>
      <c r="P3450" s="5"/>
      <c r="Q3450" s="5" t="s">
        <v>3548</v>
      </c>
    </row>
    <row r="3451" spans="2:17" x14ac:dyDescent="0.2">
      <c r="B3451" s="5" t="s">
        <v>3543</v>
      </c>
      <c r="C3451" s="6" t="s">
        <v>13587</v>
      </c>
      <c r="D3451" s="4">
        <v>1089</v>
      </c>
      <c r="E3451" s="5" t="s">
        <v>20</v>
      </c>
      <c r="F3451" s="5" t="s">
        <v>3567</v>
      </c>
      <c r="G3451" s="6" t="s">
        <v>14</v>
      </c>
      <c r="H3451" s="4">
        <v>535</v>
      </c>
      <c r="I3451" s="5" t="s">
        <v>22</v>
      </c>
      <c r="J3451" s="5" t="s">
        <v>3568</v>
      </c>
      <c r="K3451" s="5" t="s">
        <v>3569</v>
      </c>
      <c r="L3451" s="5"/>
      <c r="M3451" s="5" t="s">
        <v>148</v>
      </c>
      <c r="N3451" s="5" t="s">
        <v>1957</v>
      </c>
      <c r="O3451" s="5" t="s">
        <v>3570</v>
      </c>
      <c r="P3451" s="5"/>
      <c r="Q3451" s="5" t="s">
        <v>3548</v>
      </c>
    </row>
    <row r="3452" spans="2:17" x14ac:dyDescent="0.2">
      <c r="B3452" s="5" t="s">
        <v>3543</v>
      </c>
      <c r="C3452" s="6" t="s">
        <v>13587</v>
      </c>
      <c r="D3452" s="4">
        <v>1090</v>
      </c>
      <c r="E3452" s="5" t="s">
        <v>32</v>
      </c>
      <c r="F3452" s="5" t="s">
        <v>326</v>
      </c>
      <c r="G3452" s="6" t="s">
        <v>14</v>
      </c>
      <c r="H3452" s="4">
        <v>536</v>
      </c>
      <c r="I3452" s="5" t="s">
        <v>38</v>
      </c>
      <c r="J3452" s="5" t="s">
        <v>3546</v>
      </c>
      <c r="K3452" s="5"/>
      <c r="L3452" s="5"/>
      <c r="M3452" s="5" t="s">
        <v>1384</v>
      </c>
      <c r="N3452" s="5" t="s">
        <v>331</v>
      </c>
      <c r="O3452" s="5" t="s">
        <v>3547</v>
      </c>
      <c r="P3452" s="5"/>
      <c r="Q3452" s="5" t="s">
        <v>3548</v>
      </c>
    </row>
    <row r="3453" spans="2:17" x14ac:dyDescent="0.2">
      <c r="B3453" s="5" t="s">
        <v>3543</v>
      </c>
      <c r="C3453" s="6" t="s">
        <v>13587</v>
      </c>
      <c r="D3453" s="4">
        <v>1091</v>
      </c>
      <c r="E3453" s="5" t="s">
        <v>32</v>
      </c>
      <c r="F3453" s="5" t="s">
        <v>326</v>
      </c>
      <c r="G3453" s="6" t="s">
        <v>14</v>
      </c>
      <c r="H3453" s="4">
        <v>537</v>
      </c>
      <c r="I3453" s="5" t="s">
        <v>38</v>
      </c>
      <c r="J3453" s="5" t="s">
        <v>3549</v>
      </c>
      <c r="K3453" s="5" t="s">
        <v>3550</v>
      </c>
      <c r="L3453" s="5"/>
      <c r="M3453" s="5" t="s">
        <v>1384</v>
      </c>
      <c r="N3453" s="5" t="s">
        <v>331</v>
      </c>
      <c r="O3453" s="5" t="s">
        <v>3551</v>
      </c>
      <c r="P3453" s="5"/>
      <c r="Q3453" s="5" t="s">
        <v>3548</v>
      </c>
    </row>
    <row r="3454" spans="2:17" x14ac:dyDescent="0.2">
      <c r="B3454" s="5" t="s">
        <v>3543</v>
      </c>
      <c r="C3454" s="6" t="s">
        <v>13587</v>
      </c>
      <c r="D3454" s="4">
        <v>1092</v>
      </c>
      <c r="E3454" s="5" t="s">
        <v>32</v>
      </c>
      <c r="F3454" s="5" t="s">
        <v>326</v>
      </c>
      <c r="G3454" s="6" t="s">
        <v>14</v>
      </c>
      <c r="H3454" s="4">
        <v>538</v>
      </c>
      <c r="I3454" s="5" t="s">
        <v>38</v>
      </c>
      <c r="J3454" s="5" t="s">
        <v>3552</v>
      </c>
      <c r="K3454" s="5" t="s">
        <v>3553</v>
      </c>
      <c r="L3454" s="5"/>
      <c r="M3454" s="5" t="s">
        <v>1384</v>
      </c>
      <c r="N3454" s="5" t="s">
        <v>331</v>
      </c>
      <c r="O3454" s="5" t="s">
        <v>3551</v>
      </c>
      <c r="P3454" s="5"/>
      <c r="Q3454" s="5" t="s">
        <v>3548</v>
      </c>
    </row>
    <row r="3455" spans="2:17" x14ac:dyDescent="0.2">
      <c r="B3455" s="5" t="s">
        <v>3543</v>
      </c>
      <c r="C3455" s="6" t="s">
        <v>13587</v>
      </c>
      <c r="D3455" s="4">
        <v>1093</v>
      </c>
      <c r="E3455" s="5" t="s">
        <v>32</v>
      </c>
      <c r="F3455" s="5" t="s">
        <v>326</v>
      </c>
      <c r="G3455" s="6" t="s">
        <v>14</v>
      </c>
      <c r="H3455" s="4">
        <v>539</v>
      </c>
      <c r="I3455" s="5" t="s">
        <v>38</v>
      </c>
      <c r="J3455" s="5" t="s">
        <v>3554</v>
      </c>
      <c r="K3455" s="5" t="s">
        <v>3553</v>
      </c>
      <c r="L3455" s="5" t="s">
        <v>3555</v>
      </c>
      <c r="M3455" s="5" t="s">
        <v>1384</v>
      </c>
      <c r="N3455" s="5" t="s">
        <v>331</v>
      </c>
      <c r="O3455" s="5" t="s">
        <v>3551</v>
      </c>
      <c r="P3455" s="5"/>
      <c r="Q3455" s="5" t="s">
        <v>3548</v>
      </c>
    </row>
    <row r="3456" spans="2:17" x14ac:dyDescent="0.2">
      <c r="B3456" s="5" t="s">
        <v>3543</v>
      </c>
      <c r="C3456" s="6" t="s">
        <v>13587</v>
      </c>
      <c r="D3456" s="4">
        <v>1094</v>
      </c>
      <c r="E3456" s="5" t="s">
        <v>32</v>
      </c>
      <c r="F3456" s="5" t="s">
        <v>326</v>
      </c>
      <c r="G3456" s="6" t="s">
        <v>14</v>
      </c>
      <c r="H3456" s="4">
        <v>540</v>
      </c>
      <c r="I3456" s="5" t="s">
        <v>38</v>
      </c>
      <c r="J3456" s="5" t="s">
        <v>3556</v>
      </c>
      <c r="K3456" s="5" t="s">
        <v>3553</v>
      </c>
      <c r="L3456" s="5" t="s">
        <v>3557</v>
      </c>
      <c r="M3456" s="5" t="s">
        <v>1384</v>
      </c>
      <c r="N3456" s="5" t="s">
        <v>331</v>
      </c>
      <c r="O3456" s="5" t="s">
        <v>3551</v>
      </c>
      <c r="P3456" s="5"/>
      <c r="Q3456" s="5" t="s">
        <v>3548</v>
      </c>
    </row>
    <row r="3457" spans="2:17" x14ac:dyDescent="0.2">
      <c r="B3457" s="5" t="s">
        <v>3543</v>
      </c>
      <c r="C3457" s="6" t="s">
        <v>13587</v>
      </c>
      <c r="D3457" s="4">
        <v>1095</v>
      </c>
      <c r="E3457" s="5" t="s">
        <v>32</v>
      </c>
      <c r="F3457" s="5" t="s">
        <v>326</v>
      </c>
      <c r="G3457" s="6" t="s">
        <v>14</v>
      </c>
      <c r="H3457" s="4">
        <v>541</v>
      </c>
      <c r="I3457" s="5" t="s">
        <v>38</v>
      </c>
      <c r="J3457" s="5" t="s">
        <v>3558</v>
      </c>
      <c r="K3457" s="5" t="s">
        <v>3553</v>
      </c>
      <c r="L3457" s="5" t="s">
        <v>3559</v>
      </c>
      <c r="M3457" s="5" t="s">
        <v>1384</v>
      </c>
      <c r="N3457" s="5" t="s">
        <v>331</v>
      </c>
      <c r="O3457" s="5" t="s">
        <v>3551</v>
      </c>
      <c r="P3457" s="5"/>
      <c r="Q3457" s="5" t="s">
        <v>3548</v>
      </c>
    </row>
    <row r="3458" spans="2:17" x14ac:dyDescent="0.2">
      <c r="B3458" s="5" t="s">
        <v>3543</v>
      </c>
      <c r="C3458" s="6" t="s">
        <v>13587</v>
      </c>
      <c r="D3458" s="4">
        <v>1096</v>
      </c>
      <c r="E3458" s="5" t="s">
        <v>32</v>
      </c>
      <c r="F3458" s="5" t="s">
        <v>326</v>
      </c>
      <c r="G3458" s="6" t="s">
        <v>14</v>
      </c>
      <c r="H3458" s="4">
        <v>542</v>
      </c>
      <c r="I3458" s="5" t="s">
        <v>38</v>
      </c>
      <c r="J3458" s="5" t="s">
        <v>3560</v>
      </c>
      <c r="K3458" s="5" t="s">
        <v>3553</v>
      </c>
      <c r="L3458" s="5" t="s">
        <v>3561</v>
      </c>
      <c r="M3458" s="5" t="s">
        <v>1384</v>
      </c>
      <c r="N3458" s="5" t="s">
        <v>331</v>
      </c>
      <c r="O3458" s="5" t="s">
        <v>3551</v>
      </c>
      <c r="P3458" s="5"/>
      <c r="Q3458" s="5" t="s">
        <v>3548</v>
      </c>
    </row>
    <row r="3459" spans="2:17" x14ac:dyDescent="0.2">
      <c r="B3459" s="5" t="s">
        <v>3543</v>
      </c>
      <c r="C3459" s="6" t="s">
        <v>13587</v>
      </c>
      <c r="D3459" s="4">
        <v>1097</v>
      </c>
      <c r="E3459" s="5" t="s">
        <v>32</v>
      </c>
      <c r="F3459" s="5" t="s">
        <v>326</v>
      </c>
      <c r="G3459" s="6" t="s">
        <v>14</v>
      </c>
      <c r="H3459" s="4">
        <v>543</v>
      </c>
      <c r="I3459" s="5" t="s">
        <v>38</v>
      </c>
      <c r="J3459" s="5" t="s">
        <v>3562</v>
      </c>
      <c r="K3459" s="5" t="s">
        <v>3563</v>
      </c>
      <c r="L3459" s="5"/>
      <c r="M3459" s="5" t="s">
        <v>1384</v>
      </c>
      <c r="N3459" s="5" t="s">
        <v>331</v>
      </c>
      <c r="O3459" s="5" t="s">
        <v>3551</v>
      </c>
      <c r="P3459" s="5"/>
      <c r="Q3459" s="5" t="s">
        <v>3548</v>
      </c>
    </row>
    <row r="3460" spans="2:17" x14ac:dyDescent="0.2">
      <c r="B3460" s="5" t="s">
        <v>3543</v>
      </c>
      <c r="C3460" s="6" t="s">
        <v>13587</v>
      </c>
      <c r="D3460" s="4">
        <v>1098</v>
      </c>
      <c r="E3460" s="5" t="s">
        <v>32</v>
      </c>
      <c r="F3460" s="5" t="s">
        <v>326</v>
      </c>
      <c r="G3460" s="6" t="s">
        <v>14</v>
      </c>
      <c r="H3460" s="4">
        <v>544</v>
      </c>
      <c r="I3460" s="5" t="s">
        <v>38</v>
      </c>
      <c r="J3460" s="5" t="s">
        <v>3564</v>
      </c>
      <c r="K3460" s="5" t="s">
        <v>3565</v>
      </c>
      <c r="L3460" s="5"/>
      <c r="M3460" s="5" t="s">
        <v>1384</v>
      </c>
      <c r="N3460" s="5" t="s">
        <v>331</v>
      </c>
      <c r="O3460" s="5" t="s">
        <v>3566</v>
      </c>
      <c r="P3460" s="5"/>
      <c r="Q3460" s="5" t="s">
        <v>3548</v>
      </c>
    </row>
    <row r="3461" spans="2:17" x14ac:dyDescent="0.2">
      <c r="B3461" s="5" t="s">
        <v>3543</v>
      </c>
      <c r="C3461" s="6" t="s">
        <v>13587</v>
      </c>
      <c r="D3461" s="4">
        <v>1099</v>
      </c>
      <c r="E3461" s="5" t="s">
        <v>32</v>
      </c>
      <c r="F3461" s="5" t="s">
        <v>3782</v>
      </c>
      <c r="G3461" s="6" t="s">
        <v>14</v>
      </c>
      <c r="H3461" s="4">
        <v>545</v>
      </c>
      <c r="I3461" s="5" t="s">
        <v>22</v>
      </c>
      <c r="J3461" s="5" t="s">
        <v>3783</v>
      </c>
      <c r="K3461" s="5"/>
      <c r="L3461" s="5"/>
      <c r="M3461" s="5" t="s">
        <v>3784</v>
      </c>
      <c r="N3461" s="5" t="s">
        <v>3541</v>
      </c>
      <c r="O3461" s="5" t="s">
        <v>3598</v>
      </c>
      <c r="P3461" s="5"/>
      <c r="Q3461" s="5" t="s">
        <v>3548</v>
      </c>
    </row>
    <row r="3462" spans="2:17" x14ac:dyDescent="0.2">
      <c r="B3462" s="5" t="s">
        <v>3543</v>
      </c>
      <c r="C3462" s="6" t="s">
        <v>13587</v>
      </c>
      <c r="D3462" s="4">
        <v>1104</v>
      </c>
      <c r="E3462" s="5" t="s">
        <v>32</v>
      </c>
      <c r="F3462" s="5" t="s">
        <v>89</v>
      </c>
      <c r="G3462" s="6" t="s">
        <v>14</v>
      </c>
      <c r="H3462" s="4">
        <v>546</v>
      </c>
      <c r="I3462" s="5" t="s">
        <v>38</v>
      </c>
      <c r="J3462" s="5" t="s">
        <v>3781</v>
      </c>
      <c r="K3462" s="5" t="s">
        <v>3553</v>
      </c>
      <c r="L3462" s="5"/>
      <c r="M3462" s="5" t="s">
        <v>1142</v>
      </c>
      <c r="N3462" s="5" t="s">
        <v>1142</v>
      </c>
      <c r="O3462" s="5" t="s">
        <v>3551</v>
      </c>
      <c r="P3462" s="5"/>
      <c r="Q3462" s="5" t="s">
        <v>3548</v>
      </c>
    </row>
    <row r="3463" spans="2:17" x14ac:dyDescent="0.2">
      <c r="B3463" s="5" t="s">
        <v>544</v>
      </c>
      <c r="C3463" s="6" t="s">
        <v>13587</v>
      </c>
      <c r="D3463" s="4">
        <v>110</v>
      </c>
      <c r="E3463" s="5" t="s">
        <v>32</v>
      </c>
      <c r="F3463" s="5" t="s">
        <v>564</v>
      </c>
      <c r="G3463" s="6" t="s">
        <v>36</v>
      </c>
      <c r="H3463" s="4"/>
      <c r="I3463" s="5" t="s">
        <v>22</v>
      </c>
      <c r="J3463" s="5" t="s">
        <v>1112</v>
      </c>
      <c r="K3463" s="5" t="s">
        <v>635</v>
      </c>
      <c r="L3463" s="5"/>
      <c r="M3463" s="5" t="s">
        <v>1113</v>
      </c>
      <c r="N3463" s="5" t="s">
        <v>1113</v>
      </c>
      <c r="O3463" s="5" t="s">
        <v>549</v>
      </c>
      <c r="P3463" s="5"/>
      <c r="Q3463" s="5" t="s">
        <v>1114</v>
      </c>
    </row>
    <row r="3464" spans="2:17" x14ac:dyDescent="0.2">
      <c r="B3464" s="5" t="s">
        <v>544</v>
      </c>
      <c r="C3464" s="6" t="s">
        <v>13587</v>
      </c>
      <c r="D3464" s="4">
        <v>192</v>
      </c>
      <c r="E3464" s="5" t="s">
        <v>82</v>
      </c>
      <c r="F3464" s="5" t="s">
        <v>794</v>
      </c>
      <c r="G3464" s="6" t="s">
        <v>36</v>
      </c>
      <c r="H3464" s="4"/>
      <c r="I3464" s="5"/>
      <c r="J3464" s="5" t="s">
        <v>795</v>
      </c>
      <c r="K3464" s="5" t="s">
        <v>796</v>
      </c>
      <c r="L3464" s="5"/>
      <c r="M3464" s="5" t="s">
        <v>341</v>
      </c>
      <c r="N3464" s="5" t="s">
        <v>341</v>
      </c>
      <c r="O3464" s="5" t="s">
        <v>657</v>
      </c>
      <c r="P3464" s="5"/>
      <c r="Q3464" s="5" t="s">
        <v>797</v>
      </c>
    </row>
    <row r="3465" spans="2:17" x14ac:dyDescent="0.2">
      <c r="B3465" s="5" t="s">
        <v>1164</v>
      </c>
      <c r="C3465" s="6" t="s">
        <v>13587</v>
      </c>
      <c r="D3465" s="4">
        <v>317</v>
      </c>
      <c r="E3465" s="5" t="s">
        <v>15</v>
      </c>
      <c r="F3465" s="5" t="s">
        <v>1640</v>
      </c>
      <c r="G3465" s="6" t="s">
        <v>36</v>
      </c>
      <c r="H3465" s="4"/>
      <c r="I3465" s="5"/>
      <c r="J3465" s="5" t="s">
        <v>1641</v>
      </c>
      <c r="K3465" s="5" t="s">
        <v>1188</v>
      </c>
      <c r="L3465" s="5"/>
      <c r="M3465" s="5" t="s">
        <v>1043</v>
      </c>
      <c r="N3465" s="5" t="s">
        <v>1642</v>
      </c>
      <c r="O3465" s="5" t="s">
        <v>1167</v>
      </c>
      <c r="P3465" s="5"/>
      <c r="Q3465" s="5" t="s">
        <v>1643</v>
      </c>
    </row>
    <row r="3466" spans="2:17" x14ac:dyDescent="0.2">
      <c r="B3466" s="5" t="s">
        <v>1164</v>
      </c>
      <c r="C3466" s="6" t="s">
        <v>13587</v>
      </c>
      <c r="D3466" s="4">
        <v>331</v>
      </c>
      <c r="E3466" s="5" t="s">
        <v>20</v>
      </c>
      <c r="F3466" s="5" t="s">
        <v>1590</v>
      </c>
      <c r="G3466" s="6" t="s">
        <v>36</v>
      </c>
      <c r="H3466" s="4"/>
      <c r="I3466" s="5" t="s">
        <v>22</v>
      </c>
      <c r="J3466" s="5" t="s">
        <v>1591</v>
      </c>
      <c r="K3466" s="5" t="s">
        <v>1194</v>
      </c>
      <c r="L3466" s="5"/>
      <c r="M3466" s="5" t="s">
        <v>1592</v>
      </c>
      <c r="N3466" s="5" t="s">
        <v>170</v>
      </c>
      <c r="O3466" s="5" t="s">
        <v>1170</v>
      </c>
      <c r="P3466" s="5"/>
      <c r="Q3466" s="5" t="s">
        <v>1593</v>
      </c>
    </row>
    <row r="3467" spans="2:17" x14ac:dyDescent="0.2">
      <c r="B3467" s="5" t="s">
        <v>1164</v>
      </c>
      <c r="C3467" s="6" t="s">
        <v>13587</v>
      </c>
      <c r="D3467" s="4">
        <v>360</v>
      </c>
      <c r="E3467" s="5" t="s">
        <v>82</v>
      </c>
      <c r="F3467" s="5" t="s">
        <v>1439</v>
      </c>
      <c r="G3467" s="6" t="s">
        <v>36</v>
      </c>
      <c r="H3467" s="4"/>
      <c r="I3467" s="5"/>
      <c r="J3467" s="5" t="s">
        <v>1440</v>
      </c>
      <c r="K3467" s="5" t="s">
        <v>1441</v>
      </c>
      <c r="L3467" s="5"/>
      <c r="M3467" s="5" t="s">
        <v>1436</v>
      </c>
      <c r="N3467" s="5" t="s">
        <v>1442</v>
      </c>
      <c r="O3467" s="5" t="s">
        <v>1166</v>
      </c>
      <c r="P3467" s="5"/>
      <c r="Q3467" s="5" t="s">
        <v>1443</v>
      </c>
    </row>
    <row r="3468" spans="2:17" x14ac:dyDescent="0.2">
      <c r="B3468" s="5" t="s">
        <v>2535</v>
      </c>
      <c r="C3468" s="6" t="s">
        <v>13587</v>
      </c>
      <c r="D3468" s="4">
        <v>721</v>
      </c>
      <c r="E3468" s="5" t="s">
        <v>20</v>
      </c>
      <c r="F3468" s="5" t="s">
        <v>2704</v>
      </c>
      <c r="G3468" s="6" t="s">
        <v>36</v>
      </c>
      <c r="H3468" s="4"/>
      <c r="I3468" s="5" t="s">
        <v>22</v>
      </c>
      <c r="J3468" s="5" t="s">
        <v>2705</v>
      </c>
      <c r="K3468" s="5" t="s">
        <v>2543</v>
      </c>
      <c r="L3468" s="5"/>
      <c r="M3468" s="5" t="s">
        <v>432</v>
      </c>
      <c r="N3468" s="5" t="s">
        <v>1544</v>
      </c>
      <c r="O3468" s="5" t="s">
        <v>2536</v>
      </c>
      <c r="P3468" s="5"/>
      <c r="Q3468" s="5" t="s">
        <v>2706</v>
      </c>
    </row>
    <row r="3469" spans="2:17" x14ac:dyDescent="0.2">
      <c r="B3469" s="5" t="s">
        <v>2535</v>
      </c>
      <c r="C3469" s="6" t="s">
        <v>13587</v>
      </c>
      <c r="D3469" s="4">
        <v>722</v>
      </c>
      <c r="E3469" s="5" t="s">
        <v>35</v>
      </c>
      <c r="F3469" s="5" t="s">
        <v>2702</v>
      </c>
      <c r="G3469" s="6" t="s">
        <v>36</v>
      </c>
      <c r="H3469" s="4"/>
      <c r="I3469" s="5"/>
      <c r="J3469" s="5" t="s">
        <v>2703</v>
      </c>
      <c r="K3469" s="5" t="s">
        <v>2543</v>
      </c>
      <c r="L3469" s="5"/>
      <c r="M3469" s="5" t="s">
        <v>428</v>
      </c>
      <c r="N3469" s="5" t="s">
        <v>428</v>
      </c>
      <c r="O3469" s="5" t="s">
        <v>2536</v>
      </c>
      <c r="P3469" s="5"/>
      <c r="Q3469" s="5" t="s">
        <v>2656</v>
      </c>
    </row>
    <row r="3470" spans="2:17" x14ac:dyDescent="0.2">
      <c r="B3470" s="5" t="s">
        <v>2758</v>
      </c>
      <c r="C3470" s="6" t="s">
        <v>13587</v>
      </c>
      <c r="D3470" s="4">
        <v>921</v>
      </c>
      <c r="E3470" s="5" t="s">
        <v>13</v>
      </c>
      <c r="F3470" s="5" t="s">
        <v>2964</v>
      </c>
      <c r="G3470" s="6" t="s">
        <v>36</v>
      </c>
      <c r="H3470" s="4"/>
      <c r="I3470" s="5"/>
      <c r="J3470" s="5" t="s">
        <v>2965</v>
      </c>
      <c r="K3470" s="5" t="s">
        <v>2966</v>
      </c>
      <c r="L3470" s="5"/>
      <c r="M3470" s="5" t="s">
        <v>1957</v>
      </c>
      <c r="N3470" s="5" t="s">
        <v>1957</v>
      </c>
      <c r="O3470" s="5" t="s">
        <v>2765</v>
      </c>
      <c r="P3470" s="5"/>
      <c r="Q3470" s="5" t="s">
        <v>2967</v>
      </c>
    </row>
    <row r="3471" spans="2:17" x14ac:dyDescent="0.2">
      <c r="B3471" s="5" t="s">
        <v>3543</v>
      </c>
      <c r="C3471" s="6" t="s">
        <v>13587</v>
      </c>
      <c r="D3471" s="4">
        <v>1015</v>
      </c>
      <c r="E3471" s="5" t="s">
        <v>20</v>
      </c>
      <c r="F3471" s="5" t="s">
        <v>3771</v>
      </c>
      <c r="G3471" s="6" t="s">
        <v>36</v>
      </c>
      <c r="H3471" s="4"/>
      <c r="I3471" s="5" t="s">
        <v>22</v>
      </c>
      <c r="J3471" s="5" t="s">
        <v>3772</v>
      </c>
      <c r="K3471" s="5" t="s">
        <v>3658</v>
      </c>
      <c r="L3471" s="5"/>
      <c r="M3471" s="5" t="s">
        <v>3773</v>
      </c>
      <c r="N3471" s="5" t="s">
        <v>1899</v>
      </c>
      <c r="O3471" s="5" t="s">
        <v>3659</v>
      </c>
      <c r="P3471" s="5"/>
      <c r="Q3471" s="5" t="s">
        <v>3548</v>
      </c>
    </row>
    <row r="3472" spans="2:17" x14ac:dyDescent="0.2">
      <c r="B3472" s="5" t="s">
        <v>92</v>
      </c>
      <c r="C3472" s="6" t="s">
        <v>13587</v>
      </c>
      <c r="D3472" s="4">
        <v>12</v>
      </c>
      <c r="E3472" s="5" t="s">
        <v>20</v>
      </c>
      <c r="F3472" s="5" t="s">
        <v>182</v>
      </c>
      <c r="G3472" s="6" t="s">
        <v>47</v>
      </c>
      <c r="H3472" s="4"/>
      <c r="I3472" s="5" t="s">
        <v>22</v>
      </c>
      <c r="J3472" s="5" t="s">
        <v>183</v>
      </c>
      <c r="K3472" s="5" t="s">
        <v>184</v>
      </c>
      <c r="L3472" s="5"/>
      <c r="M3472" s="5" t="s">
        <v>185</v>
      </c>
      <c r="N3472" s="5" t="s">
        <v>179</v>
      </c>
      <c r="O3472" s="5" t="s">
        <v>180</v>
      </c>
      <c r="P3472" s="5"/>
      <c r="Q3472" s="5" t="s">
        <v>186</v>
      </c>
    </row>
    <row r="3473" spans="2:17" x14ac:dyDescent="0.2">
      <c r="B3473" s="5" t="s">
        <v>92</v>
      </c>
      <c r="C3473" s="6" t="s">
        <v>13587</v>
      </c>
      <c r="D3473" s="4">
        <v>13</v>
      </c>
      <c r="E3473" s="5" t="s">
        <v>20</v>
      </c>
      <c r="F3473" s="5" t="s">
        <v>182</v>
      </c>
      <c r="G3473" s="6" t="s">
        <v>47</v>
      </c>
      <c r="H3473" s="4"/>
      <c r="I3473" s="5" t="s">
        <v>22</v>
      </c>
      <c r="J3473" s="5" t="s">
        <v>187</v>
      </c>
      <c r="K3473" s="5" t="s">
        <v>184</v>
      </c>
      <c r="L3473" s="5" t="s">
        <v>188</v>
      </c>
      <c r="M3473" s="5" t="s">
        <v>185</v>
      </c>
      <c r="N3473" s="5" t="s">
        <v>179</v>
      </c>
      <c r="O3473" s="5" t="s">
        <v>180</v>
      </c>
      <c r="P3473" s="5"/>
      <c r="Q3473" s="5" t="s">
        <v>189</v>
      </c>
    </row>
    <row r="3474" spans="2:17" x14ac:dyDescent="0.2">
      <c r="B3474" s="5" t="s">
        <v>92</v>
      </c>
      <c r="C3474" s="6" t="s">
        <v>13587</v>
      </c>
      <c r="D3474" s="4">
        <v>15</v>
      </c>
      <c r="E3474" s="5" t="s">
        <v>35</v>
      </c>
      <c r="F3474" s="5" t="s">
        <v>155</v>
      </c>
      <c r="G3474" s="6" t="s">
        <v>47</v>
      </c>
      <c r="H3474" s="4"/>
      <c r="I3474" s="5"/>
      <c r="J3474" s="5" t="s">
        <v>156</v>
      </c>
      <c r="K3474" s="5" t="s">
        <v>126</v>
      </c>
      <c r="L3474" s="5"/>
      <c r="M3474" s="5" t="s">
        <v>157</v>
      </c>
      <c r="N3474" s="5" t="s">
        <v>157</v>
      </c>
      <c r="O3474" s="5" t="s">
        <v>107</v>
      </c>
      <c r="P3474" s="5" t="s">
        <v>158</v>
      </c>
      <c r="Q3474" s="5" t="s">
        <v>159</v>
      </c>
    </row>
    <row r="3475" spans="2:17" x14ac:dyDescent="0.2">
      <c r="B3475" s="5" t="s">
        <v>544</v>
      </c>
      <c r="C3475" s="6" t="s">
        <v>13587</v>
      </c>
      <c r="D3475" s="4">
        <v>231</v>
      </c>
      <c r="E3475" s="5" t="s">
        <v>13</v>
      </c>
      <c r="F3475" s="5" t="s">
        <v>748</v>
      </c>
      <c r="G3475" s="6" t="s">
        <v>47</v>
      </c>
      <c r="H3475" s="4"/>
      <c r="I3475" s="5"/>
      <c r="J3475" s="5" t="s">
        <v>749</v>
      </c>
      <c r="K3475" s="5" t="s">
        <v>679</v>
      </c>
      <c r="L3475" s="5"/>
      <c r="M3475" s="5" t="s">
        <v>336</v>
      </c>
      <c r="N3475" s="5" t="s">
        <v>337</v>
      </c>
      <c r="O3475" s="5" t="s">
        <v>574</v>
      </c>
      <c r="P3475" s="5"/>
      <c r="Q3475" s="5" t="s">
        <v>750</v>
      </c>
    </row>
    <row r="3476" spans="2:17" x14ac:dyDescent="0.2">
      <c r="B3476" s="5" t="s">
        <v>544</v>
      </c>
      <c r="C3476" s="6" t="s">
        <v>13587</v>
      </c>
      <c r="D3476" s="4">
        <v>232</v>
      </c>
      <c r="E3476" s="5" t="s">
        <v>35</v>
      </c>
      <c r="F3476" s="5" t="s">
        <v>772</v>
      </c>
      <c r="G3476" s="6" t="s">
        <v>47</v>
      </c>
      <c r="H3476" s="4"/>
      <c r="I3476" s="5"/>
      <c r="J3476" s="5" t="s">
        <v>773</v>
      </c>
      <c r="K3476" s="5" t="s">
        <v>679</v>
      </c>
      <c r="L3476" s="5"/>
      <c r="M3476" s="5" t="s">
        <v>336</v>
      </c>
      <c r="N3476" s="5" t="s">
        <v>337</v>
      </c>
      <c r="O3476" s="5" t="s">
        <v>657</v>
      </c>
      <c r="P3476" s="5"/>
      <c r="Q3476" s="5" t="s">
        <v>774</v>
      </c>
    </row>
    <row r="3477" spans="2:17" x14ac:dyDescent="0.2">
      <c r="B3477" s="5" t="s">
        <v>1164</v>
      </c>
      <c r="C3477" s="6" t="s">
        <v>13587</v>
      </c>
      <c r="D3477" s="4">
        <v>325</v>
      </c>
      <c r="E3477" s="5" t="s">
        <v>24</v>
      </c>
      <c r="F3477" s="5" t="s">
        <v>1607</v>
      </c>
      <c r="G3477" s="6" t="s">
        <v>47</v>
      </c>
      <c r="H3477" s="4"/>
      <c r="I3477" s="5"/>
      <c r="J3477" s="5" t="s">
        <v>1608</v>
      </c>
      <c r="K3477" s="5" t="s">
        <v>1347</v>
      </c>
      <c r="L3477" s="5"/>
      <c r="M3477" s="5" t="s">
        <v>185</v>
      </c>
      <c r="N3477" s="5" t="s">
        <v>179</v>
      </c>
      <c r="O3477" s="5" t="s">
        <v>1167</v>
      </c>
      <c r="P3477" s="5"/>
      <c r="Q3477" s="5" t="s">
        <v>1609</v>
      </c>
    </row>
    <row r="3478" spans="2:17" x14ac:dyDescent="0.2">
      <c r="B3478" s="5" t="s">
        <v>1164</v>
      </c>
      <c r="C3478" s="6" t="s">
        <v>13587</v>
      </c>
      <c r="D3478" s="4">
        <v>326</v>
      </c>
      <c r="E3478" s="5" t="s">
        <v>24</v>
      </c>
      <c r="F3478" s="5" t="s">
        <v>1610</v>
      </c>
      <c r="G3478" s="6" t="s">
        <v>47</v>
      </c>
      <c r="H3478" s="4"/>
      <c r="I3478" s="5"/>
      <c r="J3478" s="5" t="s">
        <v>1611</v>
      </c>
      <c r="K3478" s="5" t="s">
        <v>1174</v>
      </c>
      <c r="L3478" s="5"/>
      <c r="M3478" s="5" t="s">
        <v>185</v>
      </c>
      <c r="N3478" s="5" t="s">
        <v>179</v>
      </c>
      <c r="O3478" s="5" t="s">
        <v>1173</v>
      </c>
      <c r="P3478" s="5"/>
      <c r="Q3478" s="5" t="s">
        <v>1612</v>
      </c>
    </row>
    <row r="3479" spans="2:17" x14ac:dyDescent="0.2">
      <c r="B3479" s="5" t="s">
        <v>1164</v>
      </c>
      <c r="C3479" s="6" t="s">
        <v>13587</v>
      </c>
      <c r="D3479" s="4">
        <v>329</v>
      </c>
      <c r="E3479" s="5" t="s">
        <v>82</v>
      </c>
      <c r="F3479" s="5" t="s">
        <v>1601</v>
      </c>
      <c r="G3479" s="6" t="s">
        <v>47</v>
      </c>
      <c r="H3479" s="4"/>
      <c r="I3479" s="5"/>
      <c r="J3479" s="5" t="s">
        <v>1602</v>
      </c>
      <c r="K3479" s="5" t="s">
        <v>1585</v>
      </c>
      <c r="L3479" s="5"/>
      <c r="M3479" s="5" t="s">
        <v>938</v>
      </c>
      <c r="N3479" s="5" t="s">
        <v>174</v>
      </c>
      <c r="O3479" s="5" t="s">
        <v>1173</v>
      </c>
      <c r="P3479" s="5"/>
      <c r="Q3479" s="5" t="s">
        <v>1603</v>
      </c>
    </row>
    <row r="3480" spans="2:17" x14ac:dyDescent="0.2">
      <c r="B3480" s="5" t="s">
        <v>1708</v>
      </c>
      <c r="C3480" s="6" t="s">
        <v>13587</v>
      </c>
      <c r="D3480" s="4">
        <v>481</v>
      </c>
      <c r="E3480" s="5" t="s">
        <v>20</v>
      </c>
      <c r="F3480" s="5" t="s">
        <v>1803</v>
      </c>
      <c r="G3480" s="6" t="s">
        <v>47</v>
      </c>
      <c r="H3480" s="4"/>
      <c r="I3480" s="5" t="s">
        <v>22</v>
      </c>
      <c r="J3480" s="5" t="s">
        <v>1804</v>
      </c>
      <c r="K3480" s="5" t="s">
        <v>1721</v>
      </c>
      <c r="L3480" s="5" t="s">
        <v>1805</v>
      </c>
      <c r="M3480" s="5" t="s">
        <v>1436</v>
      </c>
      <c r="N3480" s="5" t="s">
        <v>1437</v>
      </c>
      <c r="O3480" s="5"/>
      <c r="P3480" s="5"/>
      <c r="Q3480" s="5" t="s">
        <v>1717</v>
      </c>
    </row>
    <row r="3481" spans="2:17" x14ac:dyDescent="0.2">
      <c r="B3481" s="5" t="s">
        <v>1708</v>
      </c>
      <c r="C3481" s="6" t="s">
        <v>13587</v>
      </c>
      <c r="D3481" s="4">
        <v>482</v>
      </c>
      <c r="E3481" s="5" t="s">
        <v>20</v>
      </c>
      <c r="F3481" s="5" t="s">
        <v>1803</v>
      </c>
      <c r="G3481" s="6" t="s">
        <v>47</v>
      </c>
      <c r="H3481" s="4"/>
      <c r="I3481" s="5" t="s">
        <v>22</v>
      </c>
      <c r="J3481" s="5" t="s">
        <v>1806</v>
      </c>
      <c r="K3481" s="5" t="s">
        <v>1726</v>
      </c>
      <c r="L3481" s="5" t="s">
        <v>1807</v>
      </c>
      <c r="M3481" s="5" t="s">
        <v>1436</v>
      </c>
      <c r="N3481" s="5" t="s">
        <v>1437</v>
      </c>
      <c r="O3481" s="5"/>
      <c r="P3481" s="5"/>
      <c r="Q3481" s="5" t="s">
        <v>1717</v>
      </c>
    </row>
    <row r="3482" spans="2:17" x14ac:dyDescent="0.2">
      <c r="B3482" s="5" t="s">
        <v>1708</v>
      </c>
      <c r="C3482" s="6" t="s">
        <v>13587</v>
      </c>
      <c r="D3482" s="4">
        <v>483</v>
      </c>
      <c r="E3482" s="5" t="s">
        <v>20</v>
      </c>
      <c r="F3482" s="5" t="s">
        <v>1803</v>
      </c>
      <c r="G3482" s="6" t="s">
        <v>47</v>
      </c>
      <c r="H3482" s="4"/>
      <c r="I3482" s="5" t="s">
        <v>22</v>
      </c>
      <c r="J3482" s="5" t="s">
        <v>1808</v>
      </c>
      <c r="K3482" s="5" t="s">
        <v>1749</v>
      </c>
      <c r="L3482" s="5"/>
      <c r="M3482" s="5" t="s">
        <v>1436</v>
      </c>
      <c r="N3482" s="5" t="s">
        <v>1437</v>
      </c>
      <c r="O3482" s="5" t="s">
        <v>1752</v>
      </c>
      <c r="P3482" s="5"/>
      <c r="Q3482" s="5" t="s">
        <v>1717</v>
      </c>
    </row>
    <row r="3483" spans="2:17" x14ac:dyDescent="0.2">
      <c r="B3483" s="5" t="s">
        <v>1708</v>
      </c>
      <c r="C3483" s="6" t="s">
        <v>13587</v>
      </c>
      <c r="D3483" s="4">
        <v>484</v>
      </c>
      <c r="E3483" s="5" t="s">
        <v>20</v>
      </c>
      <c r="F3483" s="5" t="s">
        <v>1809</v>
      </c>
      <c r="G3483" s="6" t="s">
        <v>47</v>
      </c>
      <c r="H3483" s="4"/>
      <c r="I3483" s="5" t="s">
        <v>22</v>
      </c>
      <c r="J3483" s="5" t="s">
        <v>1810</v>
      </c>
      <c r="K3483" s="5" t="s">
        <v>1710</v>
      </c>
      <c r="L3483" s="5" t="s">
        <v>1811</v>
      </c>
      <c r="M3483" s="5" t="s">
        <v>1812</v>
      </c>
      <c r="N3483" s="5" t="s">
        <v>1437</v>
      </c>
      <c r="O3483" s="5" t="s">
        <v>1709</v>
      </c>
      <c r="P3483" s="5"/>
      <c r="Q3483" s="5" t="s">
        <v>1717</v>
      </c>
    </row>
    <row r="3484" spans="2:17" x14ac:dyDescent="0.2">
      <c r="B3484" s="5" t="s">
        <v>1708</v>
      </c>
      <c r="C3484" s="6" t="s">
        <v>13587</v>
      </c>
      <c r="D3484" s="4">
        <v>485</v>
      </c>
      <c r="E3484" s="5" t="s">
        <v>20</v>
      </c>
      <c r="F3484" s="5" t="s">
        <v>1813</v>
      </c>
      <c r="G3484" s="6" t="s">
        <v>47</v>
      </c>
      <c r="H3484" s="4"/>
      <c r="I3484" s="5" t="s">
        <v>38</v>
      </c>
      <c r="J3484" s="5" t="s">
        <v>1814</v>
      </c>
      <c r="K3484" s="5" t="s">
        <v>1710</v>
      </c>
      <c r="L3484" s="5" t="s">
        <v>1815</v>
      </c>
      <c r="M3484" s="5" t="s">
        <v>1812</v>
      </c>
      <c r="N3484" s="5" t="s">
        <v>1437</v>
      </c>
      <c r="O3484" s="5" t="s">
        <v>1709</v>
      </c>
      <c r="P3484" s="5"/>
      <c r="Q3484" s="5" t="s">
        <v>1717</v>
      </c>
    </row>
    <row r="3485" spans="2:17" x14ac:dyDescent="0.2">
      <c r="B3485" s="5" t="s">
        <v>1708</v>
      </c>
      <c r="C3485" s="6" t="s">
        <v>13587</v>
      </c>
      <c r="D3485" s="4">
        <v>486</v>
      </c>
      <c r="E3485" s="5" t="s">
        <v>20</v>
      </c>
      <c r="F3485" s="5" t="s">
        <v>1816</v>
      </c>
      <c r="G3485" s="6" t="s">
        <v>47</v>
      </c>
      <c r="H3485" s="4"/>
      <c r="I3485" s="5" t="s">
        <v>22</v>
      </c>
      <c r="J3485" s="5" t="s">
        <v>1817</v>
      </c>
      <c r="K3485" s="5" t="s">
        <v>1749</v>
      </c>
      <c r="L3485" s="5"/>
      <c r="M3485" s="5" t="s">
        <v>1812</v>
      </c>
      <c r="N3485" s="5" t="s">
        <v>1437</v>
      </c>
      <c r="O3485" s="5" t="s">
        <v>1752</v>
      </c>
      <c r="P3485" s="5"/>
      <c r="Q3485" s="5" t="s">
        <v>1717</v>
      </c>
    </row>
    <row r="3486" spans="2:17" x14ac:dyDescent="0.2">
      <c r="B3486" s="5" t="s">
        <v>1906</v>
      </c>
      <c r="C3486" s="6" t="s">
        <v>13587</v>
      </c>
      <c r="D3486" s="4">
        <v>547</v>
      </c>
      <c r="E3486" s="5" t="s">
        <v>56</v>
      </c>
      <c r="F3486" s="5" t="s">
        <v>2157</v>
      </c>
      <c r="G3486" s="6" t="s">
        <v>47</v>
      </c>
      <c r="H3486" s="4"/>
      <c r="I3486" s="5"/>
      <c r="J3486" s="5" t="s">
        <v>2158</v>
      </c>
      <c r="K3486" s="5" t="s">
        <v>1976</v>
      </c>
      <c r="L3486" s="5"/>
      <c r="M3486" s="5" t="s">
        <v>411</v>
      </c>
      <c r="N3486" s="5" t="s">
        <v>411</v>
      </c>
      <c r="O3486" s="5" t="s">
        <v>1977</v>
      </c>
      <c r="P3486" s="5"/>
      <c r="Q3486" s="5" t="s">
        <v>2159</v>
      </c>
    </row>
    <row r="3487" spans="2:17" x14ac:dyDescent="0.2">
      <c r="B3487" s="5" t="s">
        <v>1906</v>
      </c>
      <c r="C3487" s="6" t="s">
        <v>13587</v>
      </c>
      <c r="D3487" s="4">
        <v>601</v>
      </c>
      <c r="E3487" s="5" t="s">
        <v>20</v>
      </c>
      <c r="F3487" s="5" t="s">
        <v>1925</v>
      </c>
      <c r="G3487" s="6" t="s">
        <v>47</v>
      </c>
      <c r="H3487" s="4"/>
      <c r="I3487" s="5" t="s">
        <v>38</v>
      </c>
      <c r="J3487" s="5" t="s">
        <v>1926</v>
      </c>
      <c r="K3487" s="5" t="s">
        <v>1927</v>
      </c>
      <c r="L3487" s="5"/>
      <c r="M3487" s="5" t="s">
        <v>1928</v>
      </c>
      <c r="N3487" s="5" t="s">
        <v>1929</v>
      </c>
      <c r="O3487" s="5" t="s">
        <v>1930</v>
      </c>
      <c r="P3487" s="5"/>
      <c r="Q3487" s="5" t="s">
        <v>1931</v>
      </c>
    </row>
    <row r="3488" spans="2:17" x14ac:dyDescent="0.2">
      <c r="B3488" s="5" t="s">
        <v>2292</v>
      </c>
      <c r="C3488" s="6" t="s">
        <v>13587</v>
      </c>
      <c r="D3488" s="4">
        <v>684</v>
      </c>
      <c r="E3488" s="5" t="s">
        <v>82</v>
      </c>
      <c r="F3488" s="5" t="s">
        <v>2386</v>
      </c>
      <c r="G3488" s="6" t="s">
        <v>47</v>
      </c>
      <c r="H3488" s="4"/>
      <c r="I3488" s="5"/>
      <c r="J3488" s="5"/>
      <c r="K3488" s="5" t="s">
        <v>2359</v>
      </c>
      <c r="L3488" s="5"/>
      <c r="M3488" s="5" t="s">
        <v>122</v>
      </c>
      <c r="N3488" s="5" t="s">
        <v>366</v>
      </c>
      <c r="O3488" s="5" t="s">
        <v>2294</v>
      </c>
      <c r="P3488" s="5"/>
      <c r="Q3488" s="5" t="s">
        <v>2387</v>
      </c>
    </row>
    <row r="3489" spans="2:17" x14ac:dyDescent="0.2">
      <c r="B3489" s="5" t="s">
        <v>2432</v>
      </c>
      <c r="C3489" s="6" t="s">
        <v>13587</v>
      </c>
      <c r="D3489" s="4">
        <v>711</v>
      </c>
      <c r="E3489" s="5" t="s">
        <v>20</v>
      </c>
      <c r="F3489" s="5" t="s">
        <v>2438</v>
      </c>
      <c r="G3489" s="6" t="s">
        <v>47</v>
      </c>
      <c r="H3489" s="4"/>
      <c r="I3489" s="5" t="s">
        <v>22</v>
      </c>
      <c r="J3489" s="5" t="s">
        <v>2439</v>
      </c>
      <c r="K3489" s="5" t="s">
        <v>2440</v>
      </c>
      <c r="L3489" s="5"/>
      <c r="M3489" s="5" t="s">
        <v>1262</v>
      </c>
      <c r="N3489" s="5" t="s">
        <v>1263</v>
      </c>
      <c r="O3489" s="5" t="s">
        <v>2441</v>
      </c>
      <c r="P3489" s="5"/>
      <c r="Q3489" s="5" t="s">
        <v>2442</v>
      </c>
    </row>
    <row r="3490" spans="2:17" x14ac:dyDescent="0.2">
      <c r="B3490" s="5" t="s">
        <v>2758</v>
      </c>
      <c r="C3490" s="6" t="s">
        <v>13587</v>
      </c>
      <c r="D3490" s="4">
        <v>787</v>
      </c>
      <c r="E3490" s="5" t="s">
        <v>13</v>
      </c>
      <c r="F3490" s="5" t="s">
        <v>3468</v>
      </c>
      <c r="G3490" s="6" t="s">
        <v>47</v>
      </c>
      <c r="H3490" s="4"/>
      <c r="I3490" s="5"/>
      <c r="J3490" s="5"/>
      <c r="K3490" s="5" t="s">
        <v>2790</v>
      </c>
      <c r="L3490" s="5"/>
      <c r="M3490" s="5" t="s">
        <v>230</v>
      </c>
      <c r="N3490" s="5" t="s">
        <v>230</v>
      </c>
      <c r="O3490" s="5" t="s">
        <v>2762</v>
      </c>
      <c r="P3490" s="5"/>
      <c r="Q3490" s="5" t="s">
        <v>3469</v>
      </c>
    </row>
    <row r="3491" spans="2:17" x14ac:dyDescent="0.2">
      <c r="B3491" s="5" t="s">
        <v>2758</v>
      </c>
      <c r="C3491" s="6" t="s">
        <v>13587</v>
      </c>
      <c r="D3491" s="4">
        <v>826</v>
      </c>
      <c r="E3491" s="5" t="s">
        <v>20</v>
      </c>
      <c r="F3491" s="5" t="s">
        <v>3256</v>
      </c>
      <c r="G3491" s="6" t="s">
        <v>47</v>
      </c>
      <c r="H3491" s="4"/>
      <c r="I3491" s="5" t="s">
        <v>22</v>
      </c>
      <c r="J3491" s="5" t="s">
        <v>3277</v>
      </c>
      <c r="K3491" s="5" t="s">
        <v>2781</v>
      </c>
      <c r="L3491" s="5"/>
      <c r="M3491" s="5" t="s">
        <v>185</v>
      </c>
      <c r="N3491" s="5" t="s">
        <v>185</v>
      </c>
      <c r="O3491" s="5" t="s">
        <v>2762</v>
      </c>
      <c r="P3491" s="5"/>
      <c r="Q3491" s="5" t="s">
        <v>3278</v>
      </c>
    </row>
    <row r="3492" spans="2:17" x14ac:dyDescent="0.2">
      <c r="B3492" s="5" t="s">
        <v>2758</v>
      </c>
      <c r="C3492" s="6" t="s">
        <v>13587</v>
      </c>
      <c r="D3492" s="4">
        <v>827</v>
      </c>
      <c r="E3492" s="5" t="s">
        <v>20</v>
      </c>
      <c r="F3492" s="5" t="s">
        <v>3256</v>
      </c>
      <c r="G3492" s="6" t="s">
        <v>47</v>
      </c>
      <c r="H3492" s="4"/>
      <c r="I3492" s="5" t="s">
        <v>22</v>
      </c>
      <c r="J3492" s="5" t="s">
        <v>3279</v>
      </c>
      <c r="K3492" s="5" t="s">
        <v>2781</v>
      </c>
      <c r="L3492" s="5"/>
      <c r="M3492" s="5" t="s">
        <v>185</v>
      </c>
      <c r="N3492" s="5" t="s">
        <v>185</v>
      </c>
      <c r="O3492" s="5" t="s">
        <v>2762</v>
      </c>
      <c r="P3492" s="5"/>
      <c r="Q3492" s="5" t="s">
        <v>3280</v>
      </c>
    </row>
    <row r="3493" spans="2:17" x14ac:dyDescent="0.2">
      <c r="B3493" s="5" t="s">
        <v>2758</v>
      </c>
      <c r="C3493" s="6" t="s">
        <v>13587</v>
      </c>
      <c r="D3493" s="4">
        <v>828</v>
      </c>
      <c r="E3493" s="5" t="s">
        <v>20</v>
      </c>
      <c r="F3493" s="5" t="s">
        <v>3256</v>
      </c>
      <c r="G3493" s="6" t="s">
        <v>47</v>
      </c>
      <c r="H3493" s="4"/>
      <c r="I3493" s="5" t="s">
        <v>22</v>
      </c>
      <c r="J3493" s="5" t="s">
        <v>3281</v>
      </c>
      <c r="K3493" s="5" t="s">
        <v>2772</v>
      </c>
      <c r="L3493" s="5"/>
      <c r="M3493" s="5" t="s">
        <v>185</v>
      </c>
      <c r="N3493" s="5" t="s">
        <v>185</v>
      </c>
      <c r="O3493" s="5" t="s">
        <v>2762</v>
      </c>
      <c r="P3493" s="5"/>
      <c r="Q3493" s="5" t="s">
        <v>3282</v>
      </c>
    </row>
    <row r="3494" spans="2:17" x14ac:dyDescent="0.2">
      <c r="B3494" s="5" t="s">
        <v>2758</v>
      </c>
      <c r="C3494" s="6" t="s">
        <v>13587</v>
      </c>
      <c r="D3494" s="4">
        <v>829</v>
      </c>
      <c r="E3494" s="5" t="s">
        <v>20</v>
      </c>
      <c r="F3494" s="5" t="s">
        <v>3256</v>
      </c>
      <c r="G3494" s="6" t="s">
        <v>47</v>
      </c>
      <c r="H3494" s="4"/>
      <c r="I3494" s="5" t="s">
        <v>22</v>
      </c>
      <c r="J3494" s="5" t="s">
        <v>3283</v>
      </c>
      <c r="K3494" s="5" t="s">
        <v>2772</v>
      </c>
      <c r="L3494" s="5"/>
      <c r="M3494" s="5" t="s">
        <v>185</v>
      </c>
      <c r="N3494" s="5" t="s">
        <v>185</v>
      </c>
      <c r="O3494" s="5" t="s">
        <v>2762</v>
      </c>
      <c r="P3494" s="5"/>
      <c r="Q3494" s="5" t="s">
        <v>3284</v>
      </c>
    </row>
    <row r="3495" spans="2:17" x14ac:dyDescent="0.2">
      <c r="B3495" s="5" t="s">
        <v>2758</v>
      </c>
      <c r="C3495" s="6" t="s">
        <v>13587</v>
      </c>
      <c r="D3495" s="4">
        <v>830</v>
      </c>
      <c r="E3495" s="5" t="s">
        <v>20</v>
      </c>
      <c r="F3495" s="5" t="s">
        <v>3256</v>
      </c>
      <c r="G3495" s="6" t="s">
        <v>47</v>
      </c>
      <c r="H3495" s="4"/>
      <c r="I3495" s="5" t="s">
        <v>22</v>
      </c>
      <c r="J3495" s="5" t="s">
        <v>3285</v>
      </c>
      <c r="K3495" s="5" t="s">
        <v>2803</v>
      </c>
      <c r="L3495" s="5"/>
      <c r="M3495" s="5" t="s">
        <v>185</v>
      </c>
      <c r="N3495" s="5" t="s">
        <v>185</v>
      </c>
      <c r="O3495" s="5" t="s">
        <v>2762</v>
      </c>
      <c r="P3495" s="5"/>
      <c r="Q3495" s="5" t="s">
        <v>3286</v>
      </c>
    </row>
    <row r="3496" spans="2:17" x14ac:dyDescent="0.2">
      <c r="B3496" s="5" t="s">
        <v>2758</v>
      </c>
      <c r="C3496" s="6" t="s">
        <v>13587</v>
      </c>
      <c r="D3496" s="4">
        <v>831</v>
      </c>
      <c r="E3496" s="5" t="s">
        <v>20</v>
      </c>
      <c r="F3496" s="5" t="s">
        <v>3256</v>
      </c>
      <c r="G3496" s="6" t="s">
        <v>47</v>
      </c>
      <c r="H3496" s="4"/>
      <c r="I3496" s="5" t="s">
        <v>22</v>
      </c>
      <c r="J3496" s="5" t="s">
        <v>3287</v>
      </c>
      <c r="K3496" s="5" t="s">
        <v>2803</v>
      </c>
      <c r="L3496" s="5"/>
      <c r="M3496" s="5" t="s">
        <v>185</v>
      </c>
      <c r="N3496" s="5" t="s">
        <v>185</v>
      </c>
      <c r="O3496" s="5" t="s">
        <v>2762</v>
      </c>
      <c r="P3496" s="5"/>
      <c r="Q3496" s="5" t="s">
        <v>3288</v>
      </c>
    </row>
    <row r="3497" spans="2:17" x14ac:dyDescent="0.2">
      <c r="B3497" s="5" t="s">
        <v>2758</v>
      </c>
      <c r="C3497" s="6" t="s">
        <v>13587</v>
      </c>
      <c r="D3497" s="4">
        <v>832</v>
      </c>
      <c r="E3497" s="5" t="s">
        <v>20</v>
      </c>
      <c r="F3497" s="5" t="s">
        <v>3256</v>
      </c>
      <c r="G3497" s="6" t="s">
        <v>47</v>
      </c>
      <c r="H3497" s="4"/>
      <c r="I3497" s="5" t="s">
        <v>22</v>
      </c>
      <c r="J3497" s="5" t="s">
        <v>3270</v>
      </c>
      <c r="K3497" s="5" t="s">
        <v>2766</v>
      </c>
      <c r="L3497" s="5"/>
      <c r="M3497" s="5" t="s">
        <v>3271</v>
      </c>
      <c r="N3497" s="5" t="s">
        <v>3271</v>
      </c>
      <c r="O3497" s="5" t="s">
        <v>2762</v>
      </c>
      <c r="P3497" s="5"/>
      <c r="Q3497" s="5" t="s">
        <v>3269</v>
      </c>
    </row>
    <row r="3498" spans="2:17" x14ac:dyDescent="0.2">
      <c r="B3498" s="5" t="s">
        <v>2758</v>
      </c>
      <c r="C3498" s="6" t="s">
        <v>13587</v>
      </c>
      <c r="D3498" s="4">
        <v>833</v>
      </c>
      <c r="E3498" s="5" t="s">
        <v>20</v>
      </c>
      <c r="F3498" s="5" t="s">
        <v>3256</v>
      </c>
      <c r="G3498" s="6" t="s">
        <v>47</v>
      </c>
      <c r="H3498" s="4"/>
      <c r="I3498" s="5" t="s">
        <v>22</v>
      </c>
      <c r="J3498" s="5" t="s">
        <v>3202</v>
      </c>
      <c r="K3498" s="5" t="s">
        <v>2774</v>
      </c>
      <c r="L3498" s="5"/>
      <c r="M3498" s="5" t="s">
        <v>3271</v>
      </c>
      <c r="N3498" s="5" t="s">
        <v>3271</v>
      </c>
      <c r="O3498" s="5" t="s">
        <v>2762</v>
      </c>
      <c r="P3498" s="5"/>
      <c r="Q3498" s="5" t="s">
        <v>3272</v>
      </c>
    </row>
    <row r="3499" spans="2:17" x14ac:dyDescent="0.2">
      <c r="B3499" s="5" t="s">
        <v>2758</v>
      </c>
      <c r="C3499" s="6" t="s">
        <v>13587</v>
      </c>
      <c r="D3499" s="4">
        <v>834</v>
      </c>
      <c r="E3499" s="5" t="s">
        <v>20</v>
      </c>
      <c r="F3499" s="5" t="s">
        <v>3256</v>
      </c>
      <c r="G3499" s="6" t="s">
        <v>47</v>
      </c>
      <c r="H3499" s="4"/>
      <c r="I3499" s="5" t="s">
        <v>22</v>
      </c>
      <c r="J3499" s="5" t="s">
        <v>3273</v>
      </c>
      <c r="K3499" s="5" t="s">
        <v>2771</v>
      </c>
      <c r="L3499" s="5"/>
      <c r="M3499" s="5" t="s">
        <v>3271</v>
      </c>
      <c r="N3499" s="5" t="s">
        <v>3271</v>
      </c>
      <c r="O3499" s="5" t="s">
        <v>2762</v>
      </c>
      <c r="P3499" s="5"/>
      <c r="Q3499" s="5" t="s">
        <v>3274</v>
      </c>
    </row>
    <row r="3500" spans="2:17" x14ac:dyDescent="0.2">
      <c r="B3500" s="5" t="s">
        <v>2758</v>
      </c>
      <c r="C3500" s="6" t="s">
        <v>13587</v>
      </c>
      <c r="D3500" s="4">
        <v>835</v>
      </c>
      <c r="E3500" s="5" t="s">
        <v>20</v>
      </c>
      <c r="F3500" s="5" t="s">
        <v>3256</v>
      </c>
      <c r="G3500" s="6" t="s">
        <v>47</v>
      </c>
      <c r="H3500" s="4"/>
      <c r="I3500" s="5" t="s">
        <v>22</v>
      </c>
      <c r="J3500" s="5" t="s">
        <v>3275</v>
      </c>
      <c r="K3500" s="5" t="s">
        <v>3034</v>
      </c>
      <c r="L3500" s="5"/>
      <c r="M3500" s="5" t="s">
        <v>3271</v>
      </c>
      <c r="N3500" s="5" t="s">
        <v>3271</v>
      </c>
      <c r="O3500" s="5" t="s">
        <v>2762</v>
      </c>
      <c r="P3500" s="5"/>
      <c r="Q3500" s="5" t="s">
        <v>3276</v>
      </c>
    </row>
    <row r="3501" spans="2:17" x14ac:dyDescent="0.2">
      <c r="B3501" s="5" t="s">
        <v>2758</v>
      </c>
      <c r="C3501" s="6" t="s">
        <v>13587</v>
      </c>
      <c r="D3501" s="4">
        <v>837</v>
      </c>
      <c r="E3501" s="5" t="s">
        <v>20</v>
      </c>
      <c r="F3501" s="5" t="s">
        <v>3256</v>
      </c>
      <c r="G3501" s="6" t="s">
        <v>47</v>
      </c>
      <c r="H3501" s="4"/>
      <c r="I3501" s="5" t="s">
        <v>22</v>
      </c>
      <c r="J3501" s="5" t="s">
        <v>3261</v>
      </c>
      <c r="K3501" s="5" t="s">
        <v>2790</v>
      </c>
      <c r="L3501" s="5"/>
      <c r="M3501" s="5" t="s">
        <v>465</v>
      </c>
      <c r="N3501" s="5" t="s">
        <v>465</v>
      </c>
      <c r="O3501" s="5" t="s">
        <v>2762</v>
      </c>
      <c r="P3501" s="5"/>
      <c r="Q3501" s="5" t="s">
        <v>3262</v>
      </c>
    </row>
    <row r="3502" spans="2:17" x14ac:dyDescent="0.2">
      <c r="B3502" s="5" t="s">
        <v>2758</v>
      </c>
      <c r="C3502" s="6" t="s">
        <v>13587</v>
      </c>
      <c r="D3502" s="4">
        <v>838</v>
      </c>
      <c r="E3502" s="5" t="s">
        <v>20</v>
      </c>
      <c r="F3502" s="5" t="s">
        <v>3256</v>
      </c>
      <c r="G3502" s="6" t="s">
        <v>47</v>
      </c>
      <c r="H3502" s="4"/>
      <c r="I3502" s="5" t="s">
        <v>22</v>
      </c>
      <c r="J3502" s="5" t="s">
        <v>3263</v>
      </c>
      <c r="K3502" s="5" t="s">
        <v>2803</v>
      </c>
      <c r="L3502" s="5"/>
      <c r="M3502" s="5" t="s">
        <v>465</v>
      </c>
      <c r="N3502" s="5" t="s">
        <v>465</v>
      </c>
      <c r="O3502" s="5" t="s">
        <v>2762</v>
      </c>
      <c r="P3502" s="5"/>
      <c r="Q3502" s="5" t="s">
        <v>3264</v>
      </c>
    </row>
    <row r="3503" spans="2:17" x14ac:dyDescent="0.2">
      <c r="B3503" s="5" t="s">
        <v>2758</v>
      </c>
      <c r="C3503" s="6" t="s">
        <v>13587</v>
      </c>
      <c r="D3503" s="4">
        <v>839</v>
      </c>
      <c r="E3503" s="5" t="s">
        <v>20</v>
      </c>
      <c r="F3503" s="5" t="s">
        <v>3256</v>
      </c>
      <c r="G3503" s="6" t="s">
        <v>47</v>
      </c>
      <c r="H3503" s="4"/>
      <c r="I3503" s="5" t="s">
        <v>22</v>
      </c>
      <c r="J3503" s="5" t="s">
        <v>2933</v>
      </c>
      <c r="K3503" s="5" t="s">
        <v>2766</v>
      </c>
      <c r="L3503" s="5"/>
      <c r="M3503" s="5" t="s">
        <v>465</v>
      </c>
      <c r="N3503" s="5" t="s">
        <v>465</v>
      </c>
      <c r="O3503" s="5" t="s">
        <v>2762</v>
      </c>
      <c r="P3503" s="5"/>
      <c r="Q3503" s="5" t="s">
        <v>3265</v>
      </c>
    </row>
    <row r="3504" spans="2:17" x14ac:dyDescent="0.2">
      <c r="B3504" s="5" t="s">
        <v>2758</v>
      </c>
      <c r="C3504" s="6" t="s">
        <v>13587</v>
      </c>
      <c r="D3504" s="4">
        <v>840</v>
      </c>
      <c r="E3504" s="5" t="s">
        <v>20</v>
      </c>
      <c r="F3504" s="5" t="s">
        <v>3256</v>
      </c>
      <c r="G3504" s="6" t="s">
        <v>47</v>
      </c>
      <c r="H3504" s="4"/>
      <c r="I3504" s="5" t="s">
        <v>22</v>
      </c>
      <c r="J3504" s="5" t="s">
        <v>3266</v>
      </c>
      <c r="K3504" s="5" t="s">
        <v>3029</v>
      </c>
      <c r="L3504" s="5"/>
      <c r="M3504" s="5" t="s">
        <v>465</v>
      </c>
      <c r="N3504" s="5" t="s">
        <v>465</v>
      </c>
      <c r="O3504" s="5" t="s">
        <v>2762</v>
      </c>
      <c r="P3504" s="5"/>
      <c r="Q3504" s="5" t="s">
        <v>3267</v>
      </c>
    </row>
    <row r="3505" spans="2:17" x14ac:dyDescent="0.2">
      <c r="B3505" s="5" t="s">
        <v>2758</v>
      </c>
      <c r="C3505" s="6" t="s">
        <v>13587</v>
      </c>
      <c r="D3505" s="4">
        <v>841</v>
      </c>
      <c r="E3505" s="5" t="s">
        <v>20</v>
      </c>
      <c r="F3505" s="5" t="s">
        <v>3256</v>
      </c>
      <c r="G3505" s="6" t="s">
        <v>47</v>
      </c>
      <c r="H3505" s="4"/>
      <c r="I3505" s="5" t="s">
        <v>22</v>
      </c>
      <c r="J3505" s="5" t="s">
        <v>3268</v>
      </c>
      <c r="K3505" s="5" t="s">
        <v>2783</v>
      </c>
      <c r="L3505" s="5"/>
      <c r="M3505" s="5" t="s">
        <v>465</v>
      </c>
      <c r="N3505" s="5" t="s">
        <v>465</v>
      </c>
      <c r="O3505" s="5" t="s">
        <v>2762</v>
      </c>
      <c r="P3505" s="5"/>
      <c r="Q3505" s="5" t="s">
        <v>3269</v>
      </c>
    </row>
    <row r="3506" spans="2:17" x14ac:dyDescent="0.2">
      <c r="B3506" s="5" t="s">
        <v>2758</v>
      </c>
      <c r="C3506" s="6" t="s">
        <v>13587</v>
      </c>
      <c r="D3506" s="4">
        <v>843</v>
      </c>
      <c r="E3506" s="5" t="s">
        <v>20</v>
      </c>
      <c r="F3506" s="5" t="s">
        <v>3289</v>
      </c>
      <c r="G3506" s="6" t="s">
        <v>47</v>
      </c>
      <c r="H3506" s="4"/>
      <c r="I3506" s="5" t="s">
        <v>22</v>
      </c>
      <c r="J3506" s="5" t="s">
        <v>3290</v>
      </c>
      <c r="K3506" s="5" t="s">
        <v>2789</v>
      </c>
      <c r="L3506" s="5"/>
      <c r="M3506" s="5" t="s">
        <v>185</v>
      </c>
      <c r="N3506" s="5" t="s">
        <v>179</v>
      </c>
      <c r="O3506" s="5" t="s">
        <v>2759</v>
      </c>
      <c r="P3506" s="5"/>
      <c r="Q3506" s="5" t="s">
        <v>3291</v>
      </c>
    </row>
    <row r="3507" spans="2:17" x14ac:dyDescent="0.2">
      <c r="B3507" s="5" t="s">
        <v>2758</v>
      </c>
      <c r="C3507" s="6" t="s">
        <v>13587</v>
      </c>
      <c r="D3507" s="4">
        <v>844</v>
      </c>
      <c r="E3507" s="5" t="s">
        <v>20</v>
      </c>
      <c r="F3507" s="5" t="s">
        <v>3292</v>
      </c>
      <c r="G3507" s="6" t="s">
        <v>47</v>
      </c>
      <c r="H3507" s="4"/>
      <c r="I3507" s="5" t="s">
        <v>22</v>
      </c>
      <c r="J3507" s="5" t="s">
        <v>3293</v>
      </c>
      <c r="K3507" s="5" t="s">
        <v>2777</v>
      </c>
      <c r="L3507" s="5"/>
      <c r="M3507" s="5" t="s">
        <v>185</v>
      </c>
      <c r="N3507" s="5" t="s">
        <v>179</v>
      </c>
      <c r="O3507" s="5" t="s">
        <v>2759</v>
      </c>
      <c r="P3507" s="5"/>
      <c r="Q3507" s="5" t="s">
        <v>3294</v>
      </c>
    </row>
    <row r="3508" spans="2:17" x14ac:dyDescent="0.2">
      <c r="B3508" s="5" t="s">
        <v>2758</v>
      </c>
      <c r="C3508" s="6" t="s">
        <v>13587</v>
      </c>
      <c r="D3508" s="4">
        <v>845</v>
      </c>
      <c r="E3508" s="5" t="s">
        <v>20</v>
      </c>
      <c r="F3508" s="5" t="s">
        <v>3289</v>
      </c>
      <c r="G3508" s="6" t="s">
        <v>47</v>
      </c>
      <c r="H3508" s="4"/>
      <c r="I3508" s="5" t="s">
        <v>22</v>
      </c>
      <c r="J3508" s="5" t="s">
        <v>3295</v>
      </c>
      <c r="K3508" s="5" t="s">
        <v>2795</v>
      </c>
      <c r="L3508" s="5"/>
      <c r="M3508" s="5" t="s">
        <v>185</v>
      </c>
      <c r="N3508" s="5" t="s">
        <v>179</v>
      </c>
      <c r="O3508" s="5" t="s">
        <v>2759</v>
      </c>
      <c r="P3508" s="5"/>
      <c r="Q3508" s="5" t="s">
        <v>3296</v>
      </c>
    </row>
    <row r="3509" spans="2:17" x14ac:dyDescent="0.2">
      <c r="B3509" s="5" t="s">
        <v>2758</v>
      </c>
      <c r="C3509" s="6" t="s">
        <v>13587</v>
      </c>
      <c r="D3509" s="4">
        <v>846</v>
      </c>
      <c r="E3509" s="5" t="s">
        <v>20</v>
      </c>
      <c r="F3509" s="5" t="s">
        <v>3256</v>
      </c>
      <c r="G3509" s="6" t="s">
        <v>47</v>
      </c>
      <c r="H3509" s="4"/>
      <c r="I3509" s="5" t="s">
        <v>22</v>
      </c>
      <c r="J3509" s="5" t="s">
        <v>3257</v>
      </c>
      <c r="K3509" s="5" t="s">
        <v>2781</v>
      </c>
      <c r="L3509" s="5"/>
      <c r="M3509" s="5" t="s">
        <v>179</v>
      </c>
      <c r="N3509" s="5" t="s">
        <v>179</v>
      </c>
      <c r="O3509" s="5" t="s">
        <v>2762</v>
      </c>
      <c r="P3509" s="5"/>
      <c r="Q3509" s="5" t="s">
        <v>3258</v>
      </c>
    </row>
    <row r="3510" spans="2:17" x14ac:dyDescent="0.2">
      <c r="B3510" s="5" t="s">
        <v>2758</v>
      </c>
      <c r="C3510" s="6" t="s">
        <v>13587</v>
      </c>
      <c r="D3510" s="4">
        <v>847</v>
      </c>
      <c r="E3510" s="5" t="s">
        <v>20</v>
      </c>
      <c r="F3510" s="5" t="s">
        <v>3256</v>
      </c>
      <c r="G3510" s="6" t="s">
        <v>47</v>
      </c>
      <c r="H3510" s="4"/>
      <c r="I3510" s="5" t="s">
        <v>22</v>
      </c>
      <c r="J3510" s="5" t="s">
        <v>3259</v>
      </c>
      <c r="K3510" s="5" t="s">
        <v>2778</v>
      </c>
      <c r="L3510" s="5"/>
      <c r="M3510" s="5" t="s">
        <v>179</v>
      </c>
      <c r="N3510" s="5" t="s">
        <v>179</v>
      </c>
      <c r="O3510" s="5" t="s">
        <v>2762</v>
      </c>
      <c r="P3510" s="5"/>
      <c r="Q3510" s="5" t="s">
        <v>3260</v>
      </c>
    </row>
    <row r="3511" spans="2:17" x14ac:dyDescent="0.2">
      <c r="B3511" s="5" t="s">
        <v>3543</v>
      </c>
      <c r="C3511" s="6" t="s">
        <v>13587</v>
      </c>
      <c r="D3511" s="4">
        <v>1032</v>
      </c>
      <c r="E3511" s="5" t="s">
        <v>20</v>
      </c>
      <c r="F3511" s="5" t="s">
        <v>3724</v>
      </c>
      <c r="G3511" s="6" t="s">
        <v>47</v>
      </c>
      <c r="H3511" s="4"/>
      <c r="I3511" s="5" t="s">
        <v>22</v>
      </c>
      <c r="J3511" s="5" t="s">
        <v>3725</v>
      </c>
      <c r="K3511" s="5"/>
      <c r="L3511" s="5" t="s">
        <v>3726</v>
      </c>
      <c r="M3511" s="5" t="s">
        <v>185</v>
      </c>
      <c r="N3511" s="5" t="s">
        <v>179</v>
      </c>
      <c r="O3511" s="5" t="s">
        <v>3598</v>
      </c>
      <c r="P3511" s="5"/>
      <c r="Q3511" s="5" t="s">
        <v>3548</v>
      </c>
    </row>
    <row r="3512" spans="2:17" x14ac:dyDescent="0.2">
      <c r="B3512" s="5" t="s">
        <v>3543</v>
      </c>
      <c r="C3512" s="6" t="s">
        <v>13587</v>
      </c>
      <c r="D3512" s="4">
        <v>1033</v>
      </c>
      <c r="E3512" s="5" t="s">
        <v>20</v>
      </c>
      <c r="F3512" s="5" t="s">
        <v>3724</v>
      </c>
      <c r="G3512" s="6" t="s">
        <v>47</v>
      </c>
      <c r="H3512" s="4"/>
      <c r="I3512" s="5" t="s">
        <v>22</v>
      </c>
      <c r="J3512" s="5" t="s">
        <v>3727</v>
      </c>
      <c r="K3512" s="5" t="s">
        <v>3728</v>
      </c>
      <c r="L3512" s="5"/>
      <c r="M3512" s="5" t="s">
        <v>185</v>
      </c>
      <c r="N3512" s="5" t="s">
        <v>179</v>
      </c>
      <c r="O3512" s="5" t="s">
        <v>3598</v>
      </c>
      <c r="P3512" s="5"/>
      <c r="Q3512" s="5" t="s">
        <v>3548</v>
      </c>
    </row>
    <row r="3513" spans="2:17" x14ac:dyDescent="0.2">
      <c r="B3513" s="5" t="s">
        <v>544</v>
      </c>
      <c r="C3513" s="6" t="s">
        <v>13587</v>
      </c>
      <c r="D3513" s="4">
        <v>130</v>
      </c>
      <c r="E3513" s="5" t="s">
        <v>20</v>
      </c>
      <c r="F3513" s="5" t="s">
        <v>642</v>
      </c>
      <c r="G3513" s="6" t="s">
        <v>643</v>
      </c>
      <c r="H3513" s="4"/>
      <c r="I3513" s="5" t="s">
        <v>22</v>
      </c>
      <c r="J3513" s="5" t="s">
        <v>959</v>
      </c>
      <c r="K3513" s="5" t="s">
        <v>582</v>
      </c>
      <c r="L3513" s="5"/>
      <c r="M3513" s="5" t="s">
        <v>197</v>
      </c>
      <c r="N3513" s="5" t="s">
        <v>197</v>
      </c>
      <c r="O3513" s="5" t="s">
        <v>549</v>
      </c>
      <c r="P3513" s="5"/>
      <c r="Q3513" s="5" t="s">
        <v>960</v>
      </c>
    </row>
    <row r="3514" spans="2:17" x14ac:dyDescent="0.2">
      <c r="B3514" s="5" t="s">
        <v>544</v>
      </c>
      <c r="C3514" s="6" t="s">
        <v>13587</v>
      </c>
      <c r="D3514" s="4">
        <v>238</v>
      </c>
      <c r="E3514" s="5" t="s">
        <v>20</v>
      </c>
      <c r="F3514" s="5" t="s">
        <v>642</v>
      </c>
      <c r="G3514" s="6" t="s">
        <v>643</v>
      </c>
      <c r="H3514" s="4"/>
      <c r="I3514" s="5" t="s">
        <v>22</v>
      </c>
      <c r="J3514" s="5" t="s">
        <v>644</v>
      </c>
      <c r="K3514" s="5" t="s">
        <v>582</v>
      </c>
      <c r="L3514" s="5"/>
      <c r="M3514" s="5" t="s">
        <v>645</v>
      </c>
      <c r="N3514" s="5" t="s">
        <v>645</v>
      </c>
      <c r="O3514" s="5" t="s">
        <v>549</v>
      </c>
      <c r="P3514" s="5"/>
      <c r="Q3514" s="5" t="s">
        <v>646</v>
      </c>
    </row>
    <row r="3515" spans="2:17" x14ac:dyDescent="0.2">
      <c r="B3515" s="5" t="s">
        <v>1906</v>
      </c>
      <c r="C3515" s="6" t="s">
        <v>13587</v>
      </c>
      <c r="D3515" s="4">
        <v>631</v>
      </c>
      <c r="E3515" s="5" t="s">
        <v>20</v>
      </c>
      <c r="F3515" s="5" t="s">
        <v>2221</v>
      </c>
      <c r="G3515" s="6" t="s">
        <v>643</v>
      </c>
      <c r="H3515" s="4"/>
      <c r="I3515" s="5" t="s">
        <v>38</v>
      </c>
      <c r="J3515" s="5" t="s">
        <v>2222</v>
      </c>
      <c r="K3515" s="5" t="s">
        <v>2223</v>
      </c>
      <c r="L3515" s="5"/>
      <c r="M3515" s="5" t="s">
        <v>2224</v>
      </c>
      <c r="N3515" s="5" t="s">
        <v>2225</v>
      </c>
      <c r="O3515" s="5" t="s">
        <v>2226</v>
      </c>
      <c r="P3515" s="5"/>
      <c r="Q3515" s="5" t="s">
        <v>2227</v>
      </c>
    </row>
    <row r="3516" spans="2:17" x14ac:dyDescent="0.2">
      <c r="B3516" s="5" t="s">
        <v>1708</v>
      </c>
      <c r="C3516" s="6" t="s">
        <v>13587</v>
      </c>
      <c r="D3516" s="4">
        <v>447</v>
      </c>
      <c r="E3516" s="5" t="s">
        <v>20</v>
      </c>
      <c r="F3516" s="5" t="s">
        <v>1887</v>
      </c>
      <c r="G3516" s="6" t="s">
        <v>524</v>
      </c>
      <c r="H3516" s="4"/>
      <c r="I3516" s="5" t="s">
        <v>22</v>
      </c>
      <c r="J3516" s="5" t="s">
        <v>1888</v>
      </c>
      <c r="K3516" s="5" t="s">
        <v>1876</v>
      </c>
      <c r="L3516" s="5" t="s">
        <v>1889</v>
      </c>
      <c r="M3516" s="5" t="s">
        <v>1634</v>
      </c>
      <c r="N3516" s="5" t="s">
        <v>1634</v>
      </c>
      <c r="O3516" s="5" t="s">
        <v>1716</v>
      </c>
      <c r="P3516" s="5"/>
      <c r="Q3516" s="5" t="s">
        <v>1717</v>
      </c>
    </row>
    <row r="3517" spans="2:17" x14ac:dyDescent="0.2">
      <c r="B3517" s="5" t="s">
        <v>1708</v>
      </c>
      <c r="C3517" s="6" t="s">
        <v>13587</v>
      </c>
      <c r="D3517" s="4">
        <v>448</v>
      </c>
      <c r="E3517" s="5" t="s">
        <v>20</v>
      </c>
      <c r="F3517" s="5" t="s">
        <v>1887</v>
      </c>
      <c r="G3517" s="6" t="s">
        <v>524</v>
      </c>
      <c r="H3517" s="4"/>
      <c r="I3517" s="5" t="s">
        <v>22</v>
      </c>
      <c r="J3517" s="5" t="s">
        <v>1888</v>
      </c>
      <c r="K3517" s="5" t="s">
        <v>1876</v>
      </c>
      <c r="L3517" s="5" t="s">
        <v>1889</v>
      </c>
      <c r="M3517" s="5" t="s">
        <v>1634</v>
      </c>
      <c r="N3517" s="5" t="s">
        <v>1634</v>
      </c>
      <c r="O3517" s="5" t="s">
        <v>1745</v>
      </c>
      <c r="P3517" s="5"/>
      <c r="Q3517" s="5" t="s">
        <v>1890</v>
      </c>
    </row>
    <row r="3518" spans="2:17" x14ac:dyDescent="0.2">
      <c r="B3518" s="5" t="s">
        <v>3543</v>
      </c>
      <c r="C3518" s="6" t="s">
        <v>13587</v>
      </c>
      <c r="D3518" s="4">
        <v>1063</v>
      </c>
      <c r="E3518" s="5" t="s">
        <v>20</v>
      </c>
      <c r="F3518" s="5" t="s">
        <v>3656</v>
      </c>
      <c r="G3518" s="6" t="s">
        <v>524</v>
      </c>
      <c r="H3518" s="4"/>
      <c r="I3518" s="5" t="s">
        <v>22</v>
      </c>
      <c r="J3518" s="5" t="s">
        <v>3657</v>
      </c>
      <c r="K3518" s="5" t="s">
        <v>3658</v>
      </c>
      <c r="L3518" s="5"/>
      <c r="M3518" s="5" t="s">
        <v>920</v>
      </c>
      <c r="N3518" s="5" t="s">
        <v>416</v>
      </c>
      <c r="O3518" s="5" t="s">
        <v>3659</v>
      </c>
      <c r="P3518" s="5"/>
      <c r="Q3518" s="5" t="s">
        <v>3548</v>
      </c>
    </row>
    <row r="3519" spans="2:17" x14ac:dyDescent="0.2">
      <c r="B3519" s="5" t="s">
        <v>544</v>
      </c>
      <c r="C3519" s="6" t="s">
        <v>13587</v>
      </c>
      <c r="D3519" s="4">
        <v>216</v>
      </c>
      <c r="E3519" s="5" t="s">
        <v>20</v>
      </c>
      <c r="F3519" s="5" t="s">
        <v>673</v>
      </c>
      <c r="G3519" s="6" t="s">
        <v>85</v>
      </c>
      <c r="H3519" s="4"/>
      <c r="I3519" s="5" t="s">
        <v>22</v>
      </c>
      <c r="J3519" s="5" t="s">
        <v>674</v>
      </c>
      <c r="K3519" s="5" t="s">
        <v>675</v>
      </c>
      <c r="L3519" s="5"/>
      <c r="M3519" s="5" t="s">
        <v>336</v>
      </c>
      <c r="N3519" s="5" t="s">
        <v>337</v>
      </c>
      <c r="O3519" s="5" t="s">
        <v>657</v>
      </c>
      <c r="P3519" s="5"/>
      <c r="Q3519" s="5" t="s">
        <v>676</v>
      </c>
    </row>
    <row r="3520" spans="2:17" x14ac:dyDescent="0.2">
      <c r="B3520" s="5" t="s">
        <v>2758</v>
      </c>
      <c r="C3520" s="6" t="s">
        <v>13587</v>
      </c>
      <c r="D3520" s="4">
        <v>819</v>
      </c>
      <c r="E3520" s="5" t="s">
        <v>24</v>
      </c>
      <c r="F3520" s="5" t="s">
        <v>3330</v>
      </c>
      <c r="G3520" s="6" t="s">
        <v>85</v>
      </c>
      <c r="H3520" s="4"/>
      <c r="I3520" s="5"/>
      <c r="J3520" s="5" t="s">
        <v>3331</v>
      </c>
      <c r="K3520" s="5" t="s">
        <v>2787</v>
      </c>
      <c r="L3520" s="5"/>
      <c r="M3520" s="5" t="s">
        <v>2198</v>
      </c>
      <c r="N3520" s="5" t="s">
        <v>1634</v>
      </c>
      <c r="O3520" s="5" t="s">
        <v>2759</v>
      </c>
      <c r="P3520" s="5"/>
      <c r="Q3520" s="5" t="s">
        <v>3332</v>
      </c>
    </row>
    <row r="3521" spans="2:17" x14ac:dyDescent="0.2">
      <c r="B3521" s="5" t="s">
        <v>1708</v>
      </c>
      <c r="C3521" s="6" t="s">
        <v>13587</v>
      </c>
      <c r="D3521" s="4">
        <v>449</v>
      </c>
      <c r="E3521" s="5" t="s">
        <v>20</v>
      </c>
      <c r="F3521" s="5" t="s">
        <v>1880</v>
      </c>
      <c r="G3521" s="6" t="s">
        <v>73</v>
      </c>
      <c r="H3521" s="4"/>
      <c r="I3521" s="5" t="s">
        <v>22</v>
      </c>
      <c r="J3521" s="5" t="s">
        <v>1881</v>
      </c>
      <c r="K3521" s="5" t="s">
        <v>1776</v>
      </c>
      <c r="L3521" s="5"/>
      <c r="M3521" s="5" t="s">
        <v>1882</v>
      </c>
      <c r="N3521" s="5" t="s">
        <v>1625</v>
      </c>
      <c r="O3521" s="5" t="s">
        <v>1774</v>
      </c>
      <c r="P3521" s="5"/>
      <c r="Q3521" s="5" t="s">
        <v>1717</v>
      </c>
    </row>
    <row r="3522" spans="2:17" x14ac:dyDescent="0.2">
      <c r="B3522" s="5" t="s">
        <v>1708</v>
      </c>
      <c r="C3522" s="6" t="s">
        <v>13587</v>
      </c>
      <c r="D3522" s="4">
        <v>450</v>
      </c>
      <c r="E3522" s="5" t="s">
        <v>20</v>
      </c>
      <c r="F3522" s="5" t="s">
        <v>1880</v>
      </c>
      <c r="G3522" s="6" t="s">
        <v>73</v>
      </c>
      <c r="H3522" s="4"/>
      <c r="I3522" s="5" t="s">
        <v>22</v>
      </c>
      <c r="J3522" s="5" t="s">
        <v>1883</v>
      </c>
      <c r="K3522" s="5" t="s">
        <v>1776</v>
      </c>
      <c r="L3522" s="5"/>
      <c r="M3522" s="5" t="s">
        <v>1882</v>
      </c>
      <c r="N3522" s="5" t="s">
        <v>1625</v>
      </c>
      <c r="O3522" s="5" t="s">
        <v>1774</v>
      </c>
      <c r="P3522" s="5"/>
      <c r="Q3522" s="5" t="s">
        <v>1717</v>
      </c>
    </row>
    <row r="3523" spans="2:17" x14ac:dyDescent="0.2">
      <c r="B3523" s="5" t="s">
        <v>1708</v>
      </c>
      <c r="C3523" s="6" t="s">
        <v>13587</v>
      </c>
      <c r="D3523" s="4">
        <v>451</v>
      </c>
      <c r="E3523" s="5" t="s">
        <v>20</v>
      </c>
      <c r="F3523" s="5" t="s">
        <v>1880</v>
      </c>
      <c r="G3523" s="6" t="s">
        <v>73</v>
      </c>
      <c r="H3523" s="4"/>
      <c r="I3523" s="5" t="s">
        <v>38</v>
      </c>
      <c r="J3523" s="5" t="s">
        <v>1884</v>
      </c>
      <c r="K3523" s="5" t="s">
        <v>1776</v>
      </c>
      <c r="L3523" s="5"/>
      <c r="M3523" s="5" t="s">
        <v>1882</v>
      </c>
      <c r="N3523" s="5" t="s">
        <v>1625</v>
      </c>
      <c r="O3523" s="5" t="s">
        <v>1774</v>
      </c>
      <c r="P3523" s="5"/>
      <c r="Q3523" s="5" t="s">
        <v>1717</v>
      </c>
    </row>
    <row r="3524" spans="2:17" x14ac:dyDescent="0.2">
      <c r="B3524" s="5" t="s">
        <v>1708</v>
      </c>
      <c r="C3524" s="6" t="s">
        <v>13587</v>
      </c>
      <c r="D3524" s="4">
        <v>452</v>
      </c>
      <c r="E3524" s="5" t="s">
        <v>20</v>
      </c>
      <c r="F3524" s="5" t="s">
        <v>1880</v>
      </c>
      <c r="G3524" s="6" t="s">
        <v>73</v>
      </c>
      <c r="H3524" s="4"/>
      <c r="I3524" s="5" t="s">
        <v>22</v>
      </c>
      <c r="J3524" s="5" t="s">
        <v>1881</v>
      </c>
      <c r="K3524" s="5" t="s">
        <v>1885</v>
      </c>
      <c r="L3524" s="5"/>
      <c r="M3524" s="5" t="s">
        <v>1882</v>
      </c>
      <c r="N3524" s="5" t="s">
        <v>1625</v>
      </c>
      <c r="O3524" s="5" t="s">
        <v>1774</v>
      </c>
      <c r="P3524" s="5"/>
      <c r="Q3524" s="5" t="s">
        <v>1886</v>
      </c>
    </row>
    <row r="3525" spans="2:17" x14ac:dyDescent="0.2">
      <c r="B3525" s="5" t="s">
        <v>92</v>
      </c>
      <c r="C3525" s="6" t="s">
        <v>13587</v>
      </c>
      <c r="D3525" s="4">
        <v>7</v>
      </c>
      <c r="E3525" s="5" t="s">
        <v>20</v>
      </c>
      <c r="F3525" s="5" t="s">
        <v>209</v>
      </c>
      <c r="G3525" s="6" t="s">
        <v>45</v>
      </c>
      <c r="H3525" s="4"/>
      <c r="I3525" s="5" t="s">
        <v>22</v>
      </c>
      <c r="J3525" s="5" t="s">
        <v>210</v>
      </c>
      <c r="K3525" s="5" t="s">
        <v>136</v>
      </c>
      <c r="L3525" s="5"/>
      <c r="M3525" s="5" t="s">
        <v>211</v>
      </c>
      <c r="N3525" s="5" t="s">
        <v>207</v>
      </c>
      <c r="O3525" s="5" t="s">
        <v>98</v>
      </c>
      <c r="P3525" s="5"/>
      <c r="Q3525" s="5" t="s">
        <v>212</v>
      </c>
    </row>
    <row r="3526" spans="2:17" x14ac:dyDescent="0.2">
      <c r="B3526" s="5" t="s">
        <v>92</v>
      </c>
      <c r="C3526" s="6" t="s">
        <v>13587</v>
      </c>
      <c r="D3526" s="4">
        <v>37</v>
      </c>
      <c r="E3526" s="5" t="s">
        <v>15</v>
      </c>
      <c r="F3526" s="5" t="s">
        <v>248</v>
      </c>
      <c r="G3526" s="6" t="s">
        <v>45</v>
      </c>
      <c r="H3526" s="4"/>
      <c r="I3526" s="5"/>
      <c r="J3526" s="5" t="s">
        <v>249</v>
      </c>
      <c r="K3526" s="5" t="s">
        <v>136</v>
      </c>
      <c r="L3526" s="5"/>
      <c r="M3526" s="5" t="s">
        <v>250</v>
      </c>
      <c r="N3526" s="5" t="s">
        <v>251</v>
      </c>
      <c r="O3526" s="5" t="s">
        <v>98</v>
      </c>
      <c r="P3526" s="5"/>
      <c r="Q3526" s="5" t="s">
        <v>252</v>
      </c>
    </row>
    <row r="3527" spans="2:17" x14ac:dyDescent="0.2">
      <c r="B3527" s="5" t="s">
        <v>544</v>
      </c>
      <c r="C3527" s="6" t="s">
        <v>13587</v>
      </c>
      <c r="D3527" s="4">
        <v>180</v>
      </c>
      <c r="E3527" s="5" t="s">
        <v>35</v>
      </c>
      <c r="F3527" s="5" t="s">
        <v>829</v>
      </c>
      <c r="G3527" s="6" t="s">
        <v>45</v>
      </c>
      <c r="H3527" s="4"/>
      <c r="I3527" s="5"/>
      <c r="J3527" s="5" t="s">
        <v>830</v>
      </c>
      <c r="K3527" s="5" t="s">
        <v>831</v>
      </c>
      <c r="L3527" s="5"/>
      <c r="M3527" s="5" t="s">
        <v>804</v>
      </c>
      <c r="N3527" s="5" t="s">
        <v>804</v>
      </c>
      <c r="O3527" s="5" t="s">
        <v>816</v>
      </c>
      <c r="P3527" s="5"/>
      <c r="Q3527" s="5" t="s">
        <v>832</v>
      </c>
    </row>
    <row r="3528" spans="2:17" x14ac:dyDescent="0.2">
      <c r="B3528" s="5" t="s">
        <v>1708</v>
      </c>
      <c r="C3528" s="6" t="s">
        <v>13587</v>
      </c>
      <c r="D3528" s="4">
        <v>487</v>
      </c>
      <c r="E3528" s="5" t="s">
        <v>20</v>
      </c>
      <c r="F3528" s="5" t="s">
        <v>1799</v>
      </c>
      <c r="G3528" s="6" t="s">
        <v>45</v>
      </c>
      <c r="H3528" s="4"/>
      <c r="I3528" s="5" t="s">
        <v>22</v>
      </c>
      <c r="J3528" s="5" t="s">
        <v>1800</v>
      </c>
      <c r="K3528" s="5" t="s">
        <v>1743</v>
      </c>
      <c r="L3528" s="5" t="s">
        <v>1801</v>
      </c>
      <c r="M3528" s="5" t="s">
        <v>1802</v>
      </c>
      <c r="N3528" s="5" t="s">
        <v>1802</v>
      </c>
      <c r="O3528" s="5" t="s">
        <v>1709</v>
      </c>
      <c r="P3528" s="5"/>
      <c r="Q3528" s="5" t="s">
        <v>1717</v>
      </c>
    </row>
    <row r="3529" spans="2:17" x14ac:dyDescent="0.2">
      <c r="B3529" s="5" t="s">
        <v>92</v>
      </c>
      <c r="C3529" s="6" t="s">
        <v>13587</v>
      </c>
      <c r="D3529" s="4">
        <v>9</v>
      </c>
      <c r="E3529" s="5" t="s">
        <v>20</v>
      </c>
      <c r="F3529" s="5" t="s">
        <v>195</v>
      </c>
      <c r="G3529" s="6" t="s">
        <v>25</v>
      </c>
      <c r="H3529" s="4"/>
      <c r="I3529" s="5" t="s">
        <v>22</v>
      </c>
      <c r="J3529" s="5" t="s">
        <v>196</v>
      </c>
      <c r="K3529" s="5" t="s">
        <v>111</v>
      </c>
      <c r="L3529" s="5"/>
      <c r="M3529" s="5" t="s">
        <v>197</v>
      </c>
      <c r="N3529" s="5" t="s">
        <v>198</v>
      </c>
      <c r="O3529" s="5" t="s">
        <v>98</v>
      </c>
      <c r="P3529" s="5"/>
      <c r="Q3529" s="5" t="s">
        <v>199</v>
      </c>
    </row>
    <row r="3530" spans="2:17" x14ac:dyDescent="0.2">
      <c r="B3530" s="5" t="s">
        <v>544</v>
      </c>
      <c r="C3530" s="6" t="s">
        <v>13587</v>
      </c>
      <c r="D3530" s="4">
        <v>169</v>
      </c>
      <c r="E3530" s="5" t="s">
        <v>35</v>
      </c>
      <c r="F3530" s="5" t="s">
        <v>903</v>
      </c>
      <c r="G3530" s="6" t="s">
        <v>25</v>
      </c>
      <c r="H3530" s="4"/>
      <c r="I3530" s="5"/>
      <c r="J3530" s="5" t="s">
        <v>904</v>
      </c>
      <c r="K3530" s="5" t="s">
        <v>572</v>
      </c>
      <c r="L3530" s="5"/>
      <c r="M3530" s="5" t="s">
        <v>411</v>
      </c>
      <c r="N3530" s="5" t="s">
        <v>138</v>
      </c>
      <c r="O3530" s="5" t="s">
        <v>574</v>
      </c>
      <c r="P3530" s="5"/>
      <c r="Q3530" s="5" t="s">
        <v>905</v>
      </c>
    </row>
    <row r="3531" spans="2:17" x14ac:dyDescent="0.2">
      <c r="B3531" s="5" t="s">
        <v>544</v>
      </c>
      <c r="C3531" s="6" t="s">
        <v>13587</v>
      </c>
      <c r="D3531" s="4">
        <v>235</v>
      </c>
      <c r="E3531" s="5" t="s">
        <v>35</v>
      </c>
      <c r="F3531" s="5" t="s">
        <v>778</v>
      </c>
      <c r="G3531" s="6" t="s">
        <v>25</v>
      </c>
      <c r="H3531" s="4"/>
      <c r="I3531" s="5"/>
      <c r="J3531" s="5" t="s">
        <v>779</v>
      </c>
      <c r="K3531" s="5" t="s">
        <v>687</v>
      </c>
      <c r="L3531" s="5"/>
      <c r="M3531" s="5" t="s">
        <v>336</v>
      </c>
      <c r="N3531" s="5" t="s">
        <v>337</v>
      </c>
      <c r="O3531" s="5" t="s">
        <v>657</v>
      </c>
      <c r="P3531" s="5"/>
      <c r="Q3531" s="5" t="s">
        <v>780</v>
      </c>
    </row>
    <row r="3532" spans="2:17" x14ac:dyDescent="0.2">
      <c r="B3532" s="5" t="s">
        <v>544</v>
      </c>
      <c r="C3532" s="6" t="s">
        <v>13587</v>
      </c>
      <c r="D3532" s="4">
        <v>264</v>
      </c>
      <c r="E3532" s="5" t="s">
        <v>35</v>
      </c>
      <c r="F3532" s="5" t="s">
        <v>1093</v>
      </c>
      <c r="G3532" s="6" t="s">
        <v>25</v>
      </c>
      <c r="H3532" s="4"/>
      <c r="I3532" s="5"/>
      <c r="J3532" s="5" t="s">
        <v>1094</v>
      </c>
      <c r="K3532" s="5" t="s">
        <v>572</v>
      </c>
      <c r="L3532" s="5"/>
      <c r="M3532" s="5" t="s">
        <v>1086</v>
      </c>
      <c r="N3532" s="5" t="s">
        <v>1086</v>
      </c>
      <c r="O3532" s="5" t="s">
        <v>574</v>
      </c>
      <c r="P3532" s="5"/>
      <c r="Q3532" s="5" t="s">
        <v>1095</v>
      </c>
    </row>
    <row r="3533" spans="2:17" x14ac:dyDescent="0.2">
      <c r="B3533" s="5" t="s">
        <v>544</v>
      </c>
      <c r="C3533" s="6" t="s">
        <v>13587</v>
      </c>
      <c r="D3533" s="4">
        <v>305</v>
      </c>
      <c r="E3533" s="5" t="s">
        <v>35</v>
      </c>
      <c r="F3533" s="5" t="s">
        <v>778</v>
      </c>
      <c r="G3533" s="6" t="s">
        <v>25</v>
      </c>
      <c r="H3533" s="4"/>
      <c r="I3533" s="5"/>
      <c r="J3533" s="5" t="s">
        <v>1141</v>
      </c>
      <c r="K3533" s="5" t="s">
        <v>687</v>
      </c>
      <c r="L3533" s="5"/>
      <c r="M3533" s="5" t="s">
        <v>1122</v>
      </c>
      <c r="N3533" s="5" t="s">
        <v>1142</v>
      </c>
      <c r="O3533" s="5" t="s">
        <v>657</v>
      </c>
      <c r="P3533" s="5"/>
      <c r="Q3533" s="5" t="s">
        <v>1143</v>
      </c>
    </row>
    <row r="3534" spans="2:17" x14ac:dyDescent="0.2">
      <c r="B3534" s="5" t="s">
        <v>1164</v>
      </c>
      <c r="C3534" s="6" t="s">
        <v>13587</v>
      </c>
      <c r="D3534" s="4">
        <v>320</v>
      </c>
      <c r="E3534" s="5" t="s">
        <v>20</v>
      </c>
      <c r="F3534" s="5" t="s">
        <v>1628</v>
      </c>
      <c r="G3534" s="6" t="s">
        <v>25</v>
      </c>
      <c r="H3534" s="4"/>
      <c r="I3534" s="5" t="s">
        <v>22</v>
      </c>
      <c r="J3534" s="5" t="s">
        <v>1629</v>
      </c>
      <c r="K3534" s="5" t="s">
        <v>1376</v>
      </c>
      <c r="L3534" s="5" t="s">
        <v>1630</v>
      </c>
      <c r="M3534" s="5" t="s">
        <v>204</v>
      </c>
      <c r="N3534" s="5" t="s">
        <v>1625</v>
      </c>
      <c r="O3534" s="5" t="s">
        <v>1180</v>
      </c>
      <c r="P3534" s="5"/>
      <c r="Q3534" s="5" t="s">
        <v>1631</v>
      </c>
    </row>
    <row r="3535" spans="2:17" x14ac:dyDescent="0.2">
      <c r="B3535" s="5" t="s">
        <v>1164</v>
      </c>
      <c r="C3535" s="6" t="s">
        <v>13587</v>
      </c>
      <c r="D3535" s="4">
        <v>436</v>
      </c>
      <c r="E3535" s="5" t="s">
        <v>24</v>
      </c>
      <c r="F3535" s="5" t="s">
        <v>1701</v>
      </c>
      <c r="G3535" s="6" t="s">
        <v>25</v>
      </c>
      <c r="H3535" s="4"/>
      <c r="I3535" s="5"/>
      <c r="J3535" s="5" t="s">
        <v>1702</v>
      </c>
      <c r="K3535" s="5" t="s">
        <v>1197</v>
      </c>
      <c r="L3535" s="5"/>
      <c r="M3535" s="5" t="s">
        <v>529</v>
      </c>
      <c r="N3535" s="5" t="s">
        <v>250</v>
      </c>
      <c r="O3535" s="5" t="s">
        <v>1167</v>
      </c>
      <c r="P3535" s="5"/>
      <c r="Q3535" s="5" t="s">
        <v>1703</v>
      </c>
    </row>
    <row r="3536" spans="2:17" x14ac:dyDescent="0.2">
      <c r="B3536" s="5" t="s">
        <v>2758</v>
      </c>
      <c r="C3536" s="6" t="s">
        <v>13587</v>
      </c>
      <c r="D3536" s="4">
        <v>974</v>
      </c>
      <c r="E3536" s="5" t="s">
        <v>20</v>
      </c>
      <c r="F3536" s="5" t="s">
        <v>2813</v>
      </c>
      <c r="G3536" s="6" t="s">
        <v>25</v>
      </c>
      <c r="H3536" s="4"/>
      <c r="I3536" s="5" t="s">
        <v>22</v>
      </c>
      <c r="J3536" s="5" t="s">
        <v>2814</v>
      </c>
      <c r="K3536" s="5" t="s">
        <v>2782</v>
      </c>
      <c r="L3536" s="5"/>
      <c r="M3536" s="5" t="s">
        <v>1207</v>
      </c>
      <c r="N3536" s="5" t="s">
        <v>1200</v>
      </c>
      <c r="O3536" s="5" t="s">
        <v>2762</v>
      </c>
      <c r="P3536" s="5"/>
      <c r="Q3536" s="5" t="s">
        <v>2815</v>
      </c>
    </row>
    <row r="3537" spans="2:17" x14ac:dyDescent="0.2">
      <c r="B3537" s="5" t="s">
        <v>2758</v>
      </c>
      <c r="C3537" s="6" t="s">
        <v>13587</v>
      </c>
      <c r="D3537" s="4">
        <v>975</v>
      </c>
      <c r="E3537" s="5" t="s">
        <v>20</v>
      </c>
      <c r="F3537" s="5" t="s">
        <v>2813</v>
      </c>
      <c r="G3537" s="6" t="s">
        <v>25</v>
      </c>
      <c r="H3537" s="4"/>
      <c r="I3537" s="5" t="s">
        <v>22</v>
      </c>
      <c r="J3537" s="5" t="s">
        <v>2816</v>
      </c>
      <c r="K3537" s="5" t="s">
        <v>2774</v>
      </c>
      <c r="L3537" s="5"/>
      <c r="M3537" s="5" t="s">
        <v>1207</v>
      </c>
      <c r="N3537" s="5" t="s">
        <v>1200</v>
      </c>
      <c r="O3537" s="5" t="s">
        <v>2762</v>
      </c>
      <c r="P3537" s="5"/>
      <c r="Q3537" s="5" t="s">
        <v>2817</v>
      </c>
    </row>
    <row r="3538" spans="2:17" x14ac:dyDescent="0.2">
      <c r="B3538" s="5" t="s">
        <v>544</v>
      </c>
      <c r="C3538" s="6" t="s">
        <v>13587</v>
      </c>
      <c r="D3538" s="4">
        <v>267</v>
      </c>
      <c r="E3538" s="5" t="s">
        <v>24</v>
      </c>
      <c r="F3538" s="5" t="s">
        <v>557</v>
      </c>
      <c r="G3538" s="6" t="s">
        <v>558</v>
      </c>
      <c r="H3538" s="4"/>
      <c r="I3538" s="5"/>
      <c r="J3538" s="5" t="s">
        <v>559</v>
      </c>
      <c r="K3538" s="5" t="s">
        <v>560</v>
      </c>
      <c r="L3538" s="5"/>
      <c r="M3538" s="5" t="s">
        <v>548</v>
      </c>
      <c r="N3538" s="5" t="s">
        <v>548</v>
      </c>
      <c r="O3538" s="5" t="s">
        <v>549</v>
      </c>
      <c r="P3538" s="5"/>
      <c r="Q3538" s="5" t="s">
        <v>561</v>
      </c>
    </row>
    <row r="3539" spans="2:17" x14ac:dyDescent="0.2">
      <c r="B3539" s="5" t="s">
        <v>544</v>
      </c>
      <c r="C3539" s="6" t="s">
        <v>13587</v>
      </c>
      <c r="D3539" s="4">
        <v>268</v>
      </c>
      <c r="E3539" s="5" t="s">
        <v>24</v>
      </c>
      <c r="F3539" s="5" t="s">
        <v>557</v>
      </c>
      <c r="G3539" s="6" t="s">
        <v>558</v>
      </c>
      <c r="H3539" s="4"/>
      <c r="I3539" s="5"/>
      <c r="J3539" s="5" t="s">
        <v>562</v>
      </c>
      <c r="K3539" s="5" t="s">
        <v>560</v>
      </c>
      <c r="L3539" s="5"/>
      <c r="M3539" s="5" t="s">
        <v>548</v>
      </c>
      <c r="N3539" s="5" t="s">
        <v>548</v>
      </c>
      <c r="O3539" s="5" t="s">
        <v>549</v>
      </c>
      <c r="P3539" s="5"/>
      <c r="Q3539" s="5" t="s">
        <v>563</v>
      </c>
    </row>
    <row r="3540" spans="2:17" x14ac:dyDescent="0.2">
      <c r="B3540" s="5" t="s">
        <v>1164</v>
      </c>
      <c r="C3540" s="6" t="s">
        <v>13587</v>
      </c>
      <c r="D3540" s="4">
        <v>399</v>
      </c>
      <c r="E3540" s="5" t="s">
        <v>24</v>
      </c>
      <c r="F3540" s="5" t="s">
        <v>1336</v>
      </c>
      <c r="G3540" s="6" t="s">
        <v>558</v>
      </c>
      <c r="H3540" s="4"/>
      <c r="I3540" s="5"/>
      <c r="J3540" s="5" t="s">
        <v>1337</v>
      </c>
      <c r="K3540" s="5" t="s">
        <v>1338</v>
      </c>
      <c r="L3540" s="5"/>
      <c r="M3540" s="5" t="s">
        <v>96</v>
      </c>
      <c r="N3540" s="5" t="s">
        <v>284</v>
      </c>
      <c r="O3540" s="5" t="s">
        <v>1170</v>
      </c>
      <c r="P3540" s="5"/>
      <c r="Q3540" s="5" t="s">
        <v>1339</v>
      </c>
    </row>
    <row r="3541" spans="2:17" x14ac:dyDescent="0.2">
      <c r="B3541" s="5" t="s">
        <v>544</v>
      </c>
      <c r="C3541" s="6" t="s">
        <v>13587</v>
      </c>
      <c r="D3541" s="4">
        <v>132</v>
      </c>
      <c r="E3541" s="5" t="s">
        <v>82</v>
      </c>
      <c r="F3541" s="5" t="s">
        <v>1014</v>
      </c>
      <c r="G3541" s="6" t="s">
        <v>1015</v>
      </c>
      <c r="H3541" s="4"/>
      <c r="I3541" s="5"/>
      <c r="J3541" s="5" t="s">
        <v>1016</v>
      </c>
      <c r="K3541" s="5" t="s">
        <v>584</v>
      </c>
      <c r="L3541" s="5"/>
      <c r="M3541" s="5" t="s">
        <v>197</v>
      </c>
      <c r="N3541" s="5" t="s">
        <v>197</v>
      </c>
      <c r="O3541" s="5" t="s">
        <v>549</v>
      </c>
      <c r="P3541" s="5"/>
      <c r="Q3541" s="5" t="s">
        <v>1017</v>
      </c>
    </row>
    <row r="3542" spans="2:17" x14ac:dyDescent="0.2">
      <c r="B3542" s="5" t="s">
        <v>92</v>
      </c>
      <c r="C3542" s="6" t="s">
        <v>13587</v>
      </c>
      <c r="D3542" s="4">
        <v>2</v>
      </c>
      <c r="E3542" s="5" t="s">
        <v>20</v>
      </c>
      <c r="F3542" s="5" t="s">
        <v>238</v>
      </c>
      <c r="G3542" s="6" t="s">
        <v>39</v>
      </c>
      <c r="H3542" s="4"/>
      <c r="I3542" s="5" t="s">
        <v>22</v>
      </c>
      <c r="J3542" s="5" t="s">
        <v>239</v>
      </c>
      <c r="K3542" s="5" t="s">
        <v>169</v>
      </c>
      <c r="L3542" s="5"/>
      <c r="M3542" s="5" t="s">
        <v>240</v>
      </c>
      <c r="N3542" s="5" t="s">
        <v>241</v>
      </c>
      <c r="O3542" s="5" t="s">
        <v>107</v>
      </c>
      <c r="P3542" s="5"/>
      <c r="Q3542" s="5" t="s">
        <v>242</v>
      </c>
    </row>
    <row r="3543" spans="2:17" x14ac:dyDescent="0.2">
      <c r="B3543" s="5" t="s">
        <v>92</v>
      </c>
      <c r="C3543" s="6" t="s">
        <v>13587</v>
      </c>
      <c r="D3543" s="4">
        <v>21</v>
      </c>
      <c r="E3543" s="5" t="s">
        <v>20</v>
      </c>
      <c r="F3543" s="5" t="s">
        <v>134</v>
      </c>
      <c r="G3543" s="6" t="s">
        <v>39</v>
      </c>
      <c r="H3543" s="4"/>
      <c r="I3543" s="5" t="s">
        <v>22</v>
      </c>
      <c r="J3543" s="5" t="s">
        <v>135</v>
      </c>
      <c r="K3543" s="5" t="s">
        <v>136</v>
      </c>
      <c r="L3543" s="5"/>
      <c r="M3543" s="5" t="s">
        <v>137</v>
      </c>
      <c r="N3543" s="5" t="s">
        <v>138</v>
      </c>
      <c r="O3543" s="5" t="s">
        <v>98</v>
      </c>
      <c r="P3543" s="5"/>
      <c r="Q3543" s="5" t="s">
        <v>139</v>
      </c>
    </row>
    <row r="3544" spans="2:17" x14ac:dyDescent="0.2">
      <c r="B3544" s="5" t="s">
        <v>278</v>
      </c>
      <c r="C3544" s="6" t="s">
        <v>13587</v>
      </c>
      <c r="D3544" s="4">
        <v>50</v>
      </c>
      <c r="E3544" s="5" t="s">
        <v>20</v>
      </c>
      <c r="F3544" s="5" t="s">
        <v>434</v>
      </c>
      <c r="G3544" s="6" t="s">
        <v>39</v>
      </c>
      <c r="H3544" s="4"/>
      <c r="I3544" s="5" t="s">
        <v>22</v>
      </c>
      <c r="J3544" s="5" t="s">
        <v>435</v>
      </c>
      <c r="K3544" s="5"/>
      <c r="L3544" s="5" t="s">
        <v>436</v>
      </c>
      <c r="M3544" s="5" t="s">
        <v>437</v>
      </c>
      <c r="N3544" s="5" t="s">
        <v>153</v>
      </c>
      <c r="O3544" s="5" t="s">
        <v>372</v>
      </c>
      <c r="P3544" s="5"/>
      <c r="Q3544" s="5" t="s">
        <v>286</v>
      </c>
    </row>
    <row r="3545" spans="2:17" x14ac:dyDescent="0.2">
      <c r="B3545" s="5" t="s">
        <v>544</v>
      </c>
      <c r="C3545" s="6" t="s">
        <v>13587</v>
      </c>
      <c r="D3545" s="4">
        <v>118</v>
      </c>
      <c r="E3545" s="5" t="s">
        <v>24</v>
      </c>
      <c r="F3545" s="5" t="s">
        <v>1045</v>
      </c>
      <c r="G3545" s="6" t="s">
        <v>39</v>
      </c>
      <c r="H3545" s="4"/>
      <c r="I3545" s="5"/>
      <c r="J3545" s="5" t="s">
        <v>1046</v>
      </c>
      <c r="K3545" s="5" t="s">
        <v>1047</v>
      </c>
      <c r="L3545" s="5"/>
      <c r="M3545" s="5" t="s">
        <v>1043</v>
      </c>
      <c r="N3545" s="5" t="s">
        <v>1043</v>
      </c>
      <c r="O3545" s="5" t="s">
        <v>588</v>
      </c>
      <c r="P3545" s="5"/>
      <c r="Q3545" s="5" t="s">
        <v>1048</v>
      </c>
    </row>
    <row r="3546" spans="2:17" x14ac:dyDescent="0.2">
      <c r="B3546" s="5" t="s">
        <v>544</v>
      </c>
      <c r="C3546" s="6" t="s">
        <v>13587</v>
      </c>
      <c r="D3546" s="4">
        <v>123</v>
      </c>
      <c r="E3546" s="5" t="s">
        <v>20</v>
      </c>
      <c r="F3546" s="5" t="s">
        <v>953</v>
      </c>
      <c r="G3546" s="6" t="s">
        <v>39</v>
      </c>
      <c r="H3546" s="4"/>
      <c r="I3546" s="5" t="s">
        <v>22</v>
      </c>
      <c r="J3546" s="5" t="s">
        <v>954</v>
      </c>
      <c r="K3546" s="5" t="s">
        <v>763</v>
      </c>
      <c r="L3546" s="5"/>
      <c r="M3546" s="5" t="s">
        <v>197</v>
      </c>
      <c r="N3546" s="5" t="s">
        <v>197</v>
      </c>
      <c r="O3546" s="5" t="s">
        <v>623</v>
      </c>
      <c r="P3546" s="5"/>
      <c r="Q3546" s="5" t="s">
        <v>955</v>
      </c>
    </row>
    <row r="3547" spans="2:17" x14ac:dyDescent="0.2">
      <c r="B3547" s="5" t="s">
        <v>544</v>
      </c>
      <c r="C3547" s="6" t="s">
        <v>13587</v>
      </c>
      <c r="D3547" s="4">
        <v>178</v>
      </c>
      <c r="E3547" s="5" t="s">
        <v>20</v>
      </c>
      <c r="F3547" s="5" t="s">
        <v>802</v>
      </c>
      <c r="G3547" s="6" t="s">
        <v>39</v>
      </c>
      <c r="H3547" s="4"/>
      <c r="I3547" s="5" t="s">
        <v>22</v>
      </c>
      <c r="J3547" s="5" t="s">
        <v>803</v>
      </c>
      <c r="K3547" s="5" t="s">
        <v>763</v>
      </c>
      <c r="L3547" s="5"/>
      <c r="M3547" s="5" t="s">
        <v>804</v>
      </c>
      <c r="N3547" s="5" t="s">
        <v>804</v>
      </c>
      <c r="O3547" s="5" t="s">
        <v>623</v>
      </c>
      <c r="P3547" s="5"/>
      <c r="Q3547" s="5" t="s">
        <v>805</v>
      </c>
    </row>
    <row r="3548" spans="2:17" x14ac:dyDescent="0.2">
      <c r="B3548" s="5" t="s">
        <v>544</v>
      </c>
      <c r="C3548" s="6" t="s">
        <v>13587</v>
      </c>
      <c r="D3548" s="4">
        <v>181</v>
      </c>
      <c r="E3548" s="5" t="s">
        <v>20</v>
      </c>
      <c r="F3548" s="5" t="s">
        <v>806</v>
      </c>
      <c r="G3548" s="6" t="s">
        <v>39</v>
      </c>
      <c r="H3548" s="4"/>
      <c r="I3548" s="5" t="s">
        <v>22</v>
      </c>
      <c r="J3548" s="5" t="s">
        <v>807</v>
      </c>
      <c r="K3548" s="5" t="s">
        <v>734</v>
      </c>
      <c r="L3548" s="5"/>
      <c r="M3548" s="5" t="s">
        <v>804</v>
      </c>
      <c r="N3548" s="5" t="s">
        <v>346</v>
      </c>
      <c r="O3548" s="5" t="s">
        <v>683</v>
      </c>
      <c r="P3548" s="5"/>
      <c r="Q3548" s="5" t="s">
        <v>808</v>
      </c>
    </row>
    <row r="3549" spans="2:17" x14ac:dyDescent="0.2">
      <c r="B3549" s="5" t="s">
        <v>544</v>
      </c>
      <c r="C3549" s="6" t="s">
        <v>13587</v>
      </c>
      <c r="D3549" s="4">
        <v>196</v>
      </c>
      <c r="E3549" s="5" t="s">
        <v>20</v>
      </c>
      <c r="F3549" s="5" t="s">
        <v>693</v>
      </c>
      <c r="G3549" s="6" t="s">
        <v>39</v>
      </c>
      <c r="H3549" s="4"/>
      <c r="I3549" s="5" t="s">
        <v>22</v>
      </c>
      <c r="J3549" s="5" t="s">
        <v>694</v>
      </c>
      <c r="K3549" s="5" t="s">
        <v>695</v>
      </c>
      <c r="L3549" s="5"/>
      <c r="M3549" s="5" t="s">
        <v>336</v>
      </c>
      <c r="N3549" s="5" t="s">
        <v>337</v>
      </c>
      <c r="O3549" s="5" t="s">
        <v>683</v>
      </c>
      <c r="P3549" s="5"/>
      <c r="Q3549" s="5" t="s">
        <v>696</v>
      </c>
    </row>
    <row r="3550" spans="2:17" x14ac:dyDescent="0.2">
      <c r="B3550" s="5" t="s">
        <v>544</v>
      </c>
      <c r="C3550" s="6" t="s">
        <v>13587</v>
      </c>
      <c r="D3550" s="4">
        <v>289</v>
      </c>
      <c r="E3550" s="5" t="s">
        <v>35</v>
      </c>
      <c r="F3550" s="5" t="s">
        <v>858</v>
      </c>
      <c r="G3550" s="6" t="s">
        <v>39</v>
      </c>
      <c r="H3550" s="4"/>
      <c r="I3550" s="5"/>
      <c r="J3550" s="5" t="s">
        <v>859</v>
      </c>
      <c r="K3550" s="5" t="s">
        <v>860</v>
      </c>
      <c r="L3550" s="5"/>
      <c r="M3550" s="5" t="s">
        <v>843</v>
      </c>
      <c r="N3550" s="5" t="s">
        <v>843</v>
      </c>
      <c r="O3550" s="5" t="s">
        <v>588</v>
      </c>
      <c r="P3550" s="5"/>
      <c r="Q3550" s="5" t="s">
        <v>861</v>
      </c>
    </row>
    <row r="3551" spans="2:17" x14ac:dyDescent="0.2">
      <c r="B3551" s="5" t="s">
        <v>1164</v>
      </c>
      <c r="C3551" s="6" t="s">
        <v>13587</v>
      </c>
      <c r="D3551" s="4">
        <v>330</v>
      </c>
      <c r="E3551" s="5" t="s">
        <v>35</v>
      </c>
      <c r="F3551" s="5" t="s">
        <v>1604</v>
      </c>
      <c r="G3551" s="6" t="s">
        <v>39</v>
      </c>
      <c r="H3551" s="4"/>
      <c r="I3551" s="5"/>
      <c r="J3551" s="5" t="s">
        <v>1605</v>
      </c>
      <c r="K3551" s="5" t="s">
        <v>1179</v>
      </c>
      <c r="L3551" s="5"/>
      <c r="M3551" s="5" t="s">
        <v>938</v>
      </c>
      <c r="N3551" s="5" t="s">
        <v>461</v>
      </c>
      <c r="O3551" s="5" t="s">
        <v>1167</v>
      </c>
      <c r="P3551" s="5"/>
      <c r="Q3551" s="5" t="s">
        <v>1606</v>
      </c>
    </row>
    <row r="3552" spans="2:17" x14ac:dyDescent="0.2">
      <c r="B3552" s="5" t="s">
        <v>1164</v>
      </c>
      <c r="C3552" s="6" t="s">
        <v>13587</v>
      </c>
      <c r="D3552" s="4">
        <v>340</v>
      </c>
      <c r="E3552" s="5" t="s">
        <v>20</v>
      </c>
      <c r="F3552" s="5" t="s">
        <v>1553</v>
      </c>
      <c r="G3552" s="6" t="s">
        <v>39</v>
      </c>
      <c r="H3552" s="4"/>
      <c r="I3552" s="5" t="s">
        <v>22</v>
      </c>
      <c r="J3552" s="5" t="s">
        <v>1554</v>
      </c>
      <c r="K3552" s="5" t="s">
        <v>1174</v>
      </c>
      <c r="L3552" s="5"/>
      <c r="M3552" s="5" t="s">
        <v>157</v>
      </c>
      <c r="N3552" s="5" t="s">
        <v>153</v>
      </c>
      <c r="O3552" s="5" t="s">
        <v>1173</v>
      </c>
      <c r="P3552" s="5"/>
      <c r="Q3552" s="5" t="s">
        <v>1555</v>
      </c>
    </row>
    <row r="3553" spans="2:17" x14ac:dyDescent="0.2">
      <c r="B3553" s="5" t="s">
        <v>1164</v>
      </c>
      <c r="C3553" s="6" t="s">
        <v>13587</v>
      </c>
      <c r="D3553" s="4">
        <v>366</v>
      </c>
      <c r="E3553" s="5" t="s">
        <v>13</v>
      </c>
      <c r="F3553" s="5" t="s">
        <v>1367</v>
      </c>
      <c r="G3553" s="6" t="s">
        <v>39</v>
      </c>
      <c r="H3553" s="4"/>
      <c r="I3553" s="5"/>
      <c r="J3553" s="5" t="s">
        <v>1407</v>
      </c>
      <c r="K3553" s="5" t="s">
        <v>1179</v>
      </c>
      <c r="L3553" s="5"/>
      <c r="M3553" s="5" t="s">
        <v>1384</v>
      </c>
      <c r="N3553" s="5" t="s">
        <v>1384</v>
      </c>
      <c r="O3553" s="5" t="s">
        <v>1167</v>
      </c>
      <c r="P3553" s="5"/>
      <c r="Q3553" s="5" t="s">
        <v>1408</v>
      </c>
    </row>
    <row r="3554" spans="2:17" x14ac:dyDescent="0.2">
      <c r="B3554" s="5" t="s">
        <v>1164</v>
      </c>
      <c r="C3554" s="6" t="s">
        <v>13587</v>
      </c>
      <c r="D3554" s="4">
        <v>369</v>
      </c>
      <c r="E3554" s="5" t="s">
        <v>35</v>
      </c>
      <c r="F3554" s="5" t="s">
        <v>1370</v>
      </c>
      <c r="G3554" s="6" t="s">
        <v>39</v>
      </c>
      <c r="H3554" s="4"/>
      <c r="I3554" s="5"/>
      <c r="J3554" s="5" t="s">
        <v>1371</v>
      </c>
      <c r="K3554" s="5" t="s">
        <v>1372</v>
      </c>
      <c r="L3554" s="5"/>
      <c r="M3554" s="5" t="s">
        <v>1365</v>
      </c>
      <c r="N3554" s="5" t="s">
        <v>1365</v>
      </c>
      <c r="O3554" s="5" t="s">
        <v>1173</v>
      </c>
      <c r="P3554" s="5"/>
      <c r="Q3554" s="5" t="s">
        <v>1373</v>
      </c>
    </row>
    <row r="3555" spans="2:17" x14ac:dyDescent="0.2">
      <c r="B3555" s="5" t="s">
        <v>1164</v>
      </c>
      <c r="C3555" s="6" t="s">
        <v>13587</v>
      </c>
      <c r="D3555" s="4">
        <v>371</v>
      </c>
      <c r="E3555" s="5" t="s">
        <v>13</v>
      </c>
      <c r="F3555" s="5" t="s">
        <v>1367</v>
      </c>
      <c r="G3555" s="6" t="s">
        <v>39</v>
      </c>
      <c r="H3555" s="4"/>
      <c r="I3555" s="5"/>
      <c r="J3555" s="5" t="s">
        <v>1368</v>
      </c>
      <c r="K3555" s="5" t="s">
        <v>1179</v>
      </c>
      <c r="L3555" s="5"/>
      <c r="M3555" s="5" t="s">
        <v>1365</v>
      </c>
      <c r="N3555" s="5" t="s">
        <v>1365</v>
      </c>
      <c r="O3555" s="5" t="s">
        <v>1167</v>
      </c>
      <c r="P3555" s="5"/>
      <c r="Q3555" s="5" t="s">
        <v>1369</v>
      </c>
    </row>
    <row r="3556" spans="2:17" x14ac:dyDescent="0.2">
      <c r="B3556" s="5" t="s">
        <v>1164</v>
      </c>
      <c r="C3556" s="6" t="s">
        <v>13587</v>
      </c>
      <c r="D3556" s="4">
        <v>403</v>
      </c>
      <c r="E3556" s="5" t="s">
        <v>24</v>
      </c>
      <c r="F3556" s="5" t="s">
        <v>1281</v>
      </c>
      <c r="G3556" s="6" t="s">
        <v>39</v>
      </c>
      <c r="H3556" s="4"/>
      <c r="I3556" s="5"/>
      <c r="J3556" s="5" t="s">
        <v>1282</v>
      </c>
      <c r="K3556" s="5" t="s">
        <v>1174</v>
      </c>
      <c r="L3556" s="5"/>
      <c r="M3556" s="5" t="s">
        <v>573</v>
      </c>
      <c r="N3556" s="5" t="s">
        <v>573</v>
      </c>
      <c r="O3556" s="5" t="s">
        <v>1173</v>
      </c>
      <c r="P3556" s="5"/>
      <c r="Q3556" s="5" t="s">
        <v>1283</v>
      </c>
    </row>
    <row r="3557" spans="2:17" x14ac:dyDescent="0.2">
      <c r="B3557" s="5" t="s">
        <v>1164</v>
      </c>
      <c r="C3557" s="6" t="s">
        <v>13587</v>
      </c>
      <c r="D3557" s="4">
        <v>404</v>
      </c>
      <c r="E3557" s="5" t="s">
        <v>24</v>
      </c>
      <c r="F3557" s="5" t="s">
        <v>1281</v>
      </c>
      <c r="G3557" s="6" t="s">
        <v>39</v>
      </c>
      <c r="H3557" s="4"/>
      <c r="I3557" s="5"/>
      <c r="J3557" s="5" t="s">
        <v>1284</v>
      </c>
      <c r="K3557" s="5" t="s">
        <v>1285</v>
      </c>
      <c r="L3557" s="5"/>
      <c r="M3557" s="5" t="s">
        <v>573</v>
      </c>
      <c r="N3557" s="5" t="s">
        <v>573</v>
      </c>
      <c r="O3557" s="5" t="s">
        <v>1180</v>
      </c>
      <c r="P3557" s="5"/>
      <c r="Q3557" s="5" t="s">
        <v>1286</v>
      </c>
    </row>
    <row r="3558" spans="2:17" x14ac:dyDescent="0.2">
      <c r="B3558" s="5" t="s">
        <v>1164</v>
      </c>
      <c r="C3558" s="6" t="s">
        <v>13587</v>
      </c>
      <c r="D3558" s="4">
        <v>407</v>
      </c>
      <c r="E3558" s="5" t="s">
        <v>13</v>
      </c>
      <c r="F3558" s="5" t="s">
        <v>1256</v>
      </c>
      <c r="G3558" s="6" t="s">
        <v>39</v>
      </c>
      <c r="H3558" s="4"/>
      <c r="I3558" s="5"/>
      <c r="J3558" s="5" t="s">
        <v>1257</v>
      </c>
      <c r="K3558" s="5" t="s">
        <v>1194</v>
      </c>
      <c r="L3558" s="5"/>
      <c r="M3558" s="5" t="s">
        <v>1258</v>
      </c>
      <c r="N3558" s="5" t="s">
        <v>1258</v>
      </c>
      <c r="O3558" s="5" t="s">
        <v>1170</v>
      </c>
      <c r="P3558" s="5"/>
      <c r="Q3558" s="5" t="s">
        <v>1259</v>
      </c>
    </row>
    <row r="3559" spans="2:17" x14ac:dyDescent="0.2">
      <c r="B3559" s="5" t="s">
        <v>1164</v>
      </c>
      <c r="C3559" s="6" t="s">
        <v>13587</v>
      </c>
      <c r="D3559" s="4">
        <v>412</v>
      </c>
      <c r="E3559" s="5" t="s">
        <v>24</v>
      </c>
      <c r="F3559" s="5" t="s">
        <v>1243</v>
      </c>
      <c r="G3559" s="6" t="s">
        <v>39</v>
      </c>
      <c r="H3559" s="4"/>
      <c r="I3559" s="5"/>
      <c r="J3559" s="5" t="s">
        <v>1244</v>
      </c>
      <c r="K3559" s="5" t="s">
        <v>1245</v>
      </c>
      <c r="L3559" s="5" t="s">
        <v>1246</v>
      </c>
      <c r="M3559" s="5" t="s">
        <v>1247</v>
      </c>
      <c r="N3559" s="5" t="s">
        <v>1247</v>
      </c>
      <c r="O3559" s="5" t="s">
        <v>1170</v>
      </c>
      <c r="P3559" s="5"/>
      <c r="Q3559" s="5" t="s">
        <v>1248</v>
      </c>
    </row>
    <row r="3560" spans="2:17" x14ac:dyDescent="0.2">
      <c r="B3560" s="5" t="s">
        <v>2292</v>
      </c>
      <c r="C3560" s="6" t="s">
        <v>13587</v>
      </c>
      <c r="D3560" s="4">
        <v>660</v>
      </c>
      <c r="E3560" s="5" t="s">
        <v>20</v>
      </c>
      <c r="F3560" s="5" t="s">
        <v>2353</v>
      </c>
      <c r="G3560" s="6" t="s">
        <v>39</v>
      </c>
      <c r="H3560" s="4"/>
      <c r="I3560" s="5" t="s">
        <v>38</v>
      </c>
      <c r="J3560" s="5" t="s">
        <v>2354</v>
      </c>
      <c r="K3560" s="5" t="s">
        <v>2355</v>
      </c>
      <c r="L3560" s="5"/>
      <c r="M3560" s="5" t="s">
        <v>1928</v>
      </c>
      <c r="N3560" s="5" t="s">
        <v>1929</v>
      </c>
      <c r="O3560" s="5"/>
      <c r="P3560" s="5"/>
      <c r="Q3560" s="5" t="s">
        <v>2356</v>
      </c>
    </row>
    <row r="3561" spans="2:17" x14ac:dyDescent="0.2">
      <c r="B3561" s="5" t="s">
        <v>2432</v>
      </c>
      <c r="C3561" s="6" t="s">
        <v>13587</v>
      </c>
      <c r="D3561" s="4">
        <v>690</v>
      </c>
      <c r="E3561" s="5" t="s">
        <v>24</v>
      </c>
      <c r="F3561" s="5" t="s">
        <v>2510</v>
      </c>
      <c r="G3561" s="6" t="s">
        <v>39</v>
      </c>
      <c r="H3561" s="4"/>
      <c r="I3561" s="5"/>
      <c r="J3561" s="5" t="s">
        <v>2511</v>
      </c>
      <c r="K3561" s="5" t="s">
        <v>2491</v>
      </c>
      <c r="L3561" s="5"/>
      <c r="M3561" s="5" t="s">
        <v>179</v>
      </c>
      <c r="N3561" s="5" t="s">
        <v>1596</v>
      </c>
      <c r="O3561" s="5" t="s">
        <v>2441</v>
      </c>
      <c r="P3561" s="5"/>
      <c r="Q3561" s="5" t="s">
        <v>2512</v>
      </c>
    </row>
    <row r="3562" spans="2:17" x14ac:dyDescent="0.2">
      <c r="B3562" s="5" t="s">
        <v>2535</v>
      </c>
      <c r="C3562" s="6" t="s">
        <v>13587</v>
      </c>
      <c r="D3562" s="4">
        <v>718</v>
      </c>
      <c r="E3562" s="5" t="s">
        <v>35</v>
      </c>
      <c r="F3562" s="5" t="s">
        <v>2713</v>
      </c>
      <c r="G3562" s="6" t="s">
        <v>39</v>
      </c>
      <c r="H3562" s="4"/>
      <c r="I3562" s="5"/>
      <c r="J3562" s="5" t="s">
        <v>88</v>
      </c>
      <c r="K3562" s="5" t="s">
        <v>2714</v>
      </c>
      <c r="L3562" s="5"/>
      <c r="M3562" s="5" t="s">
        <v>207</v>
      </c>
      <c r="N3562" s="5" t="s">
        <v>207</v>
      </c>
      <c r="O3562" s="5" t="s">
        <v>2539</v>
      </c>
      <c r="P3562" s="5"/>
      <c r="Q3562" s="5" t="s">
        <v>2715</v>
      </c>
    </row>
    <row r="3563" spans="2:17" x14ac:dyDescent="0.2">
      <c r="B3563" s="5" t="s">
        <v>2758</v>
      </c>
      <c r="C3563" s="6" t="s">
        <v>13587</v>
      </c>
      <c r="D3563" s="4">
        <v>854</v>
      </c>
      <c r="E3563" s="5" t="s">
        <v>15</v>
      </c>
      <c r="F3563" s="5" t="s">
        <v>3233</v>
      </c>
      <c r="G3563" s="6" t="s">
        <v>39</v>
      </c>
      <c r="H3563" s="4"/>
      <c r="I3563" s="5"/>
      <c r="J3563" s="5" t="s">
        <v>3233</v>
      </c>
      <c r="K3563" s="5" t="s">
        <v>2767</v>
      </c>
      <c r="L3563" s="5"/>
      <c r="M3563" s="5" t="s">
        <v>157</v>
      </c>
      <c r="N3563" s="5" t="s">
        <v>157</v>
      </c>
      <c r="O3563" s="5" t="s">
        <v>2762</v>
      </c>
      <c r="P3563" s="5"/>
      <c r="Q3563" s="5" t="s">
        <v>3234</v>
      </c>
    </row>
    <row r="3564" spans="2:17" x14ac:dyDescent="0.2">
      <c r="B3564" s="5" t="s">
        <v>2758</v>
      </c>
      <c r="C3564" s="6" t="s">
        <v>13587</v>
      </c>
      <c r="D3564" s="4">
        <v>855</v>
      </c>
      <c r="E3564" s="5" t="s">
        <v>20</v>
      </c>
      <c r="F3564" s="5" t="s">
        <v>3219</v>
      </c>
      <c r="G3564" s="6" t="s">
        <v>39</v>
      </c>
      <c r="H3564" s="4"/>
      <c r="I3564" s="5" t="s">
        <v>22</v>
      </c>
      <c r="J3564" s="5" t="s">
        <v>3224</v>
      </c>
      <c r="K3564" s="5" t="s">
        <v>2796</v>
      </c>
      <c r="L3564" s="5"/>
      <c r="M3564" s="5" t="s">
        <v>437</v>
      </c>
      <c r="N3564" s="5" t="s">
        <v>437</v>
      </c>
      <c r="O3564" s="5" t="s">
        <v>2765</v>
      </c>
      <c r="P3564" s="5"/>
      <c r="Q3564" s="5" t="s">
        <v>3225</v>
      </c>
    </row>
    <row r="3565" spans="2:17" x14ac:dyDescent="0.2">
      <c r="B3565" s="5" t="s">
        <v>2758</v>
      </c>
      <c r="C3565" s="6" t="s">
        <v>13587</v>
      </c>
      <c r="D3565" s="4">
        <v>858</v>
      </c>
      <c r="E3565" s="5" t="s">
        <v>20</v>
      </c>
      <c r="F3565" s="5" t="s">
        <v>3219</v>
      </c>
      <c r="G3565" s="6" t="s">
        <v>39</v>
      </c>
      <c r="H3565" s="4"/>
      <c r="I3565" s="5" t="s">
        <v>22</v>
      </c>
      <c r="J3565" s="5" t="s">
        <v>3220</v>
      </c>
      <c r="K3565" s="5" t="s">
        <v>2767</v>
      </c>
      <c r="L3565" s="5"/>
      <c r="M3565" s="5" t="s">
        <v>153</v>
      </c>
      <c r="N3565" s="5" t="s">
        <v>153</v>
      </c>
      <c r="O3565" s="5" t="s">
        <v>2762</v>
      </c>
      <c r="P3565" s="5"/>
      <c r="Q3565" s="5" t="s">
        <v>3221</v>
      </c>
    </row>
    <row r="3566" spans="2:17" x14ac:dyDescent="0.2">
      <c r="B3566" s="5" t="s">
        <v>2758</v>
      </c>
      <c r="C3566" s="6" t="s">
        <v>13587</v>
      </c>
      <c r="D3566" s="4">
        <v>867</v>
      </c>
      <c r="E3566" s="5" t="s">
        <v>24</v>
      </c>
      <c r="F3566" s="5" t="s">
        <v>3192</v>
      </c>
      <c r="G3566" s="6" t="s">
        <v>39</v>
      </c>
      <c r="H3566" s="4"/>
      <c r="I3566" s="5"/>
      <c r="J3566" s="5" t="s">
        <v>3195</v>
      </c>
      <c r="K3566" s="5" t="s">
        <v>2771</v>
      </c>
      <c r="L3566" s="5"/>
      <c r="M3566" s="5" t="s">
        <v>426</v>
      </c>
      <c r="N3566" s="5" t="s">
        <v>426</v>
      </c>
      <c r="O3566" s="5" t="s">
        <v>2762</v>
      </c>
      <c r="P3566" s="5"/>
      <c r="Q3566" s="5" t="s">
        <v>3196</v>
      </c>
    </row>
    <row r="3567" spans="2:17" x14ac:dyDescent="0.2">
      <c r="B3567" s="5" t="s">
        <v>2758</v>
      </c>
      <c r="C3567" s="6" t="s">
        <v>13587</v>
      </c>
      <c r="D3567" s="4">
        <v>869</v>
      </c>
      <c r="E3567" s="5" t="s">
        <v>24</v>
      </c>
      <c r="F3567" s="5" t="s">
        <v>3192</v>
      </c>
      <c r="G3567" s="6" t="s">
        <v>39</v>
      </c>
      <c r="H3567" s="4"/>
      <c r="I3567" s="5"/>
      <c r="J3567" s="5" t="s">
        <v>3193</v>
      </c>
      <c r="K3567" s="5" t="s">
        <v>2771</v>
      </c>
      <c r="L3567" s="5"/>
      <c r="M3567" s="5" t="s">
        <v>422</v>
      </c>
      <c r="N3567" s="5" t="s">
        <v>422</v>
      </c>
      <c r="O3567" s="5" t="s">
        <v>2762</v>
      </c>
      <c r="P3567" s="5"/>
      <c r="Q3567" s="5" t="s">
        <v>3194</v>
      </c>
    </row>
    <row r="3568" spans="2:17" x14ac:dyDescent="0.2">
      <c r="B3568" s="5" t="s">
        <v>2758</v>
      </c>
      <c r="C3568" s="6" t="s">
        <v>13587</v>
      </c>
      <c r="D3568" s="4">
        <v>952</v>
      </c>
      <c r="E3568" s="5" t="s">
        <v>13</v>
      </c>
      <c r="F3568" s="5" t="s">
        <v>2877</v>
      </c>
      <c r="G3568" s="6" t="s">
        <v>39</v>
      </c>
      <c r="H3568" s="4"/>
      <c r="I3568" s="5"/>
      <c r="J3568" s="5" t="s">
        <v>2877</v>
      </c>
      <c r="K3568" s="5" t="s">
        <v>2773</v>
      </c>
      <c r="L3568" s="5"/>
      <c r="M3568" s="5" t="s">
        <v>1915</v>
      </c>
      <c r="N3568" s="5" t="s">
        <v>1915</v>
      </c>
      <c r="O3568" s="5" t="s">
        <v>2762</v>
      </c>
      <c r="P3568" s="5"/>
      <c r="Q3568" s="5" t="s">
        <v>2878</v>
      </c>
    </row>
    <row r="3569" spans="2:17" x14ac:dyDescent="0.2">
      <c r="B3569" s="5" t="s">
        <v>2758</v>
      </c>
      <c r="C3569" s="6" t="s">
        <v>13587</v>
      </c>
      <c r="D3569" s="4">
        <v>955</v>
      </c>
      <c r="E3569" s="5" t="s">
        <v>20</v>
      </c>
      <c r="F3569" s="5" t="s">
        <v>2861</v>
      </c>
      <c r="G3569" s="6" t="s">
        <v>39</v>
      </c>
      <c r="H3569" s="4"/>
      <c r="I3569" s="5" t="s">
        <v>22</v>
      </c>
      <c r="J3569" s="5" t="s">
        <v>2862</v>
      </c>
      <c r="K3569" s="5" t="s">
        <v>2778</v>
      </c>
      <c r="L3569" s="5"/>
      <c r="M3569" s="5" t="s">
        <v>2863</v>
      </c>
      <c r="N3569" s="5" t="s">
        <v>2863</v>
      </c>
      <c r="O3569" s="5" t="s">
        <v>2762</v>
      </c>
      <c r="P3569" s="5"/>
      <c r="Q3569" s="5" t="s">
        <v>2864</v>
      </c>
    </row>
    <row r="3570" spans="2:17" x14ac:dyDescent="0.2">
      <c r="B3570" s="5" t="s">
        <v>2758</v>
      </c>
      <c r="C3570" s="6" t="s">
        <v>13587</v>
      </c>
      <c r="D3570" s="4">
        <v>959</v>
      </c>
      <c r="E3570" s="5" t="s">
        <v>24</v>
      </c>
      <c r="F3570" s="5" t="s">
        <v>2850</v>
      </c>
      <c r="G3570" s="6" t="s">
        <v>39</v>
      </c>
      <c r="H3570" s="4"/>
      <c r="I3570" s="5"/>
      <c r="J3570" s="5" t="s">
        <v>2850</v>
      </c>
      <c r="K3570" s="5" t="s">
        <v>2773</v>
      </c>
      <c r="L3570" s="5" t="s">
        <v>2851</v>
      </c>
      <c r="M3570" s="5" t="s">
        <v>2852</v>
      </c>
      <c r="N3570" s="5" t="s">
        <v>2852</v>
      </c>
      <c r="O3570" s="5" t="s">
        <v>2762</v>
      </c>
      <c r="P3570" s="5"/>
      <c r="Q3570" s="5" t="s">
        <v>2853</v>
      </c>
    </row>
    <row r="3571" spans="2:17" x14ac:dyDescent="0.2">
      <c r="B3571" s="5" t="s">
        <v>3543</v>
      </c>
      <c r="C3571" s="6" t="s">
        <v>13587</v>
      </c>
      <c r="D3571" s="4">
        <v>1034</v>
      </c>
      <c r="E3571" s="5" t="s">
        <v>20</v>
      </c>
      <c r="F3571" s="5" t="s">
        <v>3722</v>
      </c>
      <c r="G3571" s="6" t="s">
        <v>39</v>
      </c>
      <c r="H3571" s="4"/>
      <c r="I3571" s="5" t="s">
        <v>22</v>
      </c>
      <c r="J3571" s="5" t="s">
        <v>3723</v>
      </c>
      <c r="K3571" s="5"/>
      <c r="L3571" s="5"/>
      <c r="M3571" s="5" t="s">
        <v>2708</v>
      </c>
      <c r="N3571" s="5" t="s">
        <v>461</v>
      </c>
      <c r="O3571" s="5" t="s">
        <v>3570</v>
      </c>
      <c r="P3571" s="5"/>
      <c r="Q3571" s="5" t="s">
        <v>3548</v>
      </c>
    </row>
    <row r="3572" spans="2:17" x14ac:dyDescent="0.2">
      <c r="B3572" s="5" t="s">
        <v>3543</v>
      </c>
      <c r="C3572" s="6" t="s">
        <v>13587</v>
      </c>
      <c r="D3572" s="4">
        <v>1087</v>
      </c>
      <c r="E3572" s="5" t="s">
        <v>20</v>
      </c>
      <c r="F3572" s="5" t="s">
        <v>3590</v>
      </c>
      <c r="G3572" s="6" t="s">
        <v>39</v>
      </c>
      <c r="H3572" s="4"/>
      <c r="I3572" s="5" t="s">
        <v>22</v>
      </c>
      <c r="J3572" s="5" t="s">
        <v>3591</v>
      </c>
      <c r="K3572" s="5" t="s">
        <v>3592</v>
      </c>
      <c r="L3572" s="5" t="s">
        <v>3593</v>
      </c>
      <c r="M3572" s="5" t="s">
        <v>112</v>
      </c>
      <c r="N3572" s="5" t="s">
        <v>1962</v>
      </c>
      <c r="O3572" s="5" t="s">
        <v>3551</v>
      </c>
      <c r="P3572" s="5"/>
      <c r="Q3572" s="5" t="s">
        <v>3548</v>
      </c>
    </row>
    <row r="3573" spans="2:17" x14ac:dyDescent="0.2">
      <c r="B3573" s="5" t="s">
        <v>3543</v>
      </c>
      <c r="C3573" s="6" t="s">
        <v>13587</v>
      </c>
      <c r="D3573" s="4">
        <v>1088</v>
      </c>
      <c r="E3573" s="5" t="s">
        <v>20</v>
      </c>
      <c r="F3573" s="5" t="s">
        <v>3590</v>
      </c>
      <c r="G3573" s="6" t="s">
        <v>39</v>
      </c>
      <c r="H3573" s="4"/>
      <c r="I3573" s="5" t="s">
        <v>22</v>
      </c>
      <c r="J3573" s="5" t="s">
        <v>3594</v>
      </c>
      <c r="K3573" s="5" t="s">
        <v>3592</v>
      </c>
      <c r="L3573" s="5" t="s">
        <v>3595</v>
      </c>
      <c r="M3573" s="5" t="s">
        <v>112</v>
      </c>
      <c r="N3573" s="5" t="s">
        <v>1962</v>
      </c>
      <c r="O3573" s="5" t="s">
        <v>3551</v>
      </c>
      <c r="P3573" s="5"/>
      <c r="Q3573" s="5" t="s">
        <v>3548</v>
      </c>
    </row>
    <row r="3574" spans="2:17" x14ac:dyDescent="0.2">
      <c r="B3574" s="5" t="s">
        <v>92</v>
      </c>
      <c r="C3574" s="6" t="s">
        <v>13587</v>
      </c>
      <c r="D3574" s="4">
        <v>1</v>
      </c>
      <c r="E3574" s="5" t="s">
        <v>56</v>
      </c>
      <c r="F3574" s="5" t="s">
        <v>243</v>
      </c>
      <c r="G3574" s="6" t="s">
        <v>18</v>
      </c>
      <c r="H3574" s="4"/>
      <c r="I3574" s="5"/>
      <c r="J3574" s="5" t="s">
        <v>244</v>
      </c>
      <c r="K3574" s="5" t="s">
        <v>245</v>
      </c>
      <c r="L3574" s="5" t="s">
        <v>246</v>
      </c>
      <c r="M3574" s="5" t="s">
        <v>240</v>
      </c>
      <c r="N3574" s="5" t="s">
        <v>240</v>
      </c>
      <c r="O3574" s="5" t="s">
        <v>107</v>
      </c>
      <c r="P3574" s="5"/>
      <c r="Q3574" s="5" t="s">
        <v>247</v>
      </c>
    </row>
    <row r="3575" spans="2:17" x14ac:dyDescent="0.2">
      <c r="B3575" s="5" t="s">
        <v>92</v>
      </c>
      <c r="C3575" s="6" t="s">
        <v>13587</v>
      </c>
      <c r="D3575" s="4">
        <v>3</v>
      </c>
      <c r="E3575" s="5" t="s">
        <v>20</v>
      </c>
      <c r="F3575" s="5" t="s">
        <v>232</v>
      </c>
      <c r="G3575" s="6" t="s">
        <v>18</v>
      </c>
      <c r="H3575" s="4"/>
      <c r="I3575" s="5" t="s">
        <v>22</v>
      </c>
      <c r="J3575" s="5" t="s">
        <v>233</v>
      </c>
      <c r="K3575" s="5" t="s">
        <v>234</v>
      </c>
      <c r="L3575" s="5"/>
      <c r="M3575" s="5" t="s">
        <v>235</v>
      </c>
      <c r="N3575" s="5" t="s">
        <v>236</v>
      </c>
      <c r="O3575" s="5" t="s">
        <v>98</v>
      </c>
      <c r="P3575" s="5"/>
      <c r="Q3575" s="5" t="s">
        <v>237</v>
      </c>
    </row>
    <row r="3576" spans="2:17" x14ac:dyDescent="0.2">
      <c r="B3576" s="5" t="s">
        <v>92</v>
      </c>
      <c r="C3576" s="6" t="s">
        <v>13587</v>
      </c>
      <c r="D3576" s="4">
        <v>28</v>
      </c>
      <c r="E3576" s="5" t="s">
        <v>20</v>
      </c>
      <c r="F3576" s="5" t="s">
        <v>265</v>
      </c>
      <c r="G3576" s="6" t="s">
        <v>18</v>
      </c>
      <c r="H3576" s="4"/>
      <c r="I3576" s="5" t="s">
        <v>38</v>
      </c>
      <c r="J3576" s="5" t="s">
        <v>266</v>
      </c>
      <c r="K3576" s="5" t="s">
        <v>245</v>
      </c>
      <c r="L3576" s="5"/>
      <c r="M3576" s="5" t="s">
        <v>267</v>
      </c>
      <c r="N3576" s="5" t="s">
        <v>267</v>
      </c>
      <c r="O3576" s="5" t="s">
        <v>107</v>
      </c>
      <c r="P3576" s="5"/>
      <c r="Q3576" s="5" t="s">
        <v>268</v>
      </c>
    </row>
    <row r="3577" spans="2:17" x14ac:dyDescent="0.2">
      <c r="B3577" s="5" t="s">
        <v>92</v>
      </c>
      <c r="C3577" s="6" t="s">
        <v>13587</v>
      </c>
      <c r="D3577" s="4">
        <v>29</v>
      </c>
      <c r="E3577" s="5" t="s">
        <v>35</v>
      </c>
      <c r="F3577" s="5" t="s">
        <v>221</v>
      </c>
      <c r="G3577" s="6" t="s">
        <v>18</v>
      </c>
      <c r="H3577" s="4"/>
      <c r="I3577" s="5"/>
      <c r="J3577" s="5" t="s">
        <v>222</v>
      </c>
      <c r="K3577" s="5" t="s">
        <v>126</v>
      </c>
      <c r="L3577" s="5" t="s">
        <v>223</v>
      </c>
      <c r="M3577" s="5" t="s">
        <v>224</v>
      </c>
      <c r="N3577" s="5" t="s">
        <v>224</v>
      </c>
      <c r="O3577" s="5" t="s">
        <v>107</v>
      </c>
      <c r="P3577" s="5"/>
      <c r="Q3577" s="5" t="s">
        <v>225</v>
      </c>
    </row>
    <row r="3578" spans="2:17" x14ac:dyDescent="0.2">
      <c r="B3578" s="5" t="s">
        <v>278</v>
      </c>
      <c r="C3578" s="6" t="s">
        <v>13587</v>
      </c>
      <c r="D3578" s="4">
        <v>42</v>
      </c>
      <c r="E3578" s="5" t="s">
        <v>24</v>
      </c>
      <c r="F3578" s="5" t="s">
        <v>469</v>
      </c>
      <c r="G3578" s="6" t="s">
        <v>18</v>
      </c>
      <c r="H3578" s="4"/>
      <c r="I3578" s="5" t="s">
        <v>22</v>
      </c>
      <c r="J3578" s="5" t="s">
        <v>470</v>
      </c>
      <c r="K3578" s="5" t="s">
        <v>345</v>
      </c>
      <c r="L3578" s="5"/>
      <c r="M3578" s="5" t="s">
        <v>193</v>
      </c>
      <c r="N3578" s="5" t="s">
        <v>193</v>
      </c>
      <c r="O3578" s="5" t="s">
        <v>285</v>
      </c>
      <c r="P3578" s="5"/>
      <c r="Q3578" s="5" t="s">
        <v>286</v>
      </c>
    </row>
    <row r="3579" spans="2:17" x14ac:dyDescent="0.2">
      <c r="B3579" s="5" t="s">
        <v>278</v>
      </c>
      <c r="C3579" s="6" t="s">
        <v>13587</v>
      </c>
      <c r="D3579" s="4">
        <v>43</v>
      </c>
      <c r="E3579" s="5" t="s">
        <v>15</v>
      </c>
      <c r="F3579" s="5" t="s">
        <v>471</v>
      </c>
      <c r="G3579" s="6" t="s">
        <v>18</v>
      </c>
      <c r="H3579" s="4"/>
      <c r="I3579" s="5" t="s">
        <v>22</v>
      </c>
      <c r="J3579" s="5" t="s">
        <v>472</v>
      </c>
      <c r="K3579" s="5" t="s">
        <v>345</v>
      </c>
      <c r="L3579" s="5"/>
      <c r="M3579" s="5" t="s">
        <v>197</v>
      </c>
      <c r="N3579" s="5" t="s">
        <v>193</v>
      </c>
      <c r="O3579" s="5" t="s">
        <v>285</v>
      </c>
      <c r="P3579" s="5"/>
      <c r="Q3579" s="5" t="s">
        <v>286</v>
      </c>
    </row>
    <row r="3580" spans="2:17" x14ac:dyDescent="0.2">
      <c r="B3580" s="5" t="s">
        <v>278</v>
      </c>
      <c r="C3580" s="6" t="s">
        <v>13587</v>
      </c>
      <c r="D3580" s="4">
        <v>46</v>
      </c>
      <c r="E3580" s="5" t="s">
        <v>20</v>
      </c>
      <c r="F3580" s="5" t="s">
        <v>458</v>
      </c>
      <c r="G3580" s="6" t="s">
        <v>18</v>
      </c>
      <c r="H3580" s="4"/>
      <c r="I3580" s="5" t="s">
        <v>38</v>
      </c>
      <c r="J3580" s="5" t="s">
        <v>459</v>
      </c>
      <c r="K3580" s="5" t="s">
        <v>357</v>
      </c>
      <c r="L3580" s="5" t="s">
        <v>460</v>
      </c>
      <c r="M3580" s="5" t="s">
        <v>174</v>
      </c>
      <c r="N3580" s="5" t="s">
        <v>461</v>
      </c>
      <c r="O3580" s="5" t="s">
        <v>297</v>
      </c>
      <c r="P3580" s="5"/>
      <c r="Q3580" s="5" t="s">
        <v>286</v>
      </c>
    </row>
    <row r="3581" spans="2:17" x14ac:dyDescent="0.2">
      <c r="B3581" s="5" t="s">
        <v>278</v>
      </c>
      <c r="C3581" s="6" t="s">
        <v>13587</v>
      </c>
      <c r="D3581" s="4">
        <v>47</v>
      </c>
      <c r="E3581" s="5" t="s">
        <v>20</v>
      </c>
      <c r="F3581" s="5" t="s">
        <v>441</v>
      </c>
      <c r="G3581" s="6" t="s">
        <v>18</v>
      </c>
      <c r="H3581" s="4"/>
      <c r="I3581" s="5" t="s">
        <v>22</v>
      </c>
      <c r="J3581" s="5" t="s">
        <v>442</v>
      </c>
      <c r="K3581" s="5" t="s">
        <v>345</v>
      </c>
      <c r="L3581" s="5"/>
      <c r="M3581" s="5" t="s">
        <v>443</v>
      </c>
      <c r="N3581" s="5" t="s">
        <v>437</v>
      </c>
      <c r="O3581" s="5" t="s">
        <v>285</v>
      </c>
      <c r="P3581" s="5"/>
      <c r="Q3581" s="5" t="s">
        <v>286</v>
      </c>
    </row>
    <row r="3582" spans="2:17" x14ac:dyDescent="0.2">
      <c r="B3582" s="5" t="s">
        <v>278</v>
      </c>
      <c r="C3582" s="6" t="s">
        <v>13587</v>
      </c>
      <c r="D3582" s="4">
        <v>48</v>
      </c>
      <c r="E3582" s="5" t="s">
        <v>20</v>
      </c>
      <c r="F3582" s="5" t="s">
        <v>444</v>
      </c>
      <c r="G3582" s="6" t="s">
        <v>18</v>
      </c>
      <c r="H3582" s="4"/>
      <c r="I3582" s="5" t="s">
        <v>22</v>
      </c>
      <c r="J3582" s="5" t="s">
        <v>445</v>
      </c>
      <c r="K3582" s="5" t="s">
        <v>371</v>
      </c>
      <c r="L3582" s="5" t="s">
        <v>446</v>
      </c>
      <c r="M3582" s="5" t="s">
        <v>443</v>
      </c>
      <c r="N3582" s="5" t="s">
        <v>437</v>
      </c>
      <c r="O3582" s="5" t="s">
        <v>376</v>
      </c>
      <c r="P3582" s="5"/>
      <c r="Q3582" s="5" t="s">
        <v>286</v>
      </c>
    </row>
    <row r="3583" spans="2:17" x14ac:dyDescent="0.2">
      <c r="B3583" s="5" t="s">
        <v>278</v>
      </c>
      <c r="C3583" s="6" t="s">
        <v>13587</v>
      </c>
      <c r="D3583" s="4">
        <v>49</v>
      </c>
      <c r="E3583" s="5" t="s">
        <v>20</v>
      </c>
      <c r="F3583" s="5" t="s">
        <v>444</v>
      </c>
      <c r="G3583" s="6" t="s">
        <v>18</v>
      </c>
      <c r="H3583" s="4"/>
      <c r="I3583" s="5" t="s">
        <v>22</v>
      </c>
      <c r="J3583" s="5" t="s">
        <v>447</v>
      </c>
      <c r="K3583" s="5" t="s">
        <v>371</v>
      </c>
      <c r="L3583" s="5" t="s">
        <v>448</v>
      </c>
      <c r="M3583" s="5" t="s">
        <v>443</v>
      </c>
      <c r="N3583" s="5" t="s">
        <v>437</v>
      </c>
      <c r="O3583" s="5" t="s">
        <v>376</v>
      </c>
      <c r="P3583" s="5"/>
      <c r="Q3583" s="5" t="s">
        <v>286</v>
      </c>
    </row>
    <row r="3584" spans="2:17" x14ac:dyDescent="0.2">
      <c r="B3584" s="5" t="s">
        <v>278</v>
      </c>
      <c r="C3584" s="6" t="s">
        <v>13587</v>
      </c>
      <c r="D3584" s="4">
        <v>56</v>
      </c>
      <c r="E3584" s="5" t="s">
        <v>24</v>
      </c>
      <c r="F3584" s="5" t="s">
        <v>427</v>
      </c>
      <c r="G3584" s="6" t="s">
        <v>18</v>
      </c>
      <c r="H3584" s="4"/>
      <c r="I3584" s="5" t="s">
        <v>22</v>
      </c>
      <c r="J3584" s="5" t="s">
        <v>299</v>
      </c>
      <c r="K3584" s="5" t="s">
        <v>345</v>
      </c>
      <c r="L3584" s="5"/>
      <c r="M3584" s="5" t="s">
        <v>428</v>
      </c>
      <c r="N3584" s="5" t="s">
        <v>422</v>
      </c>
      <c r="O3584" s="5" t="s">
        <v>285</v>
      </c>
      <c r="P3584" s="5"/>
      <c r="Q3584" s="5" t="s">
        <v>286</v>
      </c>
    </row>
    <row r="3585" spans="2:17" x14ac:dyDescent="0.2">
      <c r="B3585" s="5" t="s">
        <v>278</v>
      </c>
      <c r="C3585" s="6" t="s">
        <v>13587</v>
      </c>
      <c r="D3585" s="4">
        <v>60</v>
      </c>
      <c r="E3585" s="5" t="s">
        <v>15</v>
      </c>
      <c r="F3585" s="5" t="s">
        <v>408</v>
      </c>
      <c r="G3585" s="6" t="s">
        <v>18</v>
      </c>
      <c r="H3585" s="4"/>
      <c r="I3585" s="5" t="s">
        <v>22</v>
      </c>
      <c r="J3585" s="5" t="s">
        <v>409</v>
      </c>
      <c r="K3585" s="5" t="s">
        <v>410</v>
      </c>
      <c r="L3585" s="5"/>
      <c r="M3585" s="5" t="s">
        <v>411</v>
      </c>
      <c r="N3585" s="5" t="s">
        <v>412</v>
      </c>
      <c r="O3585" s="5" t="s">
        <v>297</v>
      </c>
      <c r="P3585" s="5"/>
      <c r="Q3585" s="5" t="s">
        <v>286</v>
      </c>
    </row>
    <row r="3586" spans="2:17" x14ac:dyDescent="0.2">
      <c r="B3586" s="5" t="s">
        <v>278</v>
      </c>
      <c r="C3586" s="6" t="s">
        <v>13587</v>
      </c>
      <c r="D3586" s="4">
        <v>63</v>
      </c>
      <c r="E3586" s="5" t="s">
        <v>15</v>
      </c>
      <c r="F3586" s="5" t="s">
        <v>343</v>
      </c>
      <c r="G3586" s="6" t="s">
        <v>18</v>
      </c>
      <c r="H3586" s="4"/>
      <c r="I3586" s="5" t="s">
        <v>22</v>
      </c>
      <c r="J3586" s="5" t="s">
        <v>344</v>
      </c>
      <c r="K3586" s="5" t="s">
        <v>345</v>
      </c>
      <c r="L3586" s="5"/>
      <c r="M3586" s="5" t="s">
        <v>346</v>
      </c>
      <c r="N3586" s="5" t="s">
        <v>347</v>
      </c>
      <c r="O3586" s="5" t="s">
        <v>285</v>
      </c>
      <c r="P3586" s="5"/>
      <c r="Q3586" s="5" t="s">
        <v>286</v>
      </c>
    </row>
    <row r="3587" spans="2:17" x14ac:dyDescent="0.2">
      <c r="B3587" s="5" t="s">
        <v>278</v>
      </c>
      <c r="C3587" s="6" t="s">
        <v>13587</v>
      </c>
      <c r="D3587" s="4">
        <v>88</v>
      </c>
      <c r="E3587" s="5" t="s">
        <v>20</v>
      </c>
      <c r="F3587" s="5" t="s">
        <v>486</v>
      </c>
      <c r="G3587" s="6" t="s">
        <v>18</v>
      </c>
      <c r="H3587" s="4"/>
      <c r="I3587" s="5" t="s">
        <v>22</v>
      </c>
      <c r="J3587" s="5" t="s">
        <v>487</v>
      </c>
      <c r="K3587" s="5" t="s">
        <v>334</v>
      </c>
      <c r="L3587" s="5" t="s">
        <v>488</v>
      </c>
      <c r="M3587" s="5" t="s">
        <v>489</v>
      </c>
      <c r="N3587" s="5" t="s">
        <v>490</v>
      </c>
      <c r="O3587" s="5" t="s">
        <v>297</v>
      </c>
      <c r="P3587" s="5"/>
      <c r="Q3587" s="5" t="s">
        <v>286</v>
      </c>
    </row>
    <row r="3588" spans="2:17" x14ac:dyDescent="0.2">
      <c r="B3588" s="5" t="s">
        <v>544</v>
      </c>
      <c r="C3588" s="6" t="s">
        <v>13587</v>
      </c>
      <c r="D3588" s="4">
        <v>111</v>
      </c>
      <c r="E3588" s="5" t="s">
        <v>24</v>
      </c>
      <c r="F3588" s="5" t="s">
        <v>1105</v>
      </c>
      <c r="G3588" s="6" t="s">
        <v>18</v>
      </c>
      <c r="H3588" s="4"/>
      <c r="I3588" s="5"/>
      <c r="J3588" s="5" t="s">
        <v>1106</v>
      </c>
      <c r="K3588" s="5" t="s">
        <v>1107</v>
      </c>
      <c r="L3588" s="5"/>
      <c r="M3588" s="5" t="s">
        <v>1108</v>
      </c>
      <c r="N3588" s="5" t="s">
        <v>738</v>
      </c>
      <c r="O3588" s="5" t="s">
        <v>683</v>
      </c>
      <c r="P3588" s="5"/>
      <c r="Q3588" s="5" t="s">
        <v>1109</v>
      </c>
    </row>
    <row r="3589" spans="2:17" x14ac:dyDescent="0.2">
      <c r="B3589" s="5" t="s">
        <v>544</v>
      </c>
      <c r="C3589" s="6" t="s">
        <v>13587</v>
      </c>
      <c r="D3589" s="4">
        <v>112</v>
      </c>
      <c r="E3589" s="5" t="s">
        <v>24</v>
      </c>
      <c r="F3589" s="5" t="s">
        <v>1105</v>
      </c>
      <c r="G3589" s="6" t="s">
        <v>18</v>
      </c>
      <c r="H3589" s="4"/>
      <c r="I3589" s="5"/>
      <c r="J3589" s="5" t="s">
        <v>1110</v>
      </c>
      <c r="K3589" s="5" t="s">
        <v>1107</v>
      </c>
      <c r="L3589" s="5"/>
      <c r="M3589" s="5" t="s">
        <v>1108</v>
      </c>
      <c r="N3589" s="5" t="s">
        <v>738</v>
      </c>
      <c r="O3589" s="5" t="s">
        <v>683</v>
      </c>
      <c r="P3589" s="5"/>
      <c r="Q3589" s="5" t="s">
        <v>1111</v>
      </c>
    </row>
    <row r="3590" spans="2:17" x14ac:dyDescent="0.2">
      <c r="B3590" s="5" t="s">
        <v>544</v>
      </c>
      <c r="C3590" s="6" t="s">
        <v>13587</v>
      </c>
      <c r="D3590" s="4">
        <v>140</v>
      </c>
      <c r="E3590" s="5" t="s">
        <v>20</v>
      </c>
      <c r="F3590" s="5" t="s">
        <v>578</v>
      </c>
      <c r="G3590" s="6" t="s">
        <v>18</v>
      </c>
      <c r="H3590" s="4"/>
      <c r="I3590" s="5" t="s">
        <v>22</v>
      </c>
      <c r="J3590" s="5" t="s">
        <v>961</v>
      </c>
      <c r="K3590" s="5" t="s">
        <v>587</v>
      </c>
      <c r="L3590" s="5"/>
      <c r="M3590" s="5" t="s">
        <v>197</v>
      </c>
      <c r="N3590" s="5" t="s">
        <v>197</v>
      </c>
      <c r="O3590" s="5" t="s">
        <v>588</v>
      </c>
      <c r="P3590" s="5"/>
      <c r="Q3590" s="5" t="s">
        <v>962</v>
      </c>
    </row>
    <row r="3591" spans="2:17" x14ac:dyDescent="0.2">
      <c r="B3591" s="5" t="s">
        <v>544</v>
      </c>
      <c r="C3591" s="6" t="s">
        <v>13587</v>
      </c>
      <c r="D3591" s="4">
        <v>168</v>
      </c>
      <c r="E3591" s="5" t="s">
        <v>35</v>
      </c>
      <c r="F3591" s="5" t="s">
        <v>900</v>
      </c>
      <c r="G3591" s="6" t="s">
        <v>18</v>
      </c>
      <c r="H3591" s="4"/>
      <c r="I3591" s="5"/>
      <c r="J3591" s="5" t="s">
        <v>901</v>
      </c>
      <c r="K3591" s="5" t="s">
        <v>753</v>
      </c>
      <c r="L3591" s="5"/>
      <c r="M3591" s="5" t="s">
        <v>411</v>
      </c>
      <c r="N3591" s="5" t="s">
        <v>138</v>
      </c>
      <c r="O3591" s="5" t="s">
        <v>574</v>
      </c>
      <c r="P3591" s="5"/>
      <c r="Q3591" s="5" t="s">
        <v>902</v>
      </c>
    </row>
    <row r="3592" spans="2:17" x14ac:dyDescent="0.2">
      <c r="B3592" s="5" t="s">
        <v>544</v>
      </c>
      <c r="C3592" s="6" t="s">
        <v>13587</v>
      </c>
      <c r="D3592" s="4">
        <v>175</v>
      </c>
      <c r="E3592" s="5" t="s">
        <v>35</v>
      </c>
      <c r="F3592" s="5" t="s">
        <v>900</v>
      </c>
      <c r="G3592" s="6" t="s">
        <v>18</v>
      </c>
      <c r="H3592" s="4"/>
      <c r="I3592" s="5"/>
      <c r="J3592" s="5" t="s">
        <v>913</v>
      </c>
      <c r="K3592" s="5" t="s">
        <v>679</v>
      </c>
      <c r="L3592" s="5"/>
      <c r="M3592" s="5" t="s">
        <v>411</v>
      </c>
      <c r="N3592" s="5" t="s">
        <v>138</v>
      </c>
      <c r="O3592" s="5" t="s">
        <v>657</v>
      </c>
      <c r="P3592" s="5"/>
      <c r="Q3592" s="5" t="s">
        <v>914</v>
      </c>
    </row>
    <row r="3593" spans="2:17" x14ac:dyDescent="0.2">
      <c r="B3593" s="5" t="s">
        <v>544</v>
      </c>
      <c r="C3593" s="6" t="s">
        <v>13587</v>
      </c>
      <c r="D3593" s="4">
        <v>187</v>
      </c>
      <c r="E3593" s="5" t="s">
        <v>82</v>
      </c>
      <c r="F3593" s="5" t="s">
        <v>813</v>
      </c>
      <c r="G3593" s="6" t="s">
        <v>18</v>
      </c>
      <c r="H3593" s="4"/>
      <c r="I3593" s="5"/>
      <c r="J3593" s="5" t="s">
        <v>814</v>
      </c>
      <c r="K3593" s="5" t="s">
        <v>815</v>
      </c>
      <c r="L3593" s="5"/>
      <c r="M3593" s="5" t="s">
        <v>804</v>
      </c>
      <c r="N3593" s="5" t="s">
        <v>341</v>
      </c>
      <c r="O3593" s="5" t="s">
        <v>816</v>
      </c>
      <c r="P3593" s="5"/>
      <c r="Q3593" s="5" t="s">
        <v>817</v>
      </c>
    </row>
    <row r="3594" spans="2:17" x14ac:dyDescent="0.2">
      <c r="B3594" s="5" t="s">
        <v>544</v>
      </c>
      <c r="C3594" s="6" t="s">
        <v>13587</v>
      </c>
      <c r="D3594" s="4">
        <v>189</v>
      </c>
      <c r="E3594" s="5" t="s">
        <v>35</v>
      </c>
      <c r="F3594" s="5" t="s">
        <v>769</v>
      </c>
      <c r="G3594" s="6" t="s">
        <v>18</v>
      </c>
      <c r="H3594" s="4"/>
      <c r="I3594" s="5"/>
      <c r="J3594" s="5" t="s">
        <v>798</v>
      </c>
      <c r="K3594" s="5" t="s">
        <v>610</v>
      </c>
      <c r="L3594" s="5"/>
      <c r="M3594" s="5" t="s">
        <v>341</v>
      </c>
      <c r="N3594" s="5" t="s">
        <v>341</v>
      </c>
      <c r="O3594" s="5" t="s">
        <v>588</v>
      </c>
      <c r="P3594" s="5"/>
      <c r="Q3594" s="5" t="s">
        <v>799</v>
      </c>
    </row>
    <row r="3595" spans="2:17" x14ac:dyDescent="0.2">
      <c r="B3595" s="5" t="s">
        <v>544</v>
      </c>
      <c r="C3595" s="6" t="s">
        <v>13587</v>
      </c>
      <c r="D3595" s="4">
        <v>217</v>
      </c>
      <c r="E3595" s="5" t="s">
        <v>24</v>
      </c>
      <c r="F3595" s="5" t="s">
        <v>718</v>
      </c>
      <c r="G3595" s="6" t="s">
        <v>18</v>
      </c>
      <c r="H3595" s="4"/>
      <c r="I3595" s="5"/>
      <c r="J3595" s="5" t="s">
        <v>719</v>
      </c>
      <c r="K3595" s="5" t="s">
        <v>560</v>
      </c>
      <c r="L3595" s="5"/>
      <c r="M3595" s="5" t="s">
        <v>336</v>
      </c>
      <c r="N3595" s="5" t="s">
        <v>337</v>
      </c>
      <c r="O3595" s="5" t="s">
        <v>549</v>
      </c>
      <c r="P3595" s="5"/>
      <c r="Q3595" s="5" t="s">
        <v>720</v>
      </c>
    </row>
    <row r="3596" spans="2:17" x14ac:dyDescent="0.2">
      <c r="B3596" s="5" t="s">
        <v>544</v>
      </c>
      <c r="C3596" s="6" t="s">
        <v>13587</v>
      </c>
      <c r="D3596" s="4">
        <v>237</v>
      </c>
      <c r="E3596" s="5" t="s">
        <v>20</v>
      </c>
      <c r="F3596" s="5" t="s">
        <v>594</v>
      </c>
      <c r="G3596" s="6" t="s">
        <v>18</v>
      </c>
      <c r="H3596" s="4"/>
      <c r="I3596" s="5" t="s">
        <v>22</v>
      </c>
      <c r="J3596" s="5" t="s">
        <v>647</v>
      </c>
      <c r="K3596" s="5" t="s">
        <v>582</v>
      </c>
      <c r="L3596" s="5"/>
      <c r="M3596" s="5" t="s">
        <v>648</v>
      </c>
      <c r="N3596" s="5" t="s">
        <v>648</v>
      </c>
      <c r="O3596" s="5" t="s">
        <v>549</v>
      </c>
      <c r="P3596" s="5"/>
      <c r="Q3596" s="5" t="s">
        <v>649</v>
      </c>
    </row>
    <row r="3597" spans="2:17" x14ac:dyDescent="0.2">
      <c r="B3597" s="5" t="s">
        <v>544</v>
      </c>
      <c r="C3597" s="6" t="s">
        <v>13587</v>
      </c>
      <c r="D3597" s="4">
        <v>245</v>
      </c>
      <c r="E3597" s="5" t="s">
        <v>20</v>
      </c>
      <c r="F3597" s="5" t="s">
        <v>578</v>
      </c>
      <c r="G3597" s="6" t="s">
        <v>18</v>
      </c>
      <c r="H3597" s="4"/>
      <c r="I3597" s="5" t="s">
        <v>22</v>
      </c>
      <c r="J3597" s="5" t="s">
        <v>615</v>
      </c>
      <c r="K3597" s="5" t="s">
        <v>547</v>
      </c>
      <c r="L3597" s="5"/>
      <c r="M3597" s="5" t="s">
        <v>96</v>
      </c>
      <c r="N3597" s="5" t="s">
        <v>96</v>
      </c>
      <c r="O3597" s="5" t="s">
        <v>549</v>
      </c>
      <c r="P3597" s="5"/>
      <c r="Q3597" s="5" t="s">
        <v>616</v>
      </c>
    </row>
    <row r="3598" spans="2:17" x14ac:dyDescent="0.2">
      <c r="B3598" s="5" t="s">
        <v>544</v>
      </c>
      <c r="C3598" s="6" t="s">
        <v>13587</v>
      </c>
      <c r="D3598" s="4">
        <v>246</v>
      </c>
      <c r="E3598" s="5" t="s">
        <v>20</v>
      </c>
      <c r="F3598" s="5" t="s">
        <v>594</v>
      </c>
      <c r="G3598" s="6" t="s">
        <v>18</v>
      </c>
      <c r="H3598" s="4"/>
      <c r="I3598" s="5" t="s">
        <v>22</v>
      </c>
      <c r="J3598" s="5" t="s">
        <v>615</v>
      </c>
      <c r="K3598" s="5" t="s">
        <v>582</v>
      </c>
      <c r="L3598" s="5"/>
      <c r="M3598" s="5" t="s">
        <v>96</v>
      </c>
      <c r="N3598" s="5" t="s">
        <v>96</v>
      </c>
      <c r="O3598" s="5" t="s">
        <v>549</v>
      </c>
      <c r="P3598" s="5"/>
      <c r="Q3598" s="5" t="s">
        <v>617</v>
      </c>
    </row>
    <row r="3599" spans="2:17" x14ac:dyDescent="0.2">
      <c r="B3599" s="5" t="s">
        <v>544</v>
      </c>
      <c r="C3599" s="6" t="s">
        <v>13587</v>
      </c>
      <c r="D3599" s="4">
        <v>248</v>
      </c>
      <c r="E3599" s="5" t="s">
        <v>24</v>
      </c>
      <c r="F3599" s="5" t="s">
        <v>599</v>
      </c>
      <c r="G3599" s="6" t="s">
        <v>18</v>
      </c>
      <c r="H3599" s="4"/>
      <c r="I3599" s="5"/>
      <c r="J3599" s="5" t="s">
        <v>600</v>
      </c>
      <c r="K3599" s="5" t="s">
        <v>560</v>
      </c>
      <c r="L3599" s="5"/>
      <c r="M3599" s="5" t="s">
        <v>284</v>
      </c>
      <c r="N3599" s="5" t="s">
        <v>284</v>
      </c>
      <c r="O3599" s="5" t="s">
        <v>549</v>
      </c>
      <c r="P3599" s="5"/>
      <c r="Q3599" s="5" t="s">
        <v>601</v>
      </c>
    </row>
    <row r="3600" spans="2:17" x14ac:dyDescent="0.2">
      <c r="B3600" s="5" t="s">
        <v>544</v>
      </c>
      <c r="C3600" s="6" t="s">
        <v>13587</v>
      </c>
      <c r="D3600" s="4">
        <v>249</v>
      </c>
      <c r="E3600" s="5" t="s">
        <v>24</v>
      </c>
      <c r="F3600" s="5" t="s">
        <v>599</v>
      </c>
      <c r="G3600" s="6" t="s">
        <v>18</v>
      </c>
      <c r="H3600" s="4"/>
      <c r="I3600" s="5"/>
      <c r="J3600" s="5" t="s">
        <v>581</v>
      </c>
      <c r="K3600" s="5" t="s">
        <v>560</v>
      </c>
      <c r="L3600" s="5"/>
      <c r="M3600" s="5" t="s">
        <v>284</v>
      </c>
      <c r="N3600" s="5" t="s">
        <v>284</v>
      </c>
      <c r="O3600" s="5" t="s">
        <v>549</v>
      </c>
      <c r="P3600" s="5"/>
      <c r="Q3600" s="5" t="s">
        <v>602</v>
      </c>
    </row>
    <row r="3601" spans="2:17" x14ac:dyDescent="0.2">
      <c r="B3601" s="5" t="s">
        <v>544</v>
      </c>
      <c r="C3601" s="6" t="s">
        <v>13587</v>
      </c>
      <c r="D3601" s="4">
        <v>250</v>
      </c>
      <c r="E3601" s="5" t="s">
        <v>24</v>
      </c>
      <c r="F3601" s="5" t="s">
        <v>599</v>
      </c>
      <c r="G3601" s="6" t="s">
        <v>18</v>
      </c>
      <c r="H3601" s="4"/>
      <c r="I3601" s="5"/>
      <c r="J3601" s="5" t="s">
        <v>603</v>
      </c>
      <c r="K3601" s="5" t="s">
        <v>560</v>
      </c>
      <c r="L3601" s="5"/>
      <c r="M3601" s="5" t="s">
        <v>284</v>
      </c>
      <c r="N3601" s="5" t="s">
        <v>284</v>
      </c>
      <c r="O3601" s="5" t="s">
        <v>549</v>
      </c>
      <c r="P3601" s="5"/>
      <c r="Q3601" s="5" t="s">
        <v>604</v>
      </c>
    </row>
    <row r="3602" spans="2:17" x14ac:dyDescent="0.2">
      <c r="B3602" s="5" t="s">
        <v>544</v>
      </c>
      <c r="C3602" s="6" t="s">
        <v>13587</v>
      </c>
      <c r="D3602" s="4">
        <v>251</v>
      </c>
      <c r="E3602" s="5" t="s">
        <v>24</v>
      </c>
      <c r="F3602" s="5" t="s">
        <v>605</v>
      </c>
      <c r="G3602" s="6" t="s">
        <v>18</v>
      </c>
      <c r="H3602" s="4"/>
      <c r="I3602" s="5"/>
      <c r="J3602" s="5" t="s">
        <v>606</v>
      </c>
      <c r="K3602" s="5" t="s">
        <v>555</v>
      </c>
      <c r="L3602" s="5"/>
      <c r="M3602" s="5" t="s">
        <v>284</v>
      </c>
      <c r="N3602" s="5" t="s">
        <v>284</v>
      </c>
      <c r="O3602" s="5" t="s">
        <v>549</v>
      </c>
      <c r="P3602" s="5"/>
      <c r="Q3602" s="5" t="s">
        <v>607</v>
      </c>
    </row>
    <row r="3603" spans="2:17" x14ac:dyDescent="0.2">
      <c r="B3603" s="5" t="s">
        <v>544</v>
      </c>
      <c r="C3603" s="6" t="s">
        <v>13587</v>
      </c>
      <c r="D3603" s="4">
        <v>252</v>
      </c>
      <c r="E3603" s="5" t="s">
        <v>20</v>
      </c>
      <c r="F3603" s="5" t="s">
        <v>578</v>
      </c>
      <c r="G3603" s="6" t="s">
        <v>18</v>
      </c>
      <c r="H3603" s="4"/>
      <c r="I3603" s="5" t="s">
        <v>22</v>
      </c>
      <c r="J3603" s="5" t="s">
        <v>579</v>
      </c>
      <c r="K3603" s="5" t="s">
        <v>547</v>
      </c>
      <c r="L3603" s="5"/>
      <c r="M3603" s="5" t="s">
        <v>284</v>
      </c>
      <c r="N3603" s="5" t="s">
        <v>284</v>
      </c>
      <c r="O3603" s="5" t="s">
        <v>549</v>
      </c>
      <c r="P3603" s="5"/>
      <c r="Q3603" s="5" t="s">
        <v>580</v>
      </c>
    </row>
    <row r="3604" spans="2:17" x14ac:dyDescent="0.2">
      <c r="B3604" s="5" t="s">
        <v>544</v>
      </c>
      <c r="C3604" s="6" t="s">
        <v>13587</v>
      </c>
      <c r="D3604" s="4">
        <v>253</v>
      </c>
      <c r="E3604" s="5" t="s">
        <v>20</v>
      </c>
      <c r="F3604" s="5" t="s">
        <v>578</v>
      </c>
      <c r="G3604" s="6" t="s">
        <v>18</v>
      </c>
      <c r="H3604" s="4"/>
      <c r="I3604" s="5" t="s">
        <v>22</v>
      </c>
      <c r="J3604" s="5" t="s">
        <v>581</v>
      </c>
      <c r="K3604" s="5" t="s">
        <v>582</v>
      </c>
      <c r="L3604" s="5"/>
      <c r="M3604" s="5" t="s">
        <v>284</v>
      </c>
      <c r="N3604" s="5" t="s">
        <v>284</v>
      </c>
      <c r="O3604" s="5" t="s">
        <v>549</v>
      </c>
      <c r="P3604" s="5"/>
      <c r="Q3604" s="5" t="s">
        <v>580</v>
      </c>
    </row>
    <row r="3605" spans="2:17" x14ac:dyDescent="0.2">
      <c r="B3605" s="5" t="s">
        <v>544</v>
      </c>
      <c r="C3605" s="6" t="s">
        <v>13587</v>
      </c>
      <c r="D3605" s="4">
        <v>254</v>
      </c>
      <c r="E3605" s="5" t="s">
        <v>20</v>
      </c>
      <c r="F3605" s="5" t="s">
        <v>578</v>
      </c>
      <c r="G3605" s="6" t="s">
        <v>18</v>
      </c>
      <c r="H3605" s="4"/>
      <c r="I3605" s="5" t="s">
        <v>22</v>
      </c>
      <c r="J3605" s="5" t="s">
        <v>583</v>
      </c>
      <c r="K3605" s="5" t="s">
        <v>584</v>
      </c>
      <c r="L3605" s="5"/>
      <c r="M3605" s="5" t="s">
        <v>284</v>
      </c>
      <c r="N3605" s="5" t="s">
        <v>284</v>
      </c>
      <c r="O3605" s="5" t="s">
        <v>549</v>
      </c>
      <c r="P3605" s="5"/>
      <c r="Q3605" s="5" t="s">
        <v>585</v>
      </c>
    </row>
    <row r="3606" spans="2:17" x14ac:dyDescent="0.2">
      <c r="B3606" s="5" t="s">
        <v>544</v>
      </c>
      <c r="C3606" s="6" t="s">
        <v>13587</v>
      </c>
      <c r="D3606" s="4">
        <v>256</v>
      </c>
      <c r="E3606" s="5" t="s">
        <v>20</v>
      </c>
      <c r="F3606" s="5" t="s">
        <v>578</v>
      </c>
      <c r="G3606" s="6" t="s">
        <v>18</v>
      </c>
      <c r="H3606" s="4"/>
      <c r="I3606" s="5" t="s">
        <v>22</v>
      </c>
      <c r="J3606" s="5" t="s">
        <v>586</v>
      </c>
      <c r="K3606" s="5" t="s">
        <v>587</v>
      </c>
      <c r="L3606" s="5"/>
      <c r="M3606" s="5" t="s">
        <v>284</v>
      </c>
      <c r="N3606" s="5" t="s">
        <v>284</v>
      </c>
      <c r="O3606" s="5" t="s">
        <v>588</v>
      </c>
      <c r="P3606" s="5"/>
      <c r="Q3606" s="5" t="s">
        <v>589</v>
      </c>
    </row>
    <row r="3607" spans="2:17" x14ac:dyDescent="0.2">
      <c r="B3607" s="5" t="s">
        <v>544</v>
      </c>
      <c r="C3607" s="6" t="s">
        <v>13587</v>
      </c>
      <c r="D3607" s="4">
        <v>257</v>
      </c>
      <c r="E3607" s="5" t="s">
        <v>20</v>
      </c>
      <c r="F3607" s="5" t="s">
        <v>578</v>
      </c>
      <c r="G3607" s="6" t="s">
        <v>18</v>
      </c>
      <c r="H3607" s="4"/>
      <c r="I3607" s="5" t="s">
        <v>22</v>
      </c>
      <c r="J3607" s="5" t="s">
        <v>590</v>
      </c>
      <c r="K3607" s="5" t="s">
        <v>587</v>
      </c>
      <c r="L3607" s="5"/>
      <c r="M3607" s="5" t="s">
        <v>284</v>
      </c>
      <c r="N3607" s="5" t="s">
        <v>284</v>
      </c>
      <c r="O3607" s="5" t="s">
        <v>588</v>
      </c>
      <c r="P3607" s="5"/>
      <c r="Q3607" s="5" t="s">
        <v>591</v>
      </c>
    </row>
    <row r="3608" spans="2:17" x14ac:dyDescent="0.2">
      <c r="B3608" s="5" t="s">
        <v>544</v>
      </c>
      <c r="C3608" s="6" t="s">
        <v>13587</v>
      </c>
      <c r="D3608" s="4">
        <v>258</v>
      </c>
      <c r="E3608" s="5" t="s">
        <v>20</v>
      </c>
      <c r="F3608" s="5" t="s">
        <v>578</v>
      </c>
      <c r="G3608" s="6" t="s">
        <v>18</v>
      </c>
      <c r="H3608" s="4"/>
      <c r="I3608" s="5" t="s">
        <v>22</v>
      </c>
      <c r="J3608" s="5" t="s">
        <v>592</v>
      </c>
      <c r="K3608" s="5" t="s">
        <v>587</v>
      </c>
      <c r="L3608" s="5"/>
      <c r="M3608" s="5" t="s">
        <v>284</v>
      </c>
      <c r="N3608" s="5" t="s">
        <v>284</v>
      </c>
      <c r="O3608" s="5" t="s">
        <v>588</v>
      </c>
      <c r="P3608" s="5"/>
      <c r="Q3608" s="5" t="s">
        <v>593</v>
      </c>
    </row>
    <row r="3609" spans="2:17" x14ac:dyDescent="0.2">
      <c r="B3609" s="5" t="s">
        <v>544</v>
      </c>
      <c r="C3609" s="6" t="s">
        <v>13587</v>
      </c>
      <c r="D3609" s="4">
        <v>260</v>
      </c>
      <c r="E3609" s="5" t="s">
        <v>20</v>
      </c>
      <c r="F3609" s="5" t="s">
        <v>594</v>
      </c>
      <c r="G3609" s="6" t="s">
        <v>18</v>
      </c>
      <c r="H3609" s="4"/>
      <c r="I3609" s="5" t="s">
        <v>22</v>
      </c>
      <c r="J3609" s="5" t="s">
        <v>595</v>
      </c>
      <c r="K3609" s="5" t="s">
        <v>596</v>
      </c>
      <c r="L3609" s="5"/>
      <c r="M3609" s="5" t="s">
        <v>284</v>
      </c>
      <c r="N3609" s="5" t="s">
        <v>284</v>
      </c>
      <c r="O3609" s="5" t="s">
        <v>549</v>
      </c>
      <c r="P3609" s="5"/>
      <c r="Q3609" s="5" t="s">
        <v>597</v>
      </c>
    </row>
    <row r="3610" spans="2:17" x14ac:dyDescent="0.2">
      <c r="B3610" s="5" t="s">
        <v>544</v>
      </c>
      <c r="C3610" s="6" t="s">
        <v>13587</v>
      </c>
      <c r="D3610" s="4">
        <v>261</v>
      </c>
      <c r="E3610" s="5" t="s">
        <v>20</v>
      </c>
      <c r="F3610" s="5" t="s">
        <v>594</v>
      </c>
      <c r="G3610" s="6" t="s">
        <v>18</v>
      </c>
      <c r="H3610" s="4"/>
      <c r="I3610" s="5" t="s">
        <v>22</v>
      </c>
      <c r="J3610" s="5" t="s">
        <v>598</v>
      </c>
      <c r="K3610" s="5" t="s">
        <v>596</v>
      </c>
      <c r="L3610" s="5"/>
      <c r="M3610" s="5" t="s">
        <v>284</v>
      </c>
      <c r="N3610" s="5" t="s">
        <v>284</v>
      </c>
      <c r="O3610" s="5" t="s">
        <v>549</v>
      </c>
      <c r="P3610" s="5"/>
      <c r="Q3610" s="5" t="s">
        <v>597</v>
      </c>
    </row>
    <row r="3611" spans="2:17" x14ac:dyDescent="0.2">
      <c r="B3611" s="5" t="s">
        <v>544</v>
      </c>
      <c r="C3611" s="6" t="s">
        <v>13587</v>
      </c>
      <c r="D3611" s="4">
        <v>286</v>
      </c>
      <c r="E3611" s="5" t="s">
        <v>24</v>
      </c>
      <c r="F3611" s="5" t="s">
        <v>599</v>
      </c>
      <c r="G3611" s="6" t="s">
        <v>18</v>
      </c>
      <c r="H3611" s="4"/>
      <c r="I3611" s="5"/>
      <c r="J3611" s="5" t="s">
        <v>848</v>
      </c>
      <c r="K3611" s="5" t="s">
        <v>560</v>
      </c>
      <c r="L3611" s="5"/>
      <c r="M3611" s="5" t="s">
        <v>843</v>
      </c>
      <c r="N3611" s="5" t="s">
        <v>843</v>
      </c>
      <c r="O3611" s="5" t="s">
        <v>549</v>
      </c>
      <c r="P3611" s="5"/>
      <c r="Q3611" s="5" t="s">
        <v>849</v>
      </c>
    </row>
    <row r="3612" spans="2:17" x14ac:dyDescent="0.2">
      <c r="B3612" s="5" t="s">
        <v>544</v>
      </c>
      <c r="C3612" s="6" t="s">
        <v>13587</v>
      </c>
      <c r="D3612" s="4">
        <v>292</v>
      </c>
      <c r="E3612" s="5" t="s">
        <v>13</v>
      </c>
      <c r="F3612" s="5" t="s">
        <v>853</v>
      </c>
      <c r="G3612" s="6" t="s">
        <v>18</v>
      </c>
      <c r="H3612" s="4"/>
      <c r="I3612" s="5"/>
      <c r="J3612" s="5" t="s">
        <v>834</v>
      </c>
      <c r="K3612" s="5" t="s">
        <v>679</v>
      </c>
      <c r="L3612" s="5"/>
      <c r="M3612" s="5" t="s">
        <v>843</v>
      </c>
      <c r="N3612" s="5" t="s">
        <v>843</v>
      </c>
      <c r="O3612" s="5" t="s">
        <v>588</v>
      </c>
      <c r="P3612" s="5"/>
      <c r="Q3612" s="5" t="s">
        <v>854</v>
      </c>
    </row>
    <row r="3613" spans="2:17" x14ac:dyDescent="0.2">
      <c r="B3613" s="5" t="s">
        <v>544</v>
      </c>
      <c r="C3613" s="6" t="s">
        <v>13587</v>
      </c>
      <c r="D3613" s="4">
        <v>304</v>
      </c>
      <c r="E3613" s="5" t="s">
        <v>20</v>
      </c>
      <c r="F3613" s="5" t="s">
        <v>1120</v>
      </c>
      <c r="G3613" s="6" t="s">
        <v>18</v>
      </c>
      <c r="H3613" s="4"/>
      <c r="I3613" s="5" t="s">
        <v>22</v>
      </c>
      <c r="J3613" s="5" t="s">
        <v>1121</v>
      </c>
      <c r="K3613" s="5" t="s">
        <v>582</v>
      </c>
      <c r="L3613" s="5"/>
      <c r="M3613" s="5" t="s">
        <v>1122</v>
      </c>
      <c r="N3613" s="5" t="s">
        <v>1122</v>
      </c>
      <c r="O3613" s="5" t="s">
        <v>549</v>
      </c>
      <c r="P3613" s="5"/>
      <c r="Q3613" s="5" t="s">
        <v>1123</v>
      </c>
    </row>
    <row r="3614" spans="2:17" x14ac:dyDescent="0.2">
      <c r="B3614" s="5" t="s">
        <v>1164</v>
      </c>
      <c r="C3614" s="6" t="s">
        <v>13587</v>
      </c>
      <c r="D3614" s="4">
        <v>314</v>
      </c>
      <c r="E3614" s="5" t="s">
        <v>24</v>
      </c>
      <c r="F3614" s="5" t="s">
        <v>1666</v>
      </c>
      <c r="G3614" s="6" t="s">
        <v>18</v>
      </c>
      <c r="H3614" s="4"/>
      <c r="I3614" s="5"/>
      <c r="J3614" s="5" t="s">
        <v>1667</v>
      </c>
      <c r="K3614" s="5" t="s">
        <v>1168</v>
      </c>
      <c r="L3614" s="5"/>
      <c r="M3614" s="5" t="s">
        <v>1668</v>
      </c>
      <c r="N3614" s="5" t="s">
        <v>1668</v>
      </c>
      <c r="O3614" s="5" t="s">
        <v>1170</v>
      </c>
      <c r="P3614" s="5"/>
      <c r="Q3614" s="5" t="s">
        <v>1669</v>
      </c>
    </row>
    <row r="3615" spans="2:17" x14ac:dyDescent="0.2">
      <c r="B3615" s="5" t="s">
        <v>1164</v>
      </c>
      <c r="C3615" s="6" t="s">
        <v>13587</v>
      </c>
      <c r="D3615" s="4">
        <v>315</v>
      </c>
      <c r="E3615" s="5" t="s">
        <v>24</v>
      </c>
      <c r="F3615" s="5" t="s">
        <v>1670</v>
      </c>
      <c r="G3615" s="6" t="s">
        <v>18</v>
      </c>
      <c r="H3615" s="4"/>
      <c r="I3615" s="5"/>
      <c r="J3615" s="5" t="s">
        <v>1671</v>
      </c>
      <c r="K3615" s="5" t="s">
        <v>1195</v>
      </c>
      <c r="L3615" s="5"/>
      <c r="M3615" s="5" t="s">
        <v>1672</v>
      </c>
      <c r="N3615" s="5" t="s">
        <v>506</v>
      </c>
      <c r="O3615" s="5" t="s">
        <v>1166</v>
      </c>
      <c r="P3615" s="5"/>
      <c r="Q3615" s="5" t="s">
        <v>1673</v>
      </c>
    </row>
    <row r="3616" spans="2:17" x14ac:dyDescent="0.2">
      <c r="B3616" s="5" t="s">
        <v>1164</v>
      </c>
      <c r="C3616" s="6" t="s">
        <v>13587</v>
      </c>
      <c r="D3616" s="4">
        <v>316</v>
      </c>
      <c r="E3616" s="5" t="s">
        <v>24</v>
      </c>
      <c r="F3616" s="5" t="s">
        <v>1674</v>
      </c>
      <c r="G3616" s="6" t="s">
        <v>18</v>
      </c>
      <c r="H3616" s="4"/>
      <c r="I3616" s="5"/>
      <c r="J3616" s="5" t="s">
        <v>1675</v>
      </c>
      <c r="K3616" s="5" t="s">
        <v>1676</v>
      </c>
      <c r="L3616" s="5" t="s">
        <v>1677</v>
      </c>
      <c r="M3616" s="5" t="s">
        <v>1672</v>
      </c>
      <c r="N3616" s="5" t="s">
        <v>506</v>
      </c>
      <c r="O3616" s="5" t="s">
        <v>1166</v>
      </c>
      <c r="P3616" s="5"/>
      <c r="Q3616" s="5" t="s">
        <v>1678</v>
      </c>
    </row>
    <row r="3617" spans="2:17" x14ac:dyDescent="0.2">
      <c r="B3617" s="5" t="s">
        <v>1164</v>
      </c>
      <c r="C3617" s="6" t="s">
        <v>13587</v>
      </c>
      <c r="D3617" s="4">
        <v>318</v>
      </c>
      <c r="E3617" s="5" t="s">
        <v>24</v>
      </c>
      <c r="F3617" s="5" t="s">
        <v>1636</v>
      </c>
      <c r="G3617" s="6" t="s">
        <v>18</v>
      </c>
      <c r="H3617" s="4"/>
      <c r="I3617" s="5"/>
      <c r="J3617" s="5" t="s">
        <v>1637</v>
      </c>
      <c r="K3617" s="5" t="s">
        <v>1171</v>
      </c>
      <c r="L3617" s="5" t="s">
        <v>1638</v>
      </c>
      <c r="M3617" s="5" t="s">
        <v>211</v>
      </c>
      <c r="N3617" s="5" t="s">
        <v>207</v>
      </c>
      <c r="O3617" s="5" t="s">
        <v>1166</v>
      </c>
      <c r="P3617" s="5"/>
      <c r="Q3617" s="5" t="s">
        <v>1639</v>
      </c>
    </row>
    <row r="3618" spans="2:17" x14ac:dyDescent="0.2">
      <c r="B3618" s="5" t="s">
        <v>1164</v>
      </c>
      <c r="C3618" s="6" t="s">
        <v>13587</v>
      </c>
      <c r="D3618" s="4">
        <v>319</v>
      </c>
      <c r="E3618" s="5" t="s">
        <v>35</v>
      </c>
      <c r="F3618" s="5" t="s">
        <v>1632</v>
      </c>
      <c r="G3618" s="6" t="s">
        <v>18</v>
      </c>
      <c r="H3618" s="4"/>
      <c r="I3618" s="5"/>
      <c r="J3618" s="5" t="s">
        <v>1633</v>
      </c>
      <c r="K3618" s="5" t="s">
        <v>1171</v>
      </c>
      <c r="L3618" s="5"/>
      <c r="M3618" s="5" t="s">
        <v>1634</v>
      </c>
      <c r="N3618" s="5" t="s">
        <v>1634</v>
      </c>
      <c r="O3618" s="5" t="s">
        <v>1166</v>
      </c>
      <c r="P3618" s="5"/>
      <c r="Q3618" s="5" t="s">
        <v>1635</v>
      </c>
    </row>
    <row r="3619" spans="2:17" x14ac:dyDescent="0.2">
      <c r="B3619" s="5" t="s">
        <v>1164</v>
      </c>
      <c r="C3619" s="6" t="s">
        <v>13587</v>
      </c>
      <c r="D3619" s="4">
        <v>343</v>
      </c>
      <c r="E3619" s="5" t="s">
        <v>24</v>
      </c>
      <c r="F3619" s="5" t="s">
        <v>1587</v>
      </c>
      <c r="G3619" s="6" t="s">
        <v>18</v>
      </c>
      <c r="H3619" s="4"/>
      <c r="I3619" s="5"/>
      <c r="J3619" s="5" t="s">
        <v>1588</v>
      </c>
      <c r="K3619" s="5" t="s">
        <v>1376</v>
      </c>
      <c r="L3619" s="5"/>
      <c r="M3619" s="5" t="s">
        <v>170</v>
      </c>
      <c r="N3619" s="5" t="s">
        <v>153</v>
      </c>
      <c r="O3619" s="5" t="s">
        <v>1180</v>
      </c>
      <c r="P3619" s="5"/>
      <c r="Q3619" s="5" t="s">
        <v>1589</v>
      </c>
    </row>
    <row r="3620" spans="2:17" x14ac:dyDescent="0.2">
      <c r="B3620" s="5" t="s">
        <v>1164</v>
      </c>
      <c r="C3620" s="6" t="s">
        <v>13587</v>
      </c>
      <c r="D3620" s="4">
        <v>348</v>
      </c>
      <c r="E3620" s="5" t="s">
        <v>24</v>
      </c>
      <c r="F3620" s="5" t="s">
        <v>1539</v>
      </c>
      <c r="G3620" s="6" t="s">
        <v>18</v>
      </c>
      <c r="H3620" s="4"/>
      <c r="I3620" s="5"/>
      <c r="J3620" s="5" t="s">
        <v>1540</v>
      </c>
      <c r="K3620" s="5" t="s">
        <v>1174</v>
      </c>
      <c r="L3620" s="5"/>
      <c r="M3620" s="5" t="s">
        <v>920</v>
      </c>
      <c r="N3620" s="5" t="s">
        <v>921</v>
      </c>
      <c r="O3620" s="5" t="s">
        <v>1173</v>
      </c>
      <c r="P3620" s="5"/>
      <c r="Q3620" s="5" t="s">
        <v>1541</v>
      </c>
    </row>
    <row r="3621" spans="2:17" x14ac:dyDescent="0.2">
      <c r="B3621" s="5" t="s">
        <v>1164</v>
      </c>
      <c r="C3621" s="6" t="s">
        <v>13587</v>
      </c>
      <c r="D3621" s="4">
        <v>352</v>
      </c>
      <c r="E3621" s="5" t="s">
        <v>24</v>
      </c>
      <c r="F3621" s="5" t="s">
        <v>1522</v>
      </c>
      <c r="G3621" s="6" t="s">
        <v>18</v>
      </c>
      <c r="H3621" s="4"/>
      <c r="I3621" s="5"/>
      <c r="J3621" s="5" t="s">
        <v>1523</v>
      </c>
      <c r="K3621" s="5" t="s">
        <v>1524</v>
      </c>
      <c r="L3621" s="5"/>
      <c r="M3621" s="5" t="s">
        <v>1525</v>
      </c>
      <c r="N3621" s="5" t="s">
        <v>1526</v>
      </c>
      <c r="O3621" s="5" t="s">
        <v>1166</v>
      </c>
      <c r="P3621" s="5"/>
      <c r="Q3621" s="5" t="s">
        <v>1527</v>
      </c>
    </row>
    <row r="3622" spans="2:17" x14ac:dyDescent="0.2">
      <c r="B3622" s="5" t="s">
        <v>1164</v>
      </c>
      <c r="C3622" s="6" t="s">
        <v>13587</v>
      </c>
      <c r="D3622" s="4">
        <v>383</v>
      </c>
      <c r="E3622" s="5" t="s">
        <v>13</v>
      </c>
      <c r="F3622" s="5" t="s">
        <v>1349</v>
      </c>
      <c r="G3622" s="6" t="s">
        <v>18</v>
      </c>
      <c r="H3622" s="4"/>
      <c r="I3622" s="5"/>
      <c r="J3622" s="5" t="s">
        <v>1350</v>
      </c>
      <c r="K3622" s="5" t="s">
        <v>1351</v>
      </c>
      <c r="L3622" s="5" t="s">
        <v>1352</v>
      </c>
      <c r="M3622" s="5" t="s">
        <v>295</v>
      </c>
      <c r="N3622" s="5" t="s">
        <v>295</v>
      </c>
      <c r="O3622" s="5" t="s">
        <v>1173</v>
      </c>
      <c r="P3622" s="5"/>
      <c r="Q3622" s="5" t="s">
        <v>1353</v>
      </c>
    </row>
    <row r="3623" spans="2:17" x14ac:dyDescent="0.2">
      <c r="B3623" s="5" t="s">
        <v>1164</v>
      </c>
      <c r="C3623" s="6" t="s">
        <v>13587</v>
      </c>
      <c r="D3623" s="4">
        <v>386</v>
      </c>
      <c r="E3623" s="5" t="s">
        <v>24</v>
      </c>
      <c r="F3623" s="5" t="s">
        <v>1358</v>
      </c>
      <c r="G3623" s="6" t="s">
        <v>18</v>
      </c>
      <c r="H3623" s="4"/>
      <c r="I3623" s="5"/>
      <c r="J3623" s="5" t="s">
        <v>1359</v>
      </c>
      <c r="K3623" s="5" t="s">
        <v>1360</v>
      </c>
      <c r="L3623" s="5"/>
      <c r="M3623" s="5" t="s">
        <v>312</v>
      </c>
      <c r="N3623" s="5" t="s">
        <v>302</v>
      </c>
      <c r="O3623" s="5" t="s">
        <v>1187</v>
      </c>
      <c r="P3623" s="5"/>
      <c r="Q3623" s="5" t="s">
        <v>1361</v>
      </c>
    </row>
    <row r="3624" spans="2:17" x14ac:dyDescent="0.2">
      <c r="B3624" s="5" t="s">
        <v>1164</v>
      </c>
      <c r="C3624" s="6" t="s">
        <v>13587</v>
      </c>
      <c r="D3624" s="4">
        <v>425</v>
      </c>
      <c r="E3624" s="5" t="s">
        <v>20</v>
      </c>
      <c r="F3624" s="5" t="s">
        <v>1203</v>
      </c>
      <c r="G3624" s="6" t="s">
        <v>18</v>
      </c>
      <c r="H3624" s="4"/>
      <c r="I3624" s="5" t="s">
        <v>22</v>
      </c>
      <c r="J3624" s="5" t="s">
        <v>1204</v>
      </c>
      <c r="K3624" s="5" t="s">
        <v>1205</v>
      </c>
      <c r="L3624" s="5" t="s">
        <v>1206</v>
      </c>
      <c r="M3624" s="5" t="s">
        <v>1207</v>
      </c>
      <c r="N3624" s="5" t="s">
        <v>1208</v>
      </c>
      <c r="O3624" s="5" t="s">
        <v>1166</v>
      </c>
      <c r="P3624" s="5"/>
      <c r="Q3624" s="5" t="s">
        <v>1209</v>
      </c>
    </row>
    <row r="3625" spans="2:17" x14ac:dyDescent="0.2">
      <c r="B3625" s="5" t="s">
        <v>1164</v>
      </c>
      <c r="C3625" s="6" t="s">
        <v>13587</v>
      </c>
      <c r="D3625" s="4">
        <v>426</v>
      </c>
      <c r="E3625" s="5" t="s">
        <v>24</v>
      </c>
      <c r="F3625" s="5" t="s">
        <v>1203</v>
      </c>
      <c r="G3625" s="6" t="s">
        <v>18</v>
      </c>
      <c r="H3625" s="4"/>
      <c r="I3625" s="5"/>
      <c r="J3625" s="5" t="s">
        <v>1210</v>
      </c>
      <c r="K3625" s="5" t="s">
        <v>1165</v>
      </c>
      <c r="L3625" s="5" t="s">
        <v>1211</v>
      </c>
      <c r="M3625" s="5" t="s">
        <v>1207</v>
      </c>
      <c r="N3625" s="5" t="s">
        <v>1208</v>
      </c>
      <c r="O3625" s="5" t="s">
        <v>1166</v>
      </c>
      <c r="P3625" s="5"/>
      <c r="Q3625" s="5" t="s">
        <v>1212</v>
      </c>
    </row>
    <row r="3626" spans="2:17" x14ac:dyDescent="0.2">
      <c r="B3626" s="5" t="s">
        <v>1164</v>
      </c>
      <c r="C3626" s="6" t="s">
        <v>13587</v>
      </c>
      <c r="D3626" s="4">
        <v>427</v>
      </c>
      <c r="E3626" s="5" t="s">
        <v>24</v>
      </c>
      <c r="F3626" s="5" t="s">
        <v>1203</v>
      </c>
      <c r="G3626" s="6" t="s">
        <v>18</v>
      </c>
      <c r="H3626" s="4"/>
      <c r="I3626" s="5"/>
      <c r="J3626" s="5" t="s">
        <v>1213</v>
      </c>
      <c r="K3626" s="5" t="s">
        <v>1214</v>
      </c>
      <c r="L3626" s="5" t="s">
        <v>1185</v>
      </c>
      <c r="M3626" s="5" t="s">
        <v>1207</v>
      </c>
      <c r="N3626" s="5" t="s">
        <v>1208</v>
      </c>
      <c r="O3626" s="5" t="s">
        <v>1166</v>
      </c>
      <c r="P3626" s="5"/>
      <c r="Q3626" s="5" t="s">
        <v>1215</v>
      </c>
    </row>
    <row r="3627" spans="2:17" x14ac:dyDescent="0.2">
      <c r="B3627" s="5" t="s">
        <v>1164</v>
      </c>
      <c r="C3627" s="6" t="s">
        <v>13587</v>
      </c>
      <c r="D3627" s="4">
        <v>430</v>
      </c>
      <c r="E3627" s="5" t="s">
        <v>20</v>
      </c>
      <c r="F3627" s="5" t="s">
        <v>1647</v>
      </c>
      <c r="G3627" s="6" t="s">
        <v>18</v>
      </c>
      <c r="H3627" s="4"/>
      <c r="I3627" s="5" t="s">
        <v>22</v>
      </c>
      <c r="J3627" s="5" t="s">
        <v>1648</v>
      </c>
      <c r="K3627" s="5" t="s">
        <v>1649</v>
      </c>
      <c r="L3627" s="5"/>
      <c r="M3627" s="5" t="s">
        <v>1650</v>
      </c>
      <c r="N3627" s="5" t="s">
        <v>1651</v>
      </c>
      <c r="O3627" s="5" t="s">
        <v>1173</v>
      </c>
      <c r="P3627" s="5"/>
      <c r="Q3627" s="5" t="s">
        <v>1652</v>
      </c>
    </row>
    <row r="3628" spans="2:17" x14ac:dyDescent="0.2">
      <c r="B3628" s="5" t="s">
        <v>1164</v>
      </c>
      <c r="C3628" s="6" t="s">
        <v>13587</v>
      </c>
      <c r="D3628" s="4">
        <v>431</v>
      </c>
      <c r="E3628" s="5" t="s">
        <v>20</v>
      </c>
      <c r="F3628" s="5" t="s">
        <v>1653</v>
      </c>
      <c r="G3628" s="6" t="s">
        <v>18</v>
      </c>
      <c r="H3628" s="4"/>
      <c r="I3628" s="5" t="s">
        <v>22</v>
      </c>
      <c r="J3628" s="5" t="s">
        <v>1654</v>
      </c>
      <c r="K3628" s="5" t="s">
        <v>1423</v>
      </c>
      <c r="L3628" s="5"/>
      <c r="M3628" s="5" t="s">
        <v>1650</v>
      </c>
      <c r="N3628" s="5" t="s">
        <v>1651</v>
      </c>
      <c r="O3628" s="5" t="s">
        <v>1167</v>
      </c>
      <c r="P3628" s="5"/>
      <c r="Q3628" s="5" t="s">
        <v>1655</v>
      </c>
    </row>
    <row r="3629" spans="2:17" x14ac:dyDescent="0.2">
      <c r="B3629" s="5" t="s">
        <v>1164</v>
      </c>
      <c r="C3629" s="6" t="s">
        <v>13587</v>
      </c>
      <c r="D3629" s="4">
        <v>432</v>
      </c>
      <c r="E3629" s="5" t="s">
        <v>24</v>
      </c>
      <c r="F3629" s="5" t="s">
        <v>1507</v>
      </c>
      <c r="G3629" s="6" t="s">
        <v>18</v>
      </c>
      <c r="H3629" s="4"/>
      <c r="I3629" s="5"/>
      <c r="J3629" s="5" t="s">
        <v>1508</v>
      </c>
      <c r="K3629" s="5" t="s">
        <v>1452</v>
      </c>
      <c r="L3629" s="5"/>
      <c r="M3629" s="5" t="s">
        <v>132</v>
      </c>
      <c r="N3629" s="5" t="s">
        <v>366</v>
      </c>
      <c r="O3629" s="5" t="s">
        <v>1166</v>
      </c>
      <c r="P3629" s="5"/>
      <c r="Q3629" s="5" t="s">
        <v>1509</v>
      </c>
    </row>
    <row r="3630" spans="2:17" x14ac:dyDescent="0.2">
      <c r="B3630" s="5" t="s">
        <v>1906</v>
      </c>
      <c r="C3630" s="6" t="s">
        <v>13587</v>
      </c>
      <c r="D3630" s="4">
        <v>529</v>
      </c>
      <c r="E3630" s="5" t="s">
        <v>15</v>
      </c>
      <c r="F3630" s="5" t="s">
        <v>2251</v>
      </c>
      <c r="G3630" s="6" t="s">
        <v>18</v>
      </c>
      <c r="H3630" s="4"/>
      <c r="I3630" s="5"/>
      <c r="J3630" s="5" t="s">
        <v>2252</v>
      </c>
      <c r="K3630" s="5" t="s">
        <v>2253</v>
      </c>
      <c r="L3630" s="5"/>
      <c r="M3630" s="5" t="s">
        <v>2254</v>
      </c>
      <c r="N3630" s="5" t="s">
        <v>230</v>
      </c>
      <c r="O3630" s="5" t="s">
        <v>1910</v>
      </c>
      <c r="P3630" s="5"/>
      <c r="Q3630" s="5" t="s">
        <v>2255</v>
      </c>
    </row>
    <row r="3631" spans="2:17" x14ac:dyDescent="0.2">
      <c r="B3631" s="5" t="s">
        <v>1906</v>
      </c>
      <c r="C3631" s="6" t="s">
        <v>13587</v>
      </c>
      <c r="D3631" s="4">
        <v>530</v>
      </c>
      <c r="E3631" s="5" t="s">
        <v>20</v>
      </c>
      <c r="F3631" s="5" t="s">
        <v>2209</v>
      </c>
      <c r="G3631" s="6" t="s">
        <v>18</v>
      </c>
      <c r="H3631" s="4"/>
      <c r="I3631" s="5" t="s">
        <v>38</v>
      </c>
      <c r="J3631" s="5" t="s">
        <v>2210</v>
      </c>
      <c r="K3631" s="5" t="s">
        <v>2211</v>
      </c>
      <c r="L3631" s="5"/>
      <c r="M3631" s="5" t="s">
        <v>476</v>
      </c>
      <c r="N3631" s="5" t="s">
        <v>211</v>
      </c>
      <c r="O3631" s="5" t="s">
        <v>2212</v>
      </c>
      <c r="P3631" s="5"/>
      <c r="Q3631" s="5" t="s">
        <v>2213</v>
      </c>
    </row>
    <row r="3632" spans="2:17" x14ac:dyDescent="0.2">
      <c r="B3632" s="5" t="s">
        <v>1906</v>
      </c>
      <c r="C3632" s="6" t="s">
        <v>13587</v>
      </c>
      <c r="D3632" s="4">
        <v>536</v>
      </c>
      <c r="E3632" s="5" t="s">
        <v>20</v>
      </c>
      <c r="F3632" s="5" t="s">
        <v>2281</v>
      </c>
      <c r="G3632" s="6" t="s">
        <v>18</v>
      </c>
      <c r="H3632" s="4"/>
      <c r="I3632" s="5" t="s">
        <v>38</v>
      </c>
      <c r="J3632" s="5" t="s">
        <v>2282</v>
      </c>
      <c r="K3632" s="5" t="s">
        <v>2283</v>
      </c>
      <c r="L3632" s="5" t="s">
        <v>2284</v>
      </c>
      <c r="M3632" s="5" t="s">
        <v>90</v>
      </c>
      <c r="N3632" s="5" t="s">
        <v>2285</v>
      </c>
      <c r="O3632" s="5" t="s">
        <v>2286</v>
      </c>
      <c r="P3632" s="5"/>
      <c r="Q3632" s="5" t="s">
        <v>2287</v>
      </c>
    </row>
    <row r="3633" spans="2:17" x14ac:dyDescent="0.2">
      <c r="B3633" s="5" t="s">
        <v>1906</v>
      </c>
      <c r="C3633" s="6" t="s">
        <v>13587</v>
      </c>
      <c r="D3633" s="4">
        <v>593</v>
      </c>
      <c r="E3633" s="5" t="s">
        <v>20</v>
      </c>
      <c r="F3633" s="5" t="s">
        <v>1959</v>
      </c>
      <c r="G3633" s="6" t="s">
        <v>18</v>
      </c>
      <c r="H3633" s="4"/>
      <c r="I3633" s="5" t="s">
        <v>38</v>
      </c>
      <c r="J3633" s="5" t="s">
        <v>1960</v>
      </c>
      <c r="K3633" s="5" t="s">
        <v>1961</v>
      </c>
      <c r="L3633" s="5"/>
      <c r="M3633" s="5" t="s">
        <v>1962</v>
      </c>
      <c r="N3633" s="5" t="s">
        <v>1415</v>
      </c>
      <c r="O3633" s="5" t="s">
        <v>1945</v>
      </c>
      <c r="P3633" s="5"/>
      <c r="Q3633" s="5" t="s">
        <v>1963</v>
      </c>
    </row>
    <row r="3634" spans="2:17" x14ac:dyDescent="0.2">
      <c r="B3634" s="5" t="s">
        <v>1906</v>
      </c>
      <c r="C3634" s="6" t="s">
        <v>13587</v>
      </c>
      <c r="D3634" s="4">
        <v>612</v>
      </c>
      <c r="E3634" s="5" t="s">
        <v>20</v>
      </c>
      <c r="F3634" s="5" t="s">
        <v>2233</v>
      </c>
      <c r="G3634" s="6" t="s">
        <v>18</v>
      </c>
      <c r="H3634" s="4"/>
      <c r="I3634" s="5" t="s">
        <v>38</v>
      </c>
      <c r="J3634" s="5" t="s">
        <v>2234</v>
      </c>
      <c r="K3634" s="5" t="s">
        <v>2235</v>
      </c>
      <c r="L3634" s="5"/>
      <c r="M3634" s="5" t="s">
        <v>1074</v>
      </c>
      <c r="N3634" s="5" t="s">
        <v>2236</v>
      </c>
      <c r="O3634" s="5" t="s">
        <v>2212</v>
      </c>
      <c r="P3634" s="5"/>
      <c r="Q3634" s="5" t="s">
        <v>2237</v>
      </c>
    </row>
    <row r="3635" spans="2:17" x14ac:dyDescent="0.2">
      <c r="B3635" s="5" t="s">
        <v>1906</v>
      </c>
      <c r="C3635" s="6" t="s">
        <v>13587</v>
      </c>
      <c r="D3635" s="4">
        <v>613</v>
      </c>
      <c r="E3635" s="5" t="s">
        <v>20</v>
      </c>
      <c r="F3635" s="5" t="s">
        <v>2233</v>
      </c>
      <c r="G3635" s="6" t="s">
        <v>18</v>
      </c>
      <c r="H3635" s="4"/>
      <c r="I3635" s="5" t="s">
        <v>38</v>
      </c>
      <c r="J3635" s="5" t="s">
        <v>2238</v>
      </c>
      <c r="K3635" s="5" t="s">
        <v>2235</v>
      </c>
      <c r="L3635" s="5"/>
      <c r="M3635" s="5" t="s">
        <v>1074</v>
      </c>
      <c r="N3635" s="5" t="s">
        <v>2236</v>
      </c>
      <c r="O3635" s="5" t="s">
        <v>2212</v>
      </c>
      <c r="P3635" s="5"/>
      <c r="Q3635" s="5" t="s">
        <v>2239</v>
      </c>
    </row>
    <row r="3636" spans="2:17" x14ac:dyDescent="0.2">
      <c r="B3636" s="5" t="s">
        <v>1906</v>
      </c>
      <c r="C3636" s="6" t="s">
        <v>13587</v>
      </c>
      <c r="D3636" s="4">
        <v>614</v>
      </c>
      <c r="E3636" s="5" t="s">
        <v>20</v>
      </c>
      <c r="F3636" s="5" t="s">
        <v>2233</v>
      </c>
      <c r="G3636" s="6" t="s">
        <v>18</v>
      </c>
      <c r="H3636" s="4"/>
      <c r="I3636" s="5" t="s">
        <v>38</v>
      </c>
      <c r="J3636" s="5" t="s">
        <v>2240</v>
      </c>
      <c r="K3636" s="5" t="s">
        <v>2241</v>
      </c>
      <c r="L3636" s="5"/>
      <c r="M3636" s="5" t="s">
        <v>1074</v>
      </c>
      <c r="N3636" s="5" t="s">
        <v>2236</v>
      </c>
      <c r="O3636" s="5" t="s">
        <v>1939</v>
      </c>
      <c r="P3636" s="5"/>
      <c r="Q3636" s="5" t="s">
        <v>2242</v>
      </c>
    </row>
    <row r="3637" spans="2:17" x14ac:dyDescent="0.2">
      <c r="B3637" s="5" t="s">
        <v>1906</v>
      </c>
      <c r="C3637" s="6" t="s">
        <v>13587</v>
      </c>
      <c r="D3637" s="4">
        <v>615</v>
      </c>
      <c r="E3637" s="5" t="s">
        <v>20</v>
      </c>
      <c r="F3637" s="5" t="s">
        <v>2243</v>
      </c>
      <c r="G3637" s="6" t="s">
        <v>18</v>
      </c>
      <c r="H3637" s="4"/>
      <c r="I3637" s="5" t="s">
        <v>38</v>
      </c>
      <c r="J3637" s="5" t="s">
        <v>2244</v>
      </c>
      <c r="K3637" s="5" t="s">
        <v>2245</v>
      </c>
      <c r="L3637" s="5"/>
      <c r="M3637" s="5" t="s">
        <v>1074</v>
      </c>
      <c r="N3637" s="5" t="s">
        <v>2236</v>
      </c>
      <c r="O3637" s="5" t="s">
        <v>2109</v>
      </c>
      <c r="P3637" s="5"/>
      <c r="Q3637" s="5" t="s">
        <v>2246</v>
      </c>
    </row>
    <row r="3638" spans="2:17" x14ac:dyDescent="0.2">
      <c r="B3638" s="5" t="s">
        <v>2292</v>
      </c>
      <c r="C3638" s="6" t="s">
        <v>13587</v>
      </c>
      <c r="D3638" s="4">
        <v>643</v>
      </c>
      <c r="E3638" s="5" t="s">
        <v>20</v>
      </c>
      <c r="F3638" s="5" t="s">
        <v>2417</v>
      </c>
      <c r="G3638" s="6" t="s">
        <v>18</v>
      </c>
      <c r="H3638" s="4"/>
      <c r="I3638" s="5" t="s">
        <v>38</v>
      </c>
      <c r="J3638" s="5" t="s">
        <v>2418</v>
      </c>
      <c r="K3638" s="5" t="s">
        <v>2419</v>
      </c>
      <c r="L3638" s="5" t="s">
        <v>2420</v>
      </c>
      <c r="M3638" s="5" t="s">
        <v>1899</v>
      </c>
      <c r="N3638" s="5" t="s">
        <v>2421</v>
      </c>
      <c r="O3638" s="5" t="s">
        <v>2422</v>
      </c>
      <c r="P3638" s="5"/>
      <c r="Q3638" s="5" t="s">
        <v>2423</v>
      </c>
    </row>
    <row r="3639" spans="2:17" x14ac:dyDescent="0.2">
      <c r="B3639" s="5" t="s">
        <v>2292</v>
      </c>
      <c r="C3639" s="6" t="s">
        <v>13587</v>
      </c>
      <c r="D3639" s="4">
        <v>646</v>
      </c>
      <c r="E3639" s="5" t="s">
        <v>20</v>
      </c>
      <c r="F3639" s="5" t="s">
        <v>2388</v>
      </c>
      <c r="G3639" s="6" t="s">
        <v>18</v>
      </c>
      <c r="H3639" s="4"/>
      <c r="I3639" s="5" t="s">
        <v>38</v>
      </c>
      <c r="J3639" s="5" t="s">
        <v>2403</v>
      </c>
      <c r="K3639" s="5" t="s">
        <v>2404</v>
      </c>
      <c r="L3639" s="5"/>
      <c r="M3639" s="5" t="s">
        <v>1530</v>
      </c>
      <c r="N3639" s="5" t="s">
        <v>1525</v>
      </c>
      <c r="O3639" s="5" t="s">
        <v>2294</v>
      </c>
      <c r="P3639" s="5"/>
      <c r="Q3639" s="5" t="s">
        <v>2405</v>
      </c>
    </row>
    <row r="3640" spans="2:17" x14ac:dyDescent="0.2">
      <c r="B3640" s="5" t="s">
        <v>2292</v>
      </c>
      <c r="C3640" s="6" t="s">
        <v>13587</v>
      </c>
      <c r="D3640" s="4">
        <v>647</v>
      </c>
      <c r="E3640" s="5" t="s">
        <v>20</v>
      </c>
      <c r="F3640" s="5" t="s">
        <v>2388</v>
      </c>
      <c r="G3640" s="6" t="s">
        <v>18</v>
      </c>
      <c r="H3640" s="4"/>
      <c r="I3640" s="5" t="s">
        <v>38</v>
      </c>
      <c r="J3640" s="5" t="s">
        <v>2397</v>
      </c>
      <c r="K3640" s="5" t="s">
        <v>2398</v>
      </c>
      <c r="L3640" s="5"/>
      <c r="M3640" s="5" t="s">
        <v>2151</v>
      </c>
      <c r="N3640" s="5" t="s">
        <v>2151</v>
      </c>
      <c r="O3640" s="5" t="s">
        <v>2294</v>
      </c>
      <c r="P3640" s="5"/>
      <c r="Q3640" s="5" t="s">
        <v>2399</v>
      </c>
    </row>
    <row r="3641" spans="2:17" x14ac:dyDescent="0.2">
      <c r="B3641" s="5" t="s">
        <v>2292</v>
      </c>
      <c r="C3641" s="6" t="s">
        <v>13587</v>
      </c>
      <c r="D3641" s="4">
        <v>648</v>
      </c>
      <c r="E3641" s="5" t="s">
        <v>20</v>
      </c>
      <c r="F3641" s="5" t="s">
        <v>2388</v>
      </c>
      <c r="G3641" s="6" t="s">
        <v>18</v>
      </c>
      <c r="H3641" s="4"/>
      <c r="I3641" s="5" t="s">
        <v>38</v>
      </c>
      <c r="J3641" s="5" t="s">
        <v>2400</v>
      </c>
      <c r="K3641" s="5" t="s">
        <v>2401</v>
      </c>
      <c r="L3641" s="5"/>
      <c r="M3641" s="5" t="s">
        <v>1530</v>
      </c>
      <c r="N3641" s="5" t="s">
        <v>2152</v>
      </c>
      <c r="O3641" s="5" t="s">
        <v>2294</v>
      </c>
      <c r="P3641" s="5"/>
      <c r="Q3641" s="5" t="s">
        <v>2402</v>
      </c>
    </row>
    <row r="3642" spans="2:17" x14ac:dyDescent="0.2">
      <c r="B3642" s="5" t="s">
        <v>2292</v>
      </c>
      <c r="C3642" s="6" t="s">
        <v>13587</v>
      </c>
      <c r="D3642" s="4">
        <v>649</v>
      </c>
      <c r="E3642" s="5" t="s">
        <v>20</v>
      </c>
      <c r="F3642" s="5" t="s">
        <v>2388</v>
      </c>
      <c r="G3642" s="6" t="s">
        <v>18</v>
      </c>
      <c r="H3642" s="4"/>
      <c r="I3642" s="5" t="s">
        <v>38</v>
      </c>
      <c r="J3642" s="5" t="s">
        <v>2391</v>
      </c>
      <c r="K3642" s="5" t="s">
        <v>2392</v>
      </c>
      <c r="L3642" s="5"/>
      <c r="M3642" s="5" t="s">
        <v>2152</v>
      </c>
      <c r="N3642" s="5" t="s">
        <v>2152</v>
      </c>
      <c r="O3642" s="5" t="s">
        <v>2294</v>
      </c>
      <c r="P3642" s="5"/>
      <c r="Q3642" s="5" t="s">
        <v>2393</v>
      </c>
    </row>
    <row r="3643" spans="2:17" x14ac:dyDescent="0.2">
      <c r="B3643" s="5" t="s">
        <v>2292</v>
      </c>
      <c r="C3643" s="6" t="s">
        <v>13587</v>
      </c>
      <c r="D3643" s="4">
        <v>650</v>
      </c>
      <c r="E3643" s="5" t="s">
        <v>20</v>
      </c>
      <c r="F3643" s="5" t="s">
        <v>2388</v>
      </c>
      <c r="G3643" s="6" t="s">
        <v>18</v>
      </c>
      <c r="H3643" s="4"/>
      <c r="I3643" s="5" t="s">
        <v>38</v>
      </c>
      <c r="J3643" s="5" t="s">
        <v>2394</v>
      </c>
      <c r="K3643" s="5" t="s">
        <v>2395</v>
      </c>
      <c r="L3643" s="5"/>
      <c r="M3643" s="5" t="s">
        <v>2152</v>
      </c>
      <c r="N3643" s="5" t="s">
        <v>2152</v>
      </c>
      <c r="O3643" s="5" t="s">
        <v>2294</v>
      </c>
      <c r="P3643" s="5"/>
      <c r="Q3643" s="5" t="s">
        <v>2396</v>
      </c>
    </row>
    <row r="3644" spans="2:17" x14ac:dyDescent="0.2">
      <c r="B3644" s="5" t="s">
        <v>2292</v>
      </c>
      <c r="C3644" s="6" t="s">
        <v>13587</v>
      </c>
      <c r="D3644" s="4">
        <v>651</v>
      </c>
      <c r="E3644" s="5" t="s">
        <v>20</v>
      </c>
      <c r="F3644" s="5" t="s">
        <v>2388</v>
      </c>
      <c r="G3644" s="6" t="s">
        <v>18</v>
      </c>
      <c r="H3644" s="4"/>
      <c r="I3644" s="5" t="s">
        <v>38</v>
      </c>
      <c r="J3644" s="5" t="s">
        <v>2389</v>
      </c>
      <c r="K3644" s="5" t="s">
        <v>2359</v>
      </c>
      <c r="L3644" s="5"/>
      <c r="M3644" s="5" t="s">
        <v>1526</v>
      </c>
      <c r="N3644" s="5" t="s">
        <v>1526</v>
      </c>
      <c r="O3644" s="5"/>
      <c r="P3644" s="5"/>
      <c r="Q3644" s="5" t="s">
        <v>2390</v>
      </c>
    </row>
    <row r="3645" spans="2:17" x14ac:dyDescent="0.2">
      <c r="B3645" s="5" t="s">
        <v>2432</v>
      </c>
      <c r="C3645" s="6" t="s">
        <v>13587</v>
      </c>
      <c r="D3645" s="4">
        <v>687</v>
      </c>
      <c r="E3645" s="5" t="s">
        <v>24</v>
      </c>
      <c r="F3645" s="5" t="s">
        <v>2519</v>
      </c>
      <c r="G3645" s="6" t="s">
        <v>18</v>
      </c>
      <c r="H3645" s="4"/>
      <c r="I3645" s="5"/>
      <c r="J3645" s="5" t="s">
        <v>2520</v>
      </c>
      <c r="K3645" s="5" t="s">
        <v>2491</v>
      </c>
      <c r="L3645" s="5"/>
      <c r="M3645" s="5" t="s">
        <v>479</v>
      </c>
      <c r="N3645" s="5" t="s">
        <v>479</v>
      </c>
      <c r="O3645" s="5" t="s">
        <v>2441</v>
      </c>
      <c r="P3645" s="5"/>
      <c r="Q3645" s="5" t="s">
        <v>2521</v>
      </c>
    </row>
    <row r="3646" spans="2:17" x14ac:dyDescent="0.2">
      <c r="B3646" s="5" t="s">
        <v>2432</v>
      </c>
      <c r="C3646" s="6" t="s">
        <v>13587</v>
      </c>
      <c r="D3646" s="4">
        <v>688</v>
      </c>
      <c r="E3646" s="5" t="s">
        <v>24</v>
      </c>
      <c r="F3646" s="5" t="s">
        <v>2516</v>
      </c>
      <c r="G3646" s="6" t="s">
        <v>18</v>
      </c>
      <c r="H3646" s="4"/>
      <c r="I3646" s="5"/>
      <c r="J3646" s="5" t="s">
        <v>2517</v>
      </c>
      <c r="K3646" s="5" t="s">
        <v>2458</v>
      </c>
      <c r="L3646" s="5"/>
      <c r="M3646" s="5" t="s">
        <v>1642</v>
      </c>
      <c r="N3646" s="5" t="s">
        <v>1642</v>
      </c>
      <c r="O3646" s="5" t="s">
        <v>2436</v>
      </c>
      <c r="P3646" s="5"/>
      <c r="Q3646" s="5" t="s">
        <v>2518</v>
      </c>
    </row>
    <row r="3647" spans="2:17" x14ac:dyDescent="0.2">
      <c r="B3647" s="5" t="s">
        <v>2535</v>
      </c>
      <c r="C3647" s="6" t="s">
        <v>13587</v>
      </c>
      <c r="D3647" s="4">
        <v>739</v>
      </c>
      <c r="E3647" s="5" t="s">
        <v>20</v>
      </c>
      <c r="F3647" s="5" t="s">
        <v>2595</v>
      </c>
      <c r="G3647" s="6" t="s">
        <v>18</v>
      </c>
      <c r="H3647" s="4"/>
      <c r="I3647" s="5" t="s">
        <v>22</v>
      </c>
      <c r="J3647" s="5" t="s">
        <v>2596</v>
      </c>
      <c r="K3647" s="5" t="s">
        <v>2562</v>
      </c>
      <c r="L3647" s="5" t="s">
        <v>2597</v>
      </c>
      <c r="M3647" s="5" t="s">
        <v>2598</v>
      </c>
      <c r="N3647" s="5" t="s">
        <v>106</v>
      </c>
      <c r="O3647" s="5" t="s">
        <v>2536</v>
      </c>
      <c r="P3647" s="5"/>
      <c r="Q3647" s="5" t="s">
        <v>2599</v>
      </c>
    </row>
    <row r="3648" spans="2:17" x14ac:dyDescent="0.2">
      <c r="B3648" s="5" t="s">
        <v>2535</v>
      </c>
      <c r="C3648" s="6" t="s">
        <v>13587</v>
      </c>
      <c r="D3648" s="4">
        <v>740</v>
      </c>
      <c r="E3648" s="5" t="s">
        <v>20</v>
      </c>
      <c r="F3648" s="5" t="s">
        <v>2595</v>
      </c>
      <c r="G3648" s="6" t="s">
        <v>18</v>
      </c>
      <c r="H3648" s="4"/>
      <c r="I3648" s="5" t="s">
        <v>22</v>
      </c>
      <c r="J3648" s="5" t="s">
        <v>2600</v>
      </c>
      <c r="K3648" s="5" t="s">
        <v>2544</v>
      </c>
      <c r="L3648" s="5" t="s">
        <v>2601</v>
      </c>
      <c r="M3648" s="5" t="s">
        <v>2598</v>
      </c>
      <c r="N3648" s="5" t="s">
        <v>106</v>
      </c>
      <c r="O3648" s="5" t="s">
        <v>2536</v>
      </c>
      <c r="P3648" s="5"/>
      <c r="Q3648" s="5" t="s">
        <v>2602</v>
      </c>
    </row>
    <row r="3649" spans="2:17" x14ac:dyDescent="0.2">
      <c r="B3649" s="5" t="s">
        <v>2535</v>
      </c>
      <c r="C3649" s="6" t="s">
        <v>13587</v>
      </c>
      <c r="D3649" s="4">
        <v>741</v>
      </c>
      <c r="E3649" s="5" t="s">
        <v>20</v>
      </c>
      <c r="F3649" s="5" t="s">
        <v>2603</v>
      </c>
      <c r="G3649" s="6" t="s">
        <v>18</v>
      </c>
      <c r="H3649" s="4"/>
      <c r="I3649" s="5" t="s">
        <v>22</v>
      </c>
      <c r="J3649" s="5" t="s">
        <v>2604</v>
      </c>
      <c r="K3649" s="5" t="s">
        <v>2605</v>
      </c>
      <c r="L3649" s="5"/>
      <c r="M3649" s="5" t="s">
        <v>2598</v>
      </c>
      <c r="N3649" s="5" t="s">
        <v>106</v>
      </c>
      <c r="O3649" s="5" t="s">
        <v>2536</v>
      </c>
      <c r="P3649" s="5"/>
      <c r="Q3649" s="5" t="s">
        <v>2606</v>
      </c>
    </row>
    <row r="3650" spans="2:17" x14ac:dyDescent="0.2">
      <c r="B3650" s="5" t="s">
        <v>2758</v>
      </c>
      <c r="C3650" s="6" t="s">
        <v>13587</v>
      </c>
      <c r="D3650" s="4">
        <v>773</v>
      </c>
      <c r="E3650" s="5" t="s">
        <v>13</v>
      </c>
      <c r="F3650" s="5" t="s">
        <v>3506</v>
      </c>
      <c r="G3650" s="6" t="s">
        <v>18</v>
      </c>
      <c r="H3650" s="4"/>
      <c r="I3650" s="5"/>
      <c r="J3650" s="5"/>
      <c r="K3650" s="5" t="s">
        <v>2771</v>
      </c>
      <c r="L3650" s="5" t="s">
        <v>3507</v>
      </c>
      <c r="M3650" s="5" t="s">
        <v>1695</v>
      </c>
      <c r="N3650" s="5" t="s">
        <v>1695</v>
      </c>
      <c r="O3650" s="5" t="s">
        <v>2762</v>
      </c>
      <c r="P3650" s="5" t="s">
        <v>3508</v>
      </c>
      <c r="Q3650" s="5" t="s">
        <v>3509</v>
      </c>
    </row>
    <row r="3651" spans="2:17" x14ac:dyDescent="0.2">
      <c r="B3651" s="5" t="s">
        <v>2758</v>
      </c>
      <c r="C3651" s="6" t="s">
        <v>13587</v>
      </c>
      <c r="D3651" s="4">
        <v>776</v>
      </c>
      <c r="E3651" s="5" t="s">
        <v>24</v>
      </c>
      <c r="F3651" s="5" t="s">
        <v>3491</v>
      </c>
      <c r="G3651" s="6" t="s">
        <v>18</v>
      </c>
      <c r="H3651" s="4"/>
      <c r="I3651" s="5"/>
      <c r="J3651" s="5" t="s">
        <v>3492</v>
      </c>
      <c r="K3651" s="5" t="s">
        <v>2803</v>
      </c>
      <c r="L3651" s="5"/>
      <c r="M3651" s="5" t="s">
        <v>1108</v>
      </c>
      <c r="N3651" s="5" t="s">
        <v>1108</v>
      </c>
      <c r="O3651" s="5" t="s">
        <v>2762</v>
      </c>
      <c r="P3651" s="5"/>
      <c r="Q3651" s="5" t="s">
        <v>3493</v>
      </c>
    </row>
    <row r="3652" spans="2:17" x14ac:dyDescent="0.2">
      <c r="B3652" s="5" t="s">
        <v>2758</v>
      </c>
      <c r="C3652" s="6" t="s">
        <v>13587</v>
      </c>
      <c r="D3652" s="4">
        <v>793</v>
      </c>
      <c r="E3652" s="5" t="s">
        <v>24</v>
      </c>
      <c r="F3652" s="5" t="s">
        <v>3445</v>
      </c>
      <c r="G3652" s="6" t="s">
        <v>18</v>
      </c>
      <c r="H3652" s="4"/>
      <c r="I3652" s="5"/>
      <c r="J3652" s="5" t="s">
        <v>3446</v>
      </c>
      <c r="K3652" s="5" t="s">
        <v>3447</v>
      </c>
      <c r="L3652" s="5"/>
      <c r="M3652" s="5" t="s">
        <v>538</v>
      </c>
      <c r="N3652" s="5" t="s">
        <v>538</v>
      </c>
      <c r="O3652" s="5" t="s">
        <v>2760</v>
      </c>
      <c r="P3652" s="5"/>
      <c r="Q3652" s="5" t="s">
        <v>3448</v>
      </c>
    </row>
    <row r="3653" spans="2:17" x14ac:dyDescent="0.2">
      <c r="B3653" s="5" t="s">
        <v>2758</v>
      </c>
      <c r="C3653" s="6" t="s">
        <v>13587</v>
      </c>
      <c r="D3653" s="4">
        <v>825</v>
      </c>
      <c r="E3653" s="5" t="s">
        <v>13</v>
      </c>
      <c r="F3653" s="5" t="s">
        <v>3304</v>
      </c>
      <c r="G3653" s="6" t="s">
        <v>18</v>
      </c>
      <c r="H3653" s="4"/>
      <c r="I3653" s="5"/>
      <c r="J3653" s="5" t="s">
        <v>3305</v>
      </c>
      <c r="K3653" s="5" t="s">
        <v>2784</v>
      </c>
      <c r="L3653" s="5"/>
      <c r="M3653" s="5" t="s">
        <v>193</v>
      </c>
      <c r="N3653" s="5" t="s">
        <v>198</v>
      </c>
      <c r="O3653" s="5" t="s">
        <v>2762</v>
      </c>
      <c r="P3653" s="5" t="s">
        <v>3306</v>
      </c>
      <c r="Q3653" s="5" t="s">
        <v>3307</v>
      </c>
    </row>
    <row r="3654" spans="2:17" x14ac:dyDescent="0.2">
      <c r="B3654" s="5" t="s">
        <v>2758</v>
      </c>
      <c r="C3654" s="6" t="s">
        <v>13587</v>
      </c>
      <c r="D3654" s="4">
        <v>852</v>
      </c>
      <c r="E3654" s="5" t="s">
        <v>20</v>
      </c>
      <c r="F3654" s="5" t="s">
        <v>3239</v>
      </c>
      <c r="G3654" s="6" t="s">
        <v>18</v>
      </c>
      <c r="H3654" s="4"/>
      <c r="I3654" s="5" t="s">
        <v>22</v>
      </c>
      <c r="J3654" s="5" t="s">
        <v>3240</v>
      </c>
      <c r="K3654" s="5" t="s">
        <v>2781</v>
      </c>
      <c r="L3654" s="5"/>
      <c r="M3654" s="5" t="s">
        <v>170</v>
      </c>
      <c r="N3654" s="5" t="s">
        <v>443</v>
      </c>
      <c r="O3654" s="5" t="s">
        <v>2762</v>
      </c>
      <c r="P3654" s="5"/>
      <c r="Q3654" s="5" t="s">
        <v>3241</v>
      </c>
    </row>
    <row r="3655" spans="2:17" x14ac:dyDescent="0.2">
      <c r="B3655" s="5" t="s">
        <v>2758</v>
      </c>
      <c r="C3655" s="6" t="s">
        <v>13587</v>
      </c>
      <c r="D3655" s="4">
        <v>871</v>
      </c>
      <c r="E3655" s="5" t="s">
        <v>24</v>
      </c>
      <c r="F3655" s="5" t="s">
        <v>3180</v>
      </c>
      <c r="G3655" s="6" t="s">
        <v>18</v>
      </c>
      <c r="H3655" s="4"/>
      <c r="I3655" s="5"/>
      <c r="J3655" s="5" t="s">
        <v>3184</v>
      </c>
      <c r="K3655" s="5" t="s">
        <v>2783</v>
      </c>
      <c r="L3655" s="5"/>
      <c r="M3655" s="5" t="s">
        <v>423</v>
      </c>
      <c r="N3655" s="5" t="s">
        <v>423</v>
      </c>
      <c r="O3655" s="5" t="s">
        <v>2762</v>
      </c>
      <c r="P3655" s="5"/>
      <c r="Q3655" s="5" t="s">
        <v>3185</v>
      </c>
    </row>
    <row r="3656" spans="2:17" x14ac:dyDescent="0.2">
      <c r="B3656" s="5" t="s">
        <v>2758</v>
      </c>
      <c r="C3656" s="6" t="s">
        <v>13587</v>
      </c>
      <c r="D3656" s="4">
        <v>872</v>
      </c>
      <c r="E3656" s="5" t="s">
        <v>24</v>
      </c>
      <c r="F3656" s="5" t="s">
        <v>3180</v>
      </c>
      <c r="G3656" s="6" t="s">
        <v>18</v>
      </c>
      <c r="H3656" s="4"/>
      <c r="I3656" s="5"/>
      <c r="J3656" s="5" t="s">
        <v>3186</v>
      </c>
      <c r="K3656" s="5" t="s">
        <v>2783</v>
      </c>
      <c r="L3656" s="5"/>
      <c r="M3656" s="5" t="s">
        <v>423</v>
      </c>
      <c r="N3656" s="5" t="s">
        <v>423</v>
      </c>
      <c r="O3656" s="5" t="s">
        <v>2762</v>
      </c>
      <c r="P3656" s="5"/>
      <c r="Q3656" s="5" t="s">
        <v>3187</v>
      </c>
    </row>
    <row r="3657" spans="2:17" x14ac:dyDescent="0.2">
      <c r="B3657" s="5" t="s">
        <v>2758</v>
      </c>
      <c r="C3657" s="6" t="s">
        <v>13587</v>
      </c>
      <c r="D3657" s="4">
        <v>873</v>
      </c>
      <c r="E3657" s="5" t="s">
        <v>24</v>
      </c>
      <c r="F3657" s="5" t="s">
        <v>3180</v>
      </c>
      <c r="G3657" s="6" t="s">
        <v>18</v>
      </c>
      <c r="H3657" s="4"/>
      <c r="I3657" s="5"/>
      <c r="J3657" s="5" t="s">
        <v>3181</v>
      </c>
      <c r="K3657" s="5" t="s">
        <v>2783</v>
      </c>
      <c r="L3657" s="5"/>
      <c r="M3657" s="5" t="s">
        <v>3182</v>
      </c>
      <c r="N3657" s="5" t="s">
        <v>3182</v>
      </c>
      <c r="O3657" s="5" t="s">
        <v>2762</v>
      </c>
      <c r="P3657" s="5"/>
      <c r="Q3657" s="5" t="s">
        <v>3183</v>
      </c>
    </row>
    <row r="3658" spans="2:17" x14ac:dyDescent="0.2">
      <c r="B3658" s="5" t="s">
        <v>2758</v>
      </c>
      <c r="C3658" s="6" t="s">
        <v>13587</v>
      </c>
      <c r="D3658" s="4">
        <v>878</v>
      </c>
      <c r="E3658" s="5" t="s">
        <v>24</v>
      </c>
      <c r="F3658" s="5" t="s">
        <v>3173</v>
      </c>
      <c r="G3658" s="6" t="s">
        <v>18</v>
      </c>
      <c r="H3658" s="4"/>
      <c r="I3658" s="5"/>
      <c r="J3658" s="5" t="s">
        <v>3174</v>
      </c>
      <c r="K3658" s="5" t="s">
        <v>2770</v>
      </c>
      <c r="L3658" s="5"/>
      <c r="M3658" s="5" t="s">
        <v>3162</v>
      </c>
      <c r="N3658" s="5" t="s">
        <v>3168</v>
      </c>
      <c r="O3658" s="5" t="s">
        <v>2762</v>
      </c>
      <c r="P3658" s="5" t="s">
        <v>3175</v>
      </c>
      <c r="Q3658" s="5" t="s">
        <v>3176</v>
      </c>
    </row>
    <row r="3659" spans="2:17" x14ac:dyDescent="0.2">
      <c r="B3659" s="5" t="s">
        <v>2758</v>
      </c>
      <c r="C3659" s="6" t="s">
        <v>13587</v>
      </c>
      <c r="D3659" s="4">
        <v>879</v>
      </c>
      <c r="E3659" s="5" t="s">
        <v>24</v>
      </c>
      <c r="F3659" s="5" t="s">
        <v>3177</v>
      </c>
      <c r="G3659" s="6" t="s">
        <v>18</v>
      </c>
      <c r="H3659" s="4"/>
      <c r="I3659" s="5"/>
      <c r="J3659" s="5" t="s">
        <v>3178</v>
      </c>
      <c r="K3659" s="5" t="s">
        <v>2770</v>
      </c>
      <c r="L3659" s="5"/>
      <c r="M3659" s="5" t="s">
        <v>3162</v>
      </c>
      <c r="N3659" s="5" t="s">
        <v>3168</v>
      </c>
      <c r="O3659" s="5" t="s">
        <v>2762</v>
      </c>
      <c r="P3659" s="5" t="s">
        <v>3175</v>
      </c>
      <c r="Q3659" s="5" t="s">
        <v>3179</v>
      </c>
    </row>
    <row r="3660" spans="2:17" x14ac:dyDescent="0.2">
      <c r="B3660" s="5" t="s">
        <v>2758</v>
      </c>
      <c r="C3660" s="6" t="s">
        <v>13587</v>
      </c>
      <c r="D3660" s="4">
        <v>890</v>
      </c>
      <c r="E3660" s="5" t="s">
        <v>15</v>
      </c>
      <c r="F3660" s="5" t="s">
        <v>3065</v>
      </c>
      <c r="G3660" s="6" t="s">
        <v>18</v>
      </c>
      <c r="H3660" s="4"/>
      <c r="I3660" s="5"/>
      <c r="J3660" s="5" t="s">
        <v>3066</v>
      </c>
      <c r="K3660" s="5" t="s">
        <v>2783</v>
      </c>
      <c r="L3660" s="5"/>
      <c r="M3660" s="5" t="s">
        <v>346</v>
      </c>
      <c r="N3660" s="5" t="s">
        <v>1464</v>
      </c>
      <c r="O3660" s="5" t="s">
        <v>2762</v>
      </c>
      <c r="P3660" s="5"/>
      <c r="Q3660" s="5" t="s">
        <v>3067</v>
      </c>
    </row>
    <row r="3661" spans="2:17" x14ac:dyDescent="0.2">
      <c r="B3661" s="5" t="s">
        <v>2758</v>
      </c>
      <c r="C3661" s="6" t="s">
        <v>13587</v>
      </c>
      <c r="D3661" s="4">
        <v>891</v>
      </c>
      <c r="E3661" s="5" t="s">
        <v>20</v>
      </c>
      <c r="F3661" s="5" t="s">
        <v>3051</v>
      </c>
      <c r="G3661" s="6" t="s">
        <v>18</v>
      </c>
      <c r="H3661" s="4"/>
      <c r="I3661" s="5" t="s">
        <v>22</v>
      </c>
      <c r="J3661" s="5" t="s">
        <v>3057</v>
      </c>
      <c r="K3661" s="5" t="s">
        <v>2803</v>
      </c>
      <c r="L3661" s="5"/>
      <c r="M3661" s="5" t="s">
        <v>2089</v>
      </c>
      <c r="N3661" s="5" t="s">
        <v>2089</v>
      </c>
      <c r="O3661" s="5" t="s">
        <v>2762</v>
      </c>
      <c r="P3661" s="5"/>
      <c r="Q3661" s="5" t="s">
        <v>3058</v>
      </c>
    </row>
    <row r="3662" spans="2:17" x14ac:dyDescent="0.2">
      <c r="B3662" s="5" t="s">
        <v>2758</v>
      </c>
      <c r="C3662" s="6" t="s">
        <v>13587</v>
      </c>
      <c r="D3662" s="4">
        <v>892</v>
      </c>
      <c r="E3662" s="5" t="s">
        <v>20</v>
      </c>
      <c r="F3662" s="5" t="s">
        <v>3051</v>
      </c>
      <c r="G3662" s="6" t="s">
        <v>18</v>
      </c>
      <c r="H3662" s="4"/>
      <c r="I3662" s="5" t="s">
        <v>22</v>
      </c>
      <c r="J3662" s="5" t="s">
        <v>3052</v>
      </c>
      <c r="K3662" s="5" t="s">
        <v>2803</v>
      </c>
      <c r="L3662" s="5"/>
      <c r="M3662" s="5" t="s">
        <v>3053</v>
      </c>
      <c r="N3662" s="5" t="s">
        <v>3053</v>
      </c>
      <c r="O3662" s="5" t="s">
        <v>2762</v>
      </c>
      <c r="P3662" s="5"/>
      <c r="Q3662" s="5" t="s">
        <v>3054</v>
      </c>
    </row>
    <row r="3663" spans="2:17" x14ac:dyDescent="0.2">
      <c r="B3663" s="5" t="s">
        <v>2758</v>
      </c>
      <c r="C3663" s="6" t="s">
        <v>13587</v>
      </c>
      <c r="D3663" s="4">
        <v>893</v>
      </c>
      <c r="E3663" s="5" t="s">
        <v>20</v>
      </c>
      <c r="F3663" s="5" t="s">
        <v>3051</v>
      </c>
      <c r="G3663" s="6" t="s">
        <v>18</v>
      </c>
      <c r="H3663" s="4"/>
      <c r="I3663" s="5" t="s">
        <v>22</v>
      </c>
      <c r="J3663" s="5" t="s">
        <v>3055</v>
      </c>
      <c r="K3663" s="5" t="s">
        <v>2775</v>
      </c>
      <c r="L3663" s="5"/>
      <c r="M3663" s="5" t="s">
        <v>3053</v>
      </c>
      <c r="N3663" s="5" t="s">
        <v>3053</v>
      </c>
      <c r="O3663" s="5" t="s">
        <v>2762</v>
      </c>
      <c r="P3663" s="5"/>
      <c r="Q3663" s="5" t="s">
        <v>3056</v>
      </c>
    </row>
    <row r="3664" spans="2:17" x14ac:dyDescent="0.2">
      <c r="B3664" s="5" t="s">
        <v>2758</v>
      </c>
      <c r="C3664" s="6" t="s">
        <v>13587</v>
      </c>
      <c r="D3664" s="4">
        <v>934</v>
      </c>
      <c r="E3664" s="5" t="s">
        <v>15</v>
      </c>
      <c r="F3664" s="5" t="s">
        <v>3096</v>
      </c>
      <c r="G3664" s="6" t="s">
        <v>18</v>
      </c>
      <c r="H3664" s="4"/>
      <c r="I3664" s="5"/>
      <c r="J3664" s="5" t="s">
        <v>3097</v>
      </c>
      <c r="K3664" s="5" t="s">
        <v>2791</v>
      </c>
      <c r="L3664" s="5"/>
      <c r="M3664" s="5" t="s">
        <v>366</v>
      </c>
      <c r="N3664" s="5" t="s">
        <v>295</v>
      </c>
      <c r="O3664" s="5" t="s">
        <v>2759</v>
      </c>
      <c r="P3664" s="5"/>
      <c r="Q3664" s="5" t="s">
        <v>3098</v>
      </c>
    </row>
    <row r="3665" spans="2:17" x14ac:dyDescent="0.2">
      <c r="B3665" s="5" t="s">
        <v>2758</v>
      </c>
      <c r="C3665" s="6" t="s">
        <v>13587</v>
      </c>
      <c r="D3665" s="4">
        <v>986</v>
      </c>
      <c r="E3665" s="5" t="s">
        <v>20</v>
      </c>
      <c r="F3665" s="5" t="s">
        <v>3436</v>
      </c>
      <c r="G3665" s="6" t="s">
        <v>18</v>
      </c>
      <c r="H3665" s="4"/>
      <c r="I3665" s="5" t="s">
        <v>22</v>
      </c>
      <c r="J3665" s="5" t="s">
        <v>3437</v>
      </c>
      <c r="K3665" s="5" t="s">
        <v>2787</v>
      </c>
      <c r="L3665" s="5"/>
      <c r="M3665" s="5" t="s">
        <v>3438</v>
      </c>
      <c r="N3665" s="5" t="s">
        <v>495</v>
      </c>
      <c r="O3665" s="5" t="s">
        <v>2759</v>
      </c>
      <c r="P3665" s="5"/>
      <c r="Q3665" s="5" t="s">
        <v>3439</v>
      </c>
    </row>
    <row r="3666" spans="2:17" x14ac:dyDescent="0.2">
      <c r="B3666" s="5" t="s">
        <v>2758</v>
      </c>
      <c r="C3666" s="6" t="s">
        <v>13587</v>
      </c>
      <c r="D3666" s="4">
        <v>993</v>
      </c>
      <c r="E3666" s="5" t="s">
        <v>24</v>
      </c>
      <c r="F3666" s="5" t="s">
        <v>3430</v>
      </c>
      <c r="G3666" s="6" t="s">
        <v>18</v>
      </c>
      <c r="H3666" s="4"/>
      <c r="I3666" s="5"/>
      <c r="J3666" s="5" t="s">
        <v>3431</v>
      </c>
      <c r="K3666" s="5" t="s">
        <v>3432</v>
      </c>
      <c r="L3666" s="5"/>
      <c r="M3666" s="5" t="s">
        <v>489</v>
      </c>
      <c r="N3666" s="5" t="s">
        <v>1651</v>
      </c>
      <c r="O3666" s="5" t="s">
        <v>2759</v>
      </c>
      <c r="P3666" s="5"/>
      <c r="Q3666" s="5" t="s">
        <v>3433</v>
      </c>
    </row>
    <row r="3667" spans="2:17" x14ac:dyDescent="0.2">
      <c r="B3667" s="5" t="s">
        <v>92</v>
      </c>
      <c r="C3667" s="6" t="s">
        <v>13587</v>
      </c>
      <c r="D3667" s="4">
        <v>19</v>
      </c>
      <c r="E3667" s="5" t="s">
        <v>20</v>
      </c>
      <c r="F3667" s="5" t="s">
        <v>167</v>
      </c>
      <c r="G3667" s="6" t="s">
        <v>19</v>
      </c>
      <c r="H3667" s="4"/>
      <c r="I3667" s="5" t="s">
        <v>22</v>
      </c>
      <c r="J3667" s="5" t="s">
        <v>168</v>
      </c>
      <c r="K3667" s="5" t="s">
        <v>169</v>
      </c>
      <c r="L3667" s="5"/>
      <c r="M3667" s="5" t="s">
        <v>170</v>
      </c>
      <c r="N3667" s="5" t="s">
        <v>153</v>
      </c>
      <c r="O3667" s="5" t="s">
        <v>107</v>
      </c>
      <c r="P3667" s="5"/>
      <c r="Q3667" s="5" t="s">
        <v>171</v>
      </c>
    </row>
    <row r="3668" spans="2:17" x14ac:dyDescent="0.2">
      <c r="B3668" s="5" t="s">
        <v>278</v>
      </c>
      <c r="C3668" s="6" t="s">
        <v>13587</v>
      </c>
      <c r="D3668" s="4">
        <v>57</v>
      </c>
      <c r="E3668" s="5" t="s">
        <v>20</v>
      </c>
      <c r="F3668" s="5" t="s">
        <v>418</v>
      </c>
      <c r="G3668" s="6" t="s">
        <v>19</v>
      </c>
      <c r="H3668" s="4"/>
      <c r="I3668" s="5" t="s">
        <v>22</v>
      </c>
      <c r="J3668" s="5" t="s">
        <v>419</v>
      </c>
      <c r="K3668" s="5" t="s">
        <v>420</v>
      </c>
      <c r="L3668" s="5" t="s">
        <v>421</v>
      </c>
      <c r="M3668" s="5" t="s">
        <v>422</v>
      </c>
      <c r="N3668" s="5" t="s">
        <v>423</v>
      </c>
      <c r="O3668" s="5" t="s">
        <v>285</v>
      </c>
      <c r="P3668" s="5"/>
      <c r="Q3668" s="5" t="s">
        <v>286</v>
      </c>
    </row>
    <row r="3669" spans="2:17" x14ac:dyDescent="0.2">
      <c r="B3669" s="5" t="s">
        <v>278</v>
      </c>
      <c r="C3669" s="6" t="s">
        <v>13587</v>
      </c>
      <c r="D3669" s="4">
        <v>102</v>
      </c>
      <c r="E3669" s="5" t="s">
        <v>20</v>
      </c>
      <c r="F3669" s="5" t="s">
        <v>481</v>
      </c>
      <c r="G3669" s="6" t="s">
        <v>19</v>
      </c>
      <c r="H3669" s="4"/>
      <c r="I3669" s="5" t="s">
        <v>22</v>
      </c>
      <c r="J3669" s="5" t="s">
        <v>482</v>
      </c>
      <c r="K3669" s="5" t="s">
        <v>311</v>
      </c>
      <c r="L3669" s="5" t="s">
        <v>483</v>
      </c>
      <c r="M3669" s="5" t="s">
        <v>484</v>
      </c>
      <c r="N3669" s="5" t="s">
        <v>485</v>
      </c>
      <c r="O3669" s="5" t="s">
        <v>285</v>
      </c>
      <c r="P3669" s="5"/>
      <c r="Q3669" s="5" t="s">
        <v>286</v>
      </c>
    </row>
    <row r="3670" spans="2:17" x14ac:dyDescent="0.2">
      <c r="B3670" s="5" t="s">
        <v>544</v>
      </c>
      <c r="C3670" s="6" t="s">
        <v>13587</v>
      </c>
      <c r="D3670" s="4">
        <v>228</v>
      </c>
      <c r="E3670" s="5" t="s">
        <v>35</v>
      </c>
      <c r="F3670" s="5" t="s">
        <v>769</v>
      </c>
      <c r="G3670" s="6" t="s">
        <v>19</v>
      </c>
      <c r="H3670" s="4"/>
      <c r="I3670" s="5"/>
      <c r="J3670" s="5" t="s">
        <v>770</v>
      </c>
      <c r="K3670" s="5" t="s">
        <v>610</v>
      </c>
      <c r="L3670" s="5"/>
      <c r="M3670" s="5" t="s">
        <v>336</v>
      </c>
      <c r="N3670" s="5" t="s">
        <v>337</v>
      </c>
      <c r="O3670" s="5" t="s">
        <v>588</v>
      </c>
      <c r="P3670" s="5"/>
      <c r="Q3670" s="5" t="s">
        <v>771</v>
      </c>
    </row>
    <row r="3671" spans="2:17" x14ac:dyDescent="0.2">
      <c r="B3671" s="5" t="s">
        <v>544</v>
      </c>
      <c r="C3671" s="6" t="s">
        <v>13587</v>
      </c>
      <c r="D3671" s="4">
        <v>259</v>
      </c>
      <c r="E3671" s="5" t="s">
        <v>24</v>
      </c>
      <c r="F3671" s="5" t="s">
        <v>608</v>
      </c>
      <c r="G3671" s="6" t="s">
        <v>19</v>
      </c>
      <c r="H3671" s="4"/>
      <c r="I3671" s="5"/>
      <c r="J3671" s="5" t="s">
        <v>609</v>
      </c>
      <c r="K3671" s="5" t="s">
        <v>610</v>
      </c>
      <c r="L3671" s="5"/>
      <c r="M3671" s="5" t="s">
        <v>284</v>
      </c>
      <c r="N3671" s="5" t="s">
        <v>284</v>
      </c>
      <c r="O3671" s="5" t="s">
        <v>588</v>
      </c>
      <c r="P3671" s="5"/>
      <c r="Q3671" s="5" t="s">
        <v>611</v>
      </c>
    </row>
    <row r="3672" spans="2:17" x14ac:dyDescent="0.2">
      <c r="B3672" s="5" t="s">
        <v>544</v>
      </c>
      <c r="C3672" s="6" t="s">
        <v>13587</v>
      </c>
      <c r="D3672" s="4">
        <v>273</v>
      </c>
      <c r="E3672" s="5" t="s">
        <v>82</v>
      </c>
      <c r="F3672" s="5" t="s">
        <v>1084</v>
      </c>
      <c r="G3672" s="6" t="s">
        <v>19</v>
      </c>
      <c r="H3672" s="4"/>
      <c r="I3672" s="5"/>
      <c r="J3672" s="5" t="s">
        <v>1085</v>
      </c>
      <c r="K3672" s="5" t="s">
        <v>699</v>
      </c>
      <c r="L3672" s="5"/>
      <c r="M3672" s="5" t="s">
        <v>1086</v>
      </c>
      <c r="N3672" s="5" t="s">
        <v>1074</v>
      </c>
      <c r="O3672" s="5" t="s">
        <v>623</v>
      </c>
      <c r="P3672" s="5"/>
      <c r="Q3672" s="5" t="s">
        <v>1087</v>
      </c>
    </row>
    <row r="3673" spans="2:17" x14ac:dyDescent="0.2">
      <c r="B3673" s="5" t="s">
        <v>544</v>
      </c>
      <c r="C3673" s="6" t="s">
        <v>13587</v>
      </c>
      <c r="D3673" s="4">
        <v>274</v>
      </c>
      <c r="E3673" s="5" t="s">
        <v>82</v>
      </c>
      <c r="F3673" s="5" t="s">
        <v>1084</v>
      </c>
      <c r="G3673" s="6" t="s">
        <v>19</v>
      </c>
      <c r="H3673" s="4"/>
      <c r="I3673" s="5"/>
      <c r="J3673" s="5" t="s">
        <v>1088</v>
      </c>
      <c r="K3673" s="5" t="s">
        <v>699</v>
      </c>
      <c r="L3673" s="5"/>
      <c r="M3673" s="5" t="s">
        <v>1086</v>
      </c>
      <c r="N3673" s="5" t="s">
        <v>1074</v>
      </c>
      <c r="O3673" s="5" t="s">
        <v>623</v>
      </c>
      <c r="P3673" s="5"/>
      <c r="Q3673" s="5" t="s">
        <v>1089</v>
      </c>
    </row>
    <row r="3674" spans="2:17" x14ac:dyDescent="0.2">
      <c r="B3674" s="5" t="s">
        <v>544</v>
      </c>
      <c r="C3674" s="6" t="s">
        <v>13587</v>
      </c>
      <c r="D3674" s="4">
        <v>275</v>
      </c>
      <c r="E3674" s="5" t="s">
        <v>35</v>
      </c>
      <c r="F3674" s="5" t="s">
        <v>1096</v>
      </c>
      <c r="G3674" s="6" t="s">
        <v>19</v>
      </c>
      <c r="H3674" s="4"/>
      <c r="I3674" s="5"/>
      <c r="J3674" s="5" t="s">
        <v>1088</v>
      </c>
      <c r="K3674" s="5" t="s">
        <v>627</v>
      </c>
      <c r="L3674" s="5"/>
      <c r="M3674" s="5" t="s">
        <v>1086</v>
      </c>
      <c r="N3674" s="5" t="s">
        <v>1074</v>
      </c>
      <c r="O3674" s="5" t="s">
        <v>623</v>
      </c>
      <c r="P3674" s="5"/>
      <c r="Q3674" s="5" t="s">
        <v>1097</v>
      </c>
    </row>
    <row r="3675" spans="2:17" x14ac:dyDescent="0.2">
      <c r="B3675" s="5" t="s">
        <v>544</v>
      </c>
      <c r="C3675" s="6" t="s">
        <v>13587</v>
      </c>
      <c r="D3675" s="4">
        <v>278</v>
      </c>
      <c r="E3675" s="5" t="s">
        <v>20</v>
      </c>
      <c r="F3675" s="5" t="s">
        <v>1070</v>
      </c>
      <c r="G3675" s="6" t="s">
        <v>19</v>
      </c>
      <c r="H3675" s="4"/>
      <c r="I3675" s="5" t="s">
        <v>22</v>
      </c>
      <c r="J3675" s="5" t="s">
        <v>1071</v>
      </c>
      <c r="K3675" s="5" t="s">
        <v>1072</v>
      </c>
      <c r="L3675" s="5"/>
      <c r="M3675" s="5" t="s">
        <v>1073</v>
      </c>
      <c r="N3675" s="5" t="s">
        <v>1074</v>
      </c>
      <c r="O3675" s="5" t="s">
        <v>657</v>
      </c>
      <c r="P3675" s="5"/>
      <c r="Q3675" s="5" t="s">
        <v>1075</v>
      </c>
    </row>
    <row r="3676" spans="2:17" x14ac:dyDescent="0.2">
      <c r="B3676" s="5" t="s">
        <v>1164</v>
      </c>
      <c r="C3676" s="6" t="s">
        <v>13587</v>
      </c>
      <c r="D3676" s="4">
        <v>321</v>
      </c>
      <c r="E3676" s="5" t="s">
        <v>20</v>
      </c>
      <c r="F3676" s="5" t="s">
        <v>1623</v>
      </c>
      <c r="G3676" s="6" t="s">
        <v>19</v>
      </c>
      <c r="H3676" s="4"/>
      <c r="I3676" s="5" t="s">
        <v>38</v>
      </c>
      <c r="J3676" s="5" t="s">
        <v>1624</v>
      </c>
      <c r="K3676" s="5" t="s">
        <v>1338</v>
      </c>
      <c r="L3676" s="5"/>
      <c r="M3676" s="5" t="s">
        <v>1625</v>
      </c>
      <c r="N3676" s="5" t="s">
        <v>1626</v>
      </c>
      <c r="O3676" s="5" t="s">
        <v>1170</v>
      </c>
      <c r="P3676" s="5"/>
      <c r="Q3676" s="5" t="s">
        <v>1627</v>
      </c>
    </row>
    <row r="3677" spans="2:17" x14ac:dyDescent="0.2">
      <c r="B3677" s="5" t="s">
        <v>1164</v>
      </c>
      <c r="C3677" s="6" t="s">
        <v>13587</v>
      </c>
      <c r="D3677" s="4">
        <v>423</v>
      </c>
      <c r="E3677" s="5" t="s">
        <v>20</v>
      </c>
      <c r="F3677" s="5" t="s">
        <v>1198</v>
      </c>
      <c r="G3677" s="6" t="s">
        <v>19</v>
      </c>
      <c r="H3677" s="4"/>
      <c r="I3677" s="5" t="s">
        <v>22</v>
      </c>
      <c r="J3677" s="5" t="s">
        <v>1199</v>
      </c>
      <c r="K3677" s="5" t="s">
        <v>1172</v>
      </c>
      <c r="L3677" s="5"/>
      <c r="M3677" s="5" t="s">
        <v>1200</v>
      </c>
      <c r="N3677" s="5" t="s">
        <v>1201</v>
      </c>
      <c r="O3677" s="5" t="s">
        <v>1173</v>
      </c>
      <c r="P3677" s="5"/>
      <c r="Q3677" s="5" t="s">
        <v>1202</v>
      </c>
    </row>
    <row r="3678" spans="2:17" x14ac:dyDescent="0.2">
      <c r="B3678" s="5" t="s">
        <v>1708</v>
      </c>
      <c r="C3678" s="6" t="s">
        <v>13587</v>
      </c>
      <c r="D3678" s="4">
        <v>453</v>
      </c>
      <c r="E3678" s="5" t="s">
        <v>20</v>
      </c>
      <c r="F3678" s="5" t="s">
        <v>1840</v>
      </c>
      <c r="G3678" s="6" t="s">
        <v>19</v>
      </c>
      <c r="H3678" s="4"/>
      <c r="I3678" s="5" t="s">
        <v>22</v>
      </c>
      <c r="J3678" s="5" t="s">
        <v>1841</v>
      </c>
      <c r="K3678" s="5" t="s">
        <v>1842</v>
      </c>
      <c r="L3678" s="5"/>
      <c r="M3678" s="5" t="s">
        <v>1843</v>
      </c>
      <c r="N3678" s="5" t="s">
        <v>1844</v>
      </c>
      <c r="O3678" s="5"/>
      <c r="P3678" s="5"/>
      <c r="Q3678" s="5" t="s">
        <v>1717</v>
      </c>
    </row>
    <row r="3679" spans="2:17" x14ac:dyDescent="0.2">
      <c r="B3679" s="5" t="s">
        <v>2758</v>
      </c>
      <c r="C3679" s="6" t="s">
        <v>13587</v>
      </c>
      <c r="D3679" s="4">
        <v>775</v>
      </c>
      <c r="E3679" s="5" t="s">
        <v>24</v>
      </c>
      <c r="F3679" s="5" t="s">
        <v>3503</v>
      </c>
      <c r="G3679" s="6" t="s">
        <v>19</v>
      </c>
      <c r="H3679" s="4"/>
      <c r="I3679" s="5"/>
      <c r="J3679" s="5" t="s">
        <v>3503</v>
      </c>
      <c r="K3679" s="5" t="s">
        <v>2767</v>
      </c>
      <c r="L3679" s="5" t="s">
        <v>3504</v>
      </c>
      <c r="M3679" s="5" t="s">
        <v>235</v>
      </c>
      <c r="N3679" s="5" t="s">
        <v>235</v>
      </c>
      <c r="O3679" s="5" t="s">
        <v>2762</v>
      </c>
      <c r="P3679" s="5" t="s">
        <v>3335</v>
      </c>
      <c r="Q3679" s="5" t="s">
        <v>3505</v>
      </c>
    </row>
    <row r="3680" spans="2:17" x14ac:dyDescent="0.2">
      <c r="B3680" s="5" t="s">
        <v>2758</v>
      </c>
      <c r="C3680" s="6" t="s">
        <v>13587</v>
      </c>
      <c r="D3680" s="4">
        <v>824</v>
      </c>
      <c r="E3680" s="5" t="s">
        <v>13</v>
      </c>
      <c r="F3680" s="5" t="s">
        <v>3308</v>
      </c>
      <c r="G3680" s="6" t="s">
        <v>19</v>
      </c>
      <c r="H3680" s="4"/>
      <c r="I3680" s="5"/>
      <c r="J3680" s="5" t="s">
        <v>3309</v>
      </c>
      <c r="K3680" s="5" t="s">
        <v>2781</v>
      </c>
      <c r="L3680" s="5"/>
      <c r="M3680" s="5" t="s">
        <v>1618</v>
      </c>
      <c r="N3680" s="5" t="s">
        <v>193</v>
      </c>
      <c r="O3680" s="5" t="s">
        <v>2762</v>
      </c>
      <c r="P3680" s="5"/>
      <c r="Q3680" s="5" t="s">
        <v>3310</v>
      </c>
    </row>
    <row r="3681" spans="2:17" x14ac:dyDescent="0.2">
      <c r="B3681" s="5" t="s">
        <v>2758</v>
      </c>
      <c r="C3681" s="6" t="s">
        <v>13587</v>
      </c>
      <c r="D3681" s="4">
        <v>851</v>
      </c>
      <c r="E3681" s="5" t="s">
        <v>24</v>
      </c>
      <c r="F3681" s="5" t="s">
        <v>3242</v>
      </c>
      <c r="G3681" s="6" t="s">
        <v>19</v>
      </c>
      <c r="H3681" s="4"/>
      <c r="I3681" s="5"/>
      <c r="J3681" s="5" t="s">
        <v>3243</v>
      </c>
      <c r="K3681" s="5" t="s">
        <v>2781</v>
      </c>
      <c r="L3681" s="5"/>
      <c r="M3681" s="5" t="s">
        <v>1596</v>
      </c>
      <c r="N3681" s="5" t="s">
        <v>461</v>
      </c>
      <c r="O3681" s="5" t="s">
        <v>2762</v>
      </c>
      <c r="P3681" s="5"/>
      <c r="Q3681" s="5" t="s">
        <v>3244</v>
      </c>
    </row>
    <row r="3682" spans="2:17" x14ac:dyDescent="0.2">
      <c r="B3682" s="5" t="s">
        <v>2758</v>
      </c>
      <c r="C3682" s="6" t="s">
        <v>13587</v>
      </c>
      <c r="D3682" s="4">
        <v>865</v>
      </c>
      <c r="E3682" s="5" t="s">
        <v>82</v>
      </c>
      <c r="F3682" s="5" t="s">
        <v>3210</v>
      </c>
      <c r="G3682" s="6" t="s">
        <v>19</v>
      </c>
      <c r="H3682" s="4"/>
      <c r="I3682" s="5"/>
      <c r="J3682" s="5" t="s">
        <v>3211</v>
      </c>
      <c r="K3682" s="5" t="s">
        <v>2781</v>
      </c>
      <c r="L3682" s="5"/>
      <c r="M3682" s="5" t="s">
        <v>433</v>
      </c>
      <c r="N3682" s="5" t="s">
        <v>1544</v>
      </c>
      <c r="O3682" s="5" t="s">
        <v>2762</v>
      </c>
      <c r="P3682" s="5"/>
      <c r="Q3682" s="5" t="s">
        <v>3212</v>
      </c>
    </row>
    <row r="3683" spans="2:17" x14ac:dyDescent="0.2">
      <c r="B3683" s="5" t="s">
        <v>2758</v>
      </c>
      <c r="C3683" s="6" t="s">
        <v>13587</v>
      </c>
      <c r="D3683" s="4">
        <v>895</v>
      </c>
      <c r="E3683" s="5" t="s">
        <v>13</v>
      </c>
      <c r="F3683" s="5" t="s">
        <v>3047</v>
      </c>
      <c r="G3683" s="6" t="s">
        <v>19</v>
      </c>
      <c r="H3683" s="4"/>
      <c r="I3683" s="5"/>
      <c r="J3683" s="5" t="s">
        <v>3048</v>
      </c>
      <c r="K3683" s="5" t="s">
        <v>2782</v>
      </c>
      <c r="L3683" s="5" t="s">
        <v>3049</v>
      </c>
      <c r="M3683" s="5" t="s">
        <v>341</v>
      </c>
      <c r="N3683" s="5" t="s">
        <v>341</v>
      </c>
      <c r="O3683" s="5" t="s">
        <v>2762</v>
      </c>
      <c r="P3683" s="5"/>
      <c r="Q3683" s="5" t="s">
        <v>3050</v>
      </c>
    </row>
    <row r="3684" spans="2:17" x14ac:dyDescent="0.2">
      <c r="B3684" s="5" t="s">
        <v>2758</v>
      </c>
      <c r="C3684" s="6" t="s">
        <v>13587</v>
      </c>
      <c r="D3684" s="4">
        <v>903</v>
      </c>
      <c r="E3684" s="5" t="s">
        <v>24</v>
      </c>
      <c r="F3684" s="5" t="s">
        <v>3015</v>
      </c>
      <c r="G3684" s="6" t="s">
        <v>19</v>
      </c>
      <c r="H3684" s="4"/>
      <c r="I3684" s="5"/>
      <c r="J3684" s="5" t="s">
        <v>3015</v>
      </c>
      <c r="K3684" s="5" t="s">
        <v>2767</v>
      </c>
      <c r="L3684" s="5" t="s">
        <v>3016</v>
      </c>
      <c r="M3684" s="5" t="s">
        <v>2376</v>
      </c>
      <c r="N3684" s="5" t="s">
        <v>2376</v>
      </c>
      <c r="O3684" s="5" t="s">
        <v>2762</v>
      </c>
      <c r="P3684" s="5"/>
      <c r="Q3684" s="5" t="s">
        <v>3017</v>
      </c>
    </row>
    <row r="3685" spans="2:17" x14ac:dyDescent="0.2">
      <c r="B3685" s="5" t="s">
        <v>2758</v>
      </c>
      <c r="C3685" s="6" t="s">
        <v>13587</v>
      </c>
      <c r="D3685" s="4">
        <v>907</v>
      </c>
      <c r="E3685" s="5" t="s">
        <v>13</v>
      </c>
      <c r="F3685" s="5" t="s">
        <v>3009</v>
      </c>
      <c r="G3685" s="6" t="s">
        <v>19</v>
      </c>
      <c r="H3685" s="4"/>
      <c r="I3685" s="5"/>
      <c r="J3685" s="5" t="s">
        <v>3010</v>
      </c>
      <c r="K3685" s="5" t="s">
        <v>2767</v>
      </c>
      <c r="L3685" s="5"/>
      <c r="M3685" s="5" t="s">
        <v>1437</v>
      </c>
      <c r="N3685" s="5" t="s">
        <v>1437</v>
      </c>
      <c r="O3685" s="5" t="s">
        <v>2762</v>
      </c>
      <c r="P3685" s="5" t="s">
        <v>3011</v>
      </c>
      <c r="Q3685" s="5" t="s">
        <v>3012</v>
      </c>
    </row>
    <row r="3686" spans="2:17" x14ac:dyDescent="0.2">
      <c r="B3686" s="5" t="s">
        <v>2758</v>
      </c>
      <c r="C3686" s="6" t="s">
        <v>13587</v>
      </c>
      <c r="D3686" s="4">
        <v>910</v>
      </c>
      <c r="E3686" s="5" t="s">
        <v>56</v>
      </c>
      <c r="F3686" s="5" t="s">
        <v>2997</v>
      </c>
      <c r="G3686" s="6" t="s">
        <v>19</v>
      </c>
      <c r="H3686" s="4"/>
      <c r="I3686" s="5"/>
      <c r="J3686" s="5" t="s">
        <v>2997</v>
      </c>
      <c r="K3686" s="5" t="s">
        <v>2767</v>
      </c>
      <c r="L3686" s="5"/>
      <c r="M3686" s="5" t="s">
        <v>112</v>
      </c>
      <c r="N3686" s="5" t="s">
        <v>112</v>
      </c>
      <c r="O3686" s="5" t="s">
        <v>2762</v>
      </c>
      <c r="P3686" s="5"/>
      <c r="Q3686" s="5" t="s">
        <v>2998</v>
      </c>
    </row>
    <row r="3687" spans="2:17" x14ac:dyDescent="0.2">
      <c r="B3687" s="5" t="s">
        <v>3543</v>
      </c>
      <c r="C3687" s="6" t="s">
        <v>13587</v>
      </c>
      <c r="D3687" s="4">
        <v>1030</v>
      </c>
      <c r="E3687" s="5" t="s">
        <v>20</v>
      </c>
      <c r="F3687" s="5" t="s">
        <v>3731</v>
      </c>
      <c r="G3687" s="6" t="s">
        <v>19</v>
      </c>
      <c r="H3687" s="4"/>
      <c r="I3687" s="5" t="s">
        <v>22</v>
      </c>
      <c r="J3687" s="5" t="s">
        <v>3732</v>
      </c>
      <c r="K3687" s="5" t="s">
        <v>3544</v>
      </c>
      <c r="L3687" s="5" t="s">
        <v>3733</v>
      </c>
      <c r="M3687" s="5" t="s">
        <v>1843</v>
      </c>
      <c r="N3687" s="5" t="s">
        <v>1844</v>
      </c>
      <c r="O3687" s="5" t="s">
        <v>3545</v>
      </c>
      <c r="P3687" s="5"/>
      <c r="Q3687" s="5" t="s">
        <v>3548</v>
      </c>
    </row>
    <row r="3688" spans="2:17" x14ac:dyDescent="0.2">
      <c r="B3688" s="5" t="s">
        <v>3543</v>
      </c>
      <c r="C3688" s="6" t="s">
        <v>13587</v>
      </c>
      <c r="D3688" s="4">
        <v>1080</v>
      </c>
      <c r="E3688" s="5" t="s">
        <v>20</v>
      </c>
      <c r="F3688" s="5" t="s">
        <v>3604</v>
      </c>
      <c r="G3688" s="6" t="s">
        <v>19</v>
      </c>
      <c r="H3688" s="4"/>
      <c r="I3688" s="5" t="s">
        <v>22</v>
      </c>
      <c r="J3688" s="5" t="s">
        <v>3605</v>
      </c>
      <c r="K3688" s="5" t="s">
        <v>3606</v>
      </c>
      <c r="L3688" s="5" t="s">
        <v>3607</v>
      </c>
      <c r="M3688" s="5" t="s">
        <v>3608</v>
      </c>
      <c r="N3688" s="5" t="s">
        <v>1437</v>
      </c>
      <c r="O3688" s="5" t="s">
        <v>3545</v>
      </c>
      <c r="P3688" s="5"/>
      <c r="Q3688" s="5" t="s">
        <v>3548</v>
      </c>
    </row>
    <row r="3689" spans="2:17" x14ac:dyDescent="0.2">
      <c r="B3689" s="5" t="s">
        <v>2758</v>
      </c>
      <c r="C3689" s="6" t="s">
        <v>13587</v>
      </c>
      <c r="D3689" s="4">
        <v>897</v>
      </c>
      <c r="E3689" s="5" t="s">
        <v>15</v>
      </c>
      <c r="F3689" s="5" t="s">
        <v>3038</v>
      </c>
      <c r="G3689" s="6" t="s">
        <v>68</v>
      </c>
      <c r="H3689" s="4"/>
      <c r="I3689" s="5"/>
      <c r="J3689" s="5" t="s">
        <v>3041</v>
      </c>
      <c r="K3689" s="5" t="s">
        <v>2786</v>
      </c>
      <c r="L3689" s="5" t="s">
        <v>3042</v>
      </c>
      <c r="M3689" s="5" t="s">
        <v>3043</v>
      </c>
      <c r="N3689" s="5" t="s">
        <v>3043</v>
      </c>
      <c r="O3689" s="5" t="s">
        <v>2762</v>
      </c>
      <c r="P3689" s="5"/>
      <c r="Q3689" s="5" t="s">
        <v>3044</v>
      </c>
    </row>
    <row r="3690" spans="2:17" x14ac:dyDescent="0.2">
      <c r="B3690" s="5" t="s">
        <v>2758</v>
      </c>
      <c r="C3690" s="6" t="s">
        <v>13587</v>
      </c>
      <c r="D3690" s="4">
        <v>898</v>
      </c>
      <c r="E3690" s="5" t="s">
        <v>15</v>
      </c>
      <c r="F3690" s="5" t="s">
        <v>3038</v>
      </c>
      <c r="G3690" s="6" t="s">
        <v>68</v>
      </c>
      <c r="H3690" s="4"/>
      <c r="I3690" s="5"/>
      <c r="J3690" s="5" t="s">
        <v>3039</v>
      </c>
      <c r="K3690" s="5" t="s">
        <v>2786</v>
      </c>
      <c r="L3690" s="5"/>
      <c r="M3690" s="5" t="s">
        <v>2074</v>
      </c>
      <c r="N3690" s="5" t="s">
        <v>1821</v>
      </c>
      <c r="O3690" s="5" t="s">
        <v>2762</v>
      </c>
      <c r="P3690" s="5"/>
      <c r="Q3690" s="5" t="s">
        <v>3040</v>
      </c>
    </row>
    <row r="3691" spans="2:17" x14ac:dyDescent="0.2">
      <c r="B3691" s="5" t="s">
        <v>2758</v>
      </c>
      <c r="C3691" s="6" t="s">
        <v>13587</v>
      </c>
      <c r="D3691" s="4">
        <v>913</v>
      </c>
      <c r="E3691" s="5" t="s">
        <v>24</v>
      </c>
      <c r="F3691" s="5" t="s">
        <v>2989</v>
      </c>
      <c r="G3691" s="6" t="s">
        <v>273</v>
      </c>
      <c r="H3691" s="4"/>
      <c r="I3691" s="5"/>
      <c r="J3691" s="5" t="s">
        <v>2989</v>
      </c>
      <c r="K3691" s="5" t="s">
        <v>2801</v>
      </c>
      <c r="L3691" s="5"/>
      <c r="M3691" s="5" t="s">
        <v>106</v>
      </c>
      <c r="N3691" s="5" t="s">
        <v>337</v>
      </c>
      <c r="O3691" s="5" t="s">
        <v>2762</v>
      </c>
      <c r="P3691" s="5"/>
      <c r="Q3691" s="5" t="s">
        <v>2990</v>
      </c>
    </row>
    <row r="3692" spans="2:17" x14ac:dyDescent="0.2">
      <c r="B3692" s="5" t="s">
        <v>278</v>
      </c>
      <c r="C3692" s="6" t="s">
        <v>13587</v>
      </c>
      <c r="D3692" s="4">
        <v>55</v>
      </c>
      <c r="E3692" s="5" t="s">
        <v>20</v>
      </c>
      <c r="F3692" s="5" t="s">
        <v>429</v>
      </c>
      <c r="G3692" s="6" t="s">
        <v>53</v>
      </c>
      <c r="H3692" s="4"/>
      <c r="I3692" s="5" t="s">
        <v>22</v>
      </c>
      <c r="J3692" s="5" t="s">
        <v>430</v>
      </c>
      <c r="K3692" s="5" t="s">
        <v>431</v>
      </c>
      <c r="L3692" s="5"/>
      <c r="M3692" s="5" t="s">
        <v>432</v>
      </c>
      <c r="N3692" s="5" t="s">
        <v>433</v>
      </c>
      <c r="O3692" s="5" t="s">
        <v>372</v>
      </c>
      <c r="P3692" s="5"/>
      <c r="Q3692" s="5" t="s">
        <v>286</v>
      </c>
    </row>
    <row r="3693" spans="2:17" x14ac:dyDescent="0.2">
      <c r="B3693" s="5" t="s">
        <v>278</v>
      </c>
      <c r="C3693" s="6" t="s">
        <v>13587</v>
      </c>
      <c r="D3693" s="4">
        <v>59</v>
      </c>
      <c r="E3693" s="5" t="s">
        <v>20</v>
      </c>
      <c r="F3693" s="5" t="s">
        <v>413</v>
      </c>
      <c r="G3693" s="6" t="s">
        <v>53</v>
      </c>
      <c r="H3693" s="4"/>
      <c r="I3693" s="5" t="s">
        <v>22</v>
      </c>
      <c r="J3693" s="5" t="s">
        <v>414</v>
      </c>
      <c r="K3693" s="5" t="s">
        <v>311</v>
      </c>
      <c r="L3693" s="5" t="s">
        <v>415</v>
      </c>
      <c r="M3693" s="5" t="s">
        <v>416</v>
      </c>
      <c r="N3693" s="5" t="s">
        <v>417</v>
      </c>
      <c r="O3693" s="5" t="s">
        <v>372</v>
      </c>
      <c r="P3693" s="5"/>
      <c r="Q3693" s="5" t="s">
        <v>286</v>
      </c>
    </row>
    <row r="3694" spans="2:17" x14ac:dyDescent="0.2">
      <c r="B3694" s="5" t="s">
        <v>1164</v>
      </c>
      <c r="C3694" s="6" t="s">
        <v>13587</v>
      </c>
      <c r="D3694" s="4">
        <v>347</v>
      </c>
      <c r="E3694" s="5" t="s">
        <v>15</v>
      </c>
      <c r="F3694" s="5" t="s">
        <v>1542</v>
      </c>
      <c r="G3694" s="6" t="s">
        <v>53</v>
      </c>
      <c r="H3694" s="4"/>
      <c r="I3694" s="5"/>
      <c r="J3694" s="5" t="s">
        <v>1543</v>
      </c>
      <c r="K3694" s="5" t="s">
        <v>1174</v>
      </c>
      <c r="L3694" s="5"/>
      <c r="M3694" s="5" t="s">
        <v>433</v>
      </c>
      <c r="N3694" s="5" t="s">
        <v>1544</v>
      </c>
      <c r="O3694" s="5" t="s">
        <v>1173</v>
      </c>
      <c r="P3694" s="5"/>
      <c r="Q3694" s="5" t="s">
        <v>1545</v>
      </c>
    </row>
    <row r="3695" spans="2:17" x14ac:dyDescent="0.2">
      <c r="B3695" s="5" t="s">
        <v>2292</v>
      </c>
      <c r="C3695" s="6" t="s">
        <v>13587</v>
      </c>
      <c r="D3695" s="4">
        <v>652</v>
      </c>
      <c r="E3695" s="5" t="s">
        <v>24</v>
      </c>
      <c r="F3695" s="5" t="s">
        <v>2383</v>
      </c>
      <c r="G3695" s="6" t="s">
        <v>53</v>
      </c>
      <c r="H3695" s="4"/>
      <c r="I3695" s="5"/>
      <c r="J3695" s="5" t="s">
        <v>2383</v>
      </c>
      <c r="K3695" s="5" t="s">
        <v>2359</v>
      </c>
      <c r="L3695" s="5"/>
      <c r="M3695" s="5" t="s">
        <v>1448</v>
      </c>
      <c r="N3695" s="5" t="s">
        <v>2384</v>
      </c>
      <c r="O3695" s="5" t="s">
        <v>2294</v>
      </c>
      <c r="P3695" s="5"/>
      <c r="Q3695" s="5" t="s">
        <v>2385</v>
      </c>
    </row>
    <row r="3696" spans="2:17" x14ac:dyDescent="0.2">
      <c r="B3696" s="5" t="s">
        <v>2758</v>
      </c>
      <c r="C3696" s="6" t="s">
        <v>13587</v>
      </c>
      <c r="D3696" s="4">
        <v>862</v>
      </c>
      <c r="E3696" s="5" t="s">
        <v>20</v>
      </c>
      <c r="F3696" s="5" t="s">
        <v>3216</v>
      </c>
      <c r="G3696" s="6" t="s">
        <v>53</v>
      </c>
      <c r="H3696" s="4"/>
      <c r="I3696" s="5" t="s">
        <v>22</v>
      </c>
      <c r="J3696" s="5" t="s">
        <v>3217</v>
      </c>
      <c r="K3696" s="5" t="s">
        <v>2784</v>
      </c>
      <c r="L3696" s="5"/>
      <c r="M3696" s="5" t="s">
        <v>432</v>
      </c>
      <c r="N3696" s="5" t="s">
        <v>433</v>
      </c>
      <c r="O3696" s="5" t="s">
        <v>2762</v>
      </c>
      <c r="P3696" s="5"/>
      <c r="Q3696" s="5" t="s">
        <v>3218</v>
      </c>
    </row>
    <row r="3697" spans="2:17" x14ac:dyDescent="0.2">
      <c r="B3697" s="5" t="s">
        <v>2758</v>
      </c>
      <c r="C3697" s="6" t="s">
        <v>13587</v>
      </c>
      <c r="D3697" s="4">
        <v>990</v>
      </c>
      <c r="E3697" s="5" t="s">
        <v>13</v>
      </c>
      <c r="F3697" s="5" t="s">
        <v>2806</v>
      </c>
      <c r="G3697" s="6" t="s">
        <v>53</v>
      </c>
      <c r="H3697" s="4"/>
      <c r="I3697" s="5"/>
      <c r="J3697" s="5"/>
      <c r="K3697" s="5" t="s">
        <v>2784</v>
      </c>
      <c r="L3697" s="5"/>
      <c r="M3697" s="5" t="s">
        <v>2807</v>
      </c>
      <c r="N3697" s="5" t="s">
        <v>2807</v>
      </c>
      <c r="O3697" s="5" t="s">
        <v>2762</v>
      </c>
      <c r="P3697" s="5"/>
      <c r="Q3697" s="5" t="s">
        <v>2808</v>
      </c>
    </row>
    <row r="3698" spans="2:17" x14ac:dyDescent="0.2">
      <c r="B3698" s="5" t="s">
        <v>2758</v>
      </c>
      <c r="C3698" s="6" t="s">
        <v>13587</v>
      </c>
      <c r="D3698" s="4">
        <v>899</v>
      </c>
      <c r="E3698" s="5" t="s">
        <v>20</v>
      </c>
      <c r="F3698" s="5" t="s">
        <v>3032</v>
      </c>
      <c r="G3698" s="6" t="s">
        <v>67</v>
      </c>
      <c r="H3698" s="4"/>
      <c r="I3698" s="5" t="s">
        <v>22</v>
      </c>
      <c r="J3698" s="5" t="s">
        <v>3033</v>
      </c>
      <c r="K3698" s="5" t="s">
        <v>3034</v>
      </c>
      <c r="L3698" s="5" t="s">
        <v>3035</v>
      </c>
      <c r="M3698" s="5" t="s">
        <v>118</v>
      </c>
      <c r="N3698" s="5" t="s">
        <v>118</v>
      </c>
      <c r="O3698" s="5" t="s">
        <v>2762</v>
      </c>
      <c r="P3698" s="5" t="s">
        <v>3036</v>
      </c>
      <c r="Q3698" s="5" t="s">
        <v>3037</v>
      </c>
    </row>
    <row r="3699" spans="2:17" x14ac:dyDescent="0.2">
      <c r="B3699" s="5" t="s">
        <v>2758</v>
      </c>
      <c r="C3699" s="6" t="s">
        <v>13587</v>
      </c>
      <c r="D3699" s="4">
        <v>900</v>
      </c>
      <c r="E3699" s="5" t="s">
        <v>15</v>
      </c>
      <c r="F3699" s="5" t="s">
        <v>3027</v>
      </c>
      <c r="G3699" s="6" t="s">
        <v>67</v>
      </c>
      <c r="H3699" s="4"/>
      <c r="I3699" s="5"/>
      <c r="J3699" s="5" t="s">
        <v>3028</v>
      </c>
      <c r="K3699" s="5" t="s">
        <v>3029</v>
      </c>
      <c r="L3699" s="5"/>
      <c r="M3699" s="5" t="s">
        <v>1448</v>
      </c>
      <c r="N3699" s="5" t="s">
        <v>1448</v>
      </c>
      <c r="O3699" s="5" t="s">
        <v>2762</v>
      </c>
      <c r="P3699" s="5" t="s">
        <v>3030</v>
      </c>
      <c r="Q3699" s="5" t="s">
        <v>3031</v>
      </c>
    </row>
    <row r="3700" spans="2:17" x14ac:dyDescent="0.2">
      <c r="B3700" s="5" t="s">
        <v>2758</v>
      </c>
      <c r="C3700" s="6" t="s">
        <v>13587</v>
      </c>
      <c r="D3700" s="4">
        <v>930</v>
      </c>
      <c r="E3700" s="5" t="s">
        <v>13</v>
      </c>
      <c r="F3700" s="5" t="s">
        <v>2940</v>
      </c>
      <c r="G3700" s="6" t="s">
        <v>67</v>
      </c>
      <c r="H3700" s="4"/>
      <c r="I3700" s="5"/>
      <c r="J3700" s="5"/>
      <c r="K3700" s="5" t="s">
        <v>2803</v>
      </c>
      <c r="L3700" s="5" t="s">
        <v>2941</v>
      </c>
      <c r="M3700" s="5" t="s">
        <v>312</v>
      </c>
      <c r="N3700" s="5" t="s">
        <v>312</v>
      </c>
      <c r="O3700" s="5" t="s">
        <v>2762</v>
      </c>
      <c r="P3700" s="5" t="s">
        <v>2942</v>
      </c>
      <c r="Q3700" s="5" t="s">
        <v>2943</v>
      </c>
    </row>
    <row r="3701" spans="2:17" x14ac:dyDescent="0.2">
      <c r="B3701" s="5" t="s">
        <v>544</v>
      </c>
      <c r="C3701" s="6" t="s">
        <v>13587</v>
      </c>
      <c r="D3701" s="4">
        <v>163</v>
      </c>
      <c r="E3701" s="5" t="s">
        <v>24</v>
      </c>
      <c r="F3701" s="5" t="s">
        <v>917</v>
      </c>
      <c r="G3701" s="6" t="s">
        <v>49</v>
      </c>
      <c r="H3701" s="4"/>
      <c r="I3701" s="5"/>
      <c r="J3701" s="5" t="s">
        <v>918</v>
      </c>
      <c r="K3701" s="5" t="s">
        <v>919</v>
      </c>
      <c r="L3701" s="5"/>
      <c r="M3701" s="5" t="s">
        <v>920</v>
      </c>
      <c r="N3701" s="5" t="s">
        <v>921</v>
      </c>
      <c r="O3701" s="5" t="s">
        <v>683</v>
      </c>
      <c r="P3701" s="5"/>
      <c r="Q3701" s="5" t="s">
        <v>922</v>
      </c>
    </row>
    <row r="3702" spans="2:17" x14ac:dyDescent="0.2">
      <c r="B3702" s="5" t="s">
        <v>544</v>
      </c>
      <c r="C3702" s="6" t="s">
        <v>13587</v>
      </c>
      <c r="D3702" s="4">
        <v>173</v>
      </c>
      <c r="E3702" s="5" t="s">
        <v>35</v>
      </c>
      <c r="F3702" s="5" t="s">
        <v>909</v>
      </c>
      <c r="G3702" s="6" t="s">
        <v>49</v>
      </c>
      <c r="H3702" s="4"/>
      <c r="I3702" s="5"/>
      <c r="J3702" s="5" t="s">
        <v>910</v>
      </c>
      <c r="K3702" s="5" t="s">
        <v>911</v>
      </c>
      <c r="L3702" s="5"/>
      <c r="M3702" s="5" t="s">
        <v>411</v>
      </c>
      <c r="N3702" s="5" t="s">
        <v>138</v>
      </c>
      <c r="O3702" s="5" t="s">
        <v>657</v>
      </c>
      <c r="P3702" s="5"/>
      <c r="Q3702" s="5" t="s">
        <v>912</v>
      </c>
    </row>
    <row r="3703" spans="2:17" x14ac:dyDescent="0.2">
      <c r="B3703" s="5" t="s">
        <v>544</v>
      </c>
      <c r="C3703" s="6" t="s">
        <v>13587</v>
      </c>
      <c r="D3703" s="4">
        <v>271</v>
      </c>
      <c r="E3703" s="5" t="s">
        <v>20</v>
      </c>
      <c r="F3703" s="5" t="s">
        <v>545</v>
      </c>
      <c r="G3703" s="6" t="s">
        <v>49</v>
      </c>
      <c r="H3703" s="4"/>
      <c r="I3703" s="5" t="s">
        <v>22</v>
      </c>
      <c r="J3703" s="5" t="s">
        <v>546</v>
      </c>
      <c r="K3703" s="5" t="s">
        <v>547</v>
      </c>
      <c r="L3703" s="5"/>
      <c r="M3703" s="5" t="s">
        <v>548</v>
      </c>
      <c r="N3703" s="5" t="s">
        <v>548</v>
      </c>
      <c r="O3703" s="5" t="s">
        <v>549</v>
      </c>
      <c r="P3703" s="5"/>
      <c r="Q3703" s="5" t="s">
        <v>550</v>
      </c>
    </row>
    <row r="3704" spans="2:17" x14ac:dyDescent="0.2">
      <c r="B3704" s="5" t="s">
        <v>544</v>
      </c>
      <c r="C3704" s="6" t="s">
        <v>13587</v>
      </c>
      <c r="D3704" s="4">
        <v>272</v>
      </c>
      <c r="E3704" s="5" t="s">
        <v>20</v>
      </c>
      <c r="F3704" s="5" t="s">
        <v>545</v>
      </c>
      <c r="G3704" s="6" t="s">
        <v>49</v>
      </c>
      <c r="H3704" s="4"/>
      <c r="I3704" s="5" t="s">
        <v>22</v>
      </c>
      <c r="J3704" s="5" t="s">
        <v>551</v>
      </c>
      <c r="K3704" s="5" t="s">
        <v>547</v>
      </c>
      <c r="L3704" s="5"/>
      <c r="M3704" s="5" t="s">
        <v>548</v>
      </c>
      <c r="N3704" s="5" t="s">
        <v>548</v>
      </c>
      <c r="O3704" s="5" t="s">
        <v>549</v>
      </c>
      <c r="P3704" s="5"/>
      <c r="Q3704" s="5" t="s">
        <v>552</v>
      </c>
    </row>
    <row r="3705" spans="2:17" x14ac:dyDescent="0.2">
      <c r="B3705" s="5" t="s">
        <v>2535</v>
      </c>
      <c r="C3705" s="6" t="s">
        <v>13587</v>
      </c>
      <c r="D3705" s="4">
        <v>755</v>
      </c>
      <c r="E3705" s="5" t="s">
        <v>24</v>
      </c>
      <c r="F3705" s="5" t="s">
        <v>2694</v>
      </c>
      <c r="G3705" s="6" t="s">
        <v>49</v>
      </c>
      <c r="H3705" s="4"/>
      <c r="I3705" s="5"/>
      <c r="J3705" s="5" t="s">
        <v>2695</v>
      </c>
      <c r="K3705" s="5" t="s">
        <v>2696</v>
      </c>
      <c r="L3705" s="5" t="s">
        <v>2697</v>
      </c>
      <c r="M3705" s="5" t="s">
        <v>2147</v>
      </c>
      <c r="N3705" s="5" t="s">
        <v>399</v>
      </c>
      <c r="O3705" s="5" t="s">
        <v>2698</v>
      </c>
      <c r="P3705" s="5"/>
      <c r="Q3705" s="5" t="s">
        <v>2699</v>
      </c>
    </row>
    <row r="3706" spans="2:17" x14ac:dyDescent="0.2">
      <c r="B3706" s="5" t="s">
        <v>92</v>
      </c>
      <c r="C3706" s="6" t="s">
        <v>13587</v>
      </c>
      <c r="D3706" s="4">
        <v>10</v>
      </c>
      <c r="E3706" s="5" t="s">
        <v>20</v>
      </c>
      <c r="F3706" s="5" t="s">
        <v>200</v>
      </c>
      <c r="G3706" s="6" t="s">
        <v>48</v>
      </c>
      <c r="H3706" s="4"/>
      <c r="I3706" s="5" t="s">
        <v>22</v>
      </c>
      <c r="J3706" s="5" t="s">
        <v>201</v>
      </c>
      <c r="K3706" s="5" t="s">
        <v>202</v>
      </c>
      <c r="L3706" s="5"/>
      <c r="M3706" s="5" t="s">
        <v>197</v>
      </c>
      <c r="N3706" s="5" t="s">
        <v>198</v>
      </c>
      <c r="O3706" s="5" t="s">
        <v>107</v>
      </c>
      <c r="P3706" s="5"/>
      <c r="Q3706" s="5" t="s">
        <v>203</v>
      </c>
    </row>
    <row r="3707" spans="2:17" x14ac:dyDescent="0.2">
      <c r="B3707" s="5" t="s">
        <v>278</v>
      </c>
      <c r="C3707" s="6" t="s">
        <v>13587</v>
      </c>
      <c r="D3707" s="4">
        <v>108</v>
      </c>
      <c r="E3707" s="5" t="s">
        <v>20</v>
      </c>
      <c r="F3707" s="5" t="s">
        <v>360</v>
      </c>
      <c r="G3707" s="6" t="s">
        <v>48</v>
      </c>
      <c r="H3707" s="4"/>
      <c r="I3707" s="5" t="s">
        <v>22</v>
      </c>
      <c r="J3707" s="5" t="s">
        <v>361</v>
      </c>
      <c r="K3707" s="5" t="s">
        <v>294</v>
      </c>
      <c r="L3707" s="5"/>
      <c r="M3707" s="5" t="s">
        <v>362</v>
      </c>
      <c r="N3707" s="5" t="s">
        <v>352</v>
      </c>
      <c r="O3707" s="5" t="s">
        <v>297</v>
      </c>
      <c r="P3707" s="5"/>
      <c r="Q3707" s="5" t="s">
        <v>286</v>
      </c>
    </row>
    <row r="3708" spans="2:17" x14ac:dyDescent="0.2">
      <c r="B3708" s="5" t="s">
        <v>1164</v>
      </c>
      <c r="C3708" s="6" t="s">
        <v>13587</v>
      </c>
      <c r="D3708" s="4">
        <v>365</v>
      </c>
      <c r="E3708" s="5" t="s">
        <v>24</v>
      </c>
      <c r="F3708" s="5" t="s">
        <v>1414</v>
      </c>
      <c r="G3708" s="6" t="s">
        <v>48</v>
      </c>
      <c r="H3708" s="4"/>
      <c r="I3708" s="5"/>
      <c r="J3708" s="5" t="s">
        <v>1190</v>
      </c>
      <c r="K3708" s="5" t="s">
        <v>1191</v>
      </c>
      <c r="L3708" s="5" t="s">
        <v>1192</v>
      </c>
      <c r="M3708" s="5" t="s">
        <v>1415</v>
      </c>
      <c r="N3708" s="5" t="s">
        <v>1416</v>
      </c>
      <c r="O3708" s="5" t="s">
        <v>1193</v>
      </c>
      <c r="P3708" s="5"/>
      <c r="Q3708" s="5" t="s">
        <v>1417</v>
      </c>
    </row>
    <row r="3709" spans="2:17" x14ac:dyDescent="0.2">
      <c r="B3709" s="5" t="s">
        <v>2758</v>
      </c>
      <c r="C3709" s="6" t="s">
        <v>13587</v>
      </c>
      <c r="D3709" s="4">
        <v>856</v>
      </c>
      <c r="E3709" s="5" t="s">
        <v>20</v>
      </c>
      <c r="F3709" s="5" t="s">
        <v>3226</v>
      </c>
      <c r="G3709" s="6" t="s">
        <v>48</v>
      </c>
      <c r="H3709" s="4"/>
      <c r="I3709" s="5" t="s">
        <v>22</v>
      </c>
      <c r="J3709" s="5" t="s">
        <v>3227</v>
      </c>
      <c r="K3709" s="5" t="s">
        <v>2783</v>
      </c>
      <c r="L3709" s="5"/>
      <c r="M3709" s="5" t="s">
        <v>437</v>
      </c>
      <c r="N3709" s="5" t="s">
        <v>437</v>
      </c>
      <c r="O3709" s="5" t="s">
        <v>2762</v>
      </c>
      <c r="P3709" s="5"/>
      <c r="Q3709" s="5" t="s">
        <v>3228</v>
      </c>
    </row>
    <row r="3710" spans="2:17" x14ac:dyDescent="0.2">
      <c r="B3710" s="5" t="s">
        <v>278</v>
      </c>
      <c r="C3710" s="6" t="s">
        <v>13587</v>
      </c>
      <c r="D3710" s="4">
        <v>45</v>
      </c>
      <c r="E3710" s="5" t="s">
        <v>20</v>
      </c>
      <c r="F3710" s="5" t="s">
        <v>462</v>
      </c>
      <c r="G3710" s="6" t="s">
        <v>16</v>
      </c>
      <c r="H3710" s="4"/>
      <c r="I3710" s="5" t="s">
        <v>22</v>
      </c>
      <c r="J3710" s="5" t="s">
        <v>463</v>
      </c>
      <c r="K3710" s="5" t="s">
        <v>305</v>
      </c>
      <c r="L3710" s="5"/>
      <c r="M3710" s="5" t="s">
        <v>464</v>
      </c>
      <c r="N3710" s="5" t="s">
        <v>465</v>
      </c>
      <c r="O3710" s="5" t="s">
        <v>372</v>
      </c>
      <c r="P3710" s="5"/>
      <c r="Q3710" s="5" t="s">
        <v>286</v>
      </c>
    </row>
    <row r="3711" spans="2:17" x14ac:dyDescent="0.2">
      <c r="B3711" s="5" t="s">
        <v>544</v>
      </c>
      <c r="C3711" s="6" t="s">
        <v>13587</v>
      </c>
      <c r="D3711" s="4">
        <v>158</v>
      </c>
      <c r="E3711" s="5" t="s">
        <v>20</v>
      </c>
      <c r="F3711" s="5" t="s">
        <v>937</v>
      </c>
      <c r="G3711" s="6" t="s">
        <v>16</v>
      </c>
      <c r="H3711" s="4"/>
      <c r="I3711" s="5" t="s">
        <v>22</v>
      </c>
      <c r="J3711" s="5" t="s">
        <v>664</v>
      </c>
      <c r="K3711" s="5" t="s">
        <v>656</v>
      </c>
      <c r="L3711" s="5"/>
      <c r="M3711" s="5" t="s">
        <v>938</v>
      </c>
      <c r="N3711" s="5" t="s">
        <v>938</v>
      </c>
      <c r="O3711" s="5" t="s">
        <v>657</v>
      </c>
      <c r="P3711" s="5"/>
      <c r="Q3711" s="5" t="s">
        <v>939</v>
      </c>
    </row>
    <row r="3712" spans="2:17" x14ac:dyDescent="0.2">
      <c r="B3712" s="5" t="s">
        <v>544</v>
      </c>
      <c r="C3712" s="6" t="s">
        <v>13587</v>
      </c>
      <c r="D3712" s="4">
        <v>176</v>
      </c>
      <c r="E3712" s="5" t="s">
        <v>82</v>
      </c>
      <c r="F3712" s="5" t="s">
        <v>894</v>
      </c>
      <c r="G3712" s="6" t="s">
        <v>16</v>
      </c>
      <c r="H3712" s="4"/>
      <c r="I3712" s="5"/>
      <c r="J3712" s="5" t="s">
        <v>895</v>
      </c>
      <c r="K3712" s="5" t="s">
        <v>796</v>
      </c>
      <c r="L3712" s="5"/>
      <c r="M3712" s="5" t="s">
        <v>411</v>
      </c>
      <c r="N3712" s="5" t="s">
        <v>138</v>
      </c>
      <c r="O3712" s="5" t="s">
        <v>657</v>
      </c>
      <c r="P3712" s="5"/>
      <c r="Q3712" s="5" t="s">
        <v>896</v>
      </c>
    </row>
    <row r="3713" spans="2:17" x14ac:dyDescent="0.2">
      <c r="B3713" s="5" t="s">
        <v>544</v>
      </c>
      <c r="C3713" s="6" t="s">
        <v>13587</v>
      </c>
      <c r="D3713" s="4">
        <v>205</v>
      </c>
      <c r="E3713" s="5" t="s">
        <v>20</v>
      </c>
      <c r="F3713" s="5" t="s">
        <v>650</v>
      </c>
      <c r="G3713" s="6" t="s">
        <v>16</v>
      </c>
      <c r="H3713" s="4"/>
      <c r="I3713" s="5" t="s">
        <v>22</v>
      </c>
      <c r="J3713" s="5" t="s">
        <v>651</v>
      </c>
      <c r="K3713" s="5" t="s">
        <v>652</v>
      </c>
      <c r="L3713" s="5"/>
      <c r="M3713" s="5" t="s">
        <v>336</v>
      </c>
      <c r="N3713" s="5" t="s">
        <v>337</v>
      </c>
      <c r="O3713" s="5" t="s">
        <v>623</v>
      </c>
      <c r="P3713" s="5"/>
      <c r="Q3713" s="5" t="s">
        <v>653</v>
      </c>
    </row>
    <row r="3714" spans="2:17" x14ac:dyDescent="0.2">
      <c r="B3714" s="5" t="s">
        <v>544</v>
      </c>
      <c r="C3714" s="6" t="s">
        <v>13587</v>
      </c>
      <c r="D3714" s="4">
        <v>207</v>
      </c>
      <c r="E3714" s="5" t="s">
        <v>35</v>
      </c>
      <c r="F3714" s="5" t="s">
        <v>761</v>
      </c>
      <c r="G3714" s="6" t="s">
        <v>16</v>
      </c>
      <c r="H3714" s="4"/>
      <c r="I3714" s="5"/>
      <c r="J3714" s="5" t="s">
        <v>762</v>
      </c>
      <c r="K3714" s="5" t="s">
        <v>763</v>
      </c>
      <c r="L3714" s="5"/>
      <c r="M3714" s="5" t="s">
        <v>336</v>
      </c>
      <c r="N3714" s="5" t="s">
        <v>337</v>
      </c>
      <c r="O3714" s="5" t="s">
        <v>623</v>
      </c>
      <c r="P3714" s="5"/>
      <c r="Q3714" s="5" t="s">
        <v>764</v>
      </c>
    </row>
    <row r="3715" spans="2:17" x14ac:dyDescent="0.2">
      <c r="B3715" s="5" t="s">
        <v>544</v>
      </c>
      <c r="C3715" s="6" t="s">
        <v>13587</v>
      </c>
      <c r="D3715" s="4">
        <v>208</v>
      </c>
      <c r="E3715" s="5" t="s">
        <v>35</v>
      </c>
      <c r="F3715" s="5" t="s">
        <v>761</v>
      </c>
      <c r="G3715" s="6" t="s">
        <v>16</v>
      </c>
      <c r="H3715" s="4"/>
      <c r="I3715" s="5"/>
      <c r="J3715" s="5" t="s">
        <v>765</v>
      </c>
      <c r="K3715" s="5" t="s">
        <v>763</v>
      </c>
      <c r="L3715" s="5"/>
      <c r="M3715" s="5" t="s">
        <v>336</v>
      </c>
      <c r="N3715" s="5" t="s">
        <v>337</v>
      </c>
      <c r="O3715" s="5" t="s">
        <v>623</v>
      </c>
      <c r="P3715" s="5"/>
      <c r="Q3715" s="5" t="s">
        <v>766</v>
      </c>
    </row>
    <row r="3716" spans="2:17" x14ac:dyDescent="0.2">
      <c r="B3716" s="5" t="s">
        <v>544</v>
      </c>
      <c r="C3716" s="6" t="s">
        <v>13587</v>
      </c>
      <c r="D3716" s="4">
        <v>209</v>
      </c>
      <c r="E3716" s="5" t="s">
        <v>35</v>
      </c>
      <c r="F3716" s="5" t="s">
        <v>761</v>
      </c>
      <c r="G3716" s="6" t="s">
        <v>16</v>
      </c>
      <c r="H3716" s="4"/>
      <c r="I3716" s="5"/>
      <c r="J3716" s="5" t="s">
        <v>767</v>
      </c>
      <c r="K3716" s="5" t="s">
        <v>763</v>
      </c>
      <c r="L3716" s="5"/>
      <c r="M3716" s="5" t="s">
        <v>336</v>
      </c>
      <c r="N3716" s="5" t="s">
        <v>337</v>
      </c>
      <c r="O3716" s="5" t="s">
        <v>623</v>
      </c>
      <c r="P3716" s="5"/>
      <c r="Q3716" s="5" t="s">
        <v>768</v>
      </c>
    </row>
    <row r="3717" spans="2:17" x14ac:dyDescent="0.2">
      <c r="B3717" s="5" t="s">
        <v>544</v>
      </c>
      <c r="C3717" s="6" t="s">
        <v>13587</v>
      </c>
      <c r="D3717" s="4">
        <v>211</v>
      </c>
      <c r="E3717" s="5" t="s">
        <v>20</v>
      </c>
      <c r="F3717" s="5" t="s">
        <v>659</v>
      </c>
      <c r="G3717" s="6" t="s">
        <v>16</v>
      </c>
      <c r="H3717" s="4"/>
      <c r="I3717" s="5" t="s">
        <v>22</v>
      </c>
      <c r="J3717" s="5" t="s">
        <v>660</v>
      </c>
      <c r="K3717" s="5" t="s">
        <v>661</v>
      </c>
      <c r="L3717" s="5"/>
      <c r="M3717" s="5" t="s">
        <v>336</v>
      </c>
      <c r="N3717" s="5" t="s">
        <v>337</v>
      </c>
      <c r="O3717" s="5" t="s">
        <v>657</v>
      </c>
      <c r="P3717" s="5"/>
      <c r="Q3717" s="5" t="s">
        <v>662</v>
      </c>
    </row>
    <row r="3718" spans="2:17" x14ac:dyDescent="0.2">
      <c r="B3718" s="5" t="s">
        <v>544</v>
      </c>
      <c r="C3718" s="6" t="s">
        <v>13587</v>
      </c>
      <c r="D3718" s="4">
        <v>212</v>
      </c>
      <c r="E3718" s="5" t="s">
        <v>20</v>
      </c>
      <c r="F3718" s="5" t="s">
        <v>663</v>
      </c>
      <c r="G3718" s="6" t="s">
        <v>16</v>
      </c>
      <c r="H3718" s="4"/>
      <c r="I3718" s="5" t="s">
        <v>22</v>
      </c>
      <c r="J3718" s="5" t="s">
        <v>664</v>
      </c>
      <c r="K3718" s="5" t="s">
        <v>656</v>
      </c>
      <c r="L3718" s="5"/>
      <c r="M3718" s="5" t="s">
        <v>336</v>
      </c>
      <c r="N3718" s="5" t="s">
        <v>337</v>
      </c>
      <c r="O3718" s="5" t="s">
        <v>657</v>
      </c>
      <c r="P3718" s="5"/>
      <c r="Q3718" s="5" t="s">
        <v>665</v>
      </c>
    </row>
    <row r="3719" spans="2:17" x14ac:dyDescent="0.2">
      <c r="B3719" s="5" t="s">
        <v>544</v>
      </c>
      <c r="C3719" s="6" t="s">
        <v>13587</v>
      </c>
      <c r="D3719" s="4">
        <v>213</v>
      </c>
      <c r="E3719" s="5" t="s">
        <v>20</v>
      </c>
      <c r="F3719" s="5" t="s">
        <v>666</v>
      </c>
      <c r="G3719" s="6" t="s">
        <v>16</v>
      </c>
      <c r="H3719" s="4"/>
      <c r="I3719" s="5" t="s">
        <v>22</v>
      </c>
      <c r="J3719" s="5" t="s">
        <v>667</v>
      </c>
      <c r="K3719" s="5" t="s">
        <v>668</v>
      </c>
      <c r="L3719" s="5"/>
      <c r="M3719" s="5" t="s">
        <v>336</v>
      </c>
      <c r="N3719" s="5" t="s">
        <v>337</v>
      </c>
      <c r="O3719" s="5" t="s">
        <v>657</v>
      </c>
      <c r="P3719" s="5"/>
      <c r="Q3719" s="5" t="s">
        <v>669</v>
      </c>
    </row>
    <row r="3720" spans="2:17" x14ac:dyDescent="0.2">
      <c r="B3720" s="5" t="s">
        <v>544</v>
      </c>
      <c r="C3720" s="6" t="s">
        <v>13587</v>
      </c>
      <c r="D3720" s="4">
        <v>214</v>
      </c>
      <c r="E3720" s="5" t="s">
        <v>20</v>
      </c>
      <c r="F3720" s="5" t="s">
        <v>670</v>
      </c>
      <c r="G3720" s="6" t="s">
        <v>16</v>
      </c>
      <c r="H3720" s="4"/>
      <c r="I3720" s="5" t="s">
        <v>22</v>
      </c>
      <c r="J3720" s="5" t="s">
        <v>671</v>
      </c>
      <c r="K3720" s="5" t="s">
        <v>668</v>
      </c>
      <c r="L3720" s="5"/>
      <c r="M3720" s="5" t="s">
        <v>336</v>
      </c>
      <c r="N3720" s="5" t="s">
        <v>337</v>
      </c>
      <c r="O3720" s="5" t="s">
        <v>657</v>
      </c>
      <c r="P3720" s="5"/>
      <c r="Q3720" s="5" t="s">
        <v>672</v>
      </c>
    </row>
    <row r="3721" spans="2:17" x14ac:dyDescent="0.2">
      <c r="B3721" s="5" t="s">
        <v>544</v>
      </c>
      <c r="C3721" s="6" t="s">
        <v>13587</v>
      </c>
      <c r="D3721" s="4">
        <v>233</v>
      </c>
      <c r="E3721" s="5" t="s">
        <v>20</v>
      </c>
      <c r="F3721" s="5" t="s">
        <v>666</v>
      </c>
      <c r="G3721" s="6" t="s">
        <v>16</v>
      </c>
      <c r="H3721" s="4"/>
      <c r="I3721" s="5" t="s">
        <v>22</v>
      </c>
      <c r="J3721" s="5" t="s">
        <v>681</v>
      </c>
      <c r="K3721" s="5" t="s">
        <v>682</v>
      </c>
      <c r="L3721" s="5"/>
      <c r="M3721" s="5" t="s">
        <v>336</v>
      </c>
      <c r="N3721" s="5" t="s">
        <v>337</v>
      </c>
      <c r="O3721" s="5" t="s">
        <v>683</v>
      </c>
      <c r="P3721" s="5"/>
      <c r="Q3721" s="5" t="s">
        <v>684</v>
      </c>
    </row>
    <row r="3722" spans="2:17" x14ac:dyDescent="0.2">
      <c r="B3722" s="5" t="s">
        <v>544</v>
      </c>
      <c r="C3722" s="6" t="s">
        <v>13587</v>
      </c>
      <c r="D3722" s="4">
        <v>236</v>
      </c>
      <c r="E3722" s="5" t="s">
        <v>20</v>
      </c>
      <c r="F3722" s="5" t="s">
        <v>685</v>
      </c>
      <c r="G3722" s="6" t="s">
        <v>16</v>
      </c>
      <c r="H3722" s="4"/>
      <c r="I3722" s="5" t="s">
        <v>22</v>
      </c>
      <c r="J3722" s="5" t="s">
        <v>686</v>
      </c>
      <c r="K3722" s="5" t="s">
        <v>687</v>
      </c>
      <c r="L3722" s="5"/>
      <c r="M3722" s="5" t="s">
        <v>336</v>
      </c>
      <c r="N3722" s="5" t="s">
        <v>337</v>
      </c>
      <c r="O3722" s="5" t="s">
        <v>657</v>
      </c>
      <c r="P3722" s="5"/>
      <c r="Q3722" s="5" t="s">
        <v>688</v>
      </c>
    </row>
    <row r="3723" spans="2:17" x14ac:dyDescent="0.2">
      <c r="B3723" s="5" t="s">
        <v>1708</v>
      </c>
      <c r="C3723" s="6" t="s">
        <v>13587</v>
      </c>
      <c r="D3723" s="4">
        <v>476</v>
      </c>
      <c r="E3723" s="5" t="s">
        <v>20</v>
      </c>
      <c r="F3723" s="5" t="s">
        <v>1828</v>
      </c>
      <c r="G3723" s="6" t="s">
        <v>16</v>
      </c>
      <c r="H3723" s="4"/>
      <c r="I3723" s="5" t="s">
        <v>22</v>
      </c>
      <c r="J3723" s="5" t="s">
        <v>1829</v>
      </c>
      <c r="K3723" s="5" t="s">
        <v>1830</v>
      </c>
      <c r="L3723" s="5" t="s">
        <v>1831</v>
      </c>
      <c r="M3723" s="5" t="s">
        <v>1832</v>
      </c>
      <c r="N3723" s="5" t="s">
        <v>347</v>
      </c>
      <c r="O3723" s="5"/>
      <c r="P3723" s="5"/>
      <c r="Q3723" s="5" t="s">
        <v>1717</v>
      </c>
    </row>
    <row r="3724" spans="2:17" x14ac:dyDescent="0.2">
      <c r="B3724" s="5" t="s">
        <v>1708</v>
      </c>
      <c r="C3724" s="6" t="s">
        <v>13587</v>
      </c>
      <c r="D3724" s="4">
        <v>513</v>
      </c>
      <c r="E3724" s="5" t="s">
        <v>20</v>
      </c>
      <c r="F3724" s="5" t="s">
        <v>1766</v>
      </c>
      <c r="G3724" s="6" t="s">
        <v>16</v>
      </c>
      <c r="H3724" s="4"/>
      <c r="I3724" s="5" t="s">
        <v>38</v>
      </c>
      <c r="J3724" s="5" t="s">
        <v>1767</v>
      </c>
      <c r="K3724" s="5" t="s">
        <v>1726</v>
      </c>
      <c r="L3724" s="5"/>
      <c r="M3724" s="5" t="s">
        <v>295</v>
      </c>
      <c r="N3724" s="5" t="s">
        <v>302</v>
      </c>
      <c r="O3724" s="5"/>
      <c r="P3724" s="5"/>
      <c r="Q3724" s="5" t="s">
        <v>1717</v>
      </c>
    </row>
    <row r="3725" spans="2:17" x14ac:dyDescent="0.2">
      <c r="B3725" s="5" t="s">
        <v>1906</v>
      </c>
      <c r="C3725" s="6" t="s">
        <v>13587</v>
      </c>
      <c r="D3725" s="4">
        <v>544</v>
      </c>
      <c r="E3725" s="5" t="s">
        <v>20</v>
      </c>
      <c r="F3725" s="5" t="s">
        <v>2166</v>
      </c>
      <c r="G3725" s="6" t="s">
        <v>16</v>
      </c>
      <c r="H3725" s="4"/>
      <c r="I3725" s="5" t="s">
        <v>22</v>
      </c>
      <c r="J3725" s="5" t="s">
        <v>2167</v>
      </c>
      <c r="K3725" s="5" t="s">
        <v>1976</v>
      </c>
      <c r="L3725" s="5"/>
      <c r="M3725" s="5" t="s">
        <v>457</v>
      </c>
      <c r="N3725" s="5" t="s">
        <v>433</v>
      </c>
      <c r="O3725" s="5" t="s">
        <v>1977</v>
      </c>
      <c r="P3725" s="5"/>
      <c r="Q3725" s="5" t="s">
        <v>2168</v>
      </c>
    </row>
    <row r="3726" spans="2:17" x14ac:dyDescent="0.2">
      <c r="B3726" s="5" t="s">
        <v>1906</v>
      </c>
      <c r="C3726" s="6" t="s">
        <v>13587</v>
      </c>
      <c r="D3726" s="4">
        <v>557</v>
      </c>
      <c r="E3726" s="5" t="s">
        <v>20</v>
      </c>
      <c r="F3726" s="5" t="s">
        <v>2069</v>
      </c>
      <c r="G3726" s="6" t="s">
        <v>16</v>
      </c>
      <c r="H3726" s="4"/>
      <c r="I3726" s="5" t="s">
        <v>22</v>
      </c>
      <c r="J3726" s="5" t="s">
        <v>2070</v>
      </c>
      <c r="K3726" s="5" t="s">
        <v>1944</v>
      </c>
      <c r="L3726" s="5"/>
      <c r="M3726" s="5" t="s">
        <v>1448</v>
      </c>
      <c r="N3726" s="5" t="s">
        <v>336</v>
      </c>
      <c r="O3726" s="5" t="s">
        <v>1945</v>
      </c>
      <c r="P3726" s="5"/>
      <c r="Q3726" s="5" t="s">
        <v>2071</v>
      </c>
    </row>
    <row r="3727" spans="2:17" x14ac:dyDescent="0.2">
      <c r="B3727" s="5" t="s">
        <v>2535</v>
      </c>
      <c r="C3727" s="6" t="s">
        <v>13587</v>
      </c>
      <c r="D3727" s="4">
        <v>717</v>
      </c>
      <c r="E3727" s="5" t="s">
        <v>20</v>
      </c>
      <c r="F3727" s="5" t="s">
        <v>2721</v>
      </c>
      <c r="G3727" s="6" t="s">
        <v>16</v>
      </c>
      <c r="H3727" s="4"/>
      <c r="I3727" s="5" t="s">
        <v>22</v>
      </c>
      <c r="J3727" s="5" t="s">
        <v>2722</v>
      </c>
      <c r="K3727" s="5" t="s">
        <v>2714</v>
      </c>
      <c r="L3727" s="5" t="s">
        <v>2723</v>
      </c>
      <c r="M3727" s="5" t="s">
        <v>2724</v>
      </c>
      <c r="N3727" s="5" t="s">
        <v>211</v>
      </c>
      <c r="O3727" s="5" t="s">
        <v>2539</v>
      </c>
      <c r="P3727" s="5"/>
      <c r="Q3727" s="5" t="s">
        <v>2725</v>
      </c>
    </row>
    <row r="3728" spans="2:17" x14ac:dyDescent="0.2">
      <c r="B3728" s="5" t="s">
        <v>2758</v>
      </c>
      <c r="C3728" s="6" t="s">
        <v>13587</v>
      </c>
      <c r="D3728" s="4">
        <v>848</v>
      </c>
      <c r="E3728" s="5" t="s">
        <v>13</v>
      </c>
      <c r="F3728" s="5" t="s">
        <v>3247</v>
      </c>
      <c r="G3728" s="6" t="s">
        <v>16</v>
      </c>
      <c r="H3728" s="4"/>
      <c r="I3728" s="5"/>
      <c r="J3728" s="5"/>
      <c r="K3728" s="5" t="s">
        <v>3248</v>
      </c>
      <c r="L3728" s="5" t="s">
        <v>3249</v>
      </c>
      <c r="M3728" s="5" t="s">
        <v>2708</v>
      </c>
      <c r="N3728" s="5" t="s">
        <v>2708</v>
      </c>
      <c r="O3728" s="5" t="s">
        <v>2762</v>
      </c>
      <c r="P3728" s="5" t="s">
        <v>3250</v>
      </c>
      <c r="Q3728" s="5" t="s">
        <v>3251</v>
      </c>
    </row>
    <row r="3729" spans="2:17" x14ac:dyDescent="0.2">
      <c r="B3729" s="5" t="s">
        <v>2758</v>
      </c>
      <c r="C3729" s="6" t="s">
        <v>13587</v>
      </c>
      <c r="D3729" s="4">
        <v>861</v>
      </c>
      <c r="E3729" s="5" t="s">
        <v>24</v>
      </c>
      <c r="F3729" s="5" t="s">
        <v>3207</v>
      </c>
      <c r="G3729" s="6" t="s">
        <v>16</v>
      </c>
      <c r="H3729" s="4"/>
      <c r="I3729" s="5"/>
      <c r="J3729" s="5" t="s">
        <v>3207</v>
      </c>
      <c r="K3729" s="5" t="s">
        <v>2786</v>
      </c>
      <c r="L3729" s="5" t="s">
        <v>3208</v>
      </c>
      <c r="M3729" s="5" t="s">
        <v>433</v>
      </c>
      <c r="N3729" s="5" t="s">
        <v>433</v>
      </c>
      <c r="O3729" s="5" t="s">
        <v>2762</v>
      </c>
      <c r="P3729" s="5"/>
      <c r="Q3729" s="5" t="s">
        <v>3209</v>
      </c>
    </row>
    <row r="3730" spans="2:17" x14ac:dyDescent="0.2">
      <c r="B3730" s="5" t="s">
        <v>2758</v>
      </c>
      <c r="C3730" s="6" t="s">
        <v>13587</v>
      </c>
      <c r="D3730" s="4">
        <v>868</v>
      </c>
      <c r="E3730" s="5" t="s">
        <v>24</v>
      </c>
      <c r="F3730" s="5" t="s">
        <v>3188</v>
      </c>
      <c r="G3730" s="6" t="s">
        <v>16</v>
      </c>
      <c r="H3730" s="4"/>
      <c r="I3730" s="5"/>
      <c r="J3730" s="5" t="s">
        <v>3188</v>
      </c>
      <c r="K3730" s="5" t="s">
        <v>2785</v>
      </c>
      <c r="L3730" s="5" t="s">
        <v>3189</v>
      </c>
      <c r="M3730" s="5" t="s">
        <v>422</v>
      </c>
      <c r="N3730" s="5" t="s">
        <v>422</v>
      </c>
      <c r="O3730" s="5" t="s">
        <v>2762</v>
      </c>
      <c r="P3730" s="5" t="s">
        <v>3190</v>
      </c>
      <c r="Q3730" s="5" t="s">
        <v>3191</v>
      </c>
    </row>
    <row r="3731" spans="2:17" x14ac:dyDescent="0.2">
      <c r="B3731" s="5" t="s">
        <v>3543</v>
      </c>
      <c r="C3731" s="6" t="s">
        <v>13587</v>
      </c>
      <c r="D3731" s="4">
        <v>1019</v>
      </c>
      <c r="E3731" s="5" t="s">
        <v>20</v>
      </c>
      <c r="F3731" s="5" t="s">
        <v>3660</v>
      </c>
      <c r="G3731" s="6" t="s">
        <v>16</v>
      </c>
      <c r="H3731" s="4"/>
      <c r="I3731" s="5" t="s">
        <v>22</v>
      </c>
      <c r="J3731" s="5" t="s">
        <v>3687</v>
      </c>
      <c r="K3731" s="5"/>
      <c r="L3731" s="5"/>
      <c r="M3731" s="5" t="s">
        <v>3662</v>
      </c>
      <c r="N3731" s="5" t="s">
        <v>480</v>
      </c>
      <c r="O3731" s="5" t="s">
        <v>3570</v>
      </c>
      <c r="P3731" s="5"/>
      <c r="Q3731" s="5" t="s">
        <v>3548</v>
      </c>
    </row>
    <row r="3732" spans="2:17" x14ac:dyDescent="0.2">
      <c r="B3732" s="5" t="s">
        <v>3543</v>
      </c>
      <c r="C3732" s="6" t="s">
        <v>13587</v>
      </c>
      <c r="D3732" s="4">
        <v>1020</v>
      </c>
      <c r="E3732" s="5" t="s">
        <v>20</v>
      </c>
      <c r="F3732" s="5" t="s">
        <v>3660</v>
      </c>
      <c r="G3732" s="6" t="s">
        <v>16</v>
      </c>
      <c r="H3732" s="4"/>
      <c r="I3732" s="5" t="s">
        <v>22</v>
      </c>
      <c r="J3732" s="5" t="s">
        <v>3688</v>
      </c>
      <c r="K3732" s="5" t="s">
        <v>3603</v>
      </c>
      <c r="L3732" s="5" t="s">
        <v>3689</v>
      </c>
      <c r="M3732" s="5" t="s">
        <v>3662</v>
      </c>
      <c r="N3732" s="5" t="s">
        <v>480</v>
      </c>
      <c r="O3732" s="5" t="s">
        <v>3585</v>
      </c>
      <c r="P3732" s="5"/>
      <c r="Q3732" s="5" t="s">
        <v>3548</v>
      </c>
    </row>
    <row r="3733" spans="2:17" x14ac:dyDescent="0.2">
      <c r="B3733" s="5" t="s">
        <v>3543</v>
      </c>
      <c r="C3733" s="6" t="s">
        <v>13587</v>
      </c>
      <c r="D3733" s="4">
        <v>1021</v>
      </c>
      <c r="E3733" s="5" t="s">
        <v>20</v>
      </c>
      <c r="F3733" s="5" t="s">
        <v>3660</v>
      </c>
      <c r="G3733" s="6" t="s">
        <v>16</v>
      </c>
      <c r="H3733" s="4"/>
      <c r="I3733" s="5" t="s">
        <v>22</v>
      </c>
      <c r="J3733" s="5" t="s">
        <v>3719</v>
      </c>
      <c r="K3733" s="5" t="s">
        <v>3720</v>
      </c>
      <c r="L3733" s="5" t="s">
        <v>3721</v>
      </c>
      <c r="M3733" s="5" t="s">
        <v>3662</v>
      </c>
      <c r="N3733" s="5" t="s">
        <v>480</v>
      </c>
      <c r="O3733" s="5" t="s">
        <v>3570</v>
      </c>
      <c r="P3733" s="5"/>
      <c r="Q3733" s="5" t="s">
        <v>3548</v>
      </c>
    </row>
    <row r="3734" spans="2:17" x14ac:dyDescent="0.2">
      <c r="B3734" s="5" t="s">
        <v>3543</v>
      </c>
      <c r="C3734" s="6" t="s">
        <v>13587</v>
      </c>
      <c r="D3734" s="4">
        <v>1035</v>
      </c>
      <c r="E3734" s="5" t="s">
        <v>20</v>
      </c>
      <c r="F3734" s="5" t="s">
        <v>3660</v>
      </c>
      <c r="G3734" s="6" t="s">
        <v>16</v>
      </c>
      <c r="H3734" s="4"/>
      <c r="I3734" s="5" t="s">
        <v>22</v>
      </c>
      <c r="J3734" s="5" t="s">
        <v>3661</v>
      </c>
      <c r="K3734" s="5" t="s">
        <v>3587</v>
      </c>
      <c r="L3734" s="5"/>
      <c r="M3734" s="5" t="s">
        <v>3662</v>
      </c>
      <c r="N3734" s="5" t="s">
        <v>1544</v>
      </c>
      <c r="O3734" s="5" t="s">
        <v>3585</v>
      </c>
      <c r="P3734" s="5"/>
      <c r="Q3734" s="5" t="s">
        <v>3548</v>
      </c>
    </row>
    <row r="3735" spans="2:17" x14ac:dyDescent="0.2">
      <c r="B3735" s="5" t="s">
        <v>3543</v>
      </c>
      <c r="C3735" s="6" t="s">
        <v>13587</v>
      </c>
      <c r="D3735" s="4">
        <v>1036</v>
      </c>
      <c r="E3735" s="5" t="s">
        <v>20</v>
      </c>
      <c r="F3735" s="5" t="s">
        <v>3660</v>
      </c>
      <c r="G3735" s="6" t="s">
        <v>16</v>
      </c>
      <c r="H3735" s="4"/>
      <c r="I3735" s="5" t="s">
        <v>38</v>
      </c>
      <c r="J3735" s="5" t="s">
        <v>3663</v>
      </c>
      <c r="K3735" s="5" t="s">
        <v>3664</v>
      </c>
      <c r="L3735" s="5"/>
      <c r="M3735" s="5" t="s">
        <v>3662</v>
      </c>
      <c r="N3735" s="5" t="s">
        <v>1544</v>
      </c>
      <c r="O3735" s="5" t="s">
        <v>3585</v>
      </c>
      <c r="P3735" s="5"/>
      <c r="Q3735" s="5" t="s">
        <v>3548</v>
      </c>
    </row>
    <row r="3736" spans="2:17" x14ac:dyDescent="0.2">
      <c r="B3736" s="5" t="s">
        <v>3543</v>
      </c>
      <c r="C3736" s="6" t="s">
        <v>13587</v>
      </c>
      <c r="D3736" s="4">
        <v>1037</v>
      </c>
      <c r="E3736" s="5" t="s">
        <v>20</v>
      </c>
      <c r="F3736" s="5" t="s">
        <v>3660</v>
      </c>
      <c r="G3736" s="6" t="s">
        <v>16</v>
      </c>
      <c r="H3736" s="4"/>
      <c r="I3736" s="5" t="s">
        <v>22</v>
      </c>
      <c r="J3736" s="5" t="s">
        <v>3665</v>
      </c>
      <c r="K3736" s="5" t="s">
        <v>3666</v>
      </c>
      <c r="L3736" s="5"/>
      <c r="M3736" s="5" t="s">
        <v>3662</v>
      </c>
      <c r="N3736" s="5" t="s">
        <v>1544</v>
      </c>
      <c r="O3736" s="5" t="s">
        <v>3585</v>
      </c>
      <c r="P3736" s="5"/>
      <c r="Q3736" s="5" t="s">
        <v>3548</v>
      </c>
    </row>
    <row r="3737" spans="2:17" x14ac:dyDescent="0.2">
      <c r="B3737" s="5" t="s">
        <v>3543</v>
      </c>
      <c r="C3737" s="6" t="s">
        <v>13587</v>
      </c>
      <c r="D3737" s="4">
        <v>1038</v>
      </c>
      <c r="E3737" s="5" t="s">
        <v>20</v>
      </c>
      <c r="F3737" s="5" t="s">
        <v>3660</v>
      </c>
      <c r="G3737" s="6" t="s">
        <v>16</v>
      </c>
      <c r="H3737" s="4"/>
      <c r="I3737" s="5" t="s">
        <v>22</v>
      </c>
      <c r="J3737" s="5" t="s">
        <v>3667</v>
      </c>
      <c r="K3737" s="5" t="s">
        <v>3616</v>
      </c>
      <c r="L3737" s="5" t="s">
        <v>3668</v>
      </c>
      <c r="M3737" s="5" t="s">
        <v>3662</v>
      </c>
      <c r="N3737" s="5" t="s">
        <v>1544</v>
      </c>
      <c r="O3737" s="5" t="s">
        <v>3545</v>
      </c>
      <c r="P3737" s="5"/>
      <c r="Q3737" s="5" t="s">
        <v>3548</v>
      </c>
    </row>
    <row r="3738" spans="2:17" x14ac:dyDescent="0.2">
      <c r="B3738" s="5" t="s">
        <v>3543</v>
      </c>
      <c r="C3738" s="6" t="s">
        <v>13587</v>
      </c>
      <c r="D3738" s="4">
        <v>1039</v>
      </c>
      <c r="E3738" s="5" t="s">
        <v>20</v>
      </c>
      <c r="F3738" s="5" t="s">
        <v>3660</v>
      </c>
      <c r="G3738" s="6" t="s">
        <v>16</v>
      </c>
      <c r="H3738" s="4"/>
      <c r="I3738" s="5" t="s">
        <v>22</v>
      </c>
      <c r="J3738" s="5" t="s">
        <v>3669</v>
      </c>
      <c r="K3738" s="5" t="s">
        <v>3577</v>
      </c>
      <c r="L3738" s="5" t="s">
        <v>3670</v>
      </c>
      <c r="M3738" s="5" t="s">
        <v>3662</v>
      </c>
      <c r="N3738" s="5" t="s">
        <v>1544</v>
      </c>
      <c r="O3738" s="5" t="s">
        <v>3579</v>
      </c>
      <c r="P3738" s="5"/>
      <c r="Q3738" s="5" t="s">
        <v>3548</v>
      </c>
    </row>
    <row r="3739" spans="2:17" x14ac:dyDescent="0.2">
      <c r="B3739" s="5" t="s">
        <v>3543</v>
      </c>
      <c r="C3739" s="6" t="s">
        <v>13587</v>
      </c>
      <c r="D3739" s="4">
        <v>1040</v>
      </c>
      <c r="E3739" s="5" t="s">
        <v>20</v>
      </c>
      <c r="F3739" s="5" t="s">
        <v>3660</v>
      </c>
      <c r="G3739" s="6" t="s">
        <v>16</v>
      </c>
      <c r="H3739" s="4"/>
      <c r="I3739" s="5" t="s">
        <v>22</v>
      </c>
      <c r="J3739" s="5" t="s">
        <v>3671</v>
      </c>
      <c r="K3739" s="5" t="s">
        <v>3672</v>
      </c>
      <c r="L3739" s="5" t="s">
        <v>3673</v>
      </c>
      <c r="M3739" s="5" t="s">
        <v>3662</v>
      </c>
      <c r="N3739" s="5" t="s">
        <v>1544</v>
      </c>
      <c r="O3739" s="5" t="s">
        <v>3579</v>
      </c>
      <c r="P3739" s="5"/>
      <c r="Q3739" s="5" t="s">
        <v>3548</v>
      </c>
    </row>
    <row r="3740" spans="2:17" x14ac:dyDescent="0.2">
      <c r="B3740" s="5" t="s">
        <v>3543</v>
      </c>
      <c r="C3740" s="6" t="s">
        <v>13587</v>
      </c>
      <c r="D3740" s="4">
        <v>1041</v>
      </c>
      <c r="E3740" s="5" t="s">
        <v>20</v>
      </c>
      <c r="F3740" s="5" t="s">
        <v>3660</v>
      </c>
      <c r="G3740" s="6" t="s">
        <v>16</v>
      </c>
      <c r="H3740" s="4"/>
      <c r="I3740" s="5" t="s">
        <v>22</v>
      </c>
      <c r="J3740" s="5" t="s">
        <v>3674</v>
      </c>
      <c r="K3740" s="5" t="s">
        <v>3675</v>
      </c>
      <c r="L3740" s="5" t="s">
        <v>3676</v>
      </c>
      <c r="M3740" s="5" t="s">
        <v>3662</v>
      </c>
      <c r="N3740" s="5" t="s">
        <v>1544</v>
      </c>
      <c r="O3740" s="5" t="s">
        <v>3579</v>
      </c>
      <c r="P3740" s="5"/>
      <c r="Q3740" s="5" t="s">
        <v>3548</v>
      </c>
    </row>
    <row r="3741" spans="2:17" x14ac:dyDescent="0.2">
      <c r="B3741" s="5" t="s">
        <v>3543</v>
      </c>
      <c r="C3741" s="6" t="s">
        <v>13587</v>
      </c>
      <c r="D3741" s="4">
        <v>1042</v>
      </c>
      <c r="E3741" s="5" t="s">
        <v>20</v>
      </c>
      <c r="F3741" s="5" t="s">
        <v>3660</v>
      </c>
      <c r="G3741" s="6" t="s">
        <v>16</v>
      </c>
      <c r="H3741" s="4"/>
      <c r="I3741" s="5" t="s">
        <v>22</v>
      </c>
      <c r="J3741" s="5" t="s">
        <v>3677</v>
      </c>
      <c r="K3741" s="5" t="s">
        <v>3601</v>
      </c>
      <c r="L3741" s="5" t="s">
        <v>3678</v>
      </c>
      <c r="M3741" s="5" t="s">
        <v>3662</v>
      </c>
      <c r="N3741" s="5" t="s">
        <v>1544</v>
      </c>
      <c r="O3741" s="5" t="s">
        <v>3575</v>
      </c>
      <c r="P3741" s="5"/>
      <c r="Q3741" s="5" t="s">
        <v>3548</v>
      </c>
    </row>
    <row r="3742" spans="2:17" x14ac:dyDescent="0.2">
      <c r="B3742" s="5" t="s">
        <v>3543</v>
      </c>
      <c r="C3742" s="6" t="s">
        <v>13587</v>
      </c>
      <c r="D3742" s="4">
        <v>1043</v>
      </c>
      <c r="E3742" s="5" t="s">
        <v>20</v>
      </c>
      <c r="F3742" s="5" t="s">
        <v>3660</v>
      </c>
      <c r="G3742" s="6" t="s">
        <v>16</v>
      </c>
      <c r="H3742" s="4"/>
      <c r="I3742" s="5" t="s">
        <v>22</v>
      </c>
      <c r="J3742" s="5" t="s">
        <v>3679</v>
      </c>
      <c r="K3742" s="5" t="s">
        <v>3680</v>
      </c>
      <c r="L3742" s="5" t="s">
        <v>3681</v>
      </c>
      <c r="M3742" s="5" t="s">
        <v>3662</v>
      </c>
      <c r="N3742" s="5" t="s">
        <v>1544</v>
      </c>
      <c r="O3742" s="5" t="s">
        <v>3575</v>
      </c>
      <c r="P3742" s="5"/>
      <c r="Q3742" s="5" t="s">
        <v>3548</v>
      </c>
    </row>
    <row r="3743" spans="2:17" x14ac:dyDescent="0.2">
      <c r="B3743" s="5" t="s">
        <v>3543</v>
      </c>
      <c r="C3743" s="6" t="s">
        <v>13587</v>
      </c>
      <c r="D3743" s="4">
        <v>1044</v>
      </c>
      <c r="E3743" s="5" t="s">
        <v>20</v>
      </c>
      <c r="F3743" s="5" t="s">
        <v>3660</v>
      </c>
      <c r="G3743" s="6" t="s">
        <v>16</v>
      </c>
      <c r="H3743" s="4"/>
      <c r="I3743" s="5" t="s">
        <v>22</v>
      </c>
      <c r="J3743" s="5" t="s">
        <v>3682</v>
      </c>
      <c r="K3743" s="5" t="s">
        <v>3601</v>
      </c>
      <c r="L3743" s="5" t="s">
        <v>3683</v>
      </c>
      <c r="M3743" s="5" t="s">
        <v>3662</v>
      </c>
      <c r="N3743" s="5" t="s">
        <v>1544</v>
      </c>
      <c r="O3743" s="5" t="s">
        <v>3575</v>
      </c>
      <c r="P3743" s="5"/>
      <c r="Q3743" s="5" t="s">
        <v>3548</v>
      </c>
    </row>
    <row r="3744" spans="2:17" x14ac:dyDescent="0.2">
      <c r="B3744" s="5" t="s">
        <v>3543</v>
      </c>
      <c r="C3744" s="6" t="s">
        <v>13587</v>
      </c>
      <c r="D3744" s="4">
        <v>1045</v>
      </c>
      <c r="E3744" s="5" t="s">
        <v>20</v>
      </c>
      <c r="F3744" s="5" t="s">
        <v>3660</v>
      </c>
      <c r="G3744" s="6" t="s">
        <v>16</v>
      </c>
      <c r="H3744" s="4"/>
      <c r="I3744" s="5" t="s">
        <v>22</v>
      </c>
      <c r="J3744" s="5" t="s">
        <v>3684</v>
      </c>
      <c r="K3744" s="5" t="s">
        <v>3685</v>
      </c>
      <c r="L3744" s="5" t="s">
        <v>3686</v>
      </c>
      <c r="M3744" s="5" t="s">
        <v>3662</v>
      </c>
      <c r="N3744" s="5" t="s">
        <v>1544</v>
      </c>
      <c r="O3744" s="5" t="s">
        <v>3585</v>
      </c>
      <c r="P3744" s="5"/>
      <c r="Q3744" s="5" t="s">
        <v>3548</v>
      </c>
    </row>
    <row r="3745" spans="2:17" x14ac:dyDescent="0.2">
      <c r="B3745" s="5" t="s">
        <v>3543</v>
      </c>
      <c r="C3745" s="6" t="s">
        <v>13587</v>
      </c>
      <c r="D3745" s="4">
        <v>1046</v>
      </c>
      <c r="E3745" s="5" t="s">
        <v>20</v>
      </c>
      <c r="F3745" s="5" t="s">
        <v>3660</v>
      </c>
      <c r="G3745" s="6" t="s">
        <v>16</v>
      </c>
      <c r="H3745" s="4"/>
      <c r="I3745" s="5" t="s">
        <v>22</v>
      </c>
      <c r="J3745" s="5" t="s">
        <v>3690</v>
      </c>
      <c r="K3745" s="5" t="s">
        <v>3691</v>
      </c>
      <c r="L3745" s="5"/>
      <c r="M3745" s="5" t="s">
        <v>3662</v>
      </c>
      <c r="N3745" s="5" t="s">
        <v>1544</v>
      </c>
      <c r="O3745" s="5" t="s">
        <v>3585</v>
      </c>
      <c r="P3745" s="5"/>
      <c r="Q3745" s="5" t="s">
        <v>3548</v>
      </c>
    </row>
    <row r="3746" spans="2:17" x14ac:dyDescent="0.2">
      <c r="B3746" s="5" t="s">
        <v>3543</v>
      </c>
      <c r="C3746" s="6" t="s">
        <v>13587</v>
      </c>
      <c r="D3746" s="4">
        <v>1047</v>
      </c>
      <c r="E3746" s="5" t="s">
        <v>20</v>
      </c>
      <c r="F3746" s="5" t="s">
        <v>3660</v>
      </c>
      <c r="G3746" s="6" t="s">
        <v>16</v>
      </c>
      <c r="H3746" s="4"/>
      <c r="I3746" s="5" t="s">
        <v>22</v>
      </c>
      <c r="J3746" s="5" t="s">
        <v>3692</v>
      </c>
      <c r="K3746" s="5" t="s">
        <v>3691</v>
      </c>
      <c r="L3746" s="5"/>
      <c r="M3746" s="5" t="s">
        <v>3662</v>
      </c>
      <c r="N3746" s="5" t="s">
        <v>1544</v>
      </c>
      <c r="O3746" s="5" t="s">
        <v>3585</v>
      </c>
      <c r="P3746" s="5"/>
      <c r="Q3746" s="5" t="s">
        <v>3548</v>
      </c>
    </row>
    <row r="3747" spans="2:17" x14ac:dyDescent="0.2">
      <c r="B3747" s="5" t="s">
        <v>3543</v>
      </c>
      <c r="C3747" s="6" t="s">
        <v>13587</v>
      </c>
      <c r="D3747" s="4">
        <v>1048</v>
      </c>
      <c r="E3747" s="5" t="s">
        <v>20</v>
      </c>
      <c r="F3747" s="5" t="s">
        <v>3660</v>
      </c>
      <c r="G3747" s="6" t="s">
        <v>16</v>
      </c>
      <c r="H3747" s="4"/>
      <c r="I3747" s="5" t="s">
        <v>22</v>
      </c>
      <c r="J3747" s="5" t="s">
        <v>3693</v>
      </c>
      <c r="K3747" s="5"/>
      <c r="L3747" s="5" t="s">
        <v>3694</v>
      </c>
      <c r="M3747" s="5" t="s">
        <v>3662</v>
      </c>
      <c r="N3747" s="5" t="s">
        <v>1544</v>
      </c>
      <c r="O3747" s="5" t="s">
        <v>3585</v>
      </c>
      <c r="P3747" s="5"/>
      <c r="Q3747" s="5" t="s">
        <v>3548</v>
      </c>
    </row>
    <row r="3748" spans="2:17" x14ac:dyDescent="0.2">
      <c r="B3748" s="5" t="s">
        <v>3543</v>
      </c>
      <c r="C3748" s="6" t="s">
        <v>13587</v>
      </c>
      <c r="D3748" s="4">
        <v>1049</v>
      </c>
      <c r="E3748" s="5" t="s">
        <v>20</v>
      </c>
      <c r="F3748" s="5" t="s">
        <v>3660</v>
      </c>
      <c r="G3748" s="6" t="s">
        <v>16</v>
      </c>
      <c r="H3748" s="4"/>
      <c r="I3748" s="5" t="s">
        <v>22</v>
      </c>
      <c r="J3748" s="5" t="s">
        <v>3695</v>
      </c>
      <c r="K3748" s="5" t="s">
        <v>3691</v>
      </c>
      <c r="L3748" s="5"/>
      <c r="M3748" s="5" t="s">
        <v>3662</v>
      </c>
      <c r="N3748" s="5" t="s">
        <v>1544</v>
      </c>
      <c r="O3748" s="5" t="s">
        <v>3585</v>
      </c>
      <c r="P3748" s="5"/>
      <c r="Q3748" s="5" t="s">
        <v>3548</v>
      </c>
    </row>
    <row r="3749" spans="2:17" x14ac:dyDescent="0.2">
      <c r="B3749" s="5" t="s">
        <v>3543</v>
      </c>
      <c r="C3749" s="6" t="s">
        <v>13587</v>
      </c>
      <c r="D3749" s="4">
        <v>1050</v>
      </c>
      <c r="E3749" s="5" t="s">
        <v>20</v>
      </c>
      <c r="F3749" s="5" t="s">
        <v>3660</v>
      </c>
      <c r="G3749" s="6" t="s">
        <v>16</v>
      </c>
      <c r="H3749" s="4"/>
      <c r="I3749" s="5" t="s">
        <v>22</v>
      </c>
      <c r="J3749" s="5" t="s">
        <v>3696</v>
      </c>
      <c r="K3749" s="5" t="s">
        <v>3691</v>
      </c>
      <c r="L3749" s="5"/>
      <c r="M3749" s="5" t="s">
        <v>3662</v>
      </c>
      <c r="N3749" s="5" t="s">
        <v>1544</v>
      </c>
      <c r="O3749" s="5" t="s">
        <v>3585</v>
      </c>
      <c r="P3749" s="5"/>
      <c r="Q3749" s="5" t="s">
        <v>3548</v>
      </c>
    </row>
    <row r="3750" spans="2:17" x14ac:dyDescent="0.2">
      <c r="B3750" s="5" t="s">
        <v>3543</v>
      </c>
      <c r="C3750" s="6" t="s">
        <v>13587</v>
      </c>
      <c r="D3750" s="4">
        <v>1051</v>
      </c>
      <c r="E3750" s="5" t="s">
        <v>20</v>
      </c>
      <c r="F3750" s="5" t="s">
        <v>3660</v>
      </c>
      <c r="G3750" s="6" t="s">
        <v>16</v>
      </c>
      <c r="H3750" s="4"/>
      <c r="I3750" s="5" t="s">
        <v>22</v>
      </c>
      <c r="J3750" s="5" t="s">
        <v>3697</v>
      </c>
      <c r="K3750" s="5" t="s">
        <v>3698</v>
      </c>
      <c r="L3750" s="5"/>
      <c r="M3750" s="5" t="s">
        <v>3662</v>
      </c>
      <c r="N3750" s="5" t="s">
        <v>1544</v>
      </c>
      <c r="O3750" s="5" t="s">
        <v>3585</v>
      </c>
      <c r="P3750" s="5"/>
      <c r="Q3750" s="5" t="s">
        <v>3548</v>
      </c>
    </row>
    <row r="3751" spans="2:17" x14ac:dyDescent="0.2">
      <c r="B3751" s="5" t="s">
        <v>3543</v>
      </c>
      <c r="C3751" s="6" t="s">
        <v>13587</v>
      </c>
      <c r="D3751" s="4">
        <v>1052</v>
      </c>
      <c r="E3751" s="5" t="s">
        <v>20</v>
      </c>
      <c r="F3751" s="5" t="s">
        <v>3660</v>
      </c>
      <c r="G3751" s="6" t="s">
        <v>16</v>
      </c>
      <c r="H3751" s="4"/>
      <c r="I3751" s="5" t="s">
        <v>22</v>
      </c>
      <c r="J3751" s="5" t="s">
        <v>3699</v>
      </c>
      <c r="K3751" s="5" t="s">
        <v>3700</v>
      </c>
      <c r="L3751" s="5"/>
      <c r="M3751" s="5" t="s">
        <v>3662</v>
      </c>
      <c r="N3751" s="5" t="s">
        <v>1544</v>
      </c>
      <c r="O3751" s="5" t="s">
        <v>3585</v>
      </c>
      <c r="P3751" s="5"/>
      <c r="Q3751" s="5" t="s">
        <v>3548</v>
      </c>
    </row>
    <row r="3752" spans="2:17" x14ac:dyDescent="0.2">
      <c r="B3752" s="5" t="s">
        <v>3543</v>
      </c>
      <c r="C3752" s="6" t="s">
        <v>13587</v>
      </c>
      <c r="D3752" s="4">
        <v>1053</v>
      </c>
      <c r="E3752" s="5" t="s">
        <v>20</v>
      </c>
      <c r="F3752" s="5" t="s">
        <v>3660</v>
      </c>
      <c r="G3752" s="6" t="s">
        <v>16</v>
      </c>
      <c r="H3752" s="4"/>
      <c r="I3752" s="5" t="s">
        <v>22</v>
      </c>
      <c r="J3752" s="5" t="s">
        <v>3701</v>
      </c>
      <c r="K3752" s="5" t="s">
        <v>3702</v>
      </c>
      <c r="L3752" s="5"/>
      <c r="M3752" s="5" t="s">
        <v>3662</v>
      </c>
      <c r="N3752" s="5" t="s">
        <v>1544</v>
      </c>
      <c r="O3752" s="5" t="s">
        <v>3585</v>
      </c>
      <c r="P3752" s="5"/>
      <c r="Q3752" s="5" t="s">
        <v>3548</v>
      </c>
    </row>
    <row r="3753" spans="2:17" x14ac:dyDescent="0.2">
      <c r="B3753" s="5" t="s">
        <v>3543</v>
      </c>
      <c r="C3753" s="6" t="s">
        <v>13587</v>
      </c>
      <c r="D3753" s="4">
        <v>1054</v>
      </c>
      <c r="E3753" s="5" t="s">
        <v>20</v>
      </c>
      <c r="F3753" s="5" t="s">
        <v>3660</v>
      </c>
      <c r="G3753" s="6" t="s">
        <v>16</v>
      </c>
      <c r="H3753" s="4"/>
      <c r="I3753" s="5" t="s">
        <v>22</v>
      </c>
      <c r="J3753" s="5" t="s">
        <v>3703</v>
      </c>
      <c r="K3753" s="5" t="s">
        <v>3702</v>
      </c>
      <c r="L3753" s="5"/>
      <c r="M3753" s="5" t="s">
        <v>3662</v>
      </c>
      <c r="N3753" s="5" t="s">
        <v>1544</v>
      </c>
      <c r="O3753" s="5" t="s">
        <v>3585</v>
      </c>
      <c r="P3753" s="5"/>
      <c r="Q3753" s="5" t="s">
        <v>3548</v>
      </c>
    </row>
    <row r="3754" spans="2:17" x14ac:dyDescent="0.2">
      <c r="B3754" s="5" t="s">
        <v>3543</v>
      </c>
      <c r="C3754" s="6" t="s">
        <v>13587</v>
      </c>
      <c r="D3754" s="4">
        <v>1055</v>
      </c>
      <c r="E3754" s="5" t="s">
        <v>20</v>
      </c>
      <c r="F3754" s="5" t="s">
        <v>3660</v>
      </c>
      <c r="G3754" s="6" t="s">
        <v>16</v>
      </c>
      <c r="H3754" s="4"/>
      <c r="I3754" s="5" t="s">
        <v>22</v>
      </c>
      <c r="J3754" s="5" t="s">
        <v>3704</v>
      </c>
      <c r="K3754" s="5" t="s">
        <v>3603</v>
      </c>
      <c r="L3754" s="5"/>
      <c r="M3754" s="5" t="s">
        <v>3662</v>
      </c>
      <c r="N3754" s="5" t="s">
        <v>1544</v>
      </c>
      <c r="O3754" s="5" t="s">
        <v>3585</v>
      </c>
      <c r="P3754" s="5"/>
      <c r="Q3754" s="5" t="s">
        <v>3548</v>
      </c>
    </row>
    <row r="3755" spans="2:17" x14ac:dyDescent="0.2">
      <c r="B3755" s="5" t="s">
        <v>3543</v>
      </c>
      <c r="C3755" s="6" t="s">
        <v>13587</v>
      </c>
      <c r="D3755" s="4">
        <v>1056</v>
      </c>
      <c r="E3755" s="5" t="s">
        <v>20</v>
      </c>
      <c r="F3755" s="5" t="s">
        <v>3660</v>
      </c>
      <c r="G3755" s="6" t="s">
        <v>16</v>
      </c>
      <c r="H3755" s="4"/>
      <c r="I3755" s="5" t="s">
        <v>22</v>
      </c>
      <c r="J3755" s="5" t="s">
        <v>3705</v>
      </c>
      <c r="K3755" s="5" t="s">
        <v>3706</v>
      </c>
      <c r="L3755" s="5"/>
      <c r="M3755" s="5" t="s">
        <v>3662</v>
      </c>
      <c r="N3755" s="5" t="s">
        <v>1544</v>
      </c>
      <c r="O3755" s="5" t="s">
        <v>3585</v>
      </c>
      <c r="P3755" s="5"/>
      <c r="Q3755" s="5" t="s">
        <v>3548</v>
      </c>
    </row>
    <row r="3756" spans="2:17" x14ac:dyDescent="0.2">
      <c r="B3756" s="5" t="s">
        <v>3543</v>
      </c>
      <c r="C3756" s="6" t="s">
        <v>13587</v>
      </c>
      <c r="D3756" s="4">
        <v>1057</v>
      </c>
      <c r="E3756" s="5" t="s">
        <v>20</v>
      </c>
      <c r="F3756" s="5" t="s">
        <v>3660</v>
      </c>
      <c r="G3756" s="6" t="s">
        <v>16</v>
      </c>
      <c r="H3756" s="4"/>
      <c r="I3756" s="5" t="s">
        <v>22</v>
      </c>
      <c r="J3756" s="5" t="s">
        <v>3707</v>
      </c>
      <c r="K3756" s="5" t="s">
        <v>3708</v>
      </c>
      <c r="L3756" s="5"/>
      <c r="M3756" s="5" t="s">
        <v>3662</v>
      </c>
      <c r="N3756" s="5" t="s">
        <v>1544</v>
      </c>
      <c r="O3756" s="5" t="s">
        <v>3585</v>
      </c>
      <c r="P3756" s="5"/>
      <c r="Q3756" s="5" t="s">
        <v>3548</v>
      </c>
    </row>
    <row r="3757" spans="2:17" x14ac:dyDescent="0.2">
      <c r="B3757" s="5" t="s">
        <v>3543</v>
      </c>
      <c r="C3757" s="6" t="s">
        <v>13587</v>
      </c>
      <c r="D3757" s="4">
        <v>1058</v>
      </c>
      <c r="E3757" s="5" t="s">
        <v>20</v>
      </c>
      <c r="F3757" s="5" t="s">
        <v>3660</v>
      </c>
      <c r="G3757" s="6" t="s">
        <v>16</v>
      </c>
      <c r="H3757" s="4"/>
      <c r="I3757" s="5" t="s">
        <v>22</v>
      </c>
      <c r="J3757" s="5" t="s">
        <v>3709</v>
      </c>
      <c r="K3757" s="5" t="s">
        <v>3685</v>
      </c>
      <c r="L3757" s="5"/>
      <c r="M3757" s="5" t="s">
        <v>3662</v>
      </c>
      <c r="N3757" s="5" t="s">
        <v>1544</v>
      </c>
      <c r="O3757" s="5" t="s">
        <v>3585</v>
      </c>
      <c r="P3757" s="5"/>
      <c r="Q3757" s="5" t="s">
        <v>3548</v>
      </c>
    </row>
    <row r="3758" spans="2:17" x14ac:dyDescent="0.2">
      <c r="B3758" s="5" t="s">
        <v>3543</v>
      </c>
      <c r="C3758" s="6" t="s">
        <v>13587</v>
      </c>
      <c r="D3758" s="4">
        <v>1059</v>
      </c>
      <c r="E3758" s="5" t="s">
        <v>20</v>
      </c>
      <c r="F3758" s="5" t="s">
        <v>3660</v>
      </c>
      <c r="G3758" s="6" t="s">
        <v>16</v>
      </c>
      <c r="H3758" s="4"/>
      <c r="I3758" s="5" t="s">
        <v>22</v>
      </c>
      <c r="J3758" s="5" t="s">
        <v>3710</v>
      </c>
      <c r="K3758" s="5" t="s">
        <v>3711</v>
      </c>
      <c r="L3758" s="5"/>
      <c r="M3758" s="5" t="s">
        <v>3662</v>
      </c>
      <c r="N3758" s="5" t="s">
        <v>1544</v>
      </c>
      <c r="O3758" s="5" t="s">
        <v>3585</v>
      </c>
      <c r="P3758" s="5"/>
      <c r="Q3758" s="5" t="s">
        <v>3548</v>
      </c>
    </row>
    <row r="3759" spans="2:17" x14ac:dyDescent="0.2">
      <c r="B3759" s="5" t="s">
        <v>3543</v>
      </c>
      <c r="C3759" s="6" t="s">
        <v>13587</v>
      </c>
      <c r="D3759" s="4">
        <v>1060</v>
      </c>
      <c r="E3759" s="5" t="s">
        <v>20</v>
      </c>
      <c r="F3759" s="5" t="s">
        <v>3660</v>
      </c>
      <c r="G3759" s="6" t="s">
        <v>16</v>
      </c>
      <c r="H3759" s="4"/>
      <c r="I3759" s="5" t="s">
        <v>22</v>
      </c>
      <c r="J3759" s="5" t="s">
        <v>3712</v>
      </c>
      <c r="K3759" s="5" t="s">
        <v>3713</v>
      </c>
      <c r="L3759" s="5" t="s">
        <v>3714</v>
      </c>
      <c r="M3759" s="5" t="s">
        <v>3662</v>
      </c>
      <c r="N3759" s="5" t="s">
        <v>1544</v>
      </c>
      <c r="O3759" s="5" t="s">
        <v>3585</v>
      </c>
      <c r="P3759" s="5"/>
      <c r="Q3759" s="5" t="s">
        <v>3548</v>
      </c>
    </row>
    <row r="3760" spans="2:17" x14ac:dyDescent="0.2">
      <c r="B3760" s="5" t="s">
        <v>3543</v>
      </c>
      <c r="C3760" s="6" t="s">
        <v>13587</v>
      </c>
      <c r="D3760" s="4">
        <v>1062</v>
      </c>
      <c r="E3760" s="5" t="s">
        <v>20</v>
      </c>
      <c r="F3760" s="5" t="s">
        <v>3660</v>
      </c>
      <c r="G3760" s="6" t="s">
        <v>16</v>
      </c>
      <c r="H3760" s="4"/>
      <c r="I3760" s="5" t="s">
        <v>22</v>
      </c>
      <c r="J3760" s="5" t="s">
        <v>3717</v>
      </c>
      <c r="K3760" s="5" t="s">
        <v>3718</v>
      </c>
      <c r="L3760" s="5"/>
      <c r="M3760" s="5" t="s">
        <v>3662</v>
      </c>
      <c r="N3760" s="5" t="s">
        <v>1544</v>
      </c>
      <c r="O3760" s="5" t="s">
        <v>3585</v>
      </c>
      <c r="P3760" s="5"/>
      <c r="Q3760" s="5" t="s">
        <v>3548</v>
      </c>
    </row>
    <row r="3761" spans="2:17" x14ac:dyDescent="0.2">
      <c r="B3761" s="5" t="s">
        <v>3543</v>
      </c>
      <c r="C3761" s="6" t="s">
        <v>13587</v>
      </c>
      <c r="D3761" s="4">
        <v>1073</v>
      </c>
      <c r="E3761" s="5" t="s">
        <v>20</v>
      </c>
      <c r="F3761" s="5" t="s">
        <v>3609</v>
      </c>
      <c r="G3761" s="6" t="s">
        <v>16</v>
      </c>
      <c r="H3761" s="4"/>
      <c r="I3761" s="5" t="s">
        <v>22</v>
      </c>
      <c r="J3761" s="5" t="s">
        <v>3610</v>
      </c>
      <c r="K3761" s="5" t="s">
        <v>3611</v>
      </c>
      <c r="L3761" s="5"/>
      <c r="M3761" s="5" t="s">
        <v>2083</v>
      </c>
      <c r="N3761" s="5" t="s">
        <v>2075</v>
      </c>
      <c r="O3761" s="5" t="s">
        <v>3545</v>
      </c>
      <c r="P3761" s="5"/>
      <c r="Q3761" s="5" t="s">
        <v>3548</v>
      </c>
    </row>
    <row r="3762" spans="2:17" x14ac:dyDescent="0.2">
      <c r="B3762" s="5" t="s">
        <v>3543</v>
      </c>
      <c r="C3762" s="6" t="s">
        <v>13587</v>
      </c>
      <c r="D3762" s="4">
        <v>1074</v>
      </c>
      <c r="E3762" s="5" t="s">
        <v>20</v>
      </c>
      <c r="F3762" s="5" t="s">
        <v>3609</v>
      </c>
      <c r="G3762" s="6" t="s">
        <v>16</v>
      </c>
      <c r="H3762" s="4"/>
      <c r="I3762" s="5" t="s">
        <v>22</v>
      </c>
      <c r="J3762" s="5" t="s">
        <v>3612</v>
      </c>
      <c r="K3762" s="5" t="s">
        <v>3613</v>
      </c>
      <c r="L3762" s="5" t="s">
        <v>3614</v>
      </c>
      <c r="M3762" s="5" t="s">
        <v>2083</v>
      </c>
      <c r="N3762" s="5" t="s">
        <v>2075</v>
      </c>
      <c r="O3762" s="5" t="s">
        <v>3545</v>
      </c>
      <c r="P3762" s="5"/>
      <c r="Q3762" s="5" t="s">
        <v>3548</v>
      </c>
    </row>
    <row r="3763" spans="2:17" x14ac:dyDescent="0.2">
      <c r="B3763" s="5" t="s">
        <v>3543</v>
      </c>
      <c r="C3763" s="6" t="s">
        <v>13587</v>
      </c>
      <c r="D3763" s="4">
        <v>1075</v>
      </c>
      <c r="E3763" s="5" t="s">
        <v>20</v>
      </c>
      <c r="F3763" s="5" t="s">
        <v>3609</v>
      </c>
      <c r="G3763" s="6" t="s">
        <v>16</v>
      </c>
      <c r="H3763" s="4"/>
      <c r="I3763" s="5" t="s">
        <v>22</v>
      </c>
      <c r="J3763" s="5" t="s">
        <v>3615</v>
      </c>
      <c r="K3763" s="5" t="s">
        <v>3616</v>
      </c>
      <c r="L3763" s="5" t="s">
        <v>3617</v>
      </c>
      <c r="M3763" s="5" t="s">
        <v>2083</v>
      </c>
      <c r="N3763" s="5" t="s">
        <v>2075</v>
      </c>
      <c r="O3763" s="5" t="s">
        <v>3545</v>
      </c>
      <c r="P3763" s="5"/>
      <c r="Q3763" s="5" t="s">
        <v>3548</v>
      </c>
    </row>
    <row r="3764" spans="2:17" x14ac:dyDescent="0.2">
      <c r="B3764" s="5" t="s">
        <v>3543</v>
      </c>
      <c r="C3764" s="6" t="s">
        <v>13587</v>
      </c>
      <c r="D3764" s="4">
        <v>1076</v>
      </c>
      <c r="E3764" s="5" t="s">
        <v>20</v>
      </c>
      <c r="F3764" s="5" t="s">
        <v>3609</v>
      </c>
      <c r="G3764" s="6" t="s">
        <v>16</v>
      </c>
      <c r="H3764" s="4"/>
      <c r="I3764" s="5" t="s">
        <v>22</v>
      </c>
      <c r="J3764" s="5" t="s">
        <v>3618</v>
      </c>
      <c r="K3764" s="5" t="s">
        <v>3619</v>
      </c>
      <c r="L3764" s="5" t="s">
        <v>3620</v>
      </c>
      <c r="M3764" s="5" t="s">
        <v>2083</v>
      </c>
      <c r="N3764" s="5" t="s">
        <v>2075</v>
      </c>
      <c r="O3764" s="5" t="s">
        <v>3545</v>
      </c>
      <c r="P3764" s="5"/>
      <c r="Q3764" s="5" t="s">
        <v>3548</v>
      </c>
    </row>
    <row r="3765" spans="2:17" x14ac:dyDescent="0.2">
      <c r="B3765" s="5" t="s">
        <v>3543</v>
      </c>
      <c r="C3765" s="6" t="s">
        <v>13587</v>
      </c>
      <c r="D3765" s="4">
        <v>1077</v>
      </c>
      <c r="E3765" s="5" t="s">
        <v>20</v>
      </c>
      <c r="F3765" s="5" t="s">
        <v>3609</v>
      </c>
      <c r="G3765" s="6" t="s">
        <v>16</v>
      </c>
      <c r="H3765" s="4"/>
      <c r="I3765" s="5" t="s">
        <v>22</v>
      </c>
      <c r="J3765" s="5" t="s">
        <v>3621</v>
      </c>
      <c r="K3765" s="5" t="s">
        <v>3622</v>
      </c>
      <c r="L3765" s="5" t="s">
        <v>3623</v>
      </c>
      <c r="M3765" s="5" t="s">
        <v>2083</v>
      </c>
      <c r="N3765" s="5" t="s">
        <v>2075</v>
      </c>
      <c r="O3765" s="5" t="s">
        <v>3545</v>
      </c>
      <c r="P3765" s="5"/>
      <c r="Q3765" s="5" t="s">
        <v>3548</v>
      </c>
    </row>
    <row r="3766" spans="2:17" x14ac:dyDescent="0.2">
      <c r="B3766" s="5" t="s">
        <v>278</v>
      </c>
      <c r="C3766" s="6" t="s">
        <v>13587</v>
      </c>
      <c r="D3766" s="4">
        <v>81</v>
      </c>
      <c r="E3766" s="5" t="s">
        <v>20</v>
      </c>
      <c r="F3766" s="5" t="s">
        <v>519</v>
      </c>
      <c r="G3766" s="6" t="s">
        <v>65</v>
      </c>
      <c r="H3766" s="4"/>
      <c r="I3766" s="5" t="s">
        <v>38</v>
      </c>
      <c r="J3766" s="5" t="s">
        <v>520</v>
      </c>
      <c r="K3766" s="5"/>
      <c r="L3766" s="5" t="s">
        <v>521</v>
      </c>
      <c r="M3766" s="5" t="s">
        <v>522</v>
      </c>
      <c r="N3766" s="5" t="s">
        <v>523</v>
      </c>
      <c r="O3766" s="5" t="s">
        <v>376</v>
      </c>
      <c r="P3766" s="5"/>
      <c r="Q3766" s="5" t="s">
        <v>514</v>
      </c>
    </row>
    <row r="3767" spans="2:17" x14ac:dyDescent="0.2">
      <c r="B3767" s="5" t="s">
        <v>544</v>
      </c>
      <c r="C3767" s="6" t="s">
        <v>13587</v>
      </c>
      <c r="D3767" s="4">
        <v>109</v>
      </c>
      <c r="E3767" s="5" t="s">
        <v>35</v>
      </c>
      <c r="F3767" s="5" t="s">
        <v>1115</v>
      </c>
      <c r="G3767" s="6" t="s">
        <v>65</v>
      </c>
      <c r="H3767" s="4"/>
      <c r="I3767" s="5"/>
      <c r="J3767" s="5" t="s">
        <v>1116</v>
      </c>
      <c r="K3767" s="5" t="s">
        <v>1117</v>
      </c>
      <c r="L3767" s="5"/>
      <c r="M3767" s="5" t="s">
        <v>1118</v>
      </c>
      <c r="N3767" s="5" t="s">
        <v>1118</v>
      </c>
      <c r="O3767" s="5" t="s">
        <v>549</v>
      </c>
      <c r="P3767" s="5"/>
      <c r="Q3767" s="5" t="s">
        <v>1119</v>
      </c>
    </row>
    <row r="3768" spans="2:17" x14ac:dyDescent="0.2">
      <c r="B3768" s="5" t="s">
        <v>2758</v>
      </c>
      <c r="C3768" s="6" t="s">
        <v>13587</v>
      </c>
      <c r="D3768" s="4">
        <v>779</v>
      </c>
      <c r="E3768" s="5" t="s">
        <v>15</v>
      </c>
      <c r="F3768" s="5" t="s">
        <v>3496</v>
      </c>
      <c r="G3768" s="6" t="s">
        <v>65</v>
      </c>
      <c r="H3768" s="4"/>
      <c r="I3768" s="5"/>
      <c r="J3768" s="5" t="s">
        <v>3497</v>
      </c>
      <c r="K3768" s="5" t="s">
        <v>2769</v>
      </c>
      <c r="L3768" s="5"/>
      <c r="M3768" s="5" t="s">
        <v>3498</v>
      </c>
      <c r="N3768" s="5" t="s">
        <v>3499</v>
      </c>
      <c r="O3768" s="5" t="s">
        <v>2762</v>
      </c>
      <c r="P3768" s="5"/>
      <c r="Q3768" s="5" t="s">
        <v>3500</v>
      </c>
    </row>
    <row r="3769" spans="2:17" x14ac:dyDescent="0.2">
      <c r="B3769" s="5" t="s">
        <v>2758</v>
      </c>
      <c r="C3769" s="6" t="s">
        <v>13587</v>
      </c>
      <c r="D3769" s="4">
        <v>780</v>
      </c>
      <c r="E3769" s="5" t="s">
        <v>15</v>
      </c>
      <c r="F3769" s="5" t="s">
        <v>3496</v>
      </c>
      <c r="G3769" s="6" t="s">
        <v>65</v>
      </c>
      <c r="H3769" s="4"/>
      <c r="I3769" s="5"/>
      <c r="J3769" s="5" t="s">
        <v>3501</v>
      </c>
      <c r="K3769" s="5" t="s">
        <v>2785</v>
      </c>
      <c r="L3769" s="5"/>
      <c r="M3769" s="5" t="s">
        <v>3498</v>
      </c>
      <c r="N3769" s="5" t="s">
        <v>3499</v>
      </c>
      <c r="O3769" s="5" t="s">
        <v>2762</v>
      </c>
      <c r="P3769" s="5"/>
      <c r="Q3769" s="5" t="s">
        <v>3502</v>
      </c>
    </row>
    <row r="3770" spans="2:17" x14ac:dyDescent="0.2">
      <c r="B3770" s="5" t="s">
        <v>1708</v>
      </c>
      <c r="C3770" s="6" t="s">
        <v>13587</v>
      </c>
      <c r="D3770" s="4">
        <v>488</v>
      </c>
      <c r="E3770" s="5" t="s">
        <v>20</v>
      </c>
      <c r="F3770" s="5" t="s">
        <v>1754</v>
      </c>
      <c r="G3770" s="6" t="s">
        <v>542</v>
      </c>
      <c r="H3770" s="4"/>
      <c r="I3770" s="5" t="s">
        <v>22</v>
      </c>
      <c r="J3770" s="5" t="s">
        <v>1797</v>
      </c>
      <c r="K3770" s="5" t="s">
        <v>1714</v>
      </c>
      <c r="L3770" s="5"/>
      <c r="M3770" s="5" t="s">
        <v>106</v>
      </c>
      <c r="N3770" s="5" t="s">
        <v>148</v>
      </c>
      <c r="O3770" s="5" t="s">
        <v>1716</v>
      </c>
      <c r="P3770" s="5"/>
      <c r="Q3770" s="5" t="s">
        <v>1717</v>
      </c>
    </row>
    <row r="3771" spans="2:17" x14ac:dyDescent="0.2">
      <c r="B3771" s="5" t="s">
        <v>1708</v>
      </c>
      <c r="C3771" s="6" t="s">
        <v>13587</v>
      </c>
      <c r="D3771" s="4">
        <v>518</v>
      </c>
      <c r="E3771" s="5" t="s">
        <v>20</v>
      </c>
      <c r="F3771" s="5" t="s">
        <v>1744</v>
      </c>
      <c r="G3771" s="6" t="s">
        <v>542</v>
      </c>
      <c r="H3771" s="4"/>
      <c r="I3771" s="5" t="s">
        <v>22</v>
      </c>
      <c r="J3771" s="5" t="s">
        <v>1742</v>
      </c>
      <c r="K3771" s="5" t="s">
        <v>1743</v>
      </c>
      <c r="L3771" s="5"/>
      <c r="M3771" s="5" t="s">
        <v>1343</v>
      </c>
      <c r="N3771" s="5" t="s">
        <v>291</v>
      </c>
      <c r="O3771" s="5" t="s">
        <v>1745</v>
      </c>
      <c r="P3771" s="5"/>
      <c r="Q3771" s="5" t="s">
        <v>1746</v>
      </c>
    </row>
    <row r="3772" spans="2:17" x14ac:dyDescent="0.2">
      <c r="B3772" s="5" t="s">
        <v>92</v>
      </c>
      <c r="C3772" s="6" t="s">
        <v>13587</v>
      </c>
      <c r="D3772" s="4">
        <v>6</v>
      </c>
      <c r="E3772" s="5" t="s">
        <v>20</v>
      </c>
      <c r="F3772" s="5" t="s">
        <v>205</v>
      </c>
      <c r="G3772" s="6" t="s">
        <v>40</v>
      </c>
      <c r="H3772" s="4"/>
      <c r="I3772" s="5" t="s">
        <v>22</v>
      </c>
      <c r="J3772" s="5" t="s">
        <v>206</v>
      </c>
      <c r="K3772" s="5" t="s">
        <v>152</v>
      </c>
      <c r="L3772" s="5"/>
      <c r="M3772" s="5" t="s">
        <v>207</v>
      </c>
      <c r="N3772" s="5" t="s">
        <v>207</v>
      </c>
      <c r="O3772" s="5" t="s">
        <v>98</v>
      </c>
      <c r="P3772" s="5"/>
      <c r="Q3772" s="5" t="s">
        <v>208</v>
      </c>
    </row>
    <row r="3773" spans="2:17" x14ac:dyDescent="0.2">
      <c r="B3773" s="5" t="s">
        <v>92</v>
      </c>
      <c r="C3773" s="6" t="s">
        <v>13587</v>
      </c>
      <c r="D3773" s="4">
        <v>36</v>
      </c>
      <c r="E3773" s="5" t="s">
        <v>24</v>
      </c>
      <c r="F3773" s="5" t="s">
        <v>253</v>
      </c>
      <c r="G3773" s="6" t="s">
        <v>40</v>
      </c>
      <c r="H3773" s="4"/>
      <c r="I3773" s="5"/>
      <c r="J3773" s="5" t="s">
        <v>254</v>
      </c>
      <c r="K3773" s="5" t="s">
        <v>255</v>
      </c>
      <c r="L3773" s="5"/>
      <c r="M3773" s="5" t="s">
        <v>256</v>
      </c>
      <c r="N3773" s="5" t="s">
        <v>256</v>
      </c>
      <c r="O3773" s="5" t="s">
        <v>107</v>
      </c>
      <c r="P3773" s="5"/>
      <c r="Q3773" s="5" t="s">
        <v>257</v>
      </c>
    </row>
    <row r="3774" spans="2:17" x14ac:dyDescent="0.2">
      <c r="B3774" s="5" t="s">
        <v>544</v>
      </c>
      <c r="C3774" s="6" t="s">
        <v>13587</v>
      </c>
      <c r="D3774" s="4">
        <v>119</v>
      </c>
      <c r="E3774" s="5" t="s">
        <v>20</v>
      </c>
      <c r="F3774" s="5" t="s">
        <v>1042</v>
      </c>
      <c r="G3774" s="6" t="s">
        <v>40</v>
      </c>
      <c r="H3774" s="4"/>
      <c r="I3774" s="5" t="s">
        <v>22</v>
      </c>
      <c r="J3774" s="5" t="s">
        <v>1042</v>
      </c>
      <c r="K3774" s="5" t="s">
        <v>842</v>
      </c>
      <c r="L3774" s="5"/>
      <c r="M3774" s="5" t="s">
        <v>1043</v>
      </c>
      <c r="N3774" s="5" t="s">
        <v>1043</v>
      </c>
      <c r="O3774" s="5" t="s">
        <v>588</v>
      </c>
      <c r="P3774" s="5"/>
      <c r="Q3774" s="5" t="s">
        <v>1044</v>
      </c>
    </row>
    <row r="3775" spans="2:17" x14ac:dyDescent="0.2">
      <c r="B3775" s="5" t="s">
        <v>544</v>
      </c>
      <c r="C3775" s="6" t="s">
        <v>13587</v>
      </c>
      <c r="D3775" s="4">
        <v>121</v>
      </c>
      <c r="E3775" s="5" t="s">
        <v>13</v>
      </c>
      <c r="F3775" s="5" t="s">
        <v>1009</v>
      </c>
      <c r="G3775" s="6" t="s">
        <v>40</v>
      </c>
      <c r="H3775" s="4"/>
      <c r="I3775" s="5"/>
      <c r="J3775" s="5" t="s">
        <v>1010</v>
      </c>
      <c r="K3775" s="5" t="s">
        <v>874</v>
      </c>
      <c r="L3775" s="5"/>
      <c r="M3775" s="5" t="s">
        <v>197</v>
      </c>
      <c r="N3775" s="5" t="s">
        <v>197</v>
      </c>
      <c r="O3775" s="5" t="s">
        <v>623</v>
      </c>
      <c r="P3775" s="5"/>
      <c r="Q3775" s="5" t="s">
        <v>1011</v>
      </c>
    </row>
    <row r="3776" spans="2:17" x14ac:dyDescent="0.2">
      <c r="B3776" s="5" t="s">
        <v>544</v>
      </c>
      <c r="C3776" s="6" t="s">
        <v>13587</v>
      </c>
      <c r="D3776" s="4">
        <v>152</v>
      </c>
      <c r="E3776" s="5" t="s">
        <v>13</v>
      </c>
      <c r="F3776" s="5" t="s">
        <v>1009</v>
      </c>
      <c r="G3776" s="6" t="s">
        <v>40</v>
      </c>
      <c r="H3776" s="4"/>
      <c r="I3776" s="5"/>
      <c r="J3776" s="5" t="s">
        <v>1010</v>
      </c>
      <c r="K3776" s="5" t="s">
        <v>874</v>
      </c>
      <c r="L3776" s="5"/>
      <c r="M3776" s="5" t="s">
        <v>197</v>
      </c>
      <c r="N3776" s="5" t="s">
        <v>1012</v>
      </c>
      <c r="O3776" s="5" t="s">
        <v>623</v>
      </c>
      <c r="P3776" s="5"/>
      <c r="Q3776" s="5" t="s">
        <v>1013</v>
      </c>
    </row>
    <row r="3777" spans="2:17" x14ac:dyDescent="0.2">
      <c r="B3777" s="5" t="s">
        <v>544</v>
      </c>
      <c r="C3777" s="6" t="s">
        <v>13587</v>
      </c>
      <c r="D3777" s="4">
        <v>164</v>
      </c>
      <c r="E3777" s="5" t="s">
        <v>82</v>
      </c>
      <c r="F3777" s="5" t="s">
        <v>897</v>
      </c>
      <c r="G3777" s="6" t="s">
        <v>40</v>
      </c>
      <c r="H3777" s="4"/>
      <c r="I3777" s="5"/>
      <c r="J3777" s="5" t="s">
        <v>898</v>
      </c>
      <c r="K3777" s="5" t="s">
        <v>83</v>
      </c>
      <c r="L3777" s="5"/>
      <c r="M3777" s="5" t="s">
        <v>411</v>
      </c>
      <c r="N3777" s="5" t="s">
        <v>138</v>
      </c>
      <c r="O3777" s="5" t="s">
        <v>683</v>
      </c>
      <c r="P3777" s="5"/>
      <c r="Q3777" s="5" t="s">
        <v>899</v>
      </c>
    </row>
    <row r="3778" spans="2:17" x14ac:dyDescent="0.2">
      <c r="B3778" s="5" t="s">
        <v>544</v>
      </c>
      <c r="C3778" s="6" t="s">
        <v>13587</v>
      </c>
      <c r="D3778" s="4">
        <v>172</v>
      </c>
      <c r="E3778" s="5" t="s">
        <v>20</v>
      </c>
      <c r="F3778" s="5" t="s">
        <v>880</v>
      </c>
      <c r="G3778" s="6" t="s">
        <v>40</v>
      </c>
      <c r="H3778" s="4"/>
      <c r="I3778" s="5" t="s">
        <v>22</v>
      </c>
      <c r="J3778" s="5" t="s">
        <v>881</v>
      </c>
      <c r="K3778" s="5" t="s">
        <v>882</v>
      </c>
      <c r="L3778" s="5"/>
      <c r="M3778" s="5" t="s">
        <v>411</v>
      </c>
      <c r="N3778" s="5" t="s">
        <v>138</v>
      </c>
      <c r="O3778" s="5" t="s">
        <v>657</v>
      </c>
      <c r="P3778" s="5"/>
      <c r="Q3778" s="5" t="s">
        <v>883</v>
      </c>
    </row>
    <row r="3779" spans="2:17" x14ac:dyDescent="0.2">
      <c r="B3779" s="5" t="s">
        <v>544</v>
      </c>
      <c r="C3779" s="6" t="s">
        <v>13587</v>
      </c>
      <c r="D3779" s="4">
        <v>244</v>
      </c>
      <c r="E3779" s="5" t="s">
        <v>35</v>
      </c>
      <c r="F3779" s="5" t="s">
        <v>629</v>
      </c>
      <c r="G3779" s="6" t="s">
        <v>40</v>
      </c>
      <c r="H3779" s="4"/>
      <c r="I3779" s="5"/>
      <c r="J3779" s="5" t="s">
        <v>630</v>
      </c>
      <c r="K3779" s="5" t="s">
        <v>631</v>
      </c>
      <c r="L3779" s="5"/>
      <c r="M3779" s="5" t="s">
        <v>96</v>
      </c>
      <c r="N3779" s="5" t="s">
        <v>96</v>
      </c>
      <c r="O3779" s="5" t="s">
        <v>623</v>
      </c>
      <c r="P3779" s="5"/>
      <c r="Q3779" s="5" t="s">
        <v>632</v>
      </c>
    </row>
    <row r="3780" spans="2:17" x14ac:dyDescent="0.2">
      <c r="B3780" s="5" t="s">
        <v>544</v>
      </c>
      <c r="C3780" s="6" t="s">
        <v>13587</v>
      </c>
      <c r="D3780" s="4">
        <v>255</v>
      </c>
      <c r="E3780" s="5" t="s">
        <v>13</v>
      </c>
      <c r="F3780" s="5" t="s">
        <v>612</v>
      </c>
      <c r="G3780" s="6" t="s">
        <v>40</v>
      </c>
      <c r="H3780" s="4"/>
      <c r="I3780" s="5"/>
      <c r="J3780" s="5" t="s">
        <v>613</v>
      </c>
      <c r="K3780" s="5" t="s">
        <v>587</v>
      </c>
      <c r="L3780" s="5"/>
      <c r="M3780" s="5" t="s">
        <v>284</v>
      </c>
      <c r="N3780" s="5" t="s">
        <v>284</v>
      </c>
      <c r="O3780" s="5" t="s">
        <v>588</v>
      </c>
      <c r="P3780" s="5"/>
      <c r="Q3780" s="5" t="s">
        <v>614</v>
      </c>
    </row>
    <row r="3781" spans="2:17" x14ac:dyDescent="0.2">
      <c r="B3781" s="5" t="s">
        <v>1164</v>
      </c>
      <c r="C3781" s="6" t="s">
        <v>13587</v>
      </c>
      <c r="D3781" s="4">
        <v>372</v>
      </c>
      <c r="E3781" s="5" t="s">
        <v>24</v>
      </c>
      <c r="F3781" s="5" t="s">
        <v>1374</v>
      </c>
      <c r="G3781" s="6" t="s">
        <v>40</v>
      </c>
      <c r="H3781" s="4"/>
      <c r="I3781" s="5"/>
      <c r="J3781" s="5" t="s">
        <v>1375</v>
      </c>
      <c r="K3781" s="5" t="s">
        <v>1376</v>
      </c>
      <c r="L3781" s="5"/>
      <c r="M3781" s="5" t="s">
        <v>1377</v>
      </c>
      <c r="N3781" s="5" t="s">
        <v>331</v>
      </c>
      <c r="O3781" s="5" t="s">
        <v>1180</v>
      </c>
      <c r="P3781" s="5"/>
      <c r="Q3781" s="5" t="s">
        <v>1378</v>
      </c>
    </row>
    <row r="3782" spans="2:17" x14ac:dyDescent="0.2">
      <c r="B3782" s="5" t="s">
        <v>1164</v>
      </c>
      <c r="C3782" s="6" t="s">
        <v>13587</v>
      </c>
      <c r="D3782" s="4">
        <v>410</v>
      </c>
      <c r="E3782" s="5" t="s">
        <v>35</v>
      </c>
      <c r="F3782" s="5" t="s">
        <v>1260</v>
      </c>
      <c r="G3782" s="6" t="s">
        <v>40</v>
      </c>
      <c r="H3782" s="4"/>
      <c r="I3782" s="5"/>
      <c r="J3782" s="5" t="s">
        <v>1261</v>
      </c>
      <c r="K3782" s="5" t="s">
        <v>1172</v>
      </c>
      <c r="L3782" s="5"/>
      <c r="M3782" s="5" t="s">
        <v>1262</v>
      </c>
      <c r="N3782" s="5" t="s">
        <v>1263</v>
      </c>
      <c r="O3782" s="5" t="s">
        <v>1173</v>
      </c>
      <c r="P3782" s="5"/>
      <c r="Q3782" s="5" t="s">
        <v>1264</v>
      </c>
    </row>
    <row r="3783" spans="2:17" x14ac:dyDescent="0.2">
      <c r="B3783" s="5" t="s">
        <v>1164</v>
      </c>
      <c r="C3783" s="6" t="s">
        <v>13587</v>
      </c>
      <c r="D3783" s="4">
        <v>420</v>
      </c>
      <c r="E3783" s="5" t="s">
        <v>13</v>
      </c>
      <c r="F3783" s="5" t="s">
        <v>1216</v>
      </c>
      <c r="G3783" s="6" t="s">
        <v>40</v>
      </c>
      <c r="H3783" s="4"/>
      <c r="I3783" s="5"/>
      <c r="J3783" s="5" t="s">
        <v>1217</v>
      </c>
      <c r="K3783" s="5" t="s">
        <v>1174</v>
      </c>
      <c r="L3783" s="5"/>
      <c r="M3783" s="5" t="s">
        <v>1218</v>
      </c>
      <c r="N3783" s="5" t="s">
        <v>1218</v>
      </c>
      <c r="O3783" s="5" t="s">
        <v>1173</v>
      </c>
      <c r="P3783" s="5"/>
      <c r="Q3783" s="5" t="s">
        <v>1219</v>
      </c>
    </row>
    <row r="3784" spans="2:17" x14ac:dyDescent="0.2">
      <c r="B3784" s="5" t="s">
        <v>1906</v>
      </c>
      <c r="C3784" s="6" t="s">
        <v>13587</v>
      </c>
      <c r="D3784" s="4">
        <v>528</v>
      </c>
      <c r="E3784" s="5" t="s">
        <v>15</v>
      </c>
      <c r="F3784" s="5" t="s">
        <v>2256</v>
      </c>
      <c r="G3784" s="6" t="s">
        <v>40</v>
      </c>
      <c r="H3784" s="4"/>
      <c r="I3784" s="5"/>
      <c r="J3784" s="5" t="s">
        <v>2257</v>
      </c>
      <c r="K3784" s="5" t="s">
        <v>1956</v>
      </c>
      <c r="L3784" s="5"/>
      <c r="M3784" s="5" t="s">
        <v>1685</v>
      </c>
      <c r="N3784" s="5" t="s">
        <v>2258</v>
      </c>
      <c r="O3784" s="5" t="s">
        <v>1920</v>
      </c>
      <c r="P3784" s="5"/>
      <c r="Q3784" s="5" t="s">
        <v>2259</v>
      </c>
    </row>
    <row r="3785" spans="2:17" x14ac:dyDescent="0.2">
      <c r="B3785" s="5" t="s">
        <v>1906</v>
      </c>
      <c r="C3785" s="6" t="s">
        <v>13587</v>
      </c>
      <c r="D3785" s="4">
        <v>597</v>
      </c>
      <c r="E3785" s="5" t="s">
        <v>20</v>
      </c>
      <c r="F3785" s="5" t="s">
        <v>1942</v>
      </c>
      <c r="G3785" s="6" t="s">
        <v>40</v>
      </c>
      <c r="H3785" s="4"/>
      <c r="I3785" s="5" t="s">
        <v>22</v>
      </c>
      <c r="J3785" s="5" t="s">
        <v>1943</v>
      </c>
      <c r="K3785" s="5" t="s">
        <v>1944</v>
      </c>
      <c r="L3785" s="5"/>
      <c r="M3785" s="5" t="s">
        <v>312</v>
      </c>
      <c r="N3785" s="5" t="s">
        <v>296</v>
      </c>
      <c r="O3785" s="5" t="s">
        <v>1945</v>
      </c>
      <c r="P3785" s="5"/>
      <c r="Q3785" s="5" t="s">
        <v>1946</v>
      </c>
    </row>
    <row r="3786" spans="2:17" x14ac:dyDescent="0.2">
      <c r="B3786" s="5" t="s">
        <v>2292</v>
      </c>
      <c r="C3786" s="6" t="s">
        <v>13587</v>
      </c>
      <c r="D3786" s="4">
        <v>644</v>
      </c>
      <c r="E3786" s="5" t="s">
        <v>13</v>
      </c>
      <c r="F3786" s="5" t="s">
        <v>2413</v>
      </c>
      <c r="G3786" s="6" t="s">
        <v>40</v>
      </c>
      <c r="H3786" s="4"/>
      <c r="I3786" s="5"/>
      <c r="J3786" s="5" t="s">
        <v>2414</v>
      </c>
      <c r="K3786" s="5" t="s">
        <v>2293</v>
      </c>
      <c r="L3786" s="5"/>
      <c r="M3786" s="5" t="s">
        <v>224</v>
      </c>
      <c r="N3786" s="5" t="s">
        <v>2415</v>
      </c>
      <c r="O3786" s="5" t="s">
        <v>2312</v>
      </c>
      <c r="P3786" s="5"/>
      <c r="Q3786" s="5" t="s">
        <v>2416</v>
      </c>
    </row>
    <row r="3787" spans="2:17" x14ac:dyDescent="0.2">
      <c r="B3787" s="5" t="s">
        <v>2292</v>
      </c>
      <c r="C3787" s="6" t="s">
        <v>13587</v>
      </c>
      <c r="D3787" s="4">
        <v>683</v>
      </c>
      <c r="E3787" s="5" t="s">
        <v>20</v>
      </c>
      <c r="F3787" s="5" t="s">
        <v>2409</v>
      </c>
      <c r="G3787" s="6" t="s">
        <v>40</v>
      </c>
      <c r="H3787" s="4"/>
      <c r="I3787" s="5" t="s">
        <v>22</v>
      </c>
      <c r="J3787" s="5" t="s">
        <v>2410</v>
      </c>
      <c r="K3787" s="5" t="s">
        <v>2293</v>
      </c>
      <c r="L3787" s="5"/>
      <c r="M3787" s="5" t="s">
        <v>2411</v>
      </c>
      <c r="N3787" s="5" t="s">
        <v>489</v>
      </c>
      <c r="O3787" s="5" t="s">
        <v>2312</v>
      </c>
      <c r="P3787" s="5"/>
      <c r="Q3787" s="5" t="s">
        <v>2412</v>
      </c>
    </row>
    <row r="3788" spans="2:17" x14ac:dyDescent="0.2">
      <c r="B3788" s="5" t="s">
        <v>2535</v>
      </c>
      <c r="C3788" s="6" t="s">
        <v>13587</v>
      </c>
      <c r="D3788" s="4">
        <v>719</v>
      </c>
      <c r="E3788" s="5" t="s">
        <v>20</v>
      </c>
      <c r="F3788" s="5" t="s">
        <v>2716</v>
      </c>
      <c r="G3788" s="6" t="s">
        <v>40</v>
      </c>
      <c r="H3788" s="4"/>
      <c r="I3788" s="5" t="s">
        <v>22</v>
      </c>
      <c r="J3788" s="5" t="s">
        <v>2717</v>
      </c>
      <c r="K3788" s="5" t="s">
        <v>2718</v>
      </c>
      <c r="L3788" s="5" t="s">
        <v>2719</v>
      </c>
      <c r="M3788" s="5" t="s">
        <v>2198</v>
      </c>
      <c r="N3788" s="5" t="s">
        <v>2199</v>
      </c>
      <c r="O3788" s="5" t="s">
        <v>2541</v>
      </c>
      <c r="P3788" s="5"/>
      <c r="Q3788" s="5" t="s">
        <v>2720</v>
      </c>
    </row>
    <row r="3789" spans="2:17" x14ac:dyDescent="0.2">
      <c r="B3789" s="5" t="s">
        <v>2758</v>
      </c>
      <c r="C3789" s="6" t="s">
        <v>13587</v>
      </c>
      <c r="D3789" s="4">
        <v>782</v>
      </c>
      <c r="E3789" s="5" t="s">
        <v>13</v>
      </c>
      <c r="F3789" s="5" t="s">
        <v>3476</v>
      </c>
      <c r="G3789" s="6" t="s">
        <v>40</v>
      </c>
      <c r="H3789" s="4"/>
      <c r="I3789" s="5"/>
      <c r="J3789" s="5" t="s">
        <v>3477</v>
      </c>
      <c r="K3789" s="5" t="s">
        <v>2763</v>
      </c>
      <c r="L3789" s="5"/>
      <c r="M3789" s="5" t="s">
        <v>3478</v>
      </c>
      <c r="N3789" s="5" t="s">
        <v>3478</v>
      </c>
      <c r="O3789" s="5" t="s">
        <v>2762</v>
      </c>
      <c r="P3789" s="5" t="s">
        <v>2804</v>
      </c>
      <c r="Q3789" s="5" t="s">
        <v>3479</v>
      </c>
    </row>
    <row r="3790" spans="2:17" x14ac:dyDescent="0.2">
      <c r="B3790" s="5" t="s">
        <v>2758</v>
      </c>
      <c r="C3790" s="6" t="s">
        <v>13587</v>
      </c>
      <c r="D3790" s="4">
        <v>932</v>
      </c>
      <c r="E3790" s="5" t="s">
        <v>24</v>
      </c>
      <c r="F3790" s="5" t="s">
        <v>2930</v>
      </c>
      <c r="G3790" s="6" t="s">
        <v>40</v>
      </c>
      <c r="H3790" s="4"/>
      <c r="I3790" s="5"/>
      <c r="J3790" s="5" t="s">
        <v>2930</v>
      </c>
      <c r="K3790" s="5" t="s">
        <v>2771</v>
      </c>
      <c r="L3790" s="5"/>
      <c r="M3790" s="5" t="s">
        <v>295</v>
      </c>
      <c r="N3790" s="5" t="s">
        <v>295</v>
      </c>
      <c r="O3790" s="5" t="s">
        <v>2762</v>
      </c>
      <c r="P3790" s="5"/>
      <c r="Q3790" s="5" t="s">
        <v>2931</v>
      </c>
    </row>
    <row r="3791" spans="2:17" x14ac:dyDescent="0.2">
      <c r="B3791" s="5" t="s">
        <v>2758</v>
      </c>
      <c r="C3791" s="6" t="s">
        <v>13587</v>
      </c>
      <c r="D3791" s="4">
        <v>935</v>
      </c>
      <c r="E3791" s="5" t="s">
        <v>20</v>
      </c>
      <c r="F3791" s="5" t="s">
        <v>2927</v>
      </c>
      <c r="G3791" s="6" t="s">
        <v>40</v>
      </c>
      <c r="H3791" s="4"/>
      <c r="I3791" s="5" t="s">
        <v>22</v>
      </c>
      <c r="J3791" s="5" t="s">
        <v>2928</v>
      </c>
      <c r="K3791" s="5" t="s">
        <v>2771</v>
      </c>
      <c r="L3791" s="5"/>
      <c r="M3791" s="5" t="s">
        <v>296</v>
      </c>
      <c r="N3791" s="5" t="s">
        <v>302</v>
      </c>
      <c r="O3791" s="5" t="s">
        <v>2762</v>
      </c>
      <c r="P3791" s="5"/>
      <c r="Q3791" s="5" t="s">
        <v>2929</v>
      </c>
    </row>
    <row r="3792" spans="2:17" x14ac:dyDescent="0.2">
      <c r="B3792" s="5" t="s">
        <v>2758</v>
      </c>
      <c r="C3792" s="6" t="s">
        <v>13587</v>
      </c>
      <c r="D3792" s="4">
        <v>951</v>
      </c>
      <c r="E3792" s="5" t="s">
        <v>13</v>
      </c>
      <c r="F3792" s="5" t="s">
        <v>2882</v>
      </c>
      <c r="G3792" s="6" t="s">
        <v>40</v>
      </c>
      <c r="H3792" s="4"/>
      <c r="I3792" s="5"/>
      <c r="J3792" s="5"/>
      <c r="K3792" s="5" t="s">
        <v>2781</v>
      </c>
      <c r="L3792" s="5"/>
      <c r="M3792" s="5" t="s">
        <v>1262</v>
      </c>
      <c r="N3792" s="5" t="s">
        <v>1262</v>
      </c>
      <c r="O3792" s="5" t="s">
        <v>2762</v>
      </c>
      <c r="P3792" s="5"/>
      <c r="Q3792" s="5" t="s">
        <v>2883</v>
      </c>
    </row>
    <row r="3793" spans="2:17" x14ac:dyDescent="0.2">
      <c r="B3793" s="5" t="s">
        <v>544</v>
      </c>
      <c r="C3793" s="6" t="s">
        <v>13587</v>
      </c>
      <c r="D3793" s="4">
        <v>295</v>
      </c>
      <c r="E3793" s="5" t="s">
        <v>35</v>
      </c>
      <c r="F3793" s="5" t="s">
        <v>1067</v>
      </c>
      <c r="G3793" s="6" t="s">
        <v>275</v>
      </c>
      <c r="H3793" s="4"/>
      <c r="I3793" s="5"/>
      <c r="J3793" s="5" t="s">
        <v>1068</v>
      </c>
      <c r="K3793" s="5" t="s">
        <v>831</v>
      </c>
      <c r="L3793" s="5"/>
      <c r="M3793" s="5" t="s">
        <v>1062</v>
      </c>
      <c r="N3793" s="5" t="s">
        <v>1062</v>
      </c>
      <c r="O3793" s="5" t="s">
        <v>816</v>
      </c>
      <c r="P3793" s="5"/>
      <c r="Q3793" s="5" t="s">
        <v>1069</v>
      </c>
    </row>
    <row r="3794" spans="2:17" x14ac:dyDescent="0.2">
      <c r="B3794" s="5" t="s">
        <v>544</v>
      </c>
      <c r="C3794" s="6" t="s">
        <v>13587</v>
      </c>
      <c r="D3794" s="4">
        <v>167</v>
      </c>
      <c r="E3794" s="5" t="s">
        <v>20</v>
      </c>
      <c r="F3794" s="5" t="s">
        <v>689</v>
      </c>
      <c r="G3794" s="6" t="s">
        <v>64</v>
      </c>
      <c r="H3794" s="4"/>
      <c r="I3794" s="5" t="s">
        <v>22</v>
      </c>
      <c r="J3794" s="5" t="s">
        <v>884</v>
      </c>
      <c r="K3794" s="5" t="s">
        <v>691</v>
      </c>
      <c r="L3794" s="5"/>
      <c r="M3794" s="5" t="s">
        <v>411</v>
      </c>
      <c r="N3794" s="5" t="s">
        <v>138</v>
      </c>
      <c r="O3794" s="5" t="s">
        <v>683</v>
      </c>
      <c r="P3794" s="5"/>
      <c r="Q3794" s="5" t="s">
        <v>885</v>
      </c>
    </row>
    <row r="3795" spans="2:17" x14ac:dyDescent="0.2">
      <c r="B3795" s="5" t="s">
        <v>544</v>
      </c>
      <c r="C3795" s="6" t="s">
        <v>13587</v>
      </c>
      <c r="D3795" s="4">
        <v>194</v>
      </c>
      <c r="E3795" s="5" t="s">
        <v>20</v>
      </c>
      <c r="F3795" s="5" t="s">
        <v>689</v>
      </c>
      <c r="G3795" s="6" t="s">
        <v>64</v>
      </c>
      <c r="H3795" s="4"/>
      <c r="I3795" s="5" t="s">
        <v>22</v>
      </c>
      <c r="J3795" s="5" t="s">
        <v>690</v>
      </c>
      <c r="K3795" s="5" t="s">
        <v>691</v>
      </c>
      <c r="L3795" s="5"/>
      <c r="M3795" s="5" t="s">
        <v>336</v>
      </c>
      <c r="N3795" s="5" t="s">
        <v>337</v>
      </c>
      <c r="O3795" s="5" t="s">
        <v>683</v>
      </c>
      <c r="P3795" s="5"/>
      <c r="Q3795" s="5" t="s">
        <v>692</v>
      </c>
    </row>
    <row r="3796" spans="2:17" x14ac:dyDescent="0.2">
      <c r="B3796" s="5" t="s">
        <v>2535</v>
      </c>
      <c r="C3796" s="6" t="s">
        <v>13587</v>
      </c>
      <c r="D3796" s="4">
        <v>738</v>
      </c>
      <c r="E3796" s="5" t="s">
        <v>56</v>
      </c>
      <c r="F3796" s="5" t="s">
        <v>2615</v>
      </c>
      <c r="G3796" s="6" t="s">
        <v>64</v>
      </c>
      <c r="H3796" s="4"/>
      <c r="I3796" s="5"/>
      <c r="J3796" s="5" t="s">
        <v>2616</v>
      </c>
      <c r="K3796" s="5" t="s">
        <v>2543</v>
      </c>
      <c r="L3796" s="5"/>
      <c r="M3796" s="5" t="s">
        <v>1447</v>
      </c>
      <c r="N3796" s="5" t="s">
        <v>1448</v>
      </c>
      <c r="O3796" s="5" t="s">
        <v>2536</v>
      </c>
      <c r="P3796" s="5"/>
      <c r="Q3796" s="5" t="s">
        <v>2617</v>
      </c>
    </row>
    <row r="3797" spans="2:17" x14ac:dyDescent="0.2">
      <c r="B3797" s="5" t="s">
        <v>278</v>
      </c>
      <c r="C3797" s="6" t="s">
        <v>13587</v>
      </c>
      <c r="D3797" s="4">
        <v>44</v>
      </c>
      <c r="E3797" s="5" t="s">
        <v>20</v>
      </c>
      <c r="F3797" s="5" t="s">
        <v>466</v>
      </c>
      <c r="G3797" s="6" t="s">
        <v>26</v>
      </c>
      <c r="H3797" s="4"/>
      <c r="I3797" s="5" t="s">
        <v>22</v>
      </c>
      <c r="J3797" s="5" t="s">
        <v>467</v>
      </c>
      <c r="K3797" s="5"/>
      <c r="L3797" s="5"/>
      <c r="M3797" s="5" t="s">
        <v>468</v>
      </c>
      <c r="N3797" s="5" t="s">
        <v>185</v>
      </c>
      <c r="O3797" s="5" t="s">
        <v>372</v>
      </c>
      <c r="P3797" s="5"/>
      <c r="Q3797" s="5" t="s">
        <v>286</v>
      </c>
    </row>
    <row r="3798" spans="2:17" x14ac:dyDescent="0.2">
      <c r="B3798" s="5" t="s">
        <v>544</v>
      </c>
      <c r="C3798" s="6" t="s">
        <v>13587</v>
      </c>
      <c r="D3798" s="4">
        <v>122</v>
      </c>
      <c r="E3798" s="5" t="s">
        <v>35</v>
      </c>
      <c r="F3798" s="5" t="s">
        <v>1023</v>
      </c>
      <c r="G3798" s="6" t="s">
        <v>26</v>
      </c>
      <c r="H3798" s="4"/>
      <c r="I3798" s="5"/>
      <c r="J3798" s="5" t="s">
        <v>1024</v>
      </c>
      <c r="K3798" s="5" t="s">
        <v>811</v>
      </c>
      <c r="L3798" s="5"/>
      <c r="M3798" s="5" t="s">
        <v>197</v>
      </c>
      <c r="N3798" s="5" t="s">
        <v>197</v>
      </c>
      <c r="O3798" s="5" t="s">
        <v>623</v>
      </c>
      <c r="P3798" s="5"/>
      <c r="Q3798" s="5" t="s">
        <v>1025</v>
      </c>
    </row>
    <row r="3799" spans="2:17" x14ac:dyDescent="0.2">
      <c r="B3799" s="5" t="s">
        <v>544</v>
      </c>
      <c r="C3799" s="6" t="s">
        <v>13587</v>
      </c>
      <c r="D3799" s="4">
        <v>153</v>
      </c>
      <c r="E3799" s="5" t="s">
        <v>35</v>
      </c>
      <c r="F3799" s="5" t="s">
        <v>950</v>
      </c>
      <c r="G3799" s="6" t="s">
        <v>26</v>
      </c>
      <c r="H3799" s="4"/>
      <c r="I3799" s="5"/>
      <c r="J3799" s="5" t="s">
        <v>951</v>
      </c>
      <c r="K3799" s="5" t="s">
        <v>631</v>
      </c>
      <c r="L3799" s="5"/>
      <c r="M3799" s="5" t="s">
        <v>468</v>
      </c>
      <c r="N3799" s="5" t="s">
        <v>468</v>
      </c>
      <c r="O3799" s="5" t="s">
        <v>623</v>
      </c>
      <c r="P3799" s="5"/>
      <c r="Q3799" s="5" t="s">
        <v>952</v>
      </c>
    </row>
    <row r="3800" spans="2:17" x14ac:dyDescent="0.2">
      <c r="B3800" s="5" t="s">
        <v>544</v>
      </c>
      <c r="C3800" s="6" t="s">
        <v>13587</v>
      </c>
      <c r="D3800" s="4">
        <v>160</v>
      </c>
      <c r="E3800" s="5" t="s">
        <v>35</v>
      </c>
      <c r="F3800" s="5" t="s">
        <v>928</v>
      </c>
      <c r="G3800" s="6" t="s">
        <v>26</v>
      </c>
      <c r="H3800" s="4"/>
      <c r="I3800" s="5"/>
      <c r="J3800" s="5" t="s">
        <v>929</v>
      </c>
      <c r="K3800" s="5" t="s">
        <v>631</v>
      </c>
      <c r="L3800" s="5"/>
      <c r="M3800" s="5" t="s">
        <v>428</v>
      </c>
      <c r="N3800" s="5" t="s">
        <v>428</v>
      </c>
      <c r="O3800" s="5" t="s">
        <v>623</v>
      </c>
      <c r="P3800" s="5"/>
      <c r="Q3800" s="5" t="s">
        <v>930</v>
      </c>
    </row>
    <row r="3801" spans="2:17" x14ac:dyDescent="0.2">
      <c r="B3801" s="5" t="s">
        <v>544</v>
      </c>
      <c r="C3801" s="6" t="s">
        <v>13587</v>
      </c>
      <c r="D3801" s="4">
        <v>171</v>
      </c>
      <c r="E3801" s="5" t="s">
        <v>35</v>
      </c>
      <c r="F3801" s="5" t="s">
        <v>906</v>
      </c>
      <c r="G3801" s="6" t="s">
        <v>26</v>
      </c>
      <c r="H3801" s="4"/>
      <c r="I3801" s="5"/>
      <c r="J3801" s="5" t="s">
        <v>907</v>
      </c>
      <c r="K3801" s="5" t="s">
        <v>631</v>
      </c>
      <c r="L3801" s="5"/>
      <c r="M3801" s="5" t="s">
        <v>411</v>
      </c>
      <c r="N3801" s="5" t="s">
        <v>138</v>
      </c>
      <c r="O3801" s="5" t="s">
        <v>623</v>
      </c>
      <c r="P3801" s="5"/>
      <c r="Q3801" s="5" t="s">
        <v>908</v>
      </c>
    </row>
    <row r="3802" spans="2:17" x14ac:dyDescent="0.2">
      <c r="B3802" s="5" t="s">
        <v>544</v>
      </c>
      <c r="C3802" s="6" t="s">
        <v>13587</v>
      </c>
      <c r="D3802" s="4">
        <v>186</v>
      </c>
      <c r="E3802" s="5" t="s">
        <v>20</v>
      </c>
      <c r="F3802" s="5" t="s">
        <v>787</v>
      </c>
      <c r="G3802" s="6" t="s">
        <v>26</v>
      </c>
      <c r="H3802" s="4"/>
      <c r="I3802" s="5" t="s">
        <v>22</v>
      </c>
      <c r="J3802" s="5" t="s">
        <v>788</v>
      </c>
      <c r="K3802" s="5" t="s">
        <v>635</v>
      </c>
      <c r="L3802" s="5"/>
      <c r="M3802" s="5" t="s">
        <v>341</v>
      </c>
      <c r="N3802" s="5" t="s">
        <v>341</v>
      </c>
      <c r="O3802" s="5" t="s">
        <v>549</v>
      </c>
      <c r="P3802" s="5"/>
      <c r="Q3802" s="5" t="s">
        <v>789</v>
      </c>
    </row>
    <row r="3803" spans="2:17" x14ac:dyDescent="0.2">
      <c r="B3803" s="5" t="s">
        <v>1164</v>
      </c>
      <c r="C3803" s="6" t="s">
        <v>13587</v>
      </c>
      <c r="D3803" s="4">
        <v>387</v>
      </c>
      <c r="E3803" s="5" t="s">
        <v>24</v>
      </c>
      <c r="F3803" s="5" t="s">
        <v>1298</v>
      </c>
      <c r="G3803" s="6" t="s">
        <v>26</v>
      </c>
      <c r="H3803" s="4"/>
      <c r="I3803" s="5"/>
      <c r="J3803" s="5" t="s">
        <v>1299</v>
      </c>
      <c r="K3803" s="5" t="s">
        <v>1197</v>
      </c>
      <c r="L3803" s="5"/>
      <c r="M3803" s="5" t="s">
        <v>97</v>
      </c>
      <c r="N3803" s="5" t="s">
        <v>97</v>
      </c>
      <c r="O3803" s="5" t="s">
        <v>1167</v>
      </c>
      <c r="P3803" s="5"/>
      <c r="Q3803" s="5" t="s">
        <v>1300</v>
      </c>
    </row>
    <row r="3804" spans="2:17" x14ac:dyDescent="0.2">
      <c r="B3804" s="5" t="s">
        <v>1164</v>
      </c>
      <c r="C3804" s="6" t="s">
        <v>13587</v>
      </c>
      <c r="D3804" s="4">
        <v>424</v>
      </c>
      <c r="E3804" s="5" t="s">
        <v>35</v>
      </c>
      <c r="F3804" s="5" t="s">
        <v>1510</v>
      </c>
      <c r="G3804" s="6" t="s">
        <v>26</v>
      </c>
      <c r="H3804" s="4"/>
      <c r="I3804" s="5"/>
      <c r="J3804" s="5" t="s">
        <v>1511</v>
      </c>
      <c r="K3804" s="5" t="s">
        <v>1174</v>
      </c>
      <c r="L3804" s="5"/>
      <c r="M3804" s="5" t="s">
        <v>1512</v>
      </c>
      <c r="N3804" s="5" t="s">
        <v>1512</v>
      </c>
      <c r="O3804" s="5" t="s">
        <v>1173</v>
      </c>
      <c r="P3804" s="5"/>
      <c r="Q3804" s="5" t="s">
        <v>1513</v>
      </c>
    </row>
    <row r="3805" spans="2:17" x14ac:dyDescent="0.2">
      <c r="B3805" s="5" t="s">
        <v>2292</v>
      </c>
      <c r="C3805" s="6" t="s">
        <v>13587</v>
      </c>
      <c r="D3805" s="4">
        <v>645</v>
      </c>
      <c r="E3805" s="5" t="s">
        <v>13</v>
      </c>
      <c r="F3805" s="5" t="s">
        <v>2406</v>
      </c>
      <c r="G3805" s="6" t="s">
        <v>26</v>
      </c>
      <c r="H3805" s="4"/>
      <c r="I3805" s="5"/>
      <c r="J3805" s="5" t="s">
        <v>2407</v>
      </c>
      <c r="K3805" s="5" t="s">
        <v>2359</v>
      </c>
      <c r="L3805" s="5"/>
      <c r="M3805" s="5" t="s">
        <v>1618</v>
      </c>
      <c r="N3805" s="5" t="s">
        <v>1618</v>
      </c>
      <c r="O3805" s="5" t="s">
        <v>2294</v>
      </c>
      <c r="P3805" s="5"/>
      <c r="Q3805" s="5" t="s">
        <v>2408</v>
      </c>
    </row>
    <row r="3806" spans="2:17" x14ac:dyDescent="0.2">
      <c r="B3806" s="5" t="s">
        <v>2432</v>
      </c>
      <c r="C3806" s="6" t="s">
        <v>13587</v>
      </c>
      <c r="D3806" s="4">
        <v>691</v>
      </c>
      <c r="E3806" s="5" t="s">
        <v>82</v>
      </c>
      <c r="F3806" s="5" t="s">
        <v>2506</v>
      </c>
      <c r="G3806" s="6" t="s">
        <v>26</v>
      </c>
      <c r="H3806" s="4"/>
      <c r="I3806" s="5"/>
      <c r="J3806" s="5" t="s">
        <v>2506</v>
      </c>
      <c r="K3806" s="5" t="s">
        <v>2507</v>
      </c>
      <c r="L3806" s="5"/>
      <c r="M3806" s="5" t="s">
        <v>153</v>
      </c>
      <c r="N3806" s="5" t="s">
        <v>153</v>
      </c>
      <c r="O3806" s="5" t="s">
        <v>2508</v>
      </c>
      <c r="P3806" s="5"/>
      <c r="Q3806" s="5" t="s">
        <v>2509</v>
      </c>
    </row>
    <row r="3807" spans="2:17" x14ac:dyDescent="0.2">
      <c r="B3807" s="5" t="s">
        <v>2535</v>
      </c>
      <c r="C3807" s="6" t="s">
        <v>13587</v>
      </c>
      <c r="D3807" s="4">
        <v>752</v>
      </c>
      <c r="E3807" s="5" t="s">
        <v>20</v>
      </c>
      <c r="F3807" s="5" t="s">
        <v>2552</v>
      </c>
      <c r="G3807" s="6" t="s">
        <v>26</v>
      </c>
      <c r="H3807" s="4"/>
      <c r="I3807" s="5" t="s">
        <v>22</v>
      </c>
      <c r="J3807" s="5" t="s">
        <v>2553</v>
      </c>
      <c r="K3807" s="5" t="s">
        <v>2538</v>
      </c>
      <c r="L3807" s="5" t="s">
        <v>2554</v>
      </c>
      <c r="M3807" s="5" t="s">
        <v>2555</v>
      </c>
      <c r="N3807" s="5" t="s">
        <v>1226</v>
      </c>
      <c r="O3807" s="5" t="s">
        <v>2539</v>
      </c>
      <c r="P3807" s="5"/>
      <c r="Q3807" s="5" t="s">
        <v>2556</v>
      </c>
    </row>
    <row r="3808" spans="2:17" x14ac:dyDescent="0.2">
      <c r="B3808" s="5" t="s">
        <v>2535</v>
      </c>
      <c r="C3808" s="6" t="s">
        <v>13587</v>
      </c>
      <c r="D3808" s="4">
        <v>753</v>
      </c>
      <c r="E3808" s="5" t="s">
        <v>20</v>
      </c>
      <c r="F3808" s="5" t="s">
        <v>2552</v>
      </c>
      <c r="G3808" s="6" t="s">
        <v>26</v>
      </c>
      <c r="H3808" s="4"/>
      <c r="I3808" s="5" t="s">
        <v>22</v>
      </c>
      <c r="J3808" s="5" t="s">
        <v>2557</v>
      </c>
      <c r="K3808" s="5" t="s">
        <v>2538</v>
      </c>
      <c r="L3808" s="5" t="s">
        <v>2558</v>
      </c>
      <c r="M3808" s="5" t="s">
        <v>2555</v>
      </c>
      <c r="N3808" s="5" t="s">
        <v>1226</v>
      </c>
      <c r="O3808" s="5" t="s">
        <v>2539</v>
      </c>
      <c r="P3808" s="5"/>
      <c r="Q3808" s="5" t="s">
        <v>2559</v>
      </c>
    </row>
    <row r="3809" spans="2:17" x14ac:dyDescent="0.2">
      <c r="B3809" s="5" t="s">
        <v>2758</v>
      </c>
      <c r="C3809" s="6" t="s">
        <v>13587</v>
      </c>
      <c r="D3809" s="4">
        <v>877</v>
      </c>
      <c r="E3809" s="5" t="s">
        <v>20</v>
      </c>
      <c r="F3809" s="5" t="s">
        <v>3153</v>
      </c>
      <c r="G3809" s="6" t="s">
        <v>26</v>
      </c>
      <c r="H3809" s="4"/>
      <c r="I3809" s="5" t="s">
        <v>22</v>
      </c>
      <c r="J3809" s="5" t="s">
        <v>3154</v>
      </c>
      <c r="K3809" s="5" t="s">
        <v>2790</v>
      </c>
      <c r="L3809" s="5"/>
      <c r="M3809" s="5" t="s">
        <v>417</v>
      </c>
      <c r="N3809" s="5" t="s">
        <v>417</v>
      </c>
      <c r="O3809" s="5" t="s">
        <v>2762</v>
      </c>
      <c r="P3809" s="5"/>
      <c r="Q3809" s="5" t="s">
        <v>3155</v>
      </c>
    </row>
    <row r="3810" spans="2:17" x14ac:dyDescent="0.2">
      <c r="B3810" s="5" t="s">
        <v>2758</v>
      </c>
      <c r="C3810" s="6" t="s">
        <v>13587</v>
      </c>
      <c r="D3810" s="4">
        <v>880</v>
      </c>
      <c r="E3810" s="5" t="s">
        <v>24</v>
      </c>
      <c r="F3810" s="5" t="s">
        <v>3170</v>
      </c>
      <c r="G3810" s="6" t="s">
        <v>26</v>
      </c>
      <c r="H3810" s="4"/>
      <c r="I3810" s="5" t="s">
        <v>22</v>
      </c>
      <c r="J3810" s="5" t="s">
        <v>3171</v>
      </c>
      <c r="K3810" s="5" t="s">
        <v>2778</v>
      </c>
      <c r="L3810" s="5"/>
      <c r="M3810" s="5" t="s">
        <v>3162</v>
      </c>
      <c r="N3810" s="5" t="s">
        <v>3168</v>
      </c>
      <c r="O3810" s="5" t="s">
        <v>2762</v>
      </c>
      <c r="P3810" s="5"/>
      <c r="Q3810" s="5" t="s">
        <v>3172</v>
      </c>
    </row>
    <row r="3811" spans="2:17" x14ac:dyDescent="0.2">
      <c r="B3811" s="5" t="s">
        <v>2758</v>
      </c>
      <c r="C3811" s="6" t="s">
        <v>13587</v>
      </c>
      <c r="D3811" s="4">
        <v>906</v>
      </c>
      <c r="E3811" s="5" t="s">
        <v>20</v>
      </c>
      <c r="F3811" s="5" t="s">
        <v>3005</v>
      </c>
      <c r="G3811" s="6" t="s">
        <v>26</v>
      </c>
      <c r="H3811" s="4"/>
      <c r="I3811" s="5" t="s">
        <v>22</v>
      </c>
      <c r="J3811" s="5" t="s">
        <v>3006</v>
      </c>
      <c r="K3811" s="5" t="s">
        <v>2771</v>
      </c>
      <c r="L3811" s="5"/>
      <c r="M3811" s="5" t="s">
        <v>1437</v>
      </c>
      <c r="N3811" s="5" t="s">
        <v>1437</v>
      </c>
      <c r="O3811" s="5" t="s">
        <v>2762</v>
      </c>
      <c r="P3811" s="5" t="s">
        <v>3007</v>
      </c>
      <c r="Q3811" s="5" t="s">
        <v>3008</v>
      </c>
    </row>
    <row r="3812" spans="2:17" x14ac:dyDescent="0.2">
      <c r="B3812" s="5" t="s">
        <v>544</v>
      </c>
      <c r="C3812" s="6" t="s">
        <v>13587</v>
      </c>
      <c r="D3812" s="4">
        <v>154</v>
      </c>
      <c r="E3812" s="5" t="s">
        <v>24</v>
      </c>
      <c r="F3812" s="5" t="s">
        <v>943</v>
      </c>
      <c r="G3812" s="6" t="s">
        <v>52</v>
      </c>
      <c r="H3812" s="4"/>
      <c r="I3812" s="5"/>
      <c r="J3812" s="5" t="s">
        <v>944</v>
      </c>
      <c r="K3812" s="5" t="s">
        <v>709</v>
      </c>
      <c r="L3812" s="5"/>
      <c r="M3812" s="5" t="s">
        <v>468</v>
      </c>
      <c r="N3812" s="5" t="s">
        <v>468</v>
      </c>
      <c r="O3812" s="5" t="s">
        <v>549</v>
      </c>
      <c r="P3812" s="5"/>
      <c r="Q3812" s="5" t="s">
        <v>945</v>
      </c>
    </row>
    <row r="3813" spans="2:17" x14ac:dyDescent="0.2">
      <c r="B3813" s="5" t="s">
        <v>544</v>
      </c>
      <c r="C3813" s="6" t="s">
        <v>13587</v>
      </c>
      <c r="D3813" s="4">
        <v>155</v>
      </c>
      <c r="E3813" s="5" t="s">
        <v>24</v>
      </c>
      <c r="F3813" s="5" t="s">
        <v>943</v>
      </c>
      <c r="G3813" s="6" t="s">
        <v>52</v>
      </c>
      <c r="H3813" s="4"/>
      <c r="I3813" s="5"/>
      <c r="J3813" s="5" t="s">
        <v>946</v>
      </c>
      <c r="K3813" s="5" t="s">
        <v>709</v>
      </c>
      <c r="L3813" s="5"/>
      <c r="M3813" s="5" t="s">
        <v>468</v>
      </c>
      <c r="N3813" s="5" t="s">
        <v>468</v>
      </c>
      <c r="O3813" s="5" t="s">
        <v>549</v>
      </c>
      <c r="P3813" s="5"/>
      <c r="Q3813" s="5" t="s">
        <v>947</v>
      </c>
    </row>
    <row r="3814" spans="2:17" x14ac:dyDescent="0.2">
      <c r="B3814" s="5" t="s">
        <v>544</v>
      </c>
      <c r="C3814" s="6" t="s">
        <v>13587</v>
      </c>
      <c r="D3814" s="4">
        <v>156</v>
      </c>
      <c r="E3814" s="5" t="s">
        <v>24</v>
      </c>
      <c r="F3814" s="5" t="s">
        <v>943</v>
      </c>
      <c r="G3814" s="6" t="s">
        <v>52</v>
      </c>
      <c r="H3814" s="4"/>
      <c r="I3814" s="5"/>
      <c r="J3814" s="5" t="s">
        <v>948</v>
      </c>
      <c r="K3814" s="5" t="s">
        <v>709</v>
      </c>
      <c r="L3814" s="5"/>
      <c r="M3814" s="5" t="s">
        <v>468</v>
      </c>
      <c r="N3814" s="5" t="s">
        <v>468</v>
      </c>
      <c r="O3814" s="5" t="s">
        <v>549</v>
      </c>
      <c r="P3814" s="5"/>
      <c r="Q3814" s="5" t="s">
        <v>949</v>
      </c>
    </row>
    <row r="3815" spans="2:17" x14ac:dyDescent="0.2">
      <c r="B3815" s="5" t="s">
        <v>1164</v>
      </c>
      <c r="C3815" s="6" t="s">
        <v>13587</v>
      </c>
      <c r="D3815" s="4">
        <v>338</v>
      </c>
      <c r="E3815" s="5" t="s">
        <v>24</v>
      </c>
      <c r="F3815" s="5" t="s">
        <v>1563</v>
      </c>
      <c r="G3815" s="6" t="s">
        <v>52</v>
      </c>
      <c r="H3815" s="4"/>
      <c r="I3815" s="5"/>
      <c r="J3815" s="5" t="s">
        <v>1564</v>
      </c>
      <c r="K3815" s="5" t="s">
        <v>1191</v>
      </c>
      <c r="L3815" s="5"/>
      <c r="M3815" s="5" t="s">
        <v>163</v>
      </c>
      <c r="N3815" s="5" t="s">
        <v>153</v>
      </c>
      <c r="O3815" s="5" t="s">
        <v>1193</v>
      </c>
      <c r="P3815" s="5"/>
      <c r="Q3815" s="5" t="s">
        <v>1565</v>
      </c>
    </row>
    <row r="3816" spans="2:17" x14ac:dyDescent="0.2">
      <c r="B3816" s="5" t="s">
        <v>1164</v>
      </c>
      <c r="C3816" s="6" t="s">
        <v>13587</v>
      </c>
      <c r="D3816" s="4">
        <v>339</v>
      </c>
      <c r="E3816" s="5" t="s">
        <v>24</v>
      </c>
      <c r="F3816" s="5" t="s">
        <v>1563</v>
      </c>
      <c r="G3816" s="6" t="s">
        <v>52</v>
      </c>
      <c r="H3816" s="4"/>
      <c r="I3816" s="5"/>
      <c r="J3816" s="5" t="s">
        <v>1566</v>
      </c>
      <c r="K3816" s="5" t="s">
        <v>1191</v>
      </c>
      <c r="L3816" s="5"/>
      <c r="M3816" s="5" t="s">
        <v>163</v>
      </c>
      <c r="N3816" s="5" t="s">
        <v>153</v>
      </c>
      <c r="O3816" s="5" t="s">
        <v>1193</v>
      </c>
      <c r="P3816" s="5"/>
      <c r="Q3816" s="5" t="s">
        <v>1567</v>
      </c>
    </row>
    <row r="3817" spans="2:17" x14ac:dyDescent="0.2">
      <c r="B3817" s="5" t="s">
        <v>1164</v>
      </c>
      <c r="C3817" s="6" t="s">
        <v>13587</v>
      </c>
      <c r="D3817" s="4">
        <v>341</v>
      </c>
      <c r="E3817" s="5" t="s">
        <v>24</v>
      </c>
      <c r="F3817" s="5" t="s">
        <v>1563</v>
      </c>
      <c r="G3817" s="6" t="s">
        <v>52</v>
      </c>
      <c r="H3817" s="4"/>
      <c r="I3817" s="5"/>
      <c r="J3817" s="5" t="s">
        <v>1568</v>
      </c>
      <c r="K3817" s="5" t="s">
        <v>1234</v>
      </c>
      <c r="L3817" s="5" t="s">
        <v>1569</v>
      </c>
      <c r="M3817" s="5" t="s">
        <v>163</v>
      </c>
      <c r="N3817" s="5" t="s">
        <v>153</v>
      </c>
      <c r="O3817" s="5" t="s">
        <v>1170</v>
      </c>
      <c r="P3817" s="5"/>
      <c r="Q3817" s="5" t="s">
        <v>1570</v>
      </c>
    </row>
    <row r="3818" spans="2:17" x14ac:dyDescent="0.2">
      <c r="B3818" s="5" t="s">
        <v>1164</v>
      </c>
      <c r="C3818" s="6" t="s">
        <v>13587</v>
      </c>
      <c r="D3818" s="4">
        <v>342</v>
      </c>
      <c r="E3818" s="5" t="s">
        <v>24</v>
      </c>
      <c r="F3818" s="5" t="s">
        <v>1563</v>
      </c>
      <c r="G3818" s="6" t="s">
        <v>52</v>
      </c>
      <c r="H3818" s="4"/>
      <c r="I3818" s="5"/>
      <c r="J3818" s="5" t="s">
        <v>1571</v>
      </c>
      <c r="K3818" s="5" t="s">
        <v>1234</v>
      </c>
      <c r="L3818" s="5"/>
      <c r="M3818" s="5" t="s">
        <v>163</v>
      </c>
      <c r="N3818" s="5" t="s">
        <v>153</v>
      </c>
      <c r="O3818" s="5" t="s">
        <v>1170</v>
      </c>
      <c r="P3818" s="5"/>
      <c r="Q3818" s="5" t="s">
        <v>1572</v>
      </c>
    </row>
    <row r="3819" spans="2:17" x14ac:dyDescent="0.2">
      <c r="B3819" s="5" t="s">
        <v>1164</v>
      </c>
      <c r="C3819" s="6" t="s">
        <v>13587</v>
      </c>
      <c r="D3819" s="4">
        <v>344</v>
      </c>
      <c r="E3819" s="5" t="s">
        <v>24</v>
      </c>
      <c r="F3819" s="5" t="s">
        <v>1563</v>
      </c>
      <c r="G3819" s="6" t="s">
        <v>52</v>
      </c>
      <c r="H3819" s="4"/>
      <c r="I3819" s="5"/>
      <c r="J3819" s="5" t="s">
        <v>1573</v>
      </c>
      <c r="K3819" s="5" t="s">
        <v>1177</v>
      </c>
      <c r="L3819" s="5" t="s">
        <v>1574</v>
      </c>
      <c r="M3819" s="5" t="s">
        <v>163</v>
      </c>
      <c r="N3819" s="5" t="s">
        <v>153</v>
      </c>
      <c r="O3819" s="5" t="s">
        <v>1170</v>
      </c>
      <c r="P3819" s="5"/>
      <c r="Q3819" s="5" t="s">
        <v>1575</v>
      </c>
    </row>
    <row r="3820" spans="2:17" x14ac:dyDescent="0.2">
      <c r="B3820" s="5" t="s">
        <v>544</v>
      </c>
      <c r="C3820" s="6" t="s">
        <v>13587</v>
      </c>
      <c r="D3820" s="4">
        <v>126</v>
      </c>
      <c r="E3820" s="5" t="s">
        <v>35</v>
      </c>
      <c r="F3820" s="5" t="s">
        <v>1029</v>
      </c>
      <c r="G3820" s="6" t="s">
        <v>72</v>
      </c>
      <c r="H3820" s="4"/>
      <c r="I3820" s="5"/>
      <c r="J3820" s="5" t="s">
        <v>655</v>
      </c>
      <c r="K3820" s="5" t="s">
        <v>656</v>
      </c>
      <c r="L3820" s="5"/>
      <c r="M3820" s="5" t="s">
        <v>197</v>
      </c>
      <c r="N3820" s="5" t="s">
        <v>197</v>
      </c>
      <c r="O3820" s="5" t="s">
        <v>657</v>
      </c>
      <c r="P3820" s="5"/>
      <c r="Q3820" s="5" t="s">
        <v>1030</v>
      </c>
    </row>
    <row r="3821" spans="2:17" x14ac:dyDescent="0.2">
      <c r="B3821" s="5" t="s">
        <v>544</v>
      </c>
      <c r="C3821" s="6" t="s">
        <v>13587</v>
      </c>
      <c r="D3821" s="4">
        <v>151</v>
      </c>
      <c r="E3821" s="5" t="s">
        <v>20</v>
      </c>
      <c r="F3821" s="5" t="s">
        <v>956</v>
      </c>
      <c r="G3821" s="6" t="s">
        <v>72</v>
      </c>
      <c r="H3821" s="4"/>
      <c r="I3821" s="5" t="s">
        <v>22</v>
      </c>
      <c r="J3821" s="5" t="s">
        <v>957</v>
      </c>
      <c r="K3821" s="5" t="s">
        <v>668</v>
      </c>
      <c r="L3821" s="5"/>
      <c r="M3821" s="5" t="s">
        <v>197</v>
      </c>
      <c r="N3821" s="5" t="s">
        <v>193</v>
      </c>
      <c r="O3821" s="5" t="s">
        <v>657</v>
      </c>
      <c r="P3821" s="5"/>
      <c r="Q3821" s="5" t="s">
        <v>958</v>
      </c>
    </row>
    <row r="3822" spans="2:17" x14ac:dyDescent="0.2">
      <c r="B3822" s="5" t="s">
        <v>544</v>
      </c>
      <c r="C3822" s="6" t="s">
        <v>13587</v>
      </c>
      <c r="D3822" s="4">
        <v>210</v>
      </c>
      <c r="E3822" s="5" t="s">
        <v>20</v>
      </c>
      <c r="F3822" s="5" t="s">
        <v>654</v>
      </c>
      <c r="G3822" s="6" t="s">
        <v>72</v>
      </c>
      <c r="H3822" s="4"/>
      <c r="I3822" s="5" t="s">
        <v>22</v>
      </c>
      <c r="J3822" s="5" t="s">
        <v>655</v>
      </c>
      <c r="K3822" s="5" t="s">
        <v>656</v>
      </c>
      <c r="L3822" s="5"/>
      <c r="M3822" s="5" t="s">
        <v>336</v>
      </c>
      <c r="N3822" s="5" t="s">
        <v>337</v>
      </c>
      <c r="O3822" s="5" t="s">
        <v>657</v>
      </c>
      <c r="P3822" s="5"/>
      <c r="Q3822" s="5" t="s">
        <v>658</v>
      </c>
    </row>
    <row r="3823" spans="2:17" x14ac:dyDescent="0.2">
      <c r="B3823" s="5" t="s">
        <v>1164</v>
      </c>
      <c r="C3823" s="6" t="s">
        <v>13587</v>
      </c>
      <c r="D3823" s="4">
        <v>370</v>
      </c>
      <c r="E3823" s="5" t="s">
        <v>20</v>
      </c>
      <c r="F3823" s="5" t="s">
        <v>1362</v>
      </c>
      <c r="G3823" s="6" t="s">
        <v>72</v>
      </c>
      <c r="H3823" s="4"/>
      <c r="I3823" s="5" t="s">
        <v>22</v>
      </c>
      <c r="J3823" s="5" t="s">
        <v>1363</v>
      </c>
      <c r="K3823" s="5" t="s">
        <v>1364</v>
      </c>
      <c r="L3823" s="5"/>
      <c r="M3823" s="5" t="s">
        <v>1365</v>
      </c>
      <c r="N3823" s="5" t="s">
        <v>1365</v>
      </c>
      <c r="O3823" s="5" t="s">
        <v>1173</v>
      </c>
      <c r="P3823" s="5"/>
      <c r="Q3823" s="5" t="s">
        <v>1366</v>
      </c>
    </row>
    <row r="3824" spans="2:17" x14ac:dyDescent="0.2">
      <c r="B3824" s="5" t="s">
        <v>1708</v>
      </c>
      <c r="C3824" s="6" t="s">
        <v>13587</v>
      </c>
      <c r="D3824" s="4">
        <v>477</v>
      </c>
      <c r="E3824" s="5" t="s">
        <v>20</v>
      </c>
      <c r="F3824" s="5" t="s">
        <v>1818</v>
      </c>
      <c r="G3824" s="6" t="s">
        <v>72</v>
      </c>
      <c r="H3824" s="4"/>
      <c r="I3824" s="5" t="s">
        <v>22</v>
      </c>
      <c r="J3824" s="5" t="s">
        <v>1819</v>
      </c>
      <c r="K3824" s="5" t="s">
        <v>1820</v>
      </c>
      <c r="L3824" s="5"/>
      <c r="M3824" s="5" t="s">
        <v>342</v>
      </c>
      <c r="N3824" s="5" t="s">
        <v>1821</v>
      </c>
      <c r="O3824" s="5" t="s">
        <v>1774</v>
      </c>
      <c r="P3824" s="5"/>
      <c r="Q3824" s="5" t="s">
        <v>1717</v>
      </c>
    </row>
    <row r="3825" spans="2:17" x14ac:dyDescent="0.2">
      <c r="B3825" s="5" t="s">
        <v>1708</v>
      </c>
      <c r="C3825" s="6" t="s">
        <v>13587</v>
      </c>
      <c r="D3825" s="4">
        <v>478</v>
      </c>
      <c r="E3825" s="5" t="s">
        <v>20</v>
      </c>
      <c r="F3825" s="5" t="s">
        <v>1818</v>
      </c>
      <c r="G3825" s="6" t="s">
        <v>72</v>
      </c>
      <c r="H3825" s="4"/>
      <c r="I3825" s="5" t="s">
        <v>22</v>
      </c>
      <c r="J3825" s="5" t="s">
        <v>1822</v>
      </c>
      <c r="K3825" s="5" t="s">
        <v>1781</v>
      </c>
      <c r="L3825" s="5" t="s">
        <v>1823</v>
      </c>
      <c r="M3825" s="5" t="s">
        <v>342</v>
      </c>
      <c r="N3825" s="5" t="s">
        <v>1821</v>
      </c>
      <c r="O3825" s="5" t="s">
        <v>1774</v>
      </c>
      <c r="P3825" s="5"/>
      <c r="Q3825" s="5" t="s">
        <v>1717</v>
      </c>
    </row>
    <row r="3826" spans="2:17" x14ac:dyDescent="0.2">
      <c r="B3826" s="5" t="s">
        <v>1708</v>
      </c>
      <c r="C3826" s="6" t="s">
        <v>13587</v>
      </c>
      <c r="D3826" s="4">
        <v>479</v>
      </c>
      <c r="E3826" s="5" t="s">
        <v>20</v>
      </c>
      <c r="F3826" s="5" t="s">
        <v>1818</v>
      </c>
      <c r="G3826" s="6" t="s">
        <v>72</v>
      </c>
      <c r="H3826" s="4"/>
      <c r="I3826" s="5" t="s">
        <v>38</v>
      </c>
      <c r="J3826" s="5" t="s">
        <v>1824</v>
      </c>
      <c r="K3826" s="5" t="s">
        <v>1787</v>
      </c>
      <c r="L3826" s="5"/>
      <c r="M3826" s="5" t="s">
        <v>342</v>
      </c>
      <c r="N3826" s="5" t="s">
        <v>1821</v>
      </c>
      <c r="O3826" s="5" t="s">
        <v>1774</v>
      </c>
      <c r="P3826" s="5"/>
      <c r="Q3826" s="5" t="s">
        <v>1717</v>
      </c>
    </row>
    <row r="3827" spans="2:17" x14ac:dyDescent="0.2">
      <c r="B3827" s="5" t="s">
        <v>1708</v>
      </c>
      <c r="C3827" s="6" t="s">
        <v>13587</v>
      </c>
      <c r="D3827" s="4">
        <v>480</v>
      </c>
      <c r="E3827" s="5" t="s">
        <v>20</v>
      </c>
      <c r="F3827" s="5" t="s">
        <v>1818</v>
      </c>
      <c r="G3827" s="6" t="s">
        <v>72</v>
      </c>
      <c r="H3827" s="4"/>
      <c r="I3827" s="5" t="s">
        <v>22</v>
      </c>
      <c r="J3827" s="5" t="s">
        <v>1819</v>
      </c>
      <c r="K3827" s="5" t="s">
        <v>1825</v>
      </c>
      <c r="L3827" s="5"/>
      <c r="M3827" s="5" t="s">
        <v>342</v>
      </c>
      <c r="N3827" s="5" t="s">
        <v>1821</v>
      </c>
      <c r="O3827" s="5" t="s">
        <v>1774</v>
      </c>
      <c r="P3827" s="5"/>
      <c r="Q3827" s="5" t="s">
        <v>1826</v>
      </c>
    </row>
    <row r="3828" spans="2:17" x14ac:dyDescent="0.2">
      <c r="B3828" s="5" t="s">
        <v>1906</v>
      </c>
      <c r="C3828" s="6" t="s">
        <v>13587</v>
      </c>
      <c r="D3828" s="4">
        <v>543</v>
      </c>
      <c r="E3828" s="5" t="s">
        <v>20</v>
      </c>
      <c r="F3828" s="5" t="s">
        <v>2169</v>
      </c>
      <c r="G3828" s="6" t="s">
        <v>72</v>
      </c>
      <c r="H3828" s="4"/>
      <c r="I3828" s="5" t="s">
        <v>22</v>
      </c>
      <c r="J3828" s="5" t="s">
        <v>2170</v>
      </c>
      <c r="K3828" s="5" t="s">
        <v>2171</v>
      </c>
      <c r="L3828" s="5"/>
      <c r="M3828" s="5" t="s">
        <v>170</v>
      </c>
      <c r="N3828" s="5" t="s">
        <v>157</v>
      </c>
      <c r="O3828" s="5" t="s">
        <v>1930</v>
      </c>
      <c r="P3828" s="5"/>
      <c r="Q3828" s="5" t="s">
        <v>2172</v>
      </c>
    </row>
    <row r="3829" spans="2:17" x14ac:dyDescent="0.2">
      <c r="B3829" s="5" t="s">
        <v>1906</v>
      </c>
      <c r="C3829" s="6" t="s">
        <v>13587</v>
      </c>
      <c r="D3829" s="4">
        <v>553</v>
      </c>
      <c r="E3829" s="5" t="s">
        <v>15</v>
      </c>
      <c r="F3829" s="5" t="s">
        <v>2077</v>
      </c>
      <c r="G3829" s="6" t="s">
        <v>72</v>
      </c>
      <c r="H3829" s="4"/>
      <c r="I3829" s="5"/>
      <c r="J3829" s="5" t="s">
        <v>2078</v>
      </c>
      <c r="K3829" s="5" t="s">
        <v>2079</v>
      </c>
      <c r="L3829" s="5"/>
      <c r="M3829" s="5" t="s">
        <v>2074</v>
      </c>
      <c r="N3829" s="5" t="s">
        <v>2075</v>
      </c>
      <c r="O3829" s="5" t="s">
        <v>1910</v>
      </c>
      <c r="P3829" s="5"/>
      <c r="Q3829" s="5" t="s">
        <v>2080</v>
      </c>
    </row>
    <row r="3830" spans="2:17" x14ac:dyDescent="0.2">
      <c r="B3830" s="5" t="s">
        <v>2758</v>
      </c>
      <c r="C3830" s="6" t="s">
        <v>13587</v>
      </c>
      <c r="D3830" s="4">
        <v>870</v>
      </c>
      <c r="E3830" s="5" t="s">
        <v>35</v>
      </c>
      <c r="F3830" s="5" t="s">
        <v>3200</v>
      </c>
      <c r="G3830" s="6" t="s">
        <v>72</v>
      </c>
      <c r="H3830" s="4"/>
      <c r="I3830" s="5"/>
      <c r="J3830" s="5"/>
      <c r="K3830" s="5" t="s">
        <v>2795</v>
      </c>
      <c r="L3830" s="5"/>
      <c r="M3830" s="5" t="s">
        <v>428</v>
      </c>
      <c r="N3830" s="5" t="s">
        <v>423</v>
      </c>
      <c r="O3830" s="5" t="s">
        <v>2759</v>
      </c>
      <c r="P3830" s="5"/>
      <c r="Q3830" s="5" t="s">
        <v>3037</v>
      </c>
    </row>
    <row r="3831" spans="2:17" x14ac:dyDescent="0.2">
      <c r="B3831" s="5" t="s">
        <v>2758</v>
      </c>
      <c r="C3831" s="6" t="s">
        <v>13587</v>
      </c>
      <c r="D3831" s="4">
        <v>874</v>
      </c>
      <c r="E3831" s="5" t="s">
        <v>20</v>
      </c>
      <c r="F3831" s="5" t="s">
        <v>3160</v>
      </c>
      <c r="G3831" s="6" t="s">
        <v>72</v>
      </c>
      <c r="H3831" s="4"/>
      <c r="I3831" s="5" t="s">
        <v>22</v>
      </c>
      <c r="J3831" s="5" t="s">
        <v>3161</v>
      </c>
      <c r="K3831" s="5" t="s">
        <v>2786</v>
      </c>
      <c r="L3831" s="5"/>
      <c r="M3831" s="5" t="s">
        <v>3162</v>
      </c>
      <c r="N3831" s="5" t="s">
        <v>3162</v>
      </c>
      <c r="O3831" s="5" t="s">
        <v>2762</v>
      </c>
      <c r="P3831" s="5"/>
      <c r="Q3831" s="5" t="s">
        <v>3163</v>
      </c>
    </row>
    <row r="3832" spans="2:17" x14ac:dyDescent="0.2">
      <c r="B3832" s="5" t="s">
        <v>2758</v>
      </c>
      <c r="C3832" s="6" t="s">
        <v>13587</v>
      </c>
      <c r="D3832" s="4">
        <v>875</v>
      </c>
      <c r="E3832" s="5" t="s">
        <v>20</v>
      </c>
      <c r="F3832" s="5" t="s">
        <v>3164</v>
      </c>
      <c r="G3832" s="6" t="s">
        <v>72</v>
      </c>
      <c r="H3832" s="4"/>
      <c r="I3832" s="5" t="s">
        <v>22</v>
      </c>
      <c r="J3832" s="5" t="s">
        <v>3165</v>
      </c>
      <c r="K3832" s="5" t="s">
        <v>2786</v>
      </c>
      <c r="L3832" s="5"/>
      <c r="M3832" s="5" t="s">
        <v>3162</v>
      </c>
      <c r="N3832" s="5" t="s">
        <v>3162</v>
      </c>
      <c r="O3832" s="5" t="s">
        <v>2762</v>
      </c>
      <c r="P3832" s="5"/>
      <c r="Q3832" s="5" t="s">
        <v>3166</v>
      </c>
    </row>
    <row r="3833" spans="2:17" x14ac:dyDescent="0.2">
      <c r="B3833" s="5" t="s">
        <v>2758</v>
      </c>
      <c r="C3833" s="6" t="s">
        <v>13587</v>
      </c>
      <c r="D3833" s="4">
        <v>881</v>
      </c>
      <c r="E3833" s="5" t="s">
        <v>20</v>
      </c>
      <c r="F3833" s="5" t="s">
        <v>3164</v>
      </c>
      <c r="G3833" s="6" t="s">
        <v>72</v>
      </c>
      <c r="H3833" s="4"/>
      <c r="I3833" s="5" t="s">
        <v>22</v>
      </c>
      <c r="J3833" s="5" t="s">
        <v>3167</v>
      </c>
      <c r="K3833" s="5" t="s">
        <v>2785</v>
      </c>
      <c r="L3833" s="5"/>
      <c r="M3833" s="5" t="s">
        <v>3162</v>
      </c>
      <c r="N3833" s="5" t="s">
        <v>3168</v>
      </c>
      <c r="O3833" s="5" t="s">
        <v>2762</v>
      </c>
      <c r="P3833" s="5"/>
      <c r="Q3833" s="5" t="s">
        <v>3169</v>
      </c>
    </row>
    <row r="3834" spans="2:17" x14ac:dyDescent="0.2">
      <c r="B3834" s="5" t="s">
        <v>1906</v>
      </c>
      <c r="C3834" s="6" t="s">
        <v>13587</v>
      </c>
      <c r="D3834" s="4">
        <v>531</v>
      </c>
      <c r="E3834" s="5" t="s">
        <v>20</v>
      </c>
      <c r="F3834" s="5" t="s">
        <v>2214</v>
      </c>
      <c r="G3834" s="6" t="s">
        <v>80</v>
      </c>
      <c r="H3834" s="4"/>
      <c r="I3834" s="5" t="s">
        <v>38</v>
      </c>
      <c r="J3834" s="5" t="s">
        <v>2215</v>
      </c>
      <c r="K3834" s="5" t="s">
        <v>2216</v>
      </c>
      <c r="L3834" s="5"/>
      <c r="M3834" s="5" t="s">
        <v>476</v>
      </c>
      <c r="N3834" s="5" t="s">
        <v>2198</v>
      </c>
      <c r="O3834" s="5" t="s">
        <v>1920</v>
      </c>
      <c r="P3834" s="5"/>
      <c r="Q3834" s="5" t="s">
        <v>2217</v>
      </c>
    </row>
    <row r="3835" spans="2:17" x14ac:dyDescent="0.2">
      <c r="B3835" s="5" t="s">
        <v>544</v>
      </c>
      <c r="C3835" s="6" t="s">
        <v>13587</v>
      </c>
      <c r="D3835" s="4">
        <v>162</v>
      </c>
      <c r="E3835" s="5" t="s">
        <v>24</v>
      </c>
      <c r="F3835" s="5" t="s">
        <v>923</v>
      </c>
      <c r="G3835" s="6" t="s">
        <v>924</v>
      </c>
      <c r="H3835" s="4"/>
      <c r="I3835" s="5"/>
      <c r="J3835" s="5" t="s">
        <v>925</v>
      </c>
      <c r="K3835" s="5" t="s">
        <v>926</v>
      </c>
      <c r="L3835" s="5"/>
      <c r="M3835" s="5" t="s">
        <v>428</v>
      </c>
      <c r="N3835" s="5" t="s">
        <v>428</v>
      </c>
      <c r="O3835" s="5" t="s">
        <v>549</v>
      </c>
      <c r="P3835" s="5"/>
      <c r="Q3835" s="5" t="s">
        <v>927</v>
      </c>
    </row>
    <row r="3836" spans="2:17" x14ac:dyDescent="0.2">
      <c r="B3836" s="5" t="s">
        <v>92</v>
      </c>
      <c r="C3836" s="6" t="s">
        <v>13587</v>
      </c>
      <c r="D3836" s="4">
        <v>11</v>
      </c>
      <c r="E3836" s="5" t="s">
        <v>24</v>
      </c>
      <c r="F3836" s="5" t="s">
        <v>176</v>
      </c>
      <c r="G3836" s="6" t="s">
        <v>44</v>
      </c>
      <c r="H3836" s="4"/>
      <c r="I3836" s="5"/>
      <c r="J3836" s="5" t="s">
        <v>177</v>
      </c>
      <c r="K3836" s="5" t="s">
        <v>178</v>
      </c>
      <c r="L3836" s="5"/>
      <c r="M3836" s="5" t="s">
        <v>179</v>
      </c>
      <c r="N3836" s="5" t="s">
        <v>179</v>
      </c>
      <c r="O3836" s="5" t="s">
        <v>180</v>
      </c>
      <c r="P3836" s="5"/>
      <c r="Q3836" s="5" t="s">
        <v>181</v>
      </c>
    </row>
    <row r="3837" spans="2:17" x14ac:dyDescent="0.2">
      <c r="B3837" s="5" t="s">
        <v>92</v>
      </c>
      <c r="C3837" s="6" t="s">
        <v>13587</v>
      </c>
      <c r="D3837" s="4">
        <v>14</v>
      </c>
      <c r="E3837" s="5" t="s">
        <v>20</v>
      </c>
      <c r="F3837" s="5" t="s">
        <v>172</v>
      </c>
      <c r="G3837" s="6" t="s">
        <v>44</v>
      </c>
      <c r="H3837" s="4"/>
      <c r="I3837" s="5" t="s">
        <v>22</v>
      </c>
      <c r="J3837" s="5" t="s">
        <v>173</v>
      </c>
      <c r="K3837" s="5" t="s">
        <v>136</v>
      </c>
      <c r="L3837" s="5"/>
      <c r="M3837" s="5" t="s">
        <v>174</v>
      </c>
      <c r="N3837" s="5" t="s">
        <v>170</v>
      </c>
      <c r="O3837" s="5" t="s">
        <v>98</v>
      </c>
      <c r="P3837" s="5"/>
      <c r="Q3837" s="5" t="s">
        <v>175</v>
      </c>
    </row>
    <row r="3838" spans="2:17" x14ac:dyDescent="0.2">
      <c r="B3838" s="5" t="s">
        <v>92</v>
      </c>
      <c r="C3838" s="6" t="s">
        <v>13587</v>
      </c>
      <c r="D3838" s="4">
        <v>17</v>
      </c>
      <c r="E3838" s="5" t="s">
        <v>20</v>
      </c>
      <c r="F3838" s="5" t="s">
        <v>160</v>
      </c>
      <c r="G3838" s="6" t="s">
        <v>44</v>
      </c>
      <c r="H3838" s="4"/>
      <c r="I3838" s="5" t="s">
        <v>22</v>
      </c>
      <c r="J3838" s="5" t="s">
        <v>161</v>
      </c>
      <c r="K3838" s="5" t="s">
        <v>162</v>
      </c>
      <c r="L3838" s="5"/>
      <c r="M3838" s="5" t="s">
        <v>163</v>
      </c>
      <c r="N3838" s="5" t="s">
        <v>153</v>
      </c>
      <c r="O3838" s="5" t="s">
        <v>98</v>
      </c>
      <c r="P3838" s="5"/>
      <c r="Q3838" s="5" t="s">
        <v>164</v>
      </c>
    </row>
    <row r="3839" spans="2:17" x14ac:dyDescent="0.2">
      <c r="B3839" s="5" t="s">
        <v>92</v>
      </c>
      <c r="C3839" s="6" t="s">
        <v>13587</v>
      </c>
      <c r="D3839" s="4">
        <v>18</v>
      </c>
      <c r="E3839" s="5" t="s">
        <v>20</v>
      </c>
      <c r="F3839" s="5" t="s">
        <v>160</v>
      </c>
      <c r="G3839" s="6" t="s">
        <v>44</v>
      </c>
      <c r="H3839" s="4"/>
      <c r="I3839" s="5" t="s">
        <v>22</v>
      </c>
      <c r="J3839" s="5" t="s">
        <v>165</v>
      </c>
      <c r="K3839" s="5" t="s">
        <v>95</v>
      </c>
      <c r="L3839" s="5"/>
      <c r="M3839" s="5" t="s">
        <v>163</v>
      </c>
      <c r="N3839" s="5" t="s">
        <v>153</v>
      </c>
      <c r="O3839" s="5" t="s">
        <v>98</v>
      </c>
      <c r="P3839" s="5"/>
      <c r="Q3839" s="5" t="s">
        <v>166</v>
      </c>
    </row>
    <row r="3840" spans="2:17" x14ac:dyDescent="0.2">
      <c r="B3840" s="5" t="s">
        <v>544</v>
      </c>
      <c r="C3840" s="6" t="s">
        <v>13587</v>
      </c>
      <c r="D3840" s="4">
        <v>128</v>
      </c>
      <c r="E3840" s="5" t="s">
        <v>24</v>
      </c>
      <c r="F3840" s="5" t="s">
        <v>969</v>
      </c>
      <c r="G3840" s="6" t="s">
        <v>44</v>
      </c>
      <c r="H3840" s="4"/>
      <c r="I3840" s="5"/>
      <c r="J3840" s="5" t="s">
        <v>970</v>
      </c>
      <c r="K3840" s="5" t="s">
        <v>547</v>
      </c>
      <c r="L3840" s="5"/>
      <c r="M3840" s="5" t="s">
        <v>197</v>
      </c>
      <c r="N3840" s="5" t="s">
        <v>197</v>
      </c>
      <c r="O3840" s="5" t="s">
        <v>549</v>
      </c>
      <c r="P3840" s="5"/>
      <c r="Q3840" s="5" t="s">
        <v>971</v>
      </c>
    </row>
    <row r="3841" spans="2:17" x14ac:dyDescent="0.2">
      <c r="B3841" s="5" t="s">
        <v>544</v>
      </c>
      <c r="C3841" s="6" t="s">
        <v>13587</v>
      </c>
      <c r="D3841" s="4">
        <v>129</v>
      </c>
      <c r="E3841" s="5" t="s">
        <v>35</v>
      </c>
      <c r="F3841" s="5" t="s">
        <v>1033</v>
      </c>
      <c r="G3841" s="6" t="s">
        <v>44</v>
      </c>
      <c r="H3841" s="4"/>
      <c r="I3841" s="5"/>
      <c r="J3841" s="5" t="s">
        <v>1034</v>
      </c>
      <c r="K3841" s="5" t="s">
        <v>547</v>
      </c>
      <c r="L3841" s="5"/>
      <c r="M3841" s="5" t="s">
        <v>197</v>
      </c>
      <c r="N3841" s="5" t="s">
        <v>197</v>
      </c>
      <c r="O3841" s="5" t="s">
        <v>549</v>
      </c>
      <c r="P3841" s="5"/>
      <c r="Q3841" s="5" t="s">
        <v>1035</v>
      </c>
    </row>
    <row r="3842" spans="2:17" x14ac:dyDescent="0.2">
      <c r="B3842" s="5" t="s">
        <v>544</v>
      </c>
      <c r="C3842" s="6" t="s">
        <v>13587</v>
      </c>
      <c r="D3842" s="4">
        <v>131</v>
      </c>
      <c r="E3842" s="5" t="s">
        <v>24</v>
      </c>
      <c r="F3842" s="5" t="s">
        <v>972</v>
      </c>
      <c r="G3842" s="6" t="s">
        <v>44</v>
      </c>
      <c r="H3842" s="4"/>
      <c r="I3842" s="5"/>
      <c r="J3842" s="5" t="s">
        <v>973</v>
      </c>
      <c r="K3842" s="5" t="s">
        <v>584</v>
      </c>
      <c r="L3842" s="5"/>
      <c r="M3842" s="5" t="s">
        <v>197</v>
      </c>
      <c r="N3842" s="5" t="s">
        <v>197</v>
      </c>
      <c r="O3842" s="5" t="s">
        <v>549</v>
      </c>
      <c r="P3842" s="5"/>
      <c r="Q3842" s="5" t="s">
        <v>974</v>
      </c>
    </row>
    <row r="3843" spans="2:17" x14ac:dyDescent="0.2">
      <c r="B3843" s="5" t="s">
        <v>544</v>
      </c>
      <c r="C3843" s="6" t="s">
        <v>13587</v>
      </c>
      <c r="D3843" s="4">
        <v>141</v>
      </c>
      <c r="E3843" s="5" t="s">
        <v>24</v>
      </c>
      <c r="F3843" s="5" t="s">
        <v>988</v>
      </c>
      <c r="G3843" s="6" t="s">
        <v>44</v>
      </c>
      <c r="H3843" s="4"/>
      <c r="I3843" s="5"/>
      <c r="J3843" s="5" t="s">
        <v>989</v>
      </c>
      <c r="K3843" s="5" t="s">
        <v>990</v>
      </c>
      <c r="L3843" s="5"/>
      <c r="M3843" s="5" t="s">
        <v>197</v>
      </c>
      <c r="N3843" s="5" t="s">
        <v>197</v>
      </c>
      <c r="O3843" s="5" t="s">
        <v>588</v>
      </c>
      <c r="P3843" s="5"/>
      <c r="Q3843" s="5" t="s">
        <v>991</v>
      </c>
    </row>
    <row r="3844" spans="2:17" x14ac:dyDescent="0.2">
      <c r="B3844" s="5" t="s">
        <v>544</v>
      </c>
      <c r="C3844" s="6" t="s">
        <v>13587</v>
      </c>
      <c r="D3844" s="4">
        <v>142</v>
      </c>
      <c r="E3844" s="5" t="s">
        <v>24</v>
      </c>
      <c r="F3844" s="5" t="s">
        <v>992</v>
      </c>
      <c r="G3844" s="6" t="s">
        <v>44</v>
      </c>
      <c r="H3844" s="4"/>
      <c r="I3844" s="5"/>
      <c r="J3844" s="5" t="s">
        <v>993</v>
      </c>
      <c r="K3844" s="5" t="s">
        <v>990</v>
      </c>
      <c r="L3844" s="5"/>
      <c r="M3844" s="5" t="s">
        <v>197</v>
      </c>
      <c r="N3844" s="5" t="s">
        <v>197</v>
      </c>
      <c r="O3844" s="5" t="s">
        <v>588</v>
      </c>
      <c r="P3844" s="5"/>
      <c r="Q3844" s="5" t="s">
        <v>994</v>
      </c>
    </row>
    <row r="3845" spans="2:17" x14ac:dyDescent="0.2">
      <c r="B3845" s="5" t="s">
        <v>544</v>
      </c>
      <c r="C3845" s="6" t="s">
        <v>13587</v>
      </c>
      <c r="D3845" s="4">
        <v>143</v>
      </c>
      <c r="E3845" s="5" t="s">
        <v>24</v>
      </c>
      <c r="F3845" s="5" t="s">
        <v>992</v>
      </c>
      <c r="G3845" s="6" t="s">
        <v>44</v>
      </c>
      <c r="H3845" s="4"/>
      <c r="I3845" s="5"/>
      <c r="J3845" s="5" t="s">
        <v>995</v>
      </c>
      <c r="K3845" s="5" t="s">
        <v>990</v>
      </c>
      <c r="L3845" s="5"/>
      <c r="M3845" s="5" t="s">
        <v>197</v>
      </c>
      <c r="N3845" s="5" t="s">
        <v>197</v>
      </c>
      <c r="O3845" s="5" t="s">
        <v>588</v>
      </c>
      <c r="P3845" s="5"/>
      <c r="Q3845" s="5" t="s">
        <v>996</v>
      </c>
    </row>
    <row r="3846" spans="2:17" x14ac:dyDescent="0.2">
      <c r="B3846" s="5" t="s">
        <v>544</v>
      </c>
      <c r="C3846" s="6" t="s">
        <v>13587</v>
      </c>
      <c r="D3846" s="4">
        <v>144</v>
      </c>
      <c r="E3846" s="5" t="s">
        <v>24</v>
      </c>
      <c r="F3846" s="5" t="s">
        <v>992</v>
      </c>
      <c r="G3846" s="6" t="s">
        <v>44</v>
      </c>
      <c r="H3846" s="4"/>
      <c r="I3846" s="5"/>
      <c r="J3846" s="5" t="s">
        <v>997</v>
      </c>
      <c r="K3846" s="5" t="s">
        <v>990</v>
      </c>
      <c r="L3846" s="5"/>
      <c r="M3846" s="5" t="s">
        <v>197</v>
      </c>
      <c r="N3846" s="5" t="s">
        <v>197</v>
      </c>
      <c r="O3846" s="5" t="s">
        <v>588</v>
      </c>
      <c r="P3846" s="5"/>
      <c r="Q3846" s="5" t="s">
        <v>996</v>
      </c>
    </row>
    <row r="3847" spans="2:17" x14ac:dyDescent="0.2">
      <c r="B3847" s="5" t="s">
        <v>544</v>
      </c>
      <c r="C3847" s="6" t="s">
        <v>13587</v>
      </c>
      <c r="D3847" s="4">
        <v>145</v>
      </c>
      <c r="E3847" s="5" t="s">
        <v>24</v>
      </c>
      <c r="F3847" s="5" t="s">
        <v>992</v>
      </c>
      <c r="G3847" s="6" t="s">
        <v>44</v>
      </c>
      <c r="H3847" s="4"/>
      <c r="I3847" s="5"/>
      <c r="J3847" s="5" t="s">
        <v>998</v>
      </c>
      <c r="K3847" s="5" t="s">
        <v>990</v>
      </c>
      <c r="L3847" s="5"/>
      <c r="M3847" s="5" t="s">
        <v>197</v>
      </c>
      <c r="N3847" s="5" t="s">
        <v>197</v>
      </c>
      <c r="O3847" s="5" t="s">
        <v>588</v>
      </c>
      <c r="P3847" s="5"/>
      <c r="Q3847" s="5" t="s">
        <v>999</v>
      </c>
    </row>
    <row r="3848" spans="2:17" x14ac:dyDescent="0.2">
      <c r="B3848" s="5" t="s">
        <v>544</v>
      </c>
      <c r="C3848" s="6" t="s">
        <v>13587</v>
      </c>
      <c r="D3848" s="4">
        <v>146</v>
      </c>
      <c r="E3848" s="5" t="s">
        <v>24</v>
      </c>
      <c r="F3848" s="5" t="s">
        <v>992</v>
      </c>
      <c r="G3848" s="6" t="s">
        <v>44</v>
      </c>
      <c r="H3848" s="4"/>
      <c r="I3848" s="5"/>
      <c r="J3848" s="5" t="s">
        <v>1000</v>
      </c>
      <c r="K3848" s="5" t="s">
        <v>990</v>
      </c>
      <c r="L3848" s="5"/>
      <c r="M3848" s="5" t="s">
        <v>197</v>
      </c>
      <c r="N3848" s="5" t="s">
        <v>197</v>
      </c>
      <c r="O3848" s="5" t="s">
        <v>588</v>
      </c>
      <c r="P3848" s="5"/>
      <c r="Q3848" s="5" t="s">
        <v>1001</v>
      </c>
    </row>
    <row r="3849" spans="2:17" x14ac:dyDescent="0.2">
      <c r="B3849" s="5" t="s">
        <v>544</v>
      </c>
      <c r="C3849" s="6" t="s">
        <v>13587</v>
      </c>
      <c r="D3849" s="4">
        <v>147</v>
      </c>
      <c r="E3849" s="5" t="s">
        <v>24</v>
      </c>
      <c r="F3849" s="5" t="s">
        <v>992</v>
      </c>
      <c r="G3849" s="6" t="s">
        <v>44</v>
      </c>
      <c r="H3849" s="4"/>
      <c r="I3849" s="5"/>
      <c r="J3849" s="5" t="s">
        <v>1002</v>
      </c>
      <c r="K3849" s="5" t="s">
        <v>990</v>
      </c>
      <c r="L3849" s="5"/>
      <c r="M3849" s="5" t="s">
        <v>197</v>
      </c>
      <c r="N3849" s="5" t="s">
        <v>197</v>
      </c>
      <c r="O3849" s="5" t="s">
        <v>588</v>
      </c>
      <c r="P3849" s="5"/>
      <c r="Q3849" s="5" t="s">
        <v>1003</v>
      </c>
    </row>
    <row r="3850" spans="2:17" x14ac:dyDescent="0.2">
      <c r="B3850" s="5" t="s">
        <v>544</v>
      </c>
      <c r="C3850" s="6" t="s">
        <v>13587</v>
      </c>
      <c r="D3850" s="4">
        <v>148</v>
      </c>
      <c r="E3850" s="5" t="s">
        <v>24</v>
      </c>
      <c r="F3850" s="5" t="s">
        <v>992</v>
      </c>
      <c r="G3850" s="6" t="s">
        <v>44</v>
      </c>
      <c r="H3850" s="4"/>
      <c r="I3850" s="5"/>
      <c r="J3850" s="5" t="s">
        <v>1004</v>
      </c>
      <c r="K3850" s="5" t="s">
        <v>990</v>
      </c>
      <c r="L3850" s="5"/>
      <c r="M3850" s="5" t="s">
        <v>197</v>
      </c>
      <c r="N3850" s="5" t="s">
        <v>197</v>
      </c>
      <c r="O3850" s="5" t="s">
        <v>588</v>
      </c>
      <c r="P3850" s="5"/>
      <c r="Q3850" s="5" t="s">
        <v>1005</v>
      </c>
    </row>
    <row r="3851" spans="2:17" x14ac:dyDescent="0.2">
      <c r="B3851" s="5" t="s">
        <v>1164</v>
      </c>
      <c r="C3851" s="6" t="s">
        <v>13587</v>
      </c>
      <c r="D3851" s="4">
        <v>309</v>
      </c>
      <c r="E3851" s="5" t="s">
        <v>35</v>
      </c>
      <c r="F3851" s="5" t="s">
        <v>1697</v>
      </c>
      <c r="G3851" s="6" t="s">
        <v>44</v>
      </c>
      <c r="H3851" s="4"/>
      <c r="I3851" s="5"/>
      <c r="J3851" s="5" t="s">
        <v>1698</v>
      </c>
      <c r="K3851" s="5" t="s">
        <v>1338</v>
      </c>
      <c r="L3851" s="5"/>
      <c r="M3851" s="5" t="s">
        <v>1699</v>
      </c>
      <c r="N3851" s="5" t="s">
        <v>1699</v>
      </c>
      <c r="O3851" s="5" t="s">
        <v>1170</v>
      </c>
      <c r="P3851" s="5"/>
      <c r="Q3851" s="5" t="s">
        <v>1700</v>
      </c>
    </row>
    <row r="3852" spans="2:17" x14ac:dyDescent="0.2">
      <c r="B3852" s="5" t="s">
        <v>1164</v>
      </c>
      <c r="C3852" s="6" t="s">
        <v>13587</v>
      </c>
      <c r="D3852" s="4">
        <v>310</v>
      </c>
      <c r="E3852" s="5" t="s">
        <v>56</v>
      </c>
      <c r="F3852" s="5" t="s">
        <v>1693</v>
      </c>
      <c r="G3852" s="6" t="s">
        <v>44</v>
      </c>
      <c r="H3852" s="4"/>
      <c r="I3852" s="5"/>
      <c r="J3852" s="5" t="s">
        <v>1694</v>
      </c>
      <c r="K3852" s="5" t="s">
        <v>1338</v>
      </c>
      <c r="L3852" s="5"/>
      <c r="M3852" s="5" t="s">
        <v>1695</v>
      </c>
      <c r="N3852" s="5" t="s">
        <v>1695</v>
      </c>
      <c r="O3852" s="5" t="s">
        <v>1170</v>
      </c>
      <c r="P3852" s="5"/>
      <c r="Q3852" s="5" t="s">
        <v>1696</v>
      </c>
    </row>
    <row r="3853" spans="2:17" x14ac:dyDescent="0.2">
      <c r="B3853" s="5" t="s">
        <v>1164</v>
      </c>
      <c r="C3853" s="6" t="s">
        <v>13587</v>
      </c>
      <c r="D3853" s="4">
        <v>328</v>
      </c>
      <c r="E3853" s="5" t="s">
        <v>24</v>
      </c>
      <c r="F3853" s="5" t="s">
        <v>1598</v>
      </c>
      <c r="G3853" s="6" t="s">
        <v>44</v>
      </c>
      <c r="H3853" s="4"/>
      <c r="I3853" s="5"/>
      <c r="J3853" s="5" t="s">
        <v>1599</v>
      </c>
      <c r="K3853" s="5" t="s">
        <v>1342</v>
      </c>
      <c r="L3853" s="5"/>
      <c r="M3853" s="5" t="s">
        <v>938</v>
      </c>
      <c r="N3853" s="5" t="s">
        <v>1596</v>
      </c>
      <c r="O3853" s="5" t="s">
        <v>1167</v>
      </c>
      <c r="P3853" s="5"/>
      <c r="Q3853" s="5" t="s">
        <v>1600</v>
      </c>
    </row>
    <row r="3854" spans="2:17" x14ac:dyDescent="0.2">
      <c r="B3854" s="5" t="s">
        <v>1164</v>
      </c>
      <c r="C3854" s="6" t="s">
        <v>13587</v>
      </c>
      <c r="D3854" s="4">
        <v>332</v>
      </c>
      <c r="E3854" s="5" t="s">
        <v>15</v>
      </c>
      <c r="F3854" s="5" t="s">
        <v>1560</v>
      </c>
      <c r="G3854" s="6" t="s">
        <v>44</v>
      </c>
      <c r="H3854" s="4"/>
      <c r="I3854" s="5"/>
      <c r="J3854" s="5" t="s">
        <v>1561</v>
      </c>
      <c r="K3854" s="5" t="s">
        <v>1176</v>
      </c>
      <c r="L3854" s="5"/>
      <c r="M3854" s="5" t="s">
        <v>163</v>
      </c>
      <c r="N3854" s="5" t="s">
        <v>163</v>
      </c>
      <c r="O3854" s="5" t="s">
        <v>1170</v>
      </c>
      <c r="P3854" s="5"/>
      <c r="Q3854" s="5" t="s">
        <v>1562</v>
      </c>
    </row>
    <row r="3855" spans="2:17" x14ac:dyDescent="0.2">
      <c r="B3855" s="5" t="s">
        <v>1164</v>
      </c>
      <c r="C3855" s="6" t="s">
        <v>13587</v>
      </c>
      <c r="D3855" s="4">
        <v>333</v>
      </c>
      <c r="E3855" s="5" t="s">
        <v>15</v>
      </c>
      <c r="F3855" s="5" t="s">
        <v>1175</v>
      </c>
      <c r="G3855" s="6" t="s">
        <v>44</v>
      </c>
      <c r="H3855" s="4"/>
      <c r="I3855" s="5"/>
      <c r="J3855" s="5" t="s">
        <v>1556</v>
      </c>
      <c r="K3855" s="5" t="s">
        <v>1176</v>
      </c>
      <c r="L3855" s="5"/>
      <c r="M3855" s="5" t="s">
        <v>157</v>
      </c>
      <c r="N3855" s="5" t="s">
        <v>157</v>
      </c>
      <c r="O3855" s="5" t="s">
        <v>1170</v>
      </c>
      <c r="P3855" s="5"/>
      <c r="Q3855" s="5" t="s">
        <v>1557</v>
      </c>
    </row>
    <row r="3856" spans="2:17" x14ac:dyDescent="0.2">
      <c r="B3856" s="5" t="s">
        <v>1164</v>
      </c>
      <c r="C3856" s="6" t="s">
        <v>13587</v>
      </c>
      <c r="D3856" s="4">
        <v>334</v>
      </c>
      <c r="E3856" s="5" t="s">
        <v>15</v>
      </c>
      <c r="F3856" s="5" t="s">
        <v>1580</v>
      </c>
      <c r="G3856" s="6" t="s">
        <v>44</v>
      </c>
      <c r="H3856" s="4"/>
      <c r="I3856" s="5"/>
      <c r="J3856" s="5" t="s">
        <v>1581</v>
      </c>
      <c r="K3856" s="5" t="s">
        <v>1174</v>
      </c>
      <c r="L3856" s="5"/>
      <c r="M3856" s="5" t="s">
        <v>443</v>
      </c>
      <c r="N3856" s="5" t="s">
        <v>157</v>
      </c>
      <c r="O3856" s="5" t="s">
        <v>1173</v>
      </c>
      <c r="P3856" s="5"/>
      <c r="Q3856" s="5" t="s">
        <v>1582</v>
      </c>
    </row>
    <row r="3857" spans="2:17" x14ac:dyDescent="0.2">
      <c r="B3857" s="5" t="s">
        <v>1164</v>
      </c>
      <c r="C3857" s="6" t="s">
        <v>13587</v>
      </c>
      <c r="D3857" s="4">
        <v>335</v>
      </c>
      <c r="E3857" s="5" t="s">
        <v>15</v>
      </c>
      <c r="F3857" s="5" t="s">
        <v>1583</v>
      </c>
      <c r="G3857" s="6" t="s">
        <v>44</v>
      </c>
      <c r="H3857" s="4"/>
      <c r="I3857" s="5"/>
      <c r="J3857" s="5" t="s">
        <v>1584</v>
      </c>
      <c r="K3857" s="5" t="s">
        <v>1585</v>
      </c>
      <c r="L3857" s="5"/>
      <c r="M3857" s="5" t="s">
        <v>443</v>
      </c>
      <c r="N3857" s="5" t="s">
        <v>157</v>
      </c>
      <c r="O3857" s="5" t="s">
        <v>1173</v>
      </c>
      <c r="P3857" s="5"/>
      <c r="Q3857" s="5" t="s">
        <v>1586</v>
      </c>
    </row>
    <row r="3858" spans="2:17" x14ac:dyDescent="0.2">
      <c r="B3858" s="5" t="s">
        <v>1164</v>
      </c>
      <c r="C3858" s="6" t="s">
        <v>13587</v>
      </c>
      <c r="D3858" s="4">
        <v>336</v>
      </c>
      <c r="E3858" s="5" t="s">
        <v>24</v>
      </c>
      <c r="F3858" s="5" t="s">
        <v>1558</v>
      </c>
      <c r="G3858" s="6" t="s">
        <v>44</v>
      </c>
      <c r="H3858" s="4"/>
      <c r="I3858" s="5"/>
      <c r="J3858" s="5" t="s">
        <v>1533</v>
      </c>
      <c r="K3858" s="5" t="s">
        <v>1534</v>
      </c>
      <c r="L3858" s="5" t="s">
        <v>1535</v>
      </c>
      <c r="M3858" s="5" t="s">
        <v>157</v>
      </c>
      <c r="N3858" s="5" t="s">
        <v>157</v>
      </c>
      <c r="O3858" s="5" t="s">
        <v>1167</v>
      </c>
      <c r="P3858" s="5"/>
      <c r="Q3858" s="5" t="s">
        <v>1559</v>
      </c>
    </row>
    <row r="3859" spans="2:17" x14ac:dyDescent="0.2">
      <c r="B3859" s="5" t="s">
        <v>1164</v>
      </c>
      <c r="C3859" s="6" t="s">
        <v>13587</v>
      </c>
      <c r="D3859" s="4">
        <v>337</v>
      </c>
      <c r="E3859" s="5" t="s">
        <v>24</v>
      </c>
      <c r="F3859" s="5" t="s">
        <v>1576</v>
      </c>
      <c r="G3859" s="6" t="s">
        <v>44</v>
      </c>
      <c r="H3859" s="4"/>
      <c r="I3859" s="5"/>
      <c r="J3859" s="5" t="s">
        <v>1577</v>
      </c>
      <c r="K3859" s="5" t="s">
        <v>1578</v>
      </c>
      <c r="L3859" s="5"/>
      <c r="M3859" s="5" t="s">
        <v>163</v>
      </c>
      <c r="N3859" s="5" t="s">
        <v>437</v>
      </c>
      <c r="O3859" s="5" t="s">
        <v>1170</v>
      </c>
      <c r="P3859" s="5"/>
      <c r="Q3859" s="5" t="s">
        <v>1579</v>
      </c>
    </row>
    <row r="3860" spans="2:17" x14ac:dyDescent="0.2">
      <c r="B3860" s="5" t="s">
        <v>2758</v>
      </c>
      <c r="C3860" s="6" t="s">
        <v>13587</v>
      </c>
      <c r="D3860" s="4">
        <v>777</v>
      </c>
      <c r="E3860" s="5" t="s">
        <v>13</v>
      </c>
      <c r="F3860" s="5" t="s">
        <v>3494</v>
      </c>
      <c r="G3860" s="6" t="s">
        <v>44</v>
      </c>
      <c r="H3860" s="4"/>
      <c r="I3860" s="5"/>
      <c r="J3860" s="5"/>
      <c r="K3860" s="5" t="s">
        <v>2790</v>
      </c>
      <c r="L3860" s="5"/>
      <c r="M3860" s="5" t="s">
        <v>1108</v>
      </c>
      <c r="N3860" s="5" t="s">
        <v>1108</v>
      </c>
      <c r="O3860" s="5" t="s">
        <v>2762</v>
      </c>
      <c r="P3860" s="5"/>
      <c r="Q3860" s="5" t="s">
        <v>3495</v>
      </c>
    </row>
    <row r="3861" spans="2:17" x14ac:dyDescent="0.2">
      <c r="B3861" s="5" t="s">
        <v>2758</v>
      </c>
      <c r="C3861" s="6" t="s">
        <v>13587</v>
      </c>
      <c r="D3861" s="4">
        <v>815</v>
      </c>
      <c r="E3861" s="5" t="s">
        <v>20</v>
      </c>
      <c r="F3861" s="5" t="s">
        <v>3342</v>
      </c>
      <c r="G3861" s="6" t="s">
        <v>44</v>
      </c>
      <c r="H3861" s="4"/>
      <c r="I3861" s="5" t="s">
        <v>22</v>
      </c>
      <c r="J3861" s="5" t="s">
        <v>3343</v>
      </c>
      <c r="K3861" s="5" t="s">
        <v>3344</v>
      </c>
      <c r="L3861" s="5"/>
      <c r="M3861" s="5" t="s">
        <v>1043</v>
      </c>
      <c r="N3861" s="5" t="s">
        <v>1043</v>
      </c>
      <c r="O3861" s="5" t="s">
        <v>3345</v>
      </c>
      <c r="P3861" s="5"/>
      <c r="Q3861" s="5" t="s">
        <v>3346</v>
      </c>
    </row>
    <row r="3862" spans="2:17" x14ac:dyDescent="0.2">
      <c r="B3862" s="5" t="s">
        <v>3543</v>
      </c>
      <c r="C3862" s="6" t="s">
        <v>13587</v>
      </c>
      <c r="D3862" s="4">
        <v>1069</v>
      </c>
      <c r="E3862" s="5" t="s">
        <v>15</v>
      </c>
      <c r="F3862" s="5" t="s">
        <v>3626</v>
      </c>
      <c r="G3862" s="6" t="s">
        <v>44</v>
      </c>
      <c r="H3862" s="4"/>
      <c r="I3862" s="5" t="s">
        <v>22</v>
      </c>
      <c r="J3862" s="5" t="s">
        <v>3627</v>
      </c>
      <c r="K3862" s="5" t="s">
        <v>3625</v>
      </c>
      <c r="L3862" s="5"/>
      <c r="M3862" s="5" t="s">
        <v>347</v>
      </c>
      <c r="N3862" s="5" t="s">
        <v>347</v>
      </c>
      <c r="O3862" s="5" t="s">
        <v>3545</v>
      </c>
      <c r="P3862" s="5"/>
      <c r="Q3862" s="5" t="s">
        <v>3548</v>
      </c>
    </row>
    <row r="3863" spans="2:17" x14ac:dyDescent="0.2">
      <c r="B3863" s="5" t="s">
        <v>2535</v>
      </c>
      <c r="C3863" s="6" t="s">
        <v>13587</v>
      </c>
      <c r="D3863" s="4">
        <v>772</v>
      </c>
      <c r="E3863" s="5" t="s">
        <v>20</v>
      </c>
      <c r="F3863" s="5" t="s">
        <v>2657</v>
      </c>
      <c r="G3863" s="6" t="s">
        <v>543</v>
      </c>
      <c r="H3863" s="4"/>
      <c r="I3863" s="5" t="s">
        <v>22</v>
      </c>
      <c r="J3863" s="5" t="s">
        <v>2658</v>
      </c>
      <c r="K3863" s="5" t="s">
        <v>2544</v>
      </c>
      <c r="L3863" s="5" t="s">
        <v>2659</v>
      </c>
      <c r="M3863" s="5" t="s">
        <v>362</v>
      </c>
      <c r="N3863" s="5" t="s">
        <v>1470</v>
      </c>
      <c r="O3863" s="5" t="s">
        <v>2536</v>
      </c>
      <c r="P3863" s="5"/>
      <c r="Q3863" s="5" t="s">
        <v>2660</v>
      </c>
    </row>
    <row r="3864" spans="2:17" x14ac:dyDescent="0.2">
      <c r="B3864" s="5" t="s">
        <v>1164</v>
      </c>
      <c r="C3864" s="6" t="s">
        <v>13587</v>
      </c>
      <c r="D3864" s="4">
        <v>398</v>
      </c>
      <c r="E3864" s="5" t="s">
        <v>24</v>
      </c>
      <c r="F3864" s="5" t="s">
        <v>1340</v>
      </c>
      <c r="G3864" s="6" t="s">
        <v>277</v>
      </c>
      <c r="H3864" s="4"/>
      <c r="I3864" s="5"/>
      <c r="J3864" s="5" t="s">
        <v>1341</v>
      </c>
      <c r="K3864" s="5" t="s">
        <v>1342</v>
      </c>
      <c r="L3864" s="5"/>
      <c r="M3864" s="5" t="s">
        <v>1343</v>
      </c>
      <c r="N3864" s="5" t="s">
        <v>284</v>
      </c>
      <c r="O3864" s="5" t="s">
        <v>1167</v>
      </c>
      <c r="P3864" s="5"/>
      <c r="Q3864" s="5" t="s">
        <v>1344</v>
      </c>
    </row>
    <row r="3865" spans="2:17" x14ac:dyDescent="0.2">
      <c r="B3865" s="5" t="s">
        <v>1906</v>
      </c>
      <c r="C3865" s="6" t="s">
        <v>13587</v>
      </c>
      <c r="D3865" s="4">
        <v>542</v>
      </c>
      <c r="E3865" s="5" t="s">
        <v>20</v>
      </c>
      <c r="F3865" s="5" t="s">
        <v>2173</v>
      </c>
      <c r="G3865" s="6" t="s">
        <v>277</v>
      </c>
      <c r="H3865" s="4"/>
      <c r="I3865" s="5" t="s">
        <v>22</v>
      </c>
      <c r="J3865" s="5" t="s">
        <v>2174</v>
      </c>
      <c r="K3865" s="5" t="s">
        <v>2175</v>
      </c>
      <c r="L3865" s="5"/>
      <c r="M3865" s="5" t="s">
        <v>185</v>
      </c>
      <c r="N3865" s="5" t="s">
        <v>179</v>
      </c>
      <c r="O3865" s="5" t="s">
        <v>1939</v>
      </c>
      <c r="P3865" s="5"/>
      <c r="Q3865" s="5" t="s">
        <v>2176</v>
      </c>
    </row>
    <row r="3866" spans="2:17" x14ac:dyDescent="0.2">
      <c r="B3866" s="5" t="s">
        <v>544</v>
      </c>
      <c r="C3866" s="6" t="s">
        <v>13587</v>
      </c>
      <c r="D3866" s="4">
        <v>149</v>
      </c>
      <c r="E3866" s="5" t="s">
        <v>24</v>
      </c>
      <c r="F3866" s="5" t="s">
        <v>1006</v>
      </c>
      <c r="G3866" s="6" t="s">
        <v>1007</v>
      </c>
      <c r="H3866" s="4"/>
      <c r="I3866" s="5"/>
      <c r="J3866" s="5" t="s">
        <v>1008</v>
      </c>
      <c r="K3866" s="5" t="s">
        <v>990</v>
      </c>
      <c r="L3866" s="5"/>
      <c r="M3866" s="5" t="s">
        <v>197</v>
      </c>
      <c r="N3866" s="5" t="s">
        <v>197</v>
      </c>
      <c r="O3866" s="5" t="s">
        <v>588</v>
      </c>
      <c r="P3866" s="5"/>
      <c r="Q3866" s="5" t="s">
        <v>1005</v>
      </c>
    </row>
    <row r="3867" spans="2:17" x14ac:dyDescent="0.2">
      <c r="B3867" s="5" t="s">
        <v>278</v>
      </c>
      <c r="C3867" s="6" t="s">
        <v>13587</v>
      </c>
      <c r="D3867" s="4">
        <v>52</v>
      </c>
      <c r="E3867" s="5" t="s">
        <v>20</v>
      </c>
      <c r="F3867" s="5" t="s">
        <v>449</v>
      </c>
      <c r="G3867" s="6" t="s">
        <v>274</v>
      </c>
      <c r="H3867" s="4"/>
      <c r="I3867" s="5" t="s">
        <v>22</v>
      </c>
      <c r="J3867" s="5" t="s">
        <v>450</v>
      </c>
      <c r="K3867" s="5" t="s">
        <v>395</v>
      </c>
      <c r="L3867" s="5" t="s">
        <v>451</v>
      </c>
      <c r="M3867" s="5" t="s">
        <v>170</v>
      </c>
      <c r="N3867" s="5" t="s">
        <v>153</v>
      </c>
      <c r="O3867" s="5" t="s">
        <v>308</v>
      </c>
      <c r="P3867" s="5"/>
      <c r="Q3867" s="5" t="s">
        <v>286</v>
      </c>
    </row>
    <row r="3868" spans="2:17" x14ac:dyDescent="0.2">
      <c r="B3868" s="5" t="s">
        <v>278</v>
      </c>
      <c r="C3868" s="6" t="s">
        <v>13587</v>
      </c>
      <c r="D3868" s="4">
        <v>53</v>
      </c>
      <c r="E3868" s="5" t="s">
        <v>20</v>
      </c>
      <c r="F3868" s="5" t="s">
        <v>449</v>
      </c>
      <c r="G3868" s="6" t="s">
        <v>274</v>
      </c>
      <c r="H3868" s="4"/>
      <c r="I3868" s="5" t="s">
        <v>38</v>
      </c>
      <c r="J3868" s="5" t="s">
        <v>452</v>
      </c>
      <c r="K3868" s="5" t="s">
        <v>395</v>
      </c>
      <c r="L3868" s="5" t="s">
        <v>453</v>
      </c>
      <c r="M3868" s="5" t="s">
        <v>170</v>
      </c>
      <c r="N3868" s="5" t="s">
        <v>153</v>
      </c>
      <c r="O3868" s="5" t="s">
        <v>308</v>
      </c>
      <c r="P3868" s="5"/>
      <c r="Q3868" s="5" t="s">
        <v>286</v>
      </c>
    </row>
    <row r="3869" spans="2:17" x14ac:dyDescent="0.2">
      <c r="B3869" s="5" t="s">
        <v>278</v>
      </c>
      <c r="C3869" s="6" t="s">
        <v>13587</v>
      </c>
      <c r="D3869" s="4">
        <v>54</v>
      </c>
      <c r="E3869" s="5" t="s">
        <v>20</v>
      </c>
      <c r="F3869" s="5" t="s">
        <v>454</v>
      </c>
      <c r="G3869" s="6" t="s">
        <v>274</v>
      </c>
      <c r="H3869" s="4"/>
      <c r="I3869" s="5" t="s">
        <v>38</v>
      </c>
      <c r="J3869" s="5" t="s">
        <v>455</v>
      </c>
      <c r="K3869" s="5" t="s">
        <v>328</v>
      </c>
      <c r="L3869" s="5" t="s">
        <v>456</v>
      </c>
      <c r="M3869" s="5" t="s">
        <v>170</v>
      </c>
      <c r="N3869" s="5" t="s">
        <v>457</v>
      </c>
      <c r="O3869" s="5" t="s">
        <v>308</v>
      </c>
      <c r="P3869" s="5"/>
      <c r="Q3869" s="5" t="s">
        <v>286</v>
      </c>
    </row>
    <row r="3870" spans="2:17" x14ac:dyDescent="0.2">
      <c r="B3870" s="5" t="s">
        <v>1164</v>
      </c>
      <c r="C3870" s="6" t="s">
        <v>13587</v>
      </c>
      <c r="D3870" s="4">
        <v>324</v>
      </c>
      <c r="E3870" s="5" t="s">
        <v>35</v>
      </c>
      <c r="F3870" s="5" t="s">
        <v>1613</v>
      </c>
      <c r="G3870" s="6" t="s">
        <v>274</v>
      </c>
      <c r="H3870" s="4"/>
      <c r="I3870" s="5"/>
      <c r="J3870" s="5" t="s">
        <v>1614</v>
      </c>
      <c r="K3870" s="5" t="s">
        <v>1342</v>
      </c>
      <c r="L3870" s="5"/>
      <c r="M3870" s="5" t="s">
        <v>468</v>
      </c>
      <c r="N3870" s="5" t="s">
        <v>465</v>
      </c>
      <c r="O3870" s="5" t="s">
        <v>1167</v>
      </c>
      <c r="P3870" s="5"/>
      <c r="Q3870" s="5" t="s">
        <v>1615</v>
      </c>
    </row>
    <row r="3871" spans="2:17" x14ac:dyDescent="0.2">
      <c r="B3871" s="5" t="s">
        <v>1164</v>
      </c>
      <c r="C3871" s="6" t="s">
        <v>13587</v>
      </c>
      <c r="D3871" s="4">
        <v>405</v>
      </c>
      <c r="E3871" s="5" t="s">
        <v>24</v>
      </c>
      <c r="F3871" s="5" t="s">
        <v>1274</v>
      </c>
      <c r="G3871" s="6" t="s">
        <v>274</v>
      </c>
      <c r="H3871" s="4"/>
      <c r="I3871" s="5"/>
      <c r="J3871" s="5" t="s">
        <v>1275</v>
      </c>
      <c r="K3871" s="5" t="s">
        <v>1174</v>
      </c>
      <c r="L3871" s="5"/>
      <c r="M3871" s="5" t="s">
        <v>1269</v>
      </c>
      <c r="N3871" s="5" t="s">
        <v>1269</v>
      </c>
      <c r="O3871" s="5" t="s">
        <v>1173</v>
      </c>
      <c r="P3871" s="5"/>
      <c r="Q3871" s="5" t="s">
        <v>1276</v>
      </c>
    </row>
    <row r="3872" spans="2:17" x14ac:dyDescent="0.2">
      <c r="B3872" s="5" t="s">
        <v>2758</v>
      </c>
      <c r="C3872" s="6" t="s">
        <v>13587</v>
      </c>
      <c r="D3872" s="4">
        <v>836</v>
      </c>
      <c r="E3872" s="5" t="s">
        <v>20</v>
      </c>
      <c r="F3872" s="5" t="s">
        <v>3297</v>
      </c>
      <c r="G3872" s="6" t="s">
        <v>274</v>
      </c>
      <c r="H3872" s="4"/>
      <c r="I3872" s="5" t="s">
        <v>22</v>
      </c>
      <c r="J3872" s="5" t="s">
        <v>3298</v>
      </c>
      <c r="K3872" s="5" t="s">
        <v>2788</v>
      </c>
      <c r="L3872" s="5"/>
      <c r="M3872" s="5" t="s">
        <v>468</v>
      </c>
      <c r="N3872" s="5" t="s">
        <v>465</v>
      </c>
      <c r="O3872" s="5" t="s">
        <v>2759</v>
      </c>
      <c r="P3872" s="5"/>
      <c r="Q3872" s="5" t="s">
        <v>3299</v>
      </c>
    </row>
    <row r="3873" spans="2:17" x14ac:dyDescent="0.2">
      <c r="B3873" s="5" t="s">
        <v>2758</v>
      </c>
      <c r="C3873" s="6" t="s">
        <v>13587</v>
      </c>
      <c r="D3873" s="4">
        <v>842</v>
      </c>
      <c r="E3873" s="5" t="s">
        <v>35</v>
      </c>
      <c r="F3873" s="5" t="s">
        <v>3300</v>
      </c>
      <c r="G3873" s="6" t="s">
        <v>274</v>
      </c>
      <c r="H3873" s="4"/>
      <c r="I3873" s="5" t="s">
        <v>22</v>
      </c>
      <c r="J3873" s="5" t="s">
        <v>3301</v>
      </c>
      <c r="K3873" s="5" t="s">
        <v>3302</v>
      </c>
      <c r="L3873" s="5"/>
      <c r="M3873" s="5" t="s">
        <v>468</v>
      </c>
      <c r="N3873" s="5" t="s">
        <v>465</v>
      </c>
      <c r="O3873" s="5" t="s">
        <v>2762</v>
      </c>
      <c r="P3873" s="5"/>
      <c r="Q3873" s="5" t="s">
        <v>3303</v>
      </c>
    </row>
    <row r="3874" spans="2:17" x14ac:dyDescent="0.2">
      <c r="B3874" s="5" t="s">
        <v>3543</v>
      </c>
      <c r="C3874" s="6" t="s">
        <v>13587</v>
      </c>
      <c r="D3874" s="4">
        <v>1031</v>
      </c>
      <c r="E3874" s="5" t="s">
        <v>20</v>
      </c>
      <c r="F3874" s="5" t="s">
        <v>3729</v>
      </c>
      <c r="G3874" s="6" t="s">
        <v>274</v>
      </c>
      <c r="H3874" s="4"/>
      <c r="I3874" s="5" t="s">
        <v>22</v>
      </c>
      <c r="J3874" s="5" t="s">
        <v>3730</v>
      </c>
      <c r="K3874" s="5"/>
      <c r="L3874" s="5"/>
      <c r="M3874" s="5" t="s">
        <v>468</v>
      </c>
      <c r="N3874" s="5" t="s">
        <v>185</v>
      </c>
      <c r="O3874" s="5" t="s">
        <v>3598</v>
      </c>
      <c r="P3874" s="5"/>
      <c r="Q3874" s="5" t="s">
        <v>3548</v>
      </c>
    </row>
    <row r="3875" spans="2:17" x14ac:dyDescent="0.2">
      <c r="B3875" s="5" t="s">
        <v>544</v>
      </c>
      <c r="C3875" s="6" t="s">
        <v>13587</v>
      </c>
      <c r="D3875" s="4">
        <v>215</v>
      </c>
      <c r="E3875" s="5" t="s">
        <v>24</v>
      </c>
      <c r="F3875" s="5" t="s">
        <v>714</v>
      </c>
      <c r="G3875" s="6" t="s">
        <v>42</v>
      </c>
      <c r="H3875" s="4"/>
      <c r="I3875" s="5"/>
      <c r="J3875" s="5" t="s">
        <v>715</v>
      </c>
      <c r="K3875" s="5" t="s">
        <v>716</v>
      </c>
      <c r="L3875" s="5"/>
      <c r="M3875" s="5" t="s">
        <v>336</v>
      </c>
      <c r="N3875" s="5" t="s">
        <v>337</v>
      </c>
      <c r="O3875" s="5" t="s">
        <v>657</v>
      </c>
      <c r="P3875" s="5"/>
      <c r="Q3875" s="5" t="s">
        <v>717</v>
      </c>
    </row>
    <row r="3876" spans="2:17" x14ac:dyDescent="0.2">
      <c r="B3876" s="5" t="s">
        <v>2758</v>
      </c>
      <c r="C3876" s="6" t="s">
        <v>13587</v>
      </c>
      <c r="D3876" s="4">
        <v>863</v>
      </c>
      <c r="E3876" s="5" t="s">
        <v>20</v>
      </c>
      <c r="F3876" s="5" t="s">
        <v>3204</v>
      </c>
      <c r="G3876" s="6" t="s">
        <v>1163</v>
      </c>
      <c r="H3876" s="4"/>
      <c r="I3876" s="5" t="s">
        <v>22</v>
      </c>
      <c r="J3876" s="5" t="s">
        <v>3205</v>
      </c>
      <c r="K3876" s="5" t="s">
        <v>2787</v>
      </c>
      <c r="L3876" s="5"/>
      <c r="M3876" s="5" t="s">
        <v>433</v>
      </c>
      <c r="N3876" s="5" t="s">
        <v>1544</v>
      </c>
      <c r="O3876" s="5" t="s">
        <v>2759</v>
      </c>
      <c r="P3876" s="5"/>
      <c r="Q3876" s="5" t="s">
        <v>3206</v>
      </c>
    </row>
    <row r="3877" spans="2:17" x14ac:dyDescent="0.2">
      <c r="B3877" s="5" t="s">
        <v>2758</v>
      </c>
      <c r="C3877" s="6" t="s">
        <v>13587</v>
      </c>
      <c r="D3877" s="4">
        <v>982</v>
      </c>
      <c r="E3877" s="5" t="s">
        <v>35</v>
      </c>
      <c r="F3877" s="5" t="s">
        <v>2802</v>
      </c>
      <c r="G3877" s="6" t="s">
        <v>66</v>
      </c>
      <c r="H3877" s="4"/>
      <c r="I3877" s="5"/>
      <c r="J3877" s="5"/>
      <c r="K3877" s="5" t="s">
        <v>2784</v>
      </c>
      <c r="L3877" s="5"/>
      <c r="M3877" s="5" t="s">
        <v>2236</v>
      </c>
      <c r="N3877" s="5" t="s">
        <v>224</v>
      </c>
      <c r="O3877" s="5" t="s">
        <v>2762</v>
      </c>
      <c r="P3877" s="5"/>
      <c r="Q3877" s="5" t="s">
        <v>3444</v>
      </c>
    </row>
    <row r="3878" spans="2:17" x14ac:dyDescent="0.2">
      <c r="B3878" s="5" t="s">
        <v>278</v>
      </c>
      <c r="C3878" s="6" t="s">
        <v>13587</v>
      </c>
      <c r="D3878" s="4">
        <v>68</v>
      </c>
      <c r="E3878" s="5" t="s">
        <v>20</v>
      </c>
      <c r="F3878" s="5" t="s">
        <v>298</v>
      </c>
      <c r="G3878" s="6" t="s">
        <v>69</v>
      </c>
      <c r="H3878" s="4"/>
      <c r="I3878" s="5" t="s">
        <v>22</v>
      </c>
      <c r="J3878" s="5" t="s">
        <v>299</v>
      </c>
      <c r="K3878" s="5" t="s">
        <v>300</v>
      </c>
      <c r="L3878" s="5"/>
      <c r="M3878" s="5" t="s">
        <v>301</v>
      </c>
      <c r="N3878" s="5" t="s">
        <v>302</v>
      </c>
      <c r="O3878" s="5" t="s">
        <v>285</v>
      </c>
      <c r="P3878" s="5"/>
      <c r="Q3878" s="5" t="s">
        <v>286</v>
      </c>
    </row>
    <row r="3879" spans="2:17" x14ac:dyDescent="0.2">
      <c r="B3879" s="5" t="s">
        <v>544</v>
      </c>
      <c r="C3879" s="6" t="s">
        <v>13587</v>
      </c>
      <c r="D3879" s="4">
        <v>133</v>
      </c>
      <c r="E3879" s="5" t="s">
        <v>24</v>
      </c>
      <c r="F3879" s="5" t="s">
        <v>975</v>
      </c>
      <c r="G3879" s="6" t="s">
        <v>69</v>
      </c>
      <c r="H3879" s="4"/>
      <c r="I3879" s="5"/>
      <c r="J3879" s="5" t="s">
        <v>976</v>
      </c>
      <c r="K3879" s="5" t="s">
        <v>977</v>
      </c>
      <c r="L3879" s="5"/>
      <c r="M3879" s="5" t="s">
        <v>197</v>
      </c>
      <c r="N3879" s="5" t="s">
        <v>197</v>
      </c>
      <c r="O3879" s="5" t="s">
        <v>816</v>
      </c>
      <c r="P3879" s="5"/>
      <c r="Q3879" s="5" t="s">
        <v>978</v>
      </c>
    </row>
    <row r="3880" spans="2:17" x14ac:dyDescent="0.2">
      <c r="B3880" s="5" t="s">
        <v>544</v>
      </c>
      <c r="C3880" s="6" t="s">
        <v>13587</v>
      </c>
      <c r="D3880" s="4">
        <v>134</v>
      </c>
      <c r="E3880" s="5" t="s">
        <v>24</v>
      </c>
      <c r="F3880" s="5" t="s">
        <v>979</v>
      </c>
      <c r="G3880" s="6" t="s">
        <v>69</v>
      </c>
      <c r="H3880" s="4"/>
      <c r="I3880" s="5"/>
      <c r="J3880" s="5" t="s">
        <v>980</v>
      </c>
      <c r="K3880" s="5" t="s">
        <v>981</v>
      </c>
      <c r="L3880" s="5"/>
      <c r="M3880" s="5" t="s">
        <v>197</v>
      </c>
      <c r="N3880" s="5" t="s">
        <v>197</v>
      </c>
      <c r="O3880" s="5" t="s">
        <v>816</v>
      </c>
      <c r="P3880" s="5"/>
      <c r="Q3880" s="5" t="s">
        <v>982</v>
      </c>
    </row>
    <row r="3881" spans="2:17" x14ac:dyDescent="0.2">
      <c r="B3881" s="5" t="s">
        <v>544</v>
      </c>
      <c r="C3881" s="6" t="s">
        <v>13587</v>
      </c>
      <c r="D3881" s="4">
        <v>135</v>
      </c>
      <c r="E3881" s="5" t="s">
        <v>24</v>
      </c>
      <c r="F3881" s="5" t="s">
        <v>979</v>
      </c>
      <c r="G3881" s="6" t="s">
        <v>69</v>
      </c>
      <c r="H3881" s="4"/>
      <c r="I3881" s="5"/>
      <c r="J3881" s="5" t="s">
        <v>983</v>
      </c>
      <c r="K3881" s="5" t="s">
        <v>981</v>
      </c>
      <c r="L3881" s="5"/>
      <c r="M3881" s="5" t="s">
        <v>197</v>
      </c>
      <c r="N3881" s="5" t="s">
        <v>197</v>
      </c>
      <c r="O3881" s="5" t="s">
        <v>816</v>
      </c>
      <c r="P3881" s="5"/>
      <c r="Q3881" s="5" t="s">
        <v>984</v>
      </c>
    </row>
    <row r="3882" spans="2:17" x14ac:dyDescent="0.2">
      <c r="B3882" s="5" t="s">
        <v>544</v>
      </c>
      <c r="C3882" s="6" t="s">
        <v>13587</v>
      </c>
      <c r="D3882" s="4">
        <v>139</v>
      </c>
      <c r="E3882" s="5" t="s">
        <v>24</v>
      </c>
      <c r="F3882" s="5" t="s">
        <v>975</v>
      </c>
      <c r="G3882" s="6" t="s">
        <v>69</v>
      </c>
      <c r="H3882" s="4"/>
      <c r="I3882" s="5"/>
      <c r="J3882" s="5" t="s">
        <v>985</v>
      </c>
      <c r="K3882" s="5" t="s">
        <v>986</v>
      </c>
      <c r="L3882" s="5"/>
      <c r="M3882" s="5" t="s">
        <v>197</v>
      </c>
      <c r="N3882" s="5" t="s">
        <v>197</v>
      </c>
      <c r="O3882" s="5" t="s">
        <v>816</v>
      </c>
      <c r="P3882" s="5"/>
      <c r="Q3882" s="5" t="s">
        <v>987</v>
      </c>
    </row>
    <row r="3883" spans="2:17" x14ac:dyDescent="0.2">
      <c r="B3883" s="5" t="s">
        <v>278</v>
      </c>
      <c r="C3883" s="6" t="s">
        <v>13587</v>
      </c>
      <c r="D3883" s="4">
        <v>61</v>
      </c>
      <c r="E3883" s="5" t="s">
        <v>20</v>
      </c>
      <c r="F3883" s="5" t="s">
        <v>402</v>
      </c>
      <c r="G3883" s="6" t="s">
        <v>21</v>
      </c>
      <c r="H3883" s="4"/>
      <c r="I3883" s="5" t="s">
        <v>22</v>
      </c>
      <c r="J3883" s="5" t="s">
        <v>403</v>
      </c>
      <c r="K3883" s="5" t="s">
        <v>305</v>
      </c>
      <c r="L3883" s="5" t="s">
        <v>404</v>
      </c>
      <c r="M3883" s="5" t="s">
        <v>137</v>
      </c>
      <c r="N3883" s="5" t="s">
        <v>138</v>
      </c>
      <c r="O3883" s="5" t="s">
        <v>388</v>
      </c>
      <c r="P3883" s="5"/>
      <c r="Q3883" s="5" t="s">
        <v>286</v>
      </c>
    </row>
    <row r="3884" spans="2:17" x14ac:dyDescent="0.2">
      <c r="B3884" s="5" t="s">
        <v>278</v>
      </c>
      <c r="C3884" s="6" t="s">
        <v>13587</v>
      </c>
      <c r="D3884" s="4">
        <v>62</v>
      </c>
      <c r="E3884" s="5" t="s">
        <v>20</v>
      </c>
      <c r="F3884" s="5" t="s">
        <v>402</v>
      </c>
      <c r="G3884" s="6" t="s">
        <v>21</v>
      </c>
      <c r="H3884" s="4"/>
      <c r="I3884" s="5" t="s">
        <v>22</v>
      </c>
      <c r="J3884" s="5" t="s">
        <v>405</v>
      </c>
      <c r="K3884" s="5" t="s">
        <v>406</v>
      </c>
      <c r="L3884" s="5" t="s">
        <v>407</v>
      </c>
      <c r="M3884" s="5" t="s">
        <v>137</v>
      </c>
      <c r="N3884" s="5" t="s">
        <v>138</v>
      </c>
      <c r="O3884" s="5" t="s">
        <v>388</v>
      </c>
      <c r="P3884" s="5"/>
      <c r="Q3884" s="5" t="s">
        <v>286</v>
      </c>
    </row>
    <row r="3885" spans="2:17" x14ac:dyDescent="0.2">
      <c r="B3885" s="5" t="s">
        <v>1906</v>
      </c>
      <c r="C3885" s="6" t="s">
        <v>13587</v>
      </c>
      <c r="D3885" s="4">
        <v>594</v>
      </c>
      <c r="E3885" s="5" t="s">
        <v>82</v>
      </c>
      <c r="F3885" s="5" t="s">
        <v>1954</v>
      </c>
      <c r="G3885" s="6" t="s">
        <v>21</v>
      </c>
      <c r="H3885" s="4"/>
      <c r="I3885" s="5"/>
      <c r="J3885" s="5" t="s">
        <v>1955</v>
      </c>
      <c r="K3885" s="5" t="s">
        <v>1956</v>
      </c>
      <c r="L3885" s="5"/>
      <c r="M3885" s="5" t="s">
        <v>1957</v>
      </c>
      <c r="N3885" s="5" t="s">
        <v>1957</v>
      </c>
      <c r="O3885" s="5" t="s">
        <v>1920</v>
      </c>
      <c r="P3885" s="5"/>
      <c r="Q3885" s="5" t="s">
        <v>1958</v>
      </c>
    </row>
    <row r="3886" spans="2:17" x14ac:dyDescent="0.2">
      <c r="B3886" s="5" t="s">
        <v>2758</v>
      </c>
      <c r="C3886" s="6" t="s">
        <v>13587</v>
      </c>
      <c r="D3886" s="4">
        <v>886</v>
      </c>
      <c r="E3886" s="5" t="s">
        <v>24</v>
      </c>
      <c r="F3886" s="5" t="s">
        <v>3150</v>
      </c>
      <c r="G3886" s="6" t="s">
        <v>21</v>
      </c>
      <c r="H3886" s="4"/>
      <c r="I3886" s="5"/>
      <c r="J3886" s="5" t="s">
        <v>3151</v>
      </c>
      <c r="K3886" s="5" t="s">
        <v>2766</v>
      </c>
      <c r="L3886" s="5"/>
      <c r="M3886" s="5" t="s">
        <v>411</v>
      </c>
      <c r="N3886" s="5" t="s">
        <v>138</v>
      </c>
      <c r="O3886" s="5" t="s">
        <v>2762</v>
      </c>
      <c r="P3886" s="5"/>
      <c r="Q3886" s="5" t="s">
        <v>3152</v>
      </c>
    </row>
    <row r="3887" spans="2:17" x14ac:dyDescent="0.2">
      <c r="B3887" s="5" t="s">
        <v>2758</v>
      </c>
      <c r="C3887" s="6" t="s">
        <v>13587</v>
      </c>
      <c r="D3887" s="4">
        <v>958</v>
      </c>
      <c r="E3887" s="5" t="s">
        <v>24</v>
      </c>
      <c r="F3887" s="5" t="s">
        <v>2854</v>
      </c>
      <c r="G3887" s="6" t="s">
        <v>21</v>
      </c>
      <c r="H3887" s="4"/>
      <c r="I3887" s="5"/>
      <c r="J3887" s="5" t="s">
        <v>2855</v>
      </c>
      <c r="K3887" s="5" t="s">
        <v>2768</v>
      </c>
      <c r="L3887" s="5"/>
      <c r="M3887" s="5" t="s">
        <v>1247</v>
      </c>
      <c r="N3887" s="5" t="s">
        <v>2856</v>
      </c>
      <c r="O3887" s="5" t="s">
        <v>2762</v>
      </c>
      <c r="P3887" s="5"/>
      <c r="Q3887" s="5" t="s">
        <v>2857</v>
      </c>
    </row>
    <row r="3888" spans="2:17" x14ac:dyDescent="0.2">
      <c r="B3888" s="5" t="s">
        <v>2758</v>
      </c>
      <c r="C3888" s="6" t="s">
        <v>13587</v>
      </c>
      <c r="D3888" s="4">
        <v>997</v>
      </c>
      <c r="E3888" s="5" t="s">
        <v>13</v>
      </c>
      <c r="F3888" s="5" t="s">
        <v>3104</v>
      </c>
      <c r="G3888" s="6" t="s">
        <v>21</v>
      </c>
      <c r="H3888" s="4"/>
      <c r="I3888" s="5"/>
      <c r="J3888" s="5"/>
      <c r="K3888" s="5" t="s">
        <v>2769</v>
      </c>
      <c r="L3888" s="5" t="s">
        <v>3105</v>
      </c>
      <c r="M3888" s="5" t="s">
        <v>122</v>
      </c>
      <c r="N3888" s="5" t="s">
        <v>122</v>
      </c>
      <c r="O3888" s="5" t="s">
        <v>2762</v>
      </c>
      <c r="P3888" s="5" t="s">
        <v>3106</v>
      </c>
      <c r="Q3888" s="5" t="s">
        <v>3107</v>
      </c>
    </row>
    <row r="3889" spans="2:17" x14ac:dyDescent="0.2">
      <c r="B3889" s="5" t="s">
        <v>2758</v>
      </c>
      <c r="C3889" s="6" t="s">
        <v>13587</v>
      </c>
      <c r="D3889" s="4">
        <v>1010</v>
      </c>
      <c r="E3889" s="5" t="s">
        <v>24</v>
      </c>
      <c r="F3889" s="5" t="s">
        <v>3074</v>
      </c>
      <c r="G3889" s="6" t="s">
        <v>21</v>
      </c>
      <c r="H3889" s="4"/>
      <c r="I3889" s="5"/>
      <c r="J3889" s="5" t="s">
        <v>3075</v>
      </c>
      <c r="K3889" s="5" t="s">
        <v>2769</v>
      </c>
      <c r="L3889" s="5"/>
      <c r="M3889" s="5" t="s">
        <v>352</v>
      </c>
      <c r="N3889" s="5" t="s">
        <v>352</v>
      </c>
      <c r="O3889" s="5" t="s">
        <v>2762</v>
      </c>
      <c r="P3889" s="5"/>
      <c r="Q3889" s="5" t="s">
        <v>3076</v>
      </c>
    </row>
    <row r="3890" spans="2:17" x14ac:dyDescent="0.2">
      <c r="B3890" s="5" t="s">
        <v>544</v>
      </c>
      <c r="C3890" s="6" t="s">
        <v>13587</v>
      </c>
      <c r="D3890" s="4">
        <v>280</v>
      </c>
      <c r="E3890" s="5" t="s">
        <v>24</v>
      </c>
      <c r="F3890" s="5" t="s">
        <v>868</v>
      </c>
      <c r="G3890" s="6" t="s">
        <v>869</v>
      </c>
      <c r="H3890" s="4"/>
      <c r="I3890" s="5"/>
      <c r="J3890" s="5" t="s">
        <v>870</v>
      </c>
      <c r="K3890" s="5" t="s">
        <v>757</v>
      </c>
      <c r="L3890" s="5"/>
      <c r="M3890" s="5" t="s">
        <v>866</v>
      </c>
      <c r="N3890" s="5" t="s">
        <v>866</v>
      </c>
      <c r="O3890" s="5" t="s">
        <v>623</v>
      </c>
      <c r="P3890" s="5"/>
      <c r="Q3890" s="5" t="s">
        <v>871</v>
      </c>
    </row>
    <row r="3891" spans="2:17" x14ac:dyDescent="0.2">
      <c r="B3891" s="5" t="s">
        <v>278</v>
      </c>
      <c r="C3891" s="6" t="s">
        <v>13587</v>
      </c>
      <c r="D3891" s="4">
        <v>99</v>
      </c>
      <c r="E3891" s="5" t="s">
        <v>20</v>
      </c>
      <c r="F3891" s="5" t="s">
        <v>391</v>
      </c>
      <c r="G3891" s="6"/>
      <c r="H3891" s="4"/>
      <c r="I3891" s="5" t="s">
        <v>22</v>
      </c>
      <c r="J3891" s="5" t="s">
        <v>392</v>
      </c>
      <c r="K3891" s="5" t="s">
        <v>393</v>
      </c>
      <c r="L3891" s="5"/>
      <c r="M3891" s="5" t="s">
        <v>132</v>
      </c>
      <c r="N3891" s="5" t="s">
        <v>366</v>
      </c>
      <c r="O3891" s="5" t="s">
        <v>376</v>
      </c>
      <c r="P3891" s="5"/>
      <c r="Q3891" s="5" t="s">
        <v>286</v>
      </c>
    </row>
    <row r="3892" spans="2:17" x14ac:dyDescent="0.2">
      <c r="B3892" s="5" t="s">
        <v>278</v>
      </c>
      <c r="C3892" s="6" t="s">
        <v>13587</v>
      </c>
      <c r="D3892" s="4">
        <v>100</v>
      </c>
      <c r="E3892" s="5" t="s">
        <v>20</v>
      </c>
      <c r="F3892" s="5" t="s">
        <v>394</v>
      </c>
      <c r="G3892" s="6"/>
      <c r="H3892" s="4"/>
      <c r="I3892" s="5" t="s">
        <v>22</v>
      </c>
      <c r="J3892" s="5" t="s">
        <v>394</v>
      </c>
      <c r="K3892" s="5" t="s">
        <v>395</v>
      </c>
      <c r="L3892" s="5" t="s">
        <v>396</v>
      </c>
      <c r="M3892" s="5" t="s">
        <v>132</v>
      </c>
      <c r="N3892" s="5" t="s">
        <v>366</v>
      </c>
      <c r="O3892" s="5" t="s">
        <v>376</v>
      </c>
      <c r="P3892" s="5"/>
      <c r="Q3892" s="5" t="s">
        <v>286</v>
      </c>
    </row>
    <row r="3893" spans="2:17" x14ac:dyDescent="0.2">
      <c r="B3893" s="5" t="s">
        <v>1708</v>
      </c>
      <c r="C3893" s="6" t="s">
        <v>13587</v>
      </c>
      <c r="D3893" s="4">
        <v>446</v>
      </c>
      <c r="E3893" s="5" t="s">
        <v>15</v>
      </c>
      <c r="F3893" s="5" t="s">
        <v>1891</v>
      </c>
      <c r="G3893" s="6"/>
      <c r="H3893" s="4"/>
      <c r="I3893" s="5" t="s">
        <v>22</v>
      </c>
      <c r="J3893" s="5" t="s">
        <v>1892</v>
      </c>
      <c r="K3893" s="5" t="s">
        <v>1749</v>
      </c>
      <c r="L3893" s="5"/>
      <c r="M3893" s="5" t="s">
        <v>1893</v>
      </c>
      <c r="N3893" s="5" t="s">
        <v>1894</v>
      </c>
      <c r="O3893" s="5" t="s">
        <v>1752</v>
      </c>
      <c r="P3893" s="5"/>
      <c r="Q3893" s="5" t="s">
        <v>1717</v>
      </c>
    </row>
    <row r="3894" spans="2:17" x14ac:dyDescent="0.2">
      <c r="B3894" s="5" t="s">
        <v>1708</v>
      </c>
      <c r="C3894" s="6" t="s">
        <v>13587</v>
      </c>
      <c r="D3894" s="4">
        <v>489</v>
      </c>
      <c r="E3894" s="5" t="s">
        <v>20</v>
      </c>
      <c r="F3894" s="5" t="s">
        <v>1798</v>
      </c>
      <c r="G3894" s="6"/>
      <c r="H3894" s="4"/>
      <c r="I3894" s="5" t="s">
        <v>22</v>
      </c>
      <c r="J3894" s="5" t="s">
        <v>1757</v>
      </c>
      <c r="K3894" s="5" t="s">
        <v>1758</v>
      </c>
      <c r="L3894" s="5"/>
      <c r="M3894" s="5" t="s">
        <v>106</v>
      </c>
      <c r="N3894" s="5" t="s">
        <v>148</v>
      </c>
      <c r="O3894" s="5" t="s">
        <v>1716</v>
      </c>
      <c r="P3894" s="5"/>
      <c r="Q3894" s="5" t="s">
        <v>1717</v>
      </c>
    </row>
    <row r="3895" spans="2:17" x14ac:dyDescent="0.2">
      <c r="B3895" s="5" t="s">
        <v>1708</v>
      </c>
      <c r="C3895" s="6" t="s">
        <v>13587</v>
      </c>
      <c r="D3895" s="4">
        <v>514</v>
      </c>
      <c r="E3895" s="5" t="s">
        <v>20</v>
      </c>
      <c r="F3895" s="5" t="s">
        <v>1768</v>
      </c>
      <c r="G3895" s="6"/>
      <c r="H3895" s="4"/>
      <c r="I3895" s="5" t="s">
        <v>38</v>
      </c>
      <c r="J3895" s="5" t="s">
        <v>1769</v>
      </c>
      <c r="K3895" s="5"/>
      <c r="L3895" s="5" t="s">
        <v>1770</v>
      </c>
      <c r="M3895" s="5" t="s">
        <v>295</v>
      </c>
      <c r="N3895" s="5" t="s">
        <v>302</v>
      </c>
      <c r="O3895" s="5" t="s">
        <v>1709</v>
      </c>
      <c r="P3895" s="5"/>
      <c r="Q3895" s="5" t="s">
        <v>1717</v>
      </c>
    </row>
    <row r="3896" spans="2:17" x14ac:dyDescent="0.2">
      <c r="B3896" s="5" t="s">
        <v>1708</v>
      </c>
      <c r="C3896" s="6" t="s">
        <v>13587</v>
      </c>
      <c r="D3896" s="4">
        <v>516</v>
      </c>
      <c r="E3896" s="5" t="s">
        <v>20</v>
      </c>
      <c r="F3896" s="5" t="s">
        <v>1747</v>
      </c>
      <c r="G3896" s="6"/>
      <c r="H3896" s="4"/>
      <c r="I3896" s="5" t="s">
        <v>22</v>
      </c>
      <c r="J3896" s="5" t="s">
        <v>1748</v>
      </c>
      <c r="K3896" s="5" t="s">
        <v>1749</v>
      </c>
      <c r="L3896" s="5"/>
      <c r="M3896" s="5" t="s">
        <v>1750</v>
      </c>
      <c r="N3896" s="5" t="s">
        <v>1751</v>
      </c>
      <c r="O3896" s="5" t="s">
        <v>1752</v>
      </c>
      <c r="P3896" s="5"/>
      <c r="Q3896" s="5" t="s">
        <v>1717</v>
      </c>
    </row>
    <row r="3897" spans="2:17" x14ac:dyDescent="0.2">
      <c r="B3897" s="5" t="s">
        <v>1708</v>
      </c>
      <c r="C3897" s="6" t="s">
        <v>13587</v>
      </c>
      <c r="D3897" s="4">
        <v>517</v>
      </c>
      <c r="E3897" s="5" t="s">
        <v>20</v>
      </c>
      <c r="F3897" s="5" t="s">
        <v>1741</v>
      </c>
      <c r="G3897" s="6"/>
      <c r="H3897" s="4"/>
      <c r="I3897" s="5" t="s">
        <v>22</v>
      </c>
      <c r="J3897" s="5" t="s">
        <v>1742</v>
      </c>
      <c r="K3897" s="5" t="s">
        <v>1743</v>
      </c>
      <c r="L3897" s="5"/>
      <c r="M3897" s="5" t="s">
        <v>1343</v>
      </c>
      <c r="N3897" s="5" t="s">
        <v>291</v>
      </c>
      <c r="O3897" s="5" t="s">
        <v>1716</v>
      </c>
      <c r="P3897" s="5"/>
      <c r="Q3897" s="5" t="s">
        <v>1717</v>
      </c>
    </row>
    <row r="3898" spans="2:17" x14ac:dyDescent="0.2">
      <c r="B3898" s="5" t="s">
        <v>3543</v>
      </c>
      <c r="C3898" s="6" t="s">
        <v>13587</v>
      </c>
      <c r="D3898" s="4">
        <v>1014</v>
      </c>
      <c r="E3898" s="5" t="s">
        <v>20</v>
      </c>
      <c r="F3898" s="5" t="s">
        <v>3774</v>
      </c>
      <c r="G3898" s="6"/>
      <c r="H3898" s="4"/>
      <c r="I3898" s="5" t="s">
        <v>22</v>
      </c>
      <c r="J3898" s="5" t="s">
        <v>3775</v>
      </c>
      <c r="K3898" s="5" t="s">
        <v>3776</v>
      </c>
      <c r="L3898" s="5" t="s">
        <v>3777</v>
      </c>
      <c r="M3898" s="5" t="s">
        <v>3778</v>
      </c>
      <c r="N3898" s="5" t="s">
        <v>3779</v>
      </c>
      <c r="O3898" s="5" t="s">
        <v>3780</v>
      </c>
      <c r="P3898" s="5"/>
      <c r="Q3898" s="5" t="s">
        <v>3548</v>
      </c>
    </row>
    <row r="3899" spans="2:17" x14ac:dyDescent="0.2">
      <c r="B3899" s="5" t="s">
        <v>3543</v>
      </c>
      <c r="C3899" s="6" t="s">
        <v>13587</v>
      </c>
      <c r="D3899" s="4">
        <v>1018</v>
      </c>
      <c r="E3899" s="5" t="s">
        <v>15</v>
      </c>
      <c r="F3899" s="5" t="s">
        <v>3759</v>
      </c>
      <c r="G3899" s="6"/>
      <c r="H3899" s="4"/>
      <c r="I3899" s="5" t="s">
        <v>38</v>
      </c>
      <c r="J3899" s="5" t="s">
        <v>3760</v>
      </c>
      <c r="K3899" s="5" t="s">
        <v>3761</v>
      </c>
      <c r="L3899" s="5" t="s">
        <v>3762</v>
      </c>
      <c r="M3899" s="5" t="s">
        <v>3362</v>
      </c>
      <c r="N3899" s="5" t="s">
        <v>3763</v>
      </c>
      <c r="O3899" s="5" t="s">
        <v>3659</v>
      </c>
      <c r="P3899" s="5"/>
      <c r="Q3899" s="5" t="s">
        <v>3548</v>
      </c>
    </row>
    <row r="3900" spans="2:17" x14ac:dyDescent="0.2">
      <c r="B3900" s="5" t="s">
        <v>3543</v>
      </c>
      <c r="C3900" s="6" t="s">
        <v>13587</v>
      </c>
      <c r="D3900" s="4">
        <v>1029</v>
      </c>
      <c r="E3900" s="5" t="s">
        <v>20</v>
      </c>
      <c r="F3900" s="5" t="s">
        <v>3744</v>
      </c>
      <c r="G3900" s="6"/>
      <c r="H3900" s="4"/>
      <c r="I3900" s="5" t="s">
        <v>38</v>
      </c>
      <c r="J3900" s="5" t="s">
        <v>3745</v>
      </c>
      <c r="K3900" s="5" t="s">
        <v>3544</v>
      </c>
      <c r="L3900" s="5" t="s">
        <v>3746</v>
      </c>
      <c r="M3900" s="5" t="s">
        <v>2729</v>
      </c>
      <c r="N3900" s="5" t="s">
        <v>215</v>
      </c>
      <c r="O3900" s="5" t="s">
        <v>3545</v>
      </c>
      <c r="P3900" s="5"/>
      <c r="Q3900" s="5" t="s">
        <v>3548</v>
      </c>
    </row>
    <row r="3901" spans="2:17" x14ac:dyDescent="0.2">
      <c r="B3901" s="5" t="s">
        <v>3543</v>
      </c>
      <c r="C3901" s="6" t="s">
        <v>13587</v>
      </c>
      <c r="D3901" s="4">
        <v>1061</v>
      </c>
      <c r="E3901" s="5" t="s">
        <v>20</v>
      </c>
      <c r="F3901" s="5" t="s">
        <v>3715</v>
      </c>
      <c r="G3901" s="6"/>
      <c r="H3901" s="4"/>
      <c r="I3901" s="5" t="s">
        <v>22</v>
      </c>
      <c r="J3901" s="5" t="s">
        <v>3716</v>
      </c>
      <c r="K3901" s="5" t="s">
        <v>3713</v>
      </c>
      <c r="L3901" s="5"/>
      <c r="M3901" s="5" t="s">
        <v>3662</v>
      </c>
      <c r="N3901" s="5" t="s">
        <v>1544</v>
      </c>
      <c r="O3901" s="5" t="s">
        <v>3585</v>
      </c>
      <c r="P3901" s="5"/>
      <c r="Q3901" s="5" t="s">
        <v>3548</v>
      </c>
    </row>
    <row r="3902" spans="2:17" x14ac:dyDescent="0.2">
      <c r="B3902" s="5" t="s">
        <v>3543</v>
      </c>
      <c r="C3902" s="6" t="s">
        <v>13587</v>
      </c>
      <c r="D3902" s="4">
        <v>1068</v>
      </c>
      <c r="E3902" s="5" t="s">
        <v>20</v>
      </c>
      <c r="F3902" s="5" t="s">
        <v>3647</v>
      </c>
      <c r="G3902" s="6"/>
      <c r="H3902" s="4"/>
      <c r="I3902" s="5" t="s">
        <v>22</v>
      </c>
      <c r="J3902" s="5" t="s">
        <v>3648</v>
      </c>
      <c r="K3902" s="5" t="s">
        <v>3649</v>
      </c>
      <c r="L3902" s="5" t="s">
        <v>3650</v>
      </c>
      <c r="M3902" s="5" t="s">
        <v>1525</v>
      </c>
      <c r="N3902" s="5" t="s">
        <v>1526</v>
      </c>
      <c r="O3902" s="5" t="s">
        <v>3651</v>
      </c>
      <c r="P3902" s="5"/>
      <c r="Q3902" s="5" t="s">
        <v>3548</v>
      </c>
    </row>
    <row r="3903" spans="2:17" x14ac:dyDescent="0.2">
      <c r="B3903" s="5" t="s">
        <v>3543</v>
      </c>
      <c r="C3903" s="6" t="s">
        <v>13587</v>
      </c>
      <c r="D3903" s="4">
        <v>1071</v>
      </c>
      <c r="E3903" s="5" t="s">
        <v>20</v>
      </c>
      <c r="F3903" s="5" t="s">
        <v>3631</v>
      </c>
      <c r="G3903" s="6"/>
      <c r="H3903" s="4"/>
      <c r="I3903" s="5" t="s">
        <v>22</v>
      </c>
      <c r="J3903" s="5" t="s">
        <v>3632</v>
      </c>
      <c r="K3903" s="5" t="s">
        <v>3544</v>
      </c>
      <c r="L3903" s="5" t="s">
        <v>3633</v>
      </c>
      <c r="M3903" s="5" t="s">
        <v>804</v>
      </c>
      <c r="N3903" s="5" t="s">
        <v>2089</v>
      </c>
      <c r="O3903" s="5" t="s">
        <v>3545</v>
      </c>
      <c r="P3903" s="5"/>
      <c r="Q3903" s="5" t="s">
        <v>3548</v>
      </c>
    </row>
    <row r="3904" spans="2:17" x14ac:dyDescent="0.2">
      <c r="B3904" s="5" t="s">
        <v>3543</v>
      </c>
      <c r="C3904" s="6" t="s">
        <v>13587</v>
      </c>
      <c r="D3904" s="4">
        <v>1072</v>
      </c>
      <c r="E3904" s="5" t="s">
        <v>20</v>
      </c>
      <c r="F3904" s="5" t="s">
        <v>3609</v>
      </c>
      <c r="G3904" s="6"/>
      <c r="H3904" s="4"/>
      <c r="I3904" s="5" t="s">
        <v>22</v>
      </c>
      <c r="J3904" s="5" t="s">
        <v>3624</v>
      </c>
      <c r="K3904" s="5" t="s">
        <v>3625</v>
      </c>
      <c r="L3904" s="5"/>
      <c r="M3904" s="5" t="s">
        <v>2083</v>
      </c>
      <c r="N3904" s="5" t="s">
        <v>1821</v>
      </c>
      <c r="O3904" s="5" t="s">
        <v>3545</v>
      </c>
      <c r="P3904" s="5"/>
      <c r="Q3904" s="5" t="s">
        <v>3548</v>
      </c>
    </row>
    <row r="3905" spans="2:17" x14ac:dyDescent="0.2">
      <c r="B3905" s="5" t="s">
        <v>3543</v>
      </c>
      <c r="C3905" s="6" t="s">
        <v>13587</v>
      </c>
      <c r="D3905" s="4">
        <v>1100</v>
      </c>
      <c r="E3905" s="5" t="s">
        <v>20</v>
      </c>
      <c r="F3905" s="5" t="s">
        <v>3734</v>
      </c>
      <c r="G3905" s="6"/>
      <c r="H3905" s="4"/>
      <c r="I3905" s="5" t="s">
        <v>22</v>
      </c>
      <c r="J3905" s="5" t="s">
        <v>3735</v>
      </c>
      <c r="K3905" s="5" t="s">
        <v>3736</v>
      </c>
      <c r="L3905" s="5"/>
      <c r="M3905" s="5" t="s">
        <v>1882</v>
      </c>
      <c r="N3905" s="5" t="s">
        <v>267</v>
      </c>
      <c r="O3905" s="5" t="s">
        <v>3651</v>
      </c>
      <c r="P3905" s="5"/>
      <c r="Q3905" s="5" t="s">
        <v>3548</v>
      </c>
    </row>
    <row r="3906" spans="2:17" x14ac:dyDescent="0.2">
      <c r="B3906" s="5" t="s">
        <v>3543</v>
      </c>
      <c r="C3906" s="6" t="s">
        <v>13587</v>
      </c>
      <c r="D3906" s="4">
        <v>1101</v>
      </c>
      <c r="E3906" s="5" t="s">
        <v>20</v>
      </c>
      <c r="F3906" s="5" t="s">
        <v>3737</v>
      </c>
      <c r="G3906" s="6"/>
      <c r="H3906" s="4"/>
      <c r="I3906" s="5" t="s">
        <v>22</v>
      </c>
      <c r="J3906" s="5" t="s">
        <v>3738</v>
      </c>
      <c r="K3906" s="5" t="s">
        <v>3739</v>
      </c>
      <c r="L3906" s="5" t="s">
        <v>3740</v>
      </c>
      <c r="M3906" s="5" t="s">
        <v>1882</v>
      </c>
      <c r="N3906" s="5" t="s">
        <v>267</v>
      </c>
      <c r="O3906" s="5" t="s">
        <v>3575</v>
      </c>
      <c r="P3906" s="5"/>
      <c r="Q3906" s="5" t="s">
        <v>3548</v>
      </c>
    </row>
    <row r="3907" spans="2:17" x14ac:dyDescent="0.2">
      <c r="B3907" s="5" t="s">
        <v>3543</v>
      </c>
      <c r="C3907" s="6" t="s">
        <v>13587</v>
      </c>
      <c r="D3907" s="4">
        <v>1102</v>
      </c>
      <c r="E3907" s="5" t="s">
        <v>20</v>
      </c>
      <c r="F3907" s="5" t="s">
        <v>3767</v>
      </c>
      <c r="G3907" s="6"/>
      <c r="H3907" s="4"/>
      <c r="I3907" s="5" t="s">
        <v>38</v>
      </c>
      <c r="J3907" s="5" t="s">
        <v>3768</v>
      </c>
      <c r="K3907" s="5"/>
      <c r="L3907" s="5"/>
      <c r="M3907" s="5" t="s">
        <v>2236</v>
      </c>
      <c r="N3907" s="5" t="s">
        <v>224</v>
      </c>
      <c r="O3907" s="5" t="s">
        <v>3659</v>
      </c>
      <c r="P3907" s="5"/>
      <c r="Q3907" s="5" t="s">
        <v>3548</v>
      </c>
    </row>
    <row r="3908" spans="2:17" x14ac:dyDescent="0.2">
      <c r="B3908" s="5" t="s">
        <v>3543</v>
      </c>
      <c r="C3908" s="6" t="s">
        <v>13587</v>
      </c>
      <c r="D3908" s="4">
        <v>1106</v>
      </c>
      <c r="E3908" s="5" t="s">
        <v>20</v>
      </c>
      <c r="F3908" s="5" t="s">
        <v>3634</v>
      </c>
      <c r="G3908" s="6"/>
      <c r="H3908" s="4"/>
      <c r="I3908" s="5" t="s">
        <v>22</v>
      </c>
      <c r="J3908" s="5" t="s">
        <v>3639</v>
      </c>
      <c r="K3908" s="5" t="s">
        <v>3640</v>
      </c>
      <c r="L3908" s="5" t="s">
        <v>3593</v>
      </c>
      <c r="M3908" s="5" t="s">
        <v>351</v>
      </c>
      <c r="N3908" s="5" t="s">
        <v>352</v>
      </c>
      <c r="O3908" s="5" t="s">
        <v>3551</v>
      </c>
      <c r="P3908" s="5"/>
      <c r="Q3908" s="5" t="s">
        <v>3548</v>
      </c>
    </row>
    <row r="3909" spans="2:17" x14ac:dyDescent="0.2">
      <c r="B3909" s="5" t="s">
        <v>3543</v>
      </c>
      <c r="C3909" s="6" t="s">
        <v>13587</v>
      </c>
      <c r="D3909" s="4">
        <v>1107</v>
      </c>
      <c r="E3909" s="5" t="s">
        <v>20</v>
      </c>
      <c r="F3909" s="5" t="s">
        <v>3634</v>
      </c>
      <c r="G3909" s="6"/>
      <c r="H3909" s="4"/>
      <c r="I3909" s="5" t="s">
        <v>22</v>
      </c>
      <c r="J3909" s="5" t="s">
        <v>3635</v>
      </c>
      <c r="K3909" s="5" t="s">
        <v>3636</v>
      </c>
      <c r="L3909" s="5" t="s">
        <v>3637</v>
      </c>
      <c r="M3909" s="5" t="s">
        <v>1470</v>
      </c>
      <c r="N3909" s="5" t="s">
        <v>3638</v>
      </c>
      <c r="O3909" s="5" t="s">
        <v>3551</v>
      </c>
      <c r="P3909" s="5"/>
      <c r="Q3909" s="5" t="s">
        <v>3548</v>
      </c>
    </row>
    <row r="3910" spans="2:17" x14ac:dyDescent="0.2">
      <c r="B3910" s="5" t="s">
        <v>13386</v>
      </c>
      <c r="C3910" s="6" t="s">
        <v>13591</v>
      </c>
      <c r="D3910" s="4">
        <v>6</v>
      </c>
      <c r="E3910" s="5" t="s">
        <v>20</v>
      </c>
      <c r="F3910" s="5" t="s">
        <v>13403</v>
      </c>
      <c r="G3910" s="6" t="s">
        <v>41</v>
      </c>
      <c r="H3910" s="4"/>
      <c r="I3910" s="5" t="s">
        <v>38</v>
      </c>
      <c r="J3910" s="5" t="s">
        <v>13404</v>
      </c>
      <c r="K3910" s="5" t="s">
        <v>13405</v>
      </c>
      <c r="L3910" s="5"/>
      <c r="M3910" s="5" t="s">
        <v>1416</v>
      </c>
      <c r="N3910" s="5" t="s">
        <v>1416</v>
      </c>
      <c r="O3910" s="5" t="s">
        <v>4646</v>
      </c>
      <c r="P3910" s="5"/>
      <c r="Q3910" s="5" t="s">
        <v>13406</v>
      </c>
    </row>
    <row r="3911" spans="2:17" x14ac:dyDescent="0.2">
      <c r="B3911" s="5" t="s">
        <v>13501</v>
      </c>
      <c r="C3911" s="6" t="s">
        <v>13591</v>
      </c>
      <c r="D3911" s="4">
        <v>34</v>
      </c>
      <c r="E3911" s="5" t="s">
        <v>13</v>
      </c>
      <c r="F3911" s="5" t="s">
        <v>13502</v>
      </c>
      <c r="G3911" s="6" t="s">
        <v>43</v>
      </c>
      <c r="H3911" s="4"/>
      <c r="I3911" s="5"/>
      <c r="J3911" s="5" t="s">
        <v>13503</v>
      </c>
      <c r="K3911" s="5" t="s">
        <v>13504</v>
      </c>
      <c r="L3911" s="5"/>
      <c r="M3911" s="5" t="s">
        <v>13505</v>
      </c>
      <c r="N3911" s="5" t="s">
        <v>2384</v>
      </c>
      <c r="O3911" s="5" t="s">
        <v>13506</v>
      </c>
      <c r="P3911" s="5"/>
      <c r="Q3911" s="5" t="s">
        <v>13507</v>
      </c>
    </row>
    <row r="3912" spans="2:17" x14ac:dyDescent="0.2">
      <c r="B3912" s="5" t="s">
        <v>13374</v>
      </c>
      <c r="C3912" s="6" t="s">
        <v>13591</v>
      </c>
      <c r="D3912" s="4">
        <v>1</v>
      </c>
      <c r="E3912" s="5" t="s">
        <v>32</v>
      </c>
      <c r="F3912" s="5" t="s">
        <v>1144</v>
      </c>
      <c r="G3912" s="6" t="s">
        <v>14</v>
      </c>
      <c r="H3912" s="4">
        <v>1</v>
      </c>
      <c r="I3912" s="5" t="s">
        <v>38</v>
      </c>
      <c r="J3912" s="5" t="s">
        <v>13375</v>
      </c>
      <c r="K3912" s="5" t="s">
        <v>13376</v>
      </c>
      <c r="L3912" s="5"/>
      <c r="M3912" s="5" t="s">
        <v>3537</v>
      </c>
      <c r="N3912" s="5" t="s">
        <v>2278</v>
      </c>
      <c r="O3912" s="5" t="s">
        <v>13377</v>
      </c>
      <c r="P3912" s="5"/>
      <c r="Q3912" s="5" t="s">
        <v>13378</v>
      </c>
    </row>
    <row r="3913" spans="2:17" x14ac:dyDescent="0.2">
      <c r="B3913" s="5" t="s">
        <v>13374</v>
      </c>
      <c r="C3913" s="6" t="s">
        <v>13591</v>
      </c>
      <c r="D3913" s="4">
        <v>2</v>
      </c>
      <c r="E3913" s="5" t="s">
        <v>32</v>
      </c>
      <c r="F3913" s="5" t="s">
        <v>1144</v>
      </c>
      <c r="G3913" s="6" t="s">
        <v>14</v>
      </c>
      <c r="H3913" s="4">
        <v>2</v>
      </c>
      <c r="I3913" s="5" t="s">
        <v>38</v>
      </c>
      <c r="J3913" s="5" t="s">
        <v>13379</v>
      </c>
      <c r="K3913" s="5" t="s">
        <v>13380</v>
      </c>
      <c r="L3913" s="5"/>
      <c r="M3913" s="5" t="s">
        <v>3537</v>
      </c>
      <c r="N3913" s="5" t="s">
        <v>2278</v>
      </c>
      <c r="O3913" s="5" t="s">
        <v>13381</v>
      </c>
      <c r="P3913" s="5"/>
      <c r="Q3913" s="5" t="s">
        <v>13382</v>
      </c>
    </row>
    <row r="3914" spans="2:17" x14ac:dyDescent="0.2">
      <c r="B3914" s="5" t="s">
        <v>13386</v>
      </c>
      <c r="C3914" s="6" t="s">
        <v>13591</v>
      </c>
      <c r="D3914" s="4">
        <v>3</v>
      </c>
      <c r="E3914" s="5" t="s">
        <v>35</v>
      </c>
      <c r="F3914" s="5" t="s">
        <v>13414</v>
      </c>
      <c r="G3914" s="6" t="s">
        <v>14</v>
      </c>
      <c r="H3914" s="4">
        <v>3</v>
      </c>
      <c r="I3914" s="5"/>
      <c r="J3914" s="5" t="s">
        <v>13415</v>
      </c>
      <c r="K3914" s="5" t="s">
        <v>13416</v>
      </c>
      <c r="L3914" s="5"/>
      <c r="M3914" s="5" t="s">
        <v>1812</v>
      </c>
      <c r="N3914" s="5" t="s">
        <v>2376</v>
      </c>
      <c r="O3914" s="5" t="s">
        <v>13389</v>
      </c>
      <c r="P3914" s="5"/>
      <c r="Q3914" s="5" t="s">
        <v>13417</v>
      </c>
    </row>
    <row r="3915" spans="2:17" x14ac:dyDescent="0.2">
      <c r="B3915" s="5" t="s">
        <v>13386</v>
      </c>
      <c r="C3915" s="6" t="s">
        <v>13591</v>
      </c>
      <c r="D3915" s="4">
        <v>4</v>
      </c>
      <c r="E3915" s="5" t="s">
        <v>32</v>
      </c>
      <c r="F3915" s="5" t="s">
        <v>13407</v>
      </c>
      <c r="G3915" s="6" t="s">
        <v>14</v>
      </c>
      <c r="H3915" s="4">
        <v>4</v>
      </c>
      <c r="I3915" s="5" t="s">
        <v>38</v>
      </c>
      <c r="J3915" s="5" t="s">
        <v>13408</v>
      </c>
      <c r="K3915" s="5" t="s">
        <v>13409</v>
      </c>
      <c r="L3915" s="5"/>
      <c r="M3915" s="5" t="s">
        <v>1436</v>
      </c>
      <c r="N3915" s="5" t="s">
        <v>1437</v>
      </c>
      <c r="O3915" s="5" t="s">
        <v>13410</v>
      </c>
      <c r="P3915" s="5"/>
      <c r="Q3915" s="5" t="s">
        <v>13411</v>
      </c>
    </row>
    <row r="3916" spans="2:17" x14ac:dyDescent="0.2">
      <c r="B3916" s="5" t="s">
        <v>13386</v>
      </c>
      <c r="C3916" s="6" t="s">
        <v>13591</v>
      </c>
      <c r="D3916" s="4">
        <v>5</v>
      </c>
      <c r="E3916" s="5" t="s">
        <v>32</v>
      </c>
      <c r="F3916" s="5" t="s">
        <v>13412</v>
      </c>
      <c r="G3916" s="6" t="s">
        <v>14</v>
      </c>
      <c r="H3916" s="4">
        <v>5</v>
      </c>
      <c r="I3916" s="5" t="s">
        <v>38</v>
      </c>
      <c r="J3916" s="5" t="s">
        <v>7288</v>
      </c>
      <c r="K3916" s="5" t="s">
        <v>13393</v>
      </c>
      <c r="L3916" s="5"/>
      <c r="M3916" s="5" t="s">
        <v>1436</v>
      </c>
      <c r="N3916" s="5" t="s">
        <v>1437</v>
      </c>
      <c r="O3916" s="5" t="s">
        <v>13389</v>
      </c>
      <c r="P3916" s="5"/>
      <c r="Q3916" s="5" t="s">
        <v>13413</v>
      </c>
    </row>
    <row r="3917" spans="2:17" x14ac:dyDescent="0.2">
      <c r="B3917" s="5" t="s">
        <v>13386</v>
      </c>
      <c r="C3917" s="6" t="s">
        <v>13591</v>
      </c>
      <c r="D3917" s="4">
        <v>7</v>
      </c>
      <c r="E3917" s="5" t="s">
        <v>35</v>
      </c>
      <c r="F3917" s="5" t="s">
        <v>13399</v>
      </c>
      <c r="G3917" s="6" t="s">
        <v>14</v>
      </c>
      <c r="H3917" s="4">
        <v>6</v>
      </c>
      <c r="I3917" s="5"/>
      <c r="J3917" s="5" t="s">
        <v>13400</v>
      </c>
      <c r="K3917" s="5" t="s">
        <v>13401</v>
      </c>
      <c r="L3917" s="5"/>
      <c r="M3917" s="5" t="s">
        <v>1750</v>
      </c>
      <c r="N3917" s="5" t="s">
        <v>1751</v>
      </c>
      <c r="O3917" s="5" t="s">
        <v>4646</v>
      </c>
      <c r="P3917" s="5"/>
      <c r="Q3917" s="5" t="s">
        <v>13402</v>
      </c>
    </row>
    <row r="3918" spans="2:17" x14ac:dyDescent="0.2">
      <c r="B3918" s="5" t="s">
        <v>13386</v>
      </c>
      <c r="C3918" s="6" t="s">
        <v>13591</v>
      </c>
      <c r="D3918" s="4">
        <v>9</v>
      </c>
      <c r="E3918" s="5" t="s">
        <v>32</v>
      </c>
      <c r="F3918" s="5" t="s">
        <v>13391</v>
      </c>
      <c r="G3918" s="6" t="s">
        <v>14</v>
      </c>
      <c r="H3918" s="4">
        <v>7</v>
      </c>
      <c r="I3918" s="5" t="s">
        <v>22</v>
      </c>
      <c r="J3918" s="5" t="s">
        <v>13392</v>
      </c>
      <c r="K3918" s="5" t="s">
        <v>13393</v>
      </c>
      <c r="L3918" s="5"/>
      <c r="M3918" s="5" t="s">
        <v>1230</v>
      </c>
      <c r="N3918" s="5" t="s">
        <v>1230</v>
      </c>
      <c r="O3918" s="5" t="s">
        <v>13389</v>
      </c>
      <c r="P3918" s="5"/>
      <c r="Q3918" s="5" t="s">
        <v>7054</v>
      </c>
    </row>
    <row r="3919" spans="2:17" x14ac:dyDescent="0.2">
      <c r="B3919" s="5" t="s">
        <v>13386</v>
      </c>
      <c r="C3919" s="6" t="s">
        <v>13591</v>
      </c>
      <c r="D3919" s="4">
        <v>10</v>
      </c>
      <c r="E3919" s="5" t="s">
        <v>32</v>
      </c>
      <c r="F3919" s="5" t="s">
        <v>1719</v>
      </c>
      <c r="G3919" s="6" t="s">
        <v>14</v>
      </c>
      <c r="H3919" s="4">
        <v>8</v>
      </c>
      <c r="I3919" s="5" t="s">
        <v>38</v>
      </c>
      <c r="J3919" s="5" t="s">
        <v>13387</v>
      </c>
      <c r="K3919" s="5" t="s">
        <v>13388</v>
      </c>
      <c r="L3919" s="5"/>
      <c r="M3919" s="5" t="s">
        <v>1218</v>
      </c>
      <c r="N3919" s="5" t="s">
        <v>1723</v>
      </c>
      <c r="O3919" s="5" t="s">
        <v>13389</v>
      </c>
      <c r="P3919" s="5"/>
      <c r="Q3919" s="5" t="s">
        <v>13390</v>
      </c>
    </row>
    <row r="3920" spans="2:17" x14ac:dyDescent="0.2">
      <c r="B3920" s="5" t="s">
        <v>13386</v>
      </c>
      <c r="C3920" s="6" t="s">
        <v>13591</v>
      </c>
      <c r="D3920" s="4">
        <v>11</v>
      </c>
      <c r="E3920" s="5" t="s">
        <v>15</v>
      </c>
      <c r="F3920" s="5" t="s">
        <v>13426</v>
      </c>
      <c r="G3920" s="6" t="s">
        <v>14</v>
      </c>
      <c r="H3920" s="4">
        <v>9</v>
      </c>
      <c r="I3920" s="5"/>
      <c r="J3920" s="5" t="s">
        <v>13427</v>
      </c>
      <c r="K3920" s="5" t="s">
        <v>13428</v>
      </c>
      <c r="L3920" s="5"/>
      <c r="M3920" s="5" t="s">
        <v>533</v>
      </c>
      <c r="N3920" s="5" t="s">
        <v>2278</v>
      </c>
      <c r="O3920" s="5" t="s">
        <v>13429</v>
      </c>
      <c r="P3920" s="5"/>
      <c r="Q3920" s="5" t="s">
        <v>13430</v>
      </c>
    </row>
    <row r="3921" spans="2:17" x14ac:dyDescent="0.2">
      <c r="B3921" s="5" t="s">
        <v>13386</v>
      </c>
      <c r="C3921" s="6" t="s">
        <v>13591</v>
      </c>
      <c r="D3921" s="4">
        <v>12</v>
      </c>
      <c r="E3921" s="5" t="s">
        <v>35</v>
      </c>
      <c r="F3921" s="5" t="s">
        <v>13418</v>
      </c>
      <c r="G3921" s="6" t="s">
        <v>14</v>
      </c>
      <c r="H3921" s="4">
        <v>10</v>
      </c>
      <c r="I3921" s="5" t="s">
        <v>38</v>
      </c>
      <c r="J3921" s="5" t="s">
        <v>13419</v>
      </c>
      <c r="K3921" s="5" t="s">
        <v>13388</v>
      </c>
      <c r="L3921" s="5"/>
      <c r="M3921" s="5" t="s">
        <v>1658</v>
      </c>
      <c r="N3921" s="5" t="s">
        <v>496</v>
      </c>
      <c r="O3921" s="5" t="s">
        <v>13389</v>
      </c>
      <c r="P3921" s="5"/>
      <c r="Q3921" s="5" t="s">
        <v>13420</v>
      </c>
    </row>
    <row r="3922" spans="2:17" x14ac:dyDescent="0.2">
      <c r="B3922" s="5" t="s">
        <v>13386</v>
      </c>
      <c r="C3922" s="6" t="s">
        <v>13591</v>
      </c>
      <c r="D3922" s="4">
        <v>13</v>
      </c>
      <c r="E3922" s="5" t="s">
        <v>35</v>
      </c>
      <c r="F3922" s="5" t="s">
        <v>13418</v>
      </c>
      <c r="G3922" s="6" t="s">
        <v>14</v>
      </c>
      <c r="H3922" s="4">
        <v>11</v>
      </c>
      <c r="I3922" s="5"/>
      <c r="J3922" s="5" t="s">
        <v>13421</v>
      </c>
      <c r="K3922" s="5" t="s">
        <v>13393</v>
      </c>
      <c r="L3922" s="5"/>
      <c r="M3922" s="5" t="s">
        <v>1658</v>
      </c>
      <c r="N3922" s="5" t="s">
        <v>496</v>
      </c>
      <c r="O3922" s="5" t="s">
        <v>4646</v>
      </c>
      <c r="P3922" s="5"/>
      <c r="Q3922" s="5" t="s">
        <v>13422</v>
      </c>
    </row>
    <row r="3923" spans="2:17" x14ac:dyDescent="0.2">
      <c r="B3923" s="5" t="s">
        <v>13386</v>
      </c>
      <c r="C3923" s="6" t="s">
        <v>13591</v>
      </c>
      <c r="D3923" s="4">
        <v>14</v>
      </c>
      <c r="E3923" s="5" t="s">
        <v>35</v>
      </c>
      <c r="F3923" s="5" t="s">
        <v>13418</v>
      </c>
      <c r="G3923" s="6" t="s">
        <v>14</v>
      </c>
      <c r="H3923" s="4">
        <v>12</v>
      </c>
      <c r="I3923" s="5"/>
      <c r="J3923" s="5" t="s">
        <v>13423</v>
      </c>
      <c r="K3923" s="5" t="s">
        <v>13424</v>
      </c>
      <c r="L3923" s="5"/>
      <c r="M3923" s="5" t="s">
        <v>1658</v>
      </c>
      <c r="N3923" s="5" t="s">
        <v>496</v>
      </c>
      <c r="O3923" s="5" t="s">
        <v>13389</v>
      </c>
      <c r="P3923" s="5"/>
      <c r="Q3923" s="5" t="s">
        <v>13425</v>
      </c>
    </row>
    <row r="3924" spans="2:17" x14ac:dyDescent="0.2">
      <c r="B3924" s="5" t="s">
        <v>13431</v>
      </c>
      <c r="C3924" s="6" t="s">
        <v>13591</v>
      </c>
      <c r="D3924" s="4">
        <v>16</v>
      </c>
      <c r="E3924" s="5" t="s">
        <v>32</v>
      </c>
      <c r="F3924" s="5" t="s">
        <v>1851</v>
      </c>
      <c r="G3924" s="6" t="s">
        <v>14</v>
      </c>
      <c r="H3924" s="4">
        <v>13</v>
      </c>
      <c r="I3924" s="5" t="s">
        <v>38</v>
      </c>
      <c r="J3924" s="5" t="s">
        <v>13437</v>
      </c>
      <c r="K3924" s="5" t="s">
        <v>13438</v>
      </c>
      <c r="L3924" s="5"/>
      <c r="M3924" s="5" t="s">
        <v>1843</v>
      </c>
      <c r="N3924" s="5" t="s">
        <v>1844</v>
      </c>
      <c r="O3924" s="5" t="s">
        <v>13439</v>
      </c>
      <c r="P3924" s="5"/>
      <c r="Q3924" s="5" t="s">
        <v>13440</v>
      </c>
    </row>
    <row r="3925" spans="2:17" x14ac:dyDescent="0.2">
      <c r="B3925" s="5" t="s">
        <v>13431</v>
      </c>
      <c r="C3925" s="6" t="s">
        <v>13591</v>
      </c>
      <c r="D3925" s="4">
        <v>17</v>
      </c>
      <c r="E3925" s="5" t="s">
        <v>32</v>
      </c>
      <c r="F3925" s="5" t="s">
        <v>13432</v>
      </c>
      <c r="G3925" s="6" t="s">
        <v>14</v>
      </c>
      <c r="H3925" s="4">
        <v>14</v>
      </c>
      <c r="I3925" s="5" t="s">
        <v>22</v>
      </c>
      <c r="J3925" s="5" t="s">
        <v>13433</v>
      </c>
      <c r="K3925" s="5" t="s">
        <v>13434</v>
      </c>
      <c r="L3925" s="5"/>
      <c r="M3925" s="5" t="s">
        <v>648</v>
      </c>
      <c r="N3925" s="5" t="s">
        <v>1416</v>
      </c>
      <c r="O3925" s="5" t="s">
        <v>13435</v>
      </c>
      <c r="P3925" s="5"/>
      <c r="Q3925" s="5" t="s">
        <v>13436</v>
      </c>
    </row>
    <row r="3926" spans="2:17" x14ac:dyDescent="0.2">
      <c r="B3926" s="5" t="s">
        <v>13462</v>
      </c>
      <c r="C3926" s="6" t="s">
        <v>13591</v>
      </c>
      <c r="D3926" s="4">
        <v>22</v>
      </c>
      <c r="E3926" s="5" t="s">
        <v>32</v>
      </c>
      <c r="F3926" s="5" t="s">
        <v>1845</v>
      </c>
      <c r="G3926" s="6" t="s">
        <v>14</v>
      </c>
      <c r="H3926" s="4">
        <v>15</v>
      </c>
      <c r="I3926" s="5" t="s">
        <v>38</v>
      </c>
      <c r="J3926" s="5" t="s">
        <v>13478</v>
      </c>
      <c r="K3926" s="5" t="s">
        <v>13479</v>
      </c>
      <c r="L3926" s="5"/>
      <c r="M3926" s="5" t="s">
        <v>1843</v>
      </c>
      <c r="N3926" s="5" t="s">
        <v>1844</v>
      </c>
      <c r="O3926" s="5" t="s">
        <v>13480</v>
      </c>
      <c r="P3926" s="5"/>
      <c r="Q3926" s="5" t="s">
        <v>13481</v>
      </c>
    </row>
    <row r="3927" spans="2:17" x14ac:dyDescent="0.2">
      <c r="B3927" s="5" t="s">
        <v>13462</v>
      </c>
      <c r="C3927" s="6" t="s">
        <v>13591</v>
      </c>
      <c r="D3927" s="4">
        <v>23</v>
      </c>
      <c r="E3927" s="5" t="s">
        <v>32</v>
      </c>
      <c r="F3927" s="5" t="s">
        <v>1845</v>
      </c>
      <c r="G3927" s="6" t="s">
        <v>14</v>
      </c>
      <c r="H3927" s="4">
        <v>16</v>
      </c>
      <c r="I3927" s="5" t="s">
        <v>38</v>
      </c>
      <c r="J3927" s="5" t="s">
        <v>13482</v>
      </c>
      <c r="K3927" s="5" t="s">
        <v>13483</v>
      </c>
      <c r="L3927" s="5" t="s">
        <v>13484</v>
      </c>
      <c r="M3927" s="5" t="s">
        <v>1843</v>
      </c>
      <c r="N3927" s="5" t="s">
        <v>1844</v>
      </c>
      <c r="O3927" s="5" t="s">
        <v>13467</v>
      </c>
      <c r="P3927" s="5"/>
      <c r="Q3927" s="5" t="s">
        <v>13485</v>
      </c>
    </row>
    <row r="3928" spans="2:17" x14ac:dyDescent="0.2">
      <c r="B3928" s="5" t="s">
        <v>13490</v>
      </c>
      <c r="C3928" s="6" t="s">
        <v>13591</v>
      </c>
      <c r="D3928" s="4">
        <v>28</v>
      </c>
      <c r="E3928" s="5" t="s">
        <v>32</v>
      </c>
      <c r="F3928" s="5" t="s">
        <v>1144</v>
      </c>
      <c r="G3928" s="6" t="s">
        <v>14</v>
      </c>
      <c r="H3928" s="4">
        <v>17</v>
      </c>
      <c r="I3928" s="5" t="s">
        <v>38</v>
      </c>
      <c r="J3928" s="5" t="s">
        <v>13379</v>
      </c>
      <c r="K3928" s="5"/>
      <c r="L3928" s="5" t="s">
        <v>13492</v>
      </c>
      <c r="M3928" s="5" t="s">
        <v>3537</v>
      </c>
      <c r="N3928" s="5" t="s">
        <v>2278</v>
      </c>
      <c r="O3928" s="5" t="s">
        <v>13377</v>
      </c>
      <c r="P3928" s="5"/>
      <c r="Q3928" s="5" t="s">
        <v>13494</v>
      </c>
    </row>
    <row r="3929" spans="2:17" x14ac:dyDescent="0.2">
      <c r="B3929" s="5" t="s">
        <v>13490</v>
      </c>
      <c r="C3929" s="6" t="s">
        <v>13591</v>
      </c>
      <c r="D3929" s="4">
        <v>29</v>
      </c>
      <c r="E3929" s="5" t="s">
        <v>32</v>
      </c>
      <c r="F3929" s="5" t="s">
        <v>1144</v>
      </c>
      <c r="G3929" s="6" t="s">
        <v>14</v>
      </c>
      <c r="H3929" s="4">
        <v>18</v>
      </c>
      <c r="I3929" s="5" t="s">
        <v>38</v>
      </c>
      <c r="J3929" s="5" t="s">
        <v>13491</v>
      </c>
      <c r="K3929" s="5"/>
      <c r="L3929" s="5" t="s">
        <v>13492</v>
      </c>
      <c r="M3929" s="5" t="s">
        <v>260</v>
      </c>
      <c r="N3929" s="5" t="s">
        <v>1150</v>
      </c>
      <c r="O3929" s="5" t="s">
        <v>13377</v>
      </c>
      <c r="P3929" s="5"/>
      <c r="Q3929" s="5" t="s">
        <v>13493</v>
      </c>
    </row>
    <row r="3930" spans="2:17" x14ac:dyDescent="0.2">
      <c r="B3930" s="5" t="s">
        <v>13501</v>
      </c>
      <c r="C3930" s="6" t="s">
        <v>13591</v>
      </c>
      <c r="D3930" s="4">
        <v>35</v>
      </c>
      <c r="E3930" s="5" t="s">
        <v>24</v>
      </c>
      <c r="F3930" s="5" t="s">
        <v>13549</v>
      </c>
      <c r="G3930" s="6" t="s">
        <v>14</v>
      </c>
      <c r="H3930" s="4">
        <v>19</v>
      </c>
      <c r="I3930" s="5"/>
      <c r="J3930" s="5" t="s">
        <v>13550</v>
      </c>
      <c r="K3930" s="5" t="s">
        <v>13532</v>
      </c>
      <c r="L3930" s="5"/>
      <c r="M3930" s="5" t="s">
        <v>1415</v>
      </c>
      <c r="N3930" s="5" t="s">
        <v>1415</v>
      </c>
      <c r="O3930" s="5" t="s">
        <v>13518</v>
      </c>
      <c r="P3930" s="5"/>
      <c r="Q3930" s="5" t="s">
        <v>13551</v>
      </c>
    </row>
    <row r="3931" spans="2:17" x14ac:dyDescent="0.2">
      <c r="B3931" s="5" t="s">
        <v>13501</v>
      </c>
      <c r="C3931" s="6" t="s">
        <v>13591</v>
      </c>
      <c r="D3931" s="4">
        <v>39</v>
      </c>
      <c r="E3931" s="5" t="s">
        <v>35</v>
      </c>
      <c r="F3931" s="5" t="s">
        <v>13372</v>
      </c>
      <c r="G3931" s="6" t="s">
        <v>14</v>
      </c>
      <c r="H3931" s="4">
        <v>20</v>
      </c>
      <c r="I3931" s="5"/>
      <c r="J3931" s="5" t="s">
        <v>13531</v>
      </c>
      <c r="K3931" s="5" t="s">
        <v>13532</v>
      </c>
      <c r="L3931" s="5"/>
      <c r="M3931" s="5" t="s">
        <v>1928</v>
      </c>
      <c r="N3931" s="5" t="s">
        <v>1928</v>
      </c>
      <c r="O3931" s="5" t="s">
        <v>13518</v>
      </c>
      <c r="P3931" s="5"/>
      <c r="Q3931" s="5" t="s">
        <v>13533</v>
      </c>
    </row>
    <row r="3932" spans="2:17" x14ac:dyDescent="0.2">
      <c r="B3932" s="5" t="s">
        <v>13501</v>
      </c>
      <c r="C3932" s="6" t="s">
        <v>13591</v>
      </c>
      <c r="D3932" s="4">
        <v>40</v>
      </c>
      <c r="E3932" s="5" t="s">
        <v>35</v>
      </c>
      <c r="F3932" s="5" t="s">
        <v>13534</v>
      </c>
      <c r="G3932" s="6" t="s">
        <v>14</v>
      </c>
      <c r="H3932" s="4">
        <v>21</v>
      </c>
      <c r="I3932" s="5"/>
      <c r="J3932" s="5" t="s">
        <v>13535</v>
      </c>
      <c r="K3932" s="5"/>
      <c r="L3932" s="5"/>
      <c r="M3932" s="5" t="s">
        <v>1928</v>
      </c>
      <c r="N3932" s="5" t="s">
        <v>1928</v>
      </c>
      <c r="O3932" s="5" t="s">
        <v>13514</v>
      </c>
      <c r="P3932" s="5"/>
      <c r="Q3932" s="5" t="s">
        <v>13536</v>
      </c>
    </row>
    <row r="3933" spans="2:17" x14ac:dyDescent="0.2">
      <c r="B3933" s="5" t="s">
        <v>13501</v>
      </c>
      <c r="C3933" s="6" t="s">
        <v>13591</v>
      </c>
      <c r="D3933" s="4">
        <v>41</v>
      </c>
      <c r="E3933" s="5" t="s">
        <v>35</v>
      </c>
      <c r="F3933" s="5" t="s">
        <v>13537</v>
      </c>
      <c r="G3933" s="6" t="s">
        <v>14</v>
      </c>
      <c r="H3933" s="4">
        <v>22</v>
      </c>
      <c r="I3933" s="5"/>
      <c r="J3933" s="5" t="s">
        <v>11192</v>
      </c>
      <c r="K3933" s="5" t="s">
        <v>13538</v>
      </c>
      <c r="L3933" s="5" t="s">
        <v>13539</v>
      </c>
      <c r="M3933" s="5" t="s">
        <v>1750</v>
      </c>
      <c r="N3933" s="5" t="s">
        <v>1751</v>
      </c>
      <c r="O3933" s="5" t="s">
        <v>13506</v>
      </c>
      <c r="P3933" s="5"/>
      <c r="Q3933" s="5" t="s">
        <v>13540</v>
      </c>
    </row>
    <row r="3934" spans="2:17" x14ac:dyDescent="0.2">
      <c r="B3934" s="5" t="s">
        <v>13501</v>
      </c>
      <c r="C3934" s="6" t="s">
        <v>13591</v>
      </c>
      <c r="D3934" s="4">
        <v>47</v>
      </c>
      <c r="E3934" s="5" t="s">
        <v>32</v>
      </c>
      <c r="F3934" s="5" t="s">
        <v>13520</v>
      </c>
      <c r="G3934" s="6" t="s">
        <v>14</v>
      </c>
      <c r="H3934" s="4">
        <v>23</v>
      </c>
      <c r="I3934" s="5" t="s">
        <v>22</v>
      </c>
      <c r="J3934" s="5" t="s">
        <v>13521</v>
      </c>
      <c r="K3934" s="5" t="s">
        <v>13384</v>
      </c>
      <c r="L3934" s="5" t="s">
        <v>13522</v>
      </c>
      <c r="M3934" s="5" t="s">
        <v>1201</v>
      </c>
      <c r="N3934" s="5" t="s">
        <v>1208</v>
      </c>
      <c r="O3934" s="5" t="s">
        <v>13517</v>
      </c>
      <c r="P3934" s="5"/>
      <c r="Q3934" s="5" t="s">
        <v>13523</v>
      </c>
    </row>
    <row r="3935" spans="2:17" x14ac:dyDescent="0.2">
      <c r="B3935" s="5" t="s">
        <v>13501</v>
      </c>
      <c r="C3935" s="6" t="s">
        <v>13591</v>
      </c>
      <c r="D3935" s="4">
        <v>48</v>
      </c>
      <c r="E3935" s="5" t="s">
        <v>32</v>
      </c>
      <c r="F3935" s="5" t="s">
        <v>13520</v>
      </c>
      <c r="G3935" s="6" t="s">
        <v>14</v>
      </c>
      <c r="H3935" s="4">
        <v>24</v>
      </c>
      <c r="I3935" s="5" t="s">
        <v>22</v>
      </c>
      <c r="J3935" s="5" t="s">
        <v>13524</v>
      </c>
      <c r="K3935" s="5" t="s">
        <v>13525</v>
      </c>
      <c r="L3935" s="5" t="s">
        <v>13526</v>
      </c>
      <c r="M3935" s="5" t="s">
        <v>1201</v>
      </c>
      <c r="N3935" s="5" t="s">
        <v>1208</v>
      </c>
      <c r="O3935" s="5" t="s">
        <v>13517</v>
      </c>
      <c r="P3935" s="5"/>
      <c r="Q3935" s="5" t="s">
        <v>13527</v>
      </c>
    </row>
    <row r="3936" spans="2:17" x14ac:dyDescent="0.2">
      <c r="B3936" s="5" t="s">
        <v>13501</v>
      </c>
      <c r="C3936" s="6" t="s">
        <v>13591</v>
      </c>
      <c r="D3936" s="4">
        <v>49</v>
      </c>
      <c r="E3936" s="5" t="s">
        <v>32</v>
      </c>
      <c r="F3936" s="5" t="s">
        <v>13554</v>
      </c>
      <c r="G3936" s="6" t="s">
        <v>14</v>
      </c>
      <c r="H3936" s="4">
        <v>25</v>
      </c>
      <c r="I3936" s="5" t="s">
        <v>22</v>
      </c>
      <c r="J3936" s="5" t="s">
        <v>13383</v>
      </c>
      <c r="K3936" s="5" t="s">
        <v>13384</v>
      </c>
      <c r="L3936" s="5"/>
      <c r="M3936" s="5" t="s">
        <v>122</v>
      </c>
      <c r="N3936" s="5" t="s">
        <v>366</v>
      </c>
      <c r="O3936" s="5" t="s">
        <v>13517</v>
      </c>
      <c r="P3936" s="5"/>
      <c r="Q3936" s="5" t="s">
        <v>13555</v>
      </c>
    </row>
    <row r="3937" spans="2:17" x14ac:dyDescent="0.2">
      <c r="B3937" s="5" t="s">
        <v>13566</v>
      </c>
      <c r="C3937" s="6" t="s">
        <v>13591</v>
      </c>
      <c r="D3937" s="4">
        <v>52</v>
      </c>
      <c r="E3937" s="5" t="s">
        <v>13</v>
      </c>
      <c r="F3937" s="5" t="s">
        <v>13574</v>
      </c>
      <c r="G3937" s="6" t="s">
        <v>14</v>
      </c>
      <c r="H3937" s="4">
        <v>26</v>
      </c>
      <c r="I3937" s="5"/>
      <c r="J3937" s="5"/>
      <c r="K3937" s="5" t="s">
        <v>13567</v>
      </c>
      <c r="L3937" s="5" t="s">
        <v>13575</v>
      </c>
      <c r="M3937" s="5" t="s">
        <v>843</v>
      </c>
      <c r="N3937" s="5" t="s">
        <v>1512</v>
      </c>
      <c r="O3937" s="5" t="s">
        <v>13572</v>
      </c>
      <c r="P3937" s="5"/>
      <c r="Q3937" s="5" t="s">
        <v>13576</v>
      </c>
    </row>
    <row r="3938" spans="2:17" x14ac:dyDescent="0.2">
      <c r="B3938" s="5" t="s">
        <v>13386</v>
      </c>
      <c r="C3938" s="6" t="s">
        <v>13591</v>
      </c>
      <c r="D3938" s="4">
        <v>8</v>
      </c>
      <c r="E3938" s="5" t="s">
        <v>82</v>
      </c>
      <c r="F3938" s="5" t="s">
        <v>13394</v>
      </c>
      <c r="G3938" s="6" t="s">
        <v>47</v>
      </c>
      <c r="H3938" s="4"/>
      <c r="I3938" s="5"/>
      <c r="J3938" s="5" t="s">
        <v>13395</v>
      </c>
      <c r="K3938" s="5" t="s">
        <v>13396</v>
      </c>
      <c r="L3938" s="5"/>
      <c r="M3938" s="5" t="s">
        <v>291</v>
      </c>
      <c r="N3938" s="5" t="s">
        <v>284</v>
      </c>
      <c r="O3938" s="5" t="s">
        <v>13397</v>
      </c>
      <c r="P3938" s="5"/>
      <c r="Q3938" s="5" t="s">
        <v>13398</v>
      </c>
    </row>
    <row r="3939" spans="2:17" x14ac:dyDescent="0.2">
      <c r="B3939" s="5" t="s">
        <v>13501</v>
      </c>
      <c r="C3939" s="6" t="s">
        <v>13591</v>
      </c>
      <c r="D3939" s="4">
        <v>42</v>
      </c>
      <c r="E3939" s="5" t="s">
        <v>20</v>
      </c>
      <c r="F3939" s="5" t="s">
        <v>13528</v>
      </c>
      <c r="G3939" s="6" t="s">
        <v>47</v>
      </c>
      <c r="H3939" s="4"/>
      <c r="I3939" s="5" t="s">
        <v>22</v>
      </c>
      <c r="J3939" s="5" t="s">
        <v>13529</v>
      </c>
      <c r="K3939" s="5"/>
      <c r="L3939" s="5"/>
      <c r="M3939" s="5" t="s">
        <v>1269</v>
      </c>
      <c r="N3939" s="5" t="s">
        <v>1258</v>
      </c>
      <c r="O3939" s="5" t="s">
        <v>13514</v>
      </c>
      <c r="P3939" s="5"/>
      <c r="Q3939" s="5" t="s">
        <v>13530</v>
      </c>
    </row>
    <row r="3940" spans="2:17" x14ac:dyDescent="0.2">
      <c r="B3940" s="5" t="s">
        <v>13501</v>
      </c>
      <c r="C3940" s="6" t="s">
        <v>13591</v>
      </c>
      <c r="D3940" s="4">
        <v>43</v>
      </c>
      <c r="E3940" s="5" t="s">
        <v>24</v>
      </c>
      <c r="F3940" s="5" t="s">
        <v>6856</v>
      </c>
      <c r="G3940" s="6" t="s">
        <v>47</v>
      </c>
      <c r="H3940" s="4"/>
      <c r="I3940" s="5"/>
      <c r="J3940" s="5" t="s">
        <v>13547</v>
      </c>
      <c r="K3940" s="5" t="s">
        <v>13516</v>
      </c>
      <c r="L3940" s="5"/>
      <c r="M3940" s="5" t="s">
        <v>312</v>
      </c>
      <c r="N3940" s="5" t="s">
        <v>7076</v>
      </c>
      <c r="O3940" s="5" t="s">
        <v>13515</v>
      </c>
      <c r="P3940" s="5"/>
      <c r="Q3940" s="5" t="s">
        <v>13548</v>
      </c>
    </row>
    <row r="3941" spans="2:17" x14ac:dyDescent="0.2">
      <c r="B3941" s="5" t="s">
        <v>13431</v>
      </c>
      <c r="C3941" s="6" t="s">
        <v>13591</v>
      </c>
      <c r="D3941" s="4">
        <v>15</v>
      </c>
      <c r="E3941" s="5" t="s">
        <v>20</v>
      </c>
      <c r="F3941" s="5" t="s">
        <v>13441</v>
      </c>
      <c r="G3941" s="6" t="s">
        <v>18</v>
      </c>
      <c r="H3941" s="4"/>
      <c r="I3941" s="5" t="s">
        <v>22</v>
      </c>
      <c r="J3941" s="5" t="s">
        <v>13447</v>
      </c>
      <c r="K3941" s="5" t="s">
        <v>13373</v>
      </c>
      <c r="L3941" s="5" t="s">
        <v>13448</v>
      </c>
      <c r="M3941" s="5" t="s">
        <v>489</v>
      </c>
      <c r="N3941" s="5" t="s">
        <v>211</v>
      </c>
      <c r="O3941" s="5" t="s">
        <v>13449</v>
      </c>
      <c r="P3941" s="5"/>
      <c r="Q3941" s="5" t="s">
        <v>13450</v>
      </c>
    </row>
    <row r="3942" spans="2:17" x14ac:dyDescent="0.2">
      <c r="B3942" s="5" t="s">
        <v>13431</v>
      </c>
      <c r="C3942" s="6" t="s">
        <v>13591</v>
      </c>
      <c r="D3942" s="4">
        <v>18</v>
      </c>
      <c r="E3942" s="5" t="s">
        <v>20</v>
      </c>
      <c r="F3942" s="5" t="s">
        <v>13441</v>
      </c>
      <c r="G3942" s="6" t="s">
        <v>18</v>
      </c>
      <c r="H3942" s="4"/>
      <c r="I3942" s="5" t="s">
        <v>22</v>
      </c>
      <c r="J3942" s="5" t="s">
        <v>13442</v>
      </c>
      <c r="K3942" s="5" t="s">
        <v>13443</v>
      </c>
      <c r="L3942" s="5" t="s">
        <v>13444</v>
      </c>
      <c r="M3942" s="5" t="s">
        <v>489</v>
      </c>
      <c r="N3942" s="5" t="s">
        <v>490</v>
      </c>
      <c r="O3942" s="5" t="s">
        <v>13445</v>
      </c>
      <c r="P3942" s="5"/>
      <c r="Q3942" s="5" t="s">
        <v>13446</v>
      </c>
    </row>
    <row r="3943" spans="2:17" x14ac:dyDescent="0.2">
      <c r="B3943" s="5" t="s">
        <v>13431</v>
      </c>
      <c r="C3943" s="6" t="s">
        <v>13591</v>
      </c>
      <c r="D3943" s="4">
        <v>19</v>
      </c>
      <c r="E3943" s="5" t="s">
        <v>20</v>
      </c>
      <c r="F3943" s="5" t="s">
        <v>13441</v>
      </c>
      <c r="G3943" s="6" t="s">
        <v>18</v>
      </c>
      <c r="H3943" s="4"/>
      <c r="I3943" s="5" t="s">
        <v>22</v>
      </c>
      <c r="J3943" s="5" t="s">
        <v>13451</v>
      </c>
      <c r="K3943" s="5" t="s">
        <v>13452</v>
      </c>
      <c r="L3943" s="5" t="s">
        <v>13453</v>
      </c>
      <c r="M3943" s="5" t="s">
        <v>489</v>
      </c>
      <c r="N3943" s="5" t="s">
        <v>490</v>
      </c>
      <c r="O3943" s="5" t="s">
        <v>13449</v>
      </c>
      <c r="P3943" s="5"/>
      <c r="Q3943" s="5" t="s">
        <v>13454</v>
      </c>
    </row>
    <row r="3944" spans="2:17" x14ac:dyDescent="0.2">
      <c r="B3944" s="5" t="s">
        <v>13431</v>
      </c>
      <c r="C3944" s="6" t="s">
        <v>13591</v>
      </c>
      <c r="D3944" s="4">
        <v>20</v>
      </c>
      <c r="E3944" s="5" t="s">
        <v>20</v>
      </c>
      <c r="F3944" s="5" t="s">
        <v>13441</v>
      </c>
      <c r="G3944" s="6" t="s">
        <v>18</v>
      </c>
      <c r="H3944" s="4"/>
      <c r="I3944" s="5" t="s">
        <v>22</v>
      </c>
      <c r="J3944" s="5" t="s">
        <v>13455</v>
      </c>
      <c r="K3944" s="5" t="s">
        <v>13456</v>
      </c>
      <c r="L3944" s="5"/>
      <c r="M3944" s="5" t="s">
        <v>489</v>
      </c>
      <c r="N3944" s="5" t="s">
        <v>490</v>
      </c>
      <c r="O3944" s="5" t="s">
        <v>13449</v>
      </c>
      <c r="P3944" s="5"/>
      <c r="Q3944" s="5" t="s">
        <v>13457</v>
      </c>
    </row>
    <row r="3945" spans="2:17" x14ac:dyDescent="0.2">
      <c r="B3945" s="5" t="s">
        <v>13431</v>
      </c>
      <c r="C3945" s="6" t="s">
        <v>13591</v>
      </c>
      <c r="D3945" s="4">
        <v>21</v>
      </c>
      <c r="E3945" s="5" t="s">
        <v>20</v>
      </c>
      <c r="F3945" s="5" t="s">
        <v>13441</v>
      </c>
      <c r="G3945" s="6" t="s">
        <v>18</v>
      </c>
      <c r="H3945" s="4"/>
      <c r="I3945" s="5" t="s">
        <v>22</v>
      </c>
      <c r="J3945" s="5" t="s">
        <v>13458</v>
      </c>
      <c r="K3945" s="5" t="s">
        <v>13459</v>
      </c>
      <c r="L3945" s="5" t="s">
        <v>13460</v>
      </c>
      <c r="M3945" s="5" t="s">
        <v>489</v>
      </c>
      <c r="N3945" s="5" t="s">
        <v>490</v>
      </c>
      <c r="O3945" s="5" t="s">
        <v>13449</v>
      </c>
      <c r="P3945" s="5"/>
      <c r="Q3945" s="5" t="s">
        <v>13461</v>
      </c>
    </row>
    <row r="3946" spans="2:17" x14ac:dyDescent="0.2">
      <c r="B3946" s="5" t="s">
        <v>13501</v>
      </c>
      <c r="C3946" s="6" t="s">
        <v>13591</v>
      </c>
      <c r="D3946" s="4">
        <v>45</v>
      </c>
      <c r="E3946" s="5" t="s">
        <v>20</v>
      </c>
      <c r="F3946" s="5" t="s">
        <v>10192</v>
      </c>
      <c r="G3946" s="6" t="s">
        <v>18</v>
      </c>
      <c r="H3946" s="4"/>
      <c r="I3946" s="5" t="s">
        <v>22</v>
      </c>
      <c r="J3946" s="5" t="s">
        <v>10565</v>
      </c>
      <c r="K3946" s="5" t="s">
        <v>13516</v>
      </c>
      <c r="L3946" s="5"/>
      <c r="M3946" s="5" t="s">
        <v>6076</v>
      </c>
      <c r="N3946" s="5" t="s">
        <v>1073</v>
      </c>
      <c r="O3946" s="5" t="s">
        <v>13515</v>
      </c>
      <c r="P3946" s="5"/>
      <c r="Q3946" s="5" t="s">
        <v>13557</v>
      </c>
    </row>
    <row r="3947" spans="2:17" x14ac:dyDescent="0.2">
      <c r="B3947" s="5" t="s">
        <v>13501</v>
      </c>
      <c r="C3947" s="6" t="s">
        <v>13591</v>
      </c>
      <c r="D3947" s="4">
        <v>46</v>
      </c>
      <c r="E3947" s="5" t="s">
        <v>20</v>
      </c>
      <c r="F3947" s="5" t="s">
        <v>10192</v>
      </c>
      <c r="G3947" s="6" t="s">
        <v>18</v>
      </c>
      <c r="H3947" s="4"/>
      <c r="I3947" s="5" t="s">
        <v>38</v>
      </c>
      <c r="J3947" s="5" t="s">
        <v>10562</v>
      </c>
      <c r="K3947" s="5" t="s">
        <v>13516</v>
      </c>
      <c r="L3947" s="5"/>
      <c r="M3947" s="5" t="s">
        <v>866</v>
      </c>
      <c r="N3947" s="5" t="s">
        <v>6724</v>
      </c>
      <c r="O3947" s="5" t="s">
        <v>13515</v>
      </c>
      <c r="P3947" s="5"/>
      <c r="Q3947" s="5" t="s">
        <v>13556</v>
      </c>
    </row>
    <row r="3948" spans="2:17" x14ac:dyDescent="0.2">
      <c r="B3948" s="5" t="s">
        <v>13495</v>
      </c>
      <c r="C3948" s="6" t="s">
        <v>13591</v>
      </c>
      <c r="D3948" s="4">
        <v>30</v>
      </c>
      <c r="E3948" s="5" t="s">
        <v>20</v>
      </c>
      <c r="F3948" s="5" t="s">
        <v>13496</v>
      </c>
      <c r="G3948" s="6" t="s">
        <v>81</v>
      </c>
      <c r="H3948" s="4"/>
      <c r="I3948" s="5" t="s">
        <v>38</v>
      </c>
      <c r="J3948" s="5" t="s">
        <v>13497</v>
      </c>
      <c r="K3948" s="5"/>
      <c r="L3948" s="5" t="s">
        <v>13498</v>
      </c>
      <c r="M3948" s="5" t="s">
        <v>3893</v>
      </c>
      <c r="N3948" s="5" t="s">
        <v>1596</v>
      </c>
      <c r="O3948" s="5" t="s">
        <v>13499</v>
      </c>
      <c r="P3948" s="5"/>
      <c r="Q3948" s="5" t="s">
        <v>13500</v>
      </c>
    </row>
    <row r="3949" spans="2:17" x14ac:dyDescent="0.2">
      <c r="B3949" s="5" t="s">
        <v>13501</v>
      </c>
      <c r="C3949" s="6" t="s">
        <v>13591</v>
      </c>
      <c r="D3949" s="4">
        <v>31</v>
      </c>
      <c r="E3949" s="5" t="s">
        <v>20</v>
      </c>
      <c r="F3949" s="5" t="s">
        <v>13508</v>
      </c>
      <c r="G3949" s="6" t="s">
        <v>16</v>
      </c>
      <c r="H3949" s="4"/>
      <c r="I3949" s="5" t="s">
        <v>38</v>
      </c>
      <c r="J3949" s="5" t="s">
        <v>8307</v>
      </c>
      <c r="K3949" s="5" t="s">
        <v>13509</v>
      </c>
      <c r="L3949" s="5" t="s">
        <v>13510</v>
      </c>
      <c r="M3949" s="5" t="s">
        <v>13511</v>
      </c>
      <c r="N3949" s="5" t="s">
        <v>1642</v>
      </c>
      <c r="O3949" s="5" t="s">
        <v>13512</v>
      </c>
      <c r="P3949" s="5"/>
      <c r="Q3949" s="5" t="s">
        <v>13513</v>
      </c>
    </row>
    <row r="3950" spans="2:17" x14ac:dyDescent="0.2">
      <c r="B3950" s="5" t="s">
        <v>13501</v>
      </c>
      <c r="C3950" s="6" t="s">
        <v>13591</v>
      </c>
      <c r="D3950" s="4">
        <v>32</v>
      </c>
      <c r="E3950" s="5" t="s">
        <v>20</v>
      </c>
      <c r="F3950" s="5" t="s">
        <v>2721</v>
      </c>
      <c r="G3950" s="6" t="s">
        <v>16</v>
      </c>
      <c r="H3950" s="4"/>
      <c r="I3950" s="5" t="s">
        <v>22</v>
      </c>
      <c r="J3950" s="5" t="s">
        <v>13563</v>
      </c>
      <c r="K3950" s="5" t="s">
        <v>13516</v>
      </c>
      <c r="L3950" s="5" t="s">
        <v>13564</v>
      </c>
      <c r="M3950" s="5" t="s">
        <v>2724</v>
      </c>
      <c r="N3950" s="5" t="s">
        <v>211</v>
      </c>
      <c r="O3950" s="5" t="s">
        <v>13565</v>
      </c>
      <c r="P3950" s="5"/>
      <c r="Q3950" s="5" t="s">
        <v>726</v>
      </c>
    </row>
    <row r="3951" spans="2:17" x14ac:dyDescent="0.2">
      <c r="B3951" s="5" t="s">
        <v>13501</v>
      </c>
      <c r="C3951" s="6" t="s">
        <v>13591</v>
      </c>
      <c r="D3951" s="4">
        <v>33</v>
      </c>
      <c r="E3951" s="5" t="s">
        <v>20</v>
      </c>
      <c r="F3951" s="5" t="s">
        <v>2721</v>
      </c>
      <c r="G3951" s="6" t="s">
        <v>16</v>
      </c>
      <c r="H3951" s="4"/>
      <c r="I3951" s="5" t="s">
        <v>38</v>
      </c>
      <c r="J3951" s="5" t="s">
        <v>13561</v>
      </c>
      <c r="K3951" s="5"/>
      <c r="L3951" s="5"/>
      <c r="M3951" s="5" t="s">
        <v>2724</v>
      </c>
      <c r="N3951" s="5" t="s">
        <v>211</v>
      </c>
      <c r="O3951" s="5" t="s">
        <v>13514</v>
      </c>
      <c r="P3951" s="5"/>
      <c r="Q3951" s="5" t="s">
        <v>13562</v>
      </c>
    </row>
    <row r="3952" spans="2:17" x14ac:dyDescent="0.2">
      <c r="B3952" s="5" t="s">
        <v>13501</v>
      </c>
      <c r="C3952" s="6" t="s">
        <v>13591</v>
      </c>
      <c r="D3952" s="4">
        <v>50</v>
      </c>
      <c r="E3952" s="5" t="s">
        <v>20</v>
      </c>
      <c r="F3952" s="5" t="s">
        <v>10531</v>
      </c>
      <c r="G3952" s="6" t="s">
        <v>65</v>
      </c>
      <c r="H3952" s="4"/>
      <c r="I3952" s="5" t="s">
        <v>22</v>
      </c>
      <c r="J3952" s="5" t="s">
        <v>10532</v>
      </c>
      <c r="K3952" s="5" t="s">
        <v>13516</v>
      </c>
      <c r="L3952" s="5" t="s">
        <v>13552</v>
      </c>
      <c r="M3952" s="5" t="s">
        <v>362</v>
      </c>
      <c r="N3952" s="5" t="s">
        <v>352</v>
      </c>
      <c r="O3952" s="5" t="s">
        <v>13515</v>
      </c>
      <c r="P3952" s="5"/>
      <c r="Q3952" s="5" t="s">
        <v>13553</v>
      </c>
    </row>
    <row r="3953" spans="2:17" x14ac:dyDescent="0.2">
      <c r="B3953" s="5" t="s">
        <v>13462</v>
      </c>
      <c r="C3953" s="6" t="s">
        <v>13591</v>
      </c>
      <c r="D3953" s="4">
        <v>24</v>
      </c>
      <c r="E3953" s="5" t="s">
        <v>20</v>
      </c>
      <c r="F3953" s="5" t="s">
        <v>13473</v>
      </c>
      <c r="G3953" s="6" t="s">
        <v>40</v>
      </c>
      <c r="H3953" s="4"/>
      <c r="I3953" s="5" t="s">
        <v>22</v>
      </c>
      <c r="J3953" s="5" t="s">
        <v>13474</v>
      </c>
      <c r="K3953" s="5" t="s">
        <v>13475</v>
      </c>
      <c r="L3953" s="5" t="s">
        <v>13476</v>
      </c>
      <c r="M3953" s="5" t="s">
        <v>5076</v>
      </c>
      <c r="N3953" s="5" t="s">
        <v>142</v>
      </c>
      <c r="O3953" s="5" t="s">
        <v>13467</v>
      </c>
      <c r="P3953" s="5"/>
      <c r="Q3953" s="5" t="s">
        <v>13477</v>
      </c>
    </row>
    <row r="3954" spans="2:17" x14ac:dyDescent="0.2">
      <c r="B3954" s="5" t="s">
        <v>13462</v>
      </c>
      <c r="C3954" s="6" t="s">
        <v>13591</v>
      </c>
      <c r="D3954" s="4">
        <v>25</v>
      </c>
      <c r="E3954" s="5" t="s">
        <v>20</v>
      </c>
      <c r="F3954" s="5" t="s">
        <v>13463</v>
      </c>
      <c r="G3954" s="6" t="s">
        <v>40</v>
      </c>
      <c r="H3954" s="4"/>
      <c r="I3954" s="5" t="s">
        <v>38</v>
      </c>
      <c r="J3954" s="5" t="s">
        <v>13464</v>
      </c>
      <c r="K3954" s="5" t="s">
        <v>13465</v>
      </c>
      <c r="L3954" s="5" t="s">
        <v>13466</v>
      </c>
      <c r="M3954" s="5" t="s">
        <v>148</v>
      </c>
      <c r="N3954" s="5" t="s">
        <v>1957</v>
      </c>
      <c r="O3954" s="5" t="s">
        <v>13467</v>
      </c>
      <c r="P3954" s="5"/>
      <c r="Q3954" s="5" t="s">
        <v>13468</v>
      </c>
    </row>
    <row r="3955" spans="2:17" x14ac:dyDescent="0.2">
      <c r="B3955" s="5" t="s">
        <v>13462</v>
      </c>
      <c r="C3955" s="6" t="s">
        <v>13591</v>
      </c>
      <c r="D3955" s="4">
        <v>26</v>
      </c>
      <c r="E3955" s="5" t="s">
        <v>20</v>
      </c>
      <c r="F3955" s="5" t="s">
        <v>13463</v>
      </c>
      <c r="G3955" s="6" t="s">
        <v>40</v>
      </c>
      <c r="H3955" s="4"/>
      <c r="I3955" s="5" t="s">
        <v>22</v>
      </c>
      <c r="J3955" s="5" t="s">
        <v>13469</v>
      </c>
      <c r="K3955" s="5" t="s">
        <v>13470</v>
      </c>
      <c r="L3955" s="5" t="s">
        <v>13471</v>
      </c>
      <c r="M3955" s="5" t="s">
        <v>148</v>
      </c>
      <c r="N3955" s="5" t="s">
        <v>1957</v>
      </c>
      <c r="O3955" s="5" t="s">
        <v>13467</v>
      </c>
      <c r="P3955" s="5"/>
      <c r="Q3955" s="5" t="s">
        <v>13472</v>
      </c>
    </row>
    <row r="3956" spans="2:17" x14ac:dyDescent="0.2">
      <c r="B3956" s="5" t="s">
        <v>13462</v>
      </c>
      <c r="C3956" s="6" t="s">
        <v>13591</v>
      </c>
      <c r="D3956" s="4">
        <v>27</v>
      </c>
      <c r="E3956" s="5" t="s">
        <v>20</v>
      </c>
      <c r="F3956" s="5" t="s">
        <v>13486</v>
      </c>
      <c r="G3956" s="6" t="s">
        <v>40</v>
      </c>
      <c r="H3956" s="4"/>
      <c r="I3956" s="5" t="s">
        <v>22</v>
      </c>
      <c r="J3956" s="5" t="s">
        <v>13487</v>
      </c>
      <c r="K3956" s="5" t="s">
        <v>13488</v>
      </c>
      <c r="L3956" s="5"/>
      <c r="M3956" s="5" t="s">
        <v>3537</v>
      </c>
      <c r="N3956" s="5" t="s">
        <v>533</v>
      </c>
      <c r="O3956" s="5" t="s">
        <v>13467</v>
      </c>
      <c r="P3956" s="5"/>
      <c r="Q3956" s="5" t="s">
        <v>13489</v>
      </c>
    </row>
    <row r="3957" spans="2:17" x14ac:dyDescent="0.2">
      <c r="B3957" s="5" t="s">
        <v>13566</v>
      </c>
      <c r="C3957" s="6" t="s">
        <v>13591</v>
      </c>
      <c r="D3957" s="4">
        <v>51</v>
      </c>
      <c r="E3957" s="5" t="s">
        <v>20</v>
      </c>
      <c r="F3957" s="5" t="s">
        <v>13568</v>
      </c>
      <c r="G3957" s="6" t="s">
        <v>40</v>
      </c>
      <c r="H3957" s="4"/>
      <c r="I3957" s="5" t="s">
        <v>38</v>
      </c>
      <c r="J3957" s="5" t="s">
        <v>13569</v>
      </c>
      <c r="K3957" s="5" t="s">
        <v>13570</v>
      </c>
      <c r="L3957" s="5" t="s">
        <v>13571</v>
      </c>
      <c r="M3957" s="5" t="s">
        <v>346</v>
      </c>
      <c r="N3957" s="5" t="s">
        <v>2089</v>
      </c>
      <c r="O3957" s="5" t="s">
        <v>13572</v>
      </c>
      <c r="P3957" s="5"/>
      <c r="Q3957" s="5" t="s">
        <v>13573</v>
      </c>
    </row>
    <row r="3958" spans="2:17" x14ac:dyDescent="0.2">
      <c r="B3958" s="5" t="s">
        <v>13577</v>
      </c>
      <c r="C3958" s="6" t="s">
        <v>13591</v>
      </c>
      <c r="D3958" s="4">
        <v>53</v>
      </c>
      <c r="E3958" s="5" t="s">
        <v>13</v>
      </c>
      <c r="F3958" s="5" t="s">
        <v>13583</v>
      </c>
      <c r="G3958" s="6" t="s">
        <v>40</v>
      </c>
      <c r="H3958" s="4"/>
      <c r="I3958" s="5"/>
      <c r="J3958" s="5" t="s">
        <v>13580</v>
      </c>
      <c r="K3958" s="5" t="s">
        <v>13581</v>
      </c>
      <c r="L3958" s="5"/>
      <c r="M3958" s="5" t="s">
        <v>359</v>
      </c>
      <c r="N3958" s="5" t="s">
        <v>359</v>
      </c>
      <c r="O3958" s="5" t="s">
        <v>13578</v>
      </c>
      <c r="P3958" s="5"/>
      <c r="Q3958" s="5" t="s">
        <v>13584</v>
      </c>
    </row>
    <row r="3959" spans="2:17" x14ac:dyDescent="0.2">
      <c r="B3959" s="5" t="s">
        <v>13577</v>
      </c>
      <c r="C3959" s="6" t="s">
        <v>13591</v>
      </c>
      <c r="D3959" s="4">
        <v>54</v>
      </c>
      <c r="E3959" s="5" t="s">
        <v>20</v>
      </c>
      <c r="F3959" s="5" t="s">
        <v>13579</v>
      </c>
      <c r="G3959" s="6" t="s">
        <v>40</v>
      </c>
      <c r="H3959" s="4"/>
      <c r="I3959" s="5" t="s">
        <v>38</v>
      </c>
      <c r="J3959" s="5" t="s">
        <v>13580</v>
      </c>
      <c r="K3959" s="5" t="s">
        <v>13581</v>
      </c>
      <c r="L3959" s="5"/>
      <c r="M3959" s="5" t="s">
        <v>351</v>
      </c>
      <c r="N3959" s="5" t="s">
        <v>352</v>
      </c>
      <c r="O3959" s="5" t="s">
        <v>13578</v>
      </c>
      <c r="P3959" s="5"/>
      <c r="Q3959" s="5" t="s">
        <v>13582</v>
      </c>
    </row>
    <row r="3960" spans="2:17" x14ac:dyDescent="0.2">
      <c r="B3960" s="5" t="s">
        <v>13501</v>
      </c>
      <c r="C3960" s="6" t="s">
        <v>13591</v>
      </c>
      <c r="D3960" s="4">
        <v>36</v>
      </c>
      <c r="E3960" s="5" t="s">
        <v>20</v>
      </c>
      <c r="F3960" s="5" t="s">
        <v>13541</v>
      </c>
      <c r="G3960" s="6" t="s">
        <v>55</v>
      </c>
      <c r="H3960" s="4"/>
      <c r="I3960" s="5" t="s">
        <v>22</v>
      </c>
      <c r="J3960" s="5" t="s">
        <v>13545</v>
      </c>
      <c r="K3960" s="5" t="s">
        <v>13385</v>
      </c>
      <c r="L3960" s="5"/>
      <c r="M3960" s="5" t="s">
        <v>295</v>
      </c>
      <c r="N3960" s="5" t="s">
        <v>307</v>
      </c>
      <c r="O3960" s="5" t="s">
        <v>13518</v>
      </c>
      <c r="P3960" s="5"/>
      <c r="Q3960" s="5" t="s">
        <v>13546</v>
      </c>
    </row>
    <row r="3961" spans="2:17" x14ac:dyDescent="0.2">
      <c r="B3961" s="5" t="s">
        <v>13501</v>
      </c>
      <c r="C3961" s="6" t="s">
        <v>13591</v>
      </c>
      <c r="D3961" s="4">
        <v>37</v>
      </c>
      <c r="E3961" s="5" t="s">
        <v>20</v>
      </c>
      <c r="F3961" s="5" t="s">
        <v>13541</v>
      </c>
      <c r="G3961" s="6" t="s">
        <v>55</v>
      </c>
      <c r="H3961" s="4"/>
      <c r="I3961" s="5" t="s">
        <v>22</v>
      </c>
      <c r="J3961" s="5" t="s">
        <v>13544</v>
      </c>
      <c r="K3961" s="5" t="s">
        <v>13504</v>
      </c>
      <c r="L3961" s="5"/>
      <c r="M3961" s="5" t="s">
        <v>295</v>
      </c>
      <c r="N3961" s="5" t="s">
        <v>307</v>
      </c>
      <c r="O3961" s="5" t="s">
        <v>13514</v>
      </c>
      <c r="P3961" s="5"/>
      <c r="Q3961" s="5" t="s">
        <v>879</v>
      </c>
    </row>
    <row r="3962" spans="2:17" x14ac:dyDescent="0.2">
      <c r="B3962" s="5" t="s">
        <v>13501</v>
      </c>
      <c r="C3962" s="6" t="s">
        <v>13591</v>
      </c>
      <c r="D3962" s="4">
        <v>38</v>
      </c>
      <c r="E3962" s="5" t="s">
        <v>20</v>
      </c>
      <c r="F3962" s="5" t="s">
        <v>13541</v>
      </c>
      <c r="G3962" s="6" t="s">
        <v>55</v>
      </c>
      <c r="H3962" s="4"/>
      <c r="I3962" s="5" t="s">
        <v>22</v>
      </c>
      <c r="J3962" s="5" t="s">
        <v>13542</v>
      </c>
      <c r="K3962" s="5" t="s">
        <v>13519</v>
      </c>
      <c r="L3962" s="5"/>
      <c r="M3962" s="5" t="s">
        <v>295</v>
      </c>
      <c r="N3962" s="5" t="s">
        <v>307</v>
      </c>
      <c r="O3962" s="5" t="s">
        <v>13518</v>
      </c>
      <c r="P3962" s="5"/>
      <c r="Q3962" s="5" t="s">
        <v>13543</v>
      </c>
    </row>
    <row r="3963" spans="2:17" x14ac:dyDescent="0.2">
      <c r="B3963" s="5" t="s">
        <v>13501</v>
      </c>
      <c r="C3963" s="6" t="s">
        <v>13591</v>
      </c>
      <c r="D3963" s="4">
        <v>44</v>
      </c>
      <c r="E3963" s="5" t="s">
        <v>15</v>
      </c>
      <c r="F3963" s="5" t="s">
        <v>13558</v>
      </c>
      <c r="G3963" s="6" t="s">
        <v>26</v>
      </c>
      <c r="H3963" s="4"/>
      <c r="I3963" s="5"/>
      <c r="J3963" s="5" t="s">
        <v>13559</v>
      </c>
      <c r="K3963" s="5"/>
      <c r="L3963" s="5"/>
      <c r="M3963" s="5" t="s">
        <v>1520</v>
      </c>
      <c r="N3963" s="5" t="s">
        <v>1520</v>
      </c>
      <c r="O3963" s="5" t="s">
        <v>13514</v>
      </c>
      <c r="P3963" s="5"/>
      <c r="Q3963" s="5" t="s">
        <v>13560</v>
      </c>
    </row>
  </sheetData>
  <sortState xmlns:xlrd2="http://schemas.microsoft.com/office/spreadsheetml/2017/richdata2" ref="B3910:Q3963">
    <sortCondition ref="G3910:G3963"/>
  </sortState>
  <mergeCells count="6">
    <mergeCell ref="AD3:AP3"/>
    <mergeCell ref="X13:X14"/>
    <mergeCell ref="X18:X19"/>
    <mergeCell ref="X23:X24"/>
    <mergeCell ref="X28:X29"/>
    <mergeCell ref="X33:X34"/>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Participation in Scientific Eve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2025-12-16T12:29:40Z</dcterms:created>
  <dcterms:modified xsi:type="dcterms:W3CDTF">2025-12-16T15:02:14Z</dcterms:modified>
</cp:coreProperties>
</file>