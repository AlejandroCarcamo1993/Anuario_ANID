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Milenio 2024\"/>
    </mc:Choice>
  </mc:AlternateContent>
  <xr:revisionPtr revIDLastSave="0" documentId="13_ncr:1_{CF80B5CE-16F9-4B76-8014-6721DE67A71C}" xr6:coauthVersionLast="47" xr6:coauthVersionMax="47" xr10:uidLastSave="{00000000-0000-0000-0000-000000000000}"/>
  <bookViews>
    <workbookView xWindow="-28920" yWindow="-4725" windowWidth="29040" windowHeight="15720" activeTab="1" xr2:uid="{0F38BE19-50A9-4072-8300-97198FD8189B}"/>
  </bookViews>
  <sheets>
    <sheet name="2024" sheetId="1" r:id="rId1"/>
    <sheet name="Análisis" sheetId="2" r:id="rId2"/>
  </sheets>
  <definedNames>
    <definedName name="_xlnm._FilterDatabase" localSheetId="0" hidden="1">'2024'!$A$1:$T$2007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6" i="2" l="1"/>
  <c r="W17" i="2"/>
  <c r="T4" i="2"/>
  <c r="U4" i="2" s="1"/>
  <c r="Y23" i="2"/>
  <c r="Y22" i="2"/>
  <c r="Y21" i="2"/>
  <c r="Y24" i="2"/>
  <c r="Y14" i="2"/>
  <c r="Y13" i="2"/>
  <c r="Y12" i="2"/>
  <c r="Y15" i="2"/>
  <c r="T5" i="2"/>
  <c r="X25" i="2" s="1"/>
  <c r="X23" i="2" l="1"/>
  <c r="U5" i="2"/>
  <c r="X21" i="2"/>
  <c r="X22" i="2"/>
  <c r="X24" i="2"/>
  <c r="X13" i="2"/>
  <c r="X16" i="2"/>
  <c r="X12" i="2"/>
  <c r="X14" i="2"/>
  <c r="X15" i="2"/>
  <c r="T7" i="2"/>
</calcChain>
</file>

<file path=xl/sharedStrings.xml><?xml version="1.0" encoding="utf-8"?>
<sst xmlns="http://schemas.openxmlformats.org/spreadsheetml/2006/main" count="24531" uniqueCount="8188">
  <si>
    <t>CENTRO</t>
  </si>
  <si>
    <t>PERIODO</t>
  </si>
  <si>
    <t>FECHAPUBLICACION</t>
  </si>
  <si>
    <t>CATEGORIA</t>
  </si>
  <si>
    <t>TITULO</t>
  </si>
  <si>
    <t>AUTOR</t>
  </si>
  <si>
    <t>FUENTE</t>
  </si>
  <si>
    <t>VOLUMEN</t>
  </si>
  <si>
    <t>NUMERO</t>
  </si>
  <si>
    <t>PAGINAINICIAL</t>
  </si>
  <si>
    <t>ISSN</t>
  </si>
  <si>
    <t>DOI</t>
  </si>
  <si>
    <t>CUARTIL</t>
  </si>
  <si>
    <t xml:space="preserve"> Núcleo Milenio sobre exoplanetas jóvenes y sus lunas</t>
  </si>
  <si>
    <t>2024-01-01 00:00:00.000</t>
  </si>
  <si>
    <t>ISI/WOS o Similar a ISI/WOS standard</t>
  </si>
  <si>
    <t>Binary planet formation through tides</t>
  </si>
  <si>
    <t xml:space="preserve">Lazzoni, C., Rice, K., Zurlo, A., Hinkley, S., and Desidera, S. </t>
  </si>
  <si>
    <t>Monthly Notices of the Royal Astronomical Society</t>
  </si>
  <si>
    <t>1365-2966</t>
  </si>
  <si>
    <t>10.1093/mnras/stad3443</t>
  </si>
  <si>
    <t>Q1</t>
  </si>
  <si>
    <t>2024-02-01 00:00:00.000</t>
  </si>
  <si>
    <t>Viscous heating as the dominant heat source inside the water snowline of V883 Ori</t>
  </si>
  <si>
    <t>Alarcón, Felipe, Casassus, Simón, Lyra, Wladimir, Pérez, Sebastián, and Cieza, Lucas</t>
  </si>
  <si>
    <t>10.1093/mnras/stad3734</t>
  </si>
  <si>
    <t>Disk Evolution Study Through Imaging of Nearby Young Stars (DESTINYS): HD 34700 A unveils an inner ring</t>
  </si>
  <si>
    <t xml:space="preserve">Columba, G., Rigliaco, E., Gratton, R., Mesa, D., D'Orazi, V., Ginski, C., Engler, N., Williams, J. P., Bae, J., Benisty, M., Birnstiel, T., Delorme, P., Dominik, C., Facchini, S., Menard, F., Pinilla, P., Rab, C., Ribas, Á., Squicciarini, V., van Holstein, R. G., and Zurlo, A. </t>
  </si>
  <si>
    <t>Astronomy &amp; Astrophysics</t>
  </si>
  <si>
    <t>1432-0746</t>
  </si>
  <si>
    <t>10.1051/0004-6361/202347109</t>
  </si>
  <si>
    <t>2024-06-01 00:00:00.000</t>
  </si>
  <si>
    <t xml:space="preserve">The environment around young eruptive stars. SPHERE/IRDIS polarimetric imaging of seven protostars </t>
  </si>
  <si>
    <t xml:space="preserve">Zurlo, A., Weber, P., Pérez, S., Cieza, L., Ginski, C., van Holstein, R. G., Principe, D., Garufi, A., Hales, A., Kastner, J., Rigliaco, E., Ruane, G., Benisty, M., and Manara, C. </t>
  </si>
  <si>
    <t xml:space="preserve">10.1051/0004-6361/202348526 </t>
  </si>
  <si>
    <t xml:space="preserve">Vertical and radial distribution of atomic carbon in HD 163296 </t>
  </si>
  <si>
    <t>Urbina, F., Miley, J., Kama, M., and Keyte, L.</t>
  </si>
  <si>
    <t xml:space="preserve">10.1051/0004-6361/202348523 </t>
  </si>
  <si>
    <t>2024-05-01 00:00:00.000</t>
  </si>
  <si>
    <t xml:space="preserve">ALMA Spectral Survey of an Eruptive Young Star, V883 Ori (ASSAY). I. What Triggered the Current Episode of Eruption? </t>
  </si>
  <si>
    <t xml:space="preserve">Lee, Jeong-Eun, Kim, Chul-Hwan, Lee, Seokho, Lee, Seonjae, Baek, Giseon, Yun, Hyeong-Sik, Aikawa, Yuri, Johnstone, Doug, Herczeg, Gregory J., and Cieza, Lucas </t>
  </si>
  <si>
    <t>The Astrophysical Journal</t>
  </si>
  <si>
    <t>1538-4357</t>
  </si>
  <si>
    <t>10.3847/1538-4357/ad3106</t>
  </si>
  <si>
    <t>Discovery of an Accretion Streamer and a Slow Wide-angle Outflow around FU Orionis</t>
  </si>
  <si>
    <t>Hales, A. S., Gupta, A., Ruíz-Rodríguez, D., Williams, J. P., Pérez, S., Cieza, L., González-Ruilova, C., Pineda, J. E., Santamaría-Miranda, A., Tobin, J., Weber, P., Zhu, Z., and Zurlo, A.</t>
  </si>
  <si>
    <t xml:space="preserve">10.3847/1538-4357/ad31a1 </t>
  </si>
  <si>
    <t xml:space="preserve">Small and Large Dust Cavities in Disks around Mid-M Stars in Taurus </t>
  </si>
  <si>
    <t>Shi, Yangfan, Long, Feng, Herczeg, Gregory J., Harsono, Daniel, Liu, Yao, Pinilla, Paola, Ragusa, Enrico, Johnstone, Doug, Bai, Xue-Ning, Pascucci, Ilaria, Manara, Carlo F., Mulders, Gijs D., and Cieza, Lucas A.</t>
  </si>
  <si>
    <t>10.3847/1538-4357/ad2e94</t>
  </si>
  <si>
    <t xml:space="preserve">Stellar companions and Jupiter-like planets in young associations </t>
  </si>
  <si>
    <t xml:space="preserve">Gratton, R., Bonavita, M., Mesa, D., Desidera, S., Zurlo, A., Marino, S., D'Orazi, V., Rigliaco, E., Nascimbeni, V., Barbato, D., Columba, G., and Squicciarini, V. </t>
  </si>
  <si>
    <t>10.1051/0004-6361/202348393</t>
  </si>
  <si>
    <t>Disk Evolution Study Through Imaging of Nearby Young Stars (DESTINYS): The SPHERE view of the Orion star-forming region</t>
  </si>
  <si>
    <t xml:space="preserve">Valegård, P. -G., Ginski, C., Derkink, A., Garufi, A., Dominik, C., Ribas, Á., Williams, J. P., Benisty, M., Birnstiel, T., Facchini, S., Columba, G., Hogerheijde, M., van Holstein, R. G., Huang, J., Kenworthy, M., Manara, C. F., Pinilla, P., Rab, Ch., Sulaiman, R., and Zurlo, A. </t>
  </si>
  <si>
    <t>10.1051/0004-6361/202347452</t>
  </si>
  <si>
    <t>QUIJOTE Scientific Results - XVII. Studying the anomalous microwave emission in the Andromeda Galaxy with QUIJOTE-MFI</t>
  </si>
  <si>
    <t>Fernández-Torreiro, M., Génova-Santos, R. T., Rubiño-Martín, J. A., López-Caraballo, C. H., Peel, M. W., Arce-Tord, C., Rebolo, R., Artal, E., Ashdown, M., Barreiro, R. B., Casas, F. J., de la Hoz, E., Guidi, F., Herranz, D., Hoyland, R., Lasenby, A., Martínez-Gonzalez, E., Piccirillo, L., Poidevin, F., Ruiz-Granados, B., Tramonte, D., Vansyngel, F., Vielva, P., and Watson, R. A.</t>
  </si>
  <si>
    <t>10.1093/mnras/stad3145</t>
  </si>
  <si>
    <t>2024-04-01 00:00:00.000</t>
  </si>
  <si>
    <t>Implications of the discovery of AF Lep b. The mass-luminosity relation for planets in the β Pic Moving Group and the L-T transition for young companions and free-floating planets</t>
  </si>
  <si>
    <t>Gratton, R., Bonavita, M., Mesa, D., Zurlo, A., Marino, S., Desidera, S., D'Orazi, V., Rigliaco, E., Squicciarini, V., and Nogueira, P. H.</t>
  </si>
  <si>
    <t>10.1051/0004-6361/202348012</t>
  </si>
  <si>
    <t>2024-03-01 00:00:00.000</t>
  </si>
  <si>
    <t>The polarisation properties of the HD 181327 debris ring. Evidence for sub-micron particles from scattered light observations</t>
  </si>
  <si>
    <t>Milli, J., Choquet, E., Tazaki, R., Ménard, F., Augereau, J. -C., Olofsson, J., Thébault, P., Poch, O., Levasseur-Regourd, A. -C., Lasue, J., Renard, J. B., Hadamcik, E., Baruteau, C., Schmid, H. M., Engler, N., van Holstein, R. G., Zubko, E., Lagrange, A. M., Marino, S., Pinte, C., Dominik, C., Boccaletti, A., Langlois, M., Zurlo, A., Desgrange, C., Gluck, L., Mouillet, D., Costille, A., and Sauvage, J. F.</t>
  </si>
  <si>
    <t>10.1051/0004-6361/202347933</t>
  </si>
  <si>
    <t>The JWST Early Release Science Program for Direct Observations of Exoplanetary Systems. IV. NIRISS Aperture Masking Interferometry Performance and Lessons Learned</t>
  </si>
  <si>
    <t>Sallum, Steph, Ray, Shrishmoy, Kammerer, Jens, Sivaramakrishnan, Anand, Cooper, Rachel, Greebaum, Alexandra Z., Thatte, Deepashri, De Furio, Matthew, Factor, Samuel M., Meyer, Michael R., Stone, Jordan M., Carter, Aarynn, Biller, Beth, Hinkley, Sasha, Skemer, Andrew, Suárez, Genaro, Leisenring, Jarron M., Perrin, Marshall D., Kraus, Adam L., Absil, Olivier, Balmer, William O., Betti, Sarah K., Boccaletti, Anthony, Bonavita, Mariangela, Bonnefoy, Mickael, Booth, Mark, Bowler, Brendan P., Briesemeister, Zackery W., Bryan, Marta L., Calissendorff, Per, Cantalloube, Faustine, Chauvin, Gael, Chen, Christine H., Choquet, Elodie, Christiaens, Valentin, Cugno, Gabriele, Currie, Thayne, Danielski, Camilla, Dupuy, Trent J., Faherty, Jacqueline K., Fitzgerald, Michael P., Fortney, Jonathan J., Franson, Kyle, Girard, Julien H., Grady, Carol A., Gonzales, Eileen C., Henning, Thomas, Hines, Dean C., Hoch, Kielan K. W., Hood, Callie E., Howe, Alex R., Janson, Markus, Kalas, Paul, Kennedy, Grant M., Kenworthy, Matthew A., Kervella, Pierre, Kitzmann, Daniel, Kuzuhara, Masayuki, Lagrange, Anne-Marie, Lagage, Pierre-Olivier, Lawson, Kellen, Lazzoni, Cecilia, Lew, Ben W. P., Liu, Michael C., Liu, Pengyu, Llop-Sayson, Jorge, Lloyd, James P., Lueber, Anna, Macintosh, Bruce, Manjavacas, Elena, Marino, Sebastian, Marley, Mark S., Marois, Christian, Martinez, Raquel A., Matthews, Brenda C., Matthews, Elisabeth C., Mawet, Dimitri, Mazoyer, Johan, McElwain, Michael W., Metchev, Stanimir, Miles, Brittany E., Millar-Blanchaer, Maxwell A., Molliere, Paul, Moran, Sarah E., Morley, Caroline V., Mukherjee, Sagnick, Palma-Bifani, Paulina, Pantin, Eric, Patapis, Polychronis, Petrus, Simon, Pueyo, Laurent, Quanz, Sascha P., Quirrenbach, Andreas, Rebollido, Isabel, Redai, Jea Adams, Ren, Bin B., Rickman, Emily, Samland, Matthias, Sargent, B. A., Schlieder, Joshua E., Schneider, Glenn, Stapelfeldt, Karl R., Sutlieff, Ben J., Tamura, Motohide, Tan, Xianyu, Theissen, Christopher A., Uyama, Taichi, Vigan, Arthur, Vasist, Malavika, Vos, Johanna M., Wagner, Kevin, Wang, Jason J., Ward-Duong, Kimberly, Whiteford, Niall, Wolff, Schuyler G., Worthen, Kadin, Wyatt, Mark C., Ygouf, Marie, Zhang, Xi, Zhang, Keming, Zhang, Zhoujian, Zhou, Yifan, and Zurlo, Alice</t>
  </si>
  <si>
    <t>The Astrophysical Journal Letters</t>
  </si>
  <si>
    <t>2041-8205</t>
  </si>
  <si>
    <t>10.3847/2041-8213/ad21fb</t>
  </si>
  <si>
    <t>Polarimetric differential imaging with VLT/NACO. A comprehensive PDI pipeline for NACO data (PIPPIN)</t>
  </si>
  <si>
    <t>de Regt, S., Ginski, C., Kenworthy, M. A., Caceres, C., Garufi, A., Gledhill, T. M., Hales, A. S., Huelamo, N., Kóspál, Á., Millar-Blanchaer, M. A., Pérez, S., and Schreiber, M. R.</t>
  </si>
  <si>
    <t>10.1051/0004-6361/202348736</t>
  </si>
  <si>
    <t>2024-10-01 00:00:00.000</t>
  </si>
  <si>
    <t>Hints of Planet Formation Signatures in a Large-cavity Disk Studied in the AGE-PRO ALMA Large Program</t>
  </si>
  <si>
    <t xml:space="preserve">Sierra, Anibal  ; Pérez, Laura M.  ; Agurto-Gangas, Carolina ; Miley, James  ; Zhang, Ke ; Pinilla, Paola ; Pascucci, Ilaria  ; Trapman, Leon  ; Kurtovic, Nicolas  ; Vioque, Miguel ; Deng, Dingshan ; Anania, Rossella  ; Carpenter, John  ; Cieza, Lucas A.  ; González-Ruilova, Camilo  ; Hogerheijde, Michiel ; Kuznetsova, Aleksandra  ; Rosotti, Giovanni P. ; Ruiz-Rodriguez, Dary A.  ; Schwarz, Kamber  Tabone, Benoît  ; TorresVillanueva, Estephani E. </t>
  </si>
  <si>
    <t xml:space="preserve">10.3847/1538-4357/ad6e73 </t>
  </si>
  <si>
    <t>Variable circularly polarized radio emission from the young stellar object [BHB2007]-1: Another ingredient of a unique system</t>
  </si>
  <si>
    <t>Kaur, Simranpreet ; Girart, Josep M. ; Viganò, Daniele ; Monge, Álvaro Sánchez ; Cleeves, L. Ilsedore ; Zurlo, Alice ; Del Sordo, Fabio ; Morata, Òscar ; Bhowmik, Trisha ; Alves, Felipe O.</t>
  </si>
  <si>
    <t xml:space="preserve">10.1051/0004-6361/202450568 </t>
  </si>
  <si>
    <t>2024-09-01 00:00:00.000</t>
  </si>
  <si>
    <t>First JVLA Radio Observation on PDS 70</t>
  </si>
  <si>
    <t>Liu, Hauyu Baobab; Casassus, Simon; Dong, Ruobing; Doi, Kiyoaki; Hashimoto, Jun; Muto, Takayuki</t>
  </si>
  <si>
    <t xml:space="preserve">10.3847/1538-4357/ad5dab </t>
  </si>
  <si>
    <t>2024-11-01 00:00:00.000</t>
  </si>
  <si>
    <t>Direct imaging and dynamical mass of a benchmark T-type brown dwarf companion to HD 167665</t>
  </si>
  <si>
    <t>Maire, A.-L.; Leclerc, A.; Balmer, W. O.; Desidera, S.; Lacour, S.; D'Orazi, V.; Samland, M.; Langlois, M.; Matthews, E.; Babusiaux, C.; Kervella, P.; Le Bouquin, J.-B.; Ségransan, D.; Gratton, R.; Biller, B. A.; Bonavita, M.; Delorme, P.; Messina, S.; Udry, S.; Janson, M.; Henning, Th.; Wahhaj, Z.; Zurlo, A.; Bonnefoy, M.; Brandner, W.; Cantalloube, F.; Galicher, R.; Kammerer, J.; Nowak, M.; Shangguan, J.; Stolker, T.; Wang, J. J.; Chauvin, G.; Hagelberg, J.; Lagrange, A.-M.; Vigan, A.; Meyer, M. R.; Beuzit, J.-L.; Boccaletti, A.; Lazzoni, C.; Mesa, D.; Perrot, C.; Squicciarini, V.; Hinkley, S.; Nasedkin, E.; Abuter, R.; Amorim, A.; Benisty, M.; Berger, J.-P.; Blunt, S.; Bonnet, H.; Bourdarot, G.; Caselli, P.; Charnay, B.; Choquet, E.; Christiaens, V.; Clénet, Y.; Coudé Du Foresto, V.; Cridland, A.; Dembet, R.; Dexter, J.; Drescher, A.; Duvert, G.; Eckart, A.; Eisenhauer, F.; Gao, F.; Garcia, P.; Garcia Lopez, R.; Gendron, E.; Genzel, R.; Gillessen, S.; Girard, J. H.; Haubois, X.; Heißel, G.; Hippler, S.; Houllé, M.; Hubert, Z.; Jocou, L.; Kreidberg, L.; Lapeyrère, V.; Léna, P.; Lutz, D.; Ménard, F.; Mérand, A.; Mollière, P.; Monnier, J. D.; Mouillet, D.; Ott, T.; Otten, G. P. P. L.; Paladini, C.; Paumard, T.; Perraut, K.; Perrin, G.; Pfuhl, O.; Pourré, N.; Pueyo, L.; Rickman, E.; Rousset, G.; Rustamkulov, Z.; Shimizu, T.; Sing, D.; Stadler, J.; Straub, O.; Straubmeier, C.; Sturm, E.; Tacconi, L. J.; van Dishoeck, E. F.; Vincent, F.; von Fellenberg, S. D.; Widmann, F.; Wieprecht, E.; Woillez, J.; Yazici, S.; The Gravity Collaboration.</t>
  </si>
  <si>
    <t>10.1051/0004-6361/202451184</t>
  </si>
  <si>
    <t>The SDSS-V Local Volume Mapper (LVM): Scientific Motivation and Project Overview</t>
  </si>
  <si>
    <t>Drory, Niv; Blanc, Guillermo A.; Kreckel, Kathryn; Sánchez, Sebastián F.; Mejía-Narváez, Alfredo; Johnston, Evelyn J.; Jones, Amy M.; Pellegrini, Eric W.; Konidaris, Nicholas P.; Herbst, Tom; Sánchez-Gallego, José; Kollmeier, Juna A.; de Almeida, Florence; Barrera-Ballesteros, Jorge K.; Bizyaev, Dmitry; Brownstein, Joel R.; i Saguer, Mar Canal; Cherinka, Brian; Cioni, Maria-Rosa L.; Congiu, Enrico; Cosens, Maren; Dias, Bruno; Donor, John; Egorov, Oleg; Egorova, Evgeniia; Froning, Cynthia S.; García, Pablo; Glover, Simon C. O.; Greve, Hannah; Häberle, Maximilian; Hoy, Kevin; Ibarra, Hector; Li, Jing; Klessen, Ralf S.; Krishnarao, Dhanesh; Kumari, Nimisha; Long, Knox S.; Méndez-Delgado, José Eduardo; Popa, Silvia Anastasia; Ramirez, Solange; Rix, Hans-Walter; Sánchez, Aurora Mata; Sankrit, Ravi; Sattler, Natascha; Sayres, Conor; Singh, Amrita; Stringfellow, Guy; Wachter, Stefanie; Watkins, Elizabeth Jayne; Wong, Tony; Wofford, Aida</t>
  </si>
  <si>
    <t>10.3847/1538-3881/ad6de9</t>
  </si>
  <si>
    <t>2024-07-01 00:00:00.000</t>
  </si>
  <si>
    <t xml:space="preserve">SPHERE RefPlanets: Search for ε Eridani b and warm dust </t>
  </si>
  <si>
    <t xml:space="preserve">Tschudi, C., Schmid, H. M., Nowak, M., Le Coroller, H., Hunziker, S., van Holstein, R. G., Perrot, C., Mouillet, D., Augereau, J. -C., Bazzon, A., Beuzit, J. L., Boccaletti, A., Bonse, M. J., Chauvin, G., Desidera, S., Dohlen, K., Dominik, C., Engler, N., Feldt, M., Girard, J. H., Gratton, R., Henning, Th., Kasper, M., Kervella, P., Lagrange, A. -M., Langlois, M., Martinez, P., Ménard, F., Meyer, M. R., Milli, J., Pragt, J., Puget, P., Quanz, S. P., Roelfsema, R., Sauvage, J. -F., Szulágyi, J., Thalmann, Ch., and Zurlo, A. </t>
  </si>
  <si>
    <t>10.1051/0004-6361</t>
  </si>
  <si>
    <t>Mitigating bias in deep learning: training unbiased models on biased data for the morphological classification of galaxies</t>
  </si>
  <si>
    <t xml:space="preserve">Medina-Rosales, Esteban, Cabrera-Vives, Guillermo, and Miller, Christopher J. </t>
  </si>
  <si>
    <t>10.1093/mnras/stae1088</t>
  </si>
  <si>
    <t>2024-07-11 00:00:00.000</t>
  </si>
  <si>
    <t>Construction of color-magnitude diagrams using real astronomical data for teaching at school</t>
  </si>
  <si>
    <t xml:space="preserve">Hernández, C; Fuentes, I.; Alarcón, F.; Benito, I.; Montecinos, R. </t>
  </si>
  <si>
    <t>European Journal of Physics</t>
  </si>
  <si>
    <t>0143-0807</t>
  </si>
  <si>
    <t>10.1088/1361-6404/ad3d44</t>
  </si>
  <si>
    <t>Q4</t>
  </si>
  <si>
    <t>2024-12-31 00:00:00.000</t>
  </si>
  <si>
    <t>Analyzing new planetary systems at school: Applications of Newton's Universal Gravitation and Kepler's Third Law</t>
  </si>
  <si>
    <t>Montecinos, R.; Hernández, C.; Fuentes, I.; Alarcon, F,; Benito, I.; Laroze, L.; Pérez, S.</t>
  </si>
  <si>
    <t>The Physics Teacher</t>
  </si>
  <si>
    <t>0031-921X</t>
  </si>
  <si>
    <t>10.1119/5.0192450</t>
  </si>
  <si>
    <t>Q2</t>
  </si>
  <si>
    <t>Otras Publicaciones</t>
  </si>
  <si>
    <t>Perception Measurement Instrument on the Use of Real Astronomical Data in the School Classroom</t>
  </si>
  <si>
    <t>Fuentes, I.; Nuñez, J.; Hernández, C.</t>
  </si>
  <si>
    <t>Proceedings for the 6th Shaw-IAU Workshop on Astronomy for Education</t>
  </si>
  <si>
    <t>https://astro4edu.org/shaw-iau/talk/356/</t>
  </si>
  <si>
    <t>S/C (Sin Cuartil)</t>
  </si>
  <si>
    <t>2024-08-01 00:00:00.000</t>
  </si>
  <si>
    <t>Disk Evolution Study Through Imaging of Nearby Young Stars (DESTINYS): PDS 111, an old T Tauri star with a young-looking disk</t>
  </si>
  <si>
    <t>Derkink, Annelotte; Ginski, Christian; Pinilla, Paola; Kurtovic, Nicolas; Kaper, Lex; de Koter, Alex; Valegård, Per-Gunnar; Mamajek, Eric; Backs, Frank; Benisty, Myriam; Birnstiel, Til; Columba, Gabriele; Dominik, Carsten; Garufi, Antonio; Hogerheijde, Michiel; van Holstein, Rob; Huang, Jane; Ménard, François; Rab, Christian; Ramírez-Tannus, María Claudia; Ribas, Álvaro; Williams, Jonathan P.; Zurlo, Alice</t>
  </si>
  <si>
    <t>10.1051/0004-6361/202348555</t>
  </si>
  <si>
    <t>The SPHERE view of the Taurus star-forming region. The full census of planet-forming disks with GTO and DESTINYS programs</t>
  </si>
  <si>
    <t>Garufi, A., Ginski, C., van Holstein, R. G., Benisty, M., Manara, C. F., Pérez, S., Pinilla, P., Ribas, Á., Weber, P., Williams, J., Cieza, L., Dominik, C., Facchini, S., Huang, J., Zurlo, A., Bae, J., Hagelberg, J., Henning, Th., Hogerheijde, M. R., Janson, M., Ménard, F., Messina, S., Meyer, M. R., Pinte, C., Quanz, S. P., Rigliaco, E., Roccatagliata, V., Schmid, H. M., Szulágyi, J., van Boekel, R., Wahhaj, Z., Antichi, J., Baruffolo, A., and Moulin,</t>
  </si>
  <si>
    <t>10.1051/0004-6361/202347586</t>
  </si>
  <si>
    <t>The SPHERE view of the Chamaeleon I star-forming region. The full census of planet-forming disks with GTO and DESTINYS programs</t>
  </si>
  <si>
    <t xml:space="preserve">Ginski, C., Garufi, A., Benisty, M., Tazaki, R., Dominik, C., Ribas, Á., Engler, N., Birnstiel, T., Chauvin, G., Columba, G., Facchini, S., Goncharov, A., Hagelberg, J., Henning, T., Hogerheijde, M., van Holstein, R. G., Huang, J., Muto, T., Pinilla, P., Kanagawa, K., Kim, S., Kurtovic, N., Langlois, M., Manara, C., Milli, J., Momose, M., Orihara, R., Pawellek, N., Pinte, C., Rab, C., Schmidt, T. O. B., Snik, F., Wahhaj, Z., Williams, J., and Zurlo, A. </t>
  </si>
  <si>
    <t>10.1051/0004-6361/202244005</t>
  </si>
  <si>
    <t>A Game Changing JWST Spectrum: The First Deep-Dive Self-Consistent Modelling Analysis of VHS 1256 b</t>
  </si>
  <si>
    <t>Petrus, Simon</t>
  </si>
  <si>
    <t>EAS2024/, European Astronomical Society Annual Meeting, held 1-5 July, 2024 in Padova, Italy</t>
  </si>
  <si>
    <t>Online at https://eas.unige.ch/EAS2024/. Session S14 : (Exo-)Planet formation at different stages of disk evolution, Contributed talk Remote, id. 1833</t>
  </si>
  <si>
    <t>The first ALMA survey of protoplanetary disks at 410 GHz to study disk size distribution</t>
  </si>
  <si>
    <t>Bhowmik, Trisha, Chavan, Prachi, and Cieza, Lucas</t>
  </si>
  <si>
    <t>Online at https://eas.unige.ch/EAS2024/. Session SS37 : Interferometric imaging of the inner-most AU of circumstellar discs, Contributed talk Remote, id. 994</t>
  </si>
  <si>
    <t>How frequent is the Solar System?</t>
  </si>
  <si>
    <t>Gratton, Raffaele, Bonavita, Mariangela, Mesa, Dino, Desidera, Silvano, Zurlo, Alice, Marino, Sebastian, D'Orazi, Valentina, Rigliaco, Elisabetta, Nascimbeni, Valerio, Barbato, Domenico, Columba, Gabriele, and Squicciarini, Vito</t>
  </si>
  <si>
    <t>Online at https://eas.unige.ch/EAS2024/. Session SS25 : Formation of giant exoplanets: models and observations., Contributed talk, id. 417</t>
  </si>
  <si>
    <t>2024-08-30 00:00:00.000</t>
  </si>
  <si>
    <t>Professional learning community for teaching physics; using authentic astrophysics data at school</t>
  </si>
  <si>
    <t>Hernández, C; Fuentes, I; Montecinos, R.; Pérez, S.</t>
  </si>
  <si>
    <t>4th World Conference on Physics Education Proceedings - Book of Extended Abstracts</t>
  </si>
  <si>
    <t>978-83-958051-6-5</t>
  </si>
  <si>
    <t>https://indico.cern.ch/event/1162407/page/36255-book-of-extended-abstracts</t>
  </si>
  <si>
    <t>Astrometric and photometric characterization of η Tel B combining two decades of observations</t>
  </si>
  <si>
    <t>Nogueira, P. H.; Lazzoni, C.; Zurlo, A.; Bhowmik, T.; Donoso-Oliva, C.; Desidera, S.; Milli, J.; Pérez, S.; Delorme, P.; Fernadez, A.; Langlois, M.; Petrus, S.; Cabrera-Vives, G.; Chauvin, G.</t>
  </si>
  <si>
    <t>10.1051/0004-6361/202449222</t>
  </si>
  <si>
    <t>V892 Tau: A tidally perturbed circumbinary disc in a triple stellar system</t>
  </si>
  <si>
    <t>Alaguero, Antoine; Cuello, Nicolás; Ménard, François; Ceppi, Simone; Ribas, Álvaro; Nealon, Rebecca; Vioque, Miguel; Izquierdo, Andrés; Miley, James; Macías, Enrique; Price, Daniel J.</t>
  </si>
  <si>
    <t>10.1051/0004-6361/202449683</t>
  </si>
  <si>
    <t xml:space="preserve">The JWST Early Release Science Program for Direct Observations of Exoplanetary Systems. V. Do Self-consistent Atmospheric Models Represent JWST Spectra? A Showcase with VHS 1256–1257 b </t>
  </si>
  <si>
    <t>Petrus, Simon, Whiteford, Niall, Patapis, Polychronis, Biller, Beth A., Skemer, Andrew, Hinkley, Sasha, Suárez, Genaro, Palma-Bifani, Paulina, Morley, Caroline V., Tremblin, Pascal, Charnay, Benjamin, Vos, Johanna M., Wang, Jason J., Stone, Jordan M., Bonnefoy, Mickaël, Chauvin, Gaël, Miles, Brittany E., Carter, Aarynn L., Lueber, Anna, Helling, Christiane, Sutlieff, Ben J., Janson, Markus, Gonzales, Eileen C., Hoch, Kielan K. W., Absil, Olivier, Balmer, William O., Boccaletti, Anthony, Bonavita, Mariangela, Booth, Mark, Bowler, Brendan P., Briesemeister, Zackery W., Bryan, Marta L., Calissendorff, Per, Cantalloube, Faustine, Chen, Christine H., Choquet, Elodie, Christiaens, Valentin, Cugno, Gabriele, Currie, Thayne, Danielski, Camilla, De Furio, Matthew, Dupuy, Trent J., Factor, Samuel M., Faherty, Jacqueline K., Fitzgerald, Michael P., Fortney, Jonathan J., Franson, Kyle, Girard, Julien H., Grady, Carol A., Henning, Thomas, Hines, Dean C., Hood, Callie E., Howe, Alex R., Kalas, Paul, Kammerer, Jens, Kennedy, Grant M., Kenworthy, Matthew A., Kervella, Pierre, Kim, Minjae, Kitzmann, Daniel, Kraus, Adam L., Kuzuhara, Masayuki, Lagage, Pierre-Olivier, Lagrange, Anne-Marie, Lawson, Kellen, Lazzoni, Cecilia, Leisenring, Jarron M., Lew, Ben W. P., Liu, Michael C., Liu, Pengyu, Llop-Sayson, Jorge, Lloyd, James P., Macintosh, Bruce, Mâlin, Mathilde, Manjavacas, Elena, Marino, Sebastián, Marley, Mark S., Marois, Christian, Martinez, Raquel A., Matthews, Elisabeth C., Matthews, Brenda C., Mawet, Dimitri, Mazoyer, Johan, McElwain, Michael W., Metchev, Stanimir, Meyer, Michael R., Millar-Blanchaer, Maxwell A., Mollière, Paul, Moran, Sarah E., Mukherjee, Sagnick, Pantin, Eric, Perrin, Marshall D., Pueyo, Laurent, Quanz, Sascha P., Quirrenbach, Andreas, Ray, Shrishmoy, Rebollido, Isabel, Adams Redai, Jea, Ren, Bin B., Rickman, Emily, Sallum, Steph, Samland, Matthias, Sargent, Benjamin, Schlieder, Joshua E., Stapelfeldt, Karl R., Tamura, Motohide, Tan, Xianyu, Theissen, Christopher A., Uyama, Taichi, Vasist, Malavika, Vigan, Arthur, Wagner, Kevin, Ward-Duong, Kimberly, Wolff, Schuyler G., Worthen, Kadin, Wyatt, Mark C., Ygouf, Marie, Zurlo, Alice, Zhang, Xi, Zhang, Keming, Zhang, Zhoujian, and Zhou, Yifan</t>
  </si>
  <si>
    <t>10.3847/2041-8213/ad3e7c</t>
  </si>
  <si>
    <t>Apoyo - Instituto Milenio de Astrofísica</t>
  </si>
  <si>
    <t>2024-11-20 00:00:00.000</t>
  </si>
  <si>
    <t>An iterative method to deblend AGN-Host contributions for Integral Field spectroscopic observations</t>
  </si>
  <si>
    <t>Ibarra-Medel, H.; Negrete, C. A. ; Lacerna, I.; Hernández-Toledo, H. M. ; Cortes-Suárez, E. ; Sánchez, S. F.</t>
  </si>
  <si>
    <t>0035-8711</t>
  </si>
  <si>
    <t>10.1093/mnras/stae2623</t>
  </si>
  <si>
    <t>2024-06-25 00:00:00.000</t>
  </si>
  <si>
    <t>Metallicity relations in LMC and SMC from the slope of red giant branch stars in globular clusters</t>
  </si>
  <si>
    <t>Sharma, Saurabh; Borissova, Jura</t>
  </si>
  <si>
    <t>The European Physical Journal Special Topics</t>
  </si>
  <si>
    <t>19516355, 19516401</t>
  </si>
  <si>
    <t>10.1140/epjs/s11734-024-01219-x</t>
  </si>
  <si>
    <t>2024-06-14 00:00:00.000</t>
  </si>
  <si>
    <t>NGTS-30b/TOI-4862b: An 1 Gyr old 98-day transiting warm Jupiter</t>
  </si>
  <si>
    <t>Battley, M. P.; Collins, K. A. ; Ulmer-Moll, S.; Quinn, S. N.; Lendl, M.; Gill, S. ; Brahm, R. ; Hobson, M. J.; Osborn, H. P. ; Deline, A. ; Faria, J. P. ; Claringbold, A. B. ; Chakraborty, H.; Stassun, K. G.; Hellier, C. ; Alves, D. R. ; Ziegler, C. ; Anderson, D. R.; Apergis, I.; Armstrong, D. J. ; Bayliss, D. ; Beletsky, Y. ; Bieryla, A. ; Bouchy, F. ; Burleigh, M. R.; Butler, R. P. ; Casewell, S. L. ; Christiansen, J. L. ; Crane, J. D. ; Dalba, P. A. ; Daylan, T.; Figueira, P. ; Gillen, E.; Goad, M. R.; Günther, M. N. ; Henderson, B. A. ; Henning, T. ; Jenkins, J. S. ; Jordán, A. ; Kanodia, S.; Kendall, A. ; Kunimoto, M. ; Latham, D. W.; Levine, A. M. ; McCormac, J.; Moyano, M. ; Osborn, A.; Osip, D. ; Pritchard, T. A. ; Psaridi, A.; Rice, M.; Rodriguez, J. E. ; Saha, S.; Seager, S.; Shectman, S. A. ; Smith, A. M. S.; Teske, J. K.; Ting, E. B. ; Udry, S. ; Vines, J. I. ; Watson, C. A. ; West, R. G. ; Wheatley, P. J. ; Winn, J. N. ; Yee, S. W. ; Zhao, Y.</t>
  </si>
  <si>
    <t>0004-6361</t>
  </si>
  <si>
    <t>10.1051/0004-6361/202449307</t>
  </si>
  <si>
    <t>Chemical evolution of the Galactic bulge with different stellar populations</t>
  </si>
  <si>
    <t>Molero, M.; Matteucci, F.; Spitoni, E.; Rojas-Arriagada, A.; Rich, R. M.</t>
  </si>
  <si>
    <t>A268</t>
  </si>
  <si>
    <t>10.1051/0004-6361/202450418</t>
  </si>
  <si>
    <t>Discovery and follow-up of ASASSN-23bd (AT 2023clx): the lowest redshift and luminosity optically selected tidal disruption event</t>
  </si>
  <si>
    <t>Hoogendam, W. B.; Hinkle, J. T.; Shappee, B. J.; Auchettl, K.; Kochanek, C. S.; Stanek, K. Z. ; Maksym, W. P.; Tucker, M. A.; Huber, M. E.; Morrell, N.; Burns, C. R.; Hey, D.; Holoien, T. W. -S.; Prieto, J. L. ; Stritzinger, M.; Do, A.; Polin, A.; Ashall, C.; Brown, P. J.; DerKacy, J. M.; Ferrari, L. ; Galbany, L.; Hsiao, E. Y.; Kumar, S.; Lu, J.; Stevens, C. P.</t>
  </si>
  <si>
    <t>10.1093/mnras/stae1121</t>
  </si>
  <si>
    <t>Supernova rates and luminosity functions from ASAS-SN I: 2014-2017 Type Ia SNe and their subtypes</t>
  </si>
  <si>
    <t>Desai, D. D.; Kochanek, C. S. ; Shappee, B. J.; Jayasinghe, T.; Stanek, K. Z. ; Holoien, T. W. -S.; Thompson, T. A.; Ashall, C.; Beacom, J. F.; Do, A.; Dong, Subo; Prieto, J. L.</t>
  </si>
  <si>
    <t xml:space="preserve">10.1093/mnras/stae606 </t>
  </si>
  <si>
    <t>Identification of problematic epochs in astronomical time series through transfer learning</t>
  </si>
  <si>
    <t>Cavuoti, Stefano; De Cicco, Demetra; Doorenbos, Lars; Brescia, Massimo; Torbaniuk, Olena; Longo, Giuseppe; Paolillo, Maurizio</t>
  </si>
  <si>
    <t>A246</t>
  </si>
  <si>
    <t>10.1051/0004-6361/202450166</t>
  </si>
  <si>
    <t>2024-07-19 00:00:00.000</t>
  </si>
  <si>
    <t>Probing the Shock Breakout Signal of SN 2024ggi from the Transformation of Early Flash Spectroscopy</t>
  </si>
  <si>
    <t>Zhang, Jujia; Dessart, Luc; Wang, Xiaofeng; Zhai, Qian ; Yang, Yi; Li, Liping ; Lin, Han ; Valerin, Giorgio ; Cai, Yongzhi ; Guo, Zhen; Wang, Lingzhi; Zhao, Zeyi; Wang, Zhenyu ; Yan, Shengyu</t>
  </si>
  <si>
    <t>L18</t>
  </si>
  <si>
    <t>2041-8205, 2041-8213</t>
  </si>
  <si>
    <t>10.3847/2041-8213/ad5da4</t>
  </si>
  <si>
    <t>2024-06-24 00:00:00.000</t>
  </si>
  <si>
    <t>Can near-to-mid Infrared Spectral Energy Distribution Quantitatively Trace Protoplanetary Disk Evolution?</t>
  </si>
  <si>
    <t>Liu, Mingchao; He, Jinhua; Guo, Zhen; Ge, Jixing; Tang, Yuping</t>
  </si>
  <si>
    <t>Research in Astronomy and Astrophysics</t>
  </si>
  <si>
    <t>1674-4527</t>
  </si>
  <si>
    <t>10.1088/1674-4527/ad4b5c</t>
  </si>
  <si>
    <t>Magnetars as powering sources of gamma-ray burst associated supernovae, and unsupervized clustering of cosmic explosions</t>
  </si>
  <si>
    <t>Kumar, Amit; Sharma, Kaushal; Vinkó, Jozsef; Steeghs, Danny; Gompertz, Benjamin; Lyman, Joseph; Dastidar, Raya; Singh, Avinash; Ackley, Kendall; Pursiainen, Miika</t>
  </si>
  <si>
    <t>10.1093/mnras/stae901</t>
  </si>
  <si>
    <t>Clues of the restarting active galactic nucleus activity of Mrk 1498 from GTC/MEGARA integral field spectroscopy data</t>
  </si>
  <si>
    <t>Cazzoli, S. ; Hernández-García, L. ; Márquez, I. ; Masegosa, J. ; Bruni, G. ; Panessa, F. ; Bassani, L.</t>
  </si>
  <si>
    <t>A251</t>
  </si>
  <si>
    <t>00046361, 14320746</t>
  </si>
  <si>
    <t>10.1051/0004-6361/202450045</t>
  </si>
  <si>
    <t>Scopus</t>
  </si>
  <si>
    <t>Relative evolution of eclipsing binaries: A tool for measuring globular cluster ages and He abundances</t>
  </si>
  <si>
    <t>Cristi-Cambiaso, N. ; Catelan, M. ; Valcarce, A. A. R. ; Papageorgiou, A.</t>
  </si>
  <si>
    <t>A166</t>
  </si>
  <si>
    <t xml:space="preserve">10.1051/0004-6361/202450427 </t>
  </si>
  <si>
    <t>Massive stars exploding in a He-rich circumstellar medium: X. Flash spectral features in the Type Ibn SN 2019cj and observations of SN 2018jmt</t>
  </si>
  <si>
    <t>Wang, Z. -Y. ; Pastorello, A. ; Maeda, K. ; Reguitti, A. ; Cai, Y. -Z. ; Andrew Howell, D. ; Benetti, S. ; Buckley, D. A. H. ; Cappellaro, E. ; Carini, R. ; Cartier, R. ; Chen, T. -W.  ; Elias-Rosa, N. ; Fang, Q. -L. ; Gal-Yam, A. ; Gangopadhyay, A. ; Gromadzki, M. ; Gan, W. -P. ; Hiramatsu, D. ; Hu, M. -K. ; Inserra, C. ; McCully, C. ; Nicholl, M. ; Olivares E., F. ; Pignata, G. ; Pineda-García, J. ; Pursiainen, M. ; Ragosta, F. ; Rau, A. ; Roy, R. ; Sollerman, J. ; Tartaglia, L. ; Terreran, G. ; Valerin, G. ; Wang, Q. ; Wang, S. -Q. ; Young, D. R. ; Aryan, A. ; Bronikowski, M. ; Concepcion, E. ; Galbany, L. ; Lin, H. ; Melandri, A. ; Petrushevska, T. ; Ramirez, M. ; Shi, D. -D. ; Warwick, B. ; Zhang, J. -J. ; Wang, B. ; Wang, X. -F. ; Zhu, X. -J.</t>
  </si>
  <si>
    <t>A156</t>
  </si>
  <si>
    <t>10.1051/0004-6361/202451131</t>
  </si>
  <si>
    <t>2024-12-01 00:00:00.000</t>
  </si>
  <si>
    <t>GRB 240529A: A Tale of Two Shocks</t>
  </si>
  <si>
    <t>Sun, Tian-Rui; Geng, Jin-Jun; Yan, Jing-Zhi ; Hu, You-Dong; Wu, Xue-Feng; Castro-Tirado, Alberto J.; Yang, Chao; Ping, Yi-Ding; Hu, Chen-Ran; Xu, Fan; Gao, Hao-Xuan; Jiang, Ji-An; Zhu, Yan-Tian; Xue, Yongquan; Pérez-García, Ignacio; Wu, Si-Yu; Fernández-García, Emilio; Caballero-García, María D.; Sánchez-Ramírez, Rubén; Guziy, Sergiy; Olivares, I. ; Pérez del Pulgar, Carlos Jesus ; Castellón, A. ; Castillo, S. ; Xiong, Ding-Rong; Pandey, Shashi B. ; Hiriart, David; García-Segura, Guillermo ; Lee, William H.; Carrasco-García, I. M. ; Park, Il H.; Jeong, S. ; Meintjes, Petrus J.; van Heerden, Hendrik J.; Martín-Carrillo, Antonio; Hanlon, Lorraine; Zhang, Bin-Bin; Hernández-García, L.; Gritsevich, Maria; Rossi, Andrea; Maiorano, Elisabetta; Cusano, Felice; D'Avanzo, Paolo ; Ferro, Matteo ; Melandri, Andrea; De Pasquale, Massimiliano; Brivio, Riccardo; Fang, Min; Fan, Lu-Lu; Hu, Wei-Da; Wan, Zhen ; Hu, Lei; Zuo, Ying-Xi ; Tang, Jin-Long ; Zhang, Xiao-Ling; Zheng, Xian-Zhong; Li, Bin; Luo, Wen-Tao; Liu, Wei; Wang, Jian; Zhang, Hong-Fei; Liu, Hao ; Gao, Jie ; Liang, Ming ; Wang, Hai-Ren; Yao, Da-Zhi ; Cheng, Jing-Quan ; Zhao, Wen; Dai, Zi-Gao</t>
  </si>
  <si>
    <t>L20</t>
  </si>
  <si>
    <t>10.3847/2041-8213/ad85da</t>
  </si>
  <si>
    <t>2024-08-13 00:00:00.000</t>
  </si>
  <si>
    <t>Evidence for Primordial Alignment: Insights from Stellar Obliquity Measurements for Compact Sub-Saturn Systems</t>
  </si>
  <si>
    <t xml:space="preserve">Radzom, Brandon T.; Dong, Jiayin; Rice, Malena; Wang, Xian-Yu; Yee, Samuel W.; Fairnington, Tyler R.; Petrovich, Cristobal; Wang, Songhu </t>
  </si>
  <si>
    <t>The Astronomical Journal</t>
  </si>
  <si>
    <t>00046256, 15383881</t>
  </si>
  <si>
    <t>10.3847/1538-3881/ad61d8</t>
  </si>
  <si>
    <t>2024-07-10 00:00:00.000</t>
  </si>
  <si>
    <t>A benchmark JWST near-infrared spectrum for the exoplanet WASP-39 b</t>
  </si>
  <si>
    <t>Carter, A. L.; May, E. M.; Espinoza, N.; Welbanks, L.; Ahrer, E.; Alderson, L. ; Brahm, R. ; Feinstein, A. D.; Grant, D.; Line, M. ; Morello, G.; O'Steen, R.; Radica, M.; Rustamkulov, Z.; Stevenson, K. B.; Turner, J. D.; Alam, M. K.; Anderson, D. R.; Batalha, N. M.; Battley, M. P.; Bayliss, D.; Bean, J. L. ; Benneke, B.; Berta-Thompson, Z. K. ; Brande, J.; Bryant, E. M.; Burleigh, M. R.; Coulombe, L.; Crossfield, I. J. M. ; Damiano, M.; Désert, J. -M.; Flagg, L.; Gill, S. ; Inglis, J. ; Kirk, J.; Knutson, H. ; Kreidberg, L.; López Morales, M.; Mansfield, M.; Moran, S. E. ; Murray, C. A.; Nixon, M. C.; Petit dit de la Roche, D. J. M. ; Rackham, B. V.; Schlawin, E. ; Sing, D. K.; Wakeford, H. R.; Wallack, N. L. ; Wheatley, P. J.; Zieba, S.; Aggarwal, K.; Barstow, J. K.; Bell, T. J.; Blecic, J. ; Caceres, C.; Crouzet, N.; Cubillos, P. E. ; Daylan, T.; de Val-Borro, M. ; Decin, L.; Fortney, J. J. ; Gibson, N. P. ; Heng, K. ; Hu, R.; Kempton, E. M. -R.; Lagage, P. ; Lothringer, J. D.; Lustig-Yaeger, J.; Mancini, L.; Mayne, N. J.; Mayorga, L. C.; Molaverdikhani, K.; Nasedkin, E. ; Ohno, K.; Parmentier, V. ; Powell, D. ; Redfield, S.; Roy, P. ; Taylor, J.; Zhang, X.</t>
  </si>
  <si>
    <t>Nature Astronomy</t>
  </si>
  <si>
    <t>10.1038/s41550-024-02292-x</t>
  </si>
  <si>
    <t>High-quality Extragalactic Legacy-field Monitoring (HELM) with DECam: Project Overview and First Data Release</t>
  </si>
  <si>
    <t>Zhuang, Ming-Yang; Yang, Qian; Shen, Yue; Adamów, Monika; Friedel, Douglas N.; Gruendl, R. A.; Stone, Zachary; Li, Junyao; Liu, Xin; Martini, Paul; Abbott, Timothy M. C.; Anderson, Scott F.; Assef, Roberto J.; Bauer, Franz E.; Bielby, Richard; Brandt, W. N.; Burke, Colin J.; Casares, Jorge; Chen, Yu-Ching; De Rosa, Gisella; Drlica-Wagner, Alex; Dwelly, Tom; Eltvedt, Alice ; Fonseca Alvarez, Gloria; Fu, Jianyang; Fuentes, Cesar; Graham, Melissa L.; Grier, Catherine J.; Golovich, Nathan; Hall, Patrick B.; Hartigan, Patrick; Horne, Keith; Koekemoer, Anton M.; Krumpe, Mirko ; Li, Jennifer I.; Lidman, Chris; Malik, Umang; Mangian, Amelia; Merloni, Andrea; Ricci, Claudio; Salvato, Mara; Sharp, Rob; Trilling, David E.; Tucker, Brad E.; Wen, Di; Wideman, Zachary; Xue, Yongquan; Yu, Zhefu; Zucker, Catherine</t>
  </si>
  <si>
    <t>The Astrophysical Journal Supplement Series</t>
  </si>
  <si>
    <t>00670049, 15384365</t>
  </si>
  <si>
    <t xml:space="preserve">10.3847/1538-4365/ad7d01 </t>
  </si>
  <si>
    <t>VVVX survey dusts off a new intermediate-age star cluster in the Milky Way disk</t>
  </si>
  <si>
    <t xml:space="preserve">Garro, E. R.  ; Minniti, D. ; Alonso-García, J.  ; Fernández-Trincado, J. G. ; Gómez, M. ; Palma, T.  ; Saito, R. K. ; Obasi, C. </t>
  </si>
  <si>
    <t>L3</t>
  </si>
  <si>
    <t>10.1051/0004-6361/202450870</t>
  </si>
  <si>
    <t>2024-07-15 00:00:00.000</t>
  </si>
  <si>
    <t>Inhomogeneous terminators on the exoplanet WASP-39 b</t>
  </si>
  <si>
    <t>Espinoza, Néstor; Steinrueck, Maria E. ; Kirk, James ; MacDonald, Ryan J. ; Savel, Arjun B. ; Arnold, Kenneth; Kempton, Eliza M. -R. ; Murphy, Matthew M.; Carone, Ludmila  ; Zamyatina, Maria  ; Lewis, David A.  ; Samra, Dominic ; Kiefer, Sven ; Rauscher, Emily  ; Christie, Duncan  ; Mayne, Nathan  ; Helling, Christiane ; Rustamkulov, Zafar  ; Parmentier, Vivien ; May, Erin M.  ; Carter, Aarynn L.  ; Zhang, Xi  ; López-Morales, Mercedes ; Allen, Natalie  ; Blecic, Jasmina ; Decin, Leen  ; Mancini, Luigi  ; Molaverdikhani, Karan ; Rackham, Benjamin V.  ; Palle, Enric ; Tsai, Shang-Min ; Ahrer, Eva-Maria  ; Bean, Jacob L. ; Crossfield, Ian J. M. ; Haegele, David ; Hébrard, Eric ; Kreidberg, Laura  ; Powell, Diana ; Schneider, Aaron D.  ; Welbanks, Luis ; Wheatley, Peter ; Brahm, Rafael ; Crouzet, Nicolas</t>
  </si>
  <si>
    <t>Nature</t>
  </si>
  <si>
    <t>00280836, 14764687</t>
  </si>
  <si>
    <t>10.1038/s41586-024-07768-4</t>
  </si>
  <si>
    <t xml:space="preserve">Mass determination of two Jupiter-sized planets orbiting slightly evolved stars: TOI-2420 b and TOI-2485 b </t>
  </si>
  <si>
    <t>Carleo, Ilaria ; Barrágan, Oscar ; Persson, Carina M. ; Fridlund, Malcolm ; Lam, Kristine W. F. ; Messina, Sergio ; Gandolfi, Davide ; Smith, Alexis M. S. ; Johnson, Marshall C. ; Cochran, William ; Osborne, Hannah L. M. ; Brahm, Rafael ; Ciardi, David R. ; Collins, Karen A. ; Everett, Mark E. ; Giacalone, Steven ; Guenther, Eike W. ; Hatzes, Artie ; Hellier, Coel ; Horner, Jonathan ; Kabáth, Petr ; Korth, Judith ; MacQueen, Phillip ; Masseron, Thomas ; Murgas, Felipe; Nowak, Grzegorz ; Rodriguez, Joseph E. ; Watkins, Cristilyn N. ; Wittenmyer, Rob ; Zhou, George ; Ziegler, Carl ; Bieryla, Allyson ; Boyd, Patricia T. ; Clark, Catherine A.; Dressing, Courtney D. ; Eastman, Jason D. ; Eberhardt, Jan ; Endl, Michael ; Espinoza, Nestor ; Fausnaugh, Michael ; Guerrero, Natalia M. ; Henning, Thomas ; Hesse, Katharine ; Hobson, Melissa J. ; Howell, Steve B. ; Jordán, Andrés ; Latham, David W. ; Lund, Michael B. ; Mireles, Ismael ; Narita, Norio ; Tala Pinto, Marcelo  ; Pugh, Teznie ; Quinn, Samuel N. ; Ricker, George ; Rodriguez, David R. ; Rojas, Felipe I. ; Rose, Mark E. ; Rudat, Alexander ; Sarkis, Paula ; Savel, Arjun B. ; Schlecker, Martin ; Schwarz, Richard P. ; Seager, Sara ; Shporer, Avi ; Smith, Jeffrey C. ; Stassun, Keivan G. ; Stockdale, Chris ; Trifonov, Trifon ; Vanderspek, Roland ; Winn, Joshua N. ; Wright, Duncan</t>
  </si>
  <si>
    <t>a18</t>
  </si>
  <si>
    <t>10.1051/0004-6361/202451313</t>
  </si>
  <si>
    <t>Joint ALMA/X-ray monitoring of the radio-quiet type 1 active galactic nucleus IC 4329A</t>
  </si>
  <si>
    <t>Shablovinskaya, E. ; Ricci, C. ; Chang, C. -S. ; Tortosa, A. ; del Palacio, S. ; Kawamuro, T. ; Aalto, S. ; Arzoumanian, Z. ; Balokovic, M. ; Bauer, F. E.; Gendreau, K. C. ; Ho, L. C. ; Kakkad, D. ; Kara, E. ; Koss, M. J. ; Liu, T. ; Loewenstein, M. ; Mushotzky, R. ; Paltani, S. ; Privon, G. C. ; Smith, K. ; Tombesi, F. ; Trakhtenbrot, B.</t>
  </si>
  <si>
    <t>A232</t>
  </si>
  <si>
    <t xml:space="preserve">10.1051/0004-6361/202450133 </t>
  </si>
  <si>
    <t>HATS-38 b and WASP-139 b Join a Growing Group of Hot Neptunes on Polar Orbits</t>
  </si>
  <si>
    <t>Espinoza-Retamal, Juan I.; Stefánsson, Guđmundur; Petrovich, Cristobal; Brahm, Rafael; Jordán, Andrés; Sedaghati, Elyar; Lucero, Jennifer P.; Pinto, Marcelo Tala; Muñoz, Diego J.; Boyle, Gavin; Leiva, Rodrigo; Suc, Vincent</t>
  </si>
  <si>
    <t>10.3847/1538-3881/ad70b8</t>
  </si>
  <si>
    <t>BASS: XLIII. Optical, UV, and X-ray emission properties of unobscured Swift/BAT active galactic nuclei</t>
  </si>
  <si>
    <t>Gupta, Kriti K.; Ricci, Claudio; Temple, Matthew J.; Tortosa, Alessia; Koss, Michael J.; Assef, Roberto J. ; Bauer, Franz E.; Mushotzy, Richard; Ricci, Federica ; Ueda, Yoshihiro ; Rojas, Alejandra F.; Trakhtenbrot, Benny; Chang, Chin-Shin ; Oh, Kyuseok ; Li, Ruancun ; Kawamuro, Taiki; Diaz, Yaherlyn; Powell, Meredith C.; Stern, Daniel ; Megan Urry, C.; Harrison, Fiona ; Cenko, Brad</t>
  </si>
  <si>
    <t>A203</t>
  </si>
  <si>
    <t>10.1051/0004-6361/202450567</t>
  </si>
  <si>
    <t>Digging deeper into the dense Galactic globular cluster Terzan 5 with electron-multiplying CCDs: Variable star detection and new discoveries</t>
  </si>
  <si>
    <t>Figuera Jaimes, R. ; Catelan, M. ; Horne, K. ; Skottfelt, J. ; Snodgrass, C. ; Dominik, M. ; Jørgensen, U. G. ; Southworth, J. ; Hundertmark, M. ; Longa-Peña, P. ; Sajadian, S. ; Tregolan-Reed, J. ; Hinse, T. C. ; Andersen, M. I. ; Bonavita, M. ; Bozza, V. ; Burgdorf, M. J. ; Haikala, L. ; Khalouei, E. ; Korhonen, H. ; Peixinho, N. ; Rabus, M. ; Rahvar, S.</t>
  </si>
  <si>
    <t>A108</t>
  </si>
  <si>
    <t>10.1051/0004-6361/202347406</t>
  </si>
  <si>
    <t>2024-10-10 00:00:00.000</t>
  </si>
  <si>
    <t>TOI 762 A b and TIC 46432937 b: Two Giant Planets Transiting M-dwarf Stars</t>
  </si>
  <si>
    <t>Hartman, Joel D.; Bayliss, Daniel; Brahm, Rafael; Bryant, Edward M.; Jordán, Andrés; Bakos, Gáspár Á.; Hobson, Melissa J.; Sedaghati, Elyar; Bonfils, Xavier; Cointepas, Marion ; Almenara, Jose Manuel; Barkaoui, Khalid; Timmermans, Mathilde; Dransfield, George ; Ducrot, Elsa; Zúñiga-Fernández, Sebastián; Hooton, Matthew J.; Pedersen, Peter Pihlmann; Pozuelos, Francisco J.; Triaud, Amaury H. M. J.; Gillon, Michaël; Jehin, Emmanuel; Waalkes, William C.; Berta-Thompson, Zachory K.; Howell, Steve B.; Furlan, Elise; Ricker, George R.; Vanderspek, Roland; Seager, Sara; Winn, Joshua N.; Jenkins, Jon M.; Rapetti, David; Collins, Karen A.; Charbonneau, David; Burke, Christopher J.; Rodriguez, David R.</t>
  </si>
  <si>
    <t>10.3847/1538-3881/ad6f07</t>
  </si>
  <si>
    <t>JWST lensed quasar dark matter survey - II. Strongest gravitational lensing limit on the dark matter free streaming length to date</t>
  </si>
  <si>
    <t>Keeley, Ryan E.  ; Nierenberg, A. M. ; Gilman, D. ; Gannon, C. ; Birrer, S. ; Treu, T.  ; Benson, A. J.  ; Du, X. ; Abazajian, K. N.  ; Anguita, T.  ; Bennert, V. N. ; Djorgovski, S. G. ; Gupta, K. K.  ; Hoenig, S. F. ; Kusenko, A. ; Lemon, C.  ; Malkan, M. ; Motta, V. ; Moustakas, L. A.  ; Oh, Maverick S. H. ; Sluse, D. ; Stern, D. ; Wechsler, R. H.</t>
  </si>
  <si>
    <t xml:space="preserve">10.1093/mnras/stae2458 </t>
  </si>
  <si>
    <t>Espinoza-Retamal, Juan I.; Stefánsson, Guđmundur; Petrovich, Cristobal; Brahm, Rafael; Jordán, Andrés; Sedaghati, Elyar; Lucero, Jennifer P.; Tala Pinto, Marcelo; Muñoz, Diego J.; Boyle, Gavin; Leiva, Rodrigo; Suc, Vincent</t>
  </si>
  <si>
    <t>Constraining Quasar Feedback from Analysis of the Hydrostatic Equilibrium of the Molecular Gas in Their Host Galaxies</t>
  </si>
  <si>
    <t>Fei, Qinyue; Wang, Ran; Molina, Juan; Ho, Luis C.; Shangguan, Jinyi; Bauer, Franz E.; Treister, Ezequiel</t>
  </si>
  <si>
    <t>10.3847/1538-4357/ad7e26</t>
  </si>
  <si>
    <t>A novel optimal transport-based approach for interpolating spectral time series: Paving the way for photometric classification of supernovae</t>
  </si>
  <si>
    <t>Ramirez, Mauricio ; Pignata, Giuliano ; Förster, Francisco ; González-Gaitán, Santiago; Gutiérrez, Claudia P.; Ayala, Bastian ; Cabrera-Vives, Guillermo ; Catelan, Márcio ; Arancibia, Alejandra M. Muñoz ; Pineda-García, Jonathan</t>
  </si>
  <si>
    <t>A33</t>
  </si>
  <si>
    <t>10.1051/0004-6361/202449170</t>
  </si>
  <si>
    <t>BASS. XLI. The Correlation between Mid-infrared Emission Lines and Active Galactic Nuclei Emission</t>
  </si>
  <si>
    <t>Bierschenk, M. ; Ricci, C.; Temple, M. J.; Satyapal, S.; Cann, J.; Xie, Y.; Diaz, Y.; Ichikawa, K.; Koss, M. J.; Bauer, F. E.; Rojas, A.; Kakkad, D.; Tortosa, A. ; Ricci, F.; Mushotzky, R.; Kawamuro, T.; Gupta, K. K.; Trakhtenbrot, B.; Chang, C. S.; Riffel, R.; Oh, K.; Harrison, F.; Powell, M.; Stern, D.; Urry, C. M.</t>
  </si>
  <si>
    <t>10.3847/1538-4357/ad844a</t>
  </si>
  <si>
    <t>ALMA Lensing Cluster Survey: Deep 1.2 mm Number Counts and Infrared Luminosity Functions at z ≃ 1–8</t>
  </si>
  <si>
    <t xml:space="preserve">Fujimoto, Seiji; Kohno, Kotaro; Ouchi, Masami; Oguri, Masamune; Kokorev, Vasily; Brammer, Gabriel; Sun, Fengwu; González-López, Jorge; Bauer, Franz E.; Caminha, Gabriel B.; Hatsukade, Bunyo; Richard, Johan; Smail, Ian; Tsujita, Akiyoshi; Ueda, Yoshihiro; Uematsu, Ryosuke; Zitrin, Adi; Coe, Dan; Kneib, Jean-Paul; Postman, Marc; Umetsu, Keiichi; Lagos, Claudia del P.; Popping, Gergö ; Ao, Yiping; Bradley, Larry; Caputi, Karina; Dessauges-Zavadsky, Miroslava; Egami, Eiichi; Espada, Daniel ; Ivison, R. J.; Jauzac, Mathilde; Knudsen, Kirsten K.; Koekemoer, Anton M.; Magdis, Georgios E.; Mahler, Guillaume; Muñoz Arancibia, A. M.; Rawle, Timothy; Shimasaku, Kazuhiro; Toft, Sune; Umehata, Hideki; Valentino, Francesco; Wang, Tao; Wang, Wei-Hao </t>
  </si>
  <si>
    <t>10.3847/1538-4365/ad5ae2</t>
  </si>
  <si>
    <t>Long-term evolution of exoplanet systems</t>
  </si>
  <si>
    <t xml:space="preserve">Petrovich, Cristobal </t>
  </si>
  <si>
    <t>Proceedings of the International Astronomical Union</t>
  </si>
  <si>
    <t>1743-9213</t>
  </si>
  <si>
    <t xml:space="preserve">10.1017/S1743921323004775 </t>
  </si>
  <si>
    <t>Tidal effects in resonant chains of close-in planets: TTV analysis of Kepler-80</t>
  </si>
  <si>
    <t>Charalambous, Carolina; Libert, Anne-Sophie</t>
  </si>
  <si>
    <t>10.1017/S1743921323004970</t>
  </si>
  <si>
    <t>Apoyo - Instituto Milenio de Oceanografia</t>
  </si>
  <si>
    <t>2024-11-27 00:00:00.000</t>
  </si>
  <si>
    <t>A new large predator (Amphipoda, Eusiridae) hidden at hadal depths of the Atacama Trench.</t>
  </si>
  <si>
    <t>Weston, JN.J., González, C.E., Ulloa, O., Escribano, R.</t>
  </si>
  <si>
    <t>Weston, JN.J., González, C.E., Ulloa, O., Escribano, R. Systematics and Biodiversity (2024), 22(1): 2416430. DOI:10.1080/14772000.2024.2416430 (2024)</t>
  </si>
  <si>
    <t>22, Issue 1</t>
  </si>
  <si>
    <t>1477-2000</t>
  </si>
  <si>
    <t>10.1080/14772000.2024.2416430</t>
  </si>
  <si>
    <t>2024-10-07 00:00:00.000</t>
  </si>
  <si>
    <t>Metazoan Parasites of Antimora ostrata (Günther, 1878) (Gadiformes: Moridae) from the Deep Sea in the Southeastern Pacific Ocean.</t>
  </si>
  <si>
    <t>Luis Ñacari, Marcelo Oliva, Ruben Escribano </t>
  </si>
  <si>
    <t>Luis Ñacari, Marcelo Oliva, Ruben Escribano. Metazoan Parasites of Antimora ostrata (Günther, 1878) (Gadiformes: Moridae) from the Deep Sea in the Southeastern Pacific Ocean. Diversity 2024, 16(10), 636; https://doi.org/10.3390/d16100636</t>
  </si>
  <si>
    <t>1424-2818</t>
  </si>
  <si>
    <t>10.3390/d16100636</t>
  </si>
  <si>
    <t>2024-11-18 00:00:00.000</t>
  </si>
  <si>
    <t>Advancing an integrated understanding of land–ocean connections in shaping the marine ecosystems of coastal temperate rainforest ecoregions</t>
  </si>
  <si>
    <t>Hunt, B.P.B.; Alin, S.; Bidlack, A.; Diefenderfer, H.L.; Jackson, J.M.; Kellogg, C.T.E.; Kiffney, P.; Pierre, K.A.St.; Carmack, E.; Floyd, W.C.; Hood, E.; Horner-Devine, A.R.; Levings, C.; Vargas, C.A. </t>
  </si>
  <si>
    <t xml:space="preserve">Hunt, Brian &amp; Alin, Simone &amp; Bidlack, Allison &amp; Diefenderfer, Heida &amp; Jackson, Jennifer &amp; Kellogg, Colleen &amp; Kiffney, Peter &amp; St.Pierre, Kyra &amp; Carmack, Eddy &amp; Floyd, William &amp; Hood, Eran &amp; Horner-Devine, Alexander &amp; Levings, Colin &amp; Vargas, Cristian. (2024). Advancing an integrated understanding of land–ocean connections in shaping the marine ecosystems of coastal temperate rainforest ecoregions. Limnology and Oceanography. 69. 3061-3096. 10.1002/lno.12724. </t>
  </si>
  <si>
    <t>69, Issue 12</t>
  </si>
  <si>
    <t xml:space="preserve"> 3061-3096</t>
  </si>
  <si>
    <t>0024-3590</t>
  </si>
  <si>
    <t>10.1002/lno.12724</t>
  </si>
  <si>
    <t>2024-05-29 00:00:00.000</t>
  </si>
  <si>
    <t>Molecular evidence for a new endemic species of Acartia (Copepoda, Calanoida) from the Southeast Pacifc coast</t>
  </si>
  <si>
    <t>Andrés Mesas, Víctor Aguilera, Carolina E.González, Ricardo Giesecke, Rubén Escribano, CristianA.Vargas</t>
  </si>
  <si>
    <t>Mesas, A., Aguilera, V.M., González, C.E. et al. Molecular evidence for a new endemic species of Acartia (Copepoda, Calanoida) from the Southeast Pacific coast. Sci Rep 14, 12366 (2024). https://doi.org/10.1038/s41598-024-62080-5</t>
  </si>
  <si>
    <t>12366 (2024)</t>
  </si>
  <si>
    <t xml:space="preserve">2045-2322 (online) </t>
  </si>
  <si>
    <t>10.1038/s41598-024-62080-5</t>
  </si>
  <si>
    <t>2024-06-23 00:00:00.000</t>
  </si>
  <si>
    <t>Adjusting metabolic rates and critical oxygen tension in planktonic copepods under increasing hypoxia in highly productive coastal upwelling zones</t>
  </si>
  <si>
    <t>Leissing Frederick, Mauricio A. Urbina, Erika Jorquera, Ruben Escribano</t>
  </si>
  <si>
    <t xml:space="preserve"> Leissing Frederick, Mauricio A. Urbina, Erika Jorquera, Ruben Escribano. Adjusting metabolic rates and critical oxygen tension in planktonic copepods under increasing hypoxia in highly productive coastal upwelling zones. Limnology and Oceanography, V:69, Issue 5, 2024, Pag: 1115-1128. DOI: 10.1002/lno.12556.</t>
  </si>
  <si>
    <t>69 Issue 5</t>
  </si>
  <si>
    <t xml:space="preserve"> 1115-1128</t>
  </si>
  <si>
    <t>10.1002/lno.12556</t>
  </si>
  <si>
    <t>2024-06-05 00:00:00.000</t>
  </si>
  <si>
    <t>Impacts of the Mesoscale Ocean-Atmosphere Coupling on the Peru-Chile Ocean Dynamics: Impact of the Thermal Feedback</t>
  </si>
  <si>
    <t>Vera Oerder, François Colas, Vincent Echevin, Sebastien Masson, Florian Lemarié, Lionel Renault</t>
  </si>
  <si>
    <t>Oerder, V., Colas, F., Echevin, V., Masson, S., Lemarié, F., &amp; Renault, L. (2024). Impacts of the mesoscale oceanatmosphere coupling on the Peru‐Chile ocean dynamics: Impact of the thermal feedback. Journal of Geophysical Research: Oceans, 129, e2023JC020351. https://doi.org/10.1029/2023JC020351</t>
  </si>
  <si>
    <t>129, Issue 6</t>
  </si>
  <si>
    <t xml:space="preserve"> e2023JC020351</t>
  </si>
  <si>
    <t>2169-9275</t>
  </si>
  <si>
    <t>10.1029/2023JC020351</t>
  </si>
  <si>
    <t>Small-scale geographic differences in multiple-driver environmental variability can modulate contrasting phenotypic plasticity despite high leves of gene flow.</t>
  </si>
  <si>
    <t>Castillo, N.; Gaitán-Espitia, J.D.; Quintero-Galvis, J.F.; Saldías, G.S.; Martel, S.I.; Lardies, M.A.; Mesas, A.; Pérez-Santos, I.E.; Gelcich, S.; Vargas, C.A</t>
  </si>
  <si>
    <t xml:space="preserve">Castillo, Nicole &amp; Gaitán-Espitia, Juan Diego &amp; Quintero-Galvis, Julian &amp; Saldías, Gonzalo &amp; Martel, Sebastián &amp; Lardies, Marco &amp; Mesas, Andres &amp; Pérez-Santos, Iván &amp; Gelcich, Stefan &amp; Vargas, Cristian. (2024). Small-scale geographic differences in multiple-driver environmental variability can modulate contrasting phenotypic plasticity despite high levels of gene flow. Science of The Total Environment. 954. 176772. 10.1016/j.scitotenv.2024.176772. </t>
  </si>
  <si>
    <t>954 (4)</t>
  </si>
  <si>
    <t>0048-9697</t>
  </si>
  <si>
    <t>10.1016/j.scitotenv.2024.176772</t>
  </si>
  <si>
    <t>Interactive impact of residual pyrethroid compounds used in the Chilean salmon farming industry and coastal acidification conditions on the feeding performance of farmed mussels in northern Patagonia</t>
  </si>
  <si>
    <t>Conejeros, A.; San Martin V.A.; Castillo, N.; Cuevas, L.A.; Garcés, K.; Barra, R.O.; Aguilera, V.M.; Vargas, C.A.</t>
  </si>
  <si>
    <t xml:space="preserve">Conejeros, Adonis &amp; Martin, Valeska &amp; Castillo Villagrán, Nicole &amp; Cuevas, Luis &amp; Garcés, Karen &amp; Barra, Ricardo &amp; Aguilera, Victor &amp; Vargas, Cristian. (2024). Interactive impact of residual pyrethroid compounds used in the Chilean salmon farming industry and coastal acidification conditions on the feeding performance of farmed mussels in northern Patagonia. Marine Environmental Research. 202. 106727. 10.1016/j.marenvres.2024.106727. </t>
  </si>
  <si>
    <t>0141-1136</t>
  </si>
  <si>
    <t>10.1016/j.marenvres.2024.106727</t>
  </si>
  <si>
    <t>2024-11-16 00:00:00.000</t>
  </si>
  <si>
    <t>VIS-NIR hyperspectral imaging and multivariate analysis for direct characterization of pelagic fish species</t>
  </si>
  <si>
    <t>Mario I Sanhueza, Caroline S Montes, Ignacio Sanhueza, N I Montoya-Gallardo, Fabiola Escalona, Danny Luarte, Rubén Escribano, Sergio Torres , Sebastián E Godoy, José Manuel Amigo, Rosario Del P Castillo, Mauricio Urbina </t>
  </si>
  <si>
    <t xml:space="preserve">Sanhueza, Mario &amp; Montes, Caroline &amp; Sanhueza, Ignacio &amp; Montoya-Gallardo, N.I. &amp; Escalona, Fabiola &amp; Luarte, Danny &amp; Escribano, Ruben &amp; Torres, Sergio &amp; Godoy, Sebastián &amp; Amigo, José &amp; Castillo, Rosario &amp; Urbina, Mauricio. (2024). VIS-NIR hyperspectral imaging and multivariate analysis for direct characterization of pelagic fish species. Spectrochimica Acta Part A: Molecular and Biomolecular Spectroscopy. 328. 125451. 10.1016/j.saa.2024.125451. </t>
  </si>
  <si>
    <t>1386-6984</t>
  </si>
  <si>
    <t>10.1016/j.saa.2024.125451</t>
  </si>
  <si>
    <t>Biodiversity patterns of epipelagic copepods in the South Pacific Ocean: Strengths and limitations of current data bases</t>
  </si>
  <si>
    <t>Manuela Pérez-Aragón, Ruben Escribano, Reinaldo Rivera, Pamela Hidalgo </t>
  </si>
  <si>
    <t>Pérez-Aragón M, Escribano R, Rivera R, Hidalgo P (2024) Biodiversity patterns of epipelagic copepods in the South Pacific Ocean: Strengths and limitations of current data bases. PLoS ONE 19(7): e0306440. https://doi.org/10.1371/journal.pone.0306440</t>
  </si>
  <si>
    <t>7 E0306440</t>
  </si>
  <si>
    <t>1932-6203</t>
  </si>
  <si>
    <t>10.1371/journal.pone.0306440</t>
  </si>
  <si>
    <t>2024-11-19 00:00:00.000</t>
  </si>
  <si>
    <t>The Genomic Signature and Transcriptional Response of Metal Tolerance in Brown Trout Inhabiting Metal-Polluted Rivers</t>
  </si>
  <si>
    <t>Josephine R. Paris, R. Andrew King, Joan Ferrer Obiol, Sophie Shaw, Anke Lange, Vincent Bourret, Patrick B. Hamilton, Darren Rowe, Lauren V. Laing, Audrey Farbos, Karen Moore, Mauricio A. Urbina, Ronny van Aerle, Julian M. Catchen, Rod W. Wilson, Nicolas R. Bury, Eduarda M. Santos, Jamie R. Stevens</t>
  </si>
  <si>
    <t xml:space="preserve">Paris, Josephine &amp; King, Andrew &amp; Ferrer Obiol, Joan &amp; Shaw, Sophie &amp; Lange, Anke &amp; Bourret, Vincent &amp; Hamilton, Patrick &amp; Rowe, Darren &amp; Laing, Lauren &amp; Farbos, Audrey &amp; Moore, Karen &amp; Urbina, Mauricio &amp; van Aerle, Ronny &amp; Catchen, Julian &amp; Wilson, Rod &amp; Bury, Nicolas &amp; Santos, Eduarda &amp; Stevens, Jamie. (2024). The Genomic Signature and Transcriptional Response of Metal Tolerance in Brown Trout Inhabiting Metal-Polluted Rivers. Molecular ecology. 34. e17591. 10.1111/mec.17591. </t>
  </si>
  <si>
    <t>34 (4)</t>
  </si>
  <si>
    <t>e17591</t>
  </si>
  <si>
    <t>0962-1083</t>
  </si>
  <si>
    <t>10.1111/mec.17591</t>
  </si>
  <si>
    <t>Adonis Conejeros, Valeska A. San Martin, Nicole Castillo, L. Antonio Cuevas, Karen Garcés, Ricardo O. Barra, Victor M. Aguilera, Cristian A. Vargas</t>
  </si>
  <si>
    <t>2024-11-22 00:00:00.000</t>
  </si>
  <si>
    <t>Effects of elevated CO2 on the critical oxygen tension (Pcrit) and aerobic metabolism of two oxygen minimum zone (OMZ) hypoxia tolerant squat lobster species</t>
  </si>
  <si>
    <t>Erika Jorquera, Antonio Brante, Ángel Urzúa, Trystan Sanders, Robert P Ellis, Rod Wilson, Mauricio A Urbina</t>
  </si>
  <si>
    <t>Jorquera E, Brante A, Urzúa Á, Sanders T, Ellis RP, Wilson R, Urbina MA. Effects of elevated CO2 on the critical oxygen tension (Pcrit) and aerobic metabolism of two oxygen minimum zone (OMZ) hypoxia tolerant squat lobster species. Sci Total Environ. 2024 Dec 20;957:177508. doi: 10.1016/j.scitotenv.2024.177508. Epub 2024 Nov 22. PMID: 39551207</t>
  </si>
  <si>
    <t>957 (1)</t>
  </si>
  <si>
    <t>1879-1026</t>
  </si>
  <si>
    <t>10.1016/j.scitotenv.2024.177508</t>
  </si>
  <si>
    <t>How plastic litter sunk by biofouling recovers buoyancy - The role of benthic predation</t>
  </si>
  <si>
    <t>Javier Pinochet, Martin Thiel, Mauricio Urbina </t>
  </si>
  <si>
    <t xml:space="preserve">Romero, Javier &amp; Thiel, Martin &amp; Urbina, Mauricio. (2024). How plastic litter sunk by biofouling recovers buoyancy - The role of benthic predation. Science of The Total Environment. 952. 175910. 10.1016/j.scitotenv.2024.175910. </t>
  </si>
  <si>
    <t>952 (2)</t>
  </si>
  <si>
    <t>10.1016/j.scitotenv.2024.175910</t>
  </si>
  <si>
    <t>Lipid remodeling in phytoplankton exposed to multi-environmental drivers in a mesocosm experiment</t>
  </si>
  <si>
    <t>Cantarero, S. I., Flores, E., Allbrook, H., Aguayo, P., Vargas, C. A., Tamanaha, J. E., Scholz, J. B. C., Bach, L. T., Löscher, C. R., Riebesell, U., Rajagopalan, B., Dildar, N., and Sepúlveda, J.</t>
  </si>
  <si>
    <t xml:space="preserve">Cantarero, Sebastian &amp; Flores, Edgart &amp; Allbrook, Harry &amp; Aguayo, Paulina &amp; Vargas, Cristian &amp; Tamanaha, John &amp; Scholz, J. &amp; Bach, Lennart &amp; Löscher, Carolin &amp; Riebesell, Ulf &amp; Rajagopalan, Balaji &amp; Dildar, Nadia &amp; Sepúlveda, Julio. (2024). Lipid remodeling in phytoplankton exposed to multi-environmental drivers in a mesocosm experiment. 10.5194/egusphere-2023-3110. </t>
  </si>
  <si>
    <t>21, Issue 17</t>
  </si>
  <si>
    <t>3927–3958</t>
  </si>
  <si>
    <t xml:space="preserve"> 2677-643X</t>
  </si>
  <si>
    <t>10.5194/bg-21-3927-2024</t>
  </si>
  <si>
    <t>2024-06-13 00:00:00.000</t>
  </si>
  <si>
    <t>Integrated actions across multiple sustainable development goals (SDGs) can help address coastal ocean acidification</t>
  </si>
  <si>
    <t>Cristian A. Vargas, Stefan Gelcich</t>
  </si>
  <si>
    <t>)Vargas, C.A., Gelcich, S. Integrated actions across multiple sustainable development goals (SDGs) can help address coastal ocean acidification. Commun Earth Environ 5, 319 (2024). https://doi.org/10.1038/s43247-024-01485-6</t>
  </si>
  <si>
    <t>2662-4435 (online)</t>
  </si>
  <si>
    <t>10.1038/s43247-024-01485-6</t>
  </si>
  <si>
    <t>2024-10-04 00:00:00.000</t>
  </si>
  <si>
    <t>Monitoring low-oxygen-adapted subsurface phytoplankton distribution in a changing ocean</t>
  </si>
  <si>
    <t>Cox I, Brewin RJW, Sheen K, Dall’Olmo G and Ulloa O </t>
  </si>
  <si>
    <t>Cox I, Brewin RJW, Sheen K, Dall’Olmo G and Ulloa O (2024) Monitoring low-oxygenadapted subsurface phytoplankton distribution in a changing ocean. Front. Mar. Sci. 11:1425250. doi: 10.3389/fmars.2024.1425250</t>
  </si>
  <si>
    <t>2296-7745</t>
  </si>
  <si>
    <t>10.3389/fmars.2024.1425250</t>
  </si>
  <si>
    <t>2024-09-02 00:00:00.000</t>
  </si>
  <si>
    <t>Revisiting historical trends in the Eastern Boundary Upwelling Systems with a machine learning method</t>
  </si>
  <si>
    <t>David F. Bustos, Diego A. Narvaez, Boris Dewitte, Vera Oerder, Mabel Vidal  and Fabián Tapia</t>
  </si>
  <si>
    <t>Bustos DF, Narva´ ez DA, Dewitte B, Oerder V, Vidal M and Tapia F (2024) Revisiting historical trends in the Eastern Boundary Upwelling Systems with a machine learning method. Front. Mar. Sci. 11:1446766. doi: 10.3389/fmars.2024.1446766</t>
  </si>
  <si>
    <t>11 (2024)</t>
  </si>
  <si>
    <t>0022-3670</t>
  </si>
  <si>
    <t>10.3389/fmars.2024.1446766</t>
  </si>
  <si>
    <t>Apoyo - Instituto Milenio para Investigación en Imperfecciones de Mercado y Políticas Públicas</t>
  </si>
  <si>
    <t>2024-10-23 00:00:00.000</t>
  </si>
  <si>
    <t>Breakage analysis for profitability management in high-value, low-frequency loyalty programs</t>
  </si>
  <si>
    <t>Marcel Goic, Ricardo Montoya, Isamar Troncoso</t>
  </si>
  <si>
    <t>International Journal of Research in Marketing</t>
  </si>
  <si>
    <t>-</t>
  </si>
  <si>
    <t>10.1016/j.ijresmar.2024.10.002</t>
  </si>
  <si>
    <t>2024-09-20 00:00:00.000</t>
  </si>
  <si>
    <t>Affinities and Complementarities of Methods and Information Sets in the Estimation of Prices in Real Estate Markets</t>
  </si>
  <si>
    <t>Mirko S Bozanic‐Leal, Marcel Goic, Charles Thraves</t>
  </si>
  <si>
    <t>Journal of Forecasting</t>
  </si>
  <si>
    <t>10.1002/for.3202</t>
  </si>
  <si>
    <t>Effectiveness of alcohol warning labels for at-risk groups and the general public: A policy-informing randomized experiment in Chile</t>
  </si>
  <si>
    <t>Daniel Schwartz, Ignacio Torres-Ulloa, Camila Corvalán</t>
  </si>
  <si>
    <t>Preventive medicine</t>
  </si>
  <si>
    <t>0091-7435</t>
  </si>
  <si>
    <t>10.1016/j.ypmed.2024.108087</t>
  </si>
  <si>
    <t>Optimal item pricing in online combinatorial auctions</t>
  </si>
  <si>
    <t>J. Correa, A. Cristi, A. Fielbaum, T. Pollner, S.M. Weinberg</t>
  </si>
  <si>
    <t>10.1007/s10107-023-02027-2</t>
  </si>
  <si>
    <t>Capital Controls and Firm Performance</t>
  </si>
  <si>
    <t>Eugenia Andreasen, Sofia Bauducco y Evangelina Dardati</t>
  </si>
  <si>
    <t>Journal of International Economics</t>
  </si>
  <si>
    <t>0022-1996</t>
  </si>
  <si>
    <t>10.1016/j.jinteco.2024.103897</t>
  </si>
  <si>
    <t>The company you keep: Renegotiations and adverse selection in transportation infrastructure</t>
  </si>
  <si>
    <t>Eduardo Engel, Ronald Fischer and Alexander Galetovic</t>
  </si>
  <si>
    <t>Economics of Transportation</t>
  </si>
  <si>
    <t>2212-0122</t>
  </si>
  <si>
    <t>10.1016/j.ecotra.2024.100357</t>
  </si>
  <si>
    <t>2024-09-05 00:00:00.000</t>
  </si>
  <si>
    <t xml:space="preserve">In-person versus remote (mHealth) delivery for a responsive parenting intervention in rural Kenya: a cluster randomized controlled trial. </t>
  </si>
  <si>
    <t>Garcia, I.L., Luoto, J., Aboud, F. et al</t>
  </si>
  <si>
    <t>BMC Public Health</t>
  </si>
  <si>
    <t>10.1186/s12889-024-19828-5</t>
  </si>
  <si>
    <t>Indigenous Representation and Participation: the case of Chilean Mapuche</t>
  </si>
  <si>
    <t>Cayul P. and A.Corvalán</t>
  </si>
  <si>
    <t>Electoral Studies</t>
  </si>
  <si>
    <t>0261-3794</t>
  </si>
  <si>
    <t>10.1016/j.electstud.2024.102818</t>
  </si>
  <si>
    <t>On Synthetic Difference-in-Differences and Related Estimation Methods in Stata</t>
  </si>
  <si>
    <t>Damian Clarke, Daniel Pailañir, Susan Athey and Guido Imbens</t>
  </si>
  <si>
    <t>Stata Journal</t>
  </si>
  <si>
    <t>1536-8734</t>
  </si>
  <si>
    <t>10.1177/1536867X241297914</t>
  </si>
  <si>
    <t>Managers' Productivity and Recruitment in the Public Sector</t>
  </si>
  <si>
    <t>Pablo Muñoz, Mounu Prem</t>
  </si>
  <si>
    <t>American Economic Journal: Economic Policy</t>
  </si>
  <si>
    <t>1945-7731</t>
  </si>
  <si>
    <t>10.1257/pol.20220732</t>
  </si>
  <si>
    <t>Dynamic Impacts of Lockdown on Domestic Violence: Evidence from Multiple Policy Shifts in Chile</t>
  </si>
  <si>
    <t>Sonia Bhalotra, Emilia Brito, Damian Clarke, Pilar Larroulet, Francisco Pino+A4</t>
  </si>
  <si>
    <t>Review of Economics and Statistics</t>
  </si>
  <si>
    <t>1530-9142</t>
  </si>
  <si>
    <t xml:space="preserve">10.1162/rest_a_01412 </t>
  </si>
  <si>
    <t>Bad Taste: Gender Discrimination in Consumer Lending</t>
  </si>
  <si>
    <t>Ana Maria Montoya; Eric Parrado; Alex Solis; Raimundo Undurraga</t>
  </si>
  <si>
    <t>Journal of Political Economy: Microeconomics</t>
  </si>
  <si>
    <t>1111-1111</t>
  </si>
  <si>
    <t>10.1086/734144</t>
  </si>
  <si>
    <t>Does Local Representation Reduce Self-Determination Conflict?</t>
  </si>
  <si>
    <t>A.Corvalan</t>
  </si>
  <si>
    <t>Journal of Conflict Resolution</t>
  </si>
  <si>
    <t>0022-0027</t>
  </si>
  <si>
    <t>10.1177/00220027241299815</t>
  </si>
  <si>
    <t>Economics and Measurement: New measures to model decision making</t>
  </si>
  <si>
    <t>Ingvild Almås, Orazio Attanasio, Pamela Jervis</t>
  </si>
  <si>
    <t>Econometrica</t>
  </si>
  <si>
    <t> 1468-0262</t>
  </si>
  <si>
    <t>10.3982/ECTA21528</t>
  </si>
  <si>
    <t>Unpacking the Persistence of Informality</t>
  </si>
  <si>
    <t>Benjamín Villena-Roldán</t>
  </si>
  <si>
    <t>Journal of Labor Research</t>
  </si>
  <si>
    <t>0195-3613</t>
  </si>
  <si>
    <t>10.1007/s12122-024-09359-8</t>
  </si>
  <si>
    <t>Q3</t>
  </si>
  <si>
    <t>2024-08-16 00:00:00.000</t>
  </si>
  <si>
    <t>Persistent Protests</t>
  </si>
  <si>
    <t>Sofia Correa</t>
  </si>
  <si>
    <t>American Economic Journal: Microeconomics</t>
  </si>
  <si>
    <t>1945-7685</t>
  </si>
  <si>
    <t>10.1945-7685</t>
  </si>
  <si>
    <t>Segregation and Affirmative Action in School Choice</t>
  </si>
  <si>
    <t>Juan Escobar y Leonel Huerta</t>
  </si>
  <si>
    <t>Journal of Political Economy Microeconomics</t>
  </si>
  <si>
    <t>2832-9376</t>
  </si>
  <si>
    <t>10.2832-9376</t>
  </si>
  <si>
    <t>2024-06-18 00:00:00.000</t>
  </si>
  <si>
    <t>Libros y Capítulos de Libros</t>
  </si>
  <si>
    <t>The Economics of Abortion Policy</t>
  </si>
  <si>
    <t xml:space="preserve">Damian Clarke  </t>
  </si>
  <si>
    <t>Oxford Research Encyclopedias: Economics and Finance</t>
  </si>
  <si>
    <t>10.1093/acrefore/9780190625979.013.850</t>
  </si>
  <si>
    <t>Apoyo - Instituto Milenio para la Investigación en Depresión y Personalidad</t>
  </si>
  <si>
    <t>2024-08-21 00:00:00.000</t>
  </si>
  <si>
    <t xml:space="preserve">Making sense of the doxastic approach to thought insertion.  </t>
  </si>
  <si>
    <t xml:space="preserve">López-Silva, P. </t>
  </si>
  <si>
    <t xml:space="preserve">Synthese  </t>
  </si>
  <si>
    <t xml:space="preserve">0039-7857 </t>
  </si>
  <si>
    <t xml:space="preserve">10.1007/s11229-024-04721-w  </t>
  </si>
  <si>
    <t>2024-09-09 00:00:00.000</t>
  </si>
  <si>
    <t>Mental Health and Substance Use Disorders.</t>
  </si>
  <si>
    <t>Mundt A, Rozas E, Beigel L, Irarrázaval M, Cabieses B, Baranyi G.</t>
  </si>
  <si>
    <t>Editor in Chief: Stella R. Quah, International Encyclopedia of Public Health (Third Edition), Academic Press</t>
  </si>
  <si>
    <t>10.1016/B978-0-323-99967-0.00193-9</t>
  </si>
  <si>
    <t>2024-09-15 00:00:00.000</t>
  </si>
  <si>
    <t>Comparison of Patient Health Questionnaire-9, Edinburgh Postnatal Depression Scale and Hospital Anxiety and Depression - Depression subscale scores by administration mode: An individual participant data differential item functioning meta-analysis.</t>
  </si>
  <si>
    <t>Harel, D., Wu, Y., Levis, B., Fan, S., Sun, Y., Xu, M., Rice, D. B., Boruff, J., Markham, S., Ioannidis, J. P. A., Takwoingi, Y., Patten, S. B., Ziegelstein, R. C., Cuijpers, P., Gilbody, S., Vigod, S., Akena, D., Benedetti, A., Thombs, B. D., &amp; DEPRESsion Screening Data (DEPRESSD) Collaboration (… Martínez, P… et al).</t>
  </si>
  <si>
    <t>Journal of Affective Disorders</t>
  </si>
  <si>
    <t xml:space="preserve">0165-0327   </t>
  </si>
  <si>
    <t>10.1016/j.jad.2024.06.033</t>
  </si>
  <si>
    <t>2024-08-08 00:00:00.000</t>
  </si>
  <si>
    <t>Characterization of Psychopathology in Latin American Adolescents Using a Web-Based Screening Tool: Cross-Sectional Study.</t>
  </si>
  <si>
    <t>Campos S, Nuñez D, Pérez JC, Robinson J.</t>
  </si>
  <si>
    <t>Journal of Medical Internet Research</t>
  </si>
  <si>
    <t>1438-8871</t>
  </si>
  <si>
    <t>10.2196/57038</t>
  </si>
  <si>
    <t>Abordaje fisioterapéutico del ejercicio con restricción parcial del flujo sanguíneo. Revisión narrativa (Physiotherapeutic approach to exercise with partial restriction of blood flow. Narrative review).</t>
  </si>
  <si>
    <t>Bahamondes-Avila, C., Curilem Gatica, C., Bustos Medina, L., Berral de la Rosa, F., &amp; Salazar, L. A.</t>
  </si>
  <si>
    <t>Retos</t>
  </si>
  <si>
    <t>1579-1726</t>
  </si>
  <si>
    <t>10.47197/retos.v58.99878</t>
  </si>
  <si>
    <t>2024-06-28 00:00:00.000</t>
  </si>
  <si>
    <t>Estudiar remoto de emergencia en la pandemia por Covid-19 desde la mirada de niños(as) de familias migrantes y profesionales de la educación: un estudio exploratorio en la Región Metropolitana de Chile.</t>
  </si>
  <si>
    <t>Veas Flores, A., Grau Rengifo, M. O., &amp; Alamo Anich, N.</t>
  </si>
  <si>
    <t>Alternativas. Cuadernos De Trabajo Social</t>
  </si>
  <si>
    <t>1989-9971</t>
  </si>
  <si>
    <t>10.14198/ALTERN.24998</t>
  </si>
  <si>
    <t>2024-08-07 00:00:00.000</t>
  </si>
  <si>
    <t>La Psicoterapia y el Trabajo Social Clínico como formas de práctica del Counselling: el Contexto Chileno.</t>
  </si>
  <si>
    <t>Alamo Anich, N., &amp; Fischersworring, M.</t>
  </si>
  <si>
    <t>Revista Liminales. Escritos Sobre Psicología y Sociedad</t>
  </si>
  <si>
    <t xml:space="preserve">0719-1758 </t>
  </si>
  <si>
    <t>10.54255/lim.vol13.num25.849</t>
  </si>
  <si>
    <t>Changes in the incidence of cannabis-related disorders after the Cannabis Act and the COVID-19 pandemic in Québec, Canada.</t>
  </si>
  <si>
    <t>Martínez P, Huynh C, Massamba V, Zefania I, Rochette L, Vasiliadis HM, Nazif-Munoz JI.</t>
  </si>
  <si>
    <t>International Journal of Drug Policy</t>
  </si>
  <si>
    <t>0955-3959</t>
  </si>
  <si>
    <t>10.1016/j.drugpo.2024.104484</t>
  </si>
  <si>
    <t>Exploring the Impact of Genuineness in Psychotherapy: A Self-Practice/Self-Reflection (SP/SR) Report.</t>
  </si>
  <si>
    <t>Fischer, C., Cáceres-Videla, C.</t>
  </si>
  <si>
    <t>OBM Integrative and Complementary Medicine</t>
  </si>
  <si>
    <t>2573-4393</t>
  </si>
  <si>
    <t>10.21926/obm.icm</t>
  </si>
  <si>
    <t>Psychiatric Experiments with “Community” Under Dictatorship and Authoritarianism: The Case of the Protected Commune Experience, 1980–1989.</t>
  </si>
  <si>
    <t>Montenegro, C.</t>
  </si>
  <si>
    <t>Culture, Medicine, and Psychiatry</t>
  </si>
  <si>
    <t xml:space="preserve">0165-005X </t>
  </si>
  <si>
    <t xml:space="preserve">10.1007/s11013-024-09868-2  </t>
  </si>
  <si>
    <t>2024-08-19 00:00:00.000</t>
  </si>
  <si>
    <t>Development of coparenting during the transition to parenthood: Integrating parents’ representations with observed interactions.</t>
  </si>
  <si>
    <t>Pérez Cortés, F., León, M. J., &amp; Philipp, D.</t>
  </si>
  <si>
    <t>Infant Mental Health Journal</t>
  </si>
  <si>
    <t>0163-9641</t>
  </si>
  <si>
    <t>10.1002/imhj.22133</t>
  </si>
  <si>
    <t>Developing a Guided Web App for Postpartum Depression Symptoms: User-Centered Design Approach.</t>
  </si>
  <si>
    <t>Franco P, Olhaberry M, Muzard A, Harismendy Á, Kelders S.</t>
  </si>
  <si>
    <t>JMIR Formative Research</t>
  </si>
  <si>
    <t xml:space="preserve">2561-326X </t>
  </si>
  <si>
    <t xml:space="preserve">10.2196/56319  </t>
  </si>
  <si>
    <t>2024-07-04 00:00:00.000</t>
  </si>
  <si>
    <t>The effect of the separation of mother-preterm newborn infants hospitalized during the COVID-19 pandemic on maternal depression and stress levels, infant development, and bonding quality on Chilean dyads.</t>
  </si>
  <si>
    <t>Velozo F; Olhaberry M; Heusser MI; Cubillos S; González A; Morgues M.</t>
  </si>
  <si>
    <t xml:space="preserve">0163-9641  </t>
  </si>
  <si>
    <t>10.1002/imhj.22118</t>
  </si>
  <si>
    <t>2024-05-31 00:00:00.000</t>
  </si>
  <si>
    <t>Emotional self-regulation and personality in the light of Thomas Aquinas’s philosophical anthropology.</t>
  </si>
  <si>
    <t>Rojas-Saffie JP and García-Matte N</t>
  </si>
  <si>
    <t>Frontiers in Psychology</t>
  </si>
  <si>
    <t>1664-1078</t>
  </si>
  <si>
    <t>10.3389/fpsyg.2024.1419202</t>
  </si>
  <si>
    <t>2024-08-12 00:00:00.000</t>
  </si>
  <si>
    <t>Broadening the evidentiary basis for clinical practice guidelines: Recommendations from qualitative psychotherapy researchers.</t>
  </si>
  <si>
    <t>Levitt HM, Hamburger A, Hill CE, McLeod J, Pascual-Leone A, Timulak L, Buchholz MB, Frommer J, Fuertes J, Iwakabe S, Martínez C, Morrill Z, Knox S, Langer P, Muran JC, Weie Oddli H, Řiháček T, Tomicic A, Tuval-Mashiach R.</t>
  </si>
  <si>
    <t>American Psychologist</t>
  </si>
  <si>
    <t xml:space="preserve">0003-066X </t>
  </si>
  <si>
    <t xml:space="preserve">10.1037/amp0001363  </t>
  </si>
  <si>
    <t>Differences in mental health problems in LGBT+ first year college students in Chile during the pandemic.</t>
  </si>
  <si>
    <t>Crockett, M.A., Martínez-Nahuel, V., Mac-Ginty, S., Núñez, D., Langer, ÁI, Gaete, J.</t>
  </si>
  <si>
    <t>Social Psychiatry and Psychiatric Epidemiology</t>
  </si>
  <si>
    <t>0933-7954</t>
  </si>
  <si>
    <t>10.1007/s00127-024-02683-5</t>
  </si>
  <si>
    <t>2024-10-26 00:00:00.000</t>
  </si>
  <si>
    <t>How Does Maternal Childhood Trauma, Adult Attachment, Depression, and Parental Reflective Functioning Affect Preschool Children’s Socio-emotional Development?</t>
  </si>
  <si>
    <t>Santelices, M.P., San Cristóbal, P. &amp; Diez, M.</t>
  </si>
  <si>
    <t>Trends in Psychology</t>
  </si>
  <si>
    <t xml:space="preserve">2358-1883 </t>
  </si>
  <si>
    <t xml:space="preserve">10.1007/s43076-024-00412-0  </t>
  </si>
  <si>
    <t>2024-07-09 00:00:00.000</t>
  </si>
  <si>
    <t xml:space="preserve">Developing a European Psychotherapy Consortium (EPoC): Towards adopting a single-item self-report outcome measure across European countries.   </t>
  </si>
  <si>
    <t xml:space="preserve">Gonçalves, M. M., Lutz, W., Schwartz, B., Oliveira, J. T., Saarni, S. E., Tishby, O., ... Errázuriz, P., … &amp; Willemsen, J. </t>
  </si>
  <si>
    <t xml:space="preserve">Clinical Psychology in Europe </t>
  </si>
  <si>
    <t xml:space="preserve">2625-3410 </t>
  </si>
  <si>
    <t xml:space="preserve">10.23668/psycharchives.15081  </t>
  </si>
  <si>
    <t>2024-06-10 00:00:00.000</t>
  </si>
  <si>
    <t xml:space="preserve">Mind in action: expanding the concept of affordance.  </t>
  </si>
  <si>
    <t xml:space="preserve">Jorba, M., &amp; López-Silva, P.  </t>
  </si>
  <si>
    <t xml:space="preserve">Philosophical Psychology </t>
  </si>
  <si>
    <t xml:space="preserve">0951-5089  </t>
  </si>
  <si>
    <t>10.1080/09515089.2024.2365554</t>
  </si>
  <si>
    <t>Neurotechnological Applications and the Protection of Mental Privacy: An Assessment of Risks.</t>
  </si>
  <si>
    <t xml:space="preserve">López-Silva, P., Wajnerman-Paz, A. &amp; Molnar-Gabor, F.  </t>
  </si>
  <si>
    <t xml:space="preserve">Neuroethics  </t>
  </si>
  <si>
    <t xml:space="preserve">1874-5490 </t>
  </si>
  <si>
    <t xml:space="preserve">10.1007/s12152-024-09565-2  </t>
  </si>
  <si>
    <t xml:space="preserve">Workload and psychosocial risks among nurses in mental health and psychiatry in Chile. </t>
  </si>
  <si>
    <t xml:space="preserve">Fuentes-Olavarría D, Rodríguez-Rivas ME, Romo-Neira J. </t>
  </si>
  <si>
    <t xml:space="preserve">International Journal of Mental Health Nursing   </t>
  </si>
  <si>
    <t>1445-8330</t>
  </si>
  <si>
    <t>10.1111/inm.13286</t>
  </si>
  <si>
    <t xml:space="preserve">Aumentación tecnológica y formulación de caso en el contexto de una psicoterapia de precisión.  </t>
  </si>
  <si>
    <t xml:space="preserve">Moggia, D., Vaccarezza, S., Weinmann-Lutz, B., &amp; Lutz, W. </t>
  </si>
  <si>
    <t xml:space="preserve">En Quiñones Bergeret Á. T. &amp; Caro García C. (Eds.). Formulación de caso: hacia una psicoterapia de precisión. Editorial UNED.  </t>
  </si>
  <si>
    <t xml:space="preserve">https://www.researchgate.net/publication/384144664  </t>
  </si>
  <si>
    <t xml:space="preserve">Experiencia de acompañamiento biopsicosocial al recién nacido hospitalizado y su familia antes y durante la pandemia por COVID-19 </t>
  </si>
  <si>
    <t xml:space="preserve">Velozo-Ramírez F, Hernández-Fuentes M, Valdivia-Berdechefic V, Olhaberry-Huber M, Morgues-Nudman M. </t>
  </si>
  <si>
    <t xml:space="preserve">Revista Médica Clínica Las Condes   </t>
  </si>
  <si>
    <t>0716-8640</t>
  </si>
  <si>
    <t xml:space="preserve">10.1016/j.rmclc.2024.08.003  </t>
  </si>
  <si>
    <t>2024-09-23 00:00:00.000</t>
  </si>
  <si>
    <t>Associations Between Habit and Its Determinants with Medication Adherence in Chilean Patients with Type 2 Diabetes Mellitus.</t>
  </si>
  <si>
    <t>Schleef, J., &amp; Ortiz, M. S.</t>
  </si>
  <si>
    <t>Behavioral Medicine</t>
  </si>
  <si>
    <t xml:space="preserve">0896-4289 </t>
  </si>
  <si>
    <t xml:space="preserve">10.1080/08964289.2024.2406308 - https://pubmed.ncbi.nlm.nih.gov/39311559/  </t>
  </si>
  <si>
    <t>2024-08-28 00:00:00.000</t>
  </si>
  <si>
    <t>Construcción de Alianza Terapéutica en la Clínica del Trauma Complejo: un scoping review.</t>
  </si>
  <si>
    <t>López-Vásquez, A., González-Araneda, N., &amp; Errázuriz, P.</t>
  </si>
  <si>
    <t>Praxis Psy</t>
  </si>
  <si>
    <t>2735-6957</t>
  </si>
  <si>
    <t xml:space="preserve">10.32995/praxispsy.v25i41.268  </t>
  </si>
  <si>
    <t>2024-07-31 00:00:00.000</t>
  </si>
  <si>
    <t xml:space="preserve">Peritraumatic Dissociation Partially Mediates the Influence of Lifetime Trauma Exposure on Prospective PTSD Symptoms. </t>
  </si>
  <si>
    <t xml:space="preserve">Figueroa, R. A., Errázuriz, P., Hoeboer, C. M., &amp; Olff, M.  </t>
  </si>
  <si>
    <t xml:space="preserve">Journal of Trauma &amp; Dissociation  </t>
  </si>
  <si>
    <t>1529-9732</t>
  </si>
  <si>
    <t xml:space="preserve">10.1080/15299732.2024.2383191   </t>
  </si>
  <si>
    <t>Effects of strength training in Smith press with partial blood flow restriction on jump performance.</t>
  </si>
  <si>
    <t>Bahamondes-Avila C, Lagos Gutiérrez JD, Bustos-Medina L, Curilem Gatica C, Hernández-Mosqueira C, Berral De La Rosa FJ, Salazar Navarrete L.</t>
  </si>
  <si>
    <t>Journal of Physical Education and Sport (JPES)</t>
  </si>
  <si>
    <t xml:space="preserve">2247 - 806X  </t>
  </si>
  <si>
    <t>10.7752/jpes.2024.05120</t>
  </si>
  <si>
    <t>Analyzing the relationship between individual and cumulative score of adverse childhood experiences (ACEs) with self-reported mental health disorders in Chile.</t>
  </si>
  <si>
    <t>Santelices, M. P., Barrera, P., Undurraga, C., Valenzuela, E., Viviani, P., Hamilton, J., &amp; Murillo, J.</t>
  </si>
  <si>
    <t>Child Abuse &amp; Neglect</t>
  </si>
  <si>
    <t>0145-2134</t>
  </si>
  <si>
    <t>10.1016/j.chiabu.2024.106997</t>
  </si>
  <si>
    <t>Narratives of personal and professional experiences of psychotherapists working with cases of child and adolescent sexual abuse: A qualitative longitudinal study.</t>
  </si>
  <si>
    <t>Azócar, E., Gómez, C., Capella, C., Águila, D., &amp; Espeleta, M.</t>
  </si>
  <si>
    <t>Counselling and Psychotherapy Research</t>
  </si>
  <si>
    <t>1473-3145</t>
  </si>
  <si>
    <t xml:space="preserve">10.1002/capr.12714  </t>
  </si>
  <si>
    <t>2024-06-07 00:00:00.000</t>
  </si>
  <si>
    <t>Thymol as adjuvant in oncology: molecular mechanisms, therapeutic potentials, and prospects for integration in cancer management.</t>
  </si>
  <si>
    <t>Herrera-Bravo J, Belén LH, Reyes ME, Silva V, Fuentealba S, Paz C, Loren P, Salazar LA, Sharifi-Rad J, Calina D.</t>
  </si>
  <si>
    <t>Naunyn-Schmiedeberg's Archives of Pharmacology</t>
  </si>
  <si>
    <t>0028-1298</t>
  </si>
  <si>
    <t>10.1007/s00210-024-03196-3</t>
  </si>
  <si>
    <t>“Reducing the Treatment Gap” Poses Human Rights Risks.</t>
  </si>
  <si>
    <t>Cosgrove, L., Montenegro, C., Yarcia, L. E., D’Ambrozio, G., &amp; Hannah, J.</t>
  </si>
  <si>
    <t>Health and Human Rights Journal</t>
  </si>
  <si>
    <t>1079-0969</t>
  </si>
  <si>
    <t>https://www.hhrjournal.org/2024/06/reducing-the-treatment-gap-poses-human-rights-risks/</t>
  </si>
  <si>
    <t>Mediating Role of Mentalization in Depressive Symptoms Among College University Students.</t>
  </si>
  <si>
    <t>Solervicens, P., Moran-Kneer, J., Cerda, K., Geldres, A., &amp; Guzmán, T.</t>
  </si>
  <si>
    <t>Medical Research Archives</t>
  </si>
  <si>
    <t>2375-1924</t>
  </si>
  <si>
    <t>10.18103/mra.v12i6.5479</t>
  </si>
  <si>
    <t>“How it is said”: Analyses of WhatsApp communications in a postpartum depression preventive intervention.</t>
  </si>
  <si>
    <t>Fernández, O., Pérez, J.C., Alamo, N., Fernández, S., Franco, P., Coo, S., García, M.I., &amp; Aravena, M.</t>
  </si>
  <si>
    <t>Digital Health</t>
  </si>
  <si>
    <t>2055-2076</t>
  </si>
  <si>
    <t>10.1177/20552076241261894</t>
  </si>
  <si>
    <t>Fostering global collaboration in psychotherapy: The development of two regional consortia.</t>
  </si>
  <si>
    <t>Paz, C., Fernández-Álvarez, J., Altimir, C., Gonçalves, M., Lutz, W., &amp; Barkham, M.</t>
  </si>
  <si>
    <t>Psychotherapy Bulletin</t>
  </si>
  <si>
    <t>not applicable</t>
  </si>
  <si>
    <t>https://societyforpsychotherapy.org/fostering-global-collaboration-in-psychotherapy-the-development-of-two-regional-consortia/</t>
  </si>
  <si>
    <t>Institutional Dimension of Burnout in Governmental Psychosocial and Community Programmes: Gaps between Intervening Conditions, Consequences, and Guidelines for Improvement.</t>
  </si>
  <si>
    <t>Daher M, Rosati A, Tomicic A, Hernández A, Alfaro J.</t>
  </si>
  <si>
    <t>Social Policy and Society</t>
  </si>
  <si>
    <t>1474-7464</t>
  </si>
  <si>
    <t>10.1017/S147474642400023X</t>
  </si>
  <si>
    <t>2024-09-04 00:00:00.000</t>
  </si>
  <si>
    <t>Effects of Anxiety, Stress and Perceived Social Support on Depression and Loneliness Among Older People During the COVID-19 Pandemic: A Cross-Sectional Path Analysis.</t>
  </si>
  <si>
    <t>Farhang M, Álvarez-Aguado I, Celis Correa J, Toffoletto MC, Rosello-Peñaloza M, Miranda-Castillo C.</t>
  </si>
  <si>
    <t>INQUIRY: The Journal of Health Care Organization, Provision, and Financing</t>
  </si>
  <si>
    <t>0046-9580</t>
  </si>
  <si>
    <t>10.1177/00469580241273187</t>
  </si>
  <si>
    <t>Síndrome de Ovario Poliquístico y Salud Mental en Adolescentes.</t>
  </si>
  <si>
    <t>Matte M, del Río J, Fernández O, Crisosto King N.</t>
  </si>
  <si>
    <t>Andes Pediátrica</t>
  </si>
  <si>
    <t xml:space="preserve">2452-6045  </t>
  </si>
  <si>
    <t>10.32641/andespediatr.v95i5.5229</t>
  </si>
  <si>
    <t>2024-05-23 00:00:00.000</t>
  </si>
  <si>
    <t>Understanding symptom profiles of depression with the PHQ-9 in a community sample using network analysis.</t>
  </si>
  <si>
    <t>Núñez C, Delgadillo J, Barkham M, Behn A.</t>
  </si>
  <si>
    <t>European Psychiatry</t>
  </si>
  <si>
    <t xml:space="preserve">e50  </t>
  </si>
  <si>
    <t>0924-9338</t>
  </si>
  <si>
    <t>10.1192/j.eurpsy.2024.1756</t>
  </si>
  <si>
    <t>2024-07-27 00:00:00.000</t>
  </si>
  <si>
    <t>Lifetime prevalence of psychotic-like experiences and associated factors in Chile.</t>
  </si>
  <si>
    <t>González-Medina GA, Corral SA, Castillo-Passi RI, Irarrázaval M, Maturana-Hurtado AJ, Gaspar PA.</t>
  </si>
  <si>
    <t>10.1007/s00127-024-02741-y</t>
  </si>
  <si>
    <t>2024-06-27 00:00:00.000</t>
  </si>
  <si>
    <t xml:space="preserve">Los límites del yo: hacia una clarificación de la relación entre delirios de inserción de pensamiento y el principio de inmunidad al error a través de la mala identificación.  </t>
  </si>
  <si>
    <t xml:space="preserve">López-Silva, P., &amp; Méndez, E. </t>
  </si>
  <si>
    <t xml:space="preserve">Crítica-Revista Hispanoamericana de Filosofía  </t>
  </si>
  <si>
    <t>0011-1503</t>
  </si>
  <si>
    <t xml:space="preserve">10.22201/iifs.18704905e.2024.1537  </t>
  </si>
  <si>
    <t>Changes in prenatal cannabis‐related diagnosed disorders after the Cannabis Act and the COVID‐19 pandemic in Quebec, Canada.</t>
  </si>
  <si>
    <t>Nazif‐Munoz, J. I., Martínez, P., Huỳnh, C., Massamba, V., Zefania, I., Rochette, L., &amp; Vasiliadis, H.</t>
  </si>
  <si>
    <t>Addiction</t>
  </si>
  <si>
    <t xml:space="preserve">0965-2140   </t>
  </si>
  <si>
    <t>10.1111/add.16564</t>
  </si>
  <si>
    <t xml:space="preserve">The narrative self-model in schizophrenia: integrating predictive processing with phenomenological psychopathology.   </t>
  </si>
  <si>
    <t xml:space="preserve">Araya, J.M., López-Silva, P. &amp; Rosen, C. </t>
  </si>
  <si>
    <t xml:space="preserve">Phenomenology and the Cognitive Sciences </t>
  </si>
  <si>
    <t xml:space="preserve">1568-7759  </t>
  </si>
  <si>
    <t xml:space="preserve">10.1007/s11097-024-10032-9 </t>
  </si>
  <si>
    <t>2024-10-25 00:00:00.000</t>
  </si>
  <si>
    <t>SCIELO o Similar a SCIELO standard</t>
  </si>
  <si>
    <t xml:space="preserve">Psicosis y Patología: Delirio Psicótico como Disfunción Dañina. </t>
  </si>
  <si>
    <t xml:space="preserve">López-Silva P, Cuadros P, Navarro F, Salinas E, Cavieres Á. </t>
  </si>
  <si>
    <t xml:space="preserve">Límite, Revista Interdisciplinaria de Filosofía y Psicología        </t>
  </si>
  <si>
    <t xml:space="preserve">0718-1361  </t>
  </si>
  <si>
    <t>10.4067/s0718-50652024000100218</t>
  </si>
  <si>
    <t>2024-09-30 00:00:00.000</t>
  </si>
  <si>
    <t xml:space="preserve">Habilidades de autodeterminación en personas adultas con trastorno del espectro autista. </t>
  </si>
  <si>
    <t xml:space="preserve">Álvarez-Aguado, I., Vega, V., González-Carrasco, F., Roselló-Peñaloza, M., Farhang, M., &amp; Spencer, H.  </t>
  </si>
  <si>
    <t xml:space="preserve">Siglo Cero  </t>
  </si>
  <si>
    <t>2530-0350</t>
  </si>
  <si>
    <t xml:space="preserve">10.14201/scero.31892   </t>
  </si>
  <si>
    <t>2024-09-24 00:00:00.000</t>
  </si>
  <si>
    <t xml:space="preserve">High affective temperamental load as a clinical marker of bipolar disorder: applications in low-resource settings.  </t>
  </si>
  <si>
    <t xml:space="preserve">Provoste, A., Orellana, J. J., Vöhringer, P. A., Palma, F., Velásquez, C., Carrasco, M. I., … Muñoz-Zanzi, C. </t>
  </si>
  <si>
    <t xml:space="preserve">International Journal of Mental Health  </t>
  </si>
  <si>
    <t xml:space="preserve">0020-7411 </t>
  </si>
  <si>
    <t xml:space="preserve">10.1080/00207411.2024.2406971  </t>
  </si>
  <si>
    <t>2024-06-04 00:00:00.000</t>
  </si>
  <si>
    <t xml:space="preserve">Mentalizing-Based Healthcare: Towards a Relational Paradigm for Chronic Illness Management. </t>
  </si>
  <si>
    <t xml:space="preserve">Costa-Cordella, S., &amp; Luyten, P.  </t>
  </si>
  <si>
    <t xml:space="preserve">Journal of Infant, Child, and Adolescent Psychotherapy  </t>
  </si>
  <si>
    <t>1528-9168</t>
  </si>
  <si>
    <t xml:space="preserve">10.1080/15289168.2024.2344397  </t>
  </si>
  <si>
    <t xml:space="preserve">Allport, Aristotle and Aquinas: An interdisciplinary definition of personality. </t>
  </si>
  <si>
    <t xml:space="preserve">Rojas-Saffie JP, García-Matte N, Silva-Beyer V.  </t>
  </si>
  <si>
    <t xml:space="preserve">New Ideas in Psychology  </t>
  </si>
  <si>
    <t xml:space="preserve">0732-118X </t>
  </si>
  <si>
    <t xml:space="preserve">10.1016/j.newideapsych.2024.101096  </t>
  </si>
  <si>
    <t>2024-12-26 00:00:00.000</t>
  </si>
  <si>
    <t xml:space="preserve">Impact of strength-based video-feedback intervention on maternal sensitivity in mother-infant dyads with maternal depressive symptoms  </t>
  </si>
  <si>
    <t xml:space="preserve">Olhaberry M, Morán-Kneer J, Sieverson C, Costa-Cordella S, Muzard A, Honorato C, León MJ, Leyton F.  </t>
  </si>
  <si>
    <t xml:space="preserve">Infant Mental Health Journal </t>
  </si>
  <si>
    <t xml:space="preserve">10.1002/imhj.22154 </t>
  </si>
  <si>
    <t xml:space="preserve">Embodied hyperscanning for studying social interaction: A scoping review of simultaneous brain and body measurements. </t>
  </si>
  <si>
    <t xml:space="preserve">Grasso-Cladera, A., Costa-Cordella, S., Mattoli-Sánchez, J., Vilina, E., Santander, V., Hiltner, S. E., &amp; Parada, F. J.   </t>
  </si>
  <si>
    <t xml:space="preserve">Social Neuroscience </t>
  </si>
  <si>
    <t xml:space="preserve">1747-0919 </t>
  </si>
  <si>
    <t xml:space="preserve">10.1080/17470919.2024.2409758  </t>
  </si>
  <si>
    <t xml:space="preserve">Psychometric properties of the Spanish version of the Clinical Outcomes in Routine Evaluation Outcome Measure (CORE-OM) in Chile. </t>
  </si>
  <si>
    <t xml:space="preserve">Errázuriz A, Passi Solar A, Beltrán R, Paz C, Evans C, De la Parra G.  </t>
  </si>
  <si>
    <t xml:space="preserve">Psychotherapy Research  </t>
  </si>
  <si>
    <t xml:space="preserve">1050-3307 </t>
  </si>
  <si>
    <t xml:space="preserve">10.1080/10503307.2024.2356195  </t>
  </si>
  <si>
    <t>Instituto Milenio Biodiversidad De Ecosistemas Antárticos Y Subantárticos</t>
  </si>
  <si>
    <t>2024-12-04 00:00:00.000</t>
  </si>
  <si>
    <t>GenBank Accession Numbers of Peltigera lichens as sources of uncharacterized cultured basidiomycete yeasts</t>
  </si>
  <si>
    <t>Pérez, Yosbany; Almendras, Katerin; Millanes, Ana M.; Serey, Nayla; Yurkov, Andrey; Nesci, Andrea; Fessia, Aluminé; Orlando, Julieta</t>
  </si>
  <si>
    <t>Zenodo</t>
  </si>
  <si>
    <t>10.5281/zenodo.14902963</t>
  </si>
  <si>
    <t>2024-05-10 00:00:00.000</t>
  </si>
  <si>
    <t>The identity of the North American endemic Dendriscocaulon intricatulum and two southern South American cyanomorphs in the Peltigerales</t>
  </si>
  <si>
    <t>Antoine Simon, Dinah Parker, Jesus Adrian Chimal-Ballesteros, Julieta Orlando, Bernard Goffinet</t>
  </si>
  <si>
    <t xml:space="preserve"> Bryologist</t>
  </si>
  <si>
    <t>10.1639/0007-2745-127.4.441</t>
  </si>
  <si>
    <t>2024-12-11 00:00:00.000</t>
  </si>
  <si>
    <t xml:space="preserve">Genbank Acession Numbers of The identity of the North American endemic Dendriscocaulon intricatulum and two southern South American cyanomorphs in the Peltigerales </t>
  </si>
  <si>
    <t>Simon, Antoine; Parker, Dinah; Chimal-Ballesteros, Jesus Adrian; Orlando, Julieta; Goffinet, Bernard</t>
  </si>
  <si>
    <t>2024-07-17 00:00:00.000</t>
  </si>
  <si>
    <t>GenBank Accession Numbers of Transcriptomic responses of Antarctic clam Laternula elliptica to nanoparticles, at single and combined exposures reveal ecologically relevant biomarkers</t>
  </si>
  <si>
    <t>Rondon, Rodolfo; Valdés, Catalina; Cosseau, Céline; Bergami, Elisa; Cárdenas, César Antonio; Balbi, Teresa; Pérez-Toledo, Carolina; Garrido, Ignacio; Perrois, Garance; Chaparro, Cristian; Corre, Erwan; Corsi, Ilaria; González-Aravena, Marcelo</t>
  </si>
  <si>
    <t>10.5281/zenodo.14846468</t>
  </si>
  <si>
    <t>2024-01-30 00:00:00.000</t>
  </si>
  <si>
    <t>GenBank Accession Numbers of When ice and sea are not barriers for flies: First report of Trichocera maculipennis (Diptera) in South America</t>
  </si>
  <si>
    <t>Contador, Tamara; Maturana, Claudia S.; Gañan, Melisa; Rendoll-Cárcamo, Javier; Troncoso-Villar, Matías; Kennedy, James; Convey, Peter; Krzemińska, Ewa; Kim, Sanghee; Lobos, Isabel; Piñeiro, Alejandro; Hernandez, Jordan; Benítez, Hugo</t>
  </si>
  <si>
    <t>10.5281/ZENODO.14813507</t>
  </si>
  <si>
    <t>2024-02-05 00:00:00.000</t>
  </si>
  <si>
    <t>GenBank Accession Numbers of An outsider on the Antarctic Peninsula: A new record of the non-native moth Plodia interpunctella (Lepidoptera: Pyralidae)</t>
  </si>
  <si>
    <t>Benitez, Hugo A.; Salinas, Carla; Hernández, Jordan; Contador Mejías, Tamara; Kim, Sanghee; Maturana, Claudia S.; Rebolledo, Lorena; Pérez, Laura M.; Câmara, Paulo E. A. S.; Alves Ferreira, Vinícius; Lobos, Isabel; Piñeiro, Alejandro; Convey, Peter</t>
  </si>
  <si>
    <t>10.5281/ZENODO.14775377</t>
  </si>
  <si>
    <t>2024-01-26 00:00:00.000</t>
  </si>
  <si>
    <t>GenBank Accession Numbers of Ecological filtering and phylogeographic structuring of Psychrilyobacter within two closely related limpet species from the Southern Ocean</t>
  </si>
  <si>
    <t>Schowb, Guillaume; Rosenfeld, Sebastián; González-Wevar, Claudio; Orlando, Julieta</t>
  </si>
  <si>
    <t>10.5281/ZENODO.14773439</t>
  </si>
  <si>
    <t>Genbank Accession Numbers of Microbiome profle of the Antarctic clam Laternula elliptica</t>
  </si>
  <si>
    <t>Gonzáles-Aravena, Marcelo; Perrois, Garance; Font, Alejandro; Cárdenas, César A.; Rondon, Rodolfo</t>
  </si>
  <si>
    <t>10.5281/ZENODO.14772568</t>
  </si>
  <si>
    <t>2024-10-29 00:00:00.000</t>
  </si>
  <si>
    <t>Genbank Accession Numbers of Habitat specificity modulates the bacterial biogeographic patterns in the Southern Ocean</t>
  </si>
  <si>
    <t>Delleuze, Mélanie; Schowb, Guillaume; Orlando, Julieta; Gerard, Karin; Saucède, Thomas; Brickle, Paul; Poulin, Elie; Cabrol, Léa</t>
  </si>
  <si>
    <t>10.5281/ZENODO.14887660</t>
  </si>
  <si>
    <t>2024-05-18 00:00:00.000</t>
  </si>
  <si>
    <t>GenBank Accession Numbers of History of Diversification and Adaptation from North to South Revealed by Genomic Data: Guanacos from the Desert to Sub-Antarctica</t>
  </si>
  <si>
    <t>León, Fabiola; Pizzarro, Eduardo J.; Noll, Daly; Pertierra, Luis R.; Gonzalez, Benito A.; Johnson, Warren E.; Marín, Juan Carlos; Vianna, Juliana A.</t>
  </si>
  <si>
    <t>10.5281/zenodo.14867409</t>
  </si>
  <si>
    <t>GenBank Accession Numbers of Associations among MHC genes, latitude, and avian malaria infections in the rufous-collared sparrow (Zonotrichia capensis)</t>
  </si>
  <si>
    <t>Rivero de Aguilar, Juan; Barroso, Omar; Bonaccoroso; Cadena, Hector; Hussing, Lucas; Jorquera, Josefina; Martinez, Javier; Martínez-de la Puente, Josué; Marzal, Alfonso; León Miranda, Fabiola; Merino, Santiago; Matta, Nubia E.; Ramenofsky, Marilyn; Rozzi, Ricardo; Valeris-Chacín, Carlos E.; Vásquez, Rodrigo A.; Vianna, Juliana A.; Wingfield, John C.s-collared sparrow (Zonotrichia capensis)</t>
  </si>
  <si>
    <t>10.5281/zenodo.14866239</t>
  </si>
  <si>
    <t>2024-08-05 00:00:00.000</t>
  </si>
  <si>
    <t>GenBank Accession Numbers of Host specialization and spatial divergence of bacteria associated with Peltigera lichens promote landscape gamma diversity</t>
  </si>
  <si>
    <t>Schowb, Guillaume; Almendras, Katerin; Veas-Mattheos, Karla; Pezoa, Matías; Orlando, Julieta</t>
  </si>
  <si>
    <t>10.5281/zenodo.14846617</t>
  </si>
  <si>
    <t>2024-11-06 00:00:00.000</t>
  </si>
  <si>
    <t>Genbank Accession Numbers of Which microbiome are we talking about? Contrasted diversity patterns and eco-evolutionary processes between gill and intestinal microbiomes of Antarctic fairy shrimps</t>
  </si>
  <si>
    <t>Schowb, Guillaume; Cabrol, Léa; Vidal, Paula M.; Tapia, Yasna C.; Moya, Fernando; Contador, Tamara; Orlando, Julieta; Maturana, Claudia</t>
  </si>
  <si>
    <t>2024-11-05 00:00:00.000</t>
  </si>
  <si>
    <t>The second skin of macroalgae: Unveiling the biodiversity of epiphytic microalgae across environmental gradients of the Magellan Subantarctic ecoregion</t>
  </si>
  <si>
    <t xml:space="preserve">Francisco Bahamonde Máximo Frangopulos  Aldo Barreiro  Luiz L. Mafra Jr Bárbara Jaramillo Juan Pablo Rodríguez  Fabio Méndez  Johanna Marambio  José Luis Iriarte  Andrés Mansilla </t>
  </si>
  <si>
    <t>Science of The Total Environment</t>
  </si>
  <si>
    <t>10.1016/j.scitotenv.2024.177229</t>
  </si>
  <si>
    <t>2024-11-10 00:00:00.000</t>
  </si>
  <si>
    <t>Which microbiome are we talking about? Contrasted diversity patterns and eco-evolutionary processes between gill and intestinal microbiomes of Antarctic fairy shrimps</t>
  </si>
  <si>
    <t>Guillaume Schwob,Léa Cabrol, Paula M. Vidal, Yasna Tapia, Fernando Moya, Tamara Contador, Julieta Orlando, Claudia S. Maturana</t>
  </si>
  <si>
    <t>Frontiers in Ecology and Evolution</t>
  </si>
  <si>
    <t>10.3389/fevo.2024.1438057</t>
  </si>
  <si>
    <t>2024-11-30 00:00:00.000</t>
  </si>
  <si>
    <t>The Oxytetracycline and Florfenicol Effect on the Immune System and Oxidative Stress Response of the SHK-1 Cell Line of Salmo salar</t>
  </si>
  <si>
    <t xml:space="preserve">Luis Vargas-Chacoff,Daniela Figueroa, Daniela Nualart, José Luis Muñoz </t>
  </si>
  <si>
    <t>Fishes</t>
  </si>
  <si>
    <t>10.3390/fishes9120493</t>
  </si>
  <si>
    <t>2024-02-09 00:00:00.000</t>
  </si>
  <si>
    <t>General methodology for fieldwork with seabirds to monitor Antarctic and Subantarctic ecosystems and Ethical Certifications.</t>
  </si>
  <si>
    <t>Lucas, Krüger; Juliana, Vianna; César, Cárdenas</t>
  </si>
  <si>
    <t>10.5281/zenodo.10640095</t>
  </si>
  <si>
    <t>2024-02-14 00:00:00.000</t>
  </si>
  <si>
    <t>Processed tracking data of Southern Giant Petrels during breeding activity in Harmony Point, Nelson Island, between 2021 and 2023</t>
  </si>
  <si>
    <t>Krüger, Lucas</t>
  </si>
  <si>
    <t>10.5281/zenodo.10657405</t>
  </si>
  <si>
    <t>2024-05-06 00:00:00.000</t>
  </si>
  <si>
    <t>Raw GPS data of Southern Giant Petrels during breeding activity in Escudero Station, King George Island, December 2023 and January 2024.</t>
  </si>
  <si>
    <t>10.5281/zenodo.11122922</t>
  </si>
  <si>
    <t>2024-07-16 00:00:00.000</t>
  </si>
  <si>
    <t>Siphonaria lateralis VCF</t>
  </si>
  <si>
    <t>Millán-Medina, Constanza; Lizama, Marcelo; Saucède, Thomas; Poulin, Elie; Segovia, Nicolás; González-Wevar, Claudio A.</t>
  </si>
  <si>
    <t>Figshare</t>
  </si>
  <si>
    <t>10.6084/M9.FIGSHARE.25939687.V2</t>
  </si>
  <si>
    <t>2024-09-13 00:00:00.000</t>
  </si>
  <si>
    <t>Records of sea urchins species of genus Abatus in Antarctic and Subantarctic environments</t>
  </si>
  <si>
    <t>Moya, Fernando; Maturana, Claudia; Gerard, Karin; Díaz, Angie; Cabrol, Léa; Delleuze, Melanie; Poulin, Elie</t>
  </si>
  <si>
    <t>GBIF</t>
  </si>
  <si>
    <t>10.15468/gmsy5y</t>
  </si>
  <si>
    <t>Peltigera lichens as sources of uncharacterized cultured basidiomycete yeasts</t>
  </si>
  <si>
    <t>Yosbany Pérez, Katerin Almendras, Ana M. Millanes, Nayla Serey, Andrey Yurkov, Natalia Lizana, Andrea Nesci, Aluminé Fessia, and Julieta Orlando</t>
  </si>
  <si>
    <t>IMA Fungus</t>
  </si>
  <si>
    <t>2210-6359</t>
  </si>
  <si>
    <t>10.1186/s43008-024-00170-9</t>
  </si>
  <si>
    <t>2024-12-06 00:00:00.000</t>
  </si>
  <si>
    <t>Confirmation of highly pathogenic avian influenza H5N1 in skuas, Antarctica 2024</t>
  </si>
  <si>
    <t>Bennett-Laso, Benjamín; Berazay, Bárbara; Muñoz, Gabriela; Ariyama, Naomi; Enciso, Nikita; Braun, Christina; Krüger, Lucas; Barták, Miloš; González-Aravena, Marcelo; Neira, Victor</t>
  </si>
  <si>
    <t>Frontiers in Veterinary Science</t>
  </si>
  <si>
    <t>10.3389/fvets.2024.1423404</t>
  </si>
  <si>
    <t>2024-11-24 00:00:00.000</t>
  </si>
  <si>
    <t>High vulnerability of the endemic Southern Ocean snail Neobuccinum eatoni (Buccinidae) to critical projected oceanographic changes</t>
  </si>
  <si>
    <t>González, Rosvita; Pertierra, Luis; Guerrero, Pablo; Díaz, Angie</t>
  </si>
  <si>
    <t>Scientific Reports</t>
  </si>
  <si>
    <t>2045-232</t>
  </si>
  <si>
    <t>10.1038/s41598-024-80353-x</t>
  </si>
  <si>
    <t>Associations among MHC genes, latitude, and avian malaria infections in the rufous-collared sparrow (Zonotrichia capensis)</t>
  </si>
  <si>
    <t>Juan Rivero de Aguilar;  Omar Barroso; Elisa Bonaccorso; Héctor Cadena; Lucas Hussing; Josefina Jorquera; Javier Martinez; Josué Martínez-de la Puente; Alfonso Marzal; Fabiola León Miranda; Santiago Merino; Nubia E. Matta; Marilyn Ramenofsky; Ricardo Rozzi; Carlos E. Valeris-Chacín; Rodrigo A. Vásquez; Juliana A. Vianna; John C. Wingfield</t>
  </si>
  <si>
    <t xml:space="preserve"> ECOLOGY AND EVOLUTION</t>
  </si>
  <si>
    <t>2045-7758</t>
  </si>
  <si>
    <t>10.1002/ece3.11634</t>
  </si>
  <si>
    <t>SIVFLORA: Southern Islands Vascular Flora database</t>
  </si>
  <si>
    <t>Pablo Guerrero, Patricio Medina</t>
  </si>
  <si>
    <t>10.5281/zenodo.13997146</t>
  </si>
  <si>
    <t>Ecological filtering and phylogeographic structuring of Psychrilyobacter within two closely related limpet species from the Southern Ocean</t>
  </si>
  <si>
    <t>Schwob, Guillaume; Rosenfeld, Sebastián; González-Wevar, Claudio; Orlando, Julieta</t>
  </si>
  <si>
    <t>Annals of Microbiology</t>
  </si>
  <si>
    <t>1869-2044</t>
  </si>
  <si>
    <t>10.1186/s13213-024-01751-0</t>
  </si>
  <si>
    <t>Detection of plastic, cellulosic micro-fragments and microfibers in Laternula elliptica from King George Island (Maritime Antarctica)</t>
  </si>
  <si>
    <t>González-Aravena, Marcelo; Rotunno, Carmen; Cárdenas, César A.; Torres, Mariett; Morley, Simon A.; Hurley, Jessica; Caro-Lara, Luis; Pozo, Karla; Galban, Cristóbal; Rondon, Rodolfo</t>
  </si>
  <si>
    <t>Marine Pollution Bulletin</t>
  </si>
  <si>
    <t>10.1016/j.marpolbul.2024.116257</t>
  </si>
  <si>
    <t>2024-02-06 00:00:00.000</t>
  </si>
  <si>
    <t>Intra and interspecific differences in desiccation tolerance in native and alien Antarctic springtails in geothermal grounds</t>
  </si>
  <si>
    <t>Escribano‐Álvarez, Pablo; Castro, Mario G.; Pertierra, Luis R.; Olalla‐Tárraga, Miguel Á.</t>
  </si>
  <si>
    <t>Journal of Experimental Zoology Part A: Ecological and Integrative Physiology</t>
  </si>
  <si>
    <t>2471-5638</t>
  </si>
  <si>
    <t>10.1002/jez.2789</t>
  </si>
  <si>
    <t>Testing the physiological capacity of the mussel Mytilus chilensis to establish into the Southern Ocean</t>
  </si>
  <si>
    <t>Navarro, Jorge M.; Cárdenas, Leyla; Ortiz, Alejandro; Figueroa, Álvaro; Morley, Simon A.; Vargas-Chacoff, Luis; Leclerc, Jean-Charles; Détrée, Camille</t>
  </si>
  <si>
    <t>10.1016/j.scitotenv.2024.170941</t>
  </si>
  <si>
    <t>2024-03-05 00:00:00.000</t>
  </si>
  <si>
    <t>Unveiling the co-phylogeny signal between plunderfish Harpagifer spp. and their gut microbiomes across the Southern Ocean</t>
  </si>
  <si>
    <t>Schwob, Guillaume; Cabrol, Léa; Saucède, Thomas; Gérard, Karin; Poulin, Elie; Orlando, Julieta; Mejia, Omar; George, Isabelle</t>
  </si>
  <si>
    <t>Microbiology Spectrum</t>
  </si>
  <si>
    <t>2165-0497</t>
  </si>
  <si>
    <t>10.1128/spectrum.03830-23</t>
  </si>
  <si>
    <t>Shallow Hard-Bottom Benthic Assemblages of South Bay (Antarctic Peninsula): An Update 40 Years Later</t>
  </si>
  <si>
    <t>Morales, Sol; Cárdenas, César A.; Bravo-Gómez, Diego; Lagger, Cristian</t>
  </si>
  <si>
    <t>Diversity</t>
  </si>
  <si>
    <t>10.3390/d16030162</t>
  </si>
  <si>
    <t>Zoning proposal for a marine protected area in Chile: A conservation tool for large cetaceans</t>
  </si>
  <si>
    <t>Gutiérrez, Elizabeth; Letelier, Luis; Santos-Carvallo, Macarena; Barilari, Fernanda; Gutiérrez, Laura; Pérez-Álvarez, María José; Sepúlveda, Maritza</t>
  </si>
  <si>
    <t>Ocean &amp; Coastal Management</t>
  </si>
  <si>
    <t>10.1016/j.ocecoaman.2023.106975</t>
  </si>
  <si>
    <t>Mapping scientific fieldwork data: a potential tool for improving and strengthening Antarctic Specially Protected Areas as an effective measure for protecting Antarctic biodiversity</t>
  </si>
  <si>
    <t>Salinas, Carla Ximena; Cárdenas, César A.; González-Aravena, Marcelo; Rebolledo, Lorena; Cruz, Francisco Santa</t>
  </si>
  <si>
    <t>Biodiversity and Conservation</t>
  </si>
  <si>
    <t>929–948</t>
  </si>
  <si>
    <t>10.1007/s10531-024-02787-z</t>
  </si>
  <si>
    <t>Ancient diversification in extreme environments: exploring the historical biogeography of the Antarctic winged midge Parochlus steinenii (Diptera: Chironomidae)</t>
  </si>
  <si>
    <t>Maturana, Claudia S.; Contador Mejias, Tamara; Simões, Felipe L.; Valladares, Moisés A.; Vidal, Paula M.; Gañán, Melisa; González-Wevar, Claudio A.; Poulin, Elie; Sands, Chester J.; Convey, Peter</t>
  </si>
  <si>
    <t>10.3389/fevo.2024.1393376</t>
  </si>
  <si>
    <t>Habitat management favouring duck hunting seems to prevent shifting distribution due to climate warming: Another avenue for hunting ‘greenwashing’?</t>
  </si>
  <si>
    <t>Navedo, J. G.</t>
  </si>
  <si>
    <t>Animal Conservation</t>
  </si>
  <si>
    <t>1367-9430</t>
  </si>
  <si>
    <t>10.1111/acv.12934</t>
  </si>
  <si>
    <t>Host specialization and spatial divergence of bacteria associated with Peltigera lichens promote landscape gamma diversity</t>
  </si>
  <si>
    <t>Schwob, Guillaume; Almendras, Katerin; Veas-Mattheos, Karla; Pezoa, Matías; Orlando, Julieta</t>
  </si>
  <si>
    <t>Environmental Microbiome</t>
  </si>
  <si>
    <t xml:space="preserve"> 2524-6372</t>
  </si>
  <si>
    <t>10.1186/s40793-024-00598-x</t>
  </si>
  <si>
    <t>Both high and low dispersal? Apparently contradictory genetic patterns in the Antarctic littorinid gastropod Laevilacunaria antarctica</t>
  </si>
  <si>
    <t>González-Wevar, Claudio A.; Poveda, Yarleth; Segovia, Nicolás I.; Rosenfeld, Sebastián; Maturana, Claudia S.; Jeldres, Vanessa; Schmider-Martínez, Andreas; Gérard, Karin; Spencer, Hamish G.; Poulin, Elie</t>
  </si>
  <si>
    <t>10.3389/fevo.2023.1320649</t>
  </si>
  <si>
    <t>Breaking the Law: Is It Correct to Use the Converse Bergmann Rule in Ceroglossus chilensis? An Overview Using Geometric Morphometrics</t>
  </si>
  <si>
    <t>Benítez, Hugo A.; Muñoz-Ramírez, Carlos; Correa, Margarita; Acuña-Rodríguez, Ian S.; Villalobos-Leiva, Amado; Contador, Tamara; Velásquez, Nelson A.; Suazo, Manuel J.</t>
  </si>
  <si>
    <t>Insects</t>
  </si>
  <si>
    <t xml:space="preserve"> 2075-4450</t>
  </si>
  <si>
    <t>10.3390/insects15020097</t>
  </si>
  <si>
    <t>The Antarctic Treaty Consultative Meetings as a Forum of Law-Making</t>
  </si>
  <si>
    <t>Ferrada, Luis Valentín</t>
  </si>
  <si>
    <t>The Routledge Handbook of Polar Law</t>
  </si>
  <si>
    <t>978-1-00-340482-8</t>
  </si>
  <si>
    <t>When ice and sea are not barriers for flies: First report of Trichocera maculipennis Diptera in south America</t>
  </si>
  <si>
    <t>Contador, Tamara; Maturana, Claudia S.; Gañan, Melisa; Rendoll‐Cárcamo, Javier; Troncoso‐Villar, Matías; Kennedy, James; Convey, Peter; Krzemińska, Ewa; Kim, Sanghee; Lobos, Isabel; Piñeiro, Alejandro; Hernandez, Jordan; Benítez, Hugo A.</t>
  </si>
  <si>
    <t>Insect Conservation and Diversity</t>
  </si>
  <si>
    <t>1752-458X</t>
  </si>
  <si>
    <t>10.1111/icad.12714</t>
  </si>
  <si>
    <t>Southward migration of the zero-degree isotherm latitude over the Southern Ocean and the Antarctic Peninsula: Cryospheric, biotic and societal implications</t>
  </si>
  <si>
    <t>González-Herrero, Sergi; Navarro, Francisco; Pertierra, Luis R.; Oliva, Marc; Dadic, Ruzica; Peck, Lloyd; Lehning, Michael</t>
  </si>
  <si>
    <t>10.1016/j.scitotenv.2023.168473</t>
  </si>
  <si>
    <t>Rising awareness to improve conservation of microorganisms in terrestrial ecosystems: advances and future directions in soil microbial diversity from Chile and the Antarctic Peninsula</t>
  </si>
  <si>
    <t>Lavergne, Céline; Cabrol, Léa; Cuadros-Orellana, Sara; Quinteros-Urquieta, Carolina; Stoll, Alexandra; Yáñez, Carolina; Tapia, Joseline; Orlando, Julieta; Rojas, Claudia</t>
  </si>
  <si>
    <t>Frontiers in Environmental Science</t>
  </si>
  <si>
    <t>10.3389/fenvs.2024.1326158</t>
  </si>
  <si>
    <t>TerrANTALife 1.0 Biodiversity data checklist of known Antarctic terrestrial and freshwater life forms</t>
  </si>
  <si>
    <t>Pertierra, Luis; Varliero, Gilda; Barbosa, Andrés; Biersma, Elisabeth; Convey, Peter; Chown, Steven; Cowan, Don; Rios, Asunción De Los; Escribano-Alvarez, Pablo; Fontaneto, Diego; Fraser, Ceridwen; Harris, Mathew; Hughes, Kevin; Griffiths, Huw; Roux, Peter le; Liu, Xiaoyue; Lynch, Heather; Majewska, Roksana; Martinez, Pablo; Molina-Montenegro, Marco; Olalla-Tarraga, Miguel; Peck, Lloyd; Quesada, Antonio; Ronquillo, Cristina; Ropert-Coudert, Yan; Sancho, Leopoldo; Terauds, Aleks; Vianna, Juliana; Wilmotte, Annick; Hortal, Joaquín; Greve, Michelle</t>
  </si>
  <si>
    <t>Biodiversity Data Journal</t>
  </si>
  <si>
    <t>1414-2136</t>
  </si>
  <si>
    <t>10.3897/BDJ.12.e106199</t>
  </si>
  <si>
    <t>2024-04-25 00:00:00.000</t>
  </si>
  <si>
    <t>Temperature and immune challenges modulate the transcription of genes of the ubiquitin and apoptosis pathways in two high-latitude Notothenioid fish across the Antarctic Polar Front</t>
  </si>
  <si>
    <t>Saravia, Julia; Nualart, Daniela; Paschke, Kurt; Pontigo, Juan Pablo; Navarro, Jorge M.; Vargas-Chacoff, Luis</t>
  </si>
  <si>
    <t>Fish Physiology and Biochemistry</t>
  </si>
  <si>
    <t>1275-5354</t>
  </si>
  <si>
    <t>10.1007/s10695-024-01348-z</t>
  </si>
  <si>
    <t>2024-04-24 00:00:00.000</t>
  </si>
  <si>
    <t>Combining population genomics and biophysical modelling to assess connectivity patterns in an Antarctic fish</t>
  </si>
  <si>
    <t>Bernal‐Durán, Valentina; Donoso, David; Piñones, Andrea; Jonsson, Per R.; Benestan, Laura; Landaeta, Mauricio F.; Naretto, Javier; Gerard, Karin; Haye, Pilar A.; Gonzalez‐Wevar, Claudio; Poulin, Elie; Segovia, Nicolás I.</t>
  </si>
  <si>
    <t>Molecular Ecology</t>
  </si>
  <si>
    <t>10.1111/mec.17360</t>
  </si>
  <si>
    <t>An outsider on the Antarctic Peninsula: A new record of the non‐native moth Plodia interpunctella (Lepidoptera: Pyralidae)</t>
  </si>
  <si>
    <t>Ecology and Evolution</t>
  </si>
  <si>
    <t>10.1002/ece3.10838</t>
  </si>
  <si>
    <t>Exposure to nanoplastics and nanomaterials either single and combined affects the gill-associated microbiome of the Antarctic soft-shelled clam Laternula elliptica</t>
  </si>
  <si>
    <t>Rondon, Rodolfo; Cosseau, Céline; Bergami, Elisa; Cárdenas, César A.; Pérez-Toledo, Carolina; Alvarez, Diego; Aldridge, Jacqueline; Font, Alejandro; Garrido, Ignacio; Santa Cruz, Francisco; Perrois, Garance; Balbi, Teresa; Corsi, Ilaria; González-Aravena, Marcelo</t>
  </si>
  <si>
    <t>Marine Environmental Research</t>
  </si>
  <si>
    <t>10.1016/j.marenvres.2024.106539</t>
  </si>
  <si>
    <t>Transcriptomic responses of Antarctic clam Laternula elliptica to nanoparticles, at single and combined exposures reveal ecologically relevant biomarkers</t>
  </si>
  <si>
    <t>Rondon, Rodolfo; Valdés, Catalina; Cosseau, Céline; Bergami, Elisa; Cárdenas, César Antonio; Balbi, Teresa; Pérez-Toledo, Carolina; Garrido, Ignacio; Perrois, Garance; Chaparro, Cristian; Corre, Ilaria; González-Aravena, Marcelo</t>
  </si>
  <si>
    <t>Ecotoxicology and Environmental Safety</t>
  </si>
  <si>
    <t>10.1016/j.ecoenv.2024.116523</t>
  </si>
  <si>
    <t>Lithological controls on lake water biogeochemistry in Maritime Antarctica</t>
  </si>
  <si>
    <t>Olgun, Nazlı; Tarı, Ufuk; Balcı, Nurgül; Altunkaynak, Şafak; Gürarslan, Işıl; Yakan, Sevil Deniz; Thalasso, Frederic; Astorga-España, María Soledad; Cabrol, Léa; Lavergne, Céline; Hoffmann, Linn</t>
  </si>
  <si>
    <t>10.1016/j.scitotenv.2023.168562</t>
  </si>
  <si>
    <t>Fast shape changes prior to settlement for a temperate cryptobenthic fish: an approach using geometric morphometrics and otoliths</t>
  </si>
  <si>
    <t>Páez-Collao, Frances; Figueroa-González, Yanara; Plaza, Guido; Benítez, Hugo A.; Landaeta, Mauricio F.</t>
  </si>
  <si>
    <t>Hydrobiologia</t>
  </si>
  <si>
    <t xml:space="preserve"> 527–539</t>
  </si>
  <si>
    <t>10.1007/s10750-023-05341-0</t>
  </si>
  <si>
    <t>2024-05-25 00:00:00.000</t>
  </si>
  <si>
    <t>The effects of the toxic dinoflagellate Alexandrium on feeding, reproduction and mortality of the copepod Acartia: A systematic review employing weighted linear models</t>
  </si>
  <si>
    <t>Felpeto, Aldo Barreiro; Rivera, Máximo Frangopulos; Vasconcelos, Vitor Manuel</t>
  </si>
  <si>
    <t>Harmful Algae</t>
  </si>
  <si>
    <t>10.1016/j.hal.2024.102659</t>
  </si>
  <si>
    <t>2024-02-22 00:00:00.000</t>
  </si>
  <si>
    <t>Exploring the effects of competition and predation on the success of biological invasion through mathematical modeling</t>
  </si>
  <si>
    <t>Rivera-Estay, Viviana; Córdova-Lepe, Fernando; Moreno-Gómez, Felipe N.; Benitez, Hugo; Gutiérrez, Rodrigo</t>
  </si>
  <si>
    <t>2045-2322</t>
  </si>
  <si>
    <t>10.1038/s41598-024-53344-1</t>
  </si>
  <si>
    <t>Eco-epidemiological predator–prey models: A review of models in ordinary differential equations</t>
  </si>
  <si>
    <t>Gómez-Hernández, Enith A.; Moreno-Gómez, Felipe N.; Córdova-Lepe, Fernando; Bravo-Gaete, Moisés; Velásquez, Nelson A.; Benítez, Hugo A.</t>
  </si>
  <si>
    <t>Ecological Complexity</t>
  </si>
  <si>
    <t>10.1016/j.ecocom.2023.101071</t>
  </si>
  <si>
    <t>Physiological and molecular effects of contaminants of emerging concerns of micro and nano-size in aquatic metazoans: overview and current gaps in Antarctic species</t>
  </si>
  <si>
    <t>Rondon, Rodolfo; Cárdenas, César A.; Cosseau, Céline; Bergami, Elisa; Balbi, Teresa; Corsi, Ilaria; González-Aravena, Marcelo</t>
  </si>
  <si>
    <t>Environmental Science and Pollution Research</t>
  </si>
  <si>
    <t>48888–48907</t>
  </si>
  <si>
    <t>10.1007/s11356-024-34457-6</t>
  </si>
  <si>
    <t>Observations of Attacks on Sei and Fin Whales by Killer Whales in Magellanic Sub-Antarctic Waters, Chile</t>
  </si>
  <si>
    <t>Schüttler, Elke; Gañan, Melisa; Barroso, Omar; Contador, Tamara; Illanes, Diego; Muñoz-Araya, Gabriel; Palma, María-José; Pérez-Álvarez, María-José; Sepúlveda, Maritza; Rendoll-Cárcamo, Javier</t>
  </si>
  <si>
    <t>Aquatic Mammals</t>
  </si>
  <si>
    <t>10.1578/AM.50.4.2024.332</t>
  </si>
  <si>
    <t>A new morphotype description of Arbacia spatuligera Valenciennes, 1846 (Arbacioida, Echinoidea) and bathymetric range extension from mesophotic reefs of the central coast of Chile</t>
  </si>
  <si>
    <t>Moreno-Mendoza, Rigoberto; Courville, Erwan; Angeles-Gonzalez, Luis Enrique; Duarte, Julio; Carulla, Marc; Malfanti-Bravo, Daniel; Mena-Auladell, Andrés; Saucède, Thomas; Simões, Nuno; Poulin, Elie</t>
  </si>
  <si>
    <t>Journal of the Marine Biological Association of the United Kingdom</t>
  </si>
  <si>
    <t>e48</t>
  </si>
  <si>
    <t>10.1017/S0025315424000389</t>
  </si>
  <si>
    <t>2024-03-26 00:00:00.000</t>
  </si>
  <si>
    <t>Lack of Highly Pathogenic Avian Influenza H5N1 in the South Shetland Islands in Antarctica, Early 2023</t>
  </si>
  <si>
    <t>Gabriela Muñoz, Vanessa Mendieta, Mauricio Ulloa, Belén Agüero,Cristian G. Torres, Lucas Kruger and Victor Neira</t>
  </si>
  <si>
    <t>Animals</t>
  </si>
  <si>
    <t>2076-2615</t>
  </si>
  <si>
    <t>10.3390/ani14071008</t>
  </si>
  <si>
    <t>2024-10-03 00:00:00.000</t>
  </si>
  <si>
    <t>Habitat specificity modulates the bacterial biogeographic patterns in the Southern Ocean</t>
  </si>
  <si>
    <t>Mélanie Delleuze, Guillaume Schwob, Julieta Orlando, Karin Gerard, Thomas Saucède, Paul Brickle, Elie Poulin, Léa Cabrol</t>
  </si>
  <si>
    <t>FEMS MICROBIOLOGY ECOLOGY</t>
  </si>
  <si>
    <t>0168-6496</t>
  </si>
  <si>
    <t>10.1093/femsec/fiae134</t>
  </si>
  <si>
    <t>2024-11-04 00:00:00.000</t>
  </si>
  <si>
    <t>Spatial clustering of Neobuccinum eatoni occurrence data for potential distribution modeling</t>
  </si>
  <si>
    <t>Díaz, Angie; González, Rosvita</t>
  </si>
  <si>
    <t>10.5281/zenodo.14031896</t>
  </si>
  <si>
    <t>Derecho y Gobernanza antártica: De la academia a la Reunión Consultiva del Tratado Antártico</t>
  </si>
  <si>
    <t>Ferrada, Luis Valentín; Sutherland, Giovannina; Maibe, María Jesús; Sepúlveda, Catalina</t>
  </si>
  <si>
    <t>Legal Publishing Chile SPA</t>
  </si>
  <si>
    <t>10.5281/zenodo.13146242</t>
  </si>
  <si>
    <t>2024-04-05 00:00:00.000</t>
  </si>
  <si>
    <t>Argos Platform Transmitter Terminal data for 3 Southern Giant Petrel (Macronectes giganteus) during breeding season in Fildes Peninsula.</t>
  </si>
  <si>
    <t>10.5281/zenodo.10933869</t>
  </si>
  <si>
    <t>terrANTALife_eukaryota: Antarctic terrestrial and freshwater eukaryotic biodiversity checklist</t>
  </si>
  <si>
    <t>Pertierra, Luis R.</t>
  </si>
  <si>
    <t>Global Biodiversity Information Facility</t>
  </si>
  <si>
    <t>10.15468/7XS8D3</t>
  </si>
  <si>
    <t>terrANTALife_prokaryota: Antarctic terrestrial and freshwater prokaryotic biodiversity checklist</t>
  </si>
  <si>
    <t>Pertierra, Luis R.; Varliero, Gilda; Pertierra, Luis R.; Pertierra, Luis R.; Varliero, Gilda; Marín, Catalina; Pertierra, Luis R.; Varliero, Gilda</t>
  </si>
  <si>
    <t>doi.org/10.15468/4ajqu7</t>
  </si>
  <si>
    <t>2024-01-17 00:00:00.000</t>
  </si>
  <si>
    <t>Dataset of observations of Trichocera maculipennis (Diptera) in Navarino Island (Cape Horn Biosphere Reserve), Chile</t>
  </si>
  <si>
    <t>Contador, Tamara; Claudia S, Maturana; Hugo A, Benítez; Troncoso-Villar, Matias</t>
  </si>
  <si>
    <t xml:space="preserve">Zenodo </t>
  </si>
  <si>
    <t>10.5281/zenodo.10524990</t>
  </si>
  <si>
    <t>Figures and tables from: Host specialization and spatial divergence of bacteria associated with Peltigera lichens promote landscape gamma diversity</t>
  </si>
  <si>
    <t>10.5281/zenodo.10120244</t>
  </si>
  <si>
    <t>2023-06-12 00:00:00.000</t>
  </si>
  <si>
    <t>Supporting Data - Temperature and immunostimulants modulate transcription of the ubiquitin and apoptosis pathways in the Antarctic Harpagifer antarcticus and sub-Antarctic Harpagifer bispinis</t>
  </si>
  <si>
    <t>Saravia, Julia; Paschke, Kurt; Pontigo, Juan Pablo; Nualart, Daniela; Navarro, Jorge M.; Vargas-Chacoff, Luis</t>
  </si>
  <si>
    <t>10.5281/zenodo.8029858</t>
  </si>
  <si>
    <t>2023-12-27 00:00:00.000</t>
  </si>
  <si>
    <t>Data from: Immune Transcriptional Response in Head Kidney Primary Cell Cultures Isolated from the Three Most Important Species in Chilean Salmonids Aquaculture.</t>
  </si>
  <si>
    <t>Nualart, Daniela P.; Dann, Francisco; Oyarzún-Salazar, Ricardo; Morera, Francisco J.; Vargas-Chacoff, Luis</t>
  </si>
  <si>
    <t>10.5281/zenodo.10436722</t>
  </si>
  <si>
    <t>2024-03-14 00:00:00.000</t>
  </si>
  <si>
    <t>Subtidal ocean temperature time series for Maxwell Bay for the period 2017-2022</t>
  </si>
  <si>
    <t>Piñones, A.; Aziares-Aguayo, N.; Amador-Véliz, P.; Mercado-Peña, O.; González-Reyes, A.; Valdivia, N.; Garcés-Vargas, J.; Garrido, I.; Pardo, L. M.; Höfer, J.</t>
  </si>
  <si>
    <t>10.5281/zenodo.10819308</t>
  </si>
  <si>
    <t>2023-12-29 00:00:00.000</t>
  </si>
  <si>
    <t>Microbiome profile of the Antarctic clam Laternula elliptica</t>
  </si>
  <si>
    <t>González-Aravena, Marcelo; Perrois, Garance; Font, Alejandro; Cárdenas, César A.; Rondon, Rodolfo</t>
  </si>
  <si>
    <t>Brazilian Journal of Microbiology</t>
  </si>
  <si>
    <t>42770-023-01200-1</t>
  </si>
  <si>
    <t>10.1007/s42770-023-01200-1</t>
  </si>
  <si>
    <t>Deciphering the Hearts: Geometric Morphometrics Reveals Shape Variation in Abatus Sea Urchins across Subantarctic and Antarctic Seas</t>
  </si>
  <si>
    <t>Moya, Fernando; Hernández, Jordan; Suazo, Manuel J.; Saucède, Thomas; Brickle, Paul; Poulin, Elie; Benítez, Hugo A.</t>
  </si>
  <si>
    <t>10.3390/ani14162376</t>
  </si>
  <si>
    <t>2024-02-03 00:00:00.000</t>
  </si>
  <si>
    <t>Spatial and temporal representation of marine fish occurrences available online</t>
  </si>
  <si>
    <t xml:space="preserve">Pizarro, Vanessa; Castillo, Andrea G.; Piñones, Andrea; Samaniego, Horacio </t>
  </si>
  <si>
    <t>Ecological Informatics</t>
  </si>
  <si>
    <t>10.1016/j.ecoinf.2023.102403</t>
  </si>
  <si>
    <t>Upwelling as a stressor event during embryonic development: Consequences for encapsulated and early juvenile stages of the marine gastropod Acanthina monodon</t>
  </si>
  <si>
    <t>Paredes-Molina, F.J.; Chaparro, O.R.; Navarro, J.M.; Cubillos, V.M.; Paschke, K.; Márquez, F.; Averbuj, A.; Zabala, M.S.; Bökenhans, V.; Pechenik, J.A.</t>
  </si>
  <si>
    <t>10.1016/j.marenvres.2023.106270</t>
  </si>
  <si>
    <t>History of Diversification and Adaptation from North to South Revealed by Genomic Data: Guanacos from the Desert to Sub-Antarctica</t>
  </si>
  <si>
    <t>León, Fabiola; Pizarro, Eduardo J; Noll, Daly; Pertierra, Luis R; Gonzalez, Benito A; Johnson, Warren E; Marín, Juan Carlos; Vianna, Juliana A</t>
  </si>
  <si>
    <t>Genome Biology and Evolution</t>
  </si>
  <si>
    <t>10.1093/gbe/evae085</t>
  </si>
  <si>
    <t>Local and Remote Atmosphere‐Ocean Coupling During Extreme Warming Events Impacting Subsurface Ocean Temperature in an Antarctic Embayment</t>
  </si>
  <si>
    <t>Piñones, A.; Aziares‐Aguayo, N.; Amador‐Véliz, P.; Mercado‐Peña, O.; González‐Reyes, A.; Valdivia, N.; Garcés‐Vargas, J.; Garrido, I.; Pardo, L. M.; Höfer, J.</t>
  </si>
  <si>
    <t>Journal of Geophysical Research: Oceans</t>
  </si>
  <si>
    <t>10.1029/2023JC020735</t>
  </si>
  <si>
    <t>2024-03-08 00:00:00.000</t>
  </si>
  <si>
    <t>Observing change in pelagic animals as sampling methods shift: the case of Antarctic krill</t>
  </si>
  <si>
    <t>Hill, Simeon L.; Atkinson, Angus; Arata, Javier A.; Belcher, Anna; Nash, Susan Bengtson; Bernard, Kim S.; Cleary, Alison; Conroy, John A.; Driscoll, Ryan; Fielding, Sophie; Flores, Hauke; Forcada, Jaume; Halfter, Svenja; Hinke, Jefferson T.; Hückstädt, Luis; Johnston, Nadine M.; Kane, Mary; Kawaguchi, So; Krafft, Bjørn A.; Krüger, Lucas; La, Hyoung Sul; Liszka, Cecilia M.; Meyer, Bettina; Murphy, Eugene J.; Pakhomov, Evgeny A.; Perry, Frances; Piñones, Andrea; Polito, Michael J.; Reid, Keith; Reiss, Christian; Rombola, Emilce; Saunders, Ryan A.; Schmidt, Katrin; Sylvester, Zephyr T.; Takahashi, Akinori; Tarling, Geraint A.; Trathan, Phil N.; Veytia, Devi; Watters, George M.; Xavier, José C.; Yang, Guang</t>
  </si>
  <si>
    <t>Frontiers in Marine Science</t>
  </si>
  <si>
    <t>10.3389/fmars.2024.1307402</t>
  </si>
  <si>
    <t>Climate change and population persistence in a hibernating marsupial</t>
  </si>
  <si>
    <t>Nespolo, Roberto F.; Quintero-Galvis, Julian F.; Fontúrbel, Francisco E.; Cubillos, Francisco A.; Vianna, Juliana; Moreno-Meynard, Paulo; Rezende, Enrico L.; Bozinovic, Francisco</t>
  </si>
  <si>
    <t>Proceedings of the Royal Society B: Biological Sciences</t>
  </si>
  <si>
    <t>1471-2954</t>
  </si>
  <si>
    <t>10.1098/rspb.2024.0266</t>
  </si>
  <si>
    <t>Habitat type controls microarthropod community changes across a Magellanic sub-Antarctic elevation gradient</t>
  </si>
  <si>
    <t>Bokhorst, Stef; Contador, Tamara; Mackenzie, Roy; Convey, Peter; Aerts, Rien</t>
  </si>
  <si>
    <t>10.3389/fevo.2024.1440649</t>
  </si>
  <si>
    <t>Boldness predicts foraging behaviour, habitat use and chick growth in a central place marine predator</t>
  </si>
  <si>
    <t>Pereira, Jorge M.; Ramos, Jaime A.; Ceia, Filipe R.; Krüger, Lucas; Marques, Ana M.; Paiva, Vitor H.</t>
  </si>
  <si>
    <t>Oecologia</t>
  </si>
  <si>
    <t>10.1007/s00442-024-05557-4</t>
  </si>
  <si>
    <t>2024-04-06 00:00:00.000</t>
  </si>
  <si>
    <t>Detection of SARS-CoV-2 in Wastewater Associated with Scientific Stations in Antarctica and Possible Risk for Wildlife</t>
  </si>
  <si>
    <t>González-Aravena, Marcelo; Galbán-Malagón, Cristóbal; Castro-Nallar, Eduardo; Barriga, Gonzalo P.; Neira, Víctor; Krüger, Lucas; Adell, Aiko D.; Olivares-Pacheco, Jorge</t>
  </si>
  <si>
    <t>Microorganisms</t>
  </si>
  <si>
    <t>2076-2607</t>
  </si>
  <si>
    <t>10.3390/microorganisms12040743</t>
  </si>
  <si>
    <t>Elementos para una visión futura de la gobernanza antártica</t>
  </si>
  <si>
    <t>LA RUTA AUSTRAL-ANTÁRTICA DEL EJÉRCITO DE CHILE</t>
  </si>
  <si>
    <t>235-266</t>
  </si>
  <si>
    <t>https://www.cesim.cl/wp-content/uploads/2024/08/La-Ruta-Austral-Antartica-del-Ejercito-de-Chile.pdf</t>
  </si>
  <si>
    <t>Does rafting promote contemporary gene flow? Global and regional patterns of population genetic diversity and structure on the false limpet Siphonaria lateralis in the Southern Ocean</t>
  </si>
  <si>
    <t>Millán-Medina, Constanza; Lizama, Marcelo; Saucède, Thomas; Poulin, Elie; Segovia, Nicolás I.; González-Wevar, Claudio</t>
  </si>
  <si>
    <t>10.3389/fevo.2024.1441397</t>
  </si>
  <si>
    <t xml:space="preserve">Instituto Milenio centro de Investigación sobre los fundamentos de Datos </t>
  </si>
  <si>
    <t>Infinite Separation Between General and Chromatic Memory</t>
  </si>
  <si>
    <t>Alexander Kozachinskiy</t>
  </si>
  <si>
    <t>LATIN 2024: Theoretical Informatics. LATIN 2024. Lecture Notes in Computer Science</t>
  </si>
  <si>
    <t>0302-9743</t>
  </si>
  <si>
    <t>10.1007/978-3-031-55601-2_8</t>
  </si>
  <si>
    <t>2024-09-16 00:00:00.000</t>
  </si>
  <si>
    <t>Towards Simpler Sorting Networks and Monotone Circuits for Majority</t>
  </si>
  <si>
    <t>Natalia Dobrokhotova-Maikova, Alexander Kozachinskiy, Vladimir Podolskii</t>
  </si>
  <si>
    <t>Approximation, Randomization, and Combinatorial Optimization. Algorithms and Techniques (APPROX/RANDOM 2024). Leibniz International Proceedings in Informatics (LIPIcs)</t>
  </si>
  <si>
    <t>10.4230/LIPIcs.APPROX/RANDOM.2024.50</t>
  </si>
  <si>
    <t>2024-06-30 00:00:00.000</t>
  </si>
  <si>
    <t>Simple Online Learning with Consistent Oracle</t>
  </si>
  <si>
    <t>Alexander Kozachinskiy, Tomasz Steifer</t>
  </si>
  <si>
    <t>Proceedings of Machine Learning Research (37th Annual Conference on Learning Theory, COLT 2024)</t>
  </si>
  <si>
    <t>https://proceedings.mlr.press/v247/kozachinskiy24a/kozachinskiy24a.pdf</t>
  </si>
  <si>
    <t>2024-01-16 00:00:00.000</t>
  </si>
  <si>
    <t>Logical Languages Accepted by Transformer Encoders with Hard Attention</t>
  </si>
  <si>
    <t>Pablo Barceló, Alexander Kozachinskiy, Anthony Widjaja Lin, Vladimir Podolski</t>
  </si>
  <si>
    <t>12th International Conference on Learning Representations, ICLR 2024</t>
  </si>
  <si>
    <t>https://openreview.net/forum?id=gbrHZq07mq</t>
  </si>
  <si>
    <t>On Dimensionality of Feature Vectors in MPNNs</t>
  </si>
  <si>
    <t>César Bravo, Alexander Kozachinskiy, Cristobal Rojas</t>
  </si>
  <si>
    <t>Proceedings of the 41 st International Conference on Machine Learning</t>
  </si>
  <si>
    <t>https://openreview.net/pdf/75ef01f48eed197880ad64169e6816722810992c.pdf</t>
  </si>
  <si>
    <t>2024-02-07 00:00:00.000</t>
  </si>
  <si>
    <t>Energy Games over Totally Ordered Groups</t>
  </si>
  <si>
    <t xml:space="preserve"> Alexander Kozachinskiy</t>
  </si>
  <si>
    <t>32nd EACSL Annual Conference on Computer Science Logic CSL 2024</t>
  </si>
  <si>
    <t>1868-8969</t>
  </si>
  <si>
    <t>10.4230/LIPIcs.CSL.2024.34</t>
  </si>
  <si>
    <t>¿Es posible la construcción de instituciones resilientes en gobiernos populistas?</t>
  </si>
  <si>
    <t>Sergio Toro</t>
  </si>
  <si>
    <t>Impacto, Riesgos y Oportunidades del Populismo en Europa y América Latina</t>
  </si>
  <si>
    <t>https://www.researchgate.net/publication/379822194_Es_posible_la_construccion_de_instituciones_resilientes_en_gobiernos_populistas</t>
  </si>
  <si>
    <t>“Your house won’t be yours anymore!” Effects of Misinformation, News Use, and Media Trust on Chile’s Constitutional Referendum</t>
  </si>
  <si>
    <t>Magdalena Saldaña, Ximena Orchard, Sebastian Rivera, Guillermo Bustamante-Pavez</t>
  </si>
  <si>
    <t>The International Journal of Press/Politics</t>
  </si>
  <si>
    <t>10.1177/19401612241298</t>
  </si>
  <si>
    <t>WoolNet: Finding and Visualising Paths in Knowledge Graphs</t>
  </si>
  <si>
    <t>Cristóbal Torres Gutiérrez, Aidan Hogan</t>
  </si>
  <si>
    <t>AMW 2024: 16th Alberto Mendelzon International Workshop on Foundations of Data Management</t>
  </si>
  <si>
    <t>https://aidanhogan.com/docs/woolnet_paths_knowledge_graphs.pdf</t>
  </si>
  <si>
    <t>Evaluating regular path queries on compressed adjacency matrices</t>
  </si>
  <si>
    <t>Diego Arroyuelo, Adrián Gómez-Brandón, Gonzalo Navarro</t>
  </si>
  <si>
    <t>The VLDB Journal</t>
  </si>
  <si>
    <t>1066-8888</t>
  </si>
  <si>
    <t>10.1007/s00778-024-00885-6</t>
  </si>
  <si>
    <t>Semi-Automatic Mapping and Extraction of RDF Triples From Wikipedia Tables</t>
  </si>
  <si>
    <t>Adriana Concha, Aidan Hogan</t>
  </si>
  <si>
    <t>https://aidanhogan.com/docs/extraction_tables_wikipedia.pdf</t>
  </si>
  <si>
    <t>2024-04-02 00:00:00.000</t>
  </si>
  <si>
    <t>Indigenous autonomy and Latin American state security in contexts of criminal violence: the cases of Cauca in Colombia and Guerrero in Mexico</t>
  </si>
  <si>
    <t>Shannan Mattiace, Carla Alberti</t>
  </si>
  <si>
    <t>Latin American and Caribbean Ethnic Studies</t>
  </si>
  <si>
    <t>1744-2222</t>
  </si>
  <si>
    <t>10.1080/17442222.2022.2156260</t>
  </si>
  <si>
    <t>Fiscal Origins of Subnational Democracy: Evidence from Argentina</t>
  </si>
  <si>
    <t>Diego Díaz-Rioseco, Carla Alberti</t>
  </si>
  <si>
    <t>Politics &amp; Society</t>
  </si>
  <si>
    <t>0032-3292</t>
  </si>
  <si>
    <t xml:space="preserve">10.1177/00323292221137192 </t>
  </si>
  <si>
    <t>Speedy Gonzales: A Collection of Fast Task-Specific Models for Spanish</t>
  </si>
  <si>
    <t>José Cañete, Felipe Bravo-Márquez</t>
  </si>
  <si>
    <t>Proceedings of the 13th Joint Conference on Lexical and Computational Semantics (*SEM 2024)</t>
  </si>
  <si>
    <t>10.18653/v1/2024.starsem-1.14</t>
  </si>
  <si>
    <t>A Privacy-Preserving Corpus for Occupational Health in Spanish: Evaluation for NER and Classification Tasks</t>
  </si>
  <si>
    <t>Claudio Aracena, Luis Giménez, Thomas Vakili, Fabián Villena, Tamara Quiroga, Fredy Núñez-Torres, Víctor Rocco, Jocelyn Dunstan</t>
  </si>
  <si>
    <t>Proceedings of the 6th Clinical Natural Language Processing Workshop</t>
  </si>
  <si>
    <t>10.18653/v1/2024.clinicalnlp-1.11</t>
  </si>
  <si>
    <t>2024-07-30 00:00:00.000</t>
  </si>
  <si>
    <t>A pseudonymized corpus of occupational health narratives for clinical entity recognition in Spanish</t>
  </si>
  <si>
    <t>Dunstan, Jocelyn; Vakili, Thomas; Miranda, Luis; Villena, Fabián; Aracena, Claudio; Quiroga, Tamara; Vera, Paulina; Viteri Valenzuela, Sebastián; Rocco, Victor</t>
  </si>
  <si>
    <t>BMC Medical Informatics and Decision Making</t>
  </si>
  <si>
    <t>1472-6947</t>
  </si>
  <si>
    <t>10.1186/s12911-024-02609-w</t>
  </si>
  <si>
    <t>Automatic Detection of Distant Metastasis Mentions in Radiology Reports in Spanish</t>
  </si>
  <si>
    <t>Ricardo Ahumada, Jocelyn Dunstan, Matías Rojas, Sergio Peñafiel, Inti Paredes, Pablo Báez</t>
  </si>
  <si>
    <t>JCO Clinical Cancer Informatics</t>
  </si>
  <si>
    <t>2473-4276</t>
  </si>
  <si>
    <t>10.1200/cci.23.00130</t>
  </si>
  <si>
    <t>The problem of estimation and forecasting of obesity prevalence using sparsely collected data</t>
  </si>
  <si>
    <t>Luis Rojo-González, Jocelyn Dunstan, Cristóbal Cuadrado, Denisse Ávalos, Javier Moraga-Correa, Nelson Troncoso, Óscar C. Vásquez</t>
  </si>
  <si>
    <t>Engineering Applications of Artificial Intelligence</t>
  </si>
  <si>
    <t>0952-1976</t>
  </si>
  <si>
    <t>10.1016/j.engappai.2024.107860</t>
  </si>
  <si>
    <t>A Family of Centrality Measures for Graph Data Based on Subgraphs</t>
  </si>
  <si>
    <t>Sebastián Bugedo, Cristian Riveros, Jorge Salas</t>
  </si>
  <si>
    <t>ACM Transactions on Database Systems</t>
  </si>
  <si>
    <t>0362-5915</t>
  </si>
  <si>
    <t>10.1145/3649134</t>
  </si>
  <si>
    <t>Physics-informed neural networks for parameter estimation in blood flow models</t>
  </si>
  <si>
    <t>Jeremías Garay, Jocelyn Dunstan, Sergio Uribe, Francisco Sahli Costabal</t>
  </si>
  <si>
    <t>Computers in Biology and Medicine</t>
  </si>
  <si>
    <t>0010-4825</t>
  </si>
  <si>
    <t>10.1016/j.compbiomed.2024.108706</t>
  </si>
  <si>
    <t>Entity normalization in a Spanish medical corpus using a UMLS-based lexicon: findings and limitations</t>
  </si>
  <si>
    <t>Pablo Báez, Leonardo Campillos Llanos, Fredy Núñez Torres, Jocelyn Dunstan</t>
  </si>
  <si>
    <t>Language Resources and Evaluation</t>
  </si>
  <si>
    <t>1574-020X</t>
  </si>
  <si>
    <t>10.1007/s10579-024-09755-7</t>
  </si>
  <si>
    <t>2024-07-24 00:00:00.000</t>
  </si>
  <si>
    <t>The economics of ethnic marriages: Endogamy and the social status of minority groups</t>
  </si>
  <si>
    <t>Naim Bro, Liran Morav</t>
  </si>
  <si>
    <t>British Journal of Sociology</t>
  </si>
  <si>
    <t>0007-1315</t>
  </si>
  <si>
    <t>10.1111/1468-4446.13133</t>
  </si>
  <si>
    <t>Response to Kempf et al on Methodological and Practical Aspects of a Distant Metastasis Detection Model</t>
  </si>
  <si>
    <t>Ricardo Ahumada, Jocelyn Dunstan, Inti Paredes, Pablo Báez</t>
  </si>
  <si>
    <t>10.1200/cci-24-00154</t>
  </si>
  <si>
    <t>Self-Supervised Learning Applied to Variable Star Semi-Supervised Classification Using LSTM and GRU Networks</t>
  </si>
  <si>
    <t>R. B. Merino, Pablo Jara, Billy Peralta, Orietta Nicolis, Hans Löbel, Luis Caro</t>
  </si>
  <si>
    <t>50th Latin American Computing Conference (CLEI)</t>
  </si>
  <si>
    <t>2381-1609</t>
  </si>
  <si>
    <t>10.1109/clei64178.2024.10700176</t>
  </si>
  <si>
    <t>Sense through time: diachronic word sense annotations for word sense induction and Lexical Semantic Change Detection</t>
  </si>
  <si>
    <t>Dominik Schlechtweg, Frank D. Zamora-Reina, Felipe Bravo-Márquez, Nikolay Arefyev</t>
  </si>
  <si>
    <t>10.1007/s10579-024-09771-7</t>
  </si>
  <si>
    <t>Streaming enumeration on nested documents</t>
  </si>
  <si>
    <t>Martín Muñoz, Cristian Riveros</t>
  </si>
  <si>
    <t>10.1145/3701557</t>
  </si>
  <si>
    <t>2024-11-07 00:00:00.000</t>
  </si>
  <si>
    <t>Complex Event Recognition meets Hierarchical Conjunctive Queries</t>
  </si>
  <si>
    <t>Dante Pinto, Cristian Riveros</t>
  </si>
  <si>
    <t>Proceedings of the ACM on Management of Data</t>
  </si>
  <si>
    <t>10.1145/3695834</t>
  </si>
  <si>
    <t>2024-11-13 00:00:00.000</t>
  </si>
  <si>
    <t>Static Slicing for Probabilistic Programs: An Overview</t>
  </si>
  <si>
    <t>Federico Olmedo</t>
  </si>
  <si>
    <t>Principles of Verification: Cycling the Probabilistic Landscape - Lecture Notes in Computer Science</t>
  </si>
  <si>
    <t>978-3-031-75782-2</t>
  </si>
  <si>
    <t>10.1007/978-3-031-75783-9_7</t>
  </si>
  <si>
    <t>Unpacking Bias: An Empirical Study of Bias Measurement Metrics, Mitigation Algorithms, and their Interactions</t>
  </si>
  <si>
    <t>Felipe Bravo-Márquez, Maria Jose Zambrano</t>
  </si>
  <si>
    <t>2024 Joint International Conference on Computational Linguistics, Language Resources and Evaluation, LREC-COLING 2024 - Main Conference Proceedings</t>
  </si>
  <si>
    <t>https://aclanthology.org/2024.lrec-main.1490</t>
  </si>
  <si>
    <t>2024-07-21 00:00:00.000</t>
  </si>
  <si>
    <t>Hyperbolic Optimizer as a Dynamical System</t>
  </si>
  <si>
    <t>Nico Alvarado, Hans Lobel</t>
  </si>
  <si>
    <t>Proceedings of Machine Learning Research</t>
  </si>
  <si>
    <t>https://proceedings.mlr.press/v235/alvarado24a.html</t>
  </si>
  <si>
    <t>2024-05-14 00:00:00.000</t>
  </si>
  <si>
    <t>Differential privacy and SPARQL</t>
  </si>
  <si>
    <t>Carlos Buil-Aranda, Jorge Lobo, Federico Olmedo</t>
  </si>
  <si>
    <t>Semantic Web</t>
  </si>
  <si>
    <t>1570-0844</t>
  </si>
  <si>
    <t>10.3233/SW-233474</t>
  </si>
  <si>
    <t>Enumeration and Updates for Conjunctive Linear Algebra Queries Through Expressibility</t>
  </si>
  <si>
    <t>Thomas Muñoz Serrano, Cristian Riveros, Stijn Vansummeren</t>
  </si>
  <si>
    <t>27th International Conference on Database Theory (ICDT 2024)</t>
  </si>
  <si>
    <t>10.4230/LIPIcs.ICDT.2024.12</t>
  </si>
  <si>
    <t>2024-11-29 00:00:00.000</t>
  </si>
  <si>
    <t>Reducing Interpretative Ambiguity in an educational environment with ChatGPT.</t>
  </si>
  <si>
    <t>Francisco Garcia-Varela, Zvi Bekerman, Miguél Nussbaum, Marcelo Mendoza, Joaquin Montero</t>
  </si>
  <si>
    <t>Computers &amp; Education</t>
  </si>
  <si>
    <t>0360-1315</t>
  </si>
  <si>
    <t>10.1016/j.compedu.2024.105182</t>
  </si>
  <si>
    <t>2024-12-02 00:00:00.000</t>
  </si>
  <si>
    <t>Multi-label learning on low label density sets with few examples</t>
  </si>
  <si>
    <t>Matías Vergara, Benjamin Bustos, Ivan Sipiran, Tobias Schreck, Stefan Lengauer</t>
  </si>
  <si>
    <t>Expert Systems with Applications</t>
  </si>
  <si>
    <t>10.1016/j.eswa.2024.125942</t>
  </si>
  <si>
    <t>2024-09-29 00:00:00.000</t>
  </si>
  <si>
    <t>Clustering-based compression for raster time series</t>
  </si>
  <si>
    <t>Martita Muñoz, José Fuentes-Sepúlveda, Cecilia Hernández, Gonzalo Navarro, Diego Seco, Fernando Silva-Coira</t>
  </si>
  <si>
    <t>The Computer Journal</t>
  </si>
  <si>
    <t>0010-4620</t>
  </si>
  <si>
    <t>10.1093/comjnl/bxae090</t>
  </si>
  <si>
    <t>2024-06-09 00:00:00.000</t>
  </si>
  <si>
    <t>Querying Graph Databases at Scale</t>
  </si>
  <si>
    <t>Aidan Hogan, Domagoj Vrgoč</t>
  </si>
  <si>
    <t>ACM International Conference on Management of Data (SIGMOD)</t>
  </si>
  <si>
    <t>0730-8078</t>
  </si>
  <si>
    <t>10.1145/3626246.3654695</t>
  </si>
  <si>
    <t>Adaptive Dynamic Bitvectors</t>
  </si>
  <si>
    <t>Gonzalo Navarro</t>
  </si>
  <si>
    <t>String Processing and Information Retrieval (SPIRE 2024)</t>
  </si>
  <si>
    <t>10.1007/978-3-031-72200-4_16</t>
  </si>
  <si>
    <t>Political participation and technology: Continuities and discontinuities in the Southern Cone and Brazil</t>
  </si>
  <si>
    <t>Marcelo Santos, Sebastián Valenzuela</t>
  </si>
  <si>
    <t>The Routledge Handbook of Political Communication in Ibero- America</t>
  </si>
  <si>
    <t>10.4324/9781003388937-15</t>
  </si>
  <si>
    <t>MillenniumDB: A Multi-modal, Multi-model Graph Database</t>
  </si>
  <si>
    <t>Domagoj Vrgoč, Carlos Rojas, Renzo Angles, Marcelo Arenas, Vicente Calisto, Benjamín Farías, Sebastián Ferrada, Tristan Heuer, Aidan Hogan, Gonzalo Navarro, Alexander Pinto-De la Gala, Juan L. Reutter, Henry Rosales, Etienne Toussiant</t>
  </si>
  <si>
    <t>10.1145/3626246.3654757</t>
  </si>
  <si>
    <t>TelarKG: a Knowledge Graph of Chile's Constitutional Process</t>
  </si>
  <si>
    <t>Renzo Angles, Vicente Calisto, J. Carlos Garcia Diaz, Sebastián Ferrada, Aidan Hogan, Alexander Pinto-De la Gala, Juan L. Reutter, Carlos Rojas, Henry Rosales-Méndez, Hernan Sarmiento, Etienne Toussaint, Domagoj Vrgoč</t>
  </si>
  <si>
    <t>GRADES-NDA '24: Proceedings of the 7th Joint Workshop on Graph Data Management Experiences &amp; Systems (GRADES) and Network Data Analytics (NDA)</t>
  </si>
  <si>
    <t>979-8-4007-0653-0</t>
  </si>
  <si>
    <t>10.1145/3661304.3661899</t>
  </si>
  <si>
    <t>ERDoc: A Web Interface for Entity-Relation Modelling</t>
  </si>
  <si>
    <t>Matías Lopez, Sebastián Ferrada, Aidan Hogan</t>
  </si>
  <si>
    <t>Proceedings of the 3rd ACM SIGMOD International Workshop on Data Systems Education - Bridging Education Practice with Education Research (DataEd)</t>
  </si>
  <si>
    <t>979-8-4007-0678-3</t>
  </si>
  <si>
    <t>10.1145/3663649.3664372</t>
  </si>
  <si>
    <t>Tackling Challenges in Implementing Large-Scale Graph Databases</t>
  </si>
  <si>
    <t>Diego Arroyuelo, Aidan Hogan, Gonzalo Navarro, Juan L. Reutter, Domagoj Vrgoč</t>
  </si>
  <si>
    <t>Communications of the ACM</t>
  </si>
  <si>
    <t>1557-7317</t>
  </si>
  <si>
    <t>10.1145/3653314</t>
  </si>
  <si>
    <t>Gradual Differentially Private Programming</t>
  </si>
  <si>
    <t>Matías Toro, Federico Olmedo, Éric Tanter</t>
  </si>
  <si>
    <t>10.1145/3653328</t>
  </si>
  <si>
    <t>A Data Management Approach to Explainable AI</t>
  </si>
  <si>
    <t>Marcelo Arenas</t>
  </si>
  <si>
    <t>Proceedings of the ACM SIGACT-SIGMOD-SIGART Symposium on Principles of Database Systems</t>
  </si>
  <si>
    <t>10.1145/3635138.3654762</t>
  </si>
  <si>
    <t>Demonstrating REmatch: A Novel RegEx Engine for Finding all Matches</t>
  </si>
  <si>
    <t>Kyle Bossonney, Vicente Calisto, Cristian Riveros, Gustavo Toro, Nicolás Van Sint Jan, Domagoj Vrgoč</t>
  </si>
  <si>
    <t>10.1145/3626246.3654746</t>
  </si>
  <si>
    <t>Space &amp; Time Efficient Leapfrog Triejoin</t>
  </si>
  <si>
    <t>Diego Arroyuelo, Daniela Campos, Adrián Gómez-Brandón, Gonzalo Navarro, Carlos Rojas, Domagoj Vrgoč</t>
  </si>
  <si>
    <t>10.1145/3661304.3661898</t>
  </si>
  <si>
    <t>When algorithms are editors: How social media, AI, and misinformation alter news consumption</t>
  </si>
  <si>
    <t>Sebastián Valenzuela</t>
  </si>
  <si>
    <t>Comunicación y Medios</t>
  </si>
  <si>
    <t>0719-1529</t>
  </si>
  <si>
    <t>10.5354/0719-1529.2024.74976</t>
  </si>
  <si>
    <t>Joint models reveal genetic architecture of pubertal stage transitions and their association with BMI in admixed Chilean population</t>
  </si>
  <si>
    <t>Lucas Vicuña, Esteban Barrientos, Valeria Leiva-Yamaguchi, Danilo Alvares, Verónica Mericq, Anita Pereira, S. Eyheramendy</t>
  </si>
  <si>
    <t>Human Molecular Genetics</t>
  </si>
  <si>
    <t>0964-6906</t>
  </si>
  <si>
    <t>10.1093/hmg/ddae098</t>
  </si>
  <si>
    <t>A Self-Righteous, Not a Virtuous, Circle: Proposing a New Framework for Studying Media Effects on Knowledge and Political Participation in a Social Media Environment</t>
  </si>
  <si>
    <t>Sangwon Lee, Sangwon Lee, Sebastián Valenzuela</t>
  </si>
  <si>
    <t>Social Media + Society</t>
  </si>
  <si>
    <t>2056-3051</t>
  </si>
  <si>
    <t>10.1177/20563051241257953</t>
  </si>
  <si>
    <t>2024-11-02 00:00:00.000</t>
  </si>
  <si>
    <t>A Uniform Language to Explain Decision Trees</t>
  </si>
  <si>
    <t>Marcelo Arenas, Pablo Barceló, Diego Bustamante, Jose Caraball, Bernardo Subercaseaux</t>
  </si>
  <si>
    <t>Proceedings of the 21st International Conference on Principles of Knowledge Representation and Reasoning</t>
  </si>
  <si>
    <t>2334-1033</t>
  </si>
  <si>
    <t>10.24963/kr.2024/6</t>
  </si>
  <si>
    <t>Towards Tractability of the Diversity of Query Answers: Ultrametrics to the Rescue</t>
  </si>
  <si>
    <t>Marcelo Arenas, Timo Camillo Merkl, Reinhard Pichler, Cristian Riveros</t>
  </si>
  <si>
    <t>10.1145/3695833</t>
  </si>
  <si>
    <t>2024-11-21 00:00:00.000</t>
  </si>
  <si>
    <t>Enhancing commit message quality in software capstone projects with generative AI</t>
  </si>
  <si>
    <t>Andrés Neyem, Agustín Rios-Letelier, Kevin Céspedes-Arancibia, Juan Pablo Sandoval Alcocer, Marcelo Mendoza</t>
  </si>
  <si>
    <t>SoftwareX</t>
  </si>
  <si>
    <t>2352-7110</t>
  </si>
  <si>
    <t>10.1016/j.softx.2024.101947</t>
  </si>
  <si>
    <t>Optimizing RPQs over a compact graph representation</t>
  </si>
  <si>
    <t>Diego Arroyuelo, Adrián Gómez-Brandón, Aidan Hogan, Gonzalo Navarro, Javiel Rojas-Ledesma</t>
  </si>
  <si>
    <t>10.1007/s00778-023-00811-2</t>
  </si>
  <si>
    <t>Representation, Provenance, and Explanations in Database Theory and Logic (Dagstuhl Seminar 24032)</t>
  </si>
  <si>
    <t>Pablo Barcelo, Pierre Bourhis, Stefan Mengel, Sudeepa Roy</t>
  </si>
  <si>
    <t>Dagstuhl Reports</t>
  </si>
  <si>
    <t>10.4230/DagRep.14.1.49</t>
  </si>
  <si>
    <t>A convolutional architecture for 3D model embedding using image views</t>
  </si>
  <si>
    <t xml:space="preserve">Arniel Labrada, Benjamín Bustos, Ivan Sipiran </t>
  </si>
  <si>
    <t>The Visual Computer</t>
  </si>
  <si>
    <t>0178-2789</t>
  </si>
  <si>
    <t>10.1007/s00371-023-02872-4</t>
  </si>
  <si>
    <t>2024-09-06 00:00:00.000</t>
  </si>
  <si>
    <t>Repetitive Patterns Recognition in Textures of Ancient Peruvian Pottery</t>
  </si>
  <si>
    <t>Sebastian Sepulveda, Benjamín Bustos, Ivan Sipiran</t>
  </si>
  <si>
    <t>ACM Journal on Computing and Cultural Heritage</t>
  </si>
  <si>
    <t>10.1145/3694789</t>
  </si>
  <si>
    <t>2024-09-03 00:00:00.000</t>
  </si>
  <si>
    <t>Space‐efficient data structures for the inference of subsumption and disjointness relations</t>
  </si>
  <si>
    <t>José Fuentes‐Sepúlveda, Diego Gatica, Gonzalo Navarro, M Andrea Rodríguez, Diego Seco</t>
  </si>
  <si>
    <t>Software: Practice and Experience</t>
  </si>
  <si>
    <t>0038-0644</t>
  </si>
  <si>
    <t>10.1002/spe.3367</t>
  </si>
  <si>
    <t>LSQ 2.0: A linked dataset of SPARQL query logs</t>
  </si>
  <si>
    <t>Claus Stadler, Muhammad Saleem, Qaiser Mehmood, Carlos Buil-Aranda, Michel Dumontier, Aidan Hogan, Axel-Cyrille Ngonga Ngomo</t>
  </si>
  <si>
    <t>10.3233/SW-223015</t>
  </si>
  <si>
    <t>2024-04-30 00:00:00.000</t>
  </si>
  <si>
    <t>Graphing Trees: The Nodes and Edges of Nabokov’s Worlds</t>
  </si>
  <si>
    <t>Shakeeb Arzoo, Aidan Hogan, Stephen H Blackwell</t>
  </si>
  <si>
    <t>CEUR Workshop Proceedings (4th Edition of the International Workshop on Semantic Web and Ontology Design for Cultural Heritage, SWODCH 2024)</t>
  </si>
  <si>
    <t>https://ceur-ws.org/Vol-3809/paper7.pdf</t>
  </si>
  <si>
    <t>Squeezed from the top: "Social Outburst" (2019) and elite overproduction. A study of the dynamics of Chilean political instability from the approach of Structural Demographic Theory</t>
  </si>
  <si>
    <t>Manuel Muñoz-Rodríguez, Rosana Ferrero, Juan Pablo Luna, Mauricio Lima</t>
  </si>
  <si>
    <t>PloS One</t>
  </si>
  <si>
    <t>10.1371/journal.pone.0299063</t>
  </si>
  <si>
    <t>VICTOR VECTORS @ DIPROMATS 2024: Propaganda Detection with LLM Paraphrasing and Machine Translation</t>
  </si>
  <si>
    <t>Miguel Fernández, Maximiliano Ojeda, Lilly Guevara, Diego Varela, Marcelo Mendoza, Alberto Barrón-Cedeño</t>
  </si>
  <si>
    <t>CEUR Workshop Proceedings (6th Iberian Languages Evaluation Forum, IberLEF 2024)</t>
  </si>
  <si>
    <t>https://ceur-ws.org/Vol-3756/DIPROMATS2024_paper8.pdf</t>
  </si>
  <si>
    <t>Communication Cost of Joins over Federated Data</t>
  </si>
  <si>
    <t>Tamara Cucumides, Juan Reutter</t>
  </si>
  <si>
    <t>10.4230/LIPIcs.ICDT.2024.5</t>
  </si>
  <si>
    <t>PathFinder: Returning Paths in Graph Queries</t>
  </si>
  <si>
    <t>Benjamín Farías, Wim Martens, Carlos Rojas, Domagoj Vrgoč</t>
  </si>
  <si>
    <t>The Semantic Web – ISWC 2024</t>
  </si>
  <si>
    <t>10.1007/978-3-031-77850-6_8</t>
  </si>
  <si>
    <t>SpatialCluster: A Python library for urban clustering</t>
  </si>
  <si>
    <t>Axel Reyes, Marcelo Mendoza, Camila Vera, F Lucchini, Jan Dimter, Felipe Castro Gutiérrez, Naim Bro, Hans Löbel, Ariel Antonio Morán Reyes</t>
  </si>
  <si>
    <t>10.1016/j.softx.2024.101739</t>
  </si>
  <si>
    <t>2024-04-23 00:00:00.000</t>
  </si>
  <si>
    <t>Augmented non-hallucinating large language models as medical information curators</t>
  </si>
  <si>
    <t>Stephen Gilbert, Jakob Nikolas Kather, Aidan Hogan</t>
  </si>
  <si>
    <t>npj Digital Medicine</t>
  </si>
  <si>
    <t>2398-6352</t>
  </si>
  <si>
    <t>10.1038/s41746-024-01081-0</t>
  </si>
  <si>
    <t>Is the change deforestation? Using time-series analysis of satellite data to disentangle deforestation from other forest degradation causes</t>
  </si>
  <si>
    <t>Ignacio Fuentes, Javier Lopatin, Mauricio Galleguillos, Andrés Ceballos-Comisso, S. Eyheramendy, Rodrigo A. Carrasco</t>
  </si>
  <si>
    <t>Remote Sensing Applications Society and Environment</t>
  </si>
  <si>
    <t>2352-9385</t>
  </si>
  <si>
    <t>10.1016/j.rsase.2024.101210</t>
  </si>
  <si>
    <t>Disjointed Polarization in Chile’s Enduring Crisis of Representation</t>
  </si>
  <si>
    <t>Juan Pablo Luna</t>
  </si>
  <si>
    <t>Latin American Politics and Society</t>
  </si>
  <si>
    <t>1531-426X</t>
  </si>
  <si>
    <t>10.1017/lap.2024.19</t>
  </si>
  <si>
    <t>2024-05-13 00:00:00.000</t>
  </si>
  <si>
    <t>Compact Path Representations for Graph Database Pattern Matching</t>
  </si>
  <si>
    <t>Wim Martens, Matthias Niewerth, Tina Popp, Carlos Rojas, Stijn Vansummeren, Domagoj Vrgoč</t>
  </si>
  <si>
    <t>2024 IEEE 40th International Conference on Data Engineering Workshop (ICDEW)</t>
  </si>
  <si>
    <t>1943-2895</t>
  </si>
  <si>
    <t>10.1109/icdew61823.2024.00059</t>
  </si>
  <si>
    <t>2024-11-11 00:00:00.000</t>
  </si>
  <si>
    <t>PathFinder Demo: Returning Paths in Graph Queries</t>
  </si>
  <si>
    <t>Vicente Calisto, Benjamín Farías, Wim Martens, Carlos Rojas, Domagoj Vrgoč</t>
  </si>
  <si>
    <t>CEUR Workshop Proceedings (ISWC 2024 Posters, Demos and Industry Tracks: From Novel Ideas to Industrial Practice)</t>
  </si>
  <si>
    <t>https://ceur-ws.org/Vol-3828/paper34.pdf</t>
  </si>
  <si>
    <t>2024-03-24 00:00:00.000</t>
  </si>
  <si>
    <t>News Gathering: Leveraging Transformers to Rank News</t>
  </si>
  <si>
    <t>Carlos Alfredo Cerna Muñoz, María José Apolo, Maximiliano Ojeda, Hans Löbel, Marcelo Mendoza</t>
  </si>
  <si>
    <t>Lecture Notes in Computer Science</t>
  </si>
  <si>
    <t>10.1007/978-3-031-56063-7_41</t>
  </si>
  <si>
    <t>2024-05-03 00:00:00.000</t>
  </si>
  <si>
    <t>Towards an AI Knowledge Assistant for Context-Aware Learning Experiences in Software Capstone Project Development</t>
  </si>
  <si>
    <t>Andrés Neyem; Luis A. González; Marcelo Mendoza; Juan Pablo Sandoval Alcocer; Leonardo Centellas; Carlos Paredes</t>
  </si>
  <si>
    <t>IEEE Transactions on Learning Technologies</t>
  </si>
  <si>
    <t>10.1109/tlt.2024.3396735</t>
  </si>
  <si>
    <t>Chile: The Drift of the Political System and the Failure of the New Constitutional Process</t>
  </si>
  <si>
    <t>Sergio Toro, Agustina Noguera</t>
  </si>
  <si>
    <t>Revista de Ciencia Política</t>
  </si>
  <si>
    <t>10.4067/s0718-090x2024005000110</t>
  </si>
  <si>
    <t>2024-07-18 00:00:00.000</t>
  </si>
  <si>
    <t>A Credibility Divide? Discerning Truth From Misinformation in Chile</t>
  </si>
  <si>
    <t>Ingrid Bachmann, Sebastián Valenzuela, Constanza Mujica, Claudia Labarca, Daniela Grassau, Daniel Halpern</t>
  </si>
  <si>
    <t>International Journal of Public Opinion Research</t>
  </si>
  <si>
    <t>10.1093/ijpor/edae017</t>
  </si>
  <si>
    <t>2024-02-28 00:00:00.000</t>
  </si>
  <si>
    <t>A Transforming Digital Journalism Editorial Team Calls for a Tribute and a Welcome</t>
  </si>
  <si>
    <t>Oscar Westlund, Magdalena Saldaña</t>
  </si>
  <si>
    <t>Digital Journalism</t>
  </si>
  <si>
    <t>2167-0811</t>
  </si>
  <si>
    <t>10.1080/21670811.2024.2309090</t>
  </si>
  <si>
    <t>2024-01-18 00:00:00.000</t>
  </si>
  <si>
    <t>The Meso News-Space as a Framework for Studying Mobile Instant Messaging Services</t>
  </si>
  <si>
    <t>Sebastián Valenzuela, Marcelo Santos</t>
  </si>
  <si>
    <t>10.1080/21670811.2023.2301356</t>
  </si>
  <si>
    <t>The Ring: Worst-case Optimal Joins in Graph Databases using (Almost) No Extra Space</t>
  </si>
  <si>
    <t>Diego Arroyuelo, Adrián Gómez-Brandón, Aidan Hogan, Gonzalo Navarro, Juan L. Reutter, Javiel Rojas-Ledesma, Adrián Soto</t>
  </si>
  <si>
    <t>10.18260/1-2--44496</t>
  </si>
  <si>
    <t>2024-06-02 00:00:00.000</t>
  </si>
  <si>
    <t>Stronger and Safer Together: Motivations for and Challenges of (Trans)National Collaboration in Investigative Reporting in Latin America</t>
  </si>
  <si>
    <t>Lourdes M. Cueva Chacón, Magdalena Saldaña</t>
  </si>
  <si>
    <t>Journalism and Safety: An Introduction to the Field</t>
  </si>
  <si>
    <t>10.4324/9781032705750-5</t>
  </si>
  <si>
    <t>2024-11-26 00:00:00.000</t>
  </si>
  <si>
    <t>Similarity joins and clustering for SPARQL</t>
  </si>
  <si>
    <t>Sebastián Ferrada, Benjamín Bustos, Aidan Hogan</t>
  </si>
  <si>
    <t>10.3233/sw-243540</t>
  </si>
  <si>
    <t>Securing Verified IO Programs Against Unverified Code in F*</t>
  </si>
  <si>
    <t>Cezar-Constantin Andrici, Ştefan Ciobâcă, Cătălin Hriţcu, Guido Martínez, Exequiel Rivas, Éric Tanter, Théo Winterhalter</t>
  </si>
  <si>
    <t>Proceedings of the ACM on Programming Languages</t>
  </si>
  <si>
    <t>POPL</t>
  </si>
  <si>
    <t>2475-1421</t>
  </si>
  <si>
    <t>10.1145/3632916</t>
  </si>
  <si>
    <t>Stronger compact representations of object trajectories</t>
  </si>
  <si>
    <t>Adrián Gómez-Brandón, Gonzalo Navarro, José R. Paramá, Nieves R. Brisaboa, Travis Gagie</t>
  </si>
  <si>
    <t>Geo-spatial Information Science</t>
  </si>
  <si>
    <t>1009-5020</t>
  </si>
  <si>
    <t>10.1080/10095020.2024.2310590</t>
  </si>
  <si>
    <t>2024-03-13 00:00:00.000</t>
  </si>
  <si>
    <t>The Threat of Misinformation on Journalism’s Epistemology: Exploring the Gap between Journalist’s and Audience’s Expectations when Facing Fake Content</t>
  </si>
  <si>
    <t>Enrique Núñez-Mussa, Andrea Riquelme, Sebastián Valenzuela, Valeria Aldana, Fabián Padilla, Renato Bassi, Sebastián Campos, Eliana Providel, Marcelo Mendoza</t>
  </si>
  <si>
    <t>10.1080/21670811.2024.2320249</t>
  </si>
  <si>
    <t>2024-04-12 00:00:00.000</t>
  </si>
  <si>
    <t>Exploring the Impact of Generative AI for StandUp Report Recommendations in Software Capstone Project Development</t>
  </si>
  <si>
    <t>Andrés Neyem, Juan Pablo Sandoval Alcocer, Marcelo Mendoza, Leonardo Centellas-Claros, Luis A. González, Carlos Paredes-Robles</t>
  </si>
  <si>
    <t>SIGCSE 2024: Proceedings of the 55th ACM Technical Symposium on Computer Science Education</t>
  </si>
  <si>
    <t>979-8-4007-0423-9</t>
  </si>
  <si>
    <t>10.1145/3626252.3630854</t>
  </si>
  <si>
    <t>2024-03-19 00:00:00.000</t>
  </si>
  <si>
    <t>Detection and impact estimation of social bots in the Chilean Twitter network</t>
  </si>
  <si>
    <t>Marcelo Mendoza, Eliana Providel, Marcelo Santos, Sebastián Valenzuela</t>
  </si>
  <si>
    <t>10.1038/s41598-024-57227-3</t>
  </si>
  <si>
    <t>Worst-Case-Optimal Similarity Joins on Graph Databases</t>
  </si>
  <si>
    <t>Diego Arroyuelo, Benjamín Bustos, Adrián Gómez-Brandón, Aidan Hogan, Gonzalo Navarro, Juan L. Reutter</t>
  </si>
  <si>
    <t>10.1145/3639294</t>
  </si>
  <si>
    <t>Telar and TelarKG: Data-Driven Insights into Chile’s Constitutional Process</t>
  </si>
  <si>
    <t>Renzo Angles, Naim Bro, Ivania Donoso-Guzmán, Juan Pablo Luna, Aidan Hogan, Juan L. Reutter, Henry Rosales-Méndez, Sergio Toro</t>
  </si>
  <si>
    <t>10.1145/3653312</t>
  </si>
  <si>
    <t>Dynamic compact data structure for temporal reachability with unsorted contact insertions</t>
  </si>
  <si>
    <t>Luiz Fernando Afra Brito, Marcelo Keese Albertini, Bruno A. N. Travençolo, Gonzalo Navarro</t>
  </si>
  <si>
    <t>10.1093/comjnl/bxae063</t>
  </si>
  <si>
    <t>2024-08-06 00:00:00.000</t>
  </si>
  <si>
    <t>“The more official, the less I believe”: Using focus groups to explore public opinion formation in politically polarized contexts</t>
  </si>
  <si>
    <t>Isabel Pavez, Magdalena Saldaña, Cristian Cabalín, Andrés Scherman</t>
  </si>
  <si>
    <t>Social Science Quarterly</t>
  </si>
  <si>
    <t>0038-4941</t>
  </si>
  <si>
    <t>10.1111/ssqu.13421</t>
  </si>
  <si>
    <t>Gradual Indexed Inductive Types</t>
  </si>
  <si>
    <t>Stefan Malewski, Kenji Maillard, Nicolas Tabareau, Éric Tanter</t>
  </si>
  <si>
    <t>ICFP</t>
  </si>
  <si>
    <t>10.1145/3674644</t>
  </si>
  <si>
    <t>Compressed Graph Representations for Evaluating Regular Path Queries</t>
  </si>
  <si>
    <t>Gonzalo Navarro, Josefa Robert</t>
  </si>
  <si>
    <t>10.1007/978-3-031-72200-4_17</t>
  </si>
  <si>
    <t>2024-12-12 00:00:00.000</t>
  </si>
  <si>
    <t>CVQA: Culturally-diverse Multilingual Visual Question Answering Benchmark</t>
  </si>
  <si>
    <t xml:space="preserve">David Romero, Chenyang Lyu, Haryo Akbarianto Wibowo, Teresa Lynn, Injy Hamed, Aditya Nanda Kishore, Aishik Mandal, Alina Dragonetti, Artem Abzaliev, Atnafu Lambebo Tonja, Bontu Fufa Balcha, Chenxi Whitehouse, Christian Salamea, Dan John Velasco, David Ifeoluwa Adelani, David Le Meur, Emilio Villa-Cueva, Fajri Koto, Fauzan Farooqui, Frederico Belcavello, Ganzorig Batnasan, Gisela Vallejo, Grainne Caulfield, Guido Ivetta, Haiyue Song, Henok Biadglign Ademtew, Hernán Maina, Holy Lovenia, Israel Abebe Azime, Jan Christian Blaise Cruz, Jay Gala, Jiahui Geng, Jesus-German Ortiz-Barajas, Jinheon Baek, Jocelyn Dunstan, Laura Alonso Alemany, Kumaranage Ravindu Yasas Nagasinghe, Luciana Benotti, Luis Fernando D'Haro, Marcelo Viridiano, Marcos Estecha-Garitagoitia, Maria Camila Buitrago Cabrera, Mario Rodríguez-Cantelar, Mélanie Jouitteau, Mihail Mihaylov, Mohamed Fazli Mohamed Imam, Muhammad Farid Adilazuarda, Munkhjargal Gochoo, Munkh-Erdene Otgonbold, Naome Etori, Olivier Niyomugisha, Paula Mónica Silva, Pranjal Chitale, Raj Dabre, Rendi Chevi, Ruochen Zhang, Ryandito Diandaru, Samuel Cahyawijaya, Santiago Góngora, Soyeong Jeong, Sukannya Purkayastha, Tatsuki Kuribayashi, Teresa Clifford, Thanmay Jayakumar, Tiago Timponi Torrent, Toqeer Ehsan, Vladimir Araujo, Yova Kementchedjhieva, Zara Burzo, Zheng Wei Lim, Zheng Xin Yong, Oana Ignat, Joan Nwatu, Rada Mihalcea, Thamar Solorio, Alham Fikri Aji </t>
  </si>
  <si>
    <t>Advances in Neural Information Processing Systems</t>
  </si>
  <si>
    <t>10.48550/arXiv.2406.05967</t>
  </si>
  <si>
    <t>Automatic Knowledge-Graph Creation from Historical Documents: The Chilean Dictatorship as a Case Study</t>
  </si>
  <si>
    <t>Camila Díaz, Jocelyn Dunstan, Lorena Etcheverry, Antonia Fonck, Alejandro Grez, Domingo Mery, Juan Reutter, Hugo Rojas</t>
  </si>
  <si>
    <t>Joint of the 2nd Workshop on Knowledge Base Construction from Pre-Trained Language Models and the 3rd Challenge on Language Models for Knowledge Base Construction, KBC-LM-LM-KBC 2024</t>
  </si>
  <si>
    <t>10.48550/arXiv.2408.11975</t>
  </si>
  <si>
    <t>2024-12-09 00:00:00.000</t>
  </si>
  <si>
    <t>A Comparative Analysis of Offensive Discourse in the 2021 Chilean Presidential Campaign on Twitter and WhatsApp</t>
  </si>
  <si>
    <t>Hernán Sarmiento; Jorge Ortiz; Felipe Bravo-Márquez; Marcelo Santos; Sebastián Valenzuela</t>
  </si>
  <si>
    <t>2024 IEEE/WIC International Conference on Web Intelligence and Intelligent Agent Technology (WI-IAT)</t>
  </si>
  <si>
    <t>10.1109/WI-IAT62293.2024.00017</t>
  </si>
  <si>
    <t>Instituto Milenio Centro para la Regulación del Genoma</t>
  </si>
  <si>
    <t>GWAS meta-analysis of resistance against Piscirickettsia salmonis in Atlantic salmon</t>
  </si>
  <si>
    <t>Rodrigo Marín-Nahuelpi, Baltasar F Garcia, Agustin Piña-Elgueda, Jousepth Gallardo-Hidalgo, Paulina López, Daniela Cichero, Thomas Moen, Jørgen Ødegård, José M Yáñez</t>
  </si>
  <si>
    <t>Aquaculture</t>
  </si>
  <si>
    <t>0044-8486</t>
  </si>
  <si>
    <t>10.1016/j.aquaculture.2023.740249</t>
  </si>
  <si>
    <t>Comparative Genomics Supports Ecologically Induced Selection as a Putative Driver of Banded Penguin Diversification</t>
  </si>
  <si>
    <t>Fabiola León, Eduardo Pizarro, Daly Noll, Luis R. Pertierra, Patricia Parker, Marcela P. A.  Espinaze, Guillermo Luna-Jorquera, Alejandro Simeone, Esteban Frere, Gisele Dantas, Robin Cristofari, Omar E. Cornejo, Rauri C. K. Bowie, Juliana A. Vianna.</t>
  </si>
  <si>
    <t>Molecular Biology and Evolution</t>
  </si>
  <si>
    <t>0737-4038</t>
  </si>
  <si>
    <t>10.1093/molbev/msae166</t>
  </si>
  <si>
    <t>2024-04-21 00:00:00.000</t>
  </si>
  <si>
    <t>Antecedentes sobre la historia natural de la becacina grande Gallinago stricklandii (Gray 1845): ¿un ave residente en cabo de Hornos?</t>
  </si>
  <si>
    <t>Barroso, O., C. Cañón, F. Novoa, M. J.  Jorquera, S. Luarte Tranamil, R. Jara, R.Vásquez &amp; R. Rozzi.</t>
  </si>
  <si>
    <t>Anales del Instituto de la Patagonia</t>
  </si>
  <si>
    <t xml:space="preserve">10.22352/aip202452004 </t>
  </si>
  <si>
    <t>2024-12-13 00:00:00.000</t>
  </si>
  <si>
    <t>Site-Specific Nutrient Data Reveal the Importance ofSoils in Driving the Mycorrhizal Make-Up of WoodyVegetation Worldwide</t>
  </si>
  <si>
    <t>Xiaobin Hua, Christopher H. Lusk, Ian A. Dickie, Stephen Adu-Bredu, Kathryn J. Allen, Viviana Araus, Laurent Augusto, Pavel Barsukov, David Bauman, Félix Brédoire, David F. R. P. Burslem, James W. Dalling, Leen Depauw, Kyle G. Dexter, Thomas Drouet, John L. Godlee, Roberto Godoy, Rodrigo A. Gutiérrez, Jonathan Ilunga Muledi, Arnaud Jacobs, Robert Kooyman, Claudio Latorre, Jesús López Angulo, Sébastien Macé, Sybryn L. Maes, Francisco Maiato Pedro Gonçalves, Ben Hur Marimon Junior, Manuel Nicolas, Reuben Nilus, Michael O'Brien, Imma Oliveras Menor, Frida I. Piper, Jennifer Read, Glen Reynolds, Alfredo Saldaña, Beatriz Schwantes Marimon, Kris Verheyen, Mark Westoby, Benjamin Wigley, Ian J. Wright</t>
  </si>
  <si>
    <t>Global Ecology and Biogeography</t>
  </si>
  <si>
    <t>1466-822X</t>
  </si>
  <si>
    <t>10.1111/geb.13936</t>
  </si>
  <si>
    <t>2024-12-22 00:00:00.000</t>
  </si>
  <si>
    <t>Genetic Population Structure of Jumbo Squid (Dosidicus gigas) in the Southeastern Ocean and Its Implication for Fisheries Management</t>
  </si>
  <si>
    <t>M. Cecilia Pardo-Gandarillas, Pamela Morales, Jennifer Catalán, Sergio A. Carrasco, Sebastián Hernández, Pablo A. Oyarzún, Rodrigo Wiff, Christian M. Ibáñez</t>
  </si>
  <si>
    <t>Fisheries Management and Ecology</t>
  </si>
  <si>
    <t>0969-997X</t>
  </si>
  <si>
    <t>10.1111/fme.12782</t>
  </si>
  <si>
    <t>Comparative morphology of the rhinarium and upper lip in sigmodontine rodents: Refined nomenclature, intertribal variation in a phylogenetic framework, and functional inferences</t>
  </si>
  <si>
    <t>Ulyses Pardiñas, J. Brito, E. Cuéllar Soto &amp; C. Cañón</t>
  </si>
  <si>
    <t>Journal of Morphology</t>
  </si>
  <si>
    <t>0362-2525</t>
  </si>
  <si>
    <t>10.1002/jmor.21760</t>
  </si>
  <si>
    <t>Roedores nativos de la Reserva de Biosfera Cabo de Hornos en el extremo sur de Chile: avances en su conocimiento y conservación</t>
  </si>
  <si>
    <t>Carola Cañón, O. Barroso, F. Novoa, G. D’Elía, R. Vásquez &amp; R. Rozzi</t>
  </si>
  <si>
    <t xml:space="preserve">10.22352/aip202452007 </t>
  </si>
  <si>
    <t>Perspective of soil carbon sequestration in Chilean volcanic soils</t>
  </si>
  <si>
    <t>Francisco Matus, Osvaldo Salazar, Felipe Aburto, Denisse Zamorano, Francisco Nájera, Radmila Jovanović, Catalina Guerra, Luis Reyes-Rojas, Oscar Seguel, Marco Pfeiffer, José Dörner, Susana Valle, Sergio Radic-Schilling, Efraín Duarte</t>
  </si>
  <si>
    <t>NPJ Materials Sustainability</t>
  </si>
  <si>
    <t>2948-1775</t>
  </si>
  <si>
    <t>10.1038/s44296-024-00038-4</t>
  </si>
  <si>
    <t>Microbial hotspots in a relict fog-dependent Tillandsia landbeckii dune from the coastal Atacama Desert</t>
  </si>
  <si>
    <t>Andrea Jaeschke, S Matthias May, Anna Hakobyan, Ramona Mörchen, Olaf Bubenzer, Stefano M Bernasconi, Enno Schefuß, Dirk Hoffmeister, Claudio Latorre, Martina Gwozdz, Janet Rethemeyer, Claudia Knief</t>
  </si>
  <si>
    <t>Global and Planetary Change</t>
  </si>
  <si>
    <t>0921-8181</t>
  </si>
  <si>
    <t>10.1016/j.gloplacha.2024.104383</t>
  </si>
  <si>
    <t>2024-02-12 00:00:00.000</t>
  </si>
  <si>
    <t>Population dynamics and cultural niche construction during the Late Holocene in a mediterranean ecosystem (central Chile, 32° S− 36° S)</t>
  </si>
  <si>
    <t>Carolina Godoy-Aguirre, Matías Frugone-Álvarez, Eugenia M Gayo, Roberto Campbell, Mauricio Lima, Antonio Maldonado, Claudio Latorre</t>
  </si>
  <si>
    <t>The Holocene</t>
  </si>
  <si>
    <t>0959-6836</t>
  </si>
  <si>
    <t>10.1177/09596836231225722</t>
  </si>
  <si>
    <t>New uses for ancient middens: bridging ecological and evolutionary perspectives</t>
  </si>
  <si>
    <t>Katie M Becklin, Julio L Betancourt, Joseph Braasch, Olivier Dézerald, Francisca P Díaz, Angélica L González, Robert Harbert, Camille A Holmgren, Angela D Hornsby, Claudio Latorre, Marjorie D Matocq, Felisa A Smith</t>
  </si>
  <si>
    <t>Trends in Ecology &amp; Evolution</t>
  </si>
  <si>
    <t>0169-5347</t>
  </si>
  <si>
    <t>10.1016/j.tree.2023.12.003</t>
  </si>
  <si>
    <t>The first peoples of the Atacama Desert lived among the trees: A 11,600-to 11,200-year-old grove and congregation site</t>
  </si>
  <si>
    <t>Paula C Ugalde, Delphine Joly, Claudio Latorre, Eugenia M Gayo, Rafael Labarca, Mikhaela Simunovic, Virginia McRostie, Vance T Holliday, Jay Quade, Calogero M Santoro</t>
  </si>
  <si>
    <t xml:space="preserve">Proceedings of the National Academy of Sciences </t>
  </si>
  <si>
    <t>0027-8424</t>
  </si>
  <si>
    <t>10.1073/pnas.2320506121</t>
  </si>
  <si>
    <t>Evaluating the isotopic composition of leaf organic compounds in fog-dependent Tillandsia landbeckii across the coastal Atacama Desert: Implications for hydroclimate reconstructions at the dry limit</t>
  </si>
  <si>
    <t>Andrea Jaeschke, Christoph Böhm, Jan H Schween, Enno Schefuß, Marcus A Koch, Claudio Latorre, Sergio Contreras, Janet Rethemeyer, Holger Wissel, Andreas Lücke</t>
  </si>
  <si>
    <t>10.1016/j.gloplacha.2024.104393</t>
  </si>
  <si>
    <t>Rhizochemistry and soil bacterial community are tailored to natural stress gradients</t>
  </si>
  <si>
    <t>Thomas Dussarrat, Claudio Latorre, Millena C Barros Santos, Constanza Aguado-Norese, Sylvain Prigent, Francisca P Díaz, Dominique Rolin, Mauricio González, Caroline Müller, Rodrigo A Gutiérrez, Pierre Pétriacq</t>
  </si>
  <si>
    <t>Soil Biology and Biochemistry</t>
  </si>
  <si>
    <t>0038-0717</t>
  </si>
  <si>
    <t>10.1016/j.soilbio.2024.109662</t>
  </si>
  <si>
    <t>Molecular systematics of chinchilla rats and taxonomic assessment of the Abrocoma cinerea species complex</t>
  </si>
  <si>
    <t>Francisco J González-Pinilla, Claudio Latorre, R Eduardo Palma</t>
  </si>
  <si>
    <t>Journal of Mammalogy</t>
  </si>
  <si>
    <t>0022-2372</t>
  </si>
  <si>
    <t>10.1093/jmammal/gyae095</t>
  </si>
  <si>
    <t>2024-11-15 00:00:00.000</t>
  </si>
  <si>
    <t>The extinct Notiomastodon platensis (proboscidea, Gomphoteriidae) inhabited mediterranean ecosystems during the Late Pleistocene in north-central Chile (31° S–36° S)</t>
  </si>
  <si>
    <t>Erwin González-Guarda, Ricardo A Segovia, Matías Valenzuela, Lidiane Asevedo, Natalia Villavicencio, Carlos Tornero, Iván Ramírez-Pedraza, Sebastián Ortega, José Capriles, Rafael Labarca, Claudio Latorre</t>
  </si>
  <si>
    <t>Quaternary Science Reviews</t>
  </si>
  <si>
    <t>0277-3791</t>
  </si>
  <si>
    <t>10.1016/j.quascirev.2024.108957</t>
  </si>
  <si>
    <t>Zebrafish Larvae Microinjection and Automated Fluorescence Microscopy for Studying Klebsiella pneumoniae Infection and the Host Immune Response</t>
  </si>
  <si>
    <t>Matías Gálvez-Silva, Macarena A Varas, Miguel L Allende, Francisco P Chávez, Andrés E Marcoleta</t>
  </si>
  <si>
    <t>Methods in Molecular Biology: Foodborne Bacterial Pathogens</t>
  </si>
  <si>
    <t>10.1007/978-1-0716-4100-2_12</t>
  </si>
  <si>
    <t>Inorganic polyphosphate: from basic research to diagnostic and therapeutic opportunities in ALS/FTD</t>
  </si>
  <si>
    <t>Polett Garcés, Armando Amaro, Martin Montecino, Brigitte van Zundert</t>
  </si>
  <si>
    <t>Biochemical Society Transactions</t>
  </si>
  <si>
    <t>0300-5127</t>
  </si>
  <si>
    <t>10.1042/BST20230257</t>
  </si>
  <si>
    <t>Life on the edge: microbial diversity, resistome, and virulome in soils from the Union Glacier cold desert</t>
  </si>
  <si>
    <t>Patricio Arros, Daniel Palma, Matias Galvez-Silva, Alexis Gaete, Hugo Gonzalez, Gabriela Carrasco, Jose Coche, Ian Perez, Jorge Gallardo-Cerda, Eduardo Castro-Nallar, Cristobal Galban, Macarena A Varas, Marco Campos, Jacqueline Acuna, Milko Jorquera, Francisco P Chavez, Veronica Cambiazo, Andres E Marcoleta</t>
  </si>
  <si>
    <t>Science of the Total Environment</t>
  </si>
  <si>
    <t>10.1016/j.scitotenv.2024.177594</t>
  </si>
  <si>
    <t>Functional redundancy buffers the effect of poly-extreme environmental conditions on Southern African dryland soil microbial communities</t>
  </si>
  <si>
    <t>Sauma Sánchez, Tomás; Alcorta, Jaime; Tamayo-Leiva, Javier; Díez, Beatriz; Bezuidenhout, Hugo; Cowan, Don; Ramond, Jean-Baptiste</t>
  </si>
  <si>
    <t>FEMS Microbiology Ecology</t>
  </si>
  <si>
    <t>10.1093/femsec/fiae157</t>
  </si>
  <si>
    <t>Fabiola León, Eduardo J Pizarro, Daly Noll, Luis R Pertierra, Benito A Gonzalez, Warren E Johnson, Juan Carlos Marín, Juliana A Vianna</t>
  </si>
  <si>
    <t>1759-6653</t>
  </si>
  <si>
    <t>Modeling Spinal Muscular Atrophy in Zebrafish: Current Advances and Future Perspectives</t>
  </si>
  <si>
    <t>David Gonzalez, Constanza Vásquez-Doorman, Adolfo Luna, Miguel L Allende</t>
  </si>
  <si>
    <t>International Journal of Molecular Sciences</t>
  </si>
  <si>
    <t>1661-6596</t>
  </si>
  <si>
    <t>10.3390/ijms25041962</t>
  </si>
  <si>
    <t>Luis R Pertierra, Gilda Varliero, Andrés Barbosa, Elisabeth M Biersma, Peter Convey, Steven L Chown, Don Cowan, Asunción De Los Rios, Pablo Escribano-Alvarez, Diego Fontaneto, Ceridwen Fraser, Mathew Harris, Kevin Hughes, Huw Griffiths, Peter le Roux, Xiaoyue P Liu, Heather Lynch, Roksana Majewska, Pablo A Martinez, Marco Molina-Montenegro, Miguel A Olalla-Tarraga, Lloyd Peck, Antonio Quesada, Cristina Ronquillo, Yan Ropert-Coudert, Leopoldo Sancho, Aleks Terauds, Juliana Vianna, Annick Wilmotte, Joaquín Hortal, Michelle Greve</t>
  </si>
  <si>
    <t>1314-2828</t>
  </si>
  <si>
    <t>10.3897%2FBDJ.12.e106199</t>
  </si>
  <si>
    <t>A novel pectin methylesterase inhibitor, PMEI3, in common bean suggests a key role of pectin methylesterification in Pseudomonas resistance</t>
  </si>
  <si>
    <t>Alfonso G De la Rubia, Asier Largo-Gosens, Ricardo Yusta, Pablo Sepúlveda-Orellana, Aníbal Riveros, María Luz Centeno, Dayan Sanhueza, Claudio Meneses, Susana Saez-Aguayo, Penélope García-Angulo</t>
  </si>
  <si>
    <t>Journal of Experimental Botany</t>
  </si>
  <si>
    <t>0022-0957</t>
  </si>
  <si>
    <t>10.1093/jxb/erad362</t>
  </si>
  <si>
    <t>2024-04-18 00:00:00.000</t>
  </si>
  <si>
    <t>Population structure and connectivity among coastal and freshwater Kelp Gull (Larus dominicanus) populations from Patagonia.</t>
  </si>
  <si>
    <t xml:space="preserve">Kasinsky, T., Rosciano, N., Vianna, J.A. , Yorio, P., Campagna, L. </t>
  </si>
  <si>
    <t>10.1371/journal.pone.0301004</t>
  </si>
  <si>
    <t>Structure and dispersion of the conjugative mobilome in surface ocean bacterioplankton</t>
  </si>
  <si>
    <t>Javier Tamayo-Leiva, Jaime Alcorta, Felipe Sepúlveda, Sebastián Fuentes-Alburquenque, José Ignacio Arroyo, José Eduardo González-Pastor, Beatriz Díez</t>
  </si>
  <si>
    <t>ISME Communications</t>
  </si>
  <si>
    <t>2730-6151</t>
  </si>
  <si>
    <t>10.1093/ismeco/ycae059</t>
  </si>
  <si>
    <t>2024-03-15 00:00:00.000</t>
  </si>
  <si>
    <t>Atmospheric immersion and vacuum impregnation of gallotannins and hydrolysed gallotannins from tara pods (Caesalpinia spinosa) mitigate acrylamide and enhances the antioxidant power in potato chips</t>
  </si>
  <si>
    <t>David Campos, Rosana Chirinos, Paola Huaraca-Espinoza, Ana Aguilar-Galvez, Diego García-Ríos, Franco Pedreschi, Romina Pedreschi</t>
  </si>
  <si>
    <t>Food Chemistry</t>
  </si>
  <si>
    <t>0308-8146</t>
  </si>
  <si>
    <t>10.1016/j.foodchem.2023.137675</t>
  </si>
  <si>
    <t>A First Omics Data Integration Approach in Hass Avocados to Evaluate Rootstock–Scion Interactions: From Aerial and Root Plant Growth to Fruit Development</t>
  </si>
  <si>
    <t>Gerardo Núñez-Lillo, Excequel Ponce, Clemens P Beyer, Juan E Álvaro, Claudio Meneses, Romina Pedreschi</t>
  </si>
  <si>
    <t>Plants</t>
  </si>
  <si>
    <t>2223-7747</t>
  </si>
  <si>
    <t>10.3390/plants13050603</t>
  </si>
  <si>
    <t>Vertically distinct sources modulate stable isotope signatures and distribution of Mesozooplankton in central Patagonia: The Golfo de Penas - Baker Channel connection and analogies with the Beagle Channel</t>
  </si>
  <si>
    <t>Leonardo R Castro, Samuel Soto-Mendoza, Luciana Riccialdelli, María L Presta, Pamela Barrientos, Humberto E González, Giovanni Daneri, Marcelo Gutiérrez, Paulina Montero, Italo Masotti, Beatriz Díez</t>
  </si>
  <si>
    <t>Journal of Marine Systems</t>
  </si>
  <si>
    <t>0924-7963</t>
  </si>
  <si>
    <t>10.1016/j.jmarsys.2023.103892</t>
  </si>
  <si>
    <t>Epigenetic regulators controlling osteogenic lineage commitment and bone formation</t>
  </si>
  <si>
    <t>Parisa Dashti, Eric A Lewallen, Jonathan AR Gordon, Martin A Montecino, James R Davie, Gary S Stein, Johannes PTM van Leeuwen, Bram CJ van der Eerden, Andre J van Wijnen</t>
  </si>
  <si>
    <t>Bone</t>
  </si>
  <si>
    <t>8756-3282</t>
  </si>
  <si>
    <t>10.1016/j.bone.2024.117043</t>
  </si>
  <si>
    <t>Acidithiobacillia class members originating at sites within the Pacific Ring of Fire and other tectonically active locations and description of the novel genus ‘Igneacidithiobacillus’</t>
  </si>
  <si>
    <t>Dilanaz Arisan, Ana Moya-Beltrán, Camila Rojas-Villalobos, Francisco Issotta, Matías Castro, Ricardo Ulloa, Patricia A Chiacchiarini, Beatriz Díez, Alberto JM Martín, Iván Ñancucheo, Alejandra Giaveno, D Barrie Johnson, Raquel Quatrini</t>
  </si>
  <si>
    <t>Frontiers in Microbiology</t>
  </si>
  <si>
    <t>1664-302X</t>
  </si>
  <si>
    <t>10.3389/fmicb.2024.1360268</t>
  </si>
  <si>
    <t>2024-02-29 00:00:00.000</t>
  </si>
  <si>
    <t>Weighted gene co-expression network analysis reveals immune evasion related genes in Echinococcus granulosus sensu stricto</t>
  </si>
  <si>
    <t>Ismael Pereira, Gabriela Prado Paludo, Christian Hidalgo, Caroll Stoore, María Soledad Baquedano, Carolina Cabezas, Martín Cancela, Henrique Bunselmeyer Ferreira, Macarena Bastías, Aníbal Riveros, Claudio Meneses, Leonardo Sáenz, Rodolfo Paredes</t>
  </si>
  <si>
    <t>Experimental Biology and Medicine</t>
  </si>
  <si>
    <t>1535-3702</t>
  </si>
  <si>
    <t>10.3389%2Febm.2024.10126</t>
  </si>
  <si>
    <t>2024-05-08 00:00:00.000</t>
  </si>
  <si>
    <t>Identification of master regulator genes controlling pathogenic CD4+ T cell fate in inflammatory bowel disease through transcriptional network analysis</t>
  </si>
  <si>
    <t>José M Jiménez, J Sebastián Contreras-Riquelme, Pía M Vidal, Carolina Prado, Macarena Bastías, Claudio Meneses, Alberto JM Martín, Tomás Perez-Acle, Rodrigo Pacheco</t>
  </si>
  <si>
    <t>10.1038/s41598-024-61158-4</t>
  </si>
  <si>
    <t>Genomes of the Orestias pupfish from the Andean Altiplano shed light on their evolutionary history and phylogenetic relationships within Cyprinodontiformes</t>
  </si>
  <si>
    <t xml:space="preserve">Pamela Morales, Felipe Gajardo, Camilo Valdivieso, Moisés A. Valladares, Alex Di Genova, Ariel Orellana, Rodrigo A. Gutiérrez, Mauricio González, Martin Montecino, Alejandro Maass, Marco A. Méndez, Miguel L. Allende </t>
  </si>
  <si>
    <t>BMC Genomics</t>
  </si>
  <si>
    <t>1471-2164</t>
  </si>
  <si>
    <t>10.1186/s12864-024-10416-w</t>
  </si>
  <si>
    <t>Phylogenetically diverse wild plant species use common biochemical strategies to thrive in the Atacama Desert</t>
  </si>
  <si>
    <t>Thomas Dussarrat, Ricardo Nilo-Poyanco, Tomás C Moyano, Sylvain Prigent, Tim L Jeffers, Francisca P Díaz, Guillaume Decros, Lauren Audi, Veronica M Sondervan, Bingran Shen, Viviana Araus, Dominique Rolin, Dennis Shasha, Gloria M Coruzzi, Yves Gibon, Claudio Latorre, Pierre Pétriacq, Rodrigo A Gutiérrez</t>
  </si>
  <si>
    <t>10.1093/jxb/erae117</t>
  </si>
  <si>
    <t>2024-05-24 00:00:00.000</t>
  </si>
  <si>
    <t>Effects of Delaying the Storage of ‘Hass’ Avocados under a Controlled Atmosphere on Skin Color, Bioactive Compounds and Antioxidant Capacity</t>
  </si>
  <si>
    <t>Daniela Olivares, Pablo A Ulloa, Cristina Vergara, Ignacia Hernández, Miguel Ángel García-Rojas, Reinaldo Campos-Vargas, Romina Pedreschi, Bruno G Defilippi</t>
  </si>
  <si>
    <t>2227-7390</t>
  </si>
  <si>
    <t>10.3390/plants13111455</t>
  </si>
  <si>
    <t>ANTIHYPERTENSIVE AND ANTIDIABETIC PEPTIDES DERIVED FROM IN SILICO SIMULATED GASTROINTESTINAL DIGESTION OF QUINOA (Chenopodium quinoa) GLOBULINS AND MOLECULAR DOCKING STUDY</t>
  </si>
  <si>
    <t>Rosana Chirinos, Jamerccy Rodriguez-Diaz, Sebastian Anticona, Ana Aguilar-Galvez, Romina Pedreschi, David Campos</t>
  </si>
  <si>
    <t>Quimica Nova</t>
  </si>
  <si>
    <t>0100-4042</t>
  </si>
  <si>
    <t>10.21577/0100-4042.20230126</t>
  </si>
  <si>
    <t>2024-01-25 00:00:00.000</t>
  </si>
  <si>
    <t>An Open One-Step RT-qPCR for SARS-CoV-2 detection</t>
  </si>
  <si>
    <t>Ariel Cerda, Maira Rivera, Grace Armijo, Catalina Ibarra-Henriquez, Javiera Reyes, Paula Blázquez-Sánchez, Javiera Avilés, Aníbal Arce, Aldo Seguel, Alexander J Brown, Yesseny Vásquez, Marcelo Cortez-San Martín, Francisco A Cubillos, Patricia García, Marcela Ferres, César A Ramírez-Sarmiento, Fernán Federici, Rodrigo A Gutiérrez</t>
  </si>
  <si>
    <t>PLOS ONE</t>
  </si>
  <si>
    <t>10.1371/journal.pone.0297081</t>
  </si>
  <si>
    <t>Nitrogen sensing and regulatory networks: It’s about time and space</t>
  </si>
  <si>
    <t>Carly M Shanks, Karin Rothkegel, Matthew D Brooks, Chia-Yi Cheng, José M Alvarez, Sandrine Ruffel, Gabriel Krouk, Rodrigo A Gutiérrez, Gloria M Coruzzi</t>
  </si>
  <si>
    <t>The Plant Cell</t>
  </si>
  <si>
    <t>1040-4651</t>
  </si>
  <si>
    <t>10.1093/plcell/koae038</t>
  </si>
  <si>
    <t>Associations among MHC genes, latitude, and avian malaria infections in the rufous‐collared sparrow (Zonotrichia capensis)</t>
  </si>
  <si>
    <t>Juan Rivero de Aguilar, Omar Barroso, Elisa Bonaccorso, Hector Cadena, Lucas Hussing, Josefina Jorquera, Javier Martinez, Josué Martínez‐de la Puente, Alfonso Marzal, Fabiola León Miranda, Santiago Merino, Nubia E Matta, Marilyn Ramenofsky, Ricardo Rozzi, Carlos E Valeris‐Chacín, Rodrigo A Vásquez, Juliana A Vianna, John C Wingfield</t>
  </si>
  <si>
    <t>Knockdown of tgfb1a partially improves ALS phenotype in a transient zebrafish model</t>
  </si>
  <si>
    <t>David Gonzalez, Xiomara Cuenca, Miguel L Allende</t>
  </si>
  <si>
    <t>Frontiers in Cellular Neuroscience</t>
  </si>
  <si>
    <t>1662-5102</t>
  </si>
  <si>
    <t>10.3389/fncel.2024.1384085</t>
  </si>
  <si>
    <t>2024-01-19 00:00:00.000</t>
  </si>
  <si>
    <t>Hox genes control homocercal caudal fin development and evolution</t>
  </si>
  <si>
    <t>Nicolás Cumplido, Gloria Arratia, Thomas Desvignes, Salome Muñoz-Sánchez, John H. Postlethwait, Miguel L. Allende</t>
  </si>
  <si>
    <t>Science Advances</t>
  </si>
  <si>
    <t>2375-2548</t>
  </si>
  <si>
    <t>10.1126/sciadv.adj5991</t>
  </si>
  <si>
    <t>Direct impact of COVID-19 vaccination in Chile: averted cases, hospitalizations, ICU admissions, and deaths</t>
  </si>
  <si>
    <t>Antoine Brault, Andrew Hart, Paula Uribe, Jorge Prado, Jaime San Martin, Alejandro Maass, Mauricio Canals</t>
  </si>
  <si>
    <t>BMC Infectious Diseases</t>
  </si>
  <si>
    <t>1471-2334</t>
  </si>
  <si>
    <t>10.1186/s12879-024-09304-1</t>
  </si>
  <si>
    <t>2024-03-31 00:00:00.000</t>
  </si>
  <si>
    <t>The inhibition of N2 fixation by nitrogen is attenuated by the P supply, altering the plant metabolism</t>
  </si>
  <si>
    <t>Ricardo A Cabeza, Joachim Schulze, Sebastian Salinas-Roco, Amanda Morales-González, Ramón Amigo, Ricardo Pérez-Díaz, Basilio Carrasco, Rodrigo Contreras-Soto, Carlos Maldonado, Romina Pedreschi, Soledad Espinoza, Alejandro del Pozo</t>
  </si>
  <si>
    <t>Environmental and Experimental Botany</t>
  </si>
  <si>
    <t xml:space="preserve">0098-8472 </t>
  </si>
  <si>
    <t>10.1016/j.envexpbot.2024.105762</t>
  </si>
  <si>
    <t>2024-01-24 00:00:00.000</t>
  </si>
  <si>
    <t>Variovorax sp. strain P1R9 applied individually or as part of bacterial consortia enhances wheat germination under salt stress conditions</t>
  </si>
  <si>
    <t>Jacquelinne J Acuña, Joaquin I Rilling, Nitza G Inostroza, Qian Zhang, Lukas Y Wick, Angela Sessitsch, Milko A Jorquera</t>
  </si>
  <si>
    <t>1437-7624</t>
  </si>
  <si>
    <t>10.1038/s41598-024-52535-0</t>
  </si>
  <si>
    <t>2024-02-20 00:00:00.000</t>
  </si>
  <si>
    <t>Are threatened seabird colonies of the pacific ocean genetically vulnerable? The case of the red-tailed tropicbird, Phaethon rubricauda, as a model species</t>
  </si>
  <si>
    <t>Andrea I Varela, Katherina Brokordt, Juliana A Vianna, María José Frugone, Stefanie MH Ismar-Rebitz, Chris P Gaskin, Nicholas Carlile, Terence O’Dwyer, Josh Adams, Eric A VanderWerf, Guillermo Luna-Jorquera</t>
  </si>
  <si>
    <t>0960-3115</t>
  </si>
  <si>
    <t>10.1007/s10531-024-02791-3</t>
  </si>
  <si>
    <t>Metabolite profiling and hormone analysis of the synchronized exocarp-mesocarp development during ripening of cv.‘Fuerte’and ‘Hass’ avocado fruits</t>
  </si>
  <si>
    <t>Patricio Olmedo, Gerardo Núñez-Lillo, Excequel Ponce, Juan Eugenio Alvaro, Jorge Baños, Esther Carrera, Jorge González-Fernández, José Ignacio Hormaza, David Campos, Rosana Chirinos, Reinaldo Campos-Vargas, Bruno Giorgio Defilippi, Encarna Aguayo, Romina Pedreschi</t>
  </si>
  <si>
    <t>Food Bioscience</t>
  </si>
  <si>
    <t>2212-4292</t>
  </si>
  <si>
    <t>10.1016/j.fbio.2024.104454</t>
  </si>
  <si>
    <t>Exploring the molecular basis of diapause I induction in the annual killifish Garcialebias charrua: a transcriptomic approach</t>
  </si>
  <si>
    <t xml:space="preserve">N. G. Papa, J. Sotelo-Silveira, L. Inchausti, C. Valdivieso, L. Pereiro, F. Gajardo, A. Di Genova, A. Glavic, C. Chalar, N. Berois, Miguel L. Allende, Maria Jose Arezo </t>
  </si>
  <si>
    <t>Environmental Biology of Fishes</t>
  </si>
  <si>
    <t>0378-1909</t>
  </si>
  <si>
    <t>10.1007/s10641-024-01562-x</t>
  </si>
  <si>
    <t>Biosynthetic gene clusters from uncultivated soil bacteria of the Atacama Desert</t>
  </si>
  <si>
    <t>Constanza M. Andreani-Gerard, Verónica Cambiazo, Mauricio González</t>
  </si>
  <si>
    <t>mSphere</t>
  </si>
  <si>
    <t>2379-5042</t>
  </si>
  <si>
    <t>10.1128/msphere.00192-24</t>
  </si>
  <si>
    <t>Uncovering phytochemicals quantitative evolution in avocado fruit mesocarp during ripening: A targeted LC-MS metabolic exploration of Hass, Fuerte and Bacon varieties</t>
  </si>
  <si>
    <t xml:space="preserve">Irene Serrano-García, Carlos Saavedra Morillas , María Gemma Beiro-Valenzuela , Romina Monasterio, Elena Hurtado-Fernandez, Jose Jorge Gonzalez-Fernandez, Jose Ignacio Hormaza, Romina Pedreschi, Lucía Olmo-García. Alegría Carrasco-Pancorbo </t>
  </si>
  <si>
    <t>10.1016/j.foodchem.2024.140334</t>
  </si>
  <si>
    <t>Analysis of Maillard reaction precursors and secondary metabolites in Chilean potatoes and neoformed contaminants during frying</t>
  </si>
  <si>
    <t>Diego García-Ríos, Ignacia Hernández, Juan E. Alvaro, Franco Pedreschi, David Campos, Anita Behn, Romina Pedreschi</t>
  </si>
  <si>
    <t>10.1016/j.foodchem.2024.140478</t>
  </si>
  <si>
    <t>2024-07-05 00:00:00.000</t>
  </si>
  <si>
    <t>Diversity and functionality of soil prokaryotic communities in Antarctic volcanic soils: insights from penguin‑influenced environments.</t>
  </si>
  <si>
    <t>Diego Segura, Karen Jordaan, Beatriz Díez, Javier Tamayo‑Leiva, Sebastian Doetterl, Daniel Wasner, Jerónimo Cifuentes‑Anticevic, Angélica Casanova‑Katny</t>
  </si>
  <si>
    <t>Polar Biology</t>
  </si>
  <si>
    <t>0722-4060</t>
  </si>
  <si>
    <t>2024-08-23 00:00:00.000</t>
  </si>
  <si>
    <t>Adaptation strategies of giant viruses to low-temperature marine ecosystems</t>
  </si>
  <si>
    <t>Marianne Buscaglia, José Luis Iriarte, Frederik Schulz, Beatriz Díez</t>
  </si>
  <si>
    <t>The ISME Journal</t>
  </si>
  <si>
    <t>2349-5537</t>
  </si>
  <si>
    <t>10.1093/ismejo/wrae162</t>
  </si>
  <si>
    <t>2024-10-09 00:00:00.000</t>
  </si>
  <si>
    <t>Conventional and ultrasound-assisted extractions of protein from sacha inchi (Plukenetia volubilis) and their impact on the physicochemical and structural characteristics</t>
  </si>
  <si>
    <t>Rosana Chirinos, Romina Scharff-Salinas, Jamerccy Rodriguez-Diaz, Andres Figueroa-Merma , Ana Aguilar-Galvez, Fanny Guzman, Ingrid Contardo, Romina Pedreschi, David Campos</t>
  </si>
  <si>
    <t>Applied Food Research</t>
  </si>
  <si>
    <t>2772-5022</t>
  </si>
  <si>
    <t>10.1016/j.afres.2024.100545</t>
  </si>
  <si>
    <t>A geometric framework for asymtoticity and expansivity in topological dynamics</t>
  </si>
  <si>
    <t>Sebastián Donoso, Alejandro Maass, Samuel Petite</t>
  </si>
  <si>
    <t>Transactions of the AMS</t>
  </si>
  <si>
    <t>0002-9947</t>
  </si>
  <si>
    <t>10.1090/tran/9269</t>
  </si>
  <si>
    <t>2024-08-15 00:00:00.000</t>
  </si>
  <si>
    <t>Effects of sustainable agricultural practices on soil microbial diversity, composition, and functions</t>
  </si>
  <si>
    <t>Pedro Mondaca, Juan L Celis-Diez, Pablo Díaz-Siefer, Natalia Olmos-Moya, Fernanda Montero-Silva, Sofía Molina, Francisco E Fontúrbel, Humberto Aponte, Dinka Mandakovic, Brynelly Bastidas, Eduardo C Arellano, Blas Lavandero, Marcela Carvajal, Aurora Gaxiola</t>
  </si>
  <si>
    <t>Agriculture, Ecosystems &amp; Environment</t>
  </si>
  <si>
    <t>0167-8809</t>
  </si>
  <si>
    <t>10.1016/j.agee.2024.109053</t>
  </si>
  <si>
    <t>The Characterization of a Novel PrMADS11 Transcription Factor from Pinus radiata Induced Early in Bent Pine Stem</t>
  </si>
  <si>
    <t>Tamara Méndez, Joselin Guajardo, Nicolás Cruz, Rodrigo A Gutiérrez, Lorena Norambuena, Andrea Vega, María A Moya-León, Raúl Herrera</t>
  </si>
  <si>
    <t>10.3390/ijms25137245</t>
  </si>
  <si>
    <t>Identification of bacteria in potential mutualism with toxic Alexandrium catenella in Chilean Patagonian fjords by in vitro and field monitoring</t>
  </si>
  <si>
    <t>Kyoko Yarimizu, Jorge I Mardones, Javier Paredes-Mella, Ishara Uhanie Perera, So Fujiyoshi, Gonzalo Fuenzalida, Jacquelinne J Acuña, Tay Ruiz-Gil, Marco Campos, Joaquin-Ignacio Rilling, Pedro Calabrano Miranda, Jonnathan Vilugrón, Oscar Espinoza-González, Leonardo Guzmán, Satoshi Nagai, Milko A Jorquera, Fumito Maruyama</t>
  </si>
  <si>
    <t>10.1371/journal.pone.0301343</t>
  </si>
  <si>
    <t>A retrospective study suggests 55 days of persistence of SARS-CoV-2 during the first wave of the pandemic in Santiago de Chile</t>
  </si>
  <si>
    <t>Claudio Acuña-Castillo, Mabel Vidal, Eva Vallejos-Vidal, Roberto Luraschi, Carlos Barrera-Avalos, Ailen Inostroza-Molina, Sonia Molina-Cabrera, Daniel Valdes, Kevin Maisey, Mónica Imarai, Rodrigo Vera, Sergio Vargas, Leonel E Rojo, Elías Leiva-Salcedo, Alejandro Escobar, Sebastián Reyes-Cerpa, Alexis Gaete, Ricardo Palma-Vejares, Dante Travisany, Claudio Torres, Felipe E Reyes-López, Ana María Sandino</t>
  </si>
  <si>
    <t>Helyon</t>
  </si>
  <si>
    <t>2405-8440</t>
  </si>
  <si>
    <t>10.1016/j.heliyon.2024.e24419</t>
  </si>
  <si>
    <t>Multiple antibiotic resistance and herbicide catabolic profiles of bacteria isolated from Lake Villarrica surface sediments (Chile)</t>
  </si>
  <si>
    <t>Milko A Jorquera, Jacquelinne J Acuña, Nicole Huerta, Junhong Bai, Ling Zhang, Rong Xiao, Michael J Sadowsky</t>
  </si>
  <si>
    <t>Environmental Pollution</t>
  </si>
  <si>
    <t>0269-7491</t>
  </si>
  <si>
    <t>10.1016/j.envpol.2024.124538</t>
  </si>
  <si>
    <t>2024-06-12 00:00:00.000</t>
  </si>
  <si>
    <t>Mycelia Migratory Bacteria in Compost and Compost–Amended Rhizosphere Soil in a Table Grape Orchard</t>
  </si>
  <si>
    <t>Susett Gonzalez–Gonzalez, Qian Zhag, Jacquelinne J Acuña, Michael J Sadowsky, Lukas Y Wick, Milko A Jorquera</t>
  </si>
  <si>
    <t>Journal of Soil Science and Plant Nutrition</t>
  </si>
  <si>
    <t>0718-9508</t>
  </si>
  <si>
    <t>10.1007/s42729-024-01862-2</t>
  </si>
  <si>
    <t>2024-01-15 00:00:00.000</t>
  </si>
  <si>
    <t>Modelling the softening behaviour of Chilean ‘Hass’ avocado destined to local and distant markets</t>
  </si>
  <si>
    <t>Romina Pedreschi, Ignacia Hernández, Claudia Fuentealba, Bruno Defilippi, Reinaldo Campos-Vargas, Claudio Meneses, Maarten Hertog</t>
  </si>
  <si>
    <t>Acta Horticulturae</t>
  </si>
  <si>
    <t>10.17660/ActaHortic.2024.1386.6</t>
  </si>
  <si>
    <t>Deciphering the behind blackspot exocarp disorder in avocado cv. Hass through a hormonal, transcriptional and metabolic integration approach</t>
  </si>
  <si>
    <t>Gerardo Núñez-Lillo, Ignacia Hernández, Patricio Olmedo, Excequel Ponce, Camila Arancibia-Guerra, Laura Sepulveda, Alegría Carrasco-Pancorbo, María Gemma Beiro-Valenzuela, Esther Carrera, Jorge Baños, David Campos, Claudio Meneses, Romina Pedreschi</t>
  </si>
  <si>
    <t>Postharvest Biology &amp; Technology</t>
  </si>
  <si>
    <t>0925-5214</t>
  </si>
  <si>
    <t>10.1016/j.postharvbio.2024.113163</t>
  </si>
  <si>
    <t>Fruit sugar hub: gene regulatory network associated with soluble solids content (SSC) in Prunus persica</t>
  </si>
  <si>
    <t>Gerardo Núñez‑Lillo, Victoria Lillo‑Carmona, Alonso G. Pérez‑Donoso, Romina Pedreschi, Reinaldo Campos‑Vargas, Claudio Meneses</t>
  </si>
  <si>
    <t>Biological Research</t>
  </si>
  <si>
    <t>0716-9760</t>
  </si>
  <si>
    <t>10.1186/s40659-024-00539-5</t>
  </si>
  <si>
    <t>Dynamic changes in mRNA nucleocytoplasmic localization in the nitrate response of Arabidopsis roots</t>
  </si>
  <si>
    <t>Alejandro Fonseca, Eleodoro Riveras, Tomás C Moyano, José M Alvarez, Stefanie Rosa, Rodrigo A Gutiérrez</t>
  </si>
  <si>
    <t>Plant, Cell &amp; Environment</t>
  </si>
  <si>
    <t>0140-7791</t>
  </si>
  <si>
    <t>10.1111/pce.15018</t>
  </si>
  <si>
    <t>Recent advances in local and systemic nitrate signaling in Arabidopsis thaliana</t>
  </si>
  <si>
    <t>Laura D Delgado, Valentina Nunez-Pascual, Eleodoro Riveras, Sandrine Ruffel, Rodrigo A Gutiérrez</t>
  </si>
  <si>
    <t>Current Opinion in Plant Biology</t>
  </si>
  <si>
    <t>1369-5266</t>
  </si>
  <si>
    <t>10.1016/j.pbi.2024.102605</t>
  </si>
  <si>
    <t>2024-06-26 00:00:00.000</t>
  </si>
  <si>
    <t>Roberto F Nespolo, Julian F Quintero-Galvis, Francisco E Fontúrbel, Francisco A Cubillos, Juliana Vianna, Paulo Moreno-Meynard, Enrico L Rezende, Francisco Bozinovic</t>
  </si>
  <si>
    <t>Proceedings B</t>
  </si>
  <si>
    <t>0962-8452</t>
  </si>
  <si>
    <t>A multicenter genomic epidemiological investigation in Brazil, Chile, and Mexico reveals the diversity and persistence of Salmonella populations in surface waters</t>
  </si>
  <si>
    <t>Zhao Chen, Andrea I Moreno-Switt, Angelica Reyes-Jara, Enrique Delgado Suarez, Aiko D Adell, Celso José Bruno Oliveira, Raquel Regina Bonelli, Xinyang Huang, Eric Brown, Marc Allard, Christopher Grim, Rebecca Bell, Jianghong Meng, Magaly Toro</t>
  </si>
  <si>
    <t>mBio</t>
  </si>
  <si>
    <t>2150-7511</t>
  </si>
  <si>
    <t>10.1128/mbio.00777-24</t>
  </si>
  <si>
    <t>2024-05-02 00:00:00.000</t>
  </si>
  <si>
    <t>Unveiling the genomic landscape of Salmonella enterica serotypes Typhimurium, Newport, and Infantis in Latin American surface waters: a comparative analysis</t>
  </si>
  <si>
    <t>Zhao Chen, Magaly Toro, Andrea I Moreno-Switt, Aiko D Adell, Enrique J Delgado-Suárez, Raquel R Bonelli, Celso JB Oliveira, Angélica Reyes-Jara, Xinyang Huang, Brett Albee, Christopher J Grim, Marc Allard, Sandra M Tallent, Eric W Brown, Rebecca L Bell, Jianghong Meng</t>
  </si>
  <si>
    <t>10.1128/spectrum.00047-24</t>
  </si>
  <si>
    <t>Genomic characterisation of the population structure and antibiotic resistance of Salmonella enterica serovar Infantis in Chile, 2009–2022</t>
  </si>
  <si>
    <t>Alejandro Piña-Iturbe, Constanza Díaz-Gavidia, Francisca P Álvarez, Rocio Barron-Montenegro, Diana M Álvarez-Espejo, Patricia García, Doina Solís, Rodrigo Constenla-Albornoz, Magaly Toro, Jorge Olivares-Pacheco, Angélica Reyes-Jara, Jianghong Meng, Rebecca L Bell, Andrea I Moreno-Switt</t>
  </si>
  <si>
    <t>The Lancet Regional Health Americas</t>
  </si>
  <si>
    <t>2667-193X</t>
  </si>
  <si>
    <t>10.1016/j.lana.2024.100711</t>
  </si>
  <si>
    <t>Impact of salmon farming in the antibiotic resistance and structure of marine bacterial communities from surface seawater of a northern Patagonian area of Chile</t>
  </si>
  <si>
    <t>Javiera Ortiz-Severín, Christian Hodar, Camila Stuardo, Constanza Aguado-Norese, Felipe Maza, Mauricio González, Verónica Cambiazo</t>
  </si>
  <si>
    <t>10.1186/s40659-024-00556-4.</t>
  </si>
  <si>
    <t>Nakazawaea atacamensis f.a., sp. nov. a novel non-conventional fermentative ascomycetous yeast species from the Atacama Desert</t>
  </si>
  <si>
    <t>Araya M, Villarreal P, Moyano T, Santos AR, Díaz FP, Bustos-Jarufe A, Urbina K, Del Pino J, Goenewald M, Gutiérrez RA, Rosa C, Cubillos F</t>
  </si>
  <si>
    <t>Yeast</t>
  </si>
  <si>
    <t>0749-503X</t>
  </si>
  <si>
    <t>10.1002/yea.3920</t>
  </si>
  <si>
    <t>2024-02-25 00:00:00.000</t>
  </si>
  <si>
    <t>Pathogen profile of Baiyangdian Lake sediments using metagenomic analysis and their correlation with environmental factors</t>
  </si>
  <si>
    <t>Rong Xiao, Yanping Hu, Yaping Wang, Junming Li, Congling Guo, Junhong Bai, Ling Zhang, Kegang Zhang, Milko A Jorquera, Jacquelinne J Acuña, Wenbin Pan</t>
  </si>
  <si>
    <t>Science Of The Total Environment</t>
  </si>
  <si>
    <t>10.1016/j.scitotenv.2023.169628</t>
  </si>
  <si>
    <t>Structural insights into a functional unit from an immunogenic mollusk hemocyanin</t>
  </si>
  <si>
    <t>Sebastián M Muñoz, Gabriel Vallejos-Baccelliere, Augusto Manubens, Michelle L Salazar, Andrey FZ Nascimento, Patricio Tapia-Reyes, Claudio Meneses, Andre LB Ambrosio, María Inés Becker, Victoria Guixé, Victor Castro-Fernandez</t>
  </si>
  <si>
    <t>Structure</t>
  </si>
  <si>
    <t>0969-2126</t>
  </si>
  <si>
    <t>10.1016/j.str.2024.02.018</t>
  </si>
  <si>
    <t>Discovery of functional PRRs for the fungal elicitor Xyn11/eix in Prunus fruit trees</t>
  </si>
  <si>
    <t>Andree Alvarez, Uri Aceituno-Valenzuela, Meirav Leibman-Markus, Daniela Muñoz, Carlos Rubilar, Franco Figueroa, Manuel Pinto, Mauricio Latorre, Claudia Stange, Adi Avni, Maya Bar, Lorena Pizarro</t>
  </si>
  <si>
    <t>Plant Stress</t>
  </si>
  <si>
    <t>2667-064X</t>
  </si>
  <si>
    <t>10.1016/j.stress.2024.100567</t>
  </si>
  <si>
    <t>Instituto Milenio de Astrofísica</t>
  </si>
  <si>
    <t>The One-hundred-deg2 DECam Imaging in Narrowbands (ODIN): Survey Design and Science Goals</t>
  </si>
  <si>
    <t xml:space="preserve">Lee, Kyoung-Soo;  Gawiser, Eric;  Park, Changbom;  Yang, Yujin ; Valdes, Francisco;  Lang, Dustin;  Ramakrishnan, Vandana;  Moon, Byeongha; Firestone, Nicole;  Appleby, Stephen;  Artale, Maria Celeste;  Andrews, Moira; Bauer, Franz;  Benda, Barbara ;  Broussard, Adam ;  Chiang, Yi-Kuan;  Ciardullo, Robin; Dey, Arjun;  Farooq, Rameen ;  Gronwall, Caryl;  Guaita, Lucia;  Huang, Yun; Hwang, Ho Seong;  Im, Sang Hyeok;  Jeong, Woong-Seob;  Karthikeyan, Shreya; Kim, Hwihyun;  Kim, Seongjae;  Kumar, Ankit;  Nagaraj, Gautam R.;  Nantais, Julie; Padilla, Nelson;  Park, Jaehong;  Pope, Alexandra;  Popescu, Roxana; Schlegel, David;  Seo, Eunsuk;  Singh, Akriti ;  Song, Hyunmi;  Troncoso, Paulina; Vivas, A. Katherina;  Zabludoff, Ann;  Zenteno, Alfredo </t>
  </si>
  <si>
    <t>10.3847/1538-4357/ad165e</t>
  </si>
  <si>
    <t>Designing an Optimal Kilonova Search Using DECam for Gravitational-wave Events</t>
  </si>
  <si>
    <t>Bom, C. R.; Annis, J.; Garcia, A.; Palmese, A.; Sherman, N.; Soares-Santos, M.; Santana-Silva, L.; Morgan, R.; Bechtol, K.; Davis, T.; Diehl, H. T.; Allam, S. S.; Bachmann, T. G.; Fraga, B. M. O.; García-Bellido, J.; Gill, M. S. S.; Herner, K.; Kilpatrick, C. D.; Makler, M.; Olivares E., F.; Pereira, M. E. S.; Pineda, J.; Santos, A.; Tucker, D. L.; Wiesner, M. P.; Aguena, M.; Alves, O.; Bacon, D.; Bernardinelli, P. H.; Bertin, E.; Bocquet, S.; Brooks, D.; Carrasco Kind, M.; Carretero, J.; Conselice, C.; Costanzi, M.; da Costa, L. N.; De Vicente, J.; Desai, S.; Doel, P.; Everett, S.; Ferrero, I.; Frieman, J.; Gatti, M.; Gerdes, D. W.; Gruen, D.; Gruendl, R. A.; Gutierrez, G.; Hinton, S. R.; Hollowood, D. L.; Honscheid, K.; James, D. J.; Kuehn, K.; Kuropatkin, N.; Melchior, P.; Mena-Fernández, J.; Menanteau, F.; Pieres, A.; Plazas Malagón, A. A.; Raveri, M.; Rodriguez-Monroy, M.; Sanchez, E.; Santiago, B.; Sevilla-Noarbe, I.; Smith, M.; Suchyta, E.; Swanson, M. E. C.; Tarle, G.; To, C.; Weaverdyck, N.</t>
  </si>
  <si>
    <t>10.3847/1538-4357/ad0462</t>
  </si>
  <si>
    <t>Pulsation in TESS Objects of Interest</t>
  </si>
  <si>
    <t>Gomes, R. L.; Canto Martins, B. L.;  Fontinele, D. O.;  Almeida, L. A.; Freire, R. Alves;  Brito, A. C.;  de Amorim, R. G. S. B.;  Ferreira Lopes, C. E.; Hazarika, D.;  Janot-Pacheco, E.;  Leão, I. C.;  Messias, Y. S.;  Souza, R. A. A.; De Medeiros, J. R.</t>
  </si>
  <si>
    <t>10.3847/1538-4357/ad0b0a</t>
  </si>
  <si>
    <t>The Extended [C II] under Construction? Observation of the Brightest High-z Lensed Star-forming Galaxy at z = 6.2</t>
  </si>
  <si>
    <t>Yoshinobu Fudamoto, Akio K. Inoue, Dan Coe, Brian Welch, Ana Acebron, Massimo Ricotti, Nir Mandelker, Rogier A. Windhorst, Xinfeng Xu, Yuma Sugahara, Franz E. Bauer, Maruša Bradač, Larry D. Bradley, Jose M. Diego, Michael Florian, Brenda Frye, Seiji Fujimoto, Takuya Hashimoto, Alaina Henry, Guillaume Mahler, Pascal A. Oesch, Swara Ravindranath, Jane Rigby, Keren Sharon, Victoria Strait, Yoichi Tamura, Michele Trenti, Eros Vanzella, Erik Zackrisson, and Adi Zitrin.</t>
  </si>
  <si>
    <t>10.3847/2041-8213/ad20e8</t>
  </si>
  <si>
    <t>The GAPS programme at TNG. L. TOI-4515 b: An eccentric warm Jupiter orbiting a 1.2 Gyr-old G-star</t>
  </si>
  <si>
    <t>Carleo, I.;  Malavolta, L.;  Desidera, S.;  Nardiello, D.;  Wang, S.;  Turrini, D. ; Lanza, A. F.;  Baratella, M.;  Marzari, F. ;  Benatti, S.;  Biazzo, K.;  Bieryla, A. ; Brahm, R. ;  Bonavita, M. ;  Collins, K. A. ;  Hellier, C. ;  Locci, D. ;  Hobson, M. J. ;  Maggio, A. ; Mantovan, G.;  Messina, S. ;  Pinamonti, M.;  Rodriguez, J. E. ;  Sozzetti, A. ;  Stassun, K.; Wang, X. Y. ;  Ziegler, C. ;  Damasso, M. ;  Giacobbe, P. ;  Murgas, F.;  Parviainen, H. ; Andreuzzi, G.;  Barkaoui, K.;  Berlind, P. ;  Bignamini, A.;  Borsa, F. ;  Briceño, C. ; Brogi, M. ;  Cabona, L. ;  Calkins, M. L. ;  Capuzzo-Dolcetta, R. ;  Cecconi, M. ;  Colon, K. D. ; Cosentino, R. ;  Dragomir, D.;  Esquerdo, G. A. ;  Henning, T. ;  Ghedina, A. ;  Goeke, R. F. ; Gratton, R. ;  Horta, F. Grau;  Gupta, A. F. ;  Jenkins, J. M.;  Jordán, A. ;  Knapic, C.; Latham, D. W.;  Mireles, I. ;  Law, N. ;  Lorenzi, V. ;  Lund, M. B. ;  Maldonado, J.; Mann, A. W.;  Molinari, E. ;  Pallé, E. ;  Paegert, M. ;  Pedani, M. ;  Quinn, S. N. ; Scandariato, G.;  Seager, S. ;  Winn, J. N.;  Wohler, B. ;  Zingales, T.</t>
  </si>
  <si>
    <t>A135</t>
  </si>
  <si>
    <t>10.1051/0004-6361/202348207</t>
  </si>
  <si>
    <t>The Influence of Cold Jupiters in the Formation of Close-in Planets. I. Planetesimal Transport</t>
  </si>
  <si>
    <t>Best, Marcy; Sefilian, Antranik A.; Petrovich, Cristobal</t>
  </si>
  <si>
    <t>10.3847/1538-4357/ad0965</t>
  </si>
  <si>
    <t>Discovery of star systems at the merger limit by large astronomical surveys</t>
  </si>
  <si>
    <t>Christopoulou, P. -E.;  Lalounta, E. ;  Papageorgiou, A. ;  Ferreira Lopes, C. E. ;  Catelan, M. ; Drake, A. J.</t>
  </si>
  <si>
    <t>Contributions of the Astronomical Observatory Skalnaté Pleso</t>
  </si>
  <si>
    <t>1335-1842</t>
  </si>
  <si>
    <t>10.31577/caosp.2024.54.2.249</t>
  </si>
  <si>
    <t>2024-01-11 00:00:00.000</t>
  </si>
  <si>
    <t>The SOPHIE search for northern extrasolar planets. XIX. A system including a cold sub-Neptune potentially transiting a V = 6.5 star HD 88986</t>
  </si>
  <si>
    <t>Heidari, N.; Boisse, I.; Hara, N. C.; Wilson, T. G.; Kiefer, F.; Hébrard, G.; Philipot, F.; Hoyer, S.; Stassun, K. G.; Henry, G. W.; Santos, N. C.; Acuña, L.; Almasian, D.; Arnold, L.; Astudillo-Defru, N.; Attia, O.; Bonfils, X.; Bouchy, F.; Bourrier, V.; Collet, B.; Cortés-Zuleta, P.; Carmona, A.; Delfosse, X.; Dalal, S.; Deleuil, M.; Demangeon, O. D. S.; Díaz, R. F.; Dumusque, X.; Ehrenreich, D.; Forveille, T.; Hobson, M. J.; Jenkins, J. S.; Jenkins, J. M.; Lagrange, A. M.; Latham, D. W.; Larue, P.; Liu, J.; Moutou, C.; Mignon, L.; Osborn, H. P.; Pepe, F.; Rapetti, D.; Rodrigues, J.; Santerne, A.; Segransan, D.; Shporer, A.; Sulis, S.; Torres, G.; Udry, S.; Vakili, F.; Vanderburg, A.; Venot, O.; Vivien, H. G.; Vines, J. I.</t>
  </si>
  <si>
    <t>A55</t>
  </si>
  <si>
    <t>10.1051/0004-6361/202347897</t>
  </si>
  <si>
    <t>Strong Carbon Features and a Red Early Color in the Underluminous Type Ia SN 2022xkq</t>
  </si>
  <si>
    <t>Pearson, Jeniveve; Sand, David J.; Lundqvist, Peter; Galbany, Lluís; Andrews, Jennifer E.; Bostroem, K. Azalee; Dong, Yize; Hoang, Emily; Hosseinzadeh, Griffin; Janzen, Daryl; Jencson, Jacob E.; Lundquist, Michael J.; Mehta, Darshana; Meza Retamal, Nicolás; Shrestha, Manisha; Valenti, Stefano; Wyatt, Samuel; Anderson, Joseph P.; Ashall, Chris; Auchettl, Katie; Baron, Eddie; Blondin, Stéphane; Burns, Christopher R.; Cai, Yongzhi; Chen, Ting-Wan; Chomiuk, Laura; Coulter, David A.; Cross, Dane; Davis, Kyle W.; de Jaeger, Thomas; DerKacy, James M.; Desai, Dhvanil D.; Dimitriadis, Georgios; Do, Aaron; Farah, Joseph R.; Foley, Ryan J.; Gromadzki, Mariusz; Gutiérrez, Claudia P.; Haislip, Joshua; González Hernández, Jonay I.; Hinkle, Jason T.; Hoogendam, Willem B.; Howell, D. Andrew; Hoeflich, Peter; Hsiao, Eric; Huber, Mark E.; Jha, Saurabh W.; Jiménez Palau, Cristina; Kilpatrick, Charles D.; Kouprianov, Vladimir; Kumar, Sahana; Kwok, Lindsey A.; Larison, Conor; LeBaron, Natalie; Le Saux, Xavier; Lu, Jing; McCully, Curtis; Mera Evans, Tycho; Milne, Peter; Modjaz, Maryam; Morrell, Nidia; Müller-Bravo, Tomás E.; Newsome, Megan; Nicholl, Matt; Padilla Gonzalez, Estefania; Payne, Anna V.; Pellegrino, Craig; Phan, Kim; Pineda-García, Jonathan; Piro, Anthony L.; Piscarreta, Lara; Polin, Abigail; Reichart, Daniel E.; Rojas-Bravo, César; Ryder, Stuart D.; Salmaso, Irene; Schwab, Michaela; Shahbandeh, Melissa; Shappee, Benjamin J.; Siebert, Matthew R.; Smith, Nathan; Strader, Jay; Taggart, Kirsty; Terreran, Giacomo; Tinyanont, Samaporn; Tucker, M. A.; Valerin, Giorgio; Young, D. R.</t>
  </si>
  <si>
    <t>10.3847/1538-4357/ad0153</t>
  </si>
  <si>
    <t>A benchmark white dwarf-ultracool dwarf wide field binary</t>
  </si>
  <si>
    <t>Ferreira, Thiago; Saito, Roberto K.; Minniti, Dante; Mejías, Andrea; Caceres, Claudio; Alonso-García, Javier; Beamín, Juan Carlos; Smith, Leigh C.; Gomez, Matías; Lucas, Philip W.; Ivanov, Valentin D.</t>
  </si>
  <si>
    <t>10.1093/mnras/stad3911</t>
  </si>
  <si>
    <t>2024-01-31 00:00:00.000</t>
  </si>
  <si>
    <t>Nine lensed quasars and quasar pairs discovered through spatially extended variability in Pan-STARRS</t>
  </si>
  <si>
    <t>Dux, Frédéric;  Lemon, Cameron ;  Courbin, Frédéric ;  Neira, Favio ; Anguita, Timo ; Galan, Aymeric ;  Kim, Sam ;  Hempel, Maren ;  Hempel, Angela ;  Lachaume, Régis</t>
  </si>
  <si>
    <t>A47</t>
  </si>
  <si>
    <t>10.1051/0004-6361/202347598</t>
  </si>
  <si>
    <t>2024-02-15 00:00:00.000</t>
  </si>
  <si>
    <t>On the Evolutionary History of a Simulated Disk Galaxy as Seen by Phylogenetic Trees</t>
  </si>
  <si>
    <t>de Brito Silva, Danielle;  Jofré, Paula;  Tissera, Patricia B.;  Yaxley, Keaghan J.; Gonzalez Jara, Jenny;  Eldridge, Camilla J. L;  Sillero, Emanuel;  Yates, Robert M.; Hua, Xia;  Das, Payel;  Aguilera-Gómez, Claudia;  Johnston, Evelyn J.; Rojas-Arriagada, Alvaro;  Foley, Robert;  Gilmore, Gerard</t>
  </si>
  <si>
    <t>10.3847/1538-4357/ad036a</t>
  </si>
  <si>
    <t>Ground-based and JWST Observations of SN 2022pul. I. Unusual Signatures of Carbon, Oxygen, and Circumstellar Interaction in a Peculiar Type Ia Supernova</t>
  </si>
  <si>
    <t>Siebert, Matthew R.; Kwok, Lindsey A.; Johansson, Joel; Jha, Saurabh W.; Blondin, Stéphane; Dessart, Luc; Foley, Ryan J.; Hillier, D. John; Larison, Conor; Pakmor, Rüdiger; Temim, Tea; Andrews, Jennifer E.; Auchettl, Katie; Badenes, Carles; Barna, Barnabas; Bostroem, K. Azalee; Brenner Newman, Max J.; Brink, Thomas G.; Bustamante-Rosell, María José; Camacho-Neves, Yssavo; Clocchiatti, Alejandro; Coulter, David A.; Davis, Kyle W.; Deckers, Maxime; Dimitriadis, Georgios; Dong, Yize; Farah, Joseph; Filippenko, Alexei V.; Flörs, Andreas; Fox, Ori D.; Garnavich, Peter; Padilla Gonzalez, Estefania; Graur, Or; Hambsch, Franz-Josef; Hosseinzadeh, Griffin; Howell, D. Andrew; Hughes, John P.; Kerzendorf, Wolfgang E.; Le Saux, Xavier K.; Maeda, Keiichi; Maguire, Kate; McCully, Curtis; Mihalenko, Cassidy; Newsome, Megan; O'Brien, John T.; Pearson, Jeniveve; Pellegrino, Craig; Pierel, Justin D. R.; Polin, Abigail; Rest, Armin; Rojas-Bravo, César; Sand, David J.; Schwab, Michaela; Shahbandeh, Melissa; Shrestha, Manisha; Smith, Nathan; Strolger, Louis-Gregory; Szalai, Tamás; Taggart, Kirsty; Terreran, Giacomo; Terwel, Jacco H.; Tinyanont, Samaporn; Valenti, Stefano; Vinkó, József; Wheeler, J. Craig; Yang, Yi; Zheng, WeiKang; Ashall, Chris; DerKacy, James M.; Galbany, Lluís; Hoeflich, Peter; Hsiao, Eric; de Jaeger, Thomas; Lu, Jing; Maund, Justyn; Medler, Kyle; Morrell, Nidia; Shappee, Benjamin J.; Stritzinger, Maximilian; Suntzeff, Nicholas; Tucker, Michael; Wang, Lifan</t>
  </si>
  <si>
    <t>10.3847/1538-4357/ad0975</t>
  </si>
  <si>
    <t>A precursor plateau and pre-maximum [O II] emission in the superluminous SN2019szu: a pulsational pair-instability candidate</t>
  </si>
  <si>
    <t>Aamer, Aysha; Nicholl, Matt; Jerkstrand, Anders; Gomez, Sebastian; Oates, Samantha R.; Smartt, Stephen J.; Srivastav, Shubham; Leloudas, Giorgos; Anderson, Joseph P.; Berger, Edo; de Boer, Thomas; Chambers, Kenneth; Chen, Ting-Wan; Galbany, Lluís; Gao, Hua; Gompertz, Benjamin P.; González-Bañuelos, Maider; Gromadzki, Mariusz; Gutiérrez, Claudia P.; Inserra, Cosimo; Lowe, Thomas B.; Magnier, Eugene A.; Mazzali, Paolo A.; Moore, Thomas; Müller-Bravo, Tomás E.; Pursiainen, Miika; Rest, Armin; Schulze, Steve; Smith, Ken W.; Terwel, Jacco H.; Wainscoat, Richard; Young, David R.</t>
  </si>
  <si>
    <t>10.1093/mnras/stad3776</t>
  </si>
  <si>
    <t>Dense collection areas and terrestrial alteration of meteorites in the Atacama Desert</t>
  </si>
  <si>
    <t>Pinto, Gabriel A.;  Tavernier, Adrien;  Gattacceca, Jérôme;  Corgne, Alexandre; Valenzuela, Millarca;  Luais, Béatrice;  Flores, Laura;  Olivares, Felipe; Marrocchi, Yves</t>
  </si>
  <si>
    <t>Meteoritics &amp; Planetary Science</t>
  </si>
  <si>
    <t>1086-9379</t>
  </si>
  <si>
    <t>10.1111/maps.14125</t>
  </si>
  <si>
    <t>2024-03-21 00:00:00.000</t>
  </si>
  <si>
    <t>1100 days in the life of the supernova 2018ibb. The best pair-instability supernova candidate, to date</t>
  </si>
  <si>
    <t>Schulze, Steve;  Fransson, Claes ;  Kozyreva, Alexandra;  Chen, Ting-Wan;  Yaron, Ofer ; Jerkstrand, Anders;  Gal-Yam, Avishay;  Sollerman, Jesper;  Yan, Lin ; Kangas, Tuomas;  Leloudas, Giorgos;  Omand, Conor M. B.;  Smartt, Stephen J.; Yang, Yi;  Nicholl, Matt;  Sarin, Nikhil;  Yao, Yuhan;  Brink, Thomas G.; Sharon, Amir ;  Rossi, Andrea;  Chen, Ping;  Chen, Zhihao;  Cikota, Aleksandar; De, Kishalay ;  Drake, Andrew J. ;  Filippenko, Alexei V. ;  Fremling, Christoffer ;  Fréour, Laurane ; Fynbo, Johan P. U.;  Ho, Anna Y. Q.;  Inserra, Cosimo ;  Irani, Ido; Kuncarayakti, Hanindyo;  Lunnan, Ragnhild;  Mazzali, Paolo ;  Ofek, Eran O. ; Palazzi, Eliana;  Perley, Daniel A.;  Pursiainen, Miika ;  Rothberg, Barry ;  Shingles, Luke J.; Smith, Ken;  Taggart, Kirsty;  Tartaglia, Leonardo;  Zheng, WeiKang ; Anderson, Joseph P.;  Cassara, Letizia;  Christensen, Eric ;  George Djorgovski, S. ; Galbany, Lluís;  Gkini, Anamaria ;  Graham, Matthew J. ;  Gromadzki, Mariusz; Groom, Steven L.;  Hiramatsu, Daichi;  Andrew Howell, D. ;  Kasliwal, Mansi M.; McCully, Curtis ;  Müller-Bravo, Tomás E.;  Paiano, Simona;  Paraskeva, Emmanouela ; Pessi, Priscila J.;  Polishook, David;  Rau, Arne ;  Rigault, Mickael;  Rusholme, Ben</t>
  </si>
  <si>
    <t>A223</t>
  </si>
  <si>
    <t>10.1051/0004-6361/202346855</t>
  </si>
  <si>
    <t>2024-03-20 00:00:00.000</t>
  </si>
  <si>
    <t>A long-period transiting substellar companion in the super-Jupiters to brown dwarfs mass regime and a prototypical warm-Jupiter detected by TESS</t>
  </si>
  <si>
    <t>Jones, Matías I. ;  Reinarz, Yared;  Brahm, Rafael ;  Tala Pinto, Marcelo ;  Eberhardt, Jan ; Rojas, Felipe;  Triaud, Amaury H. M. J. ;  Gupta, Arvind F. ;  Ziegler, Carl ;  Hobson, Melissa J. ; Jordán, Andrés ;  Henning, Thomas ;  Trifonov, Trifon ;  Schlecker, Martin ;  Espinoza, Néstor ; Torres-Miranda, Pascal;  Sarkis, Paula ;  Ulmer-Moll, Solène;  Lendl, Monika ;  Uzundag, Murat; Moyano, Maximiliano ;  Hesse, Katharine;  Caldwell, Douglas A.;  Shporer, Avi ;  Lund, Michael B. ; Jenkins, Jon M. ;  Seager, Sara ;  Winn, Joshua N. ;  Ricker, George R. ;  Burke, Christopher J. ; Figueira, Pedro ;  Psaridi, Angelica;  Al Moulla, Khaled;  Mounzer, Dany ;  Standing, Matthew R.; Martin, David V. ;  Dransfield, Georgina ;  Baycroft, Thomas;  Dragomir, Diana ;  Boyle, Gavin; Suc, Vincent ;  Mann, Andrew W.;  Timmermans, Mathilde ;  Ducrot, Elsa ;  Hooton, Matthew J. ; Zuñiga-Fernández, Sebastián;  Sebastian, Daniel ;  Gillon, Michael;  Queloz, Didier ;  Carson, Joe ; Lissauer, Jack J.</t>
  </si>
  <si>
    <t>A192</t>
  </si>
  <si>
    <t>10.1051/0004-6361/202348147</t>
  </si>
  <si>
    <t>The most variable VVV sources: eruptive protostars, dipping giants in the nuclear disc and others</t>
  </si>
  <si>
    <t>Lucas, P. W.;  Smith, L. C. ;  Guo, Z.;  Contreras Peña, C. ;  Minniti, D. ;  Miller, N.; Alonso-García, J. ;  Catelan, M.;  Borissova, J.;  Saito, R. K. ;  Kurtev, R. ;  Navarro, M. G. ; Morris, C.;  Muthu, H. ;  Froebrich, D.;  Ivanov, V. D. ;  Bayo, A. ;  Caratti o Garatti, A.; Sanders, J. L.</t>
  </si>
  <si>
    <t>10.1093/mnras/stad3929</t>
  </si>
  <si>
    <t>2024-01-12 00:00:00.000</t>
  </si>
  <si>
    <t>GW190425: Pan-STARRS and ATLAS coverage of the skymap and limits on optical emission associated with FRB 20190425A</t>
  </si>
  <si>
    <t>Smartt, S. J.;  Nicholl, M.;  Srivastav, S.;  Huber, M. E.;  Chambers, K. C.;  Smith, K. W.; Young, D. R.;  Fulton, M. D.;  Tonry, J. L.;  Stubbs, C. W.;  Denneau, L. ;  Cooper, A. J.; Aamer, A.;  Anderson, J. P.;  Andersson, A.;  Bulger, J. ;  Chen, T. -W.;  Clark, P.; de Boer, T. ;  Gao, H.;  Gillanders, J. H.;  Lawrence, A.;  Lin, C. C.;  Lowe, T. B. ; Magnier, E. A.;  Minguez, P. ;  Moore, T.;  Rest, A.;  Shingles, L.;  Siverd, R.; Smith, I. A.;  Stalder, B.;  Stevance, H. F.;  Wainscoat, R.;  Williams, R.</t>
  </si>
  <si>
    <t>10.1093/mnras/stae100</t>
  </si>
  <si>
    <t>Microlensing of Strongly Lensed Quasars</t>
  </si>
  <si>
    <t>Vernardos, G.;  Sluse, D. ;  Pooley, D. ;  Schmidt, R. W. ;  Millon, M. ;  Weisenbach, L. ;  Motta, V. ; Anguita, T. ;  Saha, P. ;  O'Dowd, M. ;  Peel, A. ;  Schechter, P. L.</t>
  </si>
  <si>
    <t>Space Science Reviews</t>
  </si>
  <si>
    <t>0038-6308</t>
  </si>
  <si>
    <t>10.1007/s11214-024-01043-8</t>
  </si>
  <si>
    <t>2024-03-06 00:00:00.000</t>
  </si>
  <si>
    <t>Extended Lyman-α emission towards the SPT2349-56 protocluster at z = 4.3</t>
  </si>
  <si>
    <t xml:space="preserve">Apostolovski, Yordanka;  Aravena, Manuel ;  Anguita, Timo;  Bethermin, Matthieu; Burgoyne, James;  Chapman, Scott;  De Breuck, Carlos;  Gonzalez, Anthony;  Gronke, Max ; Guaita, Lucia;  Hezaveh, Yashar;  Hill, Ryley ;  Jarugula, Sreevani;  Johnston, Evelyn; Malkan, Matt;  Narayanan, Desika;  Reuter, Cassie;  Solimano,;  Spilker, Justin; Sulzenauer, Nikolaus;  Vieira, Joaquin;  Vizgan, David;  Weiß, Axel </t>
  </si>
  <si>
    <t>Astronomy &amp; Astrophysics, Volume 683, id.A64, 15 pp.</t>
  </si>
  <si>
    <t>A64</t>
  </si>
  <si>
    <t>10.1051/0004-6361/202245785</t>
  </si>
  <si>
    <t>The treasure behind the haystack: MUSE analysis of five recently discovered globular clusters</t>
  </si>
  <si>
    <t>F. Gran; G. Kordopatis; M. Zoccali; V. Hill; I. Saviane; C. Navarrete; A. Rojas-Arriagada; J. Carballo-Bello; J. Hartke; E. Valenti; R. Contreras Ramos; M. De Leo; S. Fabbro</t>
  </si>
  <si>
    <t>A167</t>
  </si>
  <si>
    <t>10.1051/0004-6361/202347915</t>
  </si>
  <si>
    <t>TOI-4860 b, a short-period giant planet transiting an M3.5 dwarf</t>
  </si>
  <si>
    <t xml:space="preserve">Almenara, J. M.;  Bonfils, X.;  Bryant, E. M.;  Jordán, A.;  Hébrard, G. ;  Martioli, E.; Correia, A. C. M.;  Astudillo-Defru, N.;  Cadieux, C.;  Arnold, L.;  Artigau, É.;  Bakos, G. Á. ; Barros, S. C. C. ;  Bayliss, D. ;  Bouchy, F. ;  Boué, G. ;  Brahm, R.;  Carmona, A.;  Charbonneau, D. ; Ciardi, D. R.;  Cloutier, R.;  Cointepas, M. ;  Cook, N. J.;  Cowan, N. B.;  Delfosse, X. ; Dias do Nascimento, J. ;  Donati, J. -F.;  Doyon, R. ;  Forveille, T.;  Fouqué, P.;  Gaidos, E.; Gilbert, E. A.;  Gomes da Silva, J. ;  Hartman, J. D. ;  Hesse, K. ;  Hobson, M. J.;  Jenkins, J. M. ; Kiefer, F. ;  Kostov, V. B. ;  Laskar, J. ;  Lendl, M. ;  L'Heureux, A.;  Martins, J. H. C. ;  Menou, K. ; Moutou, C. ;  Murgas, F.;  Polanski, A. S.;  Rapetti, D.;  Sedaghati, E.;  Shang, H. </t>
  </si>
  <si>
    <t>10.1051/0004-6361/202346999</t>
  </si>
  <si>
    <t>New candidate hypervelocity red clump stars in the inner Galactic bulge</t>
  </si>
  <si>
    <t>Luna, A.; Marchetti, T.; Rejkuba, M.; Leigh, N. W. C. ; Alonso-García, J.; Valenzuela Navarro, A.; Minniti, D. ; Smith, L. C.</t>
  </si>
  <si>
    <t>10.1093/mnras/stae128</t>
  </si>
  <si>
    <t>Spectroscopic confirmation of high-amplitude eruptive YSOs and dipping giants from the VVV survey</t>
  </si>
  <si>
    <t>Guo, Zhen;  Lucas, P. W. ;  Kurtev, R. ;  Borissova, J.;  Contreras Peña, C.; Yurchenko, S. N.;  Smith, L. C. ;  Minniti, D. ;  Saito, R. K. ;  Bayo, A. ;  Catelan, M.; Alonso-García, J. ;  Caratti o Garatti, A.;  Morris, C.;  Froebrich, D.;  Tennyson, J.; Maucó, K. ;  Aguayo, A. ;  Miller, N.;  Muthu, H. D. S.</t>
  </si>
  <si>
    <t>10.1093/mnras/stad3700</t>
  </si>
  <si>
    <t>XMM-Newton-discovered Fast X-ray Transients: host galaxies and limits on contemporaneous detections of optical counterparts</t>
  </si>
  <si>
    <t>Eappachen, D.;  Jonker, P. G.;  Quirola-Vásquez, J.;  Sánchez, D. Mata; Inkenhaag, A.;  Levan, A. J. ;  Fraser, M.;  Torres, M. A. P.;  Bauer, F. E. ; Chrimes, A. A.;  Stern, D.;  Graham, M. J.;  Smartt, S. J.;  Smith, K. W. ; Ravasio, M. E.;  Zabludoff, A. I.;  Yue, M.;  Stoppa, F.;  Malesani, D. B.; Stone, N. C.;  Wen, S.</t>
  </si>
  <si>
    <t>10.1093/mnras/stad3924</t>
  </si>
  <si>
    <t>2024-03-22 00:00:00.000</t>
  </si>
  <si>
    <t>Probing a magnetar origin for the population of extragalactic fast X-ray transients detected by Chandra</t>
  </si>
  <si>
    <t>Quirola-Vásquez, J.; Bauer, F. E.; Jonker, P. G.; Brandt, W. N.; Eappachen, D.; Levan, A. J.; López, E.; Luo, B.; Ravasio, M. E.; Sun, H.; Xue, Y. Q.; Yang, G. ; Zheng, X. C.</t>
  </si>
  <si>
    <t>A243</t>
  </si>
  <si>
    <t>10.1051/0004-6361/202347629</t>
  </si>
  <si>
    <t>A newborn active galactic nucleus in a star-forming galaxy</t>
  </si>
  <si>
    <t>Arévalo, P.; López-Navas, E. ; Martínez-Aldama, M. L.; Lira, P. ; Bernal, S.; Sánchez-Sáez, P. ; Salvato, M.; Hernández-García, L.; Ricci, C. ; Merloni, A. ; Krumpe, M.</t>
  </si>
  <si>
    <t>L8</t>
  </si>
  <si>
    <t>10.1051/0004-6361/202348900</t>
  </si>
  <si>
    <t>Recovering Lost Light: Discovery of Supernova Remnants with Integral Field Spectroscopy</t>
  </si>
  <si>
    <t>Héctor Martínez-Rodríguez, Lluís Galbany, Carles Badenes, Joseph P. Anderson, Inmaculada Domínguez, Hanindyo Kuncarayakti, Joseph D. Lyman, Sebastián F. Sánchez, José M. Vílchez1, Nathan Smith, and Dan Milisavljevic</t>
  </si>
  <si>
    <t>10.3847/1538-4357/ad1bcf</t>
  </si>
  <si>
    <t>RR Lyrae Stars Belonging to the Candidate Globular Cluster Patchick 99</t>
  </si>
  <si>
    <t>Evan Butler, Andrea Kunder, Zdenek Prudil, Kevin R. Covey, Macy Ball, Carlos Campos, Kaylen Gollnick4, Julio Olivares Carvajal, Joanne Hughes, Kathryn Devine8, Christian I. Johnson, A. Katherina Vivas, R. Michael Rich, Meridith Joyce, Iulia T. Simion, Tommaso Marchetti, Andreas J. Koch-Hansen, William I. Clarkson, and Rebekah Kuss</t>
  </si>
  <si>
    <t>L33</t>
  </si>
  <si>
    <t>Assembling a high-precision abundance catalogue of solar twins in GALAH for phylogenetic studies</t>
  </si>
  <si>
    <t>Walsen, Kurt ; Jofré, Paula ; Buder, Sven; Yaxley, Keaghan; Das, Payel; Yates, Robert M.; Hua, Xia; Signor, Theosamuele ; Eldridge, Camilla ; Rojas-Arriagada, Alvaro; Tissera, Patricia B.; Johnston, Evelyn; Aguilera-Gómez, Claudia ; Zoccali, Manuela; Gilmore, Gerry ; Foley, Robert</t>
  </si>
  <si>
    <t xml:space="preserve">10.1093/mnras/stae280 </t>
  </si>
  <si>
    <t>H II regions and diffuse ionized gas in the AMUSING++ Compilation - I. Catalogue presentation</t>
  </si>
  <si>
    <t>Lugo-Aranda, A. Z. ; Sánchez, S. F.; Barrera-Ballesteros, J. K.; López-Cobá, C.; Espinosa-Ponce, C.; Galbany, L.; Anderson, Joseph P.</t>
  </si>
  <si>
    <t>10.1093/mnras/stae345</t>
  </si>
  <si>
    <t>Multiwavelength detection of an ongoing FUOr-type outburst on a low-mass YSO</t>
  </si>
  <si>
    <t>Guo, Zhen; Lucas, P. W.; Kurtev, R. G. ; Borissova, J.; Elbakyan, Vardan ; Morris, C.; Bayo, A. ; Smith, L. ; Caratti o Garatti, A.; Contreras Peña, C.; Minniti, D. ; Jose, J.; Ashraf, M.; Alonso-García, J. ; Miller, N.; Muthu, H. D. S.</t>
  </si>
  <si>
    <t>Monthly Notices of the Royal Astronomical Society: Letters</t>
  </si>
  <si>
    <t>L115</t>
  </si>
  <si>
    <t>1745-3925</t>
  </si>
  <si>
    <t>10.1093/mnrasl/slad201</t>
  </si>
  <si>
    <t>Observed kinematics of the Milky Way nuclear stellar disk region</t>
  </si>
  <si>
    <t xml:space="preserve">Zoccali, M. ; Rojas-Arriagada, A. ; Valenti, E.; Contreras Ramos, R. ; Valenzuela-Navarro, A.; Salvo-Guajardo, C. </t>
  </si>
  <si>
    <t>A214</t>
  </si>
  <si>
    <t>10.1051/0004-6361/202347923</t>
  </si>
  <si>
    <t>2024-04-08 00:00:00.000</t>
  </si>
  <si>
    <t>SN 2020udy: A New Piece of the Homogeneous Bright Group in the Diverse Iax Subclass</t>
  </si>
  <si>
    <t>Singh, Mridweeka; Sahu, Devendra K.; Barna, Barnabás; Gangopadhyay, Anjasha; Dastidar, Raya; Teja, Rishabh Singh; Misra, Kuntal; Howell, D. Andrew; Wang, Xiaofeng; Mo, Jun ; Yan, Shengyu; Hiramatsu, Daichi; Pellegrino, Craig; Anupama, G. C.; Joshi, Arti; Bostroem, K. Azalee; Burke, Jamison; McCully, Curtis; Subramanian V, Rama ; Li, Gaici ; Xi, Gaobo ; Li, Xin; Li, Zhitong ; Srivastav, Shubham ; Im, Hyobin; Dutta, Anirban</t>
  </si>
  <si>
    <t>10.3847/1538-4357/ad2618</t>
  </si>
  <si>
    <t>2024-04-16 00:00:00.000</t>
  </si>
  <si>
    <t>The universal power spectrum of quasars in optical wavelengths. Break timescale scales directly with both black hole mass and the accretion rate</t>
  </si>
  <si>
    <t>Arévalo, P.; Churazov, E.; Lira, P.; Sánchez-Sáez, P.; Bernal, S. ; Hernández-García, L.; López-Navas, E. ; Patel, P.</t>
  </si>
  <si>
    <t>A133</t>
  </si>
  <si>
    <t>10.1051/0004-6361/202347080</t>
  </si>
  <si>
    <t>Long-term follow-up observations of extreme coronal line emitting galaxies</t>
  </si>
  <si>
    <t>Clark, Peter; Graur, Or ; Callow, Joseph; Aguilar, Jessica ; Ahlen, Steven; Anderson, Joseph P.; Berger, Edo; Müller-Bravo, Tomás E.; Brink, Thomas G.; Brooks, David; Chen, Ting-Wan; Claybaugh, Todd; de la Macorra, Axel; Doel, Peter; Filippenko, Alexei V.; Forero-Romero, Jamie E.; Gomez, Sebastian; Gromadzki, Mariusz; Honscheid, Klaus; Inserra, Cosimo; Kisner, Theodore; Landriau, Martin; Makrygianni, Lydia; Manera, Marc; Meisner, Aaron; Miquel, Ramon; Moustakas, John; Nicholl, Matt; Nie, Jundan; Onori, Francesca; Palmese, Antonella; Poppett, Claire; Reynolds, Thomas; Rezaie, Mehdi; Rossi, Graziano; Sanchez, Eusebio; Schubnell, Michael; Tarlé, Gregory; Weaver, Benjamin A. ; Wevers, Thomas; Young, David R.; Zheng, WeiKang; Zhou, Zhimin</t>
  </si>
  <si>
    <t>10.1093/mnras/stae460</t>
  </si>
  <si>
    <t>2024-04-11 00:00:00.000</t>
  </si>
  <si>
    <t>ALMA Lensing Cluster Survey: Full Spectral Energy Distribution Analysis of z ∼ 0.5–6 Lensed Galaxies Detected with millimeter Observations</t>
  </si>
  <si>
    <t>Uematsu, Ryosuke; Ueda, Yoshihiro; Kohno, Kotaro; Toba, Yoshiki; Yamada, Satoshi; Smail, Ian; Umehata, Hideki; Fujimoto, Seiji; Hatsukade, Bunyo; Ao, Yiping; Bauer, Franz Erik; Brammer, Gabriel; Dessauges-Zavadsky, Miroslava; Espada, Daniel; Jolly, Jean-Baptiste; Koekemoer, Anton M.; Kokorev, Vasily; Magdis, Georgios E.; Oguri, Masamune; Sun, Fengwu</t>
  </si>
  <si>
    <t xml:space="preserve">10.3847/1538-4357/ad26f7 </t>
  </si>
  <si>
    <t>2024-04-09 00:00:00.000</t>
  </si>
  <si>
    <t>Supernova environments in J-PLUS. Normalized cumulative-rank distributions and stellar-population synthesis combining narrow- and broad-band filters</t>
  </si>
  <si>
    <t>González-Díaz, Raúl ; Galbany, Lluís; Kangas, Tuomas; García-Benito, Rubén; Anderson, Joseph P.; Lyman, Joseph ; Varela, Jesús ; Oltra, Lamberto; García, Rafael Logroño ; Rojo, Gonzalo Vilella ; López-Sanjuan, Carlos; Pérez-Torres, Miguel Ángel; Rosales-Ortega, Fabián; Mattila, Seppo ; Kuncarayakti, Hanindyo ; James, Phil ; Habergham, Stacey; Vílchez, José Manuel; Alcaniz, Jailson; Angulo, Raul E.; Cenarro, Javier; Cristóbal-Hornillos, David ; Dupke, Renato ; Ederoclite, Alessandro ; Hernández-Monteagudo, Carlos; Marín-Franch, Antonio; Moles, Mariano ; Sodré, Laerte; Ramió, Héctor Vázquez</t>
  </si>
  <si>
    <t>A104</t>
  </si>
  <si>
    <t>10.1051/0004-6361/202349029</t>
  </si>
  <si>
    <t>2024-03-27 00:00:00.000</t>
  </si>
  <si>
    <t>JWST and ALMA Multiple-line Study in and around a Galaxy at z = 8.496: Optical to Far-Infrared Line Ratios and the Onset of an Outflow Promoting Ionizing Photon Escape</t>
  </si>
  <si>
    <t>Fujimoto, Seiji; Ouchi, Masami; Nakajima, Kimihiko; Harikane, Yuichi; Isobe, Yuki; Brammer, Gabriel; Oguri, Masamune; Giménez-Arteaga, Clara; Heintz, Kasper E.; Kokorev, Vasily; Bauer, Franz E.; Ferrara, Andrea; Kojima, Takashi; Lagos, Claudia del P.; Laura, Sommovigo; Schaerer, Daniel; Shimasaku, Kazuhiro; Hatsukade, Bunyo; Kohno, Kotaro; Sun, Fengwu; Valentino, Francesco; Watson, Darach; Fudamoto, Yoshinobu; Inoue, Akio K.; González-López, Jorge; Koekemoer, Anton M.; Knudsen, Kirsten; Lee, Minju M.; Magdis, Georgios E.; Richard, Johan; Strait, Victoria B.; Sugahara, Yuma; Tamura, Yoichi; Toft, Sune; Umehata, Hideki; Walth, Gregory</t>
  </si>
  <si>
    <t xml:space="preserve">10.3847/1538-4357/ad235c </t>
  </si>
  <si>
    <t>A Perspective on the Milky Way Bulge Bar as Seen from the Neutron-capture Elements Cerium and Neodymium with APOGEE</t>
  </si>
  <si>
    <t>Sales-Silva, J. V.; Cunha, K.; Smith, V. V.; Daflon, S.; Souto, D.; Guerço, R.; Queiroz, A.; Chiappini, C. ; Hayes, C. R.; Masseron, T.; Hasselquist, Sten ; Horta, D. ; Prantzos, N.; Zoccali, M.; Allende Prieto, C.; Barbuy, B.; Beaton, R. ; Bizyaev, D.; Fernández-Trincado, J. G. ; Frinchaboy, P. M.; Holtzman, J. A.; Johnson, J. A. ; Jönsson, Henrik; Majewski, S. R.; Minniti, D.; Nidever, D. L.; Schiavon, R. P.; Schultheis, M.; Sobeck, J.; Stringfellow, G. S.; Zasowski, G.</t>
  </si>
  <si>
    <t>10.3847/1538-4357/ad28c2</t>
  </si>
  <si>
    <t>SN 2020zbf: A fast-rising hydrogen-poor superluminous supernova with strong carbon lines</t>
  </si>
  <si>
    <t>Gkini, A.; Lunnan, R.; Schulze, S.; Dessart, L.; Brennan, S. J.; Sollerman, J.; Pessi, P. J.; Nicholl, M.; Yan, L.; Omand, C. M. B.; Kangas, T.; Moore, T.; Anderson, J. P.; Chen, T. -W.; Gonzalez, E. P.; Gromadzki, M.; Gutiérrez, C. P.; Hiramatsu, D.; Howell, D. A.; Ihanec, N.; Inserra, C.; McCully, C.; Müller-Bravo, T. E.; Pellegrino, C.; Pignata, G.; Pursiainen, M.;  Young, D. R.</t>
  </si>
  <si>
    <t>A20</t>
  </si>
  <si>
    <t>10.1051/0004-6361/202348166</t>
  </si>
  <si>
    <t>2024-05-17 00:00:00.000</t>
  </si>
  <si>
    <t>Star-spot activity, orbital obliquity, transmission spectrum, physical properties, and transit time variations of the HATS-2 planetary system</t>
  </si>
  <si>
    <t>Biagiotti, F.; Mancini, L.; Southworth, J.; Tregloan-Reed, J.; Naponiello, L.; Jørgensen, U.G.; Bach-Møller, N.; Basilicata, M.; Bonavita, M.; Bozza, V.; Burgdorf, M. J.; Dominik, M.; Figuera Jaimes, R.; Henning, Th.; Hinse, T. C.; Hundertmark, M.; Khalouei, E.; Longa-Peña, P.; Peixinho, N.; Rabus, M.; Rahvar, S.; Sajadian, S.; Skottfelt, J.; Snodgrass, C.; Jongen, Y.; Vignes, J. -P.</t>
  </si>
  <si>
    <t>A131</t>
  </si>
  <si>
    <t>10.1051/0004-6361/202347872</t>
  </si>
  <si>
    <t>Newly formed dust within the circumstellar environment of SN Ia-CSM 2018evt</t>
  </si>
  <si>
    <t>Wang, Lingzhi; Hu, Maokai ; Wang, Lifan ; Yang, Yi; Yang, Jiawen; Gomez, Haley; Chen, Sijie ; Hu, Lei; Chen, Ting-Wan; Mo, Jun ; Wang, Xiaofeng; Baade, Dietrich; Hoeflich, Peter; Wheeler, J. Craig ; Pignata, Giuliano ; Burke, Jamison ; Hiramatsu, Daichi; Howell, D. Andrew ; McCully, Curtis ; Pellegrino, Craig ; Galbany, Lluís; Hsiao, Eric Y. ; Sand, David J. ; Zhang, Jujia ; Uddin, Syed A. ; Anderson, J. P.; Ashall, Chris ; Cheng, Cheng; Gromadzki, Mariusz; Inserra, Cosimo; Lin, Han ; Morrell, N.; Morales-Garoffolo, Antonia; Müller-Bravo, T. E.; Nicholl, Matt; Gonzalez, Estefania Padilla ; Phillips, M. M. ; Pineda-García, J.; Sai, Hanna ; Smith, Mathew; Shahbandeh, M. ; Srivastav, Shubham; Stritzinger, M. D.; Yang, Sheng ; Young, D. R.; Yu, Lixin ; Zhang, Xinghan</t>
  </si>
  <si>
    <t>2397-3366</t>
  </si>
  <si>
    <t>10.1038/s41550-024-02197-9</t>
  </si>
  <si>
    <t>The cold interstellar medium of a normal sub-L⋆ galaxy at the end of reionization</t>
  </si>
  <si>
    <t>Valentino, F.  search by orcid ;  Fujimoto, S. ;  Giménez-Arteaga, C. ;  Brammer, G. ;  Kohno, K. ;  Sun, F. ;  Kokorev, V. ; Bauer, F. E.  search by orcid ;  Di Cesare, C.  search by orcid ;  Espada, D.  search by orcid ;  Lee, M. ;  Dessauges-Zavadsky, M.  search by orcid ;  Ao, Y. ; Koekemoer, A. M.  search by orcid ;  Ouchi, M.  search by orcid ;  Wu, J. F.  search by orcid ;  Egami, E. ;  Jolly, J. -B.  search by orcid ;  Lagos, C. del P.  search by orcid ; Magdis, G. E.  search by orcid  ;  Schaerer, D.  search by orcid ;  Shimasaku, K.  search by orcid ;  Umehata, H. ;  Wang, W. -H.  search by orcid</t>
  </si>
  <si>
    <t>A138</t>
  </si>
  <si>
    <t>10.1051/0004-6361/202348128</t>
  </si>
  <si>
    <t>Small and Large Dust Cavities in Disks around Mid-M Stars in Taurus</t>
  </si>
  <si>
    <t xml:space="preserve">Shi, Yangfan; Long, Feng; Herczeg, Gregory J.; Harsono, Daniel; Liu, Yao; Pinilla, Paola; Ragusa, Enrico; Johnstone, Doug; Bai, Xue-Ning; Pascucci, Ilaria; Manara, Carlo F.; Mulders, Gijs D.; Cieza, Lucas A. </t>
  </si>
  <si>
    <t>2024-05-07 00:00:00.000</t>
  </si>
  <si>
    <t>Where Are the Water Worlds? Identifying Exo-water-worlds Using Models of Planet Formation and Atmospheric Evolution</t>
  </si>
  <si>
    <t>Chakrabarty, Aritra; Mulders, Gijs</t>
  </si>
  <si>
    <t>10.3847/1538-4357/ad3802</t>
  </si>
  <si>
    <t>The EBLM Project XII. An eccentric, long-period eclipsing binary with a companion near the hydrogen-burning limit</t>
  </si>
  <si>
    <t>Davis, Yasmin T.; Triaud, Amaury H. M. J.; Freckelton, Alix V.; Mortier, Annelies; Sebastian, Daniel; Brahm, Rafael ; Baycroft, Thomas; Dransfield, Georgina; Duck, Alison; Henning, Thomas ; Hobson, Melissa J. ; Jordán, Andrés ; Kunovac, Vedad; Martin, David V.; Maxted, Pierre F. L.; Sairam, Lalitha ; Standing, Matthew R.; Swayne, Matthew I.; Trifonov, Trifon ; Udry, Stéphane</t>
  </si>
  <si>
    <t>10.1093/mnras/stae842</t>
  </si>
  <si>
    <t>JWST lensed quasar dark matter survey - I. Description and first results</t>
  </si>
  <si>
    <t>Nierenberg, A. M.; Keeley, R. E.; Sluse, D. ; Gilman, D. ; Birrer, S. ; Treu, T.; Abazajian, K. N.; Anguita, T.; Benson, A. J.; Bennert, V. N. ; Djorgovski, S. G. ; Du, X. ; Fassnacht, C. D. ; Hoenig, S. F. ; Kusenko, A. ; Lemon, C.; Malkan, M. ; Motta, V. ; Moustakas, L. A.; Stern, D. ; Wechsler, R. H.</t>
  </si>
  <si>
    <t>10.1093/mnras/stae499</t>
  </si>
  <si>
    <t>Ground-based and JWST Observations of SN 2022pul. II. Evidence from Nebular Spectroscopy for a Violent Merger in a Peculiar Type Ia Supernova</t>
  </si>
  <si>
    <t>Kwok, Lindsey A.; Siebert, Matthew R.; Johansson, Joel; Jha, Saurabh W.; Blondin, Stéphane; Dessart, Luc; Foley, Ryan J.; Hillier, D. John; Larison, Conor; Pakmor, Rüdiger; Temim, Tea; Andrews, Jennifer E.; Auchettl, Katie; Badenes, Carles; Barnabas, Barna; Bostroem, K. Azalee; Brenner Newman, Max J.; Brink, Thomas G.; Bustamante-Rosell, María José; Camacho-Neves, Yssavo; Clocchiatti, Alejandro; Coulter, David A.; Davis, Kyle W.; Deckers, Maxime; Dimitriadis, Georgios; Dong, Yize; Farah, Joseph; Filippenko, Alexei V.; Flörs, Andreas; Fox, Ori D.; Garnavich, Peter; Padilla Gonzalez, Estefania; Graur, Or; Hambsch, Franz-Josef; Hosseinzadeh, Griffin; Howell, D. Andrew; Hughes, John P.; Kerzendorf, Wolfgang E.; Saux, Xavier K.; Maeda, Keiichi; Maguire, Kate; McCully, Curtis; Mihalenko, Cassidy; Newsome, Megan; O'Brien, John T.; Pearson, Jeniveve; Pellegrino, Craig; Pierel, Justin D. R.; Polin, Abigail; Rest, Armin; Rojas-Bravo, César; Sand, David J.; Schwab, Michaela; Shahbandeh, Melissa; Shrestha, Manisha; Smith, Nathan; Strolger, Louis-Gregory; Szalai, Tamás; Taggart, Kirsty; Terreran, Giacomo; Terwel, Jacco H.; Tinyanont, Samaporn; Valenti, Stefano; Vinkó, József; Wheeler, J. Craig; Yang, Yi; Zheng, WeiKang; Ashall, Chris; DerKacy, James M.; Galbany, Lluís; Hoeflich, Peter; de Jaeger, Thomas; Lu, Jing; Maund, Justyn; Medler, Kyle; Morell, Nidia; Shappee, Benjamin J.; Stritzinger, Maximilian; Suntzeff, Nicholas; Tucker, Michael; Wang, Lifan</t>
  </si>
  <si>
    <t>10.3847/1538-4357/ad2c0d</t>
  </si>
  <si>
    <t>Optical Spectroscopy of Type Ia Supernovae by the Carnegie Supernova Projects I and II</t>
  </si>
  <si>
    <t>Morrell, N.; Phillips, M. M.; Folatelli, G.; Stritzinger, M. D.; Hamuy, M.; Suntzeff, N. B.; Hsiao, E. Y.; Taddia, F.; Burns, C. R.; Hoeflich, P.; Ashall, C.; Contreras, C.; Galbany, L.; Lu, J.; Piro, A. L.; Anais, J. ; Baron, E.; Burrow, A.; Busta, L.; Campillay, A. ; Castellón, S. ; Corco, C. ; Diamond, T.; Freedman, W. L.; Gonzalez, C. ; Krisciunas, K.; Kumar, S.; Persson, S. E.; Serón, J.; Shahbandeh, M.; Torres, S. ; Uddin, S. A.; Anderson, J. P.; Baltay, C.; Gall, C.; Goobar, A.; Hadjiyska, E. ; Holmbo, S.; Kasliwal, M.; Lidman, C.; Marion, G. H.; Mazzali, P. A.; Nugent, P.; Perlmutter, S.; Pignata, G.; Rabinowitz, D.; Roth, M. ; Ryder, S. D.; Shappee, B. J.; Vinkó, J.; Wheeler, J. C.; de Jaeger, T.; Lira, P.; Ruiz, M. T.; Rich, J. A.; Prieto, J. L.; Di Mille, F.; Osip, D.; Blanc, G.; Palunas, P.</t>
  </si>
  <si>
    <t>10.3847/1538-4357/ad38af</t>
  </si>
  <si>
    <t>Compact white dwarf binaries in the combined SRG/eROSITA/SDSS eFEDS survey</t>
  </si>
  <si>
    <t>Schwope, A.; Kurpas, J.; Baecke, P.; Knauff, K. ; Stütz, L. ; Tubín-Arenas, D.; Standke, A. ; Anderson, S. F. ; Bauer, F.; Brandt, W. N. ; Covey, K.; Demasi, S.; Dwelly, T. ; Freund, S.; Friedrich, S. ; Gänsicke, B. T. ; Maitra, C. ; Merloni, A. ; Muñoz-Giraldo, D. ; Rodriguez, A.; Salvato, M.; Stassun, K. search by orcid ; Stelzer, B. ; Strong, A.; Morrison, S.</t>
  </si>
  <si>
    <t>A110</t>
  </si>
  <si>
    <t>10.1051/0004-6361/202348426</t>
  </si>
  <si>
    <t>2024-06-20 00:00:00.000</t>
  </si>
  <si>
    <t>Ensemble power spectral density of SDSS quasars in UV/optical bands</t>
  </si>
  <si>
    <t>Petrecca, V.; Papadakis, I. E.; Paolillo, M.; De Cicco, D.; Bauer, F. E.</t>
  </si>
  <si>
    <t>A286</t>
  </si>
  <si>
    <t>10.1051/0004-6361/202449161</t>
  </si>
  <si>
    <t>Investigating the Off-Axis GRB Afterglow Scenario for Extragalactic Fast X-ray Transients</t>
  </si>
  <si>
    <t>Wichern, Hannah ; Ravasio, Maria; Jonker, Peter ; Levan, Andrew ; Malesani, Daniele ; Quirola-Vásquez, Jonathan ; Bauer, Franz; Kann, David</t>
  </si>
  <si>
    <t>A101</t>
  </si>
  <si>
    <t>10.1051/0004-6361/202450116</t>
  </si>
  <si>
    <t>Optical ray tracing of echelle spectrographs applied to the wavelength solution for precise radial velocities</t>
  </si>
  <si>
    <t>Pinto, Marcelo Tala ; Kaminski, Adrian ; Quirrenbach, Andreas ; Zechmeister, Mathias</t>
  </si>
  <si>
    <t>Journal of Astronomical Telescopes</t>
  </si>
  <si>
    <t>2329-4124</t>
  </si>
  <si>
    <t>10.1117/1.JATIS.10.2.028001</t>
  </si>
  <si>
    <t>2024-08-14 00:00:00.000</t>
  </si>
  <si>
    <t>SERENADE. II. An ALMA Multiband Dust Continuum Analysis of 28 Galaxies at 5 &lt; z &lt; 8 and the Physical Origin of the Dust Temperature Evolution</t>
  </si>
  <si>
    <t>Mitsuhashi, Ikki; Harikane, Yuichi; Bauer, Franz E.; Bakx, Tom J. L. C.; Ferrara, Andrea; Fujimoto, Seiji; Hashimoto, Takuya; Inoue, Akio K.; Iwasawa, Kazushi; Nishimura, Yuri; Imanishi, Masatoshi; Ono, Yoshiaki; Saito, Toshiki ; Sugahara, Yuma; Umehata, Hideki; Vallini, Livia; Wang, Tao; Zavala, Jorge A.</t>
  </si>
  <si>
    <t>10.3847/1538-4357/ad5675</t>
  </si>
  <si>
    <t>Obliquity Constraints for the Extremely Eccentric Sub-Saturn Kepler-1656 b</t>
  </si>
  <si>
    <t>Rubenzahl, Ryan A.; Howard, Andrew W.; Halverson, Samuel; Petrovich, Cristobal; Angelo, Isabel; Stefánsson, Guđmundur; Dai, Fei; Householder, Aaron; Fulton, Benjamin; Gibson, Steven R.; Roy, Arpita; Shaum, Abby P.; Isaacson, Howard; Brodheim, Max; Deich, William; Hill, Grant M.; Holden, Bradford; Huber, Daniel; Laher, Russ R.; Lanclos, Kyle; Payne, Joel N.; Petigura, Erik A.; Schwab, Christian; Walawender, Josh; Wang, Sharon X.; Weiss, Lauren M.; Winn, Joshua N.; Wright, Jason T.</t>
  </si>
  <si>
    <t>L40</t>
  </si>
  <si>
    <t>10.3847/2041-8213/ad6985</t>
  </si>
  <si>
    <t>TOI-2447 b / NGTS-29 b: a 69-day Saturn around a Solar analogue</t>
  </si>
  <si>
    <t>Gill, Samuel ; Bayliss, Daniel; Ulmer-Moll, Solène ; Wheatley, Peter J.; Brahm, Rafael ; Anderson, David R.; Armstrong, David; Apergis, Ioannis; Alves, Douglas R.; Burleigh, Matthew R.; Butler, R. P. ; Bouchy, François ; Battley, Matthew P. ; Bryant, Edward M.; Bieryla, Allyson; Crane, Jeffrey D. ; Collins, Karen A. ; Casewell, Sarah L.; Carleo, Ilaria ; Claringbold, Alastair B. ; Dalba, Paul A. ; Dragomir, Diana; Eigmüller, Philipp ; Eberhardt, Jan ; Fausnaugh, Michael ; Günther, Maximilian N.; Grieves, Nolan; Goad, Michael R. ; Gillen, Edward; Hagelberg, Janis; Hobson, Melissa ; Hedges, Christina ; Henderson, Beth A.; Hawthorn, Faith; Henning, Thomas ; Jones, Matías I. ; Jordán, Andrés ; Jenkins, James S.; Kunimoto, Michelle ; Krenn, Andreas F. ; Kendall, Alicia ; Lendl, Monika; McCormac, James ; Moyano, Maximiliano; Torres-Miranda, Pascal ; Nielsen, Louise D. ; Osborn, Ares; Otegi, Jon ; Osborn, Hugh; Quinn, Samuel N. ; Rodriguez, Joseph E.; Ramsay, Gavin; Schlecker, Martin ; Shectman, Stephen A. ; Seager, Sara ; Tilbrook, Rosanna H.; Trifonov, Trifon ; Teske, Johanna K. ; Udry, Stephane ; Vines, Jose I.; West, Richard R.; Wohler, Bill ; Winn, Joshua N. ; Wang, Sharon X. ; Zhou, George ; Zivave, Tafadzwa</t>
  </si>
  <si>
    <t>10.1093/mnras/stae1256</t>
  </si>
  <si>
    <t>Unveiling the structural content of NGC 6357 via kinematics and NIR variability</t>
  </si>
  <si>
    <t>Ordenes-Huanca, C. ; Zoccali, M.; Bayo, A. ; Cuadra, J.; Contreras Ramos, R. ; Rojas-Arriagada, A.</t>
  </si>
  <si>
    <t>10.1093/mnras/stae1862</t>
  </si>
  <si>
    <t>TOI-2490b - the most eccentric brown dwarf transiting in the brown dwarf desert</t>
  </si>
  <si>
    <t>Henderson, Beth A.; Casewell, Sarah L.; Jordán, Andrés ; Brahm, Rafael ; Henning, Thomas ; Gill, Samuel ; Mayorga, L. C. ; Ziegler, Carl ; Stassun, Keivan G.; Goad, Michael R. ; Acton, Jack ; Alves, Douglas R. ; Anderson, David R. ; Apergis, Ioannis ; Armstrong, David J. ; Bayliss, Daniel ; Burleigh, Matthew R. ; Dragomir, Diana ; Gillen, Edward ; Günther, Maximilian N. ; Hedges, Christina ; Hesse, Katharine M. ; Hobson, Melissa J. ; Jenkins, James S. ; Jenkins, Jon M. ; Kendall, Alicia ; Lendl, Monika ; Lund, Michael B. ; McCormac, James ; Moyano, Maximiliano ; Osborn, Ares ; Pinto, Marcelo Tala ; Ramsay, Gavin ; Rapetti, David ; Saha, Suman ; Seager, Sara ; Trifonov, Trifon ; Udry, Stéphane ; Vines, Jose I. ; West, Richard G. ; Wheatley, Peter J. ; Winn, Joshua N. ; Zivave, Tafadzwa</t>
  </si>
  <si>
    <t>10.1093/mnras/stae1940</t>
  </si>
  <si>
    <t>TOI-2379 b and TOI-2384 b: two super-Jupiter mass planets transiting low-mass host stars</t>
  </si>
  <si>
    <t>Bryant, Edward M.; Bayliss, Daniel; Hartman, Joel D.; Sedaghati, Elyar; Hobson, Melissa J.; Jordán, Andrés; Brahm, Rafael; Bakos, Gaspar Á.; Almenara, Jose Manuel; Barkaoui, Khalid; Bonfils, Xavier ; Cointepas, Marion ; Collins, Karen A. ; Dransfield, Georgina ; Evans, Phil; Gillon, Michaël; Jehin, Emmanuël ; Murgas, Felipe; Pozuelos, Francisco J.; Schwarz, Richard P.; Timmermans, Mathilde ; Watkins, Cristilyn N. ; Wünsche, Anaël ; Butler, R. Paul; Crane, Jeffrey D.; Shectman, Steve; Teske, Johanna K. ; Charbonneau, David ; Essack, Zahra; Jenkins, Jon M.; Lewis, Hannah M.; Seager, Sara; Ting, Eric B.; Winn, Joshua N.</t>
  </si>
  <si>
    <t>10.1093/mnras/stae2034</t>
  </si>
  <si>
    <t>Unveiling the nature of two dwarf novae: CRTS J080846.2+313106 and V416 Dra</t>
  </si>
  <si>
    <t>Joshi, Arti ; Catelan, Márcio ; Scaringi, Simone ; Schwope, Axel ; Anupama, G. C. ; Rawat, Nikita; Sahu, Devendra K. ; Singh, Mridweeka ; Dastidar, Raya ; Subramanian, Rama Venkata ; Rao, Srinivas M.</t>
  </si>
  <si>
    <t>A158</t>
  </si>
  <si>
    <t>10.1051/0004-6361/202348307</t>
  </si>
  <si>
    <t>ATAT: Astronomical Transformer for time series and Tabular data</t>
  </si>
  <si>
    <t>Cabrera-Vives, G.; Moreno-Cartagena, D.; Astorga, N. ; Reyes-Jainaga, I.; Förster, F.; Huijse, P.; Arredondo, J. ; Muñoz Arancibia, A. M.; Bayo, A.; Catelan, M.; Estévez, P. A.; Sánchez-Sáez, P.; Álvarez, A. ; Castellanos, P. ; Gallardo, P. ; Moya, A.; Rodriguez-Mancini, D.</t>
  </si>
  <si>
    <t>A289</t>
  </si>
  <si>
    <t>10.1051/0004-6361/202449475</t>
  </si>
  <si>
    <t>The VISTA Variables in the Vía Láctea extended (VVVX) ESO public survey: Completion of the observations and legacy</t>
  </si>
  <si>
    <t>Saito, R. K. ; Hempel, M. ; Alonso-García, J. ; Lucas, P. W. ; Minniti, D. ; Alonso, S. ; Baravalle, L. ; Borissova, J. ; Caceres, C. ; Chené, A. N. ; Cross, N. J. G. ; Duplancic, F. ; Garro, E. R. ; Gómez, M. ; Ivanov, V. D. ; Kurtev, R. ; Luna, A. ; Majaess, D. ; Navarro, M. G. ; Pullen, J. B. ; Rejkuba, M. ; Sanders, J. L. ; Smith, L. C. ; Albino, P. H. C. ; Alonso, M. V. ; Amôres, E. B. ; Angeloni, R. ; Arias, J. I. ; Arnaboldi, M. ; Barbuy, B. ; Bayo, A. ; Beamin, J. C. ; Bedin, L. R. ; Bellini, A. ; Benjamin, R. A. ; Bica, E. ; Bonatto, C. J. ; Botan, E. ; Braga, V. F. ; Brown, D. A. ; Cabral, J. B. ; Camargo, D. ; Caratti o Garatti, A.; Carballo-Bello, J. A. ; Catelan, M. ; Chavero, C. ; Chijani, M. A. ; Clariá, J. J. ; Coldwell, G. V. ; Peña, C. Contreras ; Ramos, R. Contreras ; Corral-Santana, J. M. ; Cortés, C. C. ; Cortés-Contreras, M. ; Cruz, P. ; Daza-Perilla, I. V.; Debattista, V. P. ; Dias, B. ; Donoso, L. ; D'Souza, R. ; Emerson, J. P. ; Federle, S. ; Fermiano, V. ; Fernandez, J. ; Fernández-Trincado, J. G. ; Ferreira, T. ; Lopes, C. E. Ferreira; Firpo, V. ; Flores-Quintana, C. ; Fraga, L. ; Froebrich, D. ; Galdeano, D. ; Gavignaud, I. ; Geisler, D. ; Gerhard, O. E. ; Gieren, W. ; Gonzalez, O. A. ; Gramajo, L. V. ; Gran, F. ; Granitto, P. M. ; Griggio, M. ; Guo, Z.; Gurovich, S. ; Hilker, M. ; Jones, H. R. A. ; Kammers, R. ; Kuhn, M. A. ; Kumar, M. S. N. ; Kundu, R. ; Lares, M. ; Libralato, M. ; Lima, E. ; Maccarone, T. J. ; Cortés, P. Marchant ; Martin, E. L. ; Masetti, N. ; Matsunaga, N. ; Mauro, F. ; McDonald, I. ; Mejías, A. ; Mesa, V. ; Milla-Castro, F. P. ; Minniti, J. H. ; Bidin, C. Moni ; Montenegro, K. ; Morris, C. ; Motta, V. ; Navarete, F. ; Molina, C. Navarro ; Nikzat, F. ; Castellón, J. L. Nilo ; Obasi, C. ; Ortigoza-Urdaneta, M. ; Palma, T. ; Parisi, C. ; Ramírez, K. Pena ; Pereyra, L. ; Perez, N. ; Petralia, I. ; Pichel, A. ; Pignata, G. ; Alegría, S. Ramírez ; Rojas, A. F.; Rojas, D. ; Roman-Lopes, A. ; Rovero, A. C. ; Saroon, S. ; Schmidt, E. O. ; Schröder, A. C. ; Schultheis, M. ; Sgró, M. A. ; Solano, E. ; Soto, M. ; Stecklum, B. ; Steeghs, D. ; Tamura, M. ; Tissera, P. ; Valcarce, A. A. R. ; Valotto, C. A. ; Vasquez, S. ; Villalon, C. ; Villanova, S. ; Cádiz, F. Vivanco ; Bacigalupo, R. Zelada ; Zijlstra, A. ; Zoccali, M.</t>
  </si>
  <si>
    <t>A148</t>
  </si>
  <si>
    <t>10.1051/0004-6361/202450584</t>
  </si>
  <si>
    <t>Redshifts of candidate host galaxies of four fast X-ray transients using VLT/MUSE</t>
  </si>
  <si>
    <t>Inkenhaag, Anne ; Jonker, Peter G. ; Levan, Andrew J. ; Quirola-Vásquez, Jonathan ; Bauer, Franz E.; Eappachen, Deepak</t>
  </si>
  <si>
    <t>A343</t>
  </si>
  <si>
    <t>10.1051/0004-6361/202450249</t>
  </si>
  <si>
    <t>The fast transient AT 2023clx in the nearby LINER galaxy NGC 3799 as a tidal disruption of a very low-mass star</t>
  </si>
  <si>
    <t>Charalampopoulos, P. ; Kotak, R. ; Wevers, T. ; Leloudas, G. ; Kravtsov, T. ; Pursiainen, M. ; Ramsden, P. ; Reynolds, T. M. ; Aamer, A. ; Anderson, J. P. ; Arcavi, I. ; Cai, Y. -Z. ; Chen, T. -W.; Dennefeld, M. ; Galbany, L. ; Gromadzki, M. ; Gutiérrez, C. P.; Ihanec, N. ; Kangas, T. ; Kankare, E. ; Kool, E. ; Lawrence, A. ; Lundqvist, P. ; Makrygianni, L. ; Mattila, S. ; Müller-Bravo, T. E.; Nicholl, M. ; Onori, F. ; Sahu, A. ; Smartt, S. J. ; Sollerman, J. ; Wang, Y. ; Young, D. R.</t>
  </si>
  <si>
    <t>A350</t>
  </si>
  <si>
    <t>10.1051/0004-6361/202449296</t>
  </si>
  <si>
    <t>Light-curve Structure and Hα Line Formation in the Tidal Disruption Event AT 2019azh</t>
  </si>
  <si>
    <t xml:space="preserve">Faris, Sara; Arcavi, Iair; Makrygianni, Lydia; Hiramatsu, Daichi; Terreran, Giacomo; Farah, Joseph; Howell, D. Andrew; McCully, Curtis; Newsome, Megan; Padilla Gonzalez, Estefania; Pellegrino, Craig; Bostroem, K. Azalee; Abojanb, Wiam ; Lam, Marco C.; Tomasella, Lina; Brink, Thomas G.; Filippenko, Alexei V.; French, K. Decker; Clark, Peter; Graur, Or; Leloudas, Giorgos; Gromadzki, Mariusz; Anderson, Joseph P.; Nicholl, Matt; Gutiérrez, Claudia P.; Kankare, Erkki; Inserra, Cosimo; Galbany, Lluís; Reynolds, Thomas; Mattila, Seppo; Heikkilä, Teppo; Wang, Yanan; Onori, Francesca; Wevers, Thomas; Coughlin, Eric R.; Charalampopoulos, Panos; Johansson, Joel </t>
  </si>
  <si>
    <t>10.3847/1538-4357/ad4a72</t>
  </si>
  <si>
    <t>2024-07-02 00:00:00.000</t>
  </si>
  <si>
    <t>A Study of Nine Extremely Low Mass Ratio-contact Binary Systems</t>
  </si>
  <si>
    <t>Lalounta, Eleni ; Christopoulou, Panagiota-Eleftheria ; Papageorgiou, Athanasios; Ferreira Lopes, C. E.; Catelan, Márcio</t>
  </si>
  <si>
    <t>0004-6256</t>
  </si>
  <si>
    <t>10.3847/1538-3881/ad4882</t>
  </si>
  <si>
    <t>Garro, E. R.; Minniti, D. ; Alonso-García, J.; Fernández-Trincado, J. G. ; Gómez, M. ; Palma, T.; Saito, R. K. ; Obasi, C.</t>
  </si>
  <si>
    <t>Final Moments. II. Observational Properties and Physical Modeling of Circumstellar-material-interacting Type II Supernovae</t>
  </si>
  <si>
    <t xml:space="preserve">Jacobson-Galán, W. V.; Dessart, L.; Davis, K. W.; Kilpatrick, C. D.; Margutti, R.; Foley, R. J.; Chornock, R.; Terreran, G.; Hiramatsu, D.; Newsome, M.; Padilla Gonzalez, E.; Pellegrino, C.; Howell, D. A.; Filippenko, A. V.; Anderson, J. P.; Angus, C. R.; Auchettl, K.; Bostroem, K. A.; Brink, T. G.; Cartier, R.; Coulter, D. A.; de Boer, T.; Drout, M. R.; Earl, N.; Ertini, K.; Farah, J. R.; Farias, D.; Gall, C.; Gao, H.; Gerlach, M. A. ; Guo, F. ; Haynie, A.; Hosseinzadeh, G.; Ibik, A. L.; Jha, S. W.; Jones, D. O.; Langeroodi, D.; LeBaron, N.; Magnier, E. A.; Piro, A. L.; Raimundo, S. I.; Rest, A.; Rest, S.; Rich, R. Michael; Rojas-Bravo, C.; Sears, H.; Taggart, K.; Villar, V. A.; Wainscoat, R. J.; Wang, X. -F.; Wasserman, A. R.; Yan, S.; Yang, Y.; Zhang, J.; Zheng, W. </t>
  </si>
  <si>
    <t>10.3847/1538-4357/ad4a2a</t>
  </si>
  <si>
    <t>The NuSTAR Serendipitous Survey: The 80 Month Catalog and Source Properties of the High-energy Emitting Active Galactic Nucleus and Quasar Population</t>
  </si>
  <si>
    <t>Greenwell, Claire L.; Klindt, Lizelke; Lansbury, George B.; Rosario, David J.; Alexander, David M.; Aird, James; Stern, Daniel; Forster, Karl ; Koss, Michael J.; Bauer, Franz E.; Ricci, Claudio ; Tomsick, John; Brandt, William N.; Connor, Thomas; Boorman, Peter G.; Annuar, Adlyka ; Ballantyne, David R.; Chen, Chien-Ting; Civano, Francesca; Comastri, Andrea; Fawcett, Victoria A.; Fornasini, Francesca M.; Gandhi, Poshak; Harrison, Fiona ; Heida, Marianne; Hickox, Ryan; Kammoun, Elias S.; Lanz, Lauranne; Marchesi, Stefano; Noirot, Gaël ; Romero-Colmenero, Encarni; Treister, Ezequiel; Urry, C. Megan; Väisänen, Petri; van Soelen, Brian</t>
  </si>
  <si>
    <t>0067-0049</t>
  </si>
  <si>
    <t>10.3847/1538-4365/ad4a71</t>
  </si>
  <si>
    <t>Accretion Funnel Reconfiguration during an Outburst in a Young Stellar Object: EX Lupi</t>
  </si>
  <si>
    <t>Singh, Koshvendra; Ninan, Joe P.; Romanova, Marina M. ; Buckley, David A. H.; Ojha, Devendra K.; Ghosh, Arpan; Monson, Andrew; Schramm, Malte; Sharma, Saurabh; Reichart, Daniel E. ; Mikolajewska, Joanna; Beamin, Juan Carlos; Borissova, Jura; Ivanov, Valentin D.; Kouprianov, Vladimir V.; Hambsch, Franz-Josef; Pearce, Andrew</t>
  </si>
  <si>
    <t>10.3847/1538-4357/ad4099</t>
  </si>
  <si>
    <t>Comparing bulge RR Lyrae stars with bulge giants. Insight from 3D kinematics</t>
  </si>
  <si>
    <t>Olivares Carvajal, J.; Zoccali, M.; De Leo, M. ; Contreras Ramos, R. ; Quezada, C. ; Rojas-Arriagada, Á.; Valenti, E. ; Albarracín, R.; Valenzuela Navarro, Á.</t>
  </si>
  <si>
    <t>A312</t>
  </si>
  <si>
    <t>10.1051/0004-6361/202449503</t>
  </si>
  <si>
    <t>Evolution of BD-14 3065b (TOI-4987b) from giant planet to brown dwarf as possible evidence of deuterium burning at old stellar ages</t>
  </si>
  <si>
    <t>Šubjak, Ján; Latham, David W.; Quinn, Samuel N.; Berlind, Perry; Calkins, Michael L.; Esquerdo, Gilbert A.; Brahm, Rafael; Caballero, José A.; Collins, Karen A.; Guenther, Eike; Janík, Jan; Kabáth, Petr; Schwarz, Richard P.; Tan, Thiam-Guan; Vanzi, Leonardo ; Zambelli, Roberto ; Ziegler, Carl; Jenkins, Jon M.; Mireles, Ismael; Seager, Sara; Shporer, Avi; Striegel, Stephanie; Winn, Joshua N.</t>
  </si>
  <si>
    <t>A120</t>
  </si>
  <si>
    <t>10.1051/0004-6361/202349028</t>
  </si>
  <si>
    <t>SDSS1335+0728: The awakening of a ∼106 M⊙ black hole</t>
  </si>
  <si>
    <t>Sánchez-Sáez, P.; Hernández-García, L. ; Bernal, S. ; Bayo, A. ; Calistro Rivera, G. ; Bauer, F. E.; Ricci, C. ; Merloni, A. ; Graham, M. J. ; Cartier, R. ; Arévalo, P. ; Assef, R. J. ; Concas, A. ; Homan, D. ; Krumpe, M. ; Lira, P. ; Malyali, A. ; Martínez-Aldama, M. L. ; Muñoz Arancibia, A. M. ; Rau, A. ; Bruni, G. ; Förster, F. ; Pavez-Herrera, M. ; Tubín-Arenas, D.; Brightman, M.</t>
  </si>
  <si>
    <t>A157</t>
  </si>
  <si>
    <t>10.1051/0004-6361/202347957</t>
  </si>
  <si>
    <t>VVV catalog of ab-type RR Lyrae in the inner Galactic bulge</t>
  </si>
  <si>
    <t>Zoccali, M. ; Quezada, C. ; Contreras Ramos, R. ; Valenti, E. ; Valenzuela-Navarro, A.; Olivares Carvajal, J. ; Rojas Arriagada, A. ; Minniti, J. H. ; Gran, F. ; De Leo, M.</t>
  </si>
  <si>
    <t>A240</t>
  </si>
  <si>
    <t>10.1051/0004-6361/202450126</t>
  </si>
  <si>
    <t>Astrophysical calibration of the oscillator strengths of YJ-band absorption lines in classical Cepheids</t>
  </si>
  <si>
    <t>Elgueta, S. S.; Matsunaga, N. ; Jian, M.; Taniguchi, D.; Kobayashi, N. ; Fukue, K. ; Hamano, S. ; Sameshima, H.; Kondo, S. ; Arai, A. ; Ikeda, Y. ; Kawakita, H. ; Otsubo, S. ; Yasui, C. ; Tsujimoto, T.</t>
  </si>
  <si>
    <t>10.1093/mnras/stae1674</t>
  </si>
  <si>
    <t>Gaia22dkvLb: A Microlensing Planet Potentially Accessible to Radial-velocity Characterization</t>
  </si>
  <si>
    <t xml:space="preserve">Wu, Zexuan; Dong, Subo; Yi, Tuan; Liu, Zhuokai ; El-Badry, Kareem; Gould, Andrew ; Wyrzykowski, L.; Rybicki, K. A. ; Bachelet, Etienne; Christie, Grant W. ; de Almeida, L.; Monard, L. A. G. ; McCormick, J. ; Natusch, Tim ; Zieliński, P.; Chen, Huiling ; Huang, Yang; Liu, Chang; Mérand, A.; Mróz, Przemek; Shangguan, Jinyi; Udalski, Andrzej; Woillez, J.; Zhang, Huawei; Hambsch, Franz-Josef; Mikołajczyk, P. J.; Gromadzki, M.; Ratajczak, M. ; Kruszyńska, Katarzyna ; Ihanec, N. ; Pylypenko, Uliana ; Sitek, M. ; Howil, K. ; Zola, Staszek; Michniewicz, Olga ; Zejmo, Michal ; Lewis, Fraser ; Bronikowski, Mateusz ; Potter, Stephen ; Andrzejewski, Jan ; Merc, Jaroslav; Street, Rachel; Fukui, Akihiko; Figuera Jaimes, R. ; Bozza, V.; Rota, P. ; Cassan, A. ; Dominik, M.; Tsapras, Y.; Hundertmark, M. ; Wambsganss, J.; Bąkowska, K. ; Słowikowska, A. </t>
  </si>
  <si>
    <t>10.3847/1538-3881/ad5203</t>
  </si>
  <si>
    <t>2024-08-27 00:00:00.000</t>
  </si>
  <si>
    <t>High-resolution Transmission Spectroscopy of Warm Jupiters: An ESPRESSO Sample with Predictions for ANDES</t>
  </si>
  <si>
    <t>Prinoth, Bibiana; Sedaghati, Elyar; Seidel, Julia V.; Hoeijmakers, H. Jens; Brahm, Rafael; Thorsbro, Brian; Jordán, Andrés</t>
  </si>
  <si>
    <t>10.3847/1538-3881/ad5a7f</t>
  </si>
  <si>
    <t>Three new Galactic globular cluster candidates: FSR1700, Teutsch67, and CWNU4193</t>
  </si>
  <si>
    <t>Saroon, S. ; Dias, B. ; Minniti, D. ; Parisi, M. C. ; Gómez, M. ; Alonso-García, J.</t>
  </si>
  <si>
    <t>A115</t>
  </si>
  <si>
    <t>10.1051/0004-6361/202450019</t>
  </si>
  <si>
    <t>Narrow absorption lines from intervening material in supernovae. I. Measurements and temporal evolution</t>
  </si>
  <si>
    <t>González-Gaitán, Santiago; Gutiérrez, Claudia P.; Anderson, Joseph P.; Morales-Garoffolo, Antonia; Galbany, Lluis; Goswami, Sabyasachi ; Mourão, Ana M.; Mattila, Seppo; Sullivan, Mark</t>
  </si>
  <si>
    <t xml:space="preserve">10.1051/0004-6361/202348818 </t>
  </si>
  <si>
    <t>AGNFITTER-RX: Modeling the radio-to-X-ray spectral energy distributions of AGNs</t>
  </si>
  <si>
    <t>Martínez-Ramírez, L. N.; Calistro Rivera, G.; Lusso, E.; Bauer, F. E.; Nardini, E.; Buchner, J.; Brown, M. J. I.; Pineda, J. C. B. ; Temple, M. J.; Banerji, M.; Stalevski, M.; Hennawi, J. F.</t>
  </si>
  <si>
    <t>A46</t>
  </si>
  <si>
    <t>10.1051/0004-6361/202449329</t>
  </si>
  <si>
    <t>A Close Binary Lens Revealed by the Microlensing Event Gaia20bof</t>
  </si>
  <si>
    <t>Bachelet, E.; Rota, P.; Bozza, V.; Zieliński, P.; Tsapras, Y.; Hundertmark, M.; Wambsganss, J.; Wyrzykowski, Ł.; Mikołajczyk, P. J.; Street, R. A. ; Jaimes, R. Figuera ; Cassan, A. ; Dominik, M. ; Buckley, D. A. H.; Awiphan, S.; Nakhaharutai, N. ; Zola, S.; Rybicki, K. A.; Gromadzki, M.; Howil, K. ; Ihanec, N. ; Jabłońska, M. ; Kruszyńska, K. ; Kruszyńska, K. ; Pylypenko, U. ; Ratajczak, M. ; Sitek, M. ; Rabus, M.</t>
  </si>
  <si>
    <t>10.3847/1538-3881/ad46fc</t>
  </si>
  <si>
    <t>Physical Properties of Type II Supernovae Inferred from ZTF and ATLAS Photometric Data</t>
  </si>
  <si>
    <t>Silva-Farfán, Javier; Förster, Francisco; Moriya, Takashi J.; Hernández-García, L.; Muñoz Arancibia, A. M.; Sánchez-Sáez, P.; Anderson, Joseph P.; Tonry, John L.; Clocchiatti, Alejandro</t>
  </si>
  <si>
    <t>10.3847/1538-4357/ad402a</t>
  </si>
  <si>
    <t>Time-varying double-peaked emission lines following the sudden ignition of the dormant galactic nucleus AT2017bcc</t>
  </si>
  <si>
    <t xml:space="preserve">Ridley, E. J.; Nicholl, M.; Ward, C. A. ; Blanchard, P. K. ; Chornock, R.; Fraser, M.; Gomez, S. ; Mattila, S. ; Oates, S. R.; Pratten, G. ; Runnoe, J. C.; Schmidt, P. ; Alexander, K. D. ; Gromadzki, M.; Lawrence, A.; Reynolds, T. M.; Smith, K. W. ; Wyrzykowski, Ł. ; Aamer, A.; Anderson, J. P.; Benetti, S.; Berger, E. ; de Boer, T. ; Chambers, K. C.; Chen, T. -W. ; Gao, H.; Gutiérrez, C. P.; Inserra, C.; Kangas, T.; Leloudas, G. ; Magnier, E. A. ; Makrygianni, L. ; Moore, T. ; Müller-Bravo, T. E.; Smartt, S. J.; Sokolovsky, K. V.; Wainscoat, R. ; Young, D. R. </t>
  </si>
  <si>
    <t>10.1093/mnras/stae1129</t>
  </si>
  <si>
    <t>ROME/REA: Three-year, Tri-color Timeseries Photometry of the Galactic Bulge</t>
  </si>
  <si>
    <t>Street, R. A.; Bachelet, E.; Tsapras, Y.; Hundertmark, M. P. G. ; Bozza, V. ; Bramich, D. M.; Cassan, A. ; Dominik, M.; Figuera Jaimes, R. ; Horne, K. ; Mao, S.; Saha, A. ; Wambsganss, J. ; Zang, Weicheng</t>
  </si>
  <si>
    <t>Publications of the Astronomical Society of the Pacific</t>
  </si>
  <si>
    <t>0004-6280</t>
  </si>
  <si>
    <t>10.1088/1538-3873/ad4e69</t>
  </si>
  <si>
    <t>Gaia21blx: Complete resolution of a binary microlensing event in the Galactic disk</t>
  </si>
  <si>
    <t>Rota, P.; Bozza, V. ; Hundertmark, M.; Bachelet, E. ; Street, R. ; Tsapras, Y.; Cassan, A. ; Dominik, M.; Figuera Jaimes, R. ; Rybicki, K. A.; Wambsganss, J.; Wyrzykowski, Ł.; Zieliński, P. ; OMEGA Key Project ; Bonavita, M. ; Hinse, T. C.; Jørgensen, U. G. ; Khalouei, E.; Korhonen, H.; Longa-Peña, P.; Peixinho, N. ; Rahvar, S. ; Sajadian, S. ; Skottfelt, J.; Snodgrass, C.; Tregolan-Reed, J.; MiNDSTEp Consortium</t>
  </si>
  <si>
    <t>A173</t>
  </si>
  <si>
    <t>10.1051/0004-6361/202347807</t>
  </si>
  <si>
    <t>Searching for precursor activity of Type IIn supernovae</t>
  </si>
  <si>
    <t>Reguitti, A.; Pignata, G. ; Pastorello, A.; Dastidar, R.; Reichart, D. E.; Haislip, J. B.; Kouprianov, V. V.</t>
  </si>
  <si>
    <t>A231</t>
  </si>
  <si>
    <t>10.1051/0004-6361/202348679</t>
  </si>
  <si>
    <t>Instituto Milenio de Biología Integrativa</t>
  </si>
  <si>
    <t>Nakazawaea atacamensis f.a., sp. nov. a novel nonconventional fermentative ascomycetous yeast species from the Atacama Desert</t>
  </si>
  <si>
    <t>Araya M, Villarreal P, Moyano T, Santos ARO, Díaz FP, Bustos-Jarufe A, Urbina K, Del Pino JE, Groenewald M, Gutiérrez RA, Rosa CA, Cubillos FA.</t>
  </si>
  <si>
    <t>1097-0061</t>
  </si>
  <si>
    <t>Cerda, A., Rivera, M., Armijo, G., Ibarra-Henriquez, C., Reyes, J., Blázquez-Sánchez, P., Avilés, J., Arce, A., Seguel, A., Brown, A. J., Vásquez, Y., Cortez-San Martín, M., Cubillos, F. A., García, P., Ferres, M., Ramírez-Sarmiento, C. A., Federici, F., &amp; Gutiérrez, R. A.</t>
  </si>
  <si>
    <t>PloS one</t>
  </si>
  <si>
    <t>Dussarrat T, Nilo-Poyanco R, Moyano TC, Prigent S, Jeffers TL, Díaz FP, Decros G, Audi L, Sondervan VM, Shen B, Araus V, Rolin D, Shasha D, Coruzzi GM, Gibon Y, Latorre C, Pétriacq P, Gutiérrez RA</t>
  </si>
  <si>
    <t>Journal of experimental Botany</t>
  </si>
  <si>
    <t>Filling the gaps on root hair development under salt stress and phosphate starvation using current evidence coupled with a meta-analysis approach</t>
  </si>
  <si>
    <t>Ibeas MA, Salinas-Grenet H, Johnson NR, Pérez-Díaz J, Vidal EA, Alvarez JM, Estevez JM.</t>
  </si>
  <si>
    <t>Plant physiology</t>
  </si>
  <si>
    <t>0032-0889</t>
  </si>
  <si>
    <t>10.1093/plphys/kiae346</t>
  </si>
  <si>
    <t>2024-07-23 00:00:00.000</t>
  </si>
  <si>
    <t>New molecular components that regulate the transcriptional hub in root hairs: coupling environmental signals with endogenous hormones to coordinate growth</t>
  </si>
  <si>
    <t>Lopez LE, Chuah YS, Encina F, Carignani Sardoy M, Berdion Gabarain V, Mutwil M, Estevez JM</t>
  </si>
  <si>
    <t>10.1093/jxb/erad419</t>
  </si>
  <si>
    <t>RALF22 is a key modulator of the root hair growth responses to fungal ethylene emissions in Arabidopsis</t>
  </si>
  <si>
    <t>León Morcillo RJ, Leal-López J, Férez-Gómez A, López-Serrano L, Baroja-Fernández E, Gámez-Arcas S, Tortosa G, López LE, Estevez JM, Doblas VG, Frías-España L, García-Pedrajas MD, Sarmiento-Villamil J, Pozueta-Romero J</t>
  </si>
  <si>
    <t>Plant Physiology</t>
  </si>
  <si>
    <t>10.1093/plphys/kiae484</t>
  </si>
  <si>
    <t>Transcription factor NAC1 activates expression of peptidase-encoding AtCEPs in roots to limit root hair growth</t>
  </si>
  <si>
    <t xml:space="preserve">Rodríguez-García, D. R., Rondón Guerrero, Y. D. C., Ferrero, L., Rossi, A. H., Miglietta, E. A., Aptekmann, A. A., Marzol, E., Martínez Pacheco, J., Carignani, M., Berdion Gabarain, V., Lopez, L. E., Díaz Dominguez, G., Borassi, C., Sánchez-Serrano, J. J., Xu, L., Nadra, A. D., Rojo, E., Ariel, F., &amp; Estevez, J. M. </t>
  </si>
  <si>
    <t>10.1093/plphys/kiad533</t>
  </si>
  <si>
    <t>Fusarium sp. Strain K-23 Alleviates Salt Stress in Arabidopsis thaliana Through its Root Hair Growth-Promoting Effect</t>
  </si>
  <si>
    <t>Francis C Onejeme, Adrián González Ortega-Villaizán, Estefanía Rodríguez-Dobreva, Basha Topel Prieto, Manish K Patel, Selma Guendouzi, Priya YN Reddy, Leonel E Lopez, José M Estevez, Karaba N Nataraja, R Uma Shaanker, Begoña Benito, Jesús Vicente-Carbajosa, Ralf Oelmüller, Stephan Pollmann</t>
  </si>
  <si>
    <t>Journal of Plant Growth Regulation</t>
  </si>
  <si>
    <t>1435-8107</t>
  </si>
  <si>
    <t>10.1007/s00344-024-11518-1</t>
  </si>
  <si>
    <t>The exception to the rule? TORC1 triggers growth under low nutrient environments</t>
  </si>
  <si>
    <t>Lopez LE, Pacheco JM, Estevez JM.</t>
  </si>
  <si>
    <t>Trends in Plant Science</t>
  </si>
  <si>
    <t xml:space="preserve">1360-1385 </t>
  </si>
  <si>
    <t>10.1016/j.tplants.2023.10.001</t>
  </si>
  <si>
    <t>2024-02-16 00:00:00.000</t>
  </si>
  <si>
    <t>Gene regulatory networks underlying sulfate deficiency responses in plants</t>
  </si>
  <si>
    <t>Fernández JD, Miño I, Canales J, Vidal EA</t>
  </si>
  <si>
    <t>10.1093/jxb/erae051</t>
  </si>
  <si>
    <t>DNA controls the dimerization of the human FoxP1 forkhead domain</t>
  </si>
  <si>
    <t>Kolimi N, Ballard J, Peulen T, Goutam R, Duffy FX 3rd, Ramírez-Sarmiento CA, Babul J, Medina E, Sanabria H.</t>
  </si>
  <si>
    <t>Cell reports Physical science</t>
  </si>
  <si>
    <t>2666-3864</t>
  </si>
  <si>
    <t>10.1016/j.xcrp.2024.101854</t>
  </si>
  <si>
    <t>Concerted transformation of a hyper-paused transcription complex and its reinforcing protein</t>
  </si>
  <si>
    <t>Zuber PK, Said N, Hilal T, Wang B, Loll B, González-Higueras J, Ramírez-Sarmiento CA, Belogurov GA, Artsimovitch I, Wahl MC, Knauer SH</t>
  </si>
  <si>
    <t>Nature Communications</t>
  </si>
  <si>
    <t>2041-1723</t>
  </si>
  <si>
    <t>10.1038/s41467-024-47368-4</t>
  </si>
  <si>
    <t>Dissecting the structural and functional consequences of the evolutionary proline-glycine deletion in the wing 1 region of the forkhead domain of human FoxP1</t>
  </si>
  <si>
    <t>Tamarín S, Galaz-Davison P, Ramírez-Sarmiento CA, Babul J, Medina E</t>
  </si>
  <si>
    <t>FEBS Letters</t>
  </si>
  <si>
    <t>0014-5793</t>
  </si>
  <si>
    <t>10.1002/1873-3468.14972</t>
  </si>
  <si>
    <t>2024-10-16 00:00:00.000</t>
  </si>
  <si>
    <t>Current challenges for plant biology research in the Global South</t>
  </si>
  <si>
    <t>Auge G, Sunil RS, Ingle RA, Rahul PV, Mutwil M, Estevez JM</t>
  </si>
  <si>
    <t>New Phytologist</t>
  </si>
  <si>
    <t>0028-646X</t>
  </si>
  <si>
    <t>10.1111/nph.20083</t>
  </si>
  <si>
    <t>The trade-off between grain weight and grain number in wheat is explained by the overlapping of the key phases determining these major yield components</t>
  </si>
  <si>
    <t>Vicentin L, Canales J, Calderini DF</t>
  </si>
  <si>
    <t>Frontiers in Plant Science</t>
  </si>
  <si>
    <t xml:space="preserve"> 1664-462X</t>
  </si>
  <si>
    <t>10.3389/fpls.2024.1380429</t>
  </si>
  <si>
    <t>Metamorphic proteins and how to find them</t>
  </si>
  <si>
    <t>Porter LL, Artsimovitch I, Ramírez-Sarmiento CA</t>
  </si>
  <si>
    <t>Current Opinion Structural Biology</t>
  </si>
  <si>
    <t>0959-440X</t>
  </si>
  <si>
    <t>10.1016/j.sbi.2024.102807.</t>
  </si>
  <si>
    <t>The Light Chain Allosterically Enhances the Protease Activity of Murine Urokinase-Type Plasminogen Activator</t>
  </si>
  <si>
    <t>Torres-Paris C, Song HJ, Engelberger F, Ramírez-Sarmiento CA, Komives EA</t>
  </si>
  <si>
    <t>Biochemistry</t>
  </si>
  <si>
    <t>0006-2960</t>
  </si>
  <si>
    <t>10.1021/acs.biochem.4c00071</t>
  </si>
  <si>
    <t>A contact-based analysis of local energetic frustration dynamics identifies key residues enabling RfaH fold-switch</t>
  </si>
  <si>
    <t>González-Higueras J, Freiberger MI, Galaz-Davison P, Parra RG, Ramírez-Sarmiento CA</t>
  </si>
  <si>
    <t>Protein Science</t>
  </si>
  <si>
    <t>0961-8368</t>
  </si>
  <si>
    <t>10.1002/pro.5182ope</t>
  </si>
  <si>
    <t>An integrative taxonomy approach reveals Saccharomyces chiloensis sp. nov. as a newly discovered species from Coastal Patagonia</t>
  </si>
  <si>
    <t>Peña TA, Villarreal P, Agier N, De Chiara M, Barría T, Urbina K, Villarroel CA, Santos ARO, Rosa CA, Nespolo RF, Liti G, Fischer G, Cubillos FA.</t>
  </si>
  <si>
    <t>PLoS Genetics</t>
  </si>
  <si>
    <t>1553-7404</t>
  </si>
  <si>
    <t>10.1371/journal.pgen.1011396</t>
  </si>
  <si>
    <t>Nitrogen sensing and regulatory networks: it's about time and space</t>
  </si>
  <si>
    <t xml:space="preserve">Shanks, C. M., Rothkegel, K., Brooks, M. D., Cheng, C. Y., Alvarez, J. M., Ruffel, S., Krouk, G., Gutiérrez, R. A., &amp; Coruzzi, G. M. </t>
  </si>
  <si>
    <t>The Plant cell</t>
  </si>
  <si>
    <t>1532-298X</t>
  </si>
  <si>
    <t xml:space="preserve"> Delgado, L. D., Nunez-Pascual, V., Riveras, E., Ruffel, S., &amp; Gutiérrez, R. A.</t>
  </si>
  <si>
    <t xml:space="preserve">Fonseca, A., Riveras, E., Moyano, T. C., Alvarez, J. M., Rosa, S., &amp; Gutiérrez, R. A. </t>
  </si>
  <si>
    <t>Plant, cell &amp; environment</t>
  </si>
  <si>
    <t>The Characterization of a Novel PrMADS11 Transcription Factor from Pinus radiata Induced Early in Bent Pine Stem</t>
  </si>
  <si>
    <t>Méndez, T., Guajardo, J., Cruz, N., Gutiérrez, R. A., Norambuena, L., Vega, A., Moya-León, M. A., &amp; Herrera, R.</t>
  </si>
  <si>
    <t>International journal of molecular sciences</t>
  </si>
  <si>
    <t>1422-0067</t>
  </si>
  <si>
    <t>Morales, P., Gajardo, F., Valdivieso, C., Valladares, M. A., Di Genova, A., Orellana, A., Gutiérrez, R. A., González, M., Montecino, M., Maass, A., Méndez, M. A., &amp; Allende, M. L.</t>
  </si>
  <si>
    <t>BMC genomics</t>
  </si>
  <si>
    <t>2730-6844</t>
  </si>
  <si>
    <t>2024-01-27 00:00:00.000</t>
  </si>
  <si>
    <t>Unheard voices speak up: the Arabidopsis community and the representation of researchers from the Global South</t>
  </si>
  <si>
    <t>Auge G, Estevez JM</t>
  </si>
  <si>
    <t>10.1093/jxb/erae027</t>
  </si>
  <si>
    <t>Auxin signaling gets oxidative to promote root hair growth</t>
  </si>
  <si>
    <t>Gabarain VB, Ibeas MA, Salinas-Grenet H, Estevez JM</t>
  </si>
  <si>
    <t>Molecular Plant</t>
  </si>
  <si>
    <t>1674-2052</t>
  </si>
  <si>
    <t>10.1016/j.molp.2024.04.007</t>
  </si>
  <si>
    <t>Exploring the puzzle of reactive oxygen species acting on root hair cells</t>
  </si>
  <si>
    <t>Lopez LE, Ibeas MA, Diaz Dominguez G, Estevez JM</t>
  </si>
  <si>
    <t>10.1093/jxb/erae260</t>
  </si>
  <si>
    <t>Arabidopsis pollen prolyl-hydroxylases P4H4/6 are relevant for correct hydroxylation and secretion of LRX11 in pollen tubes</t>
  </si>
  <si>
    <t>Sede AR, Wengier DL, Borassi C, Ricardi M, Somoza SC, Aguiló R, Estevez JM, Muschietti JP.</t>
  </si>
  <si>
    <t>10.1093/jxb/erae269</t>
  </si>
  <si>
    <t>Nespolo RF, Quintero-Galvis JF, Fontúrbel FE, Cubillos FA, Vianna J, Moreno-Meynard P, Rezende EL, Bozinovic F</t>
  </si>
  <si>
    <t>10.6084/m9.figshare.c.7262689.</t>
  </si>
  <si>
    <t>Local adaptation of Dromiciops marsupials (Microbiotheriidae) from southern South America: Implications for species management facing climate change</t>
  </si>
  <si>
    <t>Quintero-Galvis JF, Saenz-Agudelo P,  D'Elía G, Nespolo RF.</t>
  </si>
  <si>
    <t>10.1002/ece3.70355</t>
  </si>
  <si>
    <t>Phenotyping of a new yeast mapping population reveals differences in the activation of the TORC1 signalling pathway between wild and domesticated yeast strains</t>
  </si>
  <si>
    <t>Rocha G., Gómez M., Baeza C., Salinas F., Martínez C., Kessi-Pérez E.</t>
  </si>
  <si>
    <t xml:space="preserve">Biological Research </t>
  </si>
  <si>
    <t>0717-6287</t>
  </si>
  <si>
    <t>10.1186/s40659-024-00563-5</t>
  </si>
  <si>
    <t>Geomicrobiological characterization of the evaporitic ecosystem in the hypersaline lake Laguna Verde (Andean Puna, Northwestern Argentina)</t>
  </si>
  <si>
    <t>Saona LA, Villafañe PG, Carrizo D., Cónsole Gonella C., Néspolo R.,. Farías ME.</t>
  </si>
  <si>
    <t>10.1002/ece3.10931</t>
  </si>
  <si>
    <t>Wild Patagonian yeast improve the evolutionary potential of novel interspecific hybrid strains for lager brewing</t>
  </si>
  <si>
    <t>Molinet J, Navarrete JP, Villarroel CA, Villarreal P, Sandoval FI, Nespolo RF, Stelkens R, Cubillos FA.</t>
  </si>
  <si>
    <t>10.1371/journal.pgen.1011154</t>
  </si>
  <si>
    <t>2024-01-23 00:00:00.000</t>
  </si>
  <si>
    <t>Domestication signatures in the non-conventional yeast Lachancea cidri</t>
  </si>
  <si>
    <t>Pablo Villarreal, Samuel O'Donnell, Nicolas Agier, Felipe Muñoz-Guzman, Jose Benavides-Parra, Kami Urbina, Tomas A. Peña, Mark Solomon, Roberto F. Nespolo, Gilles Fischer, Cristian Varela, Francisco A. Cubillos</t>
  </si>
  <si>
    <t>mSystems</t>
  </si>
  <si>
    <t>2379-5077</t>
  </si>
  <si>
    <t>10.1128/msystems.01058-23open</t>
  </si>
  <si>
    <t>The art of modeling gene regulatory circuits</t>
  </si>
  <si>
    <t>Gómez-Schiavon M, Montejano-Montelongo I, Orozco-Ruiz FS, Sotomayor-Vivas C.</t>
  </si>
  <si>
    <t>Npj Systems Biology and Applications</t>
  </si>
  <si>
    <t>2056-7189</t>
  </si>
  <si>
    <t>10.1038/s41540-024-00380-2</t>
  </si>
  <si>
    <t>2024-11-14 00:00:00.000</t>
  </si>
  <si>
    <t>Extrinsic fluctuations in the p53 cycle</t>
  </si>
  <si>
    <t>Hernández-García ME, Gómez-Schiavon M, Velázquez-Castro J.</t>
  </si>
  <si>
    <t>The Journal of Chemical Physics</t>
  </si>
  <si>
    <t>0021-9606</t>
  </si>
  <si>
    <t>10.1063/5.0227728.</t>
  </si>
  <si>
    <t>Mg-Al LDH nanosheets as a nanotechnological tool in agriculture: An exploratory toxicity evaluation study.</t>
  </si>
  <si>
    <t>Salinas-Jiménez R, Vera G, Tobar M, Moscote J, Acha G, Herrera-Vásquez A, Rojas-Rivera D, Vidal EA, Miyasaka Almeida A, Ahumada M</t>
  </si>
  <si>
    <t>Environmental Science Nano</t>
  </si>
  <si>
    <t>2051-8153</t>
  </si>
  <si>
    <t>10.1039/D3EN00733B</t>
  </si>
  <si>
    <t>Transcriptional rewiring of an evolutionarily conserved circadian clock</t>
  </si>
  <si>
    <t xml:space="preserve">Goity A, Dovzhenok A, Lim S, Hong C, Loros J, Dunlap JC, Larrondo LF. </t>
  </si>
  <si>
    <t>The EMBO Journal</t>
  </si>
  <si>
    <t>0261-4189</t>
  </si>
  <si>
    <t>10.1038/s44318-024-00088-3</t>
  </si>
  <si>
    <t>Proteomic profiling of Arabidopsis nuclei reveals distinct protein accumulation kinetics upon heat stress</t>
  </si>
  <si>
    <t xml:space="preserve">Muñoz-Díaz E, Fuenzalida-Valdivia I, Darrière T, de Bures A, Blanco-Herrera F, Rompais M, Carapito C, Sáez-Vásquez J. </t>
  </si>
  <si>
    <t>10.1038/s41598-024-65558-4.</t>
  </si>
  <si>
    <t>The root hairless mutant buzz in Brachypodium distachyon shows increased nitrate uptake and signaling but does not affect overall nitrogen use efficiency</t>
  </si>
  <si>
    <t>Rosas MA, Alvarez JM, Sanguinet KA.</t>
  </si>
  <si>
    <t>The Plant Journal</t>
  </si>
  <si>
    <t>0960-7412</t>
  </si>
  <si>
    <t>10.1111/tpj.17143</t>
  </si>
  <si>
    <t>Site-Specific Nutrient Data Reveal the Importance of Soils in Driving the Mycorrhizal Make-Up of Woody Vegetation Worldwide</t>
  </si>
  <si>
    <t>Hua X, Lusk CH, Dickie IA, Adu-Bredu S, Allen KJ, Araus V, Augusto L, Barsukov P, Bauman D, Brédoire F, Burslem D F. R. P., Dalling  JW, Depauw L, Dexter  KG.,  Drouet T,  Godlee JL, Godoy R,  Gutiérrez RA., Ilunga Muledi J, Jacobs A, Kooyman R, Latorre C, López Angulo J,  Macé S, Maes SL, Gonçalves FMP,  Marimon Junior BH,  Nicolas M, Nilus R, O'Brien M, Oliveras Menor I, Piper FI,  Read J, Reynolds G, Saldaña A, Schwantes Marimon B, Verheyen K, Westoby M,  Wigley B,  Wright IJ</t>
  </si>
  <si>
    <t>gLOBAL ecology and Biogeography</t>
  </si>
  <si>
    <t xml:space="preserve">Instituto Milenio de Física Subatómica en la Frontera de Altas Energías </t>
  </si>
  <si>
    <t>Electron and photon energy calibration with the ATLAS detector using LHC Run 2 data</t>
  </si>
  <si>
    <t xml:space="preserve">The ATLAS Collaboration </t>
  </si>
  <si>
    <t>Journal of Instrumentation</t>
  </si>
  <si>
    <t>P02009</t>
  </si>
  <si>
    <t>1, 58</t>
  </si>
  <si>
    <t>1748-0221</t>
  </si>
  <si>
    <t>10.1088/1748-0221/19/02/P02009</t>
  </si>
  <si>
    <t>Azimuthal Angle Correlations of Muons Produced via Heavy-Flavor Decays in 5.02 TeV Pb + Pb and pp Collisions with the ATLAS Detector</t>
  </si>
  <si>
    <t>PHYSICAL REVIEW LETTERS</t>
  </si>
  <si>
    <t>1, 32</t>
  </si>
  <si>
    <t>1079-7114</t>
  </si>
  <si>
    <t>10.1103/PhysRevLett.132.202301</t>
  </si>
  <si>
    <t>2024-03-07 00:00:00.000</t>
  </si>
  <si>
    <t>Measurement of the Centrality Dependence of the Dijet Yield in p + Pb Collisions at √sNN = 8.16 TeV with the ATLAS Detector</t>
  </si>
  <si>
    <t xml:space="preserve">The ATLAS collaboration </t>
  </si>
  <si>
    <t>1, 22</t>
  </si>
  <si>
    <t>10.1103/PhysRevLett.132.102301</t>
  </si>
  <si>
    <t>2024-03-23 00:00:00.000</t>
  </si>
  <si>
    <t>A precise measurement of the Z-boson double-differential transverse momentum and rapidity distributions in the full phase space of the decay leptons with the ATLAS experiment at √s=8TeV</t>
  </si>
  <si>
    <t>The European Physical Journal C</t>
  </si>
  <si>
    <t>1, 41</t>
  </si>
  <si>
    <t>1434-6052</t>
  </si>
  <si>
    <t>10.1140/epjc/s10052-024-12438-w</t>
  </si>
  <si>
    <t>2024-09-08 00:00:00.000</t>
  </si>
  <si>
    <t>Performance and calibration of quark/gluon-jet taggers using 140 fb−1 of pp collisions at √s = 13 TeV with the ATLAS detector</t>
  </si>
  <si>
    <t>Chinese Physics C</t>
  </si>
  <si>
    <t>1, 25</t>
  </si>
  <si>
    <t>2058-6132</t>
  </si>
  <si>
    <t>10.1088/1674-1137/acf701</t>
  </si>
  <si>
    <t>2024-06-11 00:00:00.000</t>
  </si>
  <si>
    <t>Search for singly produced vectorlike top partners in multilepton final states with 139 fb-1 of pp collision data at  √s = 13 TeV with the ATLAS detector</t>
  </si>
  <si>
    <t>PHYSICAL REVIEW D</t>
  </si>
  <si>
    <t>1, 34</t>
  </si>
  <si>
    <t>2470-0029</t>
  </si>
  <si>
    <t>10.1103/PhysRevD.109.112012</t>
  </si>
  <si>
    <t>Deep Generative Models for Fast Photon Shower Simulation in ATLAS</t>
  </si>
  <si>
    <t>Computing and Software for Big Science</t>
  </si>
  <si>
    <t>1, 40</t>
  </si>
  <si>
    <t>2510-2044</t>
  </si>
  <si>
    <t>10.1007/s41781-023-00106-9</t>
  </si>
  <si>
    <t>Search for New Phenomena in Two-Body Invariant Mass Distributions Using Unsupervied Machine Learning for Anomaly Detection at √s = 13 TeV with the ATLAS Detector</t>
  </si>
  <si>
    <t>1, 23</t>
  </si>
  <si>
    <t>10.1103/PhysRevLett.132.081801</t>
  </si>
  <si>
    <t>Search for pair production of squarks or gluinos decaying via sleptons or weak bosons in final states with two same-sign or three leptons with the ATLAS detector</t>
  </si>
  <si>
    <t>Journal of High Energy Physics</t>
  </si>
  <si>
    <t xml:space="preserve">1, 55 </t>
  </si>
  <si>
    <t>1029-8479</t>
  </si>
  <si>
    <t>10.1007/JHEP02(2024)107</t>
  </si>
  <si>
    <t>Probing the 𝐶𝑃 nature of the top–Higgs Yukawa coupling in 𝑡𝑡𝐻 and 𝑡𝐻 events with 𝐻 → 𝑏̄𝑏 decays using the ATLAS detector at the LHC</t>
  </si>
  <si>
    <t>Physics Letters B</t>
  </si>
  <si>
    <t>1873-2445</t>
  </si>
  <si>
    <t>10.1016/j.physletb.2024.138469</t>
  </si>
  <si>
    <t>2024-02-27 00:00:00.000</t>
  </si>
  <si>
    <t>Search for quantum black hole production in lepton + jet final states using proton-proton collisions at √s = 13 TeV with the ATLAS detector</t>
  </si>
  <si>
    <t>1, 28</t>
  </si>
  <si>
    <t>10.1103/PhysRevD.109.032010</t>
  </si>
  <si>
    <t>Search for top-philic heavy resonances in pp collisionsat √s = 13 TeV with the ATLAS detector</t>
  </si>
  <si>
    <t>10.1140/epjc/s10052-023-12318-9</t>
  </si>
  <si>
    <t>Search for leptoquark pair production decaying into te−t e+ or t μ− tμ+ in multi-lepton final states in p p collisions at with the ATLAS detector  √s = 13 TeV</t>
  </si>
  <si>
    <t>10.1140/epjc/s10052-024-12975-4</t>
  </si>
  <si>
    <t>2024-02-19 00:00:00.000</t>
  </si>
  <si>
    <t>Measurement of the production cross-section of J/ψ and ψ(2S) mesons in pp collisions at √s = 13 TeV with the ATLAS detector</t>
  </si>
  <si>
    <t>1, 30</t>
  </si>
  <si>
    <t>10.1140/epjc/s10052-024-12439-9</t>
  </si>
  <si>
    <t>2024-10-17 00:00:00.000</t>
  </si>
  <si>
    <t xml:space="preserve"> Search for the Exclusive W Boson Hadronic Decays         W+- → π+-γ, W+- → K+-γ and W+- → ρ+-γ with the ATLAS Detector</t>
  </si>
  <si>
    <t>10.1103/PhysRevLett.133.161804</t>
  </si>
  <si>
    <t>2024-05-09 00:00:00.000</t>
  </si>
  <si>
    <t>Test of CP-invariance of the Higgs boson in vector-boson fusion production and in its decay into four leptons</t>
  </si>
  <si>
    <t>1, 65</t>
  </si>
  <si>
    <t>10.1007/JHEP05(2024)105</t>
  </si>
  <si>
    <t>Electron and photon efficiencies in LHC Run 2 with the ATLAS experiment</t>
  </si>
  <si>
    <t>10.1007/JHEP05(2024)162</t>
  </si>
  <si>
    <t>Software Performance of the ATLAS Track Reconstruction for LHC Run 3</t>
  </si>
  <si>
    <t>10.1007/s41781-023-00111-y</t>
  </si>
  <si>
    <t>2024-01-07 00:00:00.000</t>
  </si>
  <si>
    <t>Measurement of the tt cross section and its ratio to the 𝑍 production cross section using 𝑝𝑝collisions at √𝑠=13.6 TeV with the ATLAS detector</t>
  </si>
  <si>
    <t>10.1016/j.physletb.2023.138376</t>
  </si>
  <si>
    <t>Observation of 𝑊𝛾𝛾 triboson production in proton-proton collisions at √𝑠=13 TeV with the ATLAS detector</t>
  </si>
  <si>
    <t>1, 24</t>
  </si>
  <si>
    <t>10.1016/j.physletb.2023.138400</t>
  </si>
  <si>
    <t>Search for heavy resonances in final states with four leptons and missing transverse momentum or jets in pp collisions at √s = 13 TeV with the ATLAS detector</t>
  </si>
  <si>
    <t>1, 50</t>
  </si>
  <si>
    <t>10.1007/JHEP10(2024)130</t>
  </si>
  <si>
    <t>Measurement of 𝑡-channel single-top-quark production in 𝑝𝑝 collisions at √𝑠=5.02 TeV with the ATLAS detector</t>
  </si>
  <si>
    <t>10.1016/j.physletb.2024.138726</t>
  </si>
  <si>
    <t>Inclusive and differential cross-section measurements of ttZ production in pp collisions at √s= 13 TeV with the ATLAS detector, including EFT and spin-correlation interpretations</t>
  </si>
  <si>
    <t>1, 108</t>
  </si>
  <si>
    <t>10.1007/JHEP07(2024)163</t>
  </si>
  <si>
    <t>2024-06-21 00:00:00.000</t>
  </si>
  <si>
    <t>Measurement of jet substructure in boosted tt events with the ATLAS detector using 140 fb−1 of 13 TeV pp collisions</t>
  </si>
  <si>
    <t>1, 49</t>
  </si>
  <si>
    <t>10.1103/PhysRevD.109.112016</t>
  </si>
  <si>
    <t>2024-03-29 00:00:00.000</t>
  </si>
  <si>
    <t>Study of High-Transverse-Momentum Higgs Boson Production in Association with a Vector Boson in the qqbb Final State with the ATLAS Detector</t>
  </si>
  <si>
    <t>10.1103/PhysRevLett.132.131802</t>
  </si>
  <si>
    <t>2024-07-26 00:00:00.000</t>
  </si>
  <si>
    <t>A search for top-squark pair production, in final states containing a top quark, a charm quark and missing transverse momentum, using the 139 fb−1 of pp collision data collected by the ATLAS detector</t>
  </si>
  <si>
    <t>10.1007/JHEP07(2024)250</t>
  </si>
  <si>
    <t>Interpretations of the ATLAS measurements of Higgs boson production and decay rates and differential cross-sections in pp collisions at √s = 13 TeV</t>
  </si>
  <si>
    <t>The ATLAS Collaboration</t>
  </si>
  <si>
    <t>1, 89</t>
  </si>
  <si>
    <t>10.1007/JHEP11(2024)097</t>
  </si>
  <si>
    <t>ATLAS Run 2 searches for electroweak production of supersymmetric particles interpreted within the pMSSM</t>
  </si>
  <si>
    <t>1, 57</t>
  </si>
  <si>
    <t>10.1007/JHEP05(2024)106</t>
  </si>
  <si>
    <t>Search for electroweak production of supersymmetric particles in final states with two τ-leptons in √s = 13 TeV pp collisions with the ATLAS detector</t>
  </si>
  <si>
    <t>10.1007/JHEP05(2024)150</t>
  </si>
  <si>
    <t>2024-10-02 00:00:00.000</t>
  </si>
  <si>
    <t>Determination of the Relative Sign of the Higgs Boson Couplings to W and Z Bosons Using WH Production via Vector-Boson Fusion with the ATLAS Detector</t>
  </si>
  <si>
    <t>10.1103/PhysRevLett.133.141801</t>
  </si>
  <si>
    <t>2024-05-30 00:00:00.000</t>
  </si>
  <si>
    <t xml:space="preserve">Search for Nearly Mass-Degenerate Higgsinos Using Low-Momentum Mildly Displaced Tracks in pp Collisions at √s = 13 TeV with the ATLAS Detector </t>
  </si>
  <si>
    <t>10.1103/PhysRevLett.132.221801</t>
  </si>
  <si>
    <t>Search for new phenomena with top-quark pairs and large missing transverse momentum using 140 fb−1 of pp collision data at √s = 13 TeV with the ATLAS detector</t>
  </si>
  <si>
    <t xml:space="preserve">Journal of High Energy Physics </t>
  </si>
  <si>
    <t>10.1007/JHEP03(2024)139</t>
  </si>
  <si>
    <t>Combination of searches for pair-produced leptoquarks at √𝑠=13 TeV with the ATLAS detector</t>
  </si>
  <si>
    <t>10.1016/j.physletb.2024.138736</t>
  </si>
  <si>
    <t>The ATLAS trigger system for LHC Run 3 and trigger performance in 2022</t>
  </si>
  <si>
    <t>P06029</t>
  </si>
  <si>
    <t>1, 111</t>
  </si>
  <si>
    <t>10.1088/1748-0221/19/06/P06029</t>
  </si>
  <si>
    <t>Measurement of the total and differential cross-sections of ttW production in pp collisions at √s = 13 TeV with the ATLAS detector</t>
  </si>
  <si>
    <t>1, 75</t>
  </si>
  <si>
    <t>10.1007/JHEP05(2024)131</t>
  </si>
  <si>
    <t>Search for short- and long-lived axion-like particles in H → aa → 4γ decays with the ATLAS experiment at the LHC</t>
  </si>
  <si>
    <t>1, 31</t>
  </si>
  <si>
    <t>10.1140/epjc/s10052-024-12979-0</t>
  </si>
  <si>
    <t>2024-04-04 00:00:00.000</t>
  </si>
  <si>
    <t>Measurement and interpretation of same-sign W boson pair production in association with two jets in pp collisions at √s = 13 TeV with the ATLAS detector</t>
  </si>
  <si>
    <t>1, 61</t>
  </si>
  <si>
    <t>10.1007/JHEP04(2024)026</t>
  </si>
  <si>
    <t>2024-07-08 00:00:00.000</t>
  </si>
  <si>
    <t>Measurement of the Z boson invisible width at √𝑠=13 TeV with the ATLAS detector</t>
  </si>
  <si>
    <t>10.1016/j.physletb.2024.138705</t>
  </si>
  <si>
    <t>2024-03-11 00:00:00.000</t>
  </si>
  <si>
    <t>Search for the decay of the Higgs boson to a 𝑍 boson and a light pseudoscalar particle decaying to two photons</t>
  </si>
  <si>
    <t>10.1016/j.physletb.2024.138536</t>
  </si>
  <si>
    <t>Measurement of the 𝑉𝐻, 𝐻 → 𝜏𝜏 process with the ATLAS detector at 13TeV</t>
  </si>
  <si>
    <t>10.1016/j.physletb.2024.138817</t>
  </si>
  <si>
    <t>2024-07-22 00:00:00.000</t>
  </si>
  <si>
    <t>Search for light long-lived neutral particles from Higgs boson decays via vector-boson-fusion production from pp collisions at s = 13 TeV with the ATLAS detector</t>
  </si>
  <si>
    <t>1, 29</t>
  </si>
  <si>
    <t>10.1140/epjc/s10052-024-12902-7</t>
  </si>
  <si>
    <t>2024-06-06 00:00:00.000</t>
  </si>
  <si>
    <t>Search for New Phenomena in Two-Body Invariant Mass Distributions Using Unsupervised Machine Learning for Anomaly Detection at √s = 13 TeV with the ATLAS Detector</t>
  </si>
  <si>
    <t>Simultaneous energy and mass calibration of large-radius jets with the ATLAS detector using a deep neural network</t>
  </si>
  <si>
    <t>Machine Learning: Science and Technology</t>
  </si>
  <si>
    <t>2, 38</t>
  </si>
  <si>
    <t>2632-2153</t>
  </si>
  <si>
    <t>10.1088/2632-2153/ad611e</t>
  </si>
  <si>
    <t>2024-09-18 00:00:00.000</t>
  </si>
  <si>
    <t>Observation of quantum entanglement with top quarks at the ATLAS detector</t>
  </si>
  <si>
    <t xml:space="preserve">Nature </t>
  </si>
  <si>
    <t> 633</t>
  </si>
  <si>
    <t xml:space="preserve"> 542–547</t>
  </si>
  <si>
    <t>1476-4687</t>
  </si>
  <si>
    <t>10.1038/s41586-024-07824-z</t>
  </si>
  <si>
    <t>Search for resonant production of dark quarks in the dijet final state with the ATLAS detector</t>
  </si>
  <si>
    <t>1, 35</t>
  </si>
  <si>
    <t>10.1007/JHEP02(2024)128</t>
  </si>
  <si>
    <t>Improving topological cluster reconstruction using calorimeter cell timing in ATLAS</t>
  </si>
  <si>
    <t>1, 42</t>
  </si>
  <si>
    <t>10.1140/epjc/s10052-024-12657-1</t>
  </si>
  <si>
    <t>2024-02-26 00:00:00.000</t>
  </si>
  <si>
    <t>Study of Z → llγ decays at  √s= 8 TeV with the ATLAS detector</t>
  </si>
  <si>
    <t>10.1140/epjc/s10052-024-12471-9</t>
  </si>
  <si>
    <t>Studies of new Higgs boson interactions through nonresonant HH production in the bbγγ final state in pp collisions at √s = 13 TeV with the ATLAS detector</t>
  </si>
  <si>
    <t>1, 48</t>
  </si>
  <si>
    <t>10.1007/JHEP01(2024)066</t>
  </si>
  <si>
    <t>Search for non-resonant Higgs boson pair production in the 2b + 2l + Emiss final state in pp collisions at √s = 13 TeV with the ATLAS detector</t>
  </si>
  <si>
    <t>10.1007/JHEP02(2024)037</t>
  </si>
  <si>
    <t>Measurement of 𝑍𝑍 production cross-sections in the four-lepton final state in 𝑝𝑝 collisions at √𝑠 =13.6 TeV with the ATLAS experiment</t>
  </si>
  <si>
    <t>10.1016/j.physletb.2024.138764</t>
  </si>
  <si>
    <t>2024-01-08 00:00:00.000</t>
  </si>
  <si>
    <t>Search for the 𝑍𝛾 decay mode of new high-mass resonances in 𝑝𝑝 collision at √𝑠 = 13 TeV with the ATLAS detector</t>
  </si>
  <si>
    <t>10.1016/j.physletb.2023.138394</t>
  </si>
  <si>
    <t>Evidence for the Higgs Boson Decay to a Z Boson and a Photon at the LHC</t>
  </si>
  <si>
    <t>10.1103/PhysRevLett.132.021803</t>
  </si>
  <si>
    <t>Dark-Sector Search via Pion-Produced η and η^{'} Mesons Decaying Invisibly in the NA64h Detector</t>
  </si>
  <si>
    <t>Yu M Andreev 1, A Antonov 2, M A Ayala Torres 3 4, D Banerjee 5, B Banto Oberhauser 6, J Bernhard 5, P Bisio 2 7, A Celentano 2, N Charitonidis 5, D Cooke 8, P Crivelli 6, E Depero 6, A V Dermenev 1, S V Donskov 1, R R Dusaev 1, T Enik 9, V N Frolov 9, S V Gertsenberger 9, S Girod 5, S N Gninenko 1 4, M Hösgen 10, V A Kachanov 1, Y Kambar 9, A E Karneyeu 1, G D Kekelidze 9, B Ketzer 10, D V Kirpichnikov 1, M M Kirsanov 1, V N Kolosov 1, V A Kramarenko 1 9, L V Kravchuk 1, N V Krasnikov 1 9, S V Kuleshov 3 4, V E Lyubovitskij 1 4 11, A Marini 2, L Marsicano 2, V A Matveev 9, R Mena Fredes 4 11, R G Mena Yanssen 4 11, L Molina Bueno 12, M Mongillo 6, D V Peshekhonov 9, V A Polyakov 1, B Radics 13, K M Salamatin 9, V D Samoylenko 1, H Sieber 6, D A Shchukin 1, O Soto 4 14, V O Tikhomirov 1, I V Tlisova 1, A N Toropin 1, M Tuzi 12, P V Volkov 9, V Yu Volkov 1, I V Voronchikhin 1, J Zamora-Saá 3 4, A S Zhevlakov 9; NA64 Collaboration</t>
  </si>
  <si>
    <t>Physical Review Letters</t>
  </si>
  <si>
    <t>10.1103/PhysRevLett.133.121803.</t>
  </si>
  <si>
    <t>Observation of WZγ Production in pp Collisions at √s p = 13 TeV with the ATLAS Detector</t>
  </si>
  <si>
    <t>1079-7114 </t>
  </si>
  <si>
    <t>10.1103/PhysRevLett.132.021802</t>
  </si>
  <si>
    <t>2024-02-23 00:00:00.000</t>
  </si>
  <si>
    <t>Probing light dark matter with positron beams at NA64</t>
  </si>
  <si>
    <t>Yu. M. Andreev , A. Antonov , M. A. Ayala Torres, D. Banerjee , B. Banto Oberhauser , J. Bernhard , P. Bisio , A. Celentano , N. Charitonidis , D. Cooke, P. Crivelli , E. Depero , A. V. Dermenev , S. V. Donskov , R. R. Dusaev , T. Enik , V. N. Frolov, S. V. Gertsenberger , S. Girod, S. N. Gninenko , M. Hösgen, V. A. Kachanov , Y. Kambar , A. E. Karneyeu , G. D. Kekelidze , B. Ketzer ,mD. V. Kirpichnikov , M. M. Kirsanov , V. N. Kolosov, V. A. Kramarenko , L. V. Kravchuk , N. V. Krasnikov, S. V. Kuleshov , V. E. Lyubovitskij , A. Marini , L. Marsicano , V. A. Matveev , R. Mena Fredes, R. G. Mena Yanssen, L. Molina Bueno , M. Mongillo , D. V. Peshekhonov , V. A. Polyakov , B. Radics , K. M. Salamatin , V. D. Samoylenko, H. Sieber , D. A. Shchukin,1 O. Soto, V. O. Tikhomirov , I. V. Tlisova , A. N. Toropin , M. Tuzi , P. V. Volkov, V. Yu. Volkov , I. V. Voronchikhin , J. Zamora-Saá, and A. S. Zhevlakov (NA64 Collaboration)</t>
  </si>
  <si>
    <t>L031103</t>
  </si>
  <si>
    <t>10.1103/PhysRevD.109.L031103</t>
  </si>
  <si>
    <t>Results and Perspectives from the First Two Years of Neutrino Physics at the LHC by the SND@LHC Experiment</t>
  </si>
  <si>
    <t>D. Abbaneo,...,F.M. Garay Walls, J.C.Helo Herrera, S. Kuleshov,O.J. Soto Sandoval, J. Zamora Saa (SND@LHC Collaboration)</t>
  </si>
  <si>
    <t>Symmetry</t>
  </si>
  <si>
    <t>2073-8994</t>
  </si>
  <si>
    <t>10.3390/sym16060702</t>
  </si>
  <si>
    <t>Search for heavy Majorana neutrinos in 𝑒±𝑒± and 𝑒±𝜇± final states via WW scattering in 𝑝𝑝 collisions at √𝑠=13 TeV with the ATLAS detector</t>
  </si>
  <si>
    <t>10.1016/j.physletb.2024.138865</t>
  </si>
  <si>
    <t>Search for Light Long-Lived Particles in pp Collisions at √s = 13 TeV Using Displaced Vertices in the ATLAS Inner Detector</t>
  </si>
  <si>
    <t>10.1103/PhysRevLett.133.161803</t>
  </si>
  <si>
    <t>Measurements of inclusive and differential cross-sections of ttγ production in pp collisions at √s=13 TeV with the ATLAS detector</t>
  </si>
  <si>
    <t>1, 77</t>
  </si>
  <si>
    <t>10.1007/JHEP10(2024)191</t>
  </si>
  <si>
    <t>2024-07-25 00:00:00.000</t>
  </si>
  <si>
    <t>Search for charged-lepton-flavor violating μτqt interactions in top-quark production and decay in pp collisions at s = 13 TeV with the ATLAS detector at the LHC</t>
  </si>
  <si>
    <t>10.1103/PhysRevD.110.012014</t>
  </si>
  <si>
    <t>Observation of electroweak production of W+W− in association with jets in proton-proton collisions at √s = 13 TeV with the ATLAS detector</t>
  </si>
  <si>
    <t xml:space="preserve">1, 43 </t>
  </si>
  <si>
    <t>10.1007/JHEP07(2024)254</t>
  </si>
  <si>
    <t>Differential cross-sections for events with missing transverse momentum and jets measured with the ATLAS detector in 13 TeV proton-proton collisions</t>
  </si>
  <si>
    <t>1, 62</t>
  </si>
  <si>
    <t>10.1007/JHEP08(2024)223</t>
  </si>
  <si>
    <t>2024-10-15 00:00:00.000</t>
  </si>
  <si>
    <t>Fiducial and differential cross-section measurements of electroweak Wγ j j production in pp collisions at √s = 13 TeV with the ATLAS detector</t>
  </si>
  <si>
    <t>10.1140/epjc/s10052-024-13311-6</t>
  </si>
  <si>
    <t>2024-05-28 00:00:00.000</t>
  </si>
  <si>
    <t>Measurement of t-channel production of single top quarks and antiquarks in pp collisions at 13 TeV using the full ATLAS Run 2 data sample</t>
  </si>
  <si>
    <t>1, 60</t>
  </si>
  <si>
    <t>10.1007/JHEP05(2024)305</t>
  </si>
  <si>
    <t>Search for new particles in final states with a boosted top quark and missing transverse momentum in proton-proton collisions at √s = 13 TeV with the ATLAS detector</t>
  </si>
  <si>
    <t>10.1007/JHEP05(2024)263</t>
  </si>
  <si>
    <t>Search for a new Z’ gauge boson via the pp → W∓ (*) → Z’μ∓ν → μ∓μ∓μν process in pp collisions at √s = 13 TeV with the ATLAS detector</t>
  </si>
  <si>
    <t>10.1103/PhysRevD.110.072008</t>
  </si>
  <si>
    <t>2024-11-12 00:00:00.000</t>
  </si>
  <si>
    <t>Search for pair production of boosted Higgs bosons via vector-boson fusion in the 𝑏𝑏𝑏bar𝑏bar final state using 𝑝𝑝 collisions at √𝑠 =13 TeV with the ATLAS detector</t>
  </si>
  <si>
    <t>10.1016/j.physletb.2024.139007</t>
  </si>
  <si>
    <t>2024-10-24 00:00:00.000</t>
  </si>
  <si>
    <t>Constraints on simplified dark matter models involving an s-channel mediator with the ATLAS detector in pp collisions at √s = 13 TeV</t>
  </si>
  <si>
    <t>10.1140/epjc/s10052-024-13215-5</t>
  </si>
  <si>
    <t>Search for a resonance decaying into a scalar particle and a Higgs boson in the final state with two bottom quarks and two photons in proton–proton collisions at √s = 13 TeV with the ATLAS detector</t>
  </si>
  <si>
    <t>10.1007/JHEP11(2024)047</t>
  </si>
  <si>
    <t>Sensor response and radiation damage effects for 3D pixels in the ATLAS IBL Detector</t>
  </si>
  <si>
    <t>P10008</t>
  </si>
  <si>
    <t>10.1088/1748-0221/19/10/P10008</t>
  </si>
  <si>
    <t>Searches for exclusive Higgs boson decays into 𝐷∗𝛾and 𝑍boson decays into 𝐷0𝛾 and 𝐾0𝑠𝛾 in 𝑝𝑝collisions at √𝑠=13 TeV with the ATLAS detector</t>
  </si>
  <si>
    <t>10.1016/j.physletb.2024.138762</t>
  </si>
  <si>
    <t>Search for high-mass resonances in final states with a τ-lepton and missing transverse momentum with the ATLAS detector</t>
  </si>
  <si>
    <t>10.1103/PhysRevD.109.112008</t>
  </si>
  <si>
    <t>2024-12-03 00:00:00.000</t>
  </si>
  <si>
    <t>An integrated flux-symmetric spectrometer-magnet system for the SND@LHC experiment upgrade</t>
  </si>
  <si>
    <t>D. Abbaneo,...,F.M. Garay Walls, S. Kuleshov,O.J. Soto Sandoval,J. Zamora Saa (SND@LHC Collaboration)</t>
  </si>
  <si>
    <t>P12002</t>
  </si>
  <si>
    <t>10.1088/1748-0221/19/12/P12002</t>
  </si>
  <si>
    <t>Accuracy versus precision in boosted top tagging with the ATLAS detector</t>
  </si>
  <si>
    <t>G.Aad,..,M.A. Diaz,F. M. Garay Walls, S. Kuleshov, J. A. Zamora Saa et al. (The ATLAS Collaboration)</t>
  </si>
  <si>
    <t>P08018</t>
  </si>
  <si>
    <t>10.1088/1748-0221/19/08/P08018</t>
  </si>
  <si>
    <t>2024-11-25 00:00:00.000</t>
  </si>
  <si>
    <t>Jet radius dependence of dijet momentum balance and suppression in Pb+Pb collisions at 5.02 TeV with the ATLAS detector</t>
  </si>
  <si>
    <t>PHYSICAL REVIEW C</t>
  </si>
  <si>
    <t>2469-9888</t>
  </si>
  <si>
    <t>10.1103/PhysRevC.110.054912</t>
  </si>
  <si>
    <t>Search for neutral long-lived particles that decay into displaced jets in the ATLAS calorimeter in association with leptons or jets using pp collisions at √s = 13 TeV</t>
  </si>
  <si>
    <t>10.1007/JHEP11(2024)036</t>
  </si>
  <si>
    <t>2024-08-22 00:00:00.000</t>
  </si>
  <si>
    <t>Measurement of differential cross-sections in tt and tt+jets production in the lepton+jets final state in pp collisions at √s = 13 TeV using 140 fb−1 of ATLAS data</t>
  </si>
  <si>
    <t>10.1007/JHEP08(2024)182</t>
  </si>
  <si>
    <t>Search for R-parity violating supersymmetric decays of the top squark to a b-jet and a lepton in √s = 13 TeV pp collisions with the ATLAS detector</t>
  </si>
  <si>
    <t>10.1103/PhysRevD.110.092004</t>
  </si>
  <si>
    <t>Search for new particles in events with a hadronically decaying W or Z boson and large missing transverse momentum at √s = 13 TeV using the ATLAS detector</t>
  </si>
  <si>
    <t>10.1007/JHEP11(2024)126</t>
  </si>
  <si>
    <t>2024-08-20 00:00:00.000</t>
  </si>
  <si>
    <t>Combination of searches for Higgs boson decays into a photon and a massless dark photon using pp collisions at √s = 13 TeV with the ATLAS detector</t>
  </si>
  <si>
    <t>10.1007/JHEP08(2024)153</t>
  </si>
  <si>
    <t>Measurements of jet cross-section ratios in 13 TeV proton-proton collisions with ATLAS</t>
  </si>
  <si>
    <t xml:space="preserve">PHYSICAL REVIEW D </t>
  </si>
  <si>
    <t>10.1103/PhysRevD.110.072019</t>
  </si>
  <si>
    <t>Beam-induced backgrounds measured in the ATLAS detector during local gas injection into the LHC beam vacuum</t>
  </si>
  <si>
    <t>P06014</t>
  </si>
  <si>
    <t>10.1088/1748-0221/19/06/P06014</t>
  </si>
  <si>
    <t>2024-08-02 00:00:00.000</t>
  </si>
  <si>
    <t>Search for heavy neutral Higgs bosons decaying into a top quark pair in 140 fb−1 of proton-proton collision data at √s = 13 TeV with the ATLAS detector</t>
  </si>
  <si>
    <t>10.1007/JHEP08(2024)013</t>
  </si>
  <si>
    <t>Search for dark mesons decaying to top and bottom quarks in proton-proton collisions at √s = 13 TeV with the ATLAS detector</t>
  </si>
  <si>
    <t>1, 55</t>
  </si>
  <si>
    <t>10.1007/JHEP09(2024)005</t>
  </si>
  <si>
    <t>Observation of tt production in the lepton+jets and dilepton channels in p+Pb collisions at √sNN = 8.16 TeV with the ATLAS detector</t>
  </si>
  <si>
    <t>1, 38</t>
  </si>
  <si>
    <t>10.1007/JHEP11(2024)101</t>
  </si>
  <si>
    <t>Search for pair-produced vectorlike quarks coupling to light quarks in the lepton plus jets final state using 13 TeV pp collisions with the ATLAS detector</t>
  </si>
  <si>
    <t>10.1103/PhysRevD.110.052009</t>
  </si>
  <si>
    <t>Search for non-resonant Higgs boson pair production in final states with leptons, taus, and photons in pp collisions at √s = 13 TeV with the ATLAS detector</t>
  </si>
  <si>
    <t>10.1007/JHEP08(2024)164</t>
  </si>
  <si>
    <t>2024-08-09 00:00:00.000</t>
  </si>
  <si>
    <t>Search for the nonresonant production of Higgs boson pairs via gluon fusion and vector-boson fusion in the bbτ+τ− final state in proton-proton collisions at √s = 13 TeV with the ATLAS detector</t>
  </si>
  <si>
    <t>10.1103/PhysRevD.110.032012</t>
  </si>
  <si>
    <t>2024-10-30 00:00:00.000</t>
  </si>
  <si>
    <t>Precise measurements of W- and Z-boson transverse momentum spectra with the ATLAS detector using pp collisions at √s=5.02 TeV and 13 TeV</t>
  </si>
  <si>
    <t>10.1140/epjc/s10052-024-13414-0</t>
  </si>
  <si>
    <t>Characterising the Higgs boson with ATLAS data from the LHC Run-2</t>
  </si>
  <si>
    <t>Physics Reports</t>
  </si>
  <si>
    <t>0370-1573</t>
  </si>
  <si>
    <t>10.1016/j.physrep.2024.11.001</t>
  </si>
  <si>
    <t>Search for pair-produced higgsinos decaying via Higgs or 𝑍 bosons to final states containing a pair of photons and a pair of 𝑏-jets with the ATLAS detector</t>
  </si>
  <si>
    <t>10.1016/j.physletb.2024.138938</t>
  </si>
  <si>
    <t>2024-07-29 00:00:00.000</t>
  </si>
  <si>
    <t>Search for flavour-changing neutral-current couplings between the top quark and the Higgs boson in multi-lepton final states in 13TeV pp collisions with the ATLAS detector</t>
  </si>
  <si>
    <t>10.1140/epjc/s10052-024-12994-1</t>
  </si>
  <si>
    <t>2024-09-27 00:00:00.000</t>
  </si>
  <si>
    <t xml:space="preserve">Measurements of the production cross-section for a Z boson in association with b- or c-jets in proton–proton collisions at √s=13 TeV with the ATLAS detector </t>
  </si>
  <si>
    <t>10.1140/epjc/s10052-024-13159-w</t>
  </si>
  <si>
    <t>Measurements of electroweak W±Z boson pair production in association with two jets in pp collisions at √s = 13 TeV with the ATLAS detector</t>
  </si>
  <si>
    <t xml:space="preserve">ATLAS Collaboration </t>
  </si>
  <si>
    <t>10.1007/JHEP06(2024)192</t>
  </si>
  <si>
    <t>Search for low-mass resonances decaying into two jets and produced in association with a photon or a jet at s = 13 TeV with the ATLAS detector</t>
  </si>
  <si>
    <t>10.1103/PhysRevD.110.032002</t>
  </si>
  <si>
    <t>Measurement of vector boson production cross sections and their ratios using 𝑝𝑝 collisions at √𝑠=13.6TeV with the ATLAS detector</t>
  </si>
  <si>
    <t>1, 27</t>
  </si>
  <si>
    <t>10.1016/j.physletb.2024.138725</t>
  </si>
  <si>
    <t>2024-04-19 00:00:00.000</t>
  </si>
  <si>
    <t>Combination of searches for heavy spin-1 resonances using 139 fb−1 of proton-proton collision data at √s = 13 TeV with the ATLAS detector</t>
  </si>
  <si>
    <t>1, 47</t>
  </si>
  <si>
    <t>10.1007/JHEP04(2024)118</t>
  </si>
  <si>
    <t>Statistical Combination of ATLAS Run 2 Searches for Charginos and Neutralinos at the LHC</t>
  </si>
  <si>
    <t>1, 21</t>
  </si>
  <si>
    <t>10.1103/PhysRevLett.133.031802</t>
  </si>
  <si>
    <t>Combination of Measurements of the Top Quark Mass from Data Collected by the ATLAS and CMS Experiments at √s=7 and 8 TeV</t>
  </si>
  <si>
    <t>1, 37</t>
  </si>
  <si>
    <t>10.1103/PhysRevLett.132.261902</t>
  </si>
  <si>
    <t>Search for pair-production of vector-like quarks in lepton+jets final states containing at least one 𝑏-tagged jet using the Run 2 data from the ATLAS experiment</t>
  </si>
  <si>
    <t>10.1016/j.physletb.2024.138743</t>
  </si>
  <si>
    <t>A search for R-parity-violating supersymmetry in final states containing many jets in pp collisions at √s = 13 TeV with the ATLAS detector</t>
  </si>
  <si>
    <t>1, 46</t>
  </si>
  <si>
    <t>10.1007/JHEP05(2024)003</t>
  </si>
  <si>
    <t>Studies of the Energy Dependence of Diboson Polarization Fractions and the Radiation-Amplitude-Zero Effect in WZ Production with the ATLAS Detector</t>
  </si>
  <si>
    <t>10.1103/PhysRevLett.133.101802</t>
  </si>
  <si>
    <t>Measurements of Lund subjet multiplicities in 13 TeV proton-proton collisions with the ATLAS detector</t>
  </si>
  <si>
    <t>10.1016/j.physletb.2024.139090</t>
  </si>
  <si>
    <t xml:space="preserve">Perspective </t>
  </si>
  <si>
    <t>Giovanna Cottin</t>
  </si>
  <si>
    <t>Proceedings of Science</t>
  </si>
  <si>
    <t>10.22323/1.450.0164</t>
  </si>
  <si>
    <t>Performance and calibration of quark/gluon-jet taggers using 140 fb−1 of pp  collisions at   s 13  TeV with the ATLAS detector*</t>
  </si>
  <si>
    <t>Mono-Higgs and Mono-Z Production in the Minimal Vector Dark Matter Model</t>
  </si>
  <si>
    <t>Gonzalo Benítez-Irarrázabal, Alfonso R. Zerwekh</t>
  </si>
  <si>
    <t xml:space="preserve">Universe </t>
  </si>
  <si>
    <t>10.3390/universe10070288</t>
  </si>
  <si>
    <t>2024-02-21 00:00:00.000</t>
  </si>
  <si>
    <t>Probing left-handed heavy neutral leptons in the Vector Scotogenic Model</t>
  </si>
  <si>
    <t>Paulo Areyuna C., Jilberto Zamora-Saa, Alfonso R. Zerwekh</t>
  </si>
  <si>
    <t>10.1016/j.physletb.2023.138419</t>
  </si>
  <si>
    <t>2024-04-10 00:00:00.000</t>
  </si>
  <si>
    <t>NULL</t>
  </si>
  <si>
    <t>Search for top-philic heavy resonances in pp collisions at √s = 13 TeV with the ATLAS detector</t>
  </si>
  <si>
    <t xml:space="preserve">The European Physical Journal </t>
  </si>
  <si>
    <t>2024-01-22 00:00:00.000</t>
  </si>
  <si>
    <t>Study of Z → llγ decays at √s = 8 TeV with the ATLAS detector</t>
  </si>
  <si>
    <t>2024-03-25 00:00:00.000</t>
  </si>
  <si>
    <t>A precise measurement of the Z-boson double-differential transverse momentum and rapidity distributions in the full phase space of the decay leptons with the ATLAS experiment at √s = 8 TeV</t>
  </si>
  <si>
    <t>Fiducial and differential cross-section measurements of electroweak W γ j j production in pp collisions at √s = 13 TeV with the ATLAS detector</t>
  </si>
  <si>
    <t>Measurements of the production cross-section for a Z boson in association with b- or c-jets in proton–proton collisions at √s = 13 TeV with the ATLAS detector</t>
  </si>
  <si>
    <t>Precise test of lepton flavour universality in W -boson decays into muons and electrons in pp collisions at √s = 13 TeV with the ATLAS detector</t>
  </si>
  <si>
    <t>10.1140/epjc/s10052-024-13070-4</t>
  </si>
  <si>
    <t>Vector dark matter from the 5-dimensional representation of SU(2)L</t>
  </si>
  <si>
    <t>Patricio Escalona, Sebastián Acevedo, Paulo Areyuna, Gonzalo Benítez-Irarrázabal, Pablo Solar, Alfonso Zerwekh</t>
  </si>
  <si>
    <t>10.1007/JHEP11(2024)162</t>
  </si>
  <si>
    <t>2024-08-29 00:00:00.000</t>
  </si>
  <si>
    <t>A common framework for fermion mass hierarchy, leptogenesis and dark matter</t>
  </si>
  <si>
    <t>Carolina Arbeláez, A.E. Cárcamo Hernández, Claudio Dib, Patricio Escalona Contreras, Vishnudath K. N., Alfonso Zerwekh</t>
  </si>
  <si>
    <t>10.1007/JHEP08(2024)235</t>
  </si>
  <si>
    <t>Fermion dark matter in the vector scotogenic model: a survey of signatures</t>
  </si>
  <si>
    <t>European Physical Journal C</t>
  </si>
  <si>
    <t>10.1140/epjc/s10052-024-13643-3</t>
  </si>
  <si>
    <t>Measurement of the H → γ γ and H → Z Z∗ → 4_x0003_ cross-sections in pp collisions at √s = 13.6 TeV with the ATLAS detector</t>
  </si>
  <si>
    <t>10.1140/epjc/s10052-023-12130-5</t>
  </si>
  <si>
    <t>Quark flavor violation and axion-like particles from top-quark decays at the LHC</t>
  </si>
  <si>
    <t>Kingman Cheung, Fei-Tung Chung, Giovanna Cottin, Zeren Simon Wang</t>
  </si>
  <si>
    <t>10.1007/JHEP07(2024)209</t>
  </si>
  <si>
    <t>2024-02-08 00:00:00.000</t>
  </si>
  <si>
    <t>Phenomenology of an Extended 1+2 Higgs Doublet Model with S3​ Family Symmetry</t>
  </si>
  <si>
    <t>A. E. Cárcamo Hernández, Daniel Salinas-Arizmendi, Jonatan Vignatti, Alfonso Zerwekh</t>
  </si>
  <si>
    <t>10.1140/epjc/s10052-024-13501-2</t>
  </si>
  <si>
    <t>Studies of new Higgs boson interactions through nonresonant HH production in the b¯bγγ final state in pp collisions at √s = 13 TeV with the ATLAS detector</t>
  </si>
  <si>
    <t>2310-12301</t>
  </si>
  <si>
    <t>Transient Monte Carlo simulations with OpenMC(TD): A catalyst towards advancing research in next-generation reactors and to improve fission nuclear data</t>
  </si>
  <si>
    <t>J. Romero-Barrientos, F. Molina, M. Zambra, F. López-Usquiano</t>
  </si>
  <si>
    <t>Nuclear Engineering and Design</t>
  </si>
  <si>
    <t>10.1016/j.nucengdes.2024.113189</t>
  </si>
  <si>
    <t>2024-01-02 00:00:00.000</t>
  </si>
  <si>
    <t>Differential cross-section measurements of the production of four charged leptons in association with two jets using the ATLAS detector</t>
  </si>
  <si>
    <t>10.1007/JHEP01(2024)004</t>
  </si>
  <si>
    <t>OpenMC(TD): Current status and next development stages</t>
  </si>
  <si>
    <t>EPJ Web of Conferences</t>
  </si>
  <si>
    <t>2100-014X</t>
  </si>
  <si>
    <t>10.1051/epjconf/202430212001</t>
  </si>
  <si>
    <t>Abbaneo et al. (SND collaboratiom)</t>
  </si>
  <si>
    <t>2024-02-17 00:00:00.000</t>
  </si>
  <si>
    <t>High performance fluoroelastomer composites filled with graphite and/or bismuth oxide for applications in gamma-ray shielding</t>
  </si>
  <si>
    <t>Santiago Maldonado Magnere, Ernesto Aguila Toledo, Mehrdad Yazdani-Pedram, Pablo Fuentealba, Angelo Contreras-Soto, Allan Bascuñan-Heredia, Gabriela Alvarez-Cortes, Alejandro Zagal, Francisco Molina, Marianella Hernández-Santana, Héctor Aguilar-Bolados</t>
  </si>
  <si>
    <t>Polymer Composites</t>
  </si>
  <si>
    <t>6901-6913</t>
  </si>
  <si>
    <t>10.1002/pc.28237</t>
  </si>
  <si>
    <t>Design and Study of Novel Composites Based on EPDM Rubber Containing Bismuth (III) Oxide and Graphene Nanoplatelets for Gamma Radiation Shielding</t>
  </si>
  <si>
    <t>Gabriela Álvarez-Cortez, Francisco Molina, Bruno F Urbano, Mohamed Dahrouch, Marianella Hernández Santana, Miguel A Lopez Manchado, Raquel Verdejo, Héctor Aguilar Bolados</t>
  </si>
  <si>
    <t xml:space="preserve">Polymers </t>
  </si>
  <si>
    <t>2073-4360</t>
  </si>
  <si>
    <t xml:space="preserve">10.3390/polym16050633 </t>
  </si>
  <si>
    <t>Measurement and interpretation of same-sign W boson pair production in association with two jets in pp collisions at   = 13 TeV with the ATLAS detector</t>
  </si>
  <si>
    <t>Combination of searches for heavy spin-1 resonances using 139 fb−1 of proton-proton collision data at   = 13 TeV with the ATLAS detector</t>
  </si>
  <si>
    <t xml:space="preserve">Search for a CP-odd Higgs boson decaying into a heavy CP-even Higgs boson and a Z boson in the ℓ+ℓ−t¯t and ν ¯νb¯b final states using 140 fb−1 of data collected with the ATLAS detector </t>
  </si>
  <si>
    <t>10.1007/JHEP02(2024)197</t>
  </si>
  <si>
    <t>Test of the vector portal with dark fermions in the charge-exchange reactions in the NA64 experiment at CERN SPS</t>
  </si>
  <si>
    <t>Physics Letters D</t>
  </si>
  <si>
    <t>10.1103/PhysRevD.109.075021</t>
  </si>
  <si>
    <t>SAPHIR Data Center (First Year Experience)</t>
  </si>
  <si>
    <t>Yury Ivanov, Jilberto Zamora-Saa</t>
  </si>
  <si>
    <t>Physics of Particles and Nuclei</t>
  </si>
  <si>
    <t>1063-7796</t>
  </si>
  <si>
    <t>10.1134/S1063779624030456</t>
  </si>
  <si>
    <t>Searching for a leptophilic Z' and 3-3-1 symmetry at CLIC</t>
  </si>
  <si>
    <t>A. Alves, G. Gil da Silveira, V. P. Gonçalves, F. S. Queiroz, Y. M. Oviedo-Torres, J. Zamora-Saa </t>
  </si>
  <si>
    <t>10.1140/epjc/s10052-024-12515-0</t>
  </si>
  <si>
    <t>Dynamical system analysis and observational constraints of cosmological models in mimetic gravity</t>
  </si>
  <si>
    <t>Alberto Fritis, Daniel Villalobos-Silva, Yerko Vasquez, Carlos H. Lopez-Caraballo, Juan Carlos Helo</t>
  </si>
  <si>
    <t>Physics of the Dark Universe</t>
  </si>
  <si>
    <t>2212-6864</t>
  </si>
  <si>
    <t>10.1016/j.dark.2024.101650</t>
  </si>
  <si>
    <t>Measurement of the muon flux at the SND@LHC experiment</t>
  </si>
  <si>
    <t>Albanese et al. (SND collaboratiom)</t>
  </si>
  <si>
    <t>1434-6044</t>
  </si>
  <si>
    <t>10.1140/epjc/s10052-023-12380-3</t>
  </si>
  <si>
    <t>2024-05-21 00:00:00.000</t>
  </si>
  <si>
    <t>First Results in the Search for Dark Sectors at NA64 with the CERN SPS High Energy Muon Beam</t>
  </si>
  <si>
    <t>Andreev et al.</t>
  </si>
  <si>
    <t>10.1007/JHEP07(2024)212.</t>
  </si>
  <si>
    <t>Combination and summary of ATLAS dark matter searches interpreted in a 2HDM with a pseudo-scalar mediator using 139 fb1 of √s p= 13 TeV pp collision data</t>
  </si>
  <si>
    <t>M.A. Diaz,F. M. Garay Walls, S. Kuleshov, J. A. Zamora Saa et al. (The ATLAS Collaboration)</t>
  </si>
  <si>
    <t>Science Bulletin</t>
  </si>
  <si>
    <t>2095-9281</t>
  </si>
  <si>
    <t>10.1016/j.scib.2024.06.003</t>
  </si>
  <si>
    <t>The ATLAS experiment at the CERN Large Hadron Collider: a description of the detector configuration for Run 3</t>
  </si>
  <si>
    <t xml:space="preserve"> P05063</t>
  </si>
  <si>
    <t>10.1088/1748-0221/19/05/P05063</t>
  </si>
  <si>
    <t>First constraints on the Lμ − Lτ explanation of the muon g-2 anomaly from NA64-e at CERN</t>
  </si>
  <si>
    <t>u. M. Andreev , A. Antonov , M. A. Ayala Torres, D. Banerjee , B. Banto Oberhauser , J. Bernhard , P. Bisio , A. Celentano , N. Charitonidis , D. Cooke, P. Crivelli , E. Depero , A. V. Dermenev , S. V. Donskov , R. R. Dusaev , T. Enik , V. N. Frolov, S. V. Gertsenberger , S. Girod, S. N. Gninenko , M. Hösgen, V. A. Kachanov , Y. Kambar , A. E. Karneyeu , G. D. Kekelidze , B. Ketzer ,mD. V. Kirpichnikov , M. M. Kirsanov , V. N. Kolosov, V. A. Kramarenko , L. V. Kravchuk , N. V. Krasnikov, S. V. Kuleshov , V. E. Lyubovitskij , A. Marini , L. Marsicano , V. A. Matveev , R. Mena Fredes, R. G. Mena Yanssen, L. Molina Bueno , M. Mongillo , D. V. Peshekhonov , V. A. Polyakov , B. Radics , K. M. Salamatin , V. D. Samoylenko, H. Sieber , D. A. Shchukin,1 O. Soto, V. O. Tikhomirov , I. V. Tlisova , A. N. Toropin , M. Tuzi , P. V. Volkov, V. Yu. Volkov , I. V. Voronchikhin , J. Zamora-Saá, and A. S. Zhevlakov (NA64 Collaboration)</t>
  </si>
  <si>
    <t>10.1007/JHEP07(2024)212</t>
  </si>
  <si>
    <t>R.Albanese,...,F.M. Garay Walls, J.C.Helo Herrera, S. Kuleshov, O.J. Soto Sandoval, J. Zamora Saa (SND@LHC Collaboration)</t>
  </si>
  <si>
    <t>Search for heavy right-handed Majorana neutrinos in the decay of top quarks produced in proton-proton collisions at √s = 13 TeV with the ATLAS detector</t>
  </si>
  <si>
    <t>10.1103/PhysRevD.110.112004</t>
  </si>
  <si>
    <t>Combination of Searches for Higgs Boson Pair Production in pp Collisions at √s = 13 TeV with the ATLAS Detector</t>
  </si>
  <si>
    <t>10.1103/PhysRevLett.133.101801</t>
  </si>
  <si>
    <t>2024-10-11 00:00:00.000</t>
  </si>
  <si>
    <t>Search for a resonance decaying into a scalar particle and a Higgs boson in final states with leptons and two photons in proton-proton collisions at √s = 13 TeV with the ATLAS detector</t>
  </si>
  <si>
    <t>10.1007/JHEP10(2024)104</t>
  </si>
  <si>
    <t xml:space="preserve">Calibration of a soft secondary vertex tagger using proton-proton collisions at √s = 13 TeV with the ATLAS detector </t>
  </si>
  <si>
    <t>10.1103/PhysRevD.110.032015</t>
  </si>
  <si>
    <t>Instituto Milenio de Investigación en Óptica</t>
  </si>
  <si>
    <t>2023-12-02 00:00:00.000</t>
  </si>
  <si>
    <t>Non-linear and non-local plant–plant interactions in arid climate: Allometry, criticality and desertification</t>
  </si>
  <si>
    <t>M. Tlid, M. Messaoudia, A. Makhoutea, D. Pinto-Ramosc, M.G. Clerc</t>
  </si>
  <si>
    <t>Chaos, Solitons and Fractals</t>
  </si>
  <si>
    <t>0960-0779</t>
  </si>
  <si>
    <t>10.1016/j.chaos.2023.114311</t>
  </si>
  <si>
    <t>Minimal orthonormal bases for pure quantum state estimation</t>
  </si>
  <si>
    <t>Leonardo Zambrano, Luciano Pereira, and Aldo Delgado</t>
  </si>
  <si>
    <t>Quantum</t>
  </si>
  <si>
    <t>2521-327X</t>
  </si>
  <si>
    <t>10.22331/q-2024-02-08-1244</t>
  </si>
  <si>
    <t>2024-01-05 00:00:00.000</t>
  </si>
  <si>
    <t>Coherent anharmonicity transfer from matter to light in the THz regime</t>
  </si>
  <si>
    <t>Mauricio Arias, Johan F Triana, Aldo Delgado, and Felipe Herrera</t>
  </si>
  <si>
    <t>New Journal of Physics</t>
  </si>
  <si>
    <t>1367-2630</t>
  </si>
  <si>
    <t>10.1088/1367-2630/ad153b</t>
  </si>
  <si>
    <t>Estimation of high-dimensional unitary transformations saturating the Quantum Cramér-Rao bound</t>
  </si>
  <si>
    <t>J. Escandón-Monardes, D. Uzcátegui, M. Rivera-Tapia, S. P. Walborn, and A. Delgado</t>
  </si>
  <si>
    <t>10.22331/q-2024-07-10-1405</t>
  </si>
  <si>
    <t>Avoiding barren plateaus in the variational determination of geometric entanglement</t>
  </si>
  <si>
    <t>L Zambrano, A D Muñoz-Moller, M Muñoz, L Pereira, A Delgado</t>
  </si>
  <si>
    <t>Quantum Science and Technology</t>
  </si>
  <si>
    <t>2058-9565</t>
  </si>
  <si>
    <t>10.1088/2058-9565/ad2a16</t>
  </si>
  <si>
    <t>Non-Markovianity in High-Dimensional Open Quantum Systems using Next-generation Multicore Optical Fibers</t>
  </si>
  <si>
    <t>Santiago Rojas-Rojas, Daniel Martínez, Kei Sawada, Luciano Pereira, Stephen P. Walborn, Esteban S. Gómez, Nadja K. Bernardes, and Gustavo Lima</t>
  </si>
  <si>
    <t>10.22331/q-2024-08-12-1436</t>
  </si>
  <si>
    <t>Transport of non‑classical light mediated by topological domain walls in a SSH photonic lattice</t>
  </si>
  <si>
    <t>Gabriel O’Ryan Pérez, Joaquín Medina Dueñas, Diego Guzmán‑Silva, Luis E. F. Foa Torres, Carla Hermann‑Avigliano</t>
  </si>
  <si>
    <t xml:space="preserve">2045-2322 </t>
  </si>
  <si>
    <t>10.1038/s41598-024-63321-3</t>
  </si>
  <si>
    <t>Optical properties of millimeter-size metal-organic framework single crystals using THz techniques</t>
  </si>
  <si>
    <t>Faustino Wahaia, Irmantas Kasalynasc, Daniil Pashnev, Gintaras Valusis, Andrzej Urbanowicz, Mindaugas Karaliunas , Dinesh Pratap Singh, Sascha Wallentowitz, Birger Seifert</t>
  </si>
  <si>
    <t>Journal of Molecular Structure</t>
  </si>
  <si>
    <t>1872-8014</t>
  </si>
  <si>
    <t>10.1016/j.molstruc.2024.140612</t>
  </si>
  <si>
    <t>Controlled growth-dependent electrochemical behavior of cobalt and 1,3,5 benzene-tricarboxylic acid-based MOFs for efficient supercapacitor applications</t>
  </si>
  <si>
    <t>Alberto Navarrete, Carolina Manquian, Leonardo Vivas, Daniel Serafini, Dinesh Pratap Singh</t>
  </si>
  <si>
    <t>Materials Chemistry and Physics</t>
  </si>
  <si>
    <t>0254-0584</t>
  </si>
  <si>
    <t>10.1016/j.matchemphys.2024.129142</t>
  </si>
  <si>
    <t>Molecular Strong Coupling and Cavity Finesse</t>
  </si>
  <si>
    <t>Kishan S. Menghrajani, Adarsh B. Vasista, Wai Jue Tan, Philip A. Thomas, Felipe Herrera, William L. Barnes</t>
  </si>
  <si>
    <t>The Journal of Physical Chemistry Letters</t>
  </si>
  <si>
    <t>1948-7185</t>
  </si>
  <si>
    <t>10.1021/acs.jpclett.4c00782</t>
  </si>
  <si>
    <t>Selection of OAM signal constellations for atmospheric channels using optimal transport theory</t>
  </si>
  <si>
    <t>J. Cisternas, J. Anguita</t>
  </si>
  <si>
    <t>Optics Express</t>
  </si>
  <si>
    <t>1094-4087</t>
  </si>
  <si>
    <t>10.1364/OE.537609</t>
  </si>
  <si>
    <t>Radiation-based wave-packet generator in one-dimensional lattices</t>
  </si>
  <si>
    <t>Bastián Real, Diego Guzmán-Silva, Rodrigo A. Vicencio</t>
  </si>
  <si>
    <t>Physical Review B</t>
  </si>
  <si>
    <t>2469-9969</t>
  </si>
  <si>
    <t>10.1103/PhysRevB.109.064308</t>
  </si>
  <si>
    <t>2024-09-11 00:00:00.000</t>
  </si>
  <si>
    <t>Compact Topological Edge States in Flux-Dressed Graphenelike Photonic Lattices</t>
  </si>
  <si>
    <t>Gabriel Cáceres-Aravena, Milica Nedić, Paloma Vildoso, Goran Gligorić, Jovana Petrovic, Aleksandra Maluckov, and Rodrigo A. Vicencio</t>
  </si>
  <si>
    <t>10.1103/PhysRevLett.133.116304</t>
  </si>
  <si>
    <t>Adaptive-Step Perturb-and-Observe Algorithm for Multidimensional Phase Noise Stabilization in Fiber-Based Multi-Arm Mach–Zehnder Interferometers</t>
  </si>
  <si>
    <t>H. Abarzúa, C. Melo, S. E. Restrepo, S. Vergara, D. Sbarbaro, G. Cañas, G. Lima, G. Saavedra, J. Cariñe</t>
  </si>
  <si>
    <t>Algorithms</t>
  </si>
  <si>
    <t>534.</t>
  </si>
  <si>
    <t>1999-4893</t>
  </si>
  <si>
    <t xml:space="preserve">10.3390/a17120534 </t>
  </si>
  <si>
    <t>Analytic evolution for complex coupled tight-binding models: Applications to quantum light manipulation</t>
  </si>
  <si>
    <t>Santiago Rojas-Rojas, Camila Muñoz, Edgar Barriga, Pablo Solano, Aldo Delgado, and Carla Hermann-Avigliano</t>
  </si>
  <si>
    <t>Physical Review Research</t>
  </si>
  <si>
    <t>2643-1564</t>
  </si>
  <si>
    <t>10.1103/PhysRevResearch.6.033224</t>
  </si>
  <si>
    <t>Harnessing collective radiative phenomena on a photonic Kagome lattice</t>
  </si>
  <si>
    <t>Ignacio Salinas, Javier Cubillos Cornejo, Alexander Szameit, Pablo Solano, Rodrigo A. Vicencio</t>
  </si>
  <si>
    <t>APL Photonics</t>
  </si>
  <si>
    <t>2378-0967</t>
  </si>
  <si>
    <t>10.1063/5.0185504</t>
  </si>
  <si>
    <t>Edge-site selective decoration of silver nanoparticles on TiO2 nanosheets for the rapid catalytic reduction of nitroarenes</t>
  </si>
  <si>
    <t>Krishnamoorthy Shanmugaraj, Cristian H. Campos, Dinesh Pratap Singh, M.A. Gracia-Pinilla, J.N.Díaz de León, Radhamanohar Aepuru, Ramalinga Viswanathan Mangalaraja</t>
  </si>
  <si>
    <t>Journal of Environmental Chemical Engineering</t>
  </si>
  <si>
    <t xml:space="preserve"> 2213-3437</t>
  </si>
  <si>
    <t>10.1016/j.jece.2024.112588</t>
  </si>
  <si>
    <t>2024-02-13 00:00:00.000</t>
  </si>
  <si>
    <t>Synthesis and Optimization of Ni-Based Nano Metal–Organic Frameworks as a Superior Electrode Material for Supercapacitor</t>
  </si>
  <si>
    <t>Carolina Manquian, Alberto Navarrete, Leonardo Vivas, Loreto Troncoso, Dinesh Pratap Singh</t>
  </si>
  <si>
    <t>Nanomaterials</t>
  </si>
  <si>
    <t>2079-4991</t>
  </si>
  <si>
    <t xml:space="preserve">10.3390/nano14040353 </t>
  </si>
  <si>
    <t>Efficient generation of polarization-entangled photons in metal-organic framework waveguides</t>
  </si>
  <si>
    <t>SIMÓN PAIVA, RUBÉN A. FRITZ, SANOJ RAJ, YAMIL J. COLÓN, FELIPE HERRERA</t>
  </si>
  <si>
    <t>10.1364/OE.532747</t>
  </si>
  <si>
    <t>2024-03-12 00:00:00.000</t>
  </si>
  <si>
    <t>First-principles screening of metal–organic frameworks for entangled photon pair generation</t>
  </si>
  <si>
    <t>Sanoj Raj, Simón Paiva, Rubén A Fritz, Felipe Herrera, Yamil J Colón</t>
  </si>
  <si>
    <t>Materials for Quantum Technologies</t>
  </si>
  <si>
    <t>2633-4356</t>
  </si>
  <si>
    <t>10.1088/2633-4356/ad2c96</t>
  </si>
  <si>
    <t>Photonic Molecule Approach to Multiorbital Topology</t>
  </si>
  <si>
    <t>Maxim Mazanov, Diego Román-Cortés, Gabriel Cáceres-Aravena, Christofer Cid, Maxim A. Gorlach, Rodrigo A. Vicencio</t>
  </si>
  <si>
    <t>Nano Letters</t>
  </si>
  <si>
    <t>1530-6992</t>
  </si>
  <si>
    <t>10.1021/acs.nanolett.4c00728</t>
  </si>
  <si>
    <t>Anomalous second harmonic generation of twisted Gaussian Schell model beams</t>
  </si>
  <si>
    <t>M. Gil de Oliveira, A.L.S. Santos Junior, A.C. Barbosa, B. Pinheiro da Silva , G.H. dos Santos, G. Cañas, P.H. Souto Ribeiro, S.P. Walborn, A.Z. Khoury</t>
  </si>
  <si>
    <t>Optics and Laser Technology</t>
  </si>
  <si>
    <t>0030-3992</t>
  </si>
  <si>
    <t>10.1016/j.optlastec.2024.110983</t>
  </si>
  <si>
    <t>Transition from traveling to motionless pulses in semiconductor lasers with saturable absorber</t>
  </si>
  <si>
    <t>F.R. Humire, K. Alfaro-Bittner, M.G. Clercc, R.G. Rojas</t>
  </si>
  <si>
    <t>Physica D</t>
  </si>
  <si>
    <t>0167-2789</t>
  </si>
  <si>
    <t>10.1016/j.physd.2023.133994</t>
  </si>
  <si>
    <t>Experimental characterization of quasiperiodic route to chaos in a VECSEL with SESAM</t>
  </si>
  <si>
    <t>Camila Castillo-Pinto, Marcel Clerc, Heidi Ottevaere, and Krassimir Panajotov</t>
  </si>
  <si>
    <t>Optics Letters</t>
  </si>
  <si>
    <t>0146-9592</t>
  </si>
  <si>
    <t>10.1364/OL.507251</t>
  </si>
  <si>
    <t>2024-04-17 00:00:00.000</t>
  </si>
  <si>
    <t>Fingerprint pattern bi-turbulence in a driven dissipative optical system</t>
  </si>
  <si>
    <t>P. J. Aguilera-Rojas, M.G. Clerc, S. Echeverría-Alar, Y. Soupart, M. Tlidi</t>
  </si>
  <si>
    <t>10.1016/j.chaos.2024.114851</t>
  </si>
  <si>
    <t>2024-06-03 00:00:00.000</t>
  </si>
  <si>
    <t>Optical feedback-induced spatiotemporal patterns with power law spectra in a liquid crystal light valve</t>
  </si>
  <si>
    <t>Pedro J. Aguilera-Rojas, Marcel G. Clerc, and Simon Navia</t>
  </si>
  <si>
    <t>10.1364/OL.522830</t>
  </si>
  <si>
    <t>Characterization of Faraday patterns and spatiotemporal chaos in parametrically driven dissipative systems</t>
  </si>
  <si>
    <t xml:space="preserve">L.I. Reyesa, L.M. Pérez, L. Pedraja-Rejas, P. Díaz, J. Mendoza, J. Bragard, M.G. Clerc, and D. Laroze </t>
  </si>
  <si>
    <t>10.1016/j.chaos.2024.115244</t>
  </si>
  <si>
    <t>Running and Tumbling Localized Structures: A Non-Brownian Motion</t>
  </si>
  <si>
    <t>F. R. Humire, K. Alfaro-Bittner, M. G. Clerc, and R. G. Rojas</t>
  </si>
  <si>
    <t>0031-9007</t>
  </si>
  <si>
    <t>10.1103/PhysRevLett.133.207202</t>
  </si>
  <si>
    <t>2024-12-16 00:00:00.000</t>
  </si>
  <si>
    <t>Controlling directional propagation in driven two-dimensional photonic lattices</t>
  </si>
  <si>
    <t>Bastián Real, Pablo Solano, and Carla Hermann-Avigliano</t>
  </si>
  <si>
    <t>10.1364/OE.535435</t>
  </si>
  <si>
    <t>2024-12-23 00:00:00.000</t>
  </si>
  <si>
    <t>Quantum resources for assisted optimal state discrimination</t>
  </si>
  <si>
    <t xml:space="preserve">O. Jiménez, M. A. Solís-Prosser, A. Delgado, and L. Neves </t>
  </si>
  <si>
    <t>10.1103/PhysRevResearch.6.043303</t>
  </si>
  <si>
    <t>Faraday kinks connecting parametric waves in magnetic wires</t>
  </si>
  <si>
    <t>Alejandro O. Leon, Ernesto Berríos-Caro, Alejandra León, Marcel G. Clerc</t>
  </si>
  <si>
    <t>Communications in Nonlinear Science and Numerical Simulation</t>
  </si>
  <si>
    <t>1007-5704</t>
  </si>
  <si>
    <t>10.1016/j.cnsns.2024.107841</t>
  </si>
  <si>
    <t>Topological transition between disordered patterns through heating rate-induced defect emergence</t>
  </si>
  <si>
    <t>Victor Fernandez-Gonzalez, Sebastián Echeverría-Alar, Jorge Vergara, Paulina I. Hidalgo, Marcel G. Clerc</t>
  </si>
  <si>
    <t>10.1016/j.chaos.2024.114508</t>
  </si>
  <si>
    <t>2024-06-17 00:00:00.000</t>
  </si>
  <si>
    <t>Nonlinear wave propagation in a bistable optical chain with nonreciprocal coupling</t>
  </si>
  <si>
    <t>Pedro J. Aguilera-Rojas, Karin Alfaro-Bittner, Marcel G. Clerc, Manuel Díaz-Zúñiga, Amaru Moya, David Pinto-Ramos, and René G. Rojas</t>
  </si>
  <si>
    <t>Communications Physics</t>
  </si>
  <si>
    <t>2399-3650</t>
  </si>
  <si>
    <t>10.1038/s42005-024-01690-x</t>
  </si>
  <si>
    <t>Nonreciprocal feedback induces migrating oblique and horizontal banded vegetation patterns in hyperarid landscapes</t>
  </si>
  <si>
    <t>Belén Hidalgo‑Ogalde, David Pinto‑Ramos, Marcel G. Clerc, and Mustapha Tlidi</t>
  </si>
  <si>
    <t>10.1038/s41598-024-63820-3</t>
  </si>
  <si>
    <t>Nullclines entanglement induced topological transitions in driven liquid crystal cells</t>
  </si>
  <si>
    <t>Marcel G. Clerc, R. Gajardo-Pizarro</t>
  </si>
  <si>
    <t>10.1016/j.chaos.2024.115447</t>
  </si>
  <si>
    <t>Magnetic chimeras in voltage-driven nano-oscillators</t>
  </si>
  <si>
    <t>Susana Contreras-Celada, René G. Rojas, Saliya Coulibaly, Marcel G. Clerc, Alejandro O. Leon</t>
  </si>
  <si>
    <t>10.1016/j.cnsns.2024.108420</t>
  </si>
  <si>
    <t>Abrikosov clusters in chiral liquid crystal droplets</t>
  </si>
  <si>
    <t>V Fernandez-Gonzalez, M G Clerc, G González-Cortés, P I Hidalgo, and J Vergara</t>
  </si>
  <si>
    <t>Reports on Progress in Physics</t>
  </si>
  <si>
    <t>0034-4885</t>
  </si>
  <si>
    <t>10.1088/1361-6633/ad92a7</t>
  </si>
  <si>
    <t>Effect of bone age and anatomy on the variability of the bovine bone by-product by Terahertz time-domain spectroscopy and energy-dispersive X-ray microanalysis</t>
  </si>
  <si>
    <t>Faustino Wahaia, Irmantas Kasalynas, Mindaugas Karaliunas, Andrzej Urbanowicz, Birger Seifert, Gintaras Valusis, Vincenza Ferraro</t>
  </si>
  <si>
    <t>10.1016/j.fbio.2024.103978</t>
  </si>
  <si>
    <t>Wrinkled TiNAgNW Nanocomposites for High-Performance Flexible Electrodes on TEMPO-Oxidized Nanocellulose</t>
  </si>
  <si>
    <t>Loïk Gence, Franck Quero, Miguel Escalona, Robert Wheatley, Birger Seifert, Donovan Diaz-Droguett, María José Retamal, Sascha Wallentowitz, Ulrich Georg Volkmann, Heman Bhuyan</t>
  </si>
  <si>
    <t>10.3390/nano14141178</t>
  </si>
  <si>
    <t>Multiple-reflections single-shot dispersion scan for fast ultrashort-pulse measurements</t>
  </si>
  <si>
    <t>FRANCISCO CAPDEVILLE, FERNANDO VILLANUEVA, DIEGO HIDALGO-ROJAS, FAUSTINO WAHAIA, ROBERT ALASTAIR WHEATLEY, SASCHA WALLENTOWITZ, ULRICH VOLKMANN, AND BIRGER SEIFERT</t>
  </si>
  <si>
    <t>10.1364/OE.529440</t>
  </si>
  <si>
    <t>INSTITUTO MILENIO DE INVESTIGACIÓN EN RIESGO VOLCÁNICO</t>
  </si>
  <si>
    <t>2024-12-21 00:00:00.000</t>
  </si>
  <si>
    <t>Carbon, nitrogen, and noble gas isotopes reveal deep volatile signatures in thermal springs in the Central Volcanic Zone (CVZ) of the Andes</t>
  </si>
  <si>
    <t>PH Barry, JM de Moor, MW Broadley, AM Seltzer, DV Bekaert, K Patil, CGE Bartels, ED Young, BE Longworth, B Barosa, A Bastianoni, D Bastoni, M Cascone, SJ Turner, RL Tyne, M Anderson, K Li, J Curtice, N Kumar, GL Jessen, JM Blamey, CJ Ramírez, A Chiodi, F Aguilera, S Layana, C González, M Aguilera, GPJ Masías Alvarez, B Marty, KG Lloyd, D Giovannelli</t>
  </si>
  <si>
    <t>Earth and Planetary Science Letters</t>
  </si>
  <si>
    <t>0012-821X</t>
  </si>
  <si>
    <t>10.1016/j.epsl.2024.119169</t>
  </si>
  <si>
    <t>2024-05-11 00:00:00.000</t>
  </si>
  <si>
    <t>Importanza geologica e socioambientale dell’eruzione del Xitle e dei tubi di lava.</t>
  </si>
  <si>
    <t>Ana Lillian Martin Del Pozzo, Amiel Nieto-Torres, Ramón Espinasa-Pereña, Mariana Sandoval García</t>
  </si>
  <si>
    <t>L’Espacio Escultórico e il paesaggio del Pedregal de San Ángel, Messico. Fondazione Benetton Studi Ricerche-Antiga</t>
  </si>
  <si>
    <t>978-88-8435-435-8</t>
  </si>
  <si>
    <t>https://fbsr.it/pubblicazione/lespacio-escultorico-nel-pedregal-de-san-angel-citta-del-messico/</t>
  </si>
  <si>
    <t>Glacial and volcanic landforms in the upper catchment of Claro River, Central Chile (35.5°S): A late Quaternary geomorphological case study</t>
  </si>
  <si>
    <t>Paulina Mejías-Osorio. Joaquín Cortés-Aranda. Pablo Salas. María Mardones.</t>
  </si>
  <si>
    <t>Earth Surface Processes and Landforms</t>
  </si>
  <si>
    <t>0197-9337</t>
  </si>
  <si>
    <t>10.1002/esp.5828</t>
  </si>
  <si>
    <t>2024-10-18 00:00:00.000</t>
  </si>
  <si>
    <t>Targeting deeply-sourced seeps along the Central Volcanic Zone</t>
  </si>
  <si>
    <t>Donato Giovannelli, Deborah Bastoni, Angelina Cordone, Marco Giardina, Jacopo Pasotti, Mauricio Aguilera, Cristobal Gonzalez, Joaquin Gutierrez, Nahun Irarrazabal, Felipe Aguilera, Alfredo Esquivel, Susana Layana, Claudia Rojas, Hector Vallejos, Jenny M. Blamey, Joy Buongiorno, Agostina Chiodi, Viola Krukenberg, Carlos J. Ramirez, Alejandro Rodriguez, J. Maarten de Moor, Timothy J. Rogers, Karen G. Lloyd, Jorge Sánchez-SanMartín, Matt O. Schrenk, Gerdhard L. Jessen, Peter H. Barry</t>
  </si>
  <si>
    <t>Open Research Europe</t>
  </si>
  <si>
    <t>10.12688/S2730-64622023000100001</t>
  </si>
  <si>
    <t>2024-12-24 00:00:00.000</t>
  </si>
  <si>
    <t>Geochemical and magnetic properties in fluvial and lacustrine systems as environmental quality proxies in the Atacama Desert</t>
  </si>
  <si>
    <t xml:space="preserve">Aranguiz, A., Pizarro, H., Flores-Varas, A., Tapia, J., Herrera, J., Maza, S. </t>
  </si>
  <si>
    <t>Environmental Earth Sciences</t>
  </si>
  <si>
    <t>10.1007/s12665-024-12023-0</t>
  </si>
  <si>
    <t>2024-05-19 00:00:00.000</t>
  </si>
  <si>
    <t>Tracing the Origin and Magmatic Evolution of the Rejuvenated Volcanism in Santa Clara Island, Juan Fernández Ridge, SE Pacific</t>
  </si>
  <si>
    <t>Javier Reyes, Luis Lara,  Vanessa Sutherland, Nicolás Aguirre, Carlos Orellana, Folkmar Hauff y Kaj Hoernle.</t>
  </si>
  <si>
    <t>Mineral</t>
  </si>
  <si>
    <t>0377-0273</t>
  </si>
  <si>
    <t>10.3390/min14050524</t>
  </si>
  <si>
    <t>2024-07-14 00:00:00.000</t>
  </si>
  <si>
    <t>Assessing the effects of long-term mining exploitation on a lacustrine system from the arid region of the Atacama Desert, Chile</t>
  </si>
  <si>
    <t>P. Pérez-Portilla, A. Aránguiz-Acuña,  H. Pizarro, A. Maldonado, J. Herrera, J. Tapia</t>
  </si>
  <si>
    <t>Science of the total environment</t>
  </si>
  <si>
    <t>10.1016/j.scitotenv.2024.174771</t>
  </si>
  <si>
    <t>Volcanic risk ranking and regional mapping of the Central Volcanic Zone of the Andes</t>
  </si>
  <si>
    <t>María-Paz Reyes-Hardy, Luigia Sara Di Maio, Lucia Dominguez, Corine Frischknecht, Sébastien Biass, Leticia Freitas Guimarães, Amiel Nieto-Torres, Manuela Elissondo, Gabriela Pedreros, Rigoberto Aguilar, Álvaro Amigo, Sebastián García, Pablo Forte, and Costanza Bonadonna</t>
  </si>
  <si>
    <t>Natural Hazards and Earth System Sciences</t>
  </si>
  <si>
    <t>1561-8633</t>
  </si>
  <si>
    <t>10.5194/nhess-2023-225</t>
  </si>
  <si>
    <t>Lithological control of the active Mejillones fault from Triassic to Quaternary, northern Chile</t>
  </si>
  <si>
    <t>Kellen Azúa, Francisco Pastén-Araya, José González-Alfaro, José Salomón, Sergio Ruiz, César Pastén, Pablo Salazar</t>
  </si>
  <si>
    <t>Tectonophysics</t>
  </si>
  <si>
    <t>0040-1951</t>
  </si>
  <si>
    <t>10.1016/j.tecto.2024.230395</t>
  </si>
  <si>
    <t>2024-07-07 00:00:00.000</t>
  </si>
  <si>
    <t xml:space="preserve">Joint flexural-density modeling of the Taltal, Copiapó, and Iquique hotspot ridges ant he surrounding oceanic plate, offshore Chile </t>
  </si>
  <si>
    <t>Andrei Maksymowicz;  Eduardo Contreras-Reyes;  Luis E. Lara</t>
  </si>
  <si>
    <t>Geosphere</t>
  </si>
  <si>
    <t>1553-040X</t>
  </si>
  <si>
    <t>10.1130/GES02674.1​</t>
  </si>
  <si>
    <t>The PiGas: A low-cost approach to volcanic gas sampling</t>
  </si>
  <si>
    <t>T.D. Pering, T.C. Wilkes, S. Layana, F. Aguilera, M. Aguilera</t>
  </si>
  <si>
    <t>Journal of Volcanology and Geothermal Research.</t>
  </si>
  <si>
    <t>10.1016/j.jvolgeores.2024.108063.</t>
  </si>
  <si>
    <t>2024-11-08 00:00:00.000</t>
  </si>
  <si>
    <t>Unraveling the Geodynamic Evolution of the Pre-and Early- Andean Margin: Insights From Numerical Modeling</t>
  </si>
  <si>
    <t>Harim Arvizu, Vlad Constantin Manea, Verónica Oliveros, Paulina Vásquez</t>
  </si>
  <si>
    <t>Geophysical Research Letters</t>
  </si>
  <si>
    <t>0094-8276</t>
  </si>
  <si>
    <t>10.5281/zenodo.13839386</t>
  </si>
  <si>
    <t>Run-out distance of initially fluidized, collapsing granular columns with different aspect ratios: constraints and volcanological implications from experiments and 2D incompressible simulations</t>
  </si>
  <si>
    <t xml:space="preserve">Alvaro Aravena, Laurent Chupin, Thierry Dubois, Olivier Roche </t>
  </si>
  <si>
    <t>Bulletin of Volcanology</t>
  </si>
  <si>
    <t>10.1016/j.jvolgeores.2020.106671</t>
  </si>
  <si>
    <t>Optimizing Volcanic Hazard Modeling with Physics-Informed Neural Networks (PINNs)</t>
  </si>
  <si>
    <t>Yuvineza Gómez-Leyton and Pablo Salazar</t>
  </si>
  <si>
    <t>Journal of Physics: Conference Series</t>
  </si>
  <si>
    <t>10.1088/1742-6596/2839/1/012011</t>
  </si>
  <si>
    <t xml:space="preserve">Reconstrucción del paleo-relieve del área del Volcán Xitle (Ciudad de México) y su impacto en la trayectoria de sus derrames de lava mediante simulaciones probabilísticas </t>
  </si>
  <si>
    <t>Amiel Nieto-Torres, Mariana Sandoval García, Ana Lillian Martin Del Pozzo</t>
  </si>
  <si>
    <t>Geofísica Internacional</t>
  </si>
  <si>
    <t>2954-436X</t>
  </si>
  <si>
    <t>10.22201/igeof.2954436xe.2024.64.4.1769</t>
  </si>
  <si>
    <t>Lastarria volcano, a major emitter of boron and chalcophiles in northern Chile and the Central Volcanic Zone</t>
  </si>
  <si>
    <t>Manuel Inostroza, Séverine Moune, Felipe Aguilera, Ivan Vlastelic, Pierre Burckel, Joseline Tapia, Nahun Irarrázabal, Bárbara Fernández</t>
  </si>
  <si>
    <t>Chemical Geology</t>
  </si>
  <si>
    <t>0009-2541</t>
  </si>
  <si>
    <t>10.1016/j.chemgeo.2023.121552</t>
  </si>
  <si>
    <t>Ashfall characteristics and development of the ash monitoring network during three decades of the long-lived eruption of Popocatépetl Volcano, México</t>
  </si>
  <si>
    <t>Ana Lillian Martin-Del Pozzo, Amiel Nieto-Torres</t>
  </si>
  <si>
    <t>Journal of Volcanology and Geothermal Research</t>
  </si>
  <si>
    <t>10.1016/j.jvolgeores.2024.108176.</t>
  </si>
  <si>
    <t>2024-12-07 00:00:00.000</t>
  </si>
  <si>
    <t>The Triassic magmatism in southwestern Gondwana: An example of arc batholith construction in a retreating margin</t>
  </si>
  <si>
    <t>Javiera Gonzalez , Veronica Oliveros, Friedrich Lucassen, Christian Creixell, Felipe Coloma, Ricardo Velasquez, Laura Hernandez, Paulina Vasquez, Simone A. Kasemann</t>
  </si>
  <si>
    <t>Gondwana Research</t>
  </si>
  <si>
    <t>1342-937X</t>
  </si>
  <si>
    <t>10.1016/j.gr.2024.12.002</t>
  </si>
  <si>
    <t>Magnetotelluric image of the Patagonian slab window: Constraints on upper mantle physical properties and sources of intraplate magmatism</t>
  </si>
  <si>
    <t>Jaime Araya Vargas,  Jorge Sanhueza, Daniel Díaz, María José Segovia, Francisco Pastén-Araya, Katarzyna Ślęzak</t>
  </si>
  <si>
    <t xml:space="preserve">0012-821X </t>
  </si>
  <si>
    <t>10.1016/j.epsl.2013.10.046</t>
  </si>
  <si>
    <t xml:space="preserve">Effect of crustal stress state on magmatic stalling and ascent: case study from Puyehue-Cordón Caulle, Chile </t>
  </si>
  <si>
    <t xml:space="preserve">Katy J. Chamberlain, Daniel J. Morgan, Luis E. Lara, Richard Walshaw, Joe Gardner, Simon Chenery, Ian L. Millar &amp; Doris Wagner </t>
  </si>
  <si>
    <t>1437-7796</t>
  </si>
  <si>
    <t>10.1007/s00445-024-01740-w​</t>
  </si>
  <si>
    <t>Characterization and geodynamic interpretation of Nazca Plate bathymetric anomalies</t>
  </si>
  <si>
    <t>Gabriel Orozco, Luis E. Lara, Andrés Tassara</t>
  </si>
  <si>
    <t>10.1016/j.epsl.2023.117674</t>
  </si>
  <si>
    <t>Instituto Milenio de Oceanografía Integrativa</t>
  </si>
  <si>
    <t>Cristian A. Vargas &amp; Stefan Gelcich</t>
  </si>
  <si>
    <t>Vargas, C.A., Gelcich, S. Integrated actions across multiple sustainable development goals (SDGs) can help address coastal ocean acidification. Commun Earth Environ 5, 319 (2024). https://doi.org/10.1038/s43247-024-01485-6</t>
  </si>
  <si>
    <t>0028-0836</t>
  </si>
  <si>
    <t>Oerder, V., Colas, F., Echevin, V.,Masson, S., &amp; Lemarie, F. (2018). Impacts of the mesoscale ocean-atmosphere coupling on the Peru-Chile ocean dynamics: The current-induced wind stress modulation. Journal of Geophysical Research: Oceans, 123, 812–833. https://doi.org/10.1002/2017JC013294</t>
  </si>
  <si>
    <t>e2023jc02035</t>
  </si>
  <si>
    <t>2169-9291</t>
  </si>
  <si>
    <t>Leissing Frederick, Mauricio A. Urbina, Erika Jorquera, Ruben Escribano (Marzo 2024)Adjusting metabolic rates and critical oxygen tension in planktonic copepods under increasing hypoxia in highly productive coastal upwelling zones. Limnology and Oceanography. V69,1115-1128, 10.1002/lno.12556</t>
  </si>
  <si>
    <t>Diel vertical migration of Nannocalanus minor and Eucalanus inermis (Copepoda: Calanoidea) associated with the oxygen minimum zone in northern Chile</t>
  </si>
  <si>
    <t>Richard Cobo, Pamela Hidalgo, Pamela Fierro-González, Paula Ruz-Moreno</t>
  </si>
  <si>
    <t>Richard Cobo, Pamela Hidalgo, Pamela Fierro-González, Paula Ruz-Moreno.Diel vertical migration of Nannocalanus minor and Eucalanus inermis (Copepoda: Calanoidea) associated with the oxygen minimum zone in northern Chile. Latin American Journal of Aquatic Research. V52N2, 220-232.10.3856/vol52-issue2-fulltext-3074</t>
  </si>
  <si>
    <t>0718-560x</t>
  </si>
  <si>
    <t>10.3856/vol52-issue2-fulltext-3074</t>
  </si>
  <si>
    <t>The Diversity of Metazoan Parasites of South American Stromateidae (Pisces: Teleostei) Is Related to Marine Biogeography</t>
  </si>
  <si>
    <t>Marcelo E. Oliva, Luis A. Ñacari,Ruben Escribano and José L. Luque</t>
  </si>
  <si>
    <t>Oliva, M.E.; Ñacari, L.A.; Escribano, R.; Luque, J.L. The Diversity of Metazoan Parasites of South American Stromateidae (Pisces: Teleostei) Is Related to Marine Biogeography. Diversity 2024, 16, 108. https://doi.org/10.3390/d16020107</t>
  </si>
  <si>
    <t>10.3390/d16020108</t>
  </si>
  <si>
    <t>Andrés Mesas 1,2*, Víctor M.Aguilera3,4, Carolina E.González1 , RicardoGiesecke5,7, Rubén Escribano1,6 &amp; CristianA.Vargas1,2,8</t>
  </si>
  <si>
    <t>Latitudinal diversity of planktonic copepods in the Eastern Pacific: overcoming sampling biases and predicting patterns</t>
  </si>
  <si>
    <t>Rivera, Escribano, Gonza´lez and Pe´rez-Arago´ n.</t>
  </si>
  <si>
    <t>Rivera R, Escribano R, Gonza´lez CE and Pe´rez-Arago´ n M (2024) Latitudinal diversity of planktonic copepods in the Eastern Pacific: overcoming sampling biases and predicting patterns. Front. Ecol. Evol. 12:1305916. doi: 10.3389/fevo.2024.1305916</t>
  </si>
  <si>
    <t>2296-701x</t>
  </si>
  <si>
    <t>10.3389/fevo.2024.1305916</t>
  </si>
  <si>
    <t>Instituto Milenio en Amoniaco Verde como Vector Energético</t>
  </si>
  <si>
    <t>2024-10-14 00:00:00.000</t>
  </si>
  <si>
    <t>Synthesis and Characterization of Ti-13Ta-6Sn Foams Produced Using Mechanical Alloying, the Space Holder Method and Plasma-Assisted Sintering</t>
  </si>
  <si>
    <t>F. Cavilha, V. Medeiros, V. Salinas, E. Pio, C. Aguilar, B. Borges, A. Klein, B. Henriques, C. Binder</t>
  </si>
  <si>
    <t>Metals</t>
  </si>
  <si>
    <t>2075-4701</t>
  </si>
  <si>
    <t>10.3390/met14101145</t>
  </si>
  <si>
    <t>Carolina Manquian, Alberto Navarrete, Leonardo Vivas ,Loreto Troncoso, Dinesh Pratap Singh</t>
  </si>
  <si>
    <t>10.3390/nano14040353</t>
  </si>
  <si>
    <t>The Effect of Adding CeO2 Nanoparticles to Cu–Ni–Al Alloy for High Temperatures Applications</t>
  </si>
  <si>
    <t>Carola Martinez; Camila Arcos; Francisco Briones; Izabel Machado; Mamié Sancy; Marion Bustamante</t>
  </si>
  <si>
    <t>10.3390/nano14020143</t>
  </si>
  <si>
    <t>The Synthesis of Sponge-like V2O5/CNT Hybrid Nanostructures Using Vertically Aligned CNTs as Templates</t>
  </si>
  <si>
    <t>Matías Picuntureo, José Antonio García-Merino, Roberto Villarroel, Samuel A. Hevia</t>
  </si>
  <si>
    <t>10.3390/nano14020211</t>
  </si>
  <si>
    <t>α-Fe2O3/, Co3O4/, and CoFe2O4/MWCNTs/Ionic Liquid Nanocomposites as High-Performance Electrocatalysts for the Electrocatalytic Hydrogen Evolution Reaction in a Neutral Medium</t>
  </si>
  <si>
    <t>José Ibarra, María Jesus Aguirre, Rodrigo del Río, Rodrigo Henriquez, Ricardo Faccio, Enrique A. Dalchiele, Roxana Arce, Galo Ramírez</t>
  </si>
  <si>
    <t>10.3390/ ijms25137043</t>
  </si>
  <si>
    <t>Adaptive Speed Control for a DC Motor Using DC/DC Converters: An Inverse Optimal Control Approach</t>
  </si>
  <si>
    <t>Diego Montoya-Acevedo, Walter Gil-González, Oscar D. Montoya, Carlos Restrepo and Catalina González-Castaño</t>
  </si>
  <si>
    <t>IEEE access</t>
  </si>
  <si>
    <t>2169-3536</t>
  </si>
  <si>
    <t>10.1109/ACCESS.2024.3482982</t>
  </si>
  <si>
    <t>A review on mechanical alloying and spark plasma sintering of refractory high-entropy alloys: Challenges, microstructures, and mechanical behavior</t>
  </si>
  <si>
    <t>P. Martin, C. Aguilar, J.M. Cabrera</t>
  </si>
  <si>
    <t>Journal of Materials Research and Technology</t>
  </si>
  <si>
    <t>2238-7854</t>
  </si>
  <si>
    <t>10.1016/j.jmrt.2024.03.205</t>
  </si>
  <si>
    <t>Effect of Combining Carbon Policies and Price Controls in Cross-Border Trade of Energy on Renewable Generation Investments</t>
  </si>
  <si>
    <t>Juan Carlos Muñoz, Sebastian Oliva y Enzo Sauma</t>
  </si>
  <si>
    <t>The Energy Journal</t>
  </si>
  <si>
    <t>0195-6574</t>
  </si>
  <si>
    <t>10.5547/01956574.45.1.jmun</t>
  </si>
  <si>
    <t>Carbon dioxide electrochemical reduction by copper nanoparticles/ionic liquid-based catalytic inks</t>
  </si>
  <si>
    <t>Valeria Gazzano, Elías Mardones-Herrera, Natalia Sáez-Pizarro, Francisco Armijo, Francisco Martinez-Rojas, Domingo Ruiz-León, Jessica Honores and Mauricio Isaacs</t>
  </si>
  <si>
    <t>Frontiers Environmental Chemistry</t>
  </si>
  <si>
    <t>10.3389/fenvc.2024.1447014</t>
  </si>
  <si>
    <t>Digital Current Control based on Passivity for the Versatile Buck-Boost Converter</t>
  </si>
  <si>
    <t>Catalina González-Castaño, Anant Kumar Verma, Ignacio Parraguez-Garrido, René Contreras, Alejandro Garcés-Ruiz, Carlos Restrepo</t>
  </si>
  <si>
    <t>ICA ACCA IEEE conferencia</t>
  </si>
  <si>
    <t>10.1109/ICA-ACCA62622.2024.10766463</t>
  </si>
  <si>
    <t>Effect of the Metal of a Metallic Ionic Liquid (-butyl-methylimidazolium tetrachloroferrate) on the Oxidation of Hydrazine</t>
  </si>
  <si>
    <t>Marcela Brockmann, Freddy Navarro, José Ibarra, Constanza León, Francisco Armijo, María Jesús Aguirre, Galo Ramírez, Roxana Arce</t>
  </si>
  <si>
    <t>catalysts</t>
  </si>
  <si>
    <t>2073-4344</t>
  </si>
  <si>
    <t>10.3390/catal14060359</t>
  </si>
  <si>
    <t>First approach of fractals nickel-copper dendrites on stainless steel electrodes for ammonia oxidation to nitrogen monitored in operando by differential electrochemical mass spectroscopy</t>
  </si>
  <si>
    <t>Felipe Matamala-Troncoso, Sergio Díaz-Coello, Francisco Martínez, Herna Barrientos, Judit Lisoni, Francisco Armijo, David Lozano, Jaime Pizarro, María del Carmen Arevalo, Elena Pastor, María Jesús Aguirre</t>
  </si>
  <si>
    <t>Electrochimica Acta</t>
  </si>
  <si>
    <t>0013-4686</t>
  </si>
  <si>
    <t>10.1016/j.electacta.2024.144894</t>
  </si>
  <si>
    <t>Grid Forming Control Applied to Isolated Hybrid DC Microgrid for Green Hydrogen Production</t>
  </si>
  <si>
    <t>Diego Montoya-Acevedo, René Contreras-Barrios, Angel Maureira-Riquelme, Antonio Esteban Veliz-Navarro, Carlos Restrepo, Catalina Gonzalez-Castaño</t>
  </si>
  <si>
    <t>10.1109/ICA-ACCA62622.2024.10766813</t>
  </si>
  <si>
    <t>Hybrid numerical–experimental strategy for damage characterization of SAE 1045 steel</t>
  </si>
  <si>
    <t>Pedro Miguel Aranda, Claudio García-Herrera, Diego Celentano, Víctor Tuninetti, Sebastián Andrés Toro, Felipe Landeros</t>
  </si>
  <si>
    <t>European Journal of Mechanics / A Solids</t>
  </si>
  <si>
    <t>0997-7538</t>
  </si>
  <si>
    <t>10.1016/j.euromechsol.2023.105169</t>
  </si>
  <si>
    <t>2024-04-27 00:00:00.000</t>
  </si>
  <si>
    <t>On the validation and applicability of multiphysics models for hydrogen SOFC</t>
  </si>
  <si>
    <t>Brayn Díaz, Diego Celentano, Paulo Molina, Mamié Sancy, Loreto Troncoso, Magdalena Walczak</t>
  </si>
  <si>
    <t>Journal of Power Sources</t>
  </si>
  <si>
    <t>0378-7753</t>
  </si>
  <si>
    <t>10.1016/j.jpowsour.2024.234493</t>
  </si>
  <si>
    <t>Optimal routing for electric vehicle macro-groups in urban areas: Application to the city of Santiago, Chile</t>
  </si>
  <si>
    <t>Sebastián de la Torre, José Aguado, Enzo Sauma y Alejandro Lozano-Martos</t>
  </si>
  <si>
    <t>Energy</t>
  </si>
  <si>
    <t>0360-5442</t>
  </si>
  <si>
    <t>10.1016/j.energy.2024.133996</t>
  </si>
  <si>
    <t>Passivity-Based Control PI for the Versatile Buck-Boost (VBB) Converter</t>
  </si>
  <si>
    <t>Catalina González-Castaño, Antonio Véliz, Duberney Murillo-Yarce, Walter Gil-González, Carlos Restrepo and Alejandro Garcés</t>
  </si>
  <si>
    <t>10.1109/ACCESS.2024.3439688</t>
  </si>
  <si>
    <t>Potential Use of Waste in Electrocatalysis Using Foundry Sand as Electrocatalyst for the Hydrogen Evolution Reaction</t>
  </si>
  <si>
    <t>Chubraider Xavier,1 Galo Ramírez,2 Maurício Isaacs,2 Caue Ribeiro,3 Eduardo B. Azevedo,1 and Rodrigo delRio Quero</t>
  </si>
  <si>
    <t>ECS Advances</t>
  </si>
  <si>
    <t>2754-2734</t>
  </si>
  <si>
    <t>10.1149/2754-2734/ad2af9</t>
  </si>
  <si>
    <t>SrCo0.50Fe0.40Ir0.10O3−δ Decorated with Pd and La0.8Sr0.2Ga0.83Mg0.17O3−δ: A Cleaner Electrode for Intermediate-Temperature Solid Oxide Fuel Cells with Reduced Cobalt Content</t>
  </si>
  <si>
    <t>Mónica Chivite-Lacaba, Jesús Prado-Gonjal, Loreto Troncoso, José Antonio Alonso, Vanessa Cascos,</t>
  </si>
  <si>
    <t>ACS Applied Energy Materials</t>
  </si>
  <si>
    <t>2574-0962</t>
  </si>
  <si>
    <t>10.1021/acsaem.3c02361</t>
  </si>
  <si>
    <t>High-entropy alloys as an alternative binder to improve mechanical, tribological, and oxidation properties of cermets</t>
  </si>
  <si>
    <t>C. Madrid, C. Cáceres, Víctor M. Jiménez-Arévalo, P. Martin, N. Araya, C. Aguilar</t>
  </si>
  <si>
    <t>Materials &amp; Design</t>
  </si>
  <si>
    <t>0264-1275</t>
  </si>
  <si>
    <t>10.1016/j.matdes.2024.113431</t>
  </si>
  <si>
    <t>2024-09-14 00:00:00.000</t>
  </si>
  <si>
    <t>Computational Shape Design Optimization of Femoral Implants: Towards Efficient Forging Manufacturing</t>
  </si>
  <si>
    <t>Víctor Tuninetti, Geovanni Fuentes, Angelo Oñate, Sunny Narayan, Diego Celentano, Claudio García-Herrera, Brahim Menacer, Gonzalo Pincheira, César Garrido and Rodrigo Valle</t>
  </si>
  <si>
    <t>Applied Sciences</t>
  </si>
  <si>
    <t>2076-3417</t>
  </si>
  <si>
    <t>10.3390/app14188289</t>
  </si>
  <si>
    <t>Electrochemical Sensor Based on Glassy Carbon Electrode Modified with Carbon Nanohorns (SWCNH) for Determination of Cr(VI) via Adsorptive Cathodic Stripping Voltammetry (AdCSV) in Tap Water</t>
  </si>
  <si>
    <t>Fabiana Liendo, Bryan Pichún, Amaya Paz de la Vega, Johisner Penagos, Núria Serrano, José Manuel Díaz-Cruz, Jaime Pizarro, Rodrigo Segura, María Jesús Aguirre</t>
  </si>
  <si>
    <t>10.3390/nano14171465</t>
  </si>
  <si>
    <t>Energy Management and Cost Operation Optimization Modeling Applied to an Off-grid DC Microgrid With Green Hydrogen Production</t>
  </si>
  <si>
    <t>Diego Montoya-Acevedo, Laura Bedoya-Cadena, Angel S Maureira-Riquelme, Ignacio Parraguez-Garrido, Carlos Restrepo, Catalina Gonzalez-Castaño</t>
  </si>
  <si>
    <t>10.1109/ICA-ACCA62622.2024.10766789</t>
  </si>
  <si>
    <t>Suitability study of Ag nanosheet SERS substrates as a screening method for imidacloprid after QuEChERS extraction</t>
  </si>
  <si>
    <t>Felipe Leyton-Soto, Zachary D. Schultz, Rodrigo Ormazábal-Toledo,  Domingo Ruiz-León, Ady Giordano  and  Mauricio Isaacs</t>
  </si>
  <si>
    <t>New Journal of Chemistry</t>
  </si>
  <si>
    <t>1144–0546</t>
  </si>
  <si>
    <t>10.1039/D3NJ05956A</t>
  </si>
  <si>
    <t>Model Predictive Control With Stability Guarantee for the Versatile Buck–Boost Converter</t>
  </si>
  <si>
    <t>Sebastian Riffo, Catalina González-Castaño, Alejandro Garcés-Ruiz, Freddy Flores-Bahamonde, Esteban Ibáñez Muñoz and Carlos Restrepo</t>
  </si>
  <si>
    <t>IEEE Transactions on Power Electronics</t>
  </si>
  <si>
    <t>0885-8993</t>
  </si>
  <si>
    <t>10.1109/TPEL.2024.3417245</t>
  </si>
  <si>
    <t>Improved ammonia production using Cu2O@poly-carbazole electrocatalysts in the electrochemical reduction of molecular nitrogen and nitrogen oxoanions</t>
  </si>
  <si>
    <t>Luis Herrán, Jessica Honores, Diego F. Veliz-Silva, Colin Poblete, Elías Leiva, Esteban Landaeta, César Sáez-Navarrete, Mamié Sancy, Rodrigo del Río, Enrique Dalchiele and Mauricio Isaacs</t>
  </si>
  <si>
    <t>Journal of Materials Chemistry A</t>
  </si>
  <si>
    <t>25011-25021</t>
  </si>
  <si>
    <t>2050-7488</t>
  </si>
  <si>
    <t>10.1039/D4TA02904F</t>
  </si>
  <si>
    <t>Carbon black as a modifier for a cheap carbon paper disposable electrode for the determination of zaleplon in synthetic saliva</t>
  </si>
  <si>
    <t>Veronica Heredia, Javiera Vegas, Lidia Espinoza, Erick Flores, Freddy Navarro, Daniel Lizama, María Aguirre, Paulina Márquez, Jaime Pizarro</t>
  </si>
  <si>
    <t>Journal of Applied Electrochemistry</t>
  </si>
  <si>
    <t>1371-1380</t>
  </si>
  <si>
    <t>0021-891X</t>
  </si>
  <si>
    <t>10.1007/s10800-024-02240-7</t>
  </si>
  <si>
    <t>2024-12-30 00:00:00.000</t>
  </si>
  <si>
    <t>CsPbBr3-based photoanode prepared by single-step Chemical vapor deposition of tunable thickness perovskite films</t>
  </si>
  <si>
    <t>JR. Sosa-Acosta,  L. Fernández-Izquierdo,  Rodrigo del Río,  Elena Navarrete-Astorga,  Dietmar Leinen,  Samuel A. Hevia</t>
  </si>
  <si>
    <t>Applied Surface Science</t>
  </si>
  <si>
    <t>0169-4332</t>
  </si>
  <si>
    <t>10.1016/j.apsusc.2024.161049</t>
  </si>
  <si>
    <t>Extract with antifungal activity againt Botrytis cinerea from potato industry waste</t>
  </si>
  <si>
    <t xml:space="preserve">Freddy Navarro, Carlos Corrial, Simonet Torres, Herna Barrientos, María Jesús Aguirre, Milena Cotoras, Paulo Castro, Ricardo Melo, Leonora Mendoza </t>
  </si>
  <si>
    <t>10.1016/j.fbio.2024.103687</t>
  </si>
  <si>
    <t>Impacts of different hydrogen demand levels and climate policy scenarios on the Chilean integrated hydrogen–electricity network</t>
  </si>
  <si>
    <t>Javier Jorquera-Copier, Álvaro Lorca, Enzo Sauma, Stefan Lorenczik y Matías Negrete-Pincetic</t>
  </si>
  <si>
    <t>Energy Policy</t>
  </si>
  <si>
    <t>0301-4215</t>
  </si>
  <si>
    <t>10.1016/j.enpol.2023.113881</t>
  </si>
  <si>
    <t>Treated greywater as a novel water resource: The perspective of greywater treatment for reuse from a bibliometric analysis</t>
  </si>
  <si>
    <t>Diana Yáneza,b, Lidia Carolina Espinozac,d,e, Ignacio Vargasf, Julio Romerof, María Jesús Aguirreg,h, Roxana Arcee,h, Esteban Quijada-Maldonadoa and Ricardo Abejon</t>
  </si>
  <si>
    <t>Water Science &amp; Technology</t>
  </si>
  <si>
    <t>0273-1223</t>
  </si>
  <si>
    <t>10.2166/wst.2024.384</t>
  </si>
  <si>
    <t>Instituto Milenio en Ingeniería e Inteligencia Artificial para la Salud</t>
  </si>
  <si>
    <t>2024-04-14 00:00:00.000</t>
  </si>
  <si>
    <t>EXACT CLASSIFICATION OF NMR SPECTRA FROM NMR SIGNALS</t>
  </si>
  <si>
    <t>Pedro Izquierdo Lehmann; Aline Xavier; Marcelo E. Andia; Carlos A. Sing Long</t>
  </si>
  <si>
    <t>ICASSP, IEEE International Conference on Acoustics, Speech and Signal Processing - Proceedings</t>
  </si>
  <si>
    <t>1520-6149</t>
  </si>
  <si>
    <t>10.1109/ICASSP48485.2024.10446412</t>
  </si>
  <si>
    <t>2024-10-06 00:00:00.000</t>
  </si>
  <si>
    <t>Self-supervised k-Space Regularization for Motion-Resolved Abdominal MRI Using Neural Implicit k-Space Representations</t>
  </si>
  <si>
    <t>Veronika Spieker, Hannah Eichhorn, Jonathan K. Stelter, Wenqi Huang, Rickmer F. Braren, Daniel Rückert, Francisco Sahli Costabal, Kerstin Hammernik, Claudia Prieto, Dimitrios C. Karampinos, Julia A. Schnabel</t>
  </si>
  <si>
    <t>Lecture Notes in Computer Science (including subseries Lecture Notes in Artificial Intelligence and Lecture Notes in Bioinformatics)</t>
  </si>
  <si>
    <t>10.1007/978-3-031-72104-5_59</t>
  </si>
  <si>
    <t>Creating a dermatologic database for artificial intelligence, a Chilean experience, and advice from ChatGPT</t>
  </si>
  <si>
    <t>Leonel Hidalgo, María Paz Salinas, Javiera Sepúlveda, Karina Carrasco, Pamela Romero, Alma Pedro, Soledad Vidaurre, Domingo Mery, Cristian Navarrete‐Dechent</t>
  </si>
  <si>
    <t>Journal of the European Academy of Dermatology &amp;Venereology</t>
  </si>
  <si>
    <t>10.1002/jvc2.546</t>
  </si>
  <si>
    <t>Clinical impact of novel cardiovascular magnetic resonance technology on patients with congenital heart disease: a scientific statement of the Association for European Pediatric and Congenital Cardiology and the European Association of Cardiovascular Imaging of the European Society of Cardiology</t>
  </si>
  <si>
    <t>Voges I, Raimondi F, McMahon CJ, Ait-Ali L, Babu-Narayan SV, Botnar RM, Burkhardt B, Gabbert DD, Grosse-Wortmann L, Hasan H, Hansmann G, Helbing WA, Krupickova S, Latus H, Martini N, Martins D, Muthurangu V, Ojala T, van Ooij P, Pushparajah K, Rodriguez-Palomares J, Sarikouch S, Grotenhuis HB, Greil FG, Bohbot Y, Cikes M, Dweck M, Donal E, Grapsa J, Keenan N, Petrescu AM, Szabo L, Ricci F, Uusitalo V.</t>
  </si>
  <si>
    <t>Eur Heart J Cardiovasc Imaging</t>
  </si>
  <si>
    <t>10.1093/ehjci/jeae172</t>
  </si>
  <si>
    <t>Feasibility and image quality of bright-blood and black-blood phase-sensitive inversion recovery (BOOST) sequence in clinical practice using for left atrial visualization in patients with atrial fibrillation</t>
  </si>
  <si>
    <t>Dohy Z, Kiss M, Suhai FI, Kunze K, Neji R, Orbán G, Drobni Z, Czimbalmos C, Juhász V, Szabó L, Botnar R, Prieto C, Merkely B, Szegedi N, Vágó H.</t>
  </si>
  <si>
    <t>European Radiology</t>
  </si>
  <si>
    <t>2689-2698</t>
  </si>
  <si>
    <t>10.1007/s00330-023-10257-3</t>
  </si>
  <si>
    <t>Cardiovascular magnetic resonance reveals myocardial involvement in patients with active stage of inflammatory bowel disease</t>
  </si>
  <si>
    <t>Fenski M, Abazi E, Gröschel J, Hadler T, Kappelmayer D, Kolligs F, Prieto C, Botnar R, Kunze KP, Schulz-Menger J.</t>
  </si>
  <si>
    <t>Clinical Research in Cardiology</t>
  </si>
  <si>
    <t>10.1007/s00392-024-02503-5</t>
  </si>
  <si>
    <t>Elastin-specific MR probe for visualization and evaluation of an interleukin-1β targeted therapy for atherosclerosis</t>
  </si>
  <si>
    <t>Mangarova DB, Reimann C, Kaufmann JO, Möckel J, Kader A, Adams LC, Ludwig A, Onthank D, Robinson S, Karst U, Helmer R, Botnar R, Hamm B, Makowski MR, Brangsch J.</t>
  </si>
  <si>
    <t>Sci Rep</t>
  </si>
  <si>
    <t>10.1038/s41598-024-71716-5</t>
  </si>
  <si>
    <t>Inversion recovery and saturation recovery pulmonary vein MR angiography using an image based navigator fluoro trigger and variable-density 3D cartesian sampling with spiral-like order</t>
  </si>
  <si>
    <t>Craft J, Weber J, Li Y, Cheng JY, Diaz N, Kunze KP, Schmidt M, Grgas M, Weber S, Tang J, Parikh R, Onuegbu A, Yamashita AM, Haag E, Fuentes D, Czipo M, Neji R, Espada CB, Figueroa L, Rothbaum JA, Fujikura K, Bano R, Khalique OK, Prieto C, Botnar RM.</t>
  </si>
  <si>
    <t>International Journal of Cardiovascular Imaging</t>
  </si>
  <si>
    <t>10.1007/s10554-024-03111-0</t>
  </si>
  <si>
    <t>Molecular magnetic resonance imaging of myeloperoxidase activity identifies culprit lesions and predicts future atherothrombosis</t>
  </si>
  <si>
    <t>James Nadel, Xiaoying Wang, Prakash Saha, André Bongers, Sergey Tumanov, Nicola Giannotti, Weiyu Chen, Niv Vigder, Mohammed M Chowdhury, Gastao Lima da Cruz, Carlos Velasco, Claudia Prieto, Andrew Jabbour, René M Botnar, Roland Stocker, and Alkystis Phinikaridou</t>
  </si>
  <si>
    <t>European Heart Journal - Imaging Methods and Practice</t>
  </si>
  <si>
    <t>2755-9637</t>
  </si>
  <si>
    <t>10.1093/ehjimp/qyae004</t>
  </si>
  <si>
    <t>2024-09-17 00:00:00.000</t>
  </si>
  <si>
    <t>Non-invasive in vivo imaging of changes in Collagen III turnover in myocardial fibrosis</t>
  </si>
  <si>
    <t>Chaher N, Lacerda S, Digilio G, Padovan S, Gao L, Lavin B, Stefania R, Velasco C, Cruz G, Prieto C, Botnar RM, Phinikaridou A.</t>
  </si>
  <si>
    <t>Npj Imaging</t>
  </si>
  <si>
    <t>10.1038/s44303-024-00037-z</t>
  </si>
  <si>
    <t>A Deep Learning-Based Integrated Framework for Quality-Aware Undersampled Cine Cardiac MRI Reconstruction and Analysis</t>
  </si>
  <si>
    <t>Machado I, Puyol-Anton E, Hammernik K, Cruz G, Ugurlu D, Olakorede I, Oksuz I, Ruijsink B, Castelo-Branco M, Young A, Prieto C, Schnabel J, King A.</t>
  </si>
  <si>
    <t xml:space="preserve"> IEEE Transactions on Biomedical Engineering</t>
  </si>
  <si>
    <t>0018-9294</t>
  </si>
  <si>
    <t>10.1109/TBME.2023.3321431</t>
  </si>
  <si>
    <t>Cardiac magnetic resonance for early atrial lesion visualization post atrial fibrillation radiofrequency catheter ablation</t>
  </si>
  <si>
    <t>Guglielmo M, Rier S, Zan G, Krafft AJ, Schmidt M, Kunze KP, Botnar RM, Prieto C, van der Heijden J, Van Driel V, Ramanna H, van der Harst P, and van der Bilt I.</t>
  </si>
  <si>
    <t xml:space="preserve"> Journal of Cardiovascular Electrophysiology</t>
  </si>
  <si>
    <t>1045-3873</t>
  </si>
  <si>
    <t>10.1111/jce.16152</t>
  </si>
  <si>
    <t>2024-10-08 00:00:00.000</t>
  </si>
  <si>
    <t>Automation of 4D Flow MR Image Processing Obtained by Cardiovascular Magnetic Resonance Imaging</t>
  </si>
  <si>
    <t>Aaron Ponce; Rodrigo Salas; Julio Garcia; Sergio Uribe; Julio Sotelo</t>
  </si>
  <si>
    <t>Proceedings - 2024 50th Latin American Computing Conference, CLEI 2024</t>
  </si>
  <si>
    <t>2771-5752</t>
  </si>
  <si>
    <t>10.1109/CLEI64178.2024.10700580</t>
  </si>
  <si>
    <t>2024-12-29 00:00:00.000</t>
  </si>
  <si>
    <t>Segmentation of 4D Flow MR image obtained by Cardiovascular Magnetic Resonance Imaging</t>
  </si>
  <si>
    <t>2024 IEEE International Conference on Automation/26th Congress of the Chilean Association of Automatic Control, ICA-ACCA 2024</t>
  </si>
  <si>
    <t>10.1109/ICA-ACCA62622.2024.10766455</t>
  </si>
  <si>
    <t>Extracting and Encoding: Leveraging Large Language Models and Medical Knowledge to Enhance Radiological Text Representation</t>
  </si>
  <si>
    <t>Pablo Messina, René Vidal, Denis Parra, Álvaro Soto, and Vladimir Araujo.</t>
  </si>
  <si>
    <t>Proceedings of the Annual Meeting of the Association for Computational Linguistics</t>
  </si>
  <si>
    <t>10.18653/v1/2024.findings-acl.236</t>
  </si>
  <si>
    <t>iHealth-Chile-1 at RRG24: In-context Learning and Finetuning of a Large Multimodal Model for Radiology Report Generation</t>
  </si>
  <si>
    <t>D Campanini, O Loch, P Messina, R Elberg, D Parra</t>
  </si>
  <si>
    <t>BioNLP 2024 - 23rd Meeting of the ACL Special Interest Group on Biomedical Natural Language Processing, Proceedings of the Workshop and Shared Tasks</t>
  </si>
  <si>
    <t>10.18653/v1/2024.bionlp-1.52</t>
  </si>
  <si>
    <t>iHealth-Chile-3&amp;2 at RRG24: Template Based Report Generation</t>
  </si>
  <si>
    <t>Oscar Loch, Pablo Messina, Rafael Elberg, Diego Campanini, Álvaro Soto, René Vidal, Denis Parra</t>
  </si>
  <si>
    <t>10.18653/v1/2024.bionlp-1.53</t>
  </si>
  <si>
    <t>Long Tail Image Generation Through Feature Space Augmentation and Iterated Learning</t>
  </si>
  <si>
    <t>Rafael Elberg, Denis Parra, and Mircea Petrache</t>
  </si>
  <si>
    <t>Computer Vision and Pattern Recognition</t>
  </si>
  <si>
    <t>10.48550/arXiv.2405.01705</t>
  </si>
  <si>
    <t>On the Unexpected Effectiveness of Reinforcement Learning for Sequential Recommendation</t>
  </si>
  <si>
    <t>Álvaro Labarca Silva, Denis Parra, Rodrigo Toro Icarte</t>
  </si>
  <si>
    <t xml:space="preserve">10.4067/235-45432-45450 </t>
  </si>
  <si>
    <t>Adversarial Pairwise Multimodal Recommendation</t>
  </si>
  <si>
    <t>M. Mallea, R. Ñanculef and D. Parra, "Adversarial Pairwise Multimodal Recommendation</t>
  </si>
  <si>
    <t>Proceedings of the International Joint Conference on Neural Networks</t>
  </si>
  <si>
    <t>10.1109/IJCNN60899.2024.10650977.</t>
  </si>
  <si>
    <t>Image navigator–based, automated coronary magnetic resonance angiography for the detection of coronary artery stenosis</t>
  </si>
  <si>
    <t>Gregory Wood, Reza Hajhosseiny, Alexandra Uglebjerg Pedersen, Simon Littlewood, Tina Juul Hansen, Radhouene Neji, Karl P. Kunze, Jens Wetzl, Bjarne Linde Nørgaard, Jesper Møller Jensen, Michael Maeng, Per Lav Madsen, Niels Vejlstrup, Claudia Prieto, René M. Botnar, Won Yong Kim</t>
  </si>
  <si>
    <t>Journal of Cardiovascular Magnetic Resonance</t>
  </si>
  <si>
    <t>1097-6647</t>
  </si>
  <si>
    <t>10.1016/j.jocmr.2024.101097</t>
  </si>
  <si>
    <t>Benchmarking YOLO Models for Intracranial Hemorrhage Detection Using Varied CT Data Sources</t>
  </si>
  <si>
    <t>Tapia G, Mery D, Chabert S, Salas R, Allende-Cid H</t>
  </si>
  <si>
    <t>IEEE Access</t>
  </si>
  <si>
    <t>10.1109/ACCESS.2024.3510517</t>
  </si>
  <si>
    <t>Enhancement of cardiac and respiratory sounds for cell phone reproduction by means of digital sound processing methods</t>
  </si>
  <si>
    <t xml:space="preserve">Echenique MB, Godoy E, Cadiz R, Andia ME. </t>
  </si>
  <si>
    <t xml:space="preserve"> Personal and Ubiquitous Computing</t>
  </si>
  <si>
    <t>1617-4917</t>
  </si>
  <si>
    <t>10.1007/s00779-024-01833-5</t>
  </si>
  <si>
    <t>Fast and accessible T2 mapping using off-resonance corrected DESPOT2 with application to 3D prostate</t>
  </si>
  <si>
    <t>Ronal Coronado , Carlos Castillo-Passi, Cecilia Besa, Pablo Irarrazaval</t>
  </si>
  <si>
    <t>Magnetic Resonance Imaging</t>
  </si>
  <si>
    <t>0730-725X</t>
  </si>
  <si>
    <t>10.1016/j.mri.2024.03.018</t>
  </si>
  <si>
    <t>The cervical and meningeal lymphatic network as a pathway for retrograde nanoparticle transport to the brain</t>
  </si>
  <si>
    <t>Ramos-Zaldívar H, Polakovicova I, Salas-Huenuleo E, Yefi CP, Silva D, Jara-Guajardo P, Oyarzun JE, Neira-Troncoso A, Burgos PV, Cavieres V, Arias-Munoz E, Martinez C, Riveros AL, Corvalán AH, Kogan MJ, Andia ME</t>
  </si>
  <si>
    <t xml:space="preserve">International Journal of Nanomedicine </t>
  </si>
  <si>
    <t xml:space="preserve">1176-9114 </t>
  </si>
  <si>
    <t>10.2147/IJN.S477159</t>
  </si>
  <si>
    <t>The Gut-Heart Axis: Molecular Perspectives and Implications for Myocardial Infarction</t>
  </si>
  <si>
    <t xml:space="preserve">Rivera K, Gonzalez L, Bravo L, Manjarrés L, Andia ME. </t>
  </si>
  <si>
    <t>10.3390/ijms252212465</t>
  </si>
  <si>
    <t>Comparative Study of Phenolic Content, Antioxidant, and Hepatoprotective Activities of Unifloral Quillay Tree (Quillaja saponaria Molina) and Multifloral Honeys from Chile</t>
  </si>
  <si>
    <t xml:space="preserve">Núñez-Pizarro P, Montenegro G, Núñez G, Andia ME, Espinosa-Bustos C, Costa de Camargo A, Oyarzún JE, Bridi R. </t>
  </si>
  <si>
    <t>10.3390/plants13223187</t>
  </si>
  <si>
    <t>Magnetic resonance imaging in rectal cancer: usefulness in staging and restaging after treatment</t>
  </si>
  <si>
    <t>Renato Alarcón, Cecilia Besa</t>
  </si>
  <si>
    <t>Austral Journal of Imaging</t>
  </si>
  <si>
    <t>2810-708X</t>
  </si>
  <si>
    <t>10.24875/aji.23000084</t>
  </si>
  <si>
    <t>3D B1+ corrected simultaneous myocardial T1 and T1ρ mapping with subject-specific respiratory motion correction and water-fat separation</t>
  </si>
  <si>
    <t>Haikun Qi, Zhenfeng Lv, Jiameng Diao, Xiaofeng Tao, Junpu Hu, Jian Xu, René Botnar, Claudia Prieto, Peng Hu</t>
  </si>
  <si>
    <t>Magnetic resonance in medicine</t>
  </si>
  <si>
    <t>0740-3194</t>
  </si>
  <si>
    <t>10.1002/mrm.30317</t>
  </si>
  <si>
    <t>A Flat-Hierarchical Approach Based on Machine Learning Model for e-Commerce Product Classification</t>
  </si>
  <si>
    <t>HAROLD COTACALLAPA, NEMIAS SABOYA, PAULO CANAS RODRIGUES, RODRIGO SALAS, JAVIER LINKOLK LÓPEZ-GONZALES</t>
  </si>
  <si>
    <t>10.1109/ACCESS.2024.3400693</t>
  </si>
  <si>
    <t>A robust deep learning detector for sleep spindles and K-complexes: towards population norms</t>
  </si>
  <si>
    <t>Nicolás I. Tapia-Rivas, Pablo A. Estévez and José A. Cortes-Briones</t>
  </si>
  <si>
    <t>10.1038/s41598-023-50736-7</t>
  </si>
  <si>
    <t>Δ-PINNs: Physics-informed neural networks on complex geometries</t>
  </si>
  <si>
    <t>Francisco Sahli Costabal, Simone Pezzuto, Paris Perdikaris</t>
  </si>
  <si>
    <t>10.1016/j.engappai.2023.107324</t>
  </si>
  <si>
    <t>A motion-corrected deep-learning reconstruction framework for accelerating whole-heart magnetic resonance imaging in patients with congenital heart disease</t>
  </si>
  <si>
    <t>Andrew Phair a, Anastasia Fotaki a, Lina Felsner a, Thomas J. Fletcher a, Haikun Qi b, René M. Botnar a c d e f, Claudia Prieto</t>
  </si>
  <si>
    <t>Journal-of-cardiovascular-magnetic-resonance</t>
  </si>
  <si>
    <t>10.1016/j.jocmr.2024.101039</t>
  </si>
  <si>
    <t>Free-breathing 3D whole-heart joint T1/T2 mapping and water/fat imaging at 0.55 T</t>
  </si>
  <si>
    <t>Dongyue Si, Michael G. Crabb, Karl P. Kunze, Simon J. Littlewood, Claudia Prieto, René M. Botnar</t>
  </si>
  <si>
    <t>10.1002/mrm.30139</t>
  </si>
  <si>
    <t>Baroreflex and chemoreflex interaction in high-altitude exposure: possible role on exercise performance</t>
  </si>
  <si>
    <t>Pablo Alvarez-Araos, Sergio Jimenez, Camila Salazar-Ardiles, Cristian Núñez-Espinosa, Valeria Paez, Maria Rodriguez-Fernandez, Antoine Raberin, Gregoire P. Millet, Rodrigo Iturriaga, David C. Andrade</t>
  </si>
  <si>
    <t>Frontiers in Physiology</t>
  </si>
  <si>
    <t>1664-042X</t>
  </si>
  <si>
    <t>10.3389/fphys.2024.1422927</t>
  </si>
  <si>
    <t>Biomedical engineering research in Chilean universities - A bibliometric analysis</t>
  </si>
  <si>
    <t>Javiera Vásquez-Salgado, Rosa L Figueroa, Julio Sotelo, Manuel Villalobos-Cid</t>
  </si>
  <si>
    <t>IEEE Latin America Transactions</t>
  </si>
  <si>
    <t>1548-0992</t>
  </si>
  <si>
    <t>10.1109/TLA.2024.10472960</t>
  </si>
  <si>
    <t>2024-04-22 00:00:00.000</t>
  </si>
  <si>
    <t>Diagnostic support in pediatric craniopharyngioma using deep learning</t>
  </si>
  <si>
    <t>G Castiglioni, J. Vallejos, J. Intriago, M.I. Hernandez, S. Valenzuela, J. Fernandez, I. Castro, S. Valenzuela, P.A. Estevez, C. Okuma</t>
  </si>
  <si>
    <t>Child´s Nervous System</t>
  </si>
  <si>
    <t>1433-0350</t>
  </si>
  <si>
    <t>10.1007/s00381-024-06400-0</t>
  </si>
  <si>
    <t>2024-09-19 00:00:00.000</t>
  </si>
  <si>
    <t>Evaluation of Myocarditis with a Free-breathing 3D Isotropic Whole-Heart Joint T1 and T2 Mapping Sequence</t>
  </si>
  <si>
    <t>Alina Huaa ∙ Carlos Velasco∙ Camila Munoza ∙ Giorgia Milotta ∙ Anastasia Fotakia ∙ Filippo Bosioa ∙ Inka Granlunda ∙ Agata Sularza ∙ Amedeo Chiribiria ∙ Karl P. Kunzea, ∙ Rene Botnar∙ Claudia Prietoa, ∙ Tevfik F Ismail</t>
  </si>
  <si>
    <t>10.1016/j.jocmr.2024.101100</t>
  </si>
  <si>
    <t>Explainable Machine Learning Techniques to Predict Muscle Injuries in Professional Soccer Players through Biomechanical Analysis</t>
  </si>
  <si>
    <t>Mailyn Calderón-Díaz, Rony Silvestre Aguirre , Juan P. Vásconez , Roberto Yáñez , Matías Roby, Marvin Querales and Rodrigo Salas</t>
  </si>
  <si>
    <t>Sensors</t>
  </si>
  <si>
    <t>1424-8220</t>
  </si>
  <si>
    <t>10.3390/s24010119</t>
  </si>
  <si>
    <t xml:space="preserve">Explainable Machine-Learning for identifying the genetic biomarker MGMT in brain tumors using magnetic resonance imaging radiomics. </t>
  </si>
  <si>
    <t xml:space="preserve">Ponce, S., Chabert, S., Mayeta, L., Franco, P., Plaza-Vega, F., Querales, M., &amp; Salas, R. </t>
  </si>
  <si>
    <t>2024 14th International Conference on Pattern Recognition Systems, ICPRS 2024</t>
  </si>
  <si>
    <t>979-8-3503-7565-7</t>
  </si>
  <si>
    <t>10.1109/ICPRS62101.2024.10677829</t>
  </si>
  <si>
    <t>Extended MRI-based PET motion correction for cardiac PET/MRI</t>
  </si>
  <si>
    <t>Mueez Aizaz, Jochem A. J. van der Pol, Alina Schneider, Camila Munoz, Robert J. Holtackers, Yvonne van Cauteren, Herman van Langen, Joan G. Meeder, Braim M. Rahel, Roel Wierts, René M. Botnar, Claudia Prieto, Rik P. M. Moonen &amp; M. Eline Kooi</t>
  </si>
  <si>
    <t>EJNMMI Physics</t>
  </si>
  <si>
    <t>2197-7364</t>
  </si>
  <si>
    <t>10.1186/s40658-024-00637-z</t>
  </si>
  <si>
    <t>A systematic review and meta-analysis of artificial intelligence versus clinicians for skin cancer diagnosis</t>
  </si>
  <si>
    <t>Maria Paz Salinas, Javiera Sepúlveda, Leonel Hidalgo, Dominga Peirano, Macarena Morel, Pablo Uribe, Veronica Rotemberg, Juan Briones, Domingo Mery &amp; Cristian Navarrete-Dechent</t>
  </si>
  <si>
    <t>10.1038/s41746-024-01103-x</t>
  </si>
  <si>
    <t>Assessing Language Lateralization through Gray Matter Volume: Implications for Preoperative Planning in Brain Tumor Surgery</t>
  </si>
  <si>
    <t>Daniel Solomons,Maria Rodriguez-Fernandez,Francisco Mery-Muñoz, ,Leonardo Arraño-Carrasco ,Francisco Sahli Costabal andCarolina Mendez-Orellana</t>
  </si>
  <si>
    <t>Brain Sciences</t>
  </si>
  <si>
    <t>2076-3425</t>
  </si>
  <si>
    <t>10.3390/brainsci14100954</t>
  </si>
  <si>
    <t>Automatic detection of contextual laterality in Mammography Reports using Large Language Models.</t>
  </si>
  <si>
    <t>Godoy, E., de Ferrari, J., Mellado, D., Chabert, S., &amp; Salas, R.</t>
  </si>
  <si>
    <t>10.1109/ICPRS62101.2024.10677842</t>
  </si>
  <si>
    <t>Unraveling autonomic cardiovascular control complexity during orthostatic stress: Insights from a mathematical model</t>
  </si>
  <si>
    <t>Martin Miranda Hurtado, Rafael Kaempfer, Justen Geddes, Mette S. Olufsen, Maria Rodriguez-Fernandez</t>
  </si>
  <si>
    <t>Mathematical Biosciences</t>
  </si>
  <si>
    <t>0025-5564</t>
  </si>
  <si>
    <t>10.1016/j.mbs.2024.109306</t>
  </si>
  <si>
    <t>2024-11-17 00:00:00.000</t>
  </si>
  <si>
    <t>Multilabel Classification of Intracranial Hemorrhages Using Deep Learning and Preprocessing Techniques on Non-contrast CT Images</t>
  </si>
  <si>
    <t xml:space="preserve">Rodrigo Salas, Juan Sebastian Castro, Marvin Querales, Carolina Saavedra, Claudia Prieto &amp; Steren Chabert </t>
  </si>
  <si>
    <t xml:space="preserve">Lecture Notes in Computer Science (including subseries Lecture Notes in Artificial Intelligence and Lecture Notes in Bioinformatics) </t>
  </si>
  <si>
    <t>978-3-031-76603-9</t>
  </si>
  <si>
    <t>10.1007/978-3-031-76604-6_13</t>
  </si>
  <si>
    <t>Non-rigid motion-compensated 3D whole-heart T2 mapping in a hybrid 3T PET-MR system</t>
  </si>
  <si>
    <t>Alina Schneider, Camila Munoz, Alina Hua, Sam Ellis, Sami Jeljeli, Karl P. Kunze, Radhouene Neji, Andrew J. Reader, Eliana Reyes, Tevfik F. Ismail, René M. Botnar, Claudia Prieto</t>
  </si>
  <si>
    <t>10.1002/mrm.29973</t>
  </si>
  <si>
    <t>Unbiased and reproducible liver MRI-PDFF estimation using a scan protocol-informed deep learning method</t>
  </si>
  <si>
    <t>Juan P. Meneses, Ayyaz Qadir, Nirusha Surendran, Cristobal Arrieta, Cristian Tejos, Marcelo E. Andia, Zhaolin Chen, Sergio Uribe</t>
  </si>
  <si>
    <t>1432-1084</t>
  </si>
  <si>
    <t>10.1007/s00330-024-11164-x</t>
  </si>
  <si>
    <t>Hemodynamic response function description in patients with glioma</t>
  </si>
  <si>
    <t>Stéren Chabert, Rodrigo Salas, Erika Cantor, Alejandro Veloz, Astrid Cancino, Matías González , Francisco Torres , Carlos Bennett</t>
  </si>
  <si>
    <t>Journal of Neuroradiology</t>
  </si>
  <si>
    <t>0150-9861</t>
  </si>
  <si>
    <t>10.1016/j.neurad.2023.10.001</t>
  </si>
  <si>
    <t>Highly efficient free-breathing 3D whole-heart imaging in 3-min: single center study in adults with congenital heart disease</t>
  </si>
  <si>
    <t xml:space="preserve">Anastasia Fotaki 1 Kuberan Pushparajah, Christopher Rush, Camila Munoz, Carlos Velasco , Radhouene Neji , Karl P Kunze , René M Botnar , Claudia Prieto </t>
  </si>
  <si>
    <t>10.1016/j.jocmr.2023.100008</t>
  </si>
  <si>
    <t>Identification of perceived sentences using deep neural networks in EEG</t>
  </si>
  <si>
    <t>Carlos Valle, Carolina Mendez-Orellana, Christian Herff and Maria Rodriguez-Fernandez</t>
  </si>
  <si>
    <t>Journal of Neural Engineering</t>
  </si>
  <si>
    <t>1741-2560</t>
  </si>
  <si>
    <t>10.1088/1741-2552/ad88a3</t>
  </si>
  <si>
    <t>2024-04-13 00:00:00.000</t>
  </si>
  <si>
    <t>Image-based automatic wind velocity profiler for adaptive optics</t>
  </si>
  <si>
    <t>Sebastian J Diaz, Cristian Tejos, Andres Guesalaga</t>
  </si>
  <si>
    <t>10.1093/mnras/stae326</t>
  </si>
  <si>
    <t>Impact of 4D-Flow CMR Parameters on Functional Evaluation of Fontan Circulation</t>
  </si>
  <si>
    <t>Lamia Ait Ali, Nicola Martini, Elisa Listo, Elisa Valenti, Julio Sotelo, Stefano Salvadori, Claudio Passino, Angelo Monteleone, Nicola Stagnaro, Gianluca Trocchio, Chiara Marrone, Francesca Raimondi, Giosuè Catapano, Pierluigi Festa</t>
  </si>
  <si>
    <t>Pediatric Cardiology</t>
  </si>
  <si>
    <t>0172-0643</t>
  </si>
  <si>
    <t>10.1007/s00246-024-03446-4</t>
  </si>
  <si>
    <t>Impact of pregestational obesity on perinatal complications: update in a Latin American cohort</t>
  </si>
  <si>
    <t>A Bertini, MJ Varela, A Holz, P Gonzalez, D Bastias, M Giovanetti, R Salas, F Pardo</t>
  </si>
  <si>
    <t>Public Health</t>
  </si>
  <si>
    <t>0033-3506</t>
  </si>
  <si>
    <t>10.1016/j.puhe.2024.05.019</t>
  </si>
  <si>
    <t>Improving the efficiency and accuracy of CMR with AI – review of evidence and proposition of a roadmap to clinical translation</t>
  </si>
  <si>
    <t>Qiang Zhang, Anastasia Fotaki, Sona Ghadimi, Yu Wang, Mariya Doneva, Jens Wetzl, Jana G Delfino, Declan P O’Regan, Claudia Prieto, Frederick H Epstein</t>
  </si>
  <si>
    <t>10.1016/j.jocmr.2024.101051</t>
  </si>
  <si>
    <t>2024-09-10 00:00:00.000</t>
  </si>
  <si>
    <t>Knowledge-slanted random forest method for high-dimensional data and small sample size with a feature selection application for gene expression data</t>
  </si>
  <si>
    <t>Cantor, E., Guauque-Olarte, S., León, R., Chabert, S., &amp; Salas, R</t>
  </si>
  <si>
    <t>BioData Mining</t>
  </si>
  <si>
    <t>1756-0381</t>
  </si>
  <si>
    <t>10.1186/s13040-024-00388-8</t>
  </si>
  <si>
    <t>Predicting Next Phases of Multi-Stage Network Attacks: A Comparative Study of Statistical and Deep-Learning Models</t>
  </si>
  <si>
    <t xml:space="preserve">Antonia Severín, Claudio Canales, Romina Torres, César Roudergue &amp; Rodrigo Salas </t>
  </si>
  <si>
    <t>10.1007/978-3-031-76604-6_16</t>
  </si>
  <si>
    <t>Prediction of Peak-to-Peak Pressure Gradient in Patients with Aortic Coarctation Using Physics-Informed Neural Networks.</t>
  </si>
  <si>
    <t xml:space="preserve">Jara, S., Salas, R., Ñanculef, R., Valverde, I., Uribe, S., &amp; Sotelo, J. </t>
  </si>
  <si>
    <t>10.1109/CLEI64178.2024.10700502</t>
  </si>
  <si>
    <t>Quantification of myocardial scar of different etiology using dark- and bright-blood late gadolinium enhancement cardiovascular magnetic resonance</t>
  </si>
  <si>
    <t>Lamis Jada, Robert J. Holtackers, Bibi Martens, Hedwig M. J. M. Nies, Caroline M. Van De Heyning, Rene M. Botnar, Joachim E. Wildberger, Tevfik F. Ismail, Reza Razavi &amp; Amedeo Chiribiri</t>
  </si>
  <si>
    <t>10.1038/s41598-024-52058-8</t>
  </si>
  <si>
    <t>Simultaneous 3D T1 , T2 , and fat-signal-fraction mapping with respiratory-motion correction for comprehensive liver tissue characterization at 0.55 T</t>
  </si>
  <si>
    <t>Donovan P Tripp , Karl P Kunze , Michael G Crabb , Claudia Prieto , Radhouene Neji , René M Botnar</t>
  </si>
  <si>
    <t>10.1002/mrm.30236</t>
  </si>
  <si>
    <t>Instituto Milenio en Inmunología e Inmunoterapia</t>
  </si>
  <si>
    <t>Immunogenicity and Safety of a Quadrivalent Influenza Vaccine in Population Aged 3 Years and Older in Chile and the Philippines: A Phase 3, Non-Inferiority, Double-Blind, Randomized Controlled Clinical Trial</t>
  </si>
  <si>
    <t>﻿Wanqi Yang, Pablo A. González, Qianqian Xin, Mari Rose De Los Reyes, Ralph Elvi Villalobos, Charissa Fay Corazon Borja-Tabora, Nancy Nazaire Bermal, Alexis M. Kalergis, Dan Yu, Wenbin Wu, Susan M. Bueno, Liqun Huo, Mario Calvo, QINF Study Group, Gang Zeng and Jing Li</t>
  </si>
  <si>
    <t>Vaccines</t>
  </si>
  <si>
    <t>2076-393X</t>
  </si>
  <si>
    <t>10.3390/vaccines12080892</t>
  </si>
  <si>
    <t>2024-06-22 00:00:00.000</t>
  </si>
  <si>
    <t>The complex life of the HIV-1 full-length RNA</t>
  </si>
  <si>
    <t>Ricardo Soto Rifo</t>
  </si>
  <si>
    <t>Nature Reviews in Microbiology</t>
  </si>
  <si>
    <t xml:space="preserve">1740-1526 </t>
  </si>
  <si>
    <t>10.1038/s41579-024-01049-7</t>
  </si>
  <si>
    <t>Asymptomatic herpes simplex virus brain infection elicits cellular senescence phenotypes in the central nervous system of mice suffering multiple sclerosis-like disease</t>
  </si>
  <si>
    <t>Duarte, L. F., Villalobos, V., Farías, M. A., Rangel-Ramírez, M. A., González-Madrid, E., Navarro, A. J., Carbone-Schellman, J., Domínguez, A., Alvarez, A., Riedel, C. A., Bueno, S. M., Kalergis, A. M., Cáceres, M., &amp; González, P. A.</t>
  </si>
  <si>
    <t>Communications Biology</t>
  </si>
  <si>
    <t xml:space="preserve">2399-3642 </t>
  </si>
  <si>
    <t>10.1038/s42003-024-06486-x</t>
  </si>
  <si>
    <t>A molecular perspective for the development of antibodies against the human respiratory syncytial virus</t>
  </si>
  <si>
    <t>﻿Ricardo A. Loaiza a, Robinson A. Ramírez a, Javiera Sepúlveda-Alfaro a, Mario A. Ramírez a, Catalina A. Andrade a, Jorge A. Soto b, Pablo A. Gonz´ alez a, Susan M. Bueno a, Alexis M. Kalergis</t>
  </si>
  <si>
    <t>Antiviral Research</t>
  </si>
  <si>
    <t>0166-3542</t>
  </si>
  <si>
    <t xml:space="preserve">10.1016/j.antiviral.2023.105783 </t>
  </si>
  <si>
    <t>Epigenetic modulation of cytokine expression in gastric cancer: influence on angiogenesis, metastasis and chemoresistance</t>
  </si>
  <si>
    <t>Reyes ME, Pulgar V, Vivallo C, Ili CG, Mora-Lagos B, Brebi P.</t>
  </si>
  <si>
    <t>Frontiers in Immunology</t>
  </si>
  <si>
    <t>1664-3224</t>
  </si>
  <si>
    <t>10.3389/fimmu.2024.1347530</t>
  </si>
  <si>
    <t>2024-02-02 00:00:00.000</t>
  </si>
  <si>
    <t>Detección e integración del virus del papiloma humano de alto riesgo en lesiones pre-neoplásicas en mujeres del sur de Chile: un estudio transversal</t>
  </si>
  <si>
    <t>Ili CG, López JP, Reyes ME, Buchegger KL, Zanella L, Aguayo F, Brebi P.</t>
  </si>
  <si>
    <t>Revista Chilena de Infectología</t>
  </si>
  <si>
    <t>0716-1018</t>
  </si>
  <si>
    <t>10.4067/s0716-10182024000100027 </t>
  </si>
  <si>
    <t>Targeting CCR3 with antagonist SB 328437 sensitizes 5-fluorouracil-resistant gastric cancer cells: Experimental Evidence and Computational Insights</t>
  </si>
  <si>
    <t>Gutiérrez A, Reyes ME, Larronde C, Brebi P, Mora-Lagos B.</t>
  </si>
  <si>
    <t>Oncology Letters</t>
  </si>
  <si>
    <t>1792-1082</t>
  </si>
  <si>
    <t>10.3892/ol.2024.14429</t>
  </si>
  <si>
    <t>In Vitro Effect of Epigallocatechin Gallate on Heme Synthesis Pathway and Protoporphyrin IX Production</t>
  </si>
  <si>
    <t>León DI, Reyes ME, Weber HL, Gutiérrez A, Tapía C, Silva R, Vscarrra TA, Buchegger KL, Ili CG, Brebi P.</t>
  </si>
  <si>
    <t>International Journal of Molecular Science</t>
  </si>
  <si>
    <t>10.3390/ijms25168683</t>
  </si>
  <si>
    <t>In Silico Insights Reveal Fibronectin 1 as a Theranostic Marker in Gastric Cancer</t>
  </si>
  <si>
    <t>Millapan T, Gutiérrez A, Rosas K, Buchegger KL, Ili CG, Brebi P.</t>
  </si>
  <si>
    <t>10.3390/ijms252011113</t>
  </si>
  <si>
    <t>2024-05-15 00:00:00.000</t>
  </si>
  <si>
    <t>Immune responses during COVID-19 breakthrough cases in vaccinated children and adolescents.</t>
  </si>
  <si>
    <t>Rivera-Pérez D, Méndez C, Diethelm-Varela B, Melo-González F, Vázquez Y, Meng X, Xin Q, Fasce RA, Fernández J, Mora J, Ramirez E, Acevedo ML, Valiente-Echeverría F, Soto-Rifo R, Grifoni A, Weiskopf D, Sette A, Astudillo P, Le Corre N, Abarca K, Perret C, González PA, Soto JA, Bueno SM, Kalergis AM.</t>
  </si>
  <si>
    <t>10.3389/fimmu.2024.1372193</t>
  </si>
  <si>
    <t>4th booster-dose SARS-CoV-2 heterologous and homologous vaccination in rheumatological patients.</t>
  </si>
  <si>
    <t>Gallardo-Nelson MJ, Cruces M, Gómez YM, Fuenzalida C, Silva J, Aravena-Traipi L, Nuñez E, Gaete-Angel A, Rivas-Yañez E, Kalergis AM, Soto-Rifo R, Valiente-Echeverria F.</t>
  </si>
  <si>
    <t xml:space="preserve">1664-3224 </t>
  </si>
  <si>
    <t>10.3389/fimmu.2024.1427501</t>
  </si>
  <si>
    <t>2024-06-29 00:00:00.000</t>
  </si>
  <si>
    <t>LINC00662 Promotes Aggressive Traits by Modulating OCT4 Expression through miR-335-5p in Gallbladder Cancer Cells</t>
  </si>
  <si>
    <t>Perez Moreno P, Riquelme I, Bizama C, Vergara Gomez L, Tapia J, Brebi Preicila, García P, Roa JC</t>
  </si>
  <si>
    <t>International Journal Of Molecular Siences</t>
  </si>
  <si>
    <t>10.3390/ijms25126740</t>
  </si>
  <si>
    <t>2024-10-28 00:00:00.000</t>
  </si>
  <si>
    <t>The IP3R inhibitor desmethylxestospongin B reduces tumor cell migration, invasion and metastasis by impairing lysosome acidification and β1-integrin recycling</t>
  </si>
  <si>
    <t>Bustos G, Ahumada-Castro U, Silva-Pavez E, Huerta H, Puebla A, Quezada C, Morgado-Cáceres P, Casanova-Canelo C, Smith-Cortinez N, Podunavac M, Oyarce C, Lladser A, Farias P, Lovy A, Molgó J, Torres VA, Zakarian A, Cárdenas JC</t>
  </si>
  <si>
    <t>Biochimica et Biophysica Acta: Molecular Basis of Disease</t>
  </si>
  <si>
    <t>1879-260X</t>
  </si>
  <si>
    <t>10.1016/j.bbadis.2024.167557</t>
  </si>
  <si>
    <t>Calcitriol Treatment Decreases Cell Migration, Viability and β-Catenin Signaling in Oral Dysplasia</t>
  </si>
  <si>
    <t>Peña-Oyarzún D, Guzmán C, Kretschmar C, Torres VA, Maturana-Ramirez A, Aitken J, Reyes M.</t>
  </si>
  <si>
    <t>Current Issues in Molecular Biology</t>
  </si>
  <si>
    <t>1467-3045</t>
  </si>
  <si>
    <t>10.3390/cimb46040191</t>
  </si>
  <si>
    <t>Inhibition of PORCN Blocks Wnt Signaling to Attenuate Progression of Oral Carcinogenesis</t>
  </si>
  <si>
    <t>Peña-Oyarzún D, Flores T, Torres VA, Quest AFG, Lobos-González L, Kretschmar C, Contreras P, Maturana-Ramírez A, Criollo A, Reyes M</t>
  </si>
  <si>
    <t>Clinical Cancer Research</t>
  </si>
  <si>
    <t>1078-0432</t>
  </si>
  <si>
    <t>10.1158/1078-0432.CCR-23-0318</t>
  </si>
  <si>
    <t>Gestational hypothyroxinemia induces ASD-like phenotypes in behavior, proinflammatory markers, and glutamatergic protein expression in mouse offspring of both sexes</t>
  </si>
  <si>
    <t>González-Madrid E, Rangel-Ramírez MA, Opazo MC, Méndez L, Bohmwald K, Bueno SM, González PA, Kalergis AM, Riedel CA</t>
  </si>
  <si>
    <t>Frontiers in Endocrinology</t>
  </si>
  <si>
    <t>1664-2392</t>
  </si>
  <si>
    <t>10.3389/fendo.2024.1381180</t>
  </si>
  <si>
    <t>Development of an enzyme-linked immunosorbent assay for newborns dried blood spot thyroglobulin</t>
  </si>
  <si>
    <t>Fuentes-Peña C, Opazo MC, Méndez L, Riedel CA, Hauquier B, Marcelis L, Cotton F, Moreno-Reyes R</t>
  </si>
  <si>
    <t>European Thyroid Journal</t>
  </si>
  <si>
    <t>2235-0640</t>
  </si>
  <si>
    <t>10.1530/ETJ-24-0142</t>
  </si>
  <si>
    <t>2024-05-27 00:00:00.000</t>
  </si>
  <si>
    <t>Increased Absorption of Thyroxine in a Murine Model of Hypothyroidism Using Water/CO2 Nanobubbles</t>
  </si>
  <si>
    <t>Opazo MC, Yañez O, Márquez-Miranda V, Santos J, Rojas M, Araya-Durán I, Aguayo D, Leal M, Duarte Y, Kohanoff J, González-Nilo FD</t>
  </si>
  <si>
    <t>10.3390/ijms25115827</t>
  </si>
  <si>
    <t>The Impact of A3AR Antagonism on the Differential Expression of Chemoresistance-Related Genes in Glioblastoma Stem-like Cells</t>
  </si>
  <si>
    <t xml:space="preserve">Peñate, L., Carrillo-Beltrán, D., Spichiger, C., Cuevas-Zhbankova, A., Torres-Arévalo, Á., Silva, P., Richter, H. G., Ayuso-Sacido, Á., San Martín, R., &amp; Quezada-Monrás, C. </t>
  </si>
  <si>
    <t>Pharmaceuticals</t>
  </si>
  <si>
    <t>1424-8247</t>
  </si>
  <si>
    <t>10.3390/ph17050579</t>
  </si>
  <si>
    <t>2024-05-16 00:00:00.000</t>
  </si>
  <si>
    <t>Pharmacological Blockade of the Adenosine A2B Receptor Is Protective of Proteinuria in Diabetic Rats, through Affecting Focal Adhesion Kinase Activation and the Adhesion Dynamics of Podocytes.</t>
  </si>
  <si>
    <t>Mendoza-Soto, P., Jara, C., Torres-Arévalo, Á., Oyarzún, C., Mardones, G. A., Quezada-Monrás, C., &amp; San Martín, R.</t>
  </si>
  <si>
    <t>Cells</t>
  </si>
  <si>
    <t>2073-4409</t>
  </si>
  <si>
    <t>10.3390/cells13100846</t>
  </si>
  <si>
    <t>cIAP-2 protein is upregulated by human papillomavirus in oropharyngeal cancers: role in radioresistance in vitro</t>
  </si>
  <si>
    <t xml:space="preserve">Oliva, C., Carrillo-Beltrán, D., Osorio, J. C., Gallegos, I., Carvajal, F., Mancilla-Miranda, C., Boettiger, P., Boccardo, E., &amp; Aguayo, F. </t>
  </si>
  <si>
    <t xml:space="preserve"> Infectious agents and cancer</t>
  </si>
  <si>
    <t>1750-9378</t>
  </si>
  <si>
    <t>10.1186/s13027-024-00609-z</t>
  </si>
  <si>
    <t>Defective insulin-stimulated equilibrative nucleoside transporter-2 activity and altered subcellular transporter distribution drive the loss of adenosine homeostasis in diabetic kidney disease progression.</t>
  </si>
  <si>
    <t>Suarez, R., Villarreal, C., Nahuelpán, Y., Jara, C., Oyarzún, C., Alarcón, S., Díaz-Encarnación, M. M., Guillén-Gómez, E., Quezada, C., &amp; San Martín, R.</t>
  </si>
  <si>
    <t>Biochimica et Biophysica Acta (BBA) - Molecular Basis of Disease</t>
  </si>
  <si>
    <t>10.1016/j.bbadis.2023.166890</t>
  </si>
  <si>
    <t>2024-06-15 00:00:00.000</t>
  </si>
  <si>
    <t>Tumor-derived hypoxic small extracellular vesicles promote endothelial cell migration and tube formation via ALS2/Rab5/β-catenin signaling</t>
  </si>
  <si>
    <t>Silva P., Hernández N., Tapia H., Gaete-Ramírez B., Torres P., Flores T., Herrera D., Cáceres-Verschae A., Acuña RA., Varas-Godoy M., Torres VA.</t>
  </si>
  <si>
    <t>The FASEB Journal</t>
  </si>
  <si>
    <t>0892-6638</t>
  </si>
  <si>
    <t>10.1096/fj.202400265R</t>
  </si>
  <si>
    <t>Oral infectivity through carnivorism in murine model of Trypanosoma cruzi infection</t>
  </si>
  <si>
    <t>Víctor Torres # 1, Víctor Contreras # 2, Bessy Gutiérrez 1, Juan San Francisco 1, Alejandro Catalán 1, José Luis Vega 3, Kyung-Mee Moon 4, Leonard J Foster 4, Rafael F de Almeida 5, Alexis M Kalergis 6 7, Jorge González 1</t>
  </si>
  <si>
    <t>Frontiers in Cellular and Infection Microbiology</t>
  </si>
  <si>
    <t>2235-2988</t>
  </si>
  <si>
    <t>10.3389/fcimb.2024.1297099</t>
  </si>
  <si>
    <t>Neurological Impact of Respiratory Viruses: Insights into Glial Cell Responses in the Central Nervous System</t>
  </si>
  <si>
    <t>Valentina P Mora 1, Alexis M Kalergis 2 3, Karen Bohmwald </t>
  </si>
  <si>
    <t>10.3390/microorganisms12081713</t>
  </si>
  <si>
    <t>2024-12-20 00:00:00.000</t>
  </si>
  <si>
    <t>Histatins, proangiogenic molecules with therapeutic implications in regenerative medicine</t>
  </si>
  <si>
    <t>Tapia H., Torres P., Mateluna., Cáceres M., Torres VA.</t>
  </si>
  <si>
    <t>iScience</t>
  </si>
  <si>
    <t>2589-0042</t>
  </si>
  <si>
    <t>10.1016/j.isci.2024.111309</t>
  </si>
  <si>
    <t>2024-01-06 00:00:00.000</t>
  </si>
  <si>
    <t>Understanding the Neurotrophic Virus Mechanisms and Their Potential Effect on Systemic Lupus Erythematosus Development</t>
  </si>
  <si>
    <t>Felipe R Uribe 1, Valentina P I González 1, Alexis M Kalergis 2 3, Jorge A Soto 1, Karen Bohmwald</t>
  </si>
  <si>
    <t>10.3390/brainsci14010059.</t>
  </si>
  <si>
    <t>Pathophysiological, immunological, and inflammatory features of long COVID</t>
  </si>
  <si>
    <t>Bohmwald K, Diethelm-Varela B, Rodríguez-Guilarte L, Rivera T, Riedel CA, González PA, Kalergis AM</t>
  </si>
  <si>
    <t>Frontiers in immunology</t>
  </si>
  <si>
    <t>10.3389/fimmu.2024.1341600</t>
  </si>
  <si>
    <t>2024-01-04 00:00:00.000</t>
  </si>
  <si>
    <t>Transient gestational hypothyroxinemia accelerates and enhances ulcerative colitis-like disorder in the male offspring</t>
  </si>
  <si>
    <t xml:space="preserve">Rivera JC, Opazo MC, Hernández-Armengol R, Álvarez O, Mendoza-León M, Caamaño E, Gatica S, Bohmwald K, Bueno SM, González PA, Kalergis AM,  Riedel CA </t>
  </si>
  <si>
    <t>10.3389/fendo.2023.1269121</t>
  </si>
  <si>
    <t>Quadruple therapies show a higher eradication rate compared to standard triple therapy for Helicobacter pylori infection within the LEGACy consortium. A multicenter observacional study in European and Latin American countries</t>
  </si>
  <si>
    <t>Medel-jara P, Reyes D, Fuentes-Lopez E, Corsi O, Latorre G, Anton R, Jimenez E, Miralles-Marco A, Caballero C, Boggino H, Cantero D, Barros R, Santos-Antunes J, Diez M, Quiñones LA, Riquelme E, Rollan A, Cerpa LC, Valdes I, Nyssen OP, Moreira L, Gisbert JP, Camargo MC, Ortiz-Olvera N, Leon-Takahashi AM, Ruiz-Garcia E, Fernandez-Figueroa EA, Garrilo M, Owen GI, Cervantes A, Fleitas T, Riquelme A</t>
  </si>
  <si>
    <t>United European Gastroenterol J</t>
  </si>
  <si>
    <t>2050-6414</t>
  </si>
  <si>
    <t>10.1002/ueg2.12605</t>
  </si>
  <si>
    <t>Topological insight of immune-vascular distribution in peri-implantitis lesions</t>
  </si>
  <si>
    <t>Verónica Villalobos, Ian Silva, Diego Morales, Javiera Canelo, Mauricio Garrido, Leandro Carreño, Franco Cavalla, Nicolas Dutzan, Mónica Caceres</t>
  </si>
  <si>
    <t>Oral Diseases</t>
  </si>
  <si>
    <t>1601-0825</t>
  </si>
  <si>
    <t xml:space="preserve">10.1111/odi.14935 </t>
  </si>
  <si>
    <t>Association of Neutrophil-to-Lymphocyte Ratio with Age and 180-Day Mortality After Emergency Surgery</t>
  </si>
  <si>
    <t>Felipe Maldonado , Manuel Albornoz, Catalina Valdes, Hui Chan, Laura Carrasco, Catalina Diaz-Papapietro,  Roberto Gonzalez,, Mónica Cáceres</t>
  </si>
  <si>
    <t>BMC anesthesiology</t>
  </si>
  <si>
    <t>1471-2253</t>
  </si>
  <si>
    <t xml:space="preserve">10.1186/s12871-024-02718-z </t>
  </si>
  <si>
    <t>Role of the ubiquitin-proteasome system in the sarcopenic-like phenotype induced by CCL5/RANTES</t>
  </si>
  <si>
    <t>Conejeros-Lillo S., Aguirre F., CabreraD., Simon F., Peñailillo L., Cabello-Verrugio C.</t>
  </si>
  <si>
    <t>European Journal of Translational Myology</t>
  </si>
  <si>
    <t>2037-7460</t>
  </si>
  <si>
    <t xml:space="preserve">10.4081/ejtm.2024.12249. </t>
  </si>
  <si>
    <t>From genes to systems: The role of food supplementation in the regulation of sepsis-induced inflammation</t>
  </si>
  <si>
    <t>Prado Y, Aravena D, Gatica S, Llancalahuen FM, Aravena C, Gutiérrez-Vera C, Carreño LJ, Cabello-Verrugio C, Simon F.</t>
  </si>
  <si>
    <t>Biochimica et biophysica acta</t>
  </si>
  <si>
    <t>0304-4165</t>
  </si>
  <si>
    <t>10.1016/j.bbadis.2023.166909</t>
  </si>
  <si>
    <t>Natural killer T cells in allergic asthma: implications for the development of novel immunotherapeutical strategies</t>
  </si>
  <si>
    <t>Gutierrez-Vera C, García-Betancourt R, Palacios PA, Müller M, Montero DA, Verdugo C, Ortiz F, Simon F, Kalergis AM, González PA, Saavedra-Avila NA, Porcelli SA, Carreño LJ.</t>
  </si>
  <si>
    <t>10.3389/fimmu.2024.1364774</t>
  </si>
  <si>
    <t>The role of astrocytes in depression, its prevention, and treatment by targeting astroglial gliotransmitter release</t>
  </si>
  <si>
    <t>Duarte Y, Quintana-Donoso D, Moraga-Amaro R, Dinamarca I, Lemunao Y, Cárdenas K, Bahamonde T, Barrientos T, Olivares P, Navas C, Carvajal FJ, Santibánez Y, Castro-Lazo R, Paz Meza M, Jorquera R, Gómez GI, Henke M, Alarcón R, Gabriel LA, Schiffmann S, Cerpa W, Retamal MA, Simon F, Linsambarth S, Gonzalez-Nilo F, Stehberg J.</t>
  </si>
  <si>
    <t>Procedings of the National Academy of Sciences of the United States of America</t>
  </si>
  <si>
    <t>10.1073/pnas.2307953121</t>
  </si>
  <si>
    <t>2024-08-03 00:00:00.000</t>
  </si>
  <si>
    <t>Beyond tobacco: genomic disparities in lung cancer between smokers and nver-smokers</t>
  </si>
  <si>
    <t>Garrido J, Bernal Y, Gonzalez E, Blanco A, Sepulveda-Hermosilla G, Freire M, Orostica K, Rivas S, Marcelain K, Owen G, Ibañez C, Corvalan A, Garrido M, Assar R, Lizana R, Caceres-Molina J, Ampuero D, Ramos L, Perez P, Aren O, Chernilo S, Fernandez C, Spencer ML, Aguila JF, Dossetto GB, Olea MA, RAsse G, Sanchez C, de Amorim MG, Bartelli TF, Nunes DN, Dias-Neto E, Freitas HC, Armisen R</t>
  </si>
  <si>
    <t>BMC Cancer</t>
  </si>
  <si>
    <t>1471-2407</t>
  </si>
  <si>
    <t>10.1186/s12885-024-12737-1.</t>
  </si>
  <si>
    <t>Assessing the ocurrence and influence of cancer chemotherapy-related pharmacogenetic alleles in the Chilean population</t>
  </si>
  <si>
    <t>Owen GI, Cordova-Delgado M, Bustos BI, Cerpa LC, Gonzalez P, Morales-Pison S, Garcia-Bloj B, Garrido M, Miquel JF, Quiñones LA.</t>
  </si>
  <si>
    <t>Pharmaceutics</t>
  </si>
  <si>
    <t>1999-4923</t>
  </si>
  <si>
    <t>10.3390/pharmaceutics16040561.</t>
  </si>
  <si>
    <t>Porphyromonas gingivalis, a bridge between oral health and immune evasion in gastric cancer</t>
  </si>
  <si>
    <t xml:space="preserve"> Matias Munoz-Medel, Mauricio P Pinto, Lauren Goralsky, Monica Caceres, Franz Villaroel-Espinola, Patricio Manque, Marcelo Garrido, Ignacio N Retamal</t>
  </si>
  <si>
    <t>Frontiers in oncology</t>
  </si>
  <si>
    <t>2234-943X</t>
  </si>
  <si>
    <t>10.3389/fonc.2024.1403089</t>
  </si>
  <si>
    <t>Co-administration of recombinant BCG and SARS-CoV-2 proteins leads to robust antiviral immunity</t>
  </si>
  <si>
    <t xml:space="preserve">Ramírez MA, Loaiza RA, Martínez-Balboa Y, Bruneau N, Ramírez E, González PA, Bueno SM, Kalergis AM. </t>
  </si>
  <si>
    <t>Vaccines (Basel)</t>
  </si>
  <si>
    <t>10.1016/j.vaccine.2024.126203</t>
  </si>
  <si>
    <t>New insights into the pathogenesis of SARS-CoV-2 during and after the COVID-19 pandemic</t>
  </si>
  <si>
    <t>Carvajal JJ, García-Castillo V, Cuellar SV, Campillay-Véliz CP, Salazar-Ardiles C, Avellaneda AM, Muñoz CA, Retamal-Díaz A, Bueno SM, González PA, Kalergis AM, Lay MK</t>
  </si>
  <si>
    <t>10.3389/fimmu.2024.1363572</t>
  </si>
  <si>
    <t>Immunomodulatory markers and therapies for the management of infant respiratory syncytial virus infection</t>
  </si>
  <si>
    <t>Loaiza RA., Farías MA., Andrade CA., Ramírez MA., Rodriguez-Guilarte L., Muñóz JT., González PA., Bueno SM., Kalergis AM.</t>
  </si>
  <si>
    <t>Expert Review of Anti-infective Therapy</t>
  </si>
  <si>
    <t>1478-7210</t>
  </si>
  <si>
    <t>10.1080/14787210.2024.2403147</t>
  </si>
  <si>
    <t>Advancement in the development of mRNA-based vaccines for respiratory viruses</t>
  </si>
  <si>
    <t>Troncoso-Bravo T, Ramírez MA, Loaiza RA, Román-Cárdenas C, Papazisis G, Garrido D, González PA, Bueno SM, Kalergis AM</t>
  </si>
  <si>
    <t>Immunology</t>
  </si>
  <si>
    <t>1365-2567</t>
  </si>
  <si>
    <t>10.1111/imm.13844</t>
  </si>
  <si>
    <t>Partial long-term clinical improvement after a BCG challenge in systemic lupus erythematosus-prone mice</t>
  </si>
  <si>
    <t xml:space="preserve">Mora VP, Quero FB, Troncoso-Bravo T, Orellana C, Pereira P, Mackern-Oberti JP, Funes SC, Soto JA, Bohmwald K, Bueno SM, Kalergis AM. </t>
  </si>
  <si>
    <t>Autoimmunity</t>
  </si>
  <si>
    <t>1607-842X</t>
  </si>
  <si>
    <t>10.1080/08916934.2024.2380465</t>
  </si>
  <si>
    <t xml:space="preserve">Respiratory Syncytial Virus Vaccines: Analysis of Pre-Marketing Clinical Trials for Immunogenicity in the Population over 50 Years of Age. </t>
  </si>
  <si>
    <t>Papazisis G, Topalidou X, Gioula G, González PA, Bueno SM, Kalergis AM</t>
  </si>
  <si>
    <t>10.3390/vaccines12040353</t>
  </si>
  <si>
    <t>Human metapneumovirus respiratory infection affects both innate and adaptive intestinal immunity</t>
  </si>
  <si>
    <t xml:space="preserve">Sepúlveda-Alfaro J, Catalán EA, Vallejos OP, Ramos-Tapia I, Madrid-Muñoz C, Mendoza-León MJ, Suazo ID, Rivera-Asin E, Silva PH, Alvarez-Mardones O, Castillo-Godoy DP, Riedel CA, Schinnerling K, Ugalde JA, Soto JA, Bueno SM, Kalergis AM, Melo-Gonzalez F. </t>
  </si>
  <si>
    <t>10.3389/fimmu.2024.1330209</t>
  </si>
  <si>
    <t>2024-11-09 00:00:00.000</t>
  </si>
  <si>
    <t>The Polypyrimidine Tract-Binding Protein Is a Transacting Factor for the Dengue Virus Internal Ribosome Entry Site</t>
  </si>
  <si>
    <t>Fernández-García, L., Angulo, J., López-Lastra, M.</t>
  </si>
  <si>
    <t>Viruses</t>
  </si>
  <si>
    <t>1999-4915</t>
  </si>
  <si>
    <t>10.3390/v16111757</t>
  </si>
  <si>
    <t>2024-01-03 00:00:00.000</t>
  </si>
  <si>
    <t>Natural Killer T Cell Diversity and Immunotherapy</t>
  </si>
  <si>
    <t>Tognarelli EI, Gutiérrez-Vera C, Palacios PA, Pasten-Ferrada IA, Aguirre-Muñoz F, Cornejo DA, González PA, Carreño LJ.</t>
  </si>
  <si>
    <t>Cancers</t>
  </si>
  <si>
    <t xml:space="preserve"> 2072-6694</t>
  </si>
  <si>
    <t>10.3390/cancers15245737</t>
  </si>
  <si>
    <t>Two centuries of vaccination: historical and conceptual approach and future perspectives</t>
  </si>
  <si>
    <t>Montero DA, Vidal RM, Velasco J, Carreño LJ, Torres JP, Benachi O MA, Tovar-Rosero YY, Oñate AA, O'Ryan M.</t>
  </si>
  <si>
    <t>Frontiers in Public Health</t>
  </si>
  <si>
    <t>2296-2565</t>
  </si>
  <si>
    <t>10.3389/fpubh.2023.1326154</t>
  </si>
  <si>
    <t>Long-Term Survival and Immune Response Dynamics in Melanoma Patients Undergoing TAPCells-Based Vaccination Therapy</t>
  </si>
  <si>
    <t>Andrés Tittarelli, Cristian Pereda, María A Gleisner, Mercedes N López, Iván Flores, Fabián Tempio, Alvaro Lladser, Adnane Achour, Fermín E González, Claudia Durán-Aniotz, Juan P Miranda, Milton Larrondo, Flavio Salazar-Onfray</t>
  </si>
  <si>
    <t>10.3390/vaccines12040357</t>
  </si>
  <si>
    <t>Soluble Factors Associated with Denervation-induced Skeletal Muscle Atrophy</t>
  </si>
  <si>
    <t>Portal-Rdriguez M., Cabello-Verrugio C.</t>
  </si>
  <si>
    <t>Current Protein &amp; Peptide Science</t>
  </si>
  <si>
    <t>1389-2037</t>
  </si>
  <si>
    <t>10.2174/0113892037189827231018092036</t>
  </si>
  <si>
    <t xml:space="preserve">Metabolic flexibility to lipid during exercise is not associated with metabolic health outcomes in individuals without obesity </t>
  </si>
  <si>
    <t>Fernández-Verdejo R., Gutiérrez-Pino J., Hayes-Ortiz T., Zbinden-Foncea H., Cabello-Verrugio C., Valero-Breton M., Tuñón-Suárez M., Vargas-Foitzick R., E. Galgani J</t>
  </si>
  <si>
    <t>10.1038/s41598-024-79092-w</t>
  </si>
  <si>
    <t>Mesenchymal stromal cells in myeloid malignancies: Immunotherapeutic opportunities</t>
  </si>
  <si>
    <t>Vukotić M, Kapor S, Simon F, Cokic V, Santibanez JF.</t>
  </si>
  <si>
    <t>Heliyon</t>
  </si>
  <si>
    <t>10.1016/j.heliyon.2024.e25081</t>
  </si>
  <si>
    <t>Role of the CaV1.2 distal carboxy terminus in the regulation of L-type current</t>
  </si>
  <si>
    <t xml:space="preserve">Arancibia F, De Giorgis D, Medina F, Hermosilla T, Simon F, Varela D. </t>
  </si>
  <si>
    <t>Channels (Austin, Texas)</t>
  </si>
  <si>
    <t>1933-6969</t>
  </si>
  <si>
    <t>10.1080/19336950.2024.2338782</t>
  </si>
  <si>
    <t>Prophylactic treatment with the c-Abl inhibitor, neurotinib, diminishes neuronal damage and the convulsive state in pilocarpine-induced mice</t>
  </si>
  <si>
    <t>Chandía-Cristi A ,Gutiérrez  DA, Dulcey  AE,  Lara M,  Vargas L, Lin  YH, Jimenez-Muñoz  P, Larenas  G, Xu  X, Wang  A, Owens  A,  Dextras  C,  Chen YC, Pinto C, Marín T, Almarza-Salazar  H , Acevedo  K ,  Cancino GI, Hu X , Rojas P,  Ferrer M, Southall  N , Henderson  MJ,  Zanlungo  S, Marugan JJ,  Álvarez AR</t>
  </si>
  <si>
    <t>Cell Repors</t>
  </si>
  <si>
    <t>10.1016/j.celrep.2024.114144</t>
  </si>
  <si>
    <t>Heterogeneous nuclear ribonucleoprotein K promotes cap-independent translation initiation of retroviral mRNAs.</t>
  </si>
  <si>
    <t xml:space="preserve"> Fuentes Y., Olguín V., López-Ulloa B., DMendonça D.,  Ramos H., Ana Abdalla  AL., Guajardo-Contreras G., Niu M., Rojas-Araya B.,  Mouland AJ., López-Lastra M.</t>
  </si>
  <si>
    <t>Nucleic Acids Research</t>
  </si>
  <si>
    <t>1362-4962</t>
  </si>
  <si>
    <t>10.1093/nar/gkad1221</t>
  </si>
  <si>
    <t>Oxidized phospholipid and transcriptomic signatures of THC-related vaping associated lung injury</t>
  </si>
  <si>
    <t>Suber TL, Tabary M, Bain W, Olonisakin T, Lockwood K, Xiong Z, Zhang Y, Kohli N, Furguiele L, Peñaloza H, McVerry BJ, Rose JJ, Shah F, Methé B, Li K, Mallampalli RK, Chen K, Fan L, Morris A, Tyurin VA, Samovich SN, Bayir H, Tyurina YY, Kagan V, Lee JS</t>
  </si>
  <si>
    <t>10.1038/s41598-024-79585-8</t>
  </si>
  <si>
    <t>Editorial: Immune response to gram-negative bacteria in the lungs</t>
  </si>
  <si>
    <t>Jara-Collao A, Poli MC, Bain W and Peñaloza HF</t>
  </si>
  <si>
    <t>10.3389/fcimb.2024.1503892</t>
  </si>
  <si>
    <t>IN VITRO EFFECT OF EPIGALLOCATECHIN GALLATE ON HEME SYNTHESIS PATHWAY AND PROTOPORPHYRIN IX PRODUCTION</t>
  </si>
  <si>
    <t>Daniela León, María Elena Reyes, Helga Weber, Álvaro Gutiérrez, Claudio Tapia, Ramón Silva, Tamara Viscarra, Kurt Buchegger, Carmen Ili, Priscilla Brebi</t>
  </si>
  <si>
    <t>MARAVIROC/CISPLATIN COMBINATION INHIBITS GASTRIC CANCER TUMOROID GROWTH AND IMPROVES MICE SURVIVAL</t>
  </si>
  <si>
    <t>Bárbara Mora-Lagos, María Elena Reyes, Lorena Lobos-González, Matías Del Campo, Kurt Buchegger, Louise Zanella, Ismael Riquelme, Carmen Gloria Ili, Priscilla Brebi</t>
  </si>
  <si>
    <t xml:space="preserve"> 0717-6287</t>
  </si>
  <si>
    <t>10.1186/s40659-024-00581-3</t>
  </si>
  <si>
    <t>Instituto Milenio en Socio-ecología costera</t>
  </si>
  <si>
    <t>2024-12-28 00:00:00.000</t>
  </si>
  <si>
    <t>Spatial assessment of risks faced by marine protected areas in Chilean Patagonia</t>
  </si>
  <si>
    <t>Martinez-Harms MJ, Larraín-Barrios B, Verde Arregoitia LD, Gelcich S, Alvarez RR, Tecklin D.</t>
  </si>
  <si>
    <t>Ecology and Society</t>
  </si>
  <si>
    <t>1708-3087</t>
  </si>
  <si>
    <t>10.5751/ES-15633-290440</t>
  </si>
  <si>
    <t>Charting the Path: Unraveling the Research on Organizations and Certification Schemes</t>
  </si>
  <si>
    <t>Castillo N, Diaz Tautiva JA, Ponce R.</t>
  </si>
  <si>
    <t>Sage Open</t>
  </si>
  <si>
    <t>2158-2440</t>
  </si>
  <si>
    <t>10.1177/21582440241301834</t>
  </si>
  <si>
    <t>Picoplanktonic methane production in eutrophic surface waters</t>
  </si>
  <si>
    <t>Tenorio SE, Farías L.</t>
  </si>
  <si>
    <t>Biogeosciences</t>
  </si>
  <si>
    <t>1726-4170</t>
  </si>
  <si>
    <t>10.5194/bg-21-2029-2024</t>
  </si>
  <si>
    <t>Anticipating trade-offs and promoting synergies between small-scale fisheries and aquaculture to improve social, economic, and ecological outcomes</t>
  </si>
  <si>
    <t>Mansfield EJ, Micheli F, Fujita R, Fulton EA, Gelcich S, Battista W, Bustamante RH, Cao L, Daniels BN, Finkbeiner EM, Gaines S, Peckham H, Roche K, Ruckelshaus M, Salomon AK, Sumaila UR, White C &amp; Naylor R.</t>
  </si>
  <si>
    <t>npj Ocean Susaintability</t>
  </si>
  <si>
    <t>e2731-426X</t>
  </si>
  <si>
    <t>10.1038/s44183-023-00035-5</t>
  </si>
  <si>
    <t>Marine ecosystem-based management: challenges remain, yet solutions exist, and progress is occurring</t>
  </si>
  <si>
    <t>Haugen JB, Link JS, Cribari K, Bundy A, Dickey-Collas M, Leslie HM, Hall J, Fulton EA, Levenson JJ, Parsons DM, Hassellöv IM, Olsen E, DePiper GS, Gentry RR, Clark DE, Brainard RE, Mateos-Molina D, Borja A, Gelcich S, Guilhon M, Ban NC, Pedreschi D, Khan A, Chuenpagdee R, Large SI, Defeo O, Shannon L, Bailey SA, Jordan A, Agnalt AL.</t>
  </si>
  <si>
    <t>10.1038/s44183-024-00041-1</t>
  </si>
  <si>
    <t>2024-01-29 00:00:00.000</t>
  </si>
  <si>
    <t>Legislative science advice in Chile: exploring twelve years of knowledge producers participation in environmental committee discussions</t>
  </si>
  <si>
    <t>Reyes-Mendy F, Gelcich S, Opazo-Pina V.</t>
  </si>
  <si>
    <t>The Journal of Legislative Studies</t>
  </si>
  <si>
    <t>1357-2334</t>
  </si>
  <si>
    <t>10.1080/13572334.2023.2298123</t>
  </si>
  <si>
    <t>Emerging energy sources' social acceptability: Evidence from marine-based energy projects</t>
  </si>
  <si>
    <t>Ponce Oliva RD, Estay M, Barrientos M, Estévez RA, Gelcich S, Vásquez-Lavín F.</t>
  </si>
  <si>
    <t>Renewable and Sustainable Energy Review</t>
  </si>
  <si>
    <t>1364-0321</t>
  </si>
  <si>
    <t>10.1016/j.rser.2024.114429</t>
  </si>
  <si>
    <t>2024-05-20 00:00:00.000</t>
  </si>
  <si>
    <t>Morphological and Molecular Identification of Ulva spp. (Ulvophyceae; Chlorophyta) from Algarrobo Bay, Chile: Understanding the Composition of Green Tides</t>
  </si>
  <si>
    <t>Mutizabal-Aros J, Ramírez ME, Haye PA, Meynard A, Pinilla-Rojas B, Núñez A, Latorre-Padilla N, Search FV, Tapia FJ, Saldías GS, Navarrete S, Contreras-Porcia L.</t>
  </si>
  <si>
    <t>10.3390/plants13091258</t>
  </si>
  <si>
    <t>Seasonal growth rates of gooseneck barnacles (Lepas spp.): Proxies for floating time of rafts in marine ecosystems</t>
  </si>
  <si>
    <t>Goehlich H, Luna-Jorquera G, Drapeau Picard AP, Pantoja J, Tala F, Thiel M.</t>
  </si>
  <si>
    <t>Marine Biology</t>
  </si>
  <si>
    <t>0025-3162</t>
  </si>
  <si>
    <t>10.1007/s00227-023-04336-8</t>
  </si>
  <si>
    <t>Ocean Decade Vision 2030 White Papers – Challenge 3: Ocean Contributions to Nourishing the World’s Population</t>
  </si>
  <si>
    <t>Agostini V, Olsen E, Tiffay C, Alison E, Coetzee J, Cojocaru AL, Costello C, Darias MJ, Fabinyi M, Fulton B, Gelcich S, Haraksingh Thilsted S, Hassouni, FZ, Mills K, Msuva F, Obura D, Tigchellar M.</t>
  </si>
  <si>
    <t>UNESCO-IOC</t>
  </si>
  <si>
    <t>10.25607/r7qs-a228</t>
  </si>
  <si>
    <t>Ocean Decade Vision 2030 White Papers – Challenge 4: Develop a Sustainable and Equitable Ocean Economy.</t>
  </si>
  <si>
    <t>Haugan P, Rhodes A, Hollaway E, Abdul Rahman M, Appiott J, DeBeauville-Scott S, Gelcich S, Gericksky E, GonzalesQuiros R, Harms E, Heaps L, Hospes E, James P, Jeremie MM, Jumbe AS, Kostka WN, Mokenye J, Noonan-Birch R, Park G, Solis Rivera V, Thiele T.</t>
  </si>
  <si>
    <t>10.25607/2452-1r10</t>
  </si>
  <si>
    <t>Effects of ocean acidification and warming on physiological and behavioural responses of an herbivore snail to waterborne predator cues.</t>
  </si>
  <si>
    <t>Benítez S, Lagos NA, Duarte C, Cid MJ.</t>
  </si>
  <si>
    <t xml:space="preserve">10.1016/j.envpol.2023.122798  </t>
  </si>
  <si>
    <t>Pan traps: An effective tool for monitoring phenological changes in insect floral visitors and their relationship with floral resources in a coastal Mediterranean forest</t>
  </si>
  <si>
    <t>Chinga J, Murúa M, Barahona-Segovia RM, Gelcich S.</t>
  </si>
  <si>
    <t>Ecological Indicators</t>
  </si>
  <si>
    <t>1470-160X</t>
  </si>
  <si>
    <t>10.1016/j.ecolind.2023.111336</t>
  </si>
  <si>
    <t>Assessing the performance of a participatory governance transformation in small-scale fisheries: A case study from Uruguay</t>
  </si>
  <si>
    <t>Bausero-Jorcin S, Gelcich S, Gianelli I, Jorge-Romero G, Lezama C, Defeo O.</t>
  </si>
  <si>
    <t>Marine Policy</t>
  </si>
  <si>
    <t>0308-597X</t>
  </si>
  <si>
    <t>10.1016/j.marpol.2023.105964</t>
  </si>
  <si>
    <t>Mito-nuclear discordance and phylogeography of the surf clam Mesodesma donacium along the Southeast Pacific coast</t>
  </si>
  <si>
    <t>Liza CR, Stotz WB, Haye PA</t>
  </si>
  <si>
    <t>Zoologica Scripta</t>
  </si>
  <si>
    <t>0300-3256</t>
  </si>
  <si>
    <t>10.1111/zsc.12641</t>
  </si>
  <si>
    <t>Public attitudes and perceptions towards the ocean as an input for public policy</t>
  </si>
  <si>
    <t>Nahuelhual L, von Below J, Engler A, Campos G, Bianchi J.</t>
  </si>
  <si>
    <t>0964-5691</t>
  </si>
  <si>
    <t>10.1016/j.ocecoaman.2024.107175</t>
  </si>
  <si>
    <t>Monitoring data poor small-scale estuarine fisheries: a proposal from the striped mullet (Mugil cephalus) fishery in the Rapel River, Chile</t>
  </si>
  <si>
    <t>Wiff R, Flores A, Peralta L, Estévez RA, Gacitúa S, Gelcich S</t>
  </si>
  <si>
    <t>Latin American Journal of Aquatic Research</t>
  </si>
  <si>
    <t>0718-560X</t>
  </si>
  <si>
    <t>10.3856/vol52-issue3-fulltext-3145</t>
  </si>
  <si>
    <t>An Integrated Conservation Vision for Chilean Patagonia</t>
  </si>
  <si>
    <t xml:space="preserve">Armesto JJ, Martínez-Harms MJ, Castilla JC, Fuentes-Castillo </t>
  </si>
  <si>
    <t>Conservation in Chilean Patagonia, Integrated Science</t>
  </si>
  <si>
    <t>978-3-031-39407-2</t>
  </si>
  <si>
    <t>10.1007/978-3-031-39408-9_177</t>
  </si>
  <si>
    <t>Representativeness Assessment and Identification of Priorities for the Protection of Terrestrial Ecosystems in Chilean Patagonia</t>
  </si>
  <si>
    <t>Pliscoff P, Martínez-Harms MJ, Fuentes-Castillo,T.</t>
  </si>
  <si>
    <t>10.1007/978-3-031-39408-9_3</t>
  </si>
  <si>
    <t>Using expert knowledge to propose recreational marine reef-fish management measures in Chile</t>
  </si>
  <si>
    <t>Estévez RA, Godoy N, Araya M, Azocar C, de la Barra C, Bardi F, Fernández-Urzúa F, García M, Hiriart-Bertrand L, Lomonico S, Medina M, Naretto J, Ojeda FP, Pequeño G, Ponce F, Pulgar J, Pérez-Matus A, Rivera J, Smith A, Toro Da Ponte J, Torres-Cañete F, Vásquez JA, Gelcich S.</t>
  </si>
  <si>
    <t>Conservation Science and Practice</t>
  </si>
  <si>
    <t>e13057</t>
  </si>
  <si>
    <t>e2578-4854</t>
  </si>
  <si>
    <t>10.1111/csp2.13057</t>
  </si>
  <si>
    <t>The role of land inequality in the poverty-forest loss nexus patterns: A case study from Chile</t>
  </si>
  <si>
    <t>Nahuelhual L, Jullian C, Von Below J, Laterra P.</t>
  </si>
  <si>
    <t>Journal of Rural Studies</t>
  </si>
  <si>
    <t>0743-0167</t>
  </si>
  <si>
    <t>10.1016/j.jrurstud.2023.103192</t>
  </si>
  <si>
    <t>2024-01-13 00:00:00.000</t>
  </si>
  <si>
    <t>Emergent Spatial Patterns Can Indicate Upcoming Regime Shifts in a Realistic Model of Coral Community</t>
  </si>
  <si>
    <t>Génin A, Navarrete SA, Garcia-Mayor A, Wieters EA.</t>
  </si>
  <si>
    <t>The American Naturalist</t>
  </si>
  <si>
    <t>0003-0147</t>
  </si>
  <si>
    <t>10.1086/728117</t>
  </si>
  <si>
    <t>2024-03-04 00:00:00.000</t>
  </si>
  <si>
    <t>González-Wevar CA, Poveda Y, Segovia NI, Rosenfeld S, Maturana CS, Jeldres V, Schmider-Martínez A, Gérard K, Spencer HG, Poulin E.</t>
  </si>
  <si>
    <t>2296-701X</t>
  </si>
  <si>
    <t>Environmental DNA reveals temporal variation in mesophotic reefs of the Humboldt upwelling ecosystems of central Chile: Toward a baseline for biodiversity monitoring of unexplored marine habitats</t>
  </si>
  <si>
    <t>Saenz-Agudelo P, Ramirez P, Beldade R, Campoy AN, Garmendia V, Search FV, Fernández M, Wieters EA, Navarrete SA, Landaeta MF, Pérez-Matus A.</t>
  </si>
  <si>
    <t>e10999</t>
  </si>
  <si>
    <t>10.1002/ece3.10999</t>
  </si>
  <si>
    <t>A species distribution model of the giant kelp Macrocystis pyrifera: Worldwide changes and a focus on the Southeast Pacific</t>
  </si>
  <si>
    <t>Gonzalez-Aragon D, Rivadeneira MM, Lara C, Torres FI, Vásquez JA, Broitman BR</t>
  </si>
  <si>
    <t>e10901</t>
  </si>
  <si>
    <t>10.1002/ece3.10901</t>
  </si>
  <si>
    <t>Transient species driving ecosystem multifunctionality: Insights from competitive interactions between rocky intertidal mussels</t>
  </si>
  <si>
    <t>Betancourtt C, Catalán AM, Morales-Torres DF, Lopez DN, Escares-Aguilera V, Salas-Yanquin LP, Büchner-Miranda JA, Chaparro OR, Nimptsch J, Broitman BR, Valdivia N.</t>
  </si>
  <si>
    <t>10.1016/j.marenvres.2024.106422</t>
  </si>
  <si>
    <t>Observations of river-wave interactions at a small-scale river mouth</t>
  </si>
  <si>
    <t>Roco A, Flores RP, Williams ME, Saldías GS.</t>
  </si>
  <si>
    <t>Coastal Engineering</t>
  </si>
  <si>
    <t>0378-3839</t>
  </si>
  <si>
    <t>10.1016/j.coastaleng.2024.104456</t>
  </si>
  <si>
    <t>Spatial interactions between perceived biophilic values and neighborhood typologies in urban wetlands</t>
  </si>
  <si>
    <t>Villagra P, Rojas C, Rojas O, Alves S.</t>
  </si>
  <si>
    <t>City and Built Environment</t>
  </si>
  <si>
    <t>e2435-7936</t>
  </si>
  <si>
    <t>10.1007/s44213-024-00027-2</t>
  </si>
  <si>
    <t>Exploring links between local knowledge, values and livelihoods in land-sea interface: insights on emerging tradeoffs and change in Southern Chile</t>
  </si>
  <si>
    <t>Barceló M, Tengö M, Simonetti JA, Gelcich, S.</t>
  </si>
  <si>
    <t>Ecosystems and People</t>
  </si>
  <si>
    <t>e2639-5916</t>
  </si>
  <si>
    <t>10.1080/26395916.2024.2329562</t>
  </si>
  <si>
    <t>2024-03-18 00:00:00.000</t>
  </si>
  <si>
    <t>Estimating Residential Water Demand Under Systematic Shifts Between Uniform Price (UP) and Increasing Block Tariffs (IBT)</t>
  </si>
  <si>
    <t>Chovar Vera AM, Vásquez-Lavín F, Ponce Oliva R.</t>
  </si>
  <si>
    <t>Water Resources Research</t>
  </si>
  <si>
    <t>e2022WR033508</t>
  </si>
  <si>
    <t>0043-1397</t>
  </si>
  <si>
    <t>10.1029/2022WR033508</t>
  </si>
  <si>
    <t>Bernal-Durán V, Donoso D, Piñones A, Jonsson PR, Benestan L, Landaeta MF, Naretto J, Gerard K, Haye PA, Gonzalez-Wevar C, Poulin E, Segovia NI.</t>
  </si>
  <si>
    <t>e17360</t>
  </si>
  <si>
    <t>Applying machine learning to predict reproductive condition in fish</t>
  </si>
  <si>
    <t>Flores A, Wiff R, Donovan CR, Gálvez P.</t>
  </si>
  <si>
    <t>1574-9541</t>
  </si>
  <si>
    <t>10.1016/j.ecoinf.2024.102481</t>
  </si>
  <si>
    <t>Biogeochemical Response of the Water Column of Concepción Bay, Chile, to a New Regime of Atmospheric and Oceanographic Variability</t>
  </si>
  <si>
    <t>Bustos-Espinoza L, Torres-Ramírez P, Figueroa S, González PS, Pavez MA, Jerez R, Saldías GS, Espinoza C, Galán A</t>
  </si>
  <si>
    <t>Geosciences</t>
  </si>
  <si>
    <t>e2076-3263</t>
  </si>
  <si>
    <t>10.3390/geosciences14050125</t>
  </si>
  <si>
    <t>Alginate Oligosaccharides Protect Gastric Epithelial Cells against Oxidative Stress Damage through Induction of the Nrf2 Pathway</t>
  </si>
  <si>
    <t>Acevedo S, Covarrubias AA, Haeger P, Pancetti F, Tala F, de la Fuente-Ortega E.</t>
  </si>
  <si>
    <t>Antioxidants</t>
  </si>
  <si>
    <t>e2076-3921</t>
  </si>
  <si>
    <t>10.3390/antiox13050618</t>
  </si>
  <si>
    <t>Understanding the impacts of coastal deoxygenation in nitrogen dynamics: an observational analysis</t>
  </si>
  <si>
    <t>Farías L, de la Maza L.</t>
  </si>
  <si>
    <t>10.1038/s41598-024-62186-w</t>
  </si>
  <si>
    <t>Molecular evidence for a new endemic species of Acartia (Copepoda, Calanoida) from the Southeast Pacific coast</t>
  </si>
  <si>
    <t>Mesas A, Aguilera VM, González CE, Giesecke R, Escribano R, Vargas CA</t>
  </si>
  <si>
    <t>Environmental correlates of oyster farming in an upwelling system: Implication upon growth, biomass production, shell strength and organic composition</t>
  </si>
  <si>
    <t>Saavedra LM, Bastías M, Mendoza P, Lagos NA, García-Herrera C, Ponce V, Alvarez F, Llanos-Rivera A.</t>
  </si>
  <si>
    <t>10.1016/j.marenvres.2024.106489</t>
  </si>
  <si>
    <t>Vargas CA, Gelcich S.</t>
  </si>
  <si>
    <t>Communications Earth &amp; Environment</t>
  </si>
  <si>
    <t>e2662-4435</t>
  </si>
  <si>
    <t>Modelling pollination maps in agroecosystems of a Chilean biodiversity hotspot</t>
  </si>
  <si>
    <t>Lavín U, Martínez-Harms MJ, Celis-Diez JL, Francois JP, Aguirre Y, Martínez-Harms J.</t>
  </si>
  <si>
    <t>10.1080/26395916.2024.2358471</t>
  </si>
  <si>
    <t>2024-07-06 00:00:00.000</t>
  </si>
  <si>
    <t>Sensitivity of the stock assessment for the Antarctic krill fishery to time-varying natural and fishing mortality</t>
  </si>
  <si>
    <t>Deehr Johannessen E, Krafft BA, Donovan CR, Wiff R, Caneco B, Lowther A.</t>
  </si>
  <si>
    <t>e12721</t>
  </si>
  <si>
    <t>10.1111/fme.12721</t>
  </si>
  <si>
    <t>Modelling density on historical aggregation areas improves biomass estimates in yellow squat lobster off Chile</t>
  </si>
  <si>
    <t>Cusba J, Queirolo D, Ahumada M, Apablaza P, Paramo J, Wiff R.</t>
  </si>
  <si>
    <t>Fisheries Research</t>
  </si>
  <si>
    <t>0165-7836</t>
  </si>
  <si>
    <t>10.1016/j.fishres.2024.107026</t>
  </si>
  <si>
    <t>Variación temporal en estimaciones de abundancia de Panopea abbreviata en diferentes sustratos: Monitoreo mediante vídeo remoto de bajo costo en el Golfo San Matías, Atlántico Sur</t>
  </si>
  <si>
    <t>Arijon M, Castro K, Trobbiani G, Aguayo G, Wiff R, Irigoyen AJ.</t>
  </si>
  <si>
    <t>Ecología Austral</t>
  </si>
  <si>
    <t>10.25260/EA.24.34.2.0.2331</t>
  </si>
  <si>
    <t>Building the “blue” capacity for coastal communities</t>
  </si>
  <si>
    <t>Cinti A, Gelcich S, Mangubhai S, Bailey M, Jakub R, Fang JK-H, Nishihara GN.</t>
  </si>
  <si>
    <t>One Earth</t>
  </si>
  <si>
    <t>2590-3330</t>
  </si>
  <si>
    <t>10.1016/j.oneear.2024.09.019</t>
  </si>
  <si>
    <t>Drivers of Change in Ecosystems of Chilean Patagonia: Current and Projected Trends</t>
  </si>
  <si>
    <t>Nahuelhual L, Carmona A.</t>
  </si>
  <si>
    <t>10.1007/978-3-031-39408-9_17</t>
  </si>
  <si>
    <t>Economic valuation of Harmful Algal Blooms (HAB): Methodological challenges, policy implications, and an empirical application</t>
  </si>
  <si>
    <t>Carias J, Vásquez-Lavín F, Barrientos M, Ponce Oliva RD, Gelcich S.</t>
  </si>
  <si>
    <t>Journal of Environmental Management</t>
  </si>
  <si>
    <t>0301-4797</t>
  </si>
  <si>
    <t>10.1016/j.jenvman.2024.121566</t>
  </si>
  <si>
    <t>Characterization of Multi-Decadal Beach Changes in Cartagena Bay (Valparaíso, Chile) from Satellite Imagery</t>
  </si>
  <si>
    <t>Briceño de Urbaneja IC, Pardo-Pascual JE, Cabezas-Rabadán C, Aguirre C, Martínez C, Pérez-Martínez W, Palomar-Vázquez J.</t>
  </si>
  <si>
    <t>Remote Sensing</t>
  </si>
  <si>
    <t>2072-4292</t>
  </si>
  <si>
    <t>10.3390/rs16132360</t>
  </si>
  <si>
    <t>Microplastics in seafood: Consumer preferences and valuation for mitigation technologies</t>
  </si>
  <si>
    <t>Barrientos M, Vásquez-Lavín F, Ponce Oliva RD, Nayga Jr RM, Gelcich S.</t>
  </si>
  <si>
    <t>Food Research International</t>
  </si>
  <si>
    <t>0963-9969</t>
  </si>
  <si>
    <t>10.1016/j.foodres.2024.114342</t>
  </si>
  <si>
    <t>Situational crime analysis of poaching within Territorial Use Rights Fisheries (TURFs)</t>
  </si>
  <si>
    <t xml:space="preserve">Vallejos T, Nahuelhual L, Gelcich S, Oyanedel R. </t>
  </si>
  <si>
    <t>10.3389/fmars.2024.1419800</t>
  </si>
  <si>
    <t xml:space="preserve">Microbial community and network responses across strong environmental gradients: How do they compare with macroorganisms? </t>
  </si>
  <si>
    <t>Arboleda-Baena C, Freilich M, Pareja CB, Logares R, De la Iglesia R, Navarrete SA</t>
  </si>
  <si>
    <t>fiae017</t>
  </si>
  <si>
    <t>10.1093/femsec/fiae017</t>
  </si>
  <si>
    <t>Variability in oceanographic conditions affecting Mesophotic Ecosystems along the South Eastern Pacific: Latitudinal trends and potential for climate refugia</t>
  </si>
  <si>
    <t>de la Maza L, Wieters EA, Beldade R, Landaeta MF, Perez-Matus A, Navarrete SA.</t>
  </si>
  <si>
    <t>10.1016/j.jmarsys.2024.103999</t>
  </si>
  <si>
    <t>Exploring the impact of ocean acidification information on consumers' preference for seafood</t>
  </si>
  <si>
    <t>Barrientos M, Carrasco-Garcés M, Vásquez-Lavín F, Ponce Oliva RD, San Martín VA, Gelcich S.</t>
  </si>
  <si>
    <t>Future Foods</t>
  </si>
  <si>
    <t>2666-8335</t>
  </si>
  <si>
    <t>10.1016/j.fufo.2024.100494</t>
  </si>
  <si>
    <t>Sustainable biorefinery of Ulva stenophylloides, a green-tide species from the South Pacific coast: A study on antioxidant, oligosaccharide, and ulvan extraction</t>
  </si>
  <si>
    <t>Contreras-Porcia L, Torres MD, Domínguez H, Queffelec J, Piña F, Inoubli S, Aldunate R, Bronfman FC, Pizarro N, Toro-Mellado F, Pozo-Sotelo M, Gallardo-Campos M, Pinilla-Rojas B, Rivas J, Remonsellez JP.</t>
  </si>
  <si>
    <t>Algal Research</t>
  </si>
  <si>
    <t>2211-9264</t>
  </si>
  <si>
    <t>10.1016/j.algal.2024.103785</t>
  </si>
  <si>
    <t>2024-10-22 00:00:00.000</t>
  </si>
  <si>
    <t>A Physiological analysis of desiccation stress in the green tide species Ulva stenophylloides and Ulva uncialis in the South Pacific</t>
  </si>
  <si>
    <t>Mutizabal-Aros J, Meynard A, Contreras-Porcia L.</t>
  </si>
  <si>
    <t>JOURNAL OF MARINE SCIENCE AND ENGINEERING</t>
  </si>
  <si>
    <t>2077-1312</t>
  </si>
  <si>
    <t>10.3390/jmse12111893</t>
  </si>
  <si>
    <t>An assessment of potential interventions to reduce the totoaba illegal trade market</t>
  </si>
  <si>
    <t>Oyanedel R, Aceves-Bueno E, Davids L, Cisneros-Mata MÁ.</t>
  </si>
  <si>
    <t>Conservation Biology</t>
  </si>
  <si>
    <t>e14356</t>
  </si>
  <si>
    <t>0888-8892</t>
  </si>
  <si>
    <t>10.1111/cobi.14356</t>
  </si>
  <si>
    <t>Spatio-temporal variability of turbidity derived from Sentinel-2 in Reloncaví sound, Northern Patagonia, Chile.</t>
  </si>
  <si>
    <t>García-Tuñon W, Curra-Sánchez ED, Lara C, González-Rodríguez L, Urrego EP, Delegido J, Broitman BR.</t>
  </si>
  <si>
    <t>10.1016/j.ecoinf.2024.102814</t>
  </si>
  <si>
    <t>Physiological resilience of intertidal chitons in a persistent upwelling coastal region</t>
  </si>
  <si>
    <t>Fernandez C, Poupin MJ, Lagos NA, Broitman BR, Lardies MA.</t>
  </si>
  <si>
    <t>10.1038/s41598-024-72488-8</t>
  </si>
  <si>
    <t>Oceanographical-driven dispersal and environmental variation explain genetic structure in an upwelling coastal ecosystem</t>
  </si>
  <si>
    <t>Peluso L, Faúndez J, Navarrete SA, Broitman BR, Aiken C, Sáenz-Agudelo P.</t>
  </si>
  <si>
    <t xml:space="preserve">Scientific Reports  </t>
  </si>
  <si>
    <t>10.1038/s41598-024-72841-x</t>
  </si>
  <si>
    <t>CDOM dynamics in two coastal zones influenced by contrasting land uses in northern Patagonia</t>
  </si>
  <si>
    <t>Curra-Sánchez ED, Valerio AM, Lara C, García-Tuñon W, Broitman BR, Saldías GS, Nimptsch J, Vargas CA</t>
  </si>
  <si>
    <t>Estuarine, Coastal and Shelf Science</t>
  </si>
  <si>
    <t>0272-7714</t>
  </si>
  <si>
    <t>10.1016/j.ecss.2024.108897</t>
  </si>
  <si>
    <t>2024-12-17 00:00:00.000</t>
  </si>
  <si>
    <t>Baited remote underwater video stations as a potential tool for assessing coastal rocky fishes in Chile</t>
  </si>
  <si>
    <t>Irigoyen AJ, Flores A, Gacitúa S, Merlo P, Wiff R, Canales TM.</t>
  </si>
  <si>
    <t>e12665</t>
  </si>
  <si>
    <t>10.1111/fme.12665</t>
  </si>
  <si>
    <t>2024-07-12 00:00:00.000</t>
  </si>
  <si>
    <t>Climate projections of oceanographic variables in the Exclusive Economic Zone of Ecuador: A 21st century perspective to inform impact and adaptation assessment</t>
  </si>
  <si>
    <t>Winckler P, Farías L, Vicuña S, Esparza C, Mora J, Chubretovic R, Cabrera F, Zambrano-Sánchez N, Caza P, González RA.</t>
  </si>
  <si>
    <t>Regional Studies in Marine Science</t>
  </si>
  <si>
    <t>2352-4855</t>
  </si>
  <si>
    <t>10.1016/j.rsma.2024.103612</t>
  </si>
  <si>
    <t>2024-09-21 00:00:00.000</t>
  </si>
  <si>
    <t>Conejeros A, San Martin VA, Castillo N, Cuevas LA, Garcés K, Barra RO, Aguilera VM, Vargas CA.</t>
  </si>
  <si>
    <t>2024-10-27 00:00:00.000</t>
  </si>
  <si>
    <t>The global extent and severity of operational interactions between conflicting pinnipeds and fisheries</t>
  </si>
  <si>
    <t>Jackson J, Arlidge WNS, Oyanedel R, Davis KJ</t>
  </si>
  <si>
    <t>e2041-1723</t>
  </si>
  <si>
    <t>10.1038/s41467-024-51298-6</t>
  </si>
  <si>
    <t>Genetic homogeneity and weak signatures of local adaptation in the marine mussel Mytilus chilensis</t>
  </si>
  <si>
    <t>Segovia NI, Coral-Santa Cruz D, Haye PA.</t>
  </si>
  <si>
    <t>10.1038/s41598-024-71944-9</t>
  </si>
  <si>
    <t>Small-scale geographic differences in multiple-driver environmental variability can modulate contrasting phenotypic plasticity despite high levels of gene flow</t>
  </si>
  <si>
    <t>Castillo N, Gaitán-Espitia JD, Quintero-Galvis JF, Saldías GS, Martel SI, Lardies MA, Mesas A, Pérez-Santos IE, Gelcich S, Vargas CA.</t>
  </si>
  <si>
    <t>e1879-1026</t>
  </si>
  <si>
    <t>Escape behavior of rocky-reef fish reveals the impact of spearfishing across different management regimes</t>
  </si>
  <si>
    <t>Contreras-Drey FJ, Godoy N, Smith A, Rezende EL, Pérez-Matus A, Estevez RA, Beldade R, Ojeda FP, Gelcich S.</t>
  </si>
  <si>
    <t>Ecosphere</t>
  </si>
  <si>
    <t>e70056</t>
  </si>
  <si>
    <t>2150-8925</t>
  </si>
  <si>
    <t>10.1002/ecs2.70056</t>
  </si>
  <si>
    <t>Lipids remodeling in phytoplankton exposed to multi-environmental drivers in a mesocosm experiment.</t>
  </si>
  <si>
    <t>Cantarero SI, Flores E, Allbrook H, Aguayo P, Vargas CA, Tamanaha JE, Scholz JBC, Bach LT, Löscher CR, Riebesell U, Rajagopalan B, Dildar N, Sepúlveda J.</t>
  </si>
  <si>
    <t>Biogeoscience</t>
  </si>
  <si>
    <t>Capítulo 6: Algas de la región de Atacama</t>
  </si>
  <si>
    <t>Tala F, Vásquez JA.</t>
  </si>
  <si>
    <t>Biodiversidad Marina y Terrestre de la Región de Atacama IEB</t>
  </si>
  <si>
    <t>978-956-8907-12-9</t>
  </si>
  <si>
    <t>https://libroverde.org/producto/biodiversidad-marina-y-terrestre-de-la-region-de-atacama/</t>
  </si>
  <si>
    <t>Developing capacity for transdisciplinary studies of changing ocean systems</t>
  </si>
  <si>
    <t>Renaud PE, Belgrano A, Dupont S, Boyd PW, Collins S, Blenckner T, Drexler M, Hall-Spencer JM, Robinson C, Weber CT, Vargas CA.</t>
  </si>
  <si>
    <t>Oceanography</t>
  </si>
  <si>
    <t>1042-8275</t>
  </si>
  <si>
    <t>10.5670/oceanog.2025.113</t>
  </si>
  <si>
    <t>Does rafting promote contemporary gene flow? Global and regional patterns of population genetic diversity and structure on the false limpet Siphonaria lateralis in the Southern Ocean.</t>
  </si>
  <si>
    <t>Millán-Medina C, Lizama M, Saucède T, Poulin E, Segovia NI, González-Wevar C.</t>
  </si>
  <si>
    <t>Easy, fast and reproducible Stochastic Cellular Automata with chouca</t>
  </si>
  <si>
    <t>Génin A, Dupont G, Valencia D, Zucconi M, Ávila-Thieme MI, Navarrete SA, Wieters EA.</t>
  </si>
  <si>
    <t>Peer Community Journal</t>
  </si>
  <si>
    <t>e95</t>
  </si>
  <si>
    <t>e2804-3871</t>
  </si>
  <si>
    <t>10.24072/pcjournal.466</t>
  </si>
  <si>
    <t xml:space="preserve">Exploring perceptions towards biodiversity conservation in urban parks: Insights on acceptability and design attributes. </t>
  </si>
  <si>
    <t>Chinga J, Murúa M, Gelcich S.</t>
  </si>
  <si>
    <t>Journal of Urban Management</t>
  </si>
  <si>
    <t>2226-5856</t>
  </si>
  <si>
    <t>10.1016/j.jum.2024.05.006</t>
  </si>
  <si>
    <t>Forecasting adoption with epidemiological models can enable adaptively scaling out conservation.</t>
  </si>
  <si>
    <t>Clark M, Pienkowski T, Jagadish A, Archibald CL, Gelcich S, Govan H, Naidoo R, Romero-de-Diego C, Weeks R, Mills M.</t>
  </si>
  <si>
    <t>10.1016/j.oneear.2024.08.017</t>
  </si>
  <si>
    <t>Legislación relevante en pesca artesanal, acuicultura y desarrollo costero</t>
  </si>
  <si>
    <t>Reyes F.</t>
  </si>
  <si>
    <t>Observatorio Políticas Públilcas SECOS</t>
  </si>
  <si>
    <t>https://repositorio.uc.cl/handle/11534/87699</t>
  </si>
  <si>
    <t>Reporte cumplimiento compromisos Presidente Gabriel Boric (2022-2026) en pesca artesanal, acuicultura y desarrollo costero</t>
  </si>
  <si>
    <t>https://repositorio.uc.cl/handle/11534/87701</t>
  </si>
  <si>
    <t>2024-08-25 00:00:00.000</t>
  </si>
  <si>
    <t>Conservation triage in action: Planning, governance and knowledge co-production for biodiversity protection</t>
  </si>
  <si>
    <t>Martínez-Harms MJ, Estévez RA, Álvarez-Miranda E.</t>
  </si>
  <si>
    <t>Journal of Applied Ecology</t>
  </si>
  <si>
    <t>0021-8901</t>
  </si>
  <si>
    <t>10.1111/1365-2664.14763</t>
  </si>
  <si>
    <t>Towards Sustainable Antibiotic Use in Aquaculture and Antimicrobial Resistance: Participatory Experts’ Overview and Recommendations</t>
  </si>
  <si>
    <t>Farías DR, Ibarra R, Estévez RA, Tlusty MF, Nyberg O, Troell M, Avendaño-Herrera R, Norden W.</t>
  </si>
  <si>
    <t>Antibiotics</t>
  </si>
  <si>
    <t>2079-6382</t>
  </si>
  <si>
    <t>10.3390/antibiotics13090887</t>
  </si>
  <si>
    <t>Hacia una ecología urbana para ciudades costeras: restauración ecológica mediante ecoingeniería y soluciones basadas en la naturaleza</t>
  </si>
  <si>
    <t>Lagos NA, García Herrera C, Lardies MA.</t>
  </si>
  <si>
    <t>La dimensión marítimo-costera de la modernidad periférica, Universidad de Playa Ancha, Editorial Puntángeles</t>
  </si>
  <si>
    <t>978-956-296-229-2</t>
  </si>
  <si>
    <t>https://www.upla.cl/selloeditorial/2024/08/20/la-dimension-maritimo-costera-braulio-rojas-editor/</t>
  </si>
  <si>
    <t>Research on Rocky Shores in Brazil: Advances and Contributions to International Fora</t>
  </si>
  <si>
    <t>Pardal A, Jenkins SR, Navarrete SA, Wangkulangkul K, Christofoletti RA.</t>
  </si>
  <si>
    <t>Brazilian Rocky Shores,  Springer International Publishing</t>
  </si>
  <si>
    <t>978-3-031-67205-7</t>
  </si>
  <si>
    <t>10.1007/978-3-031-67206-4_7</t>
  </si>
  <si>
    <t>Instituto Milenio para la Investigación del Cuidado</t>
  </si>
  <si>
    <t>“If they teach us, we will achieve it”: Autonomy from the voice of Experts by Experience towards scientific knowledge.</t>
  </si>
  <si>
    <t>Tenorio, M., Arango, P., Aparicio, A., Villaseca, F., Pizarro, R., Pierret, F., Osorio, G. &amp; Lucero, C.</t>
  </si>
  <si>
    <t>Herrera, F. &amp; Marshall, P. (Eds.) Discapacidad en Chile: Una introducción. Ediciones Universidad Diego Portales.</t>
  </si>
  <si>
    <t>ISBN: 978-956-314-608-0</t>
  </si>
  <si>
    <t>10.no tiene doi https://nucleodisca.cl/cms/wp-content/uploads/2024/12/libro-discapacidad-en-chile-web.pdf</t>
  </si>
  <si>
    <t>Comparative analysis of early caregiver-child interaction patterns in infants and toddlers: evaluating Down syndrome vs. typical development</t>
  </si>
  <si>
    <t>Fernández, K., Aparicio, A. &amp; Tenorio, M.</t>
  </si>
  <si>
    <t>Journal of Intellectual Disability Research</t>
  </si>
  <si>
    <t>0964-2633</t>
  </si>
  <si>
    <t>10.1111/jir.13201</t>
  </si>
  <si>
    <t>Access to Justice for People with Disabilities in Chile</t>
  </si>
  <si>
    <t>Marshall, P. &amp; Tenorio, M.</t>
  </si>
  <si>
    <t>Disability in Chile: An Introduction.</t>
  </si>
  <si>
    <t>Herrera, F. &amp; Marshall, P. (Eds.)</t>
  </si>
  <si>
    <t>Ediciones Universidad Diego Portales</t>
  </si>
  <si>
    <t>10.no tiene doi. https://nucleodisca.cl/cms/wp-content/uploads/2024/12/libro-discapacidad-en-chile-web.pdf</t>
  </si>
  <si>
    <t>2024-07-20 00:00:00.000</t>
  </si>
  <si>
    <t>Making Personal Networks with a Computer: Lessons from the Field using Vennmaker</t>
  </si>
  <si>
    <t xml:space="preserve">Fradejas-García, I. &amp; Ortiz Ruiz, F. </t>
  </si>
  <si>
    <t>Connections</t>
  </si>
  <si>
    <t>0226-1766</t>
  </si>
  <si>
    <t>10.21307/connections-2019.036</t>
  </si>
  <si>
    <t>Enhancement of cardiac and respiratory sounds for cellphone reproduction by means of digital sound processing methods</t>
  </si>
  <si>
    <t>Echenique, M. B., Godoy, E. J., Cádiz, R. F. &amp; Andia, M. E.</t>
  </si>
  <si>
    <t>Personal and Ubiquitous Computing</t>
  </si>
  <si>
    <t>1617-4909</t>
  </si>
  <si>
    <t>Mental Health of Parents of Children and Adolescents with Intellectual Disabilities: Characterization and Its Relationship with Parenting, Behaviors, and the Mental Health of Their Children</t>
  </si>
  <si>
    <t>Arango, P., Tenorio, M., &amp; Aparicio, A.</t>
  </si>
  <si>
    <t>Psykhe</t>
  </si>
  <si>
    <t>0718-2228</t>
  </si>
  <si>
    <t>10.7764/psykhe.2024.SCP86342</t>
  </si>
  <si>
    <t>Research and Feminist Activism on Disability in Latin American Academia</t>
  </si>
  <si>
    <t>López Radrigán, C., &amp; Tenorio Delgado, M.</t>
  </si>
  <si>
    <t>10.7764/psykhe.2024.SCP86094</t>
  </si>
  <si>
    <t>Care: Following the Micropolitics of Pathologization and Depathologization of Children.</t>
  </si>
  <si>
    <t>Rojas-Navarro, S., Alarcón-Arcos, S. &amp; Tabilo-Prieto, I.</t>
  </si>
  <si>
    <t xml:space="preserve">Machin Suarez, R. (eds) Pathologisation, Depathologisation and Mental Health. Palgrave Macmillan, Cham. </t>
  </si>
  <si>
    <t>Print ISBN 978-3-031-70042-2</t>
  </si>
  <si>
    <t>10.1007/978-3-031-70043-9_6</t>
  </si>
  <si>
    <t>BabyMICARE: feasibility test of a support program for families of infants with Down Syndrome</t>
  </si>
  <si>
    <t>de la Barra Pinto, A., Aparicio, A., Arango, P., Sabat, C., Garibaldi, R., &amp; Tenorio, M.</t>
  </si>
  <si>
    <t>10.7764/psykhe.2024.SCP86318</t>
  </si>
  <si>
    <t>Factors Affecting Challenging Behaviors in Children and Adolescents with Intellectual Disabilities in Chile</t>
  </si>
  <si>
    <t>Gatica, F., Guajardo, S., &amp; Arango, P.</t>
  </si>
  <si>
    <t>10.7764/psykhe.2024.SCP86338</t>
  </si>
  <si>
    <t>Knowledge and Experiences of Oral Health Care and Periodontitis of Caregivers of Older Adults With Cognitive Impairment.</t>
  </si>
  <si>
    <t>Prieto, D., Palacios, M., Wainstein, V., Ortuño, D., Mora, S., Chaparro, A. &amp; Pascual, A.</t>
  </si>
  <si>
    <t>Gerodontology</t>
  </si>
  <si>
    <t>0734-0664</t>
  </si>
  <si>
    <t>10.1111/ger.12798</t>
  </si>
  <si>
    <t>2024-08-10 00:00:00.000</t>
  </si>
  <si>
    <t>Sexuality and Ageing in Latin America: A Systematic Review 2017–2021</t>
  </si>
  <si>
    <t>Ortiz Ruiz, F.</t>
  </si>
  <si>
    <t>Ageing International</t>
  </si>
  <si>
    <t>0163-5158</t>
  </si>
  <si>
    <t>10.1007/s12126-024-09571-y</t>
  </si>
  <si>
    <t>Item reduction of the “Support Intensity Scale” for people with intellectual disabilities, using machine learning</t>
  </si>
  <si>
    <t>González-Carrasco, F., Espinosa Parra, F., Álvarez-Aguado, I., Ponce Olguín, S., Vega Córdova, V., &amp; Roselló-Peñaloza, M.</t>
  </si>
  <si>
    <t>British Journal of Learning Disabilities</t>
  </si>
  <si>
    <t>1354-4187</t>
  </si>
  <si>
    <t>10.1111/bld.12616</t>
  </si>
  <si>
    <t>2024-08-26 00:00:00.000</t>
  </si>
  <si>
    <t>Adaptation, testing, and use of the "iSupport for Dementia" program in different countries: a systematic review.</t>
  </si>
  <si>
    <t xml:space="preserve">Corrêa, L., Martins, A. C., Oliveira, D., Barham, E. J., de Souza, F., Trindade, K., Ottaviani, A., Quirino, D., Carrijo G., Machado, A., da Rocha, L.,  de Souza, L., Barros, L., Ferreira, C. &amp; Pavarini, S. </t>
  </si>
  <si>
    <t>Dementia e Neuropsychologia</t>
  </si>
  <si>
    <t>1980-5764</t>
  </si>
  <si>
    <t>10.1590/1980-5764-DN-2023-0097</t>
  </si>
  <si>
    <t>Self-Determination Skills in Adults with Autism Spectrum Disorder in Chilean Context</t>
  </si>
  <si>
    <t>Álvarez-Aguado, I., Vega, V., González-Carrasco, F., Roselló-Peñaloza, M., Farhang, M., &amp; Spencer, H.</t>
  </si>
  <si>
    <t>Siglo Cero</t>
  </si>
  <si>
    <t>0210-1696</t>
  </si>
  <si>
    <t>10.14201/scero.31892</t>
  </si>
  <si>
    <t>Comparing Cost and Acceptability of Two Instruments to Measure Instrumental Activities of Daily Living in Older People in Chile</t>
  </si>
  <si>
    <t>Villalobos-Dintrans, P., Echeverría, A., &amp; Inzunza, C.</t>
  </si>
  <si>
    <t>Gerontology</t>
  </si>
  <si>
    <t>0304-324X</t>
  </si>
  <si>
    <t>10.1159/000541754</t>
  </si>
  <si>
    <t>Quality of life levels in adults with intellectual disabilities from their perceptions and those of other informants</t>
  </si>
  <si>
    <t>Vega, V., Álvarez-Aguado, I., González, F., Espinosa, F., González-Yáñez, M., Spencer, H., Jarpa, M. &amp; Exss, K.</t>
  </si>
  <si>
    <t>Interdisciplinaria Revista de Psicología y Ciencias Afines</t>
  </si>
  <si>
    <t>0325-8203</t>
  </si>
  <si>
    <t>10.16888/interd.2024.41.2.15</t>
  </si>
  <si>
    <t>Recommendations at the central level for the implementation of the National Dementia Plan and the GES for Alzheimer's disease and other dementias. Dementia advisory board 2022 – 2023.</t>
  </si>
  <si>
    <t>Chilean Ministry of Health (MINSAL for its Spanish acronym)</t>
  </si>
  <si>
    <t>Dementia advisory board 2022 – 2023. Ministry of Health.</t>
  </si>
  <si>
    <t>10.no tiene doi https://diprece.minsal.cl/wp-content/uploads/2024/05/2024-Recomendaciones-a-la-autoridad.-Mesa-Asesora-Demencia.pdf</t>
  </si>
  <si>
    <t>Self‐Determination Skills in Ageing Women With Intellectual Disabilities</t>
  </si>
  <si>
    <t>Álvarez-Aguado, I., Vega, V., Roselló-Peñaloza, M., González-Carrasco, F., Farhang, M., Campaña, K., Spencer, H., Muñoz, F. &amp; Álvarez, L.</t>
  </si>
  <si>
    <t>10.1111/bld.12630</t>
  </si>
  <si>
    <t>Representations of older people in migration, care and ageing studies</t>
  </si>
  <si>
    <t>Gonzálvez-Torralbo, H., &amp; da Silva Villar, A.</t>
  </si>
  <si>
    <t xml:space="preserve">Si Somos Americanos. Revista de Estudios Transfronterizos. </t>
  </si>
  <si>
    <t>0718-2910</t>
  </si>
  <si>
    <t>10.61303/07190948.v24i.1163</t>
  </si>
  <si>
    <t>Assessment and Identification Process in Intellectual Disability</t>
  </si>
  <si>
    <t>Tenorio D., M., Arango U., P.S.</t>
  </si>
  <si>
    <t>Valdovinos, M.G. (eds) Intellectual and Developmental Disabilities. Contemporary Clinical Neuroscience. Springer, Cham.</t>
  </si>
  <si>
    <t>Online ISBN 978-3-031-66932-3</t>
  </si>
  <si>
    <t>10.1007/978-3-031-66932-3_1</t>
  </si>
  <si>
    <t>Post-hospitalisation COVID-19 cognitive deficits at one year are global and associated with elevated brain injury markers and grey matter volume reduction.</t>
  </si>
  <si>
    <t>Wood, G. K., Sargent, B. F., Ahmad, Z. U. A., Tharmaratnam, K., Dunai, C., Egbe, F. N., ... &amp; Leek, E. C.</t>
  </si>
  <si>
    <t>Nature Medicine</t>
  </si>
  <si>
    <t>1078-8956</t>
  </si>
  <si>
    <t>10.1038/s41591-024-03309-8</t>
  </si>
  <si>
    <t>‘Five rungs down’: encounters between disabled parents and the medical institution.</t>
  </si>
  <si>
    <t>Herrera, F., Salvo Agoglia, I., Campos Medina, L., &amp; Peralta, C.</t>
  </si>
  <si>
    <t>Disability &amp; Society</t>
  </si>
  <si>
    <t>0968-7599</t>
  </si>
  <si>
    <t>10.1080/09687599.2024.2379335</t>
  </si>
  <si>
    <t>Turnstile politics: practices of care and mobility justice in Santiago’s public transport system</t>
  </si>
  <si>
    <t>Muñoz, D.</t>
  </si>
  <si>
    <t>Mobilities</t>
  </si>
  <si>
    <t>1745-0101</t>
  </si>
  <si>
    <t>10.1080/17450101.2024.2380824</t>
  </si>
  <si>
    <t>Social Networks in Ibero-America: promoting collaborations and new studies</t>
  </si>
  <si>
    <t>Ortiz-Ruiz, F. &amp; de Miguel-Luken, V.</t>
  </si>
  <si>
    <t>REDES</t>
  </si>
  <si>
    <t>2385-4626</t>
  </si>
  <si>
    <t>10.5565/rev/redes.1100</t>
  </si>
  <si>
    <t>Factors associated with loneliness in Latin-American family care partners during the COVID-19 pandemic</t>
  </si>
  <si>
    <t>Leon, T., Tapia-Munoz, T., Slachevsky, A., Beber, BC., Aguzzoli, F., Nubia, C., Vilar-Compte, M., Gaitan-Rossi, P., Olavarria, L., Castro, L., Pinto, A., Guajardo, T., Grycuk, RE., Chen, Y., Leroi, I., Lawlor, B., Duran-Aniotz, C., O’ Sullivan, R. &amp; Miranda-Castillo, C.</t>
  </si>
  <si>
    <t>Frontiers in Psychiatry</t>
  </si>
  <si>
    <t>1664-0640</t>
  </si>
  <si>
    <t>10.3389/fpsyt.2024.1286141</t>
  </si>
  <si>
    <t>Old Age, Aging, and Disability: Perspectives and Challenges from Intersectionality</t>
  </si>
  <si>
    <t>Rosell, J. &amp; Ortiz, F.</t>
  </si>
  <si>
    <t>P. Fuica, J. Maluenda, &amp; F. Moraga (Eds.), Inclusión de Personas en Situación de Discapacidad. Una aproximación desde la interseccionalidad. Universidad Tecnológica OTEIMA.</t>
  </si>
  <si>
    <t>ISBN 978-9962-8517-4-5</t>
  </si>
  <si>
    <t>10.61209/LSFV9255</t>
  </si>
  <si>
    <t>Factors Affecting the Mental Health of Mothers and Fathers of Children and Adolescents with Intellectual Disabilities in Chile</t>
  </si>
  <si>
    <t>Guajardo González, S., Guerra Villacís, S., &amp; Arango, P. </t>
  </si>
  <si>
    <t>10.7764/psykhe.2023.SCP74441</t>
  </si>
  <si>
    <t>Educational Gerontechnology: Toward a Comprehensive Model for the Education of Digital Technologies for Older Adults</t>
  </si>
  <si>
    <t xml:space="preserve">Rosell, J., Sepúlveda-Caro, S. &amp; Bustamante, F. </t>
  </si>
  <si>
    <t>Gao, Q., Zhou, J. (eds) Human Aspects of IT for the Aged Population. HCII 2024. Lecture Notes in Computer Science. Springer, Cham.</t>
  </si>
  <si>
    <t>ISBN 978-3-031-61542-9</t>
  </si>
  <si>
    <t>10.1007/978-3-031-61543-6_20</t>
  </si>
  <si>
    <t>Spirituality in mothers: how does it influence the care they provide to children with complex chronic diseases?</t>
  </si>
  <si>
    <t>Vega Vega, P., Miranda Castillo, C. &amp; Urrutia, M.</t>
  </si>
  <si>
    <t>Paraninfo Digital</t>
  </si>
  <si>
    <t>e39066o</t>
  </si>
  <si>
    <t>1988-3439</t>
  </si>
  <si>
    <t>10.no tiene doi. https://ciberindex.com/c/pd/e39066o</t>
  </si>
  <si>
    <t>Gyneco-obstetric violence and its impact on the mental health of women with disabilities: a case study in Chile</t>
  </si>
  <si>
    <t>Rodríguez-Garrido, P., Yupanqui-Concha, A., &amp; Valenzuela-Contreras, C.</t>
  </si>
  <si>
    <t>Journal of Gender Studies</t>
  </si>
  <si>
    <t>0958-9236</t>
  </si>
  <si>
    <t>10.1080/09589236.2024.2366960</t>
  </si>
  <si>
    <t>The Case for Universal Long-Term Care</t>
  </si>
  <si>
    <t>Villalobos Dintrans, P.</t>
  </si>
  <si>
    <t>Journal of the American Medical Directors Association</t>
  </si>
  <si>
    <t>1525-8610</t>
  </si>
  <si>
    <t>10.1016/j.jamda.2024.105102</t>
  </si>
  <si>
    <t>Prevalence of frailty in the different regions of Chile: A cross-sectional analysis of the National Health Survey 2016-2017</t>
  </si>
  <si>
    <t>Troncoso-Pantoja, C., Díaz-Toro, F., Petermann-Rocha, F., Celis-Morales, C., Concha-Cisternas, Y., Nazar, G., Leiva-Ordoñez, A. M., Martinez-Sanguinetti, M. A., &amp; Cigarroa, I.</t>
  </si>
  <si>
    <t>Revista Médica De Chile</t>
  </si>
  <si>
    <t>0034-9887</t>
  </si>
  <si>
    <t>Factors associated with the perception of loneliness among older people living in the community</t>
  </si>
  <si>
    <t xml:space="preserve">Araya, A.-X., &amp; Iriarte, E. </t>
  </si>
  <si>
    <t xml:space="preserve">0034-9887 </t>
  </si>
  <si>
    <t>Gender differences in life expectancy free of depressive symptoms in Chile between 2003 and 2016</t>
  </si>
  <si>
    <t>Moreno, X., Monsalves, MJ., Rueda, S., Dagnino, P. &amp; Borghero, F.</t>
  </si>
  <si>
    <t>Cambridge Prisms: Global Mental Health</t>
  </si>
  <si>
    <t>e16</t>
  </si>
  <si>
    <t>2054-4251</t>
  </si>
  <si>
    <t>10.1017/gmh.2024.9</t>
  </si>
  <si>
    <t>Book review: The Impact of the COVID-19 Outbreak on Informal Carers across Europe – Final Report</t>
  </si>
  <si>
    <t>Rosell, J.</t>
  </si>
  <si>
    <t>International Journal of Care and Caring</t>
  </si>
  <si>
    <t>2397-8821</t>
  </si>
  <si>
    <t>10.1332/239788224X17047161316260</t>
  </si>
  <si>
    <t>Factors Related to the Need for Informal Care Among Community-Dwelling Older Adults in Chile</t>
  </si>
  <si>
    <t>Araya, A-X., Iriarte, E., De Oliveira, G., Baeza, M. &amp; Jankowski, C.</t>
  </si>
  <si>
    <t>Journal of Gerontological Nursing</t>
  </si>
  <si>
    <t>0098-9134</t>
  </si>
  <si>
    <t>10.3928/00989134-20240111-01</t>
  </si>
  <si>
    <t>Key considerations in the process of assent in children and adolescents: an integrative review</t>
  </si>
  <si>
    <t>Vega Vega, P., Miranda Castillo, C. &amp; Vargas, I.</t>
  </si>
  <si>
    <t>Andes Pediatrica Revista Chilena de Pediatría</t>
  </si>
  <si>
    <t>2452-6053</t>
  </si>
  <si>
    <t>10.32641/andespediatr.v95i1.4968</t>
  </si>
  <si>
    <t xml:space="preserve">Care and social support networks of older people from a mixed methods approach </t>
  </si>
  <si>
    <t xml:space="preserve">Ortiz, F. </t>
  </si>
  <si>
    <t>Latin American Research Network on Ageing of the Oxford Institute of Population Ageing (LARNA)</t>
  </si>
  <si>
    <t>2754-0049</t>
  </si>
  <si>
    <t>10.no tiene doi. https://www.ageing.ox.ac.uk/download/342</t>
  </si>
  <si>
    <t>The impact of COVID-19 on deaths from dementia and Alzheimer’s disease in Chile: an analysis of panel data for 16 regions, 2017–2022</t>
  </si>
  <si>
    <t>Barría-Sandoval, C., Ferreira, G., Navarrete, JP. &amp; Farhang, M.</t>
  </si>
  <si>
    <t>The Lancet Regional Health - Americas</t>
  </si>
  <si>
    <t>10.1016/j.lana.2024.100726</t>
  </si>
  <si>
    <t>Early Interactions in Babies with Typical Development and Down Syndrome: Comparison and Possible Implications for Development</t>
  </si>
  <si>
    <t>de la Barra Pinto, A., Garibaldi Briones, R., &amp; Tenorio Delgado, M.</t>
  </si>
  <si>
    <t>10.7764/psykhe.2023.SCP74375</t>
  </si>
  <si>
    <t>The Parenting of Girls, Boys, and Adolescents with Intellectual Disabilities: Its Relationship with Parental Mental Health and Challenging Behaviors in the Child</t>
  </si>
  <si>
    <t>Arango Uribe, P. S.</t>
  </si>
  <si>
    <t>10.7764/psykhe.2023.SCP74437</t>
  </si>
  <si>
    <t>Parenting Styles and Attitudes of Parents with Children with Intellectual Disabilities and Typical Development: Similarities, Differences, and Their Relationship with Adaptive Behavior</t>
  </si>
  <si>
    <t>Sabat, C., &amp; Arango, P. </t>
  </si>
  <si>
    <t>10.7764/psykhe.2023.SCP75659</t>
  </si>
  <si>
    <t>The Role of Digital Leisure and Entertainment in the Mental Health of Older Adults in Contexts of Social Crisis: The Case of the Social Outbreak in Chile</t>
  </si>
  <si>
    <t>Rosell, J., Vergés, A., &amp; Miranda-Castillo, C.</t>
  </si>
  <si>
    <t>Global Health Promotion</t>
  </si>
  <si>
    <t>1757-9759</t>
  </si>
  <si>
    <t>10.1177/17579759241232867</t>
  </si>
  <si>
    <t>Self-perceived stigma in Chilean adolescents with intellectual disability</t>
  </si>
  <si>
    <t>Tenorio, M., Arango, P., Aparicio, A., Reyes, C., Ali, A. &amp; Hassiotis, A.</t>
  </si>
  <si>
    <t>Journal of Policy and Practice in Intellectual Disabilities</t>
  </si>
  <si>
    <t>e12510</t>
  </si>
  <si>
    <t>1741-1122</t>
  </si>
  <si>
    <t>10.1111/jppi.12510</t>
  </si>
  <si>
    <t>Early integration of palliative care; implications for people with chronic diseases</t>
  </si>
  <si>
    <t>Vega Vega, P.A., González Briones, R., López Ramírez, M. &amp; Miranda-Castillo, C.</t>
  </si>
  <si>
    <t>Exploring the Support Needs of Adults with Intellectual Disabilities or Developmental Disabilities in Chile</t>
  </si>
  <si>
    <t>Vega, V., González‑Carrasco, F., Álvarez‑Aguado,I. &amp; Spencer, H.</t>
  </si>
  <si>
    <t>Pedagogia i Treball Social (PTS)</t>
  </si>
  <si>
    <t>2013-9063</t>
  </si>
  <si>
    <t>10.33115/udg_bib/pts.v13i1.23010</t>
  </si>
  <si>
    <t xml:space="preserve">Farhang M, Álvarez-Aguado I, Celis Correa J, Toffoletto MC, Rosello-Peñaloza M &amp; Miranda-Castillo C. </t>
  </si>
  <si>
    <t>Nursing staff’s attitudes towards the prevention of adverse events among hospitalized people with dementia: Protocol of qualitative systematic review and evidence synthesis.</t>
  </si>
  <si>
    <t>Catalán L., Pot A.M., Pepper A., Harrison K., Oliveira D.</t>
  </si>
  <si>
    <t>PLoS One</t>
  </si>
  <si>
    <t>e0301651</t>
  </si>
  <si>
    <t>10.1371/journal.pone.0301651</t>
  </si>
  <si>
    <t>Walking to Prevent Fear of Falling Among Community-Dwelling Older Adults: A Scoping Review</t>
  </si>
  <si>
    <t>Iriarte, E. &amp; Araya, A.X.</t>
  </si>
  <si>
    <t>10.3928/00989134-20231211-02</t>
  </si>
  <si>
    <t>Multidimensional Frailty, Quality of Life and Self-Management in Aging Hispanics Living With HIV</t>
  </si>
  <si>
    <t>Iriarte, E., Cianelli, R., De Santis, J. P., Alamian, A., Castro, J. G., Matsuda, Y., &amp; Araya, A.-X.</t>
  </si>
  <si>
    <t>Journal of Applied Gerontology</t>
  </si>
  <si>
    <t>0733-4648</t>
  </si>
  <si>
    <t>10.1177/07334648231211743</t>
  </si>
  <si>
    <t>P39: Predictors of loneliness in Chilean informal caregivers of people with dementia during the COVID-19 pandemic</t>
  </si>
  <si>
    <t>Miranda-Castillo, C., Valenzuela, M., Slachevsky, A., Thumala, D., Olavarría, L., Pinto, A.,  Lema, J. &amp; Gajardo, B.</t>
  </si>
  <si>
    <t>International Psychogeriatrics</t>
  </si>
  <si>
    <t>S1</t>
  </si>
  <si>
    <t>1041-6102</t>
  </si>
  <si>
    <t>10.1017/S104161022300399X</t>
  </si>
  <si>
    <t>Consequences of caring for the physical health, mental health and subjective well-being of Chilean older adults</t>
  </si>
  <si>
    <t xml:space="preserve">Fernández, M. B., Miranda-Castillo, C., Rosell, J., &amp; Herrera, M. S. </t>
  </si>
  <si>
    <t> International Journal of Care and Caring</t>
  </si>
  <si>
    <t>10.1332/23978821Y2024D000000026</t>
  </si>
  <si>
    <t>Spectralities of ADHD: hauntological diagnosis amidst agency, politics and pedagogies</t>
  </si>
  <si>
    <t>Rojas-Navarro, S., Alarcón-Arcos, S., &amp; Tabilo-Prieto, I.</t>
  </si>
  <si>
    <t>Health Sociology Review</t>
  </si>
  <si>
    <t>1446-1242</t>
  </si>
  <si>
    <t>10.1080/14461242.2024.2316736</t>
  </si>
  <si>
    <t>Predictive ability of both the healthy aging index and the frailty index for all-cause mortality</t>
  </si>
  <si>
    <t>Diaz-Toro, F., Nazar, G., Araya, AX. &amp; Petermann-Rocha, F.</t>
  </si>
  <si>
    <t>GeroScience</t>
  </si>
  <si>
    <t>2509-2715</t>
  </si>
  <si>
    <t>10.1007/s11357-024-01097-0</t>
  </si>
  <si>
    <t>Measuring quality of life of adults with intellectual disabilities: Psychometric evaluation of the personal outcomes scale in the United Kingdom</t>
  </si>
  <si>
    <t xml:space="preserve">Buxton, H., Gomes, M., Gafoor, R., Taylor, Z., &amp; Totsika, V. </t>
  </si>
  <si>
    <t>Journal of Applied Research in Intellectual Disabilities</t>
  </si>
  <si>
    <t>e13189</t>
  </si>
  <si>
    <t>1360-2322</t>
  </si>
  <si>
    <t>10.1111/jar.13189</t>
  </si>
  <si>
    <t>The easy-to-read format as a tool for access to justice for people with intellectual and developmental disabilities in Latin America</t>
  </si>
  <si>
    <t>Tenorio, M.</t>
  </si>
  <si>
    <t>Espejo Yaksic, N. &amp; Alsina Naudi, A. (Eds.). El acceso a una justicia adaptada. Experiencias desde América Latina. Tirant lo Blanch.</t>
  </si>
  <si>
    <t>ISBN 978-84-1197-973-3</t>
  </si>
  <si>
    <t>10.no tiene doi. https://www.sitios.scjn.gob.mx/cec/sites/default/files/publication/documents/2024-02/Tenorio_La%20lectura%20fa%CC%81cil%20como%20herramienta%20para%20el%20acceso%20a%20la%20justicia_El%20acceso%20a%20una%20justicia%20adaptada.pdf</t>
  </si>
  <si>
    <t>Without Detection, Without Reporting, and Without Process: The Violation of Rights of Children with Intellectual Disabilities in Chile</t>
  </si>
  <si>
    <t>Tenorio, M., &amp; Fuentes, A.</t>
  </si>
  <si>
    <t>10.61209/ESRU8667</t>
  </si>
  <si>
    <t>Disability and Gender: Advances and Regulatory Challenges in Sexual and Reproductive Matters in Chile</t>
  </si>
  <si>
    <t>López-Radrigán, C. </t>
  </si>
  <si>
    <t xml:space="preserve">10.61209/TYCD6177 </t>
  </si>
  <si>
    <t>Strategies to promote dignified and feminist academia: some collaborative reflections from Chile</t>
  </si>
  <si>
    <t>Ortiz, F., Mendoza-Horvitz, M., Sepúlveda, D., Cubillos, J., González Madariaga, V., Jofré Poblete, N., Moyano Dávila, C., Rodríguez-Garrido, P., Samit Oroz, S., Soto, F. &amp; Vásquez, I.</t>
  </si>
  <si>
    <t>Feminist Review</t>
  </si>
  <si>
    <t>0141-7789</t>
  </si>
  <si>
    <t>10.1177/01417789231221748</t>
  </si>
  <si>
    <t>Digital Divide and Older People: Thoughts from the Professionals in Peñalolén (Santiago, Chile)</t>
  </si>
  <si>
    <t>Gonzálvez-Torralbo, H., Ortiz-Ruiz, F., Bravo-Rojas, C.</t>
  </si>
  <si>
    <t>10.7764/psykhe.2022.54701</t>
  </si>
  <si>
    <t>‘Who am I to Write This?’: An Approach to the Field of Feminist Disability Studies in Latin America</t>
  </si>
  <si>
    <t>López Radrigán, C. &amp; Herrera, MF.</t>
  </si>
  <si>
    <t>T. Chataika &amp; D. Goodley (Eds.). The Routledge Handbook of Postcolonial Disability Studies.</t>
  </si>
  <si>
    <t>ISBN 9781032316499</t>
  </si>
  <si>
    <t>10.4324/9781003310709</t>
  </si>
  <si>
    <t>How Do Attitudes of Adult Children Toward Long-Term Care Change with Education? International Evidence</t>
  </si>
  <si>
    <t>Ozbugday, F. C., Tirgil, A., &amp; Villalobos Dintrans, P.</t>
  </si>
  <si>
    <t>Journal of Aging &amp; Social Policy</t>
  </si>
  <si>
    <t>0895-9420</t>
  </si>
  <si>
    <t>10.1080/08959420.2024.2348965</t>
  </si>
  <si>
    <t>Dementia, disability, and global health</t>
  </si>
  <si>
    <t>Oliveira, D., Taylor, D., Taylor, E., Jacobs, R., Mateus, E., Musyimi, C., Mutunga, E. &amp; Schneider, M.</t>
  </si>
  <si>
    <t>Ned, L., Rivas Velarde, M., Singh, S., Swartz, L., &amp; Soldatić, K. (Eds.).The Routledge International Handbook of Disability and Global Health.</t>
  </si>
  <si>
    <t>eBook ISBN9781003228059</t>
  </si>
  <si>
    <t>10.4324/9781003228059</t>
  </si>
  <si>
    <t>Old age and public policies in Latin America: A literature review</t>
  </si>
  <si>
    <t xml:space="preserve">da Silva, A., Caro, S. &amp; Gonzálvez Torralbo, H. </t>
  </si>
  <si>
    <t>Perfiles Latinoamericanos</t>
  </si>
  <si>
    <t>0188-7653</t>
  </si>
  <si>
    <t>10.18504/pl3263-007-2024</t>
  </si>
  <si>
    <t>Ethical issues in research with second victims: A scoping review</t>
  </si>
  <si>
    <t>Catalán L, Kappes M, Morgado G, Oliveira D.</t>
  </si>
  <si>
    <t>Nursing Ethics</t>
  </si>
  <si>
    <t>0969-7330</t>
  </si>
  <si>
    <t>10.1177/09697330241238345</t>
  </si>
  <si>
    <t>2024-05-22 00:00:00.000</t>
  </si>
  <si>
    <t>Gender inequalities during a global pandemic: The link between female solo self-employment, informality, caregiving responsibilities, and quality of life 1 year after the Covid-19 pandemic</t>
  </si>
  <si>
    <t>Inostroza, M. A. &amp; Sepúlveda, J.</t>
  </si>
  <si>
    <t>Latin American Policy</t>
  </si>
  <si>
    <t>2041-7365</t>
  </si>
  <si>
    <t>10.1111/lamp.12341</t>
  </si>
  <si>
    <t>Interaction and Design Barriers for Older Adults in Food Delivery Apps: A Usability Study</t>
  </si>
  <si>
    <t>Juliá-Nehme, B., &amp; Rosell, J.</t>
  </si>
  <si>
    <t>International Journal of Human-Computer Interaction</t>
  </si>
  <si>
    <t>1044-7318</t>
  </si>
  <si>
    <t>10.1080/10447318.2024.2365484</t>
  </si>
  <si>
    <t>Baby MICARE Intervention Manual for Professionals</t>
  </si>
  <si>
    <t xml:space="preserve">Sabat, C., Pieper, C., Garibaldi, R., Arango, P. &amp; Tenorio, M. </t>
  </si>
  <si>
    <t>Millennium Institute for Care Research, MICARE.</t>
  </si>
  <si>
    <t>https://figshare.com/articles/book/Manual_BabyMICARE_2024_/27161679</t>
  </si>
  <si>
    <t>10.6084/m9.figshare.27161679</t>
  </si>
  <si>
    <t>Long-Term Care Needs Assessment: From Frameworks to Practice.</t>
  </si>
  <si>
    <t>Villalobos, P.</t>
  </si>
  <si>
    <t>10.1016/j.jamda.2024.105409</t>
  </si>
  <si>
    <t>Depressive symptoms and self-rated health among Brazilian older adults: baseline data from the ELSI-Brazil study</t>
  </si>
  <si>
    <t xml:space="preserve">Ito, NT., Oliveira, D., Rodrigues, FMS., Castro-Costa, E., Lima-Costa, MF. &amp; Ferri, CP. </t>
  </si>
  <si>
    <t>Brazilian Journal of Psychiatry</t>
  </si>
  <si>
    <t>e20233331</t>
  </si>
  <si>
    <t>1516-4446</t>
  </si>
  <si>
    <t>10.47626/1516-4446-2023-3331</t>
  </si>
  <si>
    <t>Development of a Questionnaire to Assess Self-Stigma in People with Early-Stage Dementia Related to Alzheimer's Disease</t>
  </si>
  <si>
    <t>Gajardo-Jauregui, J. A., Alvarado, R., &amp; Slachevsky, A.</t>
  </si>
  <si>
    <t>Horizonte de Enfermería</t>
  </si>
  <si>
    <t>0719-6946</t>
  </si>
  <si>
    <t>10.7764/Horiz_Enferm.3.3.1081-1099</t>
  </si>
  <si>
    <t>Prevention of violence in child protection work. Practical guide against violence towards specialized protection workers.</t>
  </si>
  <si>
    <t>Díaz, D. &amp; Calderón, M.</t>
  </si>
  <si>
    <t>Mutual de Seguridad CChC</t>
  </si>
  <si>
    <t>10.no tiene doi https://corporacionccm.cl/wp-content/uploads/2024/07/Guia-de-prevencion-de-la-violencia-tipo-II.pdf</t>
  </si>
  <si>
    <t>2024-12-18 00:00:00.000</t>
  </si>
  <si>
    <t>Women with disabilities and the loss of custody of their children: “Carers, but not mothers”</t>
  </si>
  <si>
    <t>Rodríguez-Garrido, P., Herrera, F., Yupanqui-Concha, A., Rojas, A., &amp; Hichins-Arismendi, M.</t>
  </si>
  <si>
    <t>Feminism &amp; Psychology</t>
  </si>
  <si>
    <t>0959-3535</t>
  </si>
  <si>
    <t>10.1177/09593535241294149</t>
  </si>
  <si>
    <t>Toolkits for accessible participation: The case of pix as a universal co-design tool.</t>
  </si>
  <si>
    <t>Exss Cid, K. E., Spencer González, H., Vega Córdova, V., Jarpa Azagra, M., Álvarez-Aguado, I., Muñoz Araya, R., &amp; Alcavil Vega, A.</t>
  </si>
  <si>
    <t>Revista 180</t>
  </si>
  <si>
    <t>0718 - 2309</t>
  </si>
  <si>
    <t>10.32995/rev180.Num-54.(2024).art-1333</t>
  </si>
  <si>
    <t>Psychological changes in older people and the role of primary care</t>
  </si>
  <si>
    <t>Tapia, T. &amp; Miranda-Castillo, C.</t>
  </si>
  <si>
    <t>Jiménez, JP; Acuña, J &amp; Botto, A (Eds) Salud Mental y Psiquiatría en la práctica de Atención Primaria de Salud. Editorial Catalonia.</t>
  </si>
  <si>
    <t>ISBN digital: 978-956-415-083-3</t>
  </si>
  <si>
    <t>10.no tiene doi https://drive.google.com/file/d/1kYCmivFQZMO5eBKJoDBQQrPtGl9MnZwW/view</t>
  </si>
  <si>
    <t>P26: Variables associated with having psychosocial and healthcare needs among unpaid carers in Chile: Data from the National Disability and Care Dependence Survey (ENDIDE) 2022</t>
  </si>
  <si>
    <t>Oliveira, D., Miranda-Castillo, C., Araya, A.-X., &amp; Diaz, F.</t>
  </si>
  <si>
    <t>10.1017/S1041610224002096</t>
  </si>
  <si>
    <t>P9: Preventable adverse events and related outcomes among people with dementia in hospital settings: Scoping review</t>
  </si>
  <si>
    <t>Catalán, L., &amp; Oliveira, D.</t>
  </si>
  <si>
    <t>10.1017/S1041610224002436</t>
  </si>
  <si>
    <t>P25: Effects of iSupport for reducing burden and improving the mental health of informal caregivers of people living with dementia in Brazil: Results of a randomized controlled trial</t>
  </si>
  <si>
    <t>da Rocha, L. A., Iost Pavarini, S. C., Ottaviani, A. C., Monteiro, D. Q., Campos, C. R. F., Corrêa, L., … Oliveira, D.</t>
  </si>
  <si>
    <t>10.1017/S1041610224002084</t>
  </si>
  <si>
    <t>P24: Quality of life of family carers of people living with dementia: Review of systematic reviews of observational and intervention studies.</t>
  </si>
  <si>
    <t>Oliveira, D., da Mata, F. A. F., &amp; Aubeeluck, A.</t>
  </si>
  <si>
    <t>10.1017/S1041610224002072</t>
  </si>
  <si>
    <t>FC24: Discrimination and Stigma Scale Ultra Short for People Living with Dementia (DISCUS- Dementia): Development and Psychometric Validation.</t>
  </si>
  <si>
    <t>Bhatt, J., Brohan, E., Blasco, D., Oliveira, D., Bakolis, I., Comas-Herrera, A., … Evans-Lacko, S.</t>
  </si>
  <si>
    <t>10.1017/S1041610224001467</t>
  </si>
  <si>
    <t>FC23: Impact of a co-designed older carer mental and physical health service in Australia: Preliminary results of a pilot study</t>
  </si>
  <si>
    <t xml:space="preserve">Lalor, A., Hill, K., Slatyer, S., Bryant, C., Licciardi, L., Bitaxis, V., Gillard, A., Wright, S., Botero, P., Layton, N., Lee, A., Cash, B., Brusco, N., Khushu, A., Oliveira, D., Burton, E., &amp; Allen, J. </t>
  </si>
  <si>
    <t>10.1017/S1041610224001455</t>
  </si>
  <si>
    <t>Instituto Milenio para la Investigación en Depresión y Personalidad</t>
  </si>
  <si>
    <t xml:space="preserve">Rojas-Saffie JP, García-Matte N, Silva-Beyer V. </t>
  </si>
  <si>
    <t>New Ideas in Psychology</t>
  </si>
  <si>
    <t>0732-118X</t>
  </si>
  <si>
    <t>10.1016/j.newideapsych.2024.101096</t>
  </si>
  <si>
    <t xml:space="preserve">How Dangerous? Substance Use Risk Perceptions in Chilean Preadolescents. </t>
  </si>
  <si>
    <t xml:space="preserve">Sable, L., Vidal, J., Estrada-Goic, C., &amp; Cárcamo, R. A. </t>
  </si>
  <si>
    <t>The Journal of Genetic Psychology</t>
  </si>
  <si>
    <t>0022-1325</t>
  </si>
  <si>
    <t>10.1080/00221325.2024.2386010</t>
  </si>
  <si>
    <t>International Journal of Mental Health Nursing</t>
  </si>
  <si>
    <t xml:space="preserve">1445-8330 </t>
  </si>
  <si>
    <t xml:space="preserve">Aumentación tecnológica y formulación de caso en el contexto de una psicoterapia de precisión. </t>
  </si>
  <si>
    <t xml:space="preserve">En Quiñones Bergeret Á. T. &amp; Caro García C. (Eds.). Formulación de caso: hacia una psicoterapia de precisión. Editorial UNED. </t>
  </si>
  <si>
    <t>ISBN Papel: 9788436279733</t>
  </si>
  <si>
    <t>https://www.researchgate.net/publication/384144664</t>
  </si>
  <si>
    <t xml:space="preserve">Álvarez-Aguado, I., Vega, V., González-Carrasco, F., Roselló-Peñaloza, M., Farhang, M., &amp; Spencer, H. </t>
  </si>
  <si>
    <t xml:space="preserve">2530-0350 </t>
  </si>
  <si>
    <t>School Violence, School Bonding and Adherence to School Norms and its Association with Life Satisfaction Among Chilean and Foreign Students.</t>
  </si>
  <si>
    <t xml:space="preserve">Varela, J.J., González, C., Bravo-Sanzana, M. et al. </t>
  </si>
  <si>
    <t xml:space="preserve">Child Indicators Research </t>
  </si>
  <si>
    <t xml:space="preserve">1874-897X </t>
  </si>
  <si>
    <t>10.1007/s12187-023-10075-5</t>
  </si>
  <si>
    <t xml:space="preserve">Entrenamiento en Formulación de Casos en Psicoterapia a través de Inteligencia Artificial Generativa. </t>
  </si>
  <si>
    <t xml:space="preserve">Concha Aqueveque, F. </t>
  </si>
  <si>
    <t>Revista de Psicoterapia</t>
  </si>
  <si>
    <t xml:space="preserve">1130-5142 </t>
  </si>
  <si>
    <t>10.5944/rdp.v35i127.37798</t>
  </si>
  <si>
    <t>Effect of low dose Semaglutide in people with Type 1 Diabetes and excess weight.</t>
  </si>
  <si>
    <t xml:space="preserve">Grassi, B. A., Onetto, M.T., Sánchez, C., Tapia, N., &amp; Mena, F. </t>
  </si>
  <si>
    <t>Diabetes Research and Clinical Practice</t>
  </si>
  <si>
    <t>0168-8227</t>
  </si>
  <si>
    <t>10.1016/j.diabres.2024.111593</t>
  </si>
  <si>
    <t xml:space="preserve">The efficacy of psychotherapy for social anxiety disorder, a systematic review and meta-analysis. </t>
  </si>
  <si>
    <t xml:space="preserve">de Ponti, N., Matbouriahi, M., Franco, P., Harrer, M., Miguel, C., Papola, D., Sicimoğlu, A., Cuijpers, P., &amp; Karyotaki, E. </t>
  </si>
  <si>
    <t>Journal of Anxiety Disorders</t>
  </si>
  <si>
    <t>0887-6185</t>
  </si>
  <si>
    <t>10.1016/j.janxdis.2024.102881</t>
  </si>
  <si>
    <t>Experiencia de acompañamiento biopsicosocial al recién nacido hospitalizado y su familia antes y durante la pandemia por COVID-19</t>
  </si>
  <si>
    <t>Revista Médica Clínica Las Condes</t>
  </si>
  <si>
    <t>10.1016/j.rmclc.2024.08.003</t>
  </si>
  <si>
    <t xml:space="preserve">High affective temperamental load as a clinical marker of bipolar disorder: applications in low-resource settings. </t>
  </si>
  <si>
    <t>International Journal of Mental Health</t>
  </si>
  <si>
    <t>10.1080/00207411.2024.2406971</t>
  </si>
  <si>
    <t xml:space="preserve">Grasso-Cladera, A., Costa-Cordella, S., Mattoli-Sánchez, J., Vilina, E., Santander, V., Hiltner, S. E., &amp; Parada, F. J. </t>
  </si>
  <si>
    <t>Social Neuroscience</t>
  </si>
  <si>
    <t>10.1080/17470919.2024.2409758</t>
  </si>
  <si>
    <t xml:space="preserve">Costa-Cordella, S., &amp; Luyten, P. </t>
  </si>
  <si>
    <t>Journal of Infant, Child, and Adolescent Psychotherapy</t>
  </si>
  <si>
    <t xml:space="preserve">1528-9168 </t>
  </si>
  <si>
    <t>10.1080/15289168.2024.2344397</t>
  </si>
  <si>
    <t xml:space="preserve">The Future of Psychotherapy Research and Neuroscience: Introducing the 4E/MoBI Approach to the Study of Patient–Therapist Interaction. </t>
  </si>
  <si>
    <t xml:space="preserve">Costa-Cordella, S., Grasso-Cladera, A., &amp; Parada, F. J. </t>
  </si>
  <si>
    <t>Review of General Psychology</t>
  </si>
  <si>
    <t xml:space="preserve">1089-2680 </t>
  </si>
  <si>
    <t>10.1177/10892680231224399</t>
  </si>
  <si>
    <t xml:space="preserve">Aproximación 4E/MoBI en práctica: Implicancias para la psicología y la psiquiatría. </t>
  </si>
  <si>
    <t xml:space="preserve">Boehm, S., Grasso-Cladera, A., Reardon, E., Costa-Cordella, S., &amp; Parada, F. </t>
  </si>
  <si>
    <t xml:space="preserve">Andamios, Revista de Investigación Social </t>
  </si>
  <si>
    <t xml:space="preserve">1870-0063 </t>
  </si>
  <si>
    <t>10.29092/uacm.v21i54.1062</t>
  </si>
  <si>
    <t xml:space="preserve">Errázuriz A, Passi Solar A, Beltrán R, Paz C, Evans C, De la Parra G. </t>
  </si>
  <si>
    <t xml:space="preserve">Psychotherapy Research </t>
  </si>
  <si>
    <t>10.1080/10503307.2024.2356195</t>
  </si>
  <si>
    <t xml:space="preserve">Abuse in Chilean Trans and Non-Binary Health Care: Results from a Nationwide Survey. </t>
  </si>
  <si>
    <t xml:space="preserve">Roselló-Peñaloza M, Julio L, Álvarez-Aguado I, Farhang M. </t>
  </si>
  <si>
    <t>Social Sciences</t>
  </si>
  <si>
    <t xml:space="preserve">2076-0760 </t>
  </si>
  <si>
    <t>10.3390/socsci13040228</t>
  </si>
  <si>
    <t xml:space="preserve">Association Between Socioeconomic Position and Depression, Anxiety and Eating Disorders in University Students: A Systematic Review. </t>
  </si>
  <si>
    <t xml:space="preserve">Mac-Ginty, S., Lira, D., Lillo, I. et al. </t>
  </si>
  <si>
    <t xml:space="preserve">Adolescent Research Review </t>
  </si>
  <si>
    <t xml:space="preserve">2363-8346 </t>
  </si>
  <si>
    <t xml:space="preserve">10.1007/s40894-023-00230-y </t>
  </si>
  <si>
    <t xml:space="preserve">Precision Mental Health and Data-Informed Decision Support in Psychological Therapy: An Example. </t>
  </si>
  <si>
    <t xml:space="preserve">Lutz, W., Schaffrath, J., Eberhardt, S. T., Hehlmann, M. I., Schwartz, B., Deisenhofer, A. K., Vehlen, A., Vaccarezza, S., Uhl, J., &amp; Moggia, D. </t>
  </si>
  <si>
    <t>Administration and Policy in Mental Health and Mental Health Services Research</t>
  </si>
  <si>
    <t xml:space="preserve">0894-587X </t>
  </si>
  <si>
    <t>10.1007/s10488-023-01330-6</t>
  </si>
  <si>
    <t>Impact of strength-based video-feedback intervention on maternal sensitivity in mother-infant dyads with maternal depressive symptoms</t>
  </si>
  <si>
    <t xml:space="preserve">Olhaberry M, Morán-Kneer J, Sieverson C, Costa-Cordella S, Muzard A, Honorato C, León MJ, Leyton F. </t>
  </si>
  <si>
    <t xml:space="preserve">0163-9641 </t>
  </si>
  <si>
    <t>10.1002/imhj.22154</t>
  </si>
  <si>
    <t>Editorial.</t>
  </si>
  <si>
    <t xml:space="preserve">Duarte J. </t>
  </si>
  <si>
    <t>2735-695</t>
  </si>
  <si>
    <t xml:space="preserve">https://praxispsy.udp.cl/index.php/praxispsi/issue/view/29/12 </t>
  </si>
  <si>
    <t>Análisis psicométrico de la versión española de la escala de Bienestar Psicológico de Ryff en estudiantes universitarios chilenos.</t>
  </si>
  <si>
    <t xml:space="preserve">Assar, R., Barros, P., &amp; Jimenez, J.P. </t>
  </si>
  <si>
    <t>Revista CES Psicología</t>
  </si>
  <si>
    <t>2011-3080</t>
  </si>
  <si>
    <t>10.21615/cesp.7061</t>
  </si>
  <si>
    <t>In Kandel's footsteps. Epigenetics and therapeutic change.</t>
  </si>
  <si>
    <t>Jiménez JP, Quevedo Y.</t>
  </si>
  <si>
    <t xml:space="preserve">In Gullestad, S.E., Stänicke, E., &amp; Leuzinger-Bohleber, M. (Eds.). (2024). Psychoanalytic Studies of Change: An Integrative Perspective. Routledge. </t>
  </si>
  <si>
    <t>1st ed.</t>
  </si>
  <si>
    <t>ISBN 9781032651934</t>
  </si>
  <si>
    <t xml:space="preserve">10.4324/9781032651934 </t>
  </si>
  <si>
    <t xml:space="preserve">A microanalytic method to investigate psychoanalytic process. In search of the in-between. </t>
  </si>
  <si>
    <t>Altimir C, Jiménez JP.</t>
  </si>
  <si>
    <t xml:space="preserve">In Gullestad, S.E., Stänicke, E., &amp; Leuzinger-Bohleber, M. (Eds.). (2024). Psychoanalytic Studies of Change: An Integrative Perspective (1st ed.). Routledge. </t>
  </si>
  <si>
    <t>eBook ISBN 9781032651934</t>
  </si>
  <si>
    <t>Programa de mindfulness basado en la web para usuarios de atención primaria de salud con malnutrición por exceso (MW- APS).</t>
  </si>
  <si>
    <t>Aravena C y Duarte J.</t>
  </si>
  <si>
    <t>10.32995/praxispsy.v24i40.245</t>
  </si>
  <si>
    <t>Enfermedades y problemas de salud mental: un análisis crítico a los reportes de la relación entre covid-19 y depresión.</t>
  </si>
  <si>
    <t>Cavieres Á, López-Silva P.</t>
  </si>
  <si>
    <t>Revista Chilena de Neuro-Psiquiatría</t>
  </si>
  <si>
    <t>0034-7388</t>
  </si>
  <si>
    <t xml:space="preserve">10.4067/s0717-92272024000100054 </t>
  </si>
  <si>
    <t xml:space="preserve">Barría C, Ferreira G, Navarrete JP, Farhang M. </t>
  </si>
  <si>
    <t>2024-03-28 00:00:00.000</t>
  </si>
  <si>
    <t xml:space="preserve">Parental burnout and coparental cooperation in Chile during lockdown for COVID-19. </t>
  </si>
  <si>
    <t xml:space="preserve">Araya-Rojas, P., Santelices, M. P., Oyarce, D., Escobar, J., &amp; Van Bakel, H. </t>
  </si>
  <si>
    <t>Psychology, Society &amp; Education</t>
  </si>
  <si>
    <t xml:space="preserve">1989-709X </t>
  </si>
  <si>
    <t>10.21071/pse.v16i1.16363</t>
  </si>
  <si>
    <t xml:space="preserve">Rojas-Saffie JP and García-Matte N </t>
  </si>
  <si>
    <t xml:space="preserve">Frontiers in Psychology </t>
  </si>
  <si>
    <t xml:space="preserve">Competencias para el manejo psicoterapéutico de la depresión en contextos institucionales y APS: aprendiendo de la perspectiva de sus protagonistas. </t>
  </si>
  <si>
    <t xml:space="preserve">Zúñiga, A &amp; de la Parra, G &amp; Ferrari, M. </t>
  </si>
  <si>
    <t xml:space="preserve">10.32995/praxispsy.v24i40.252 </t>
  </si>
  <si>
    <t>Input lingüístico de madres y padres y producción lingüística en niños y niñas de 3 años de edad durante el juego.</t>
  </si>
  <si>
    <t xml:space="preserve">Aldoney, D., Mendive, S. M., Zegers, M., Prieto, F. P., y Pérez, C. </t>
  </si>
  <si>
    <t>Revista Iberoamericana de Psicología</t>
  </si>
  <si>
    <t>2027-1786</t>
  </si>
  <si>
    <t>10.33881/2027-1786.rip.17106</t>
  </si>
  <si>
    <t xml:space="preserve">Characterization of Psychopathology in Latin American Adolescents Using a Web-Based Screening Tool: Cross-Sectional Study. </t>
  </si>
  <si>
    <t xml:space="preserve">Campos S, Nuñez D, Pérez JC, Robinson J. </t>
  </si>
  <si>
    <t xml:space="preserve">Journal of Medical Internet Research </t>
  </si>
  <si>
    <t xml:space="preserve">1438-8871 </t>
  </si>
  <si>
    <t xml:space="preserve">Supervisión en una Unidad de Clínica de Adultos de un Centro de Salud Mental Universitario: Un Estudio Cualitativo del Proceso. </t>
  </si>
  <si>
    <t xml:space="preserve">Pérez, J. C, &amp; Saralegui, D. </t>
  </si>
  <si>
    <t>Terapia Psicológica</t>
  </si>
  <si>
    <t>0718-4808</t>
  </si>
  <si>
    <t>10.4067/s0718-48082023000300379</t>
  </si>
  <si>
    <t xml:space="preserve">Fernández, O., Pérez, J.C., Alamo, N., Fernández, S., Franco, P., Coo, S., García, M.I., &amp; Aravena, M. </t>
  </si>
  <si>
    <t xml:space="preserve">2055-2076 </t>
  </si>
  <si>
    <t xml:space="preserve">Paz, C., Fernández-Álvarez, J., Altimir, C., Gonçalves, M., Lutz, W., &amp; Barkham, M. </t>
  </si>
  <si>
    <t xml:space="preserve">Núñez C, Delgadillo J, Barkham M, Behn A. </t>
  </si>
  <si>
    <t>e50</t>
  </si>
  <si>
    <t xml:space="preserve">0924-9338 </t>
  </si>
  <si>
    <t>Violencia intrafamiliar: abordaje integral.</t>
  </si>
  <si>
    <t xml:space="preserve">Álvarez K, Valdebenito L, Crempien C. </t>
  </si>
  <si>
    <t xml:space="preserve">En Jiménez JP, Acuña J, Botto A. (Editores) Salud mental y psiquiatría en la práctica de Atención Primaria de Salud. </t>
  </si>
  <si>
    <t>ISBN: 978-956-415-084-0</t>
  </si>
  <si>
    <t>https://psiquiatriaorienteuchile.cl/descarga-el-e-book-salud-mental-y-psiquiatria-en-la-practica-de-atencion-primaria-de-salud/</t>
  </si>
  <si>
    <t xml:space="preserve">Atención psicológica y psiquiátrica culturalmente competente para el trabajo con pacientes LGBT+. </t>
  </si>
  <si>
    <t xml:space="preserve">Martínez C, Tomicic A, Rodríguez J. </t>
  </si>
  <si>
    <t xml:space="preserve">Cambios psicológicos de las personas mayores y el rol de atención primaria. </t>
  </si>
  <si>
    <t xml:space="preserve">Tapia T, Miranda-Castillo C. </t>
  </si>
  <si>
    <t>Clients’ and therapists’ perspectives on the role of therapists’ values in psychotherapy.</t>
  </si>
  <si>
    <t>Bascuñán, M &amp; Martínez, V &amp; Jiménez, Á.</t>
  </si>
  <si>
    <t xml:space="preserve">10.32995/praxispsy.v24i40.250 </t>
  </si>
  <si>
    <t>Thinking in schizophrenia and the social phenomenology of thought insertion.</t>
  </si>
  <si>
    <t>Philosophical Psychology</t>
  </si>
  <si>
    <t>0951-5089</t>
  </si>
  <si>
    <t>10.1080/09515089.2024.2334720</t>
  </si>
  <si>
    <t xml:space="preserve">Supervisión clínica para estudiantes de psicología: un modelo de competencias psicoterapéuticas genéricas básicas. </t>
  </si>
  <si>
    <t xml:space="preserve">Valdés Sánchez, N; Gómez Gallo, D. </t>
  </si>
  <si>
    <t xml:space="preserve">Ediciones Universidad Santo Tomás. RIL Editores </t>
  </si>
  <si>
    <t xml:space="preserve">ISBN: 978-956-01-1601-7 </t>
  </si>
  <si>
    <t xml:space="preserve">https://www.casiopealibros.cl/supervision-clinica-para-estudiantes-de-psicologia-un-modelo-de-competencias-psicoterapeuticas-generales-basicas </t>
  </si>
  <si>
    <t xml:space="preserve">Development of coparenting during the transition to parenthood: Integrating parents’ representations with observed interactions. </t>
  </si>
  <si>
    <t xml:space="preserve">Pérez Cortés, F., León, M. J., &amp; Philipp, D. </t>
  </si>
  <si>
    <t xml:space="preserve">Salud mental: concepto e implicancias para la salud. </t>
  </si>
  <si>
    <t xml:space="preserve">Irarrázaval M. </t>
  </si>
  <si>
    <t>Guided web app intervention for reducing symptoms of depression in postpartum women: Results of a feasibility randomized controlled trial.</t>
  </si>
  <si>
    <t xml:space="preserve">Franco P, Olhaberry M, Kelders S, Muzard A, Cuijpers P. </t>
  </si>
  <si>
    <t>Internet Interventions</t>
  </si>
  <si>
    <t>2214-7829</t>
  </si>
  <si>
    <t>10.1016/j.invent.2024.100744</t>
  </si>
  <si>
    <t xml:space="preserve">Estrategias de afrontamiento utilizadas por universitarios chilenos para afrontar las principales consecuencias del confinamiento. </t>
  </si>
  <si>
    <t xml:space="preserve">Valdés-Sánchez, N., &amp; Sandoval, S. </t>
  </si>
  <si>
    <t>Revista de Psicología</t>
  </si>
  <si>
    <t xml:space="preserve">0254-9247 </t>
  </si>
  <si>
    <t>10.18800/psico.202402.009</t>
  </si>
  <si>
    <t xml:space="preserve">Bienestar: estudios y conceptualizaciones psicosociales e interdisciplinares en ciencias sociales. </t>
  </si>
  <si>
    <t xml:space="preserve">Barraza López, R; Valdés Sánchez, N; Rubio Aguilar, V. </t>
  </si>
  <si>
    <t>Ediciones Universidad Santo Tomás, RIL Editores</t>
  </si>
  <si>
    <t xml:space="preserve">ISBN: 978-956-01-1607-9 </t>
  </si>
  <si>
    <t>https://www.casiopealibros.cl/bienestar-estudios-y-conceptualizaciones-psicosociales-e-interdisciplinarios-en-ciencias-sociales</t>
  </si>
  <si>
    <t xml:space="preserve">Developing a Guided Web App for Postpartum Depression Symptoms: User-Centered Design Approach. </t>
  </si>
  <si>
    <t xml:space="preserve">Franco P, Olhaberry M, Muzard A, Harismendy Á, Kelders S. </t>
  </si>
  <si>
    <t>10.2196/56319</t>
  </si>
  <si>
    <t xml:space="preserve">The effect of the separation of mother-preterm newborn infants hospitalized during the COVID-19 pandemic on maternal depression and stress levels, infant development, and bonding quality on Chilean dyads. </t>
  </si>
  <si>
    <t xml:space="preserve">Velozo F; Olhaberry M; Heusser MI; Cubillos S; González A; Morgues M. </t>
  </si>
  <si>
    <t xml:space="preserve">From Dyad to Triad in Early Childhood: Mentalization-Informed Interventions Developed in Chile. </t>
  </si>
  <si>
    <t xml:space="preserve">Olhaberry, M. </t>
  </si>
  <si>
    <t>10.1080/15289168.2024.2314419</t>
  </si>
  <si>
    <t>2024-04-15 00:00:00.000</t>
  </si>
  <si>
    <t xml:space="preserve">Online Intervention Targeting Postnatal Depression and Anxiety in Chilean First-Time Mothers: Feasibility Trial. </t>
  </si>
  <si>
    <t xml:space="preserve">Coo S, García MI, Pérez JC, Aldoney D, Olhaberry M, Fernández O, Alamo N, Franco P, Pérez F, Fernández S, Fisher J, Rowe H. </t>
  </si>
  <si>
    <t xml:space="preserve">Journal of Pediatric Psychology </t>
  </si>
  <si>
    <t xml:space="preserve">0146-8693 </t>
  </si>
  <si>
    <t>10.1093/jpepsy/jsad086</t>
  </si>
  <si>
    <t xml:space="preserve">Salud mental y psiquiatría en la práctica de Atención Primaria de Salud. </t>
  </si>
  <si>
    <t xml:space="preserve">Jiménez JP, Acuña J, Botto A. </t>
  </si>
  <si>
    <t>Editorial Catalonia</t>
  </si>
  <si>
    <t>El lugar de las prácticas contemplativas en el autocuidado de los profesionales de la salud mental.</t>
  </si>
  <si>
    <t xml:space="preserve">Medeiros S, Crempien C, Nitsche P. </t>
  </si>
  <si>
    <t xml:space="preserve">La evaluación psiquiátrica en APS. </t>
  </si>
  <si>
    <t xml:space="preserve">Botto A. </t>
  </si>
  <si>
    <t>Trastornos por uso de sustancias.</t>
  </si>
  <si>
    <t xml:space="preserve">Quevedo Y, Saavedra C, Scharfstein J. </t>
  </si>
  <si>
    <t>En Jiménez JP, Acuña J, Botto A. (Editores) Salud mental y psiquiatría en la práctica de Atención Primaria de Salud.</t>
  </si>
  <si>
    <t xml:space="preserve">Diagnóstico y manejo de pacientes con “personalidad difícil” en el encuentro clínico. </t>
  </si>
  <si>
    <t xml:space="preserve">Jiménez JP, Behn A. </t>
  </si>
  <si>
    <t xml:space="preserve">Intervenciones psicosociales. </t>
  </si>
  <si>
    <t xml:space="preserve">de la Parra G, Labbé N. </t>
  </si>
  <si>
    <t>978-956-415-084-0</t>
  </si>
  <si>
    <t>Agresiones sexuales hacia niños, niñas y adolescentes.</t>
  </si>
  <si>
    <t xml:space="preserve">Capella C, Gómez C, Lama X. </t>
  </si>
  <si>
    <t xml:space="preserve">Reliability and Validity of the Spanish Adaptation of the Stanford Proxy Test for Delirium in Two Clinical Spanish-Speaking Communities. </t>
  </si>
  <si>
    <t xml:space="preserve">Infante S, Behn A, González M, Pintor L, Franco E, Araya P, Maldonado JR. </t>
  </si>
  <si>
    <t xml:space="preserve">Journal of the Academy of Consultation-Liaison Psychiatry </t>
  </si>
  <si>
    <t xml:space="preserve">2667-2960 </t>
  </si>
  <si>
    <t>10.1016/j.jaclp.2023.09.004</t>
  </si>
  <si>
    <t xml:space="preserve">Associations Between Habit and Its Determinants with Medication Adherence in Chilean Patients with Type 2 Diabetes Mellitus. </t>
  </si>
  <si>
    <t xml:space="preserve">Schleef, J., &amp; Ortiz, M. S. </t>
  </si>
  <si>
    <t>10.1080/08964289.2024.2406308 - https://pubmed.ncbi.nlm.nih.gov/39311559/</t>
  </si>
  <si>
    <t xml:space="preserve">Narratives of personal and professional experiences of psychotherapists working with cases of child and adolescent sexual abuse: A qualitative longitudinal study. </t>
  </si>
  <si>
    <t xml:space="preserve">Azócar, E., Gómez, C., Capella, C., Águila, D., &amp; Espeleta, M. </t>
  </si>
  <si>
    <t xml:space="preserve">1473-3145 </t>
  </si>
  <si>
    <t>10.1002/capr.12714</t>
  </si>
  <si>
    <t>La voz de los sobrevivientes (Capítulo 2).</t>
  </si>
  <si>
    <t>Martínez J, Capella C y Gómez C.</t>
  </si>
  <si>
    <t xml:space="preserve">En: Celis AM (coord.). El abuso sexual en contextos eclesiales: Análisis del caso chileno. Aprendizajes y desafíos. Centro UC Derecho y Religión. PPC Editorial. </t>
  </si>
  <si>
    <t xml:space="preserve">ISBN: 978-84-288-4138-2 </t>
  </si>
  <si>
    <t>https://www.libreriasalesiana.com/libro/el-abuso-sexual-en-contextos-eclesiales_496017</t>
  </si>
  <si>
    <t xml:space="preserve">MicroRNAs: The Missing Link between Hypertension and Periodontitis? </t>
  </si>
  <si>
    <t xml:space="preserve">Rodriguez NM, Loren P, Paez I, Martínez C, Chaparro A, Salazar LA. </t>
  </si>
  <si>
    <t xml:space="preserve">1661-6596 </t>
  </si>
  <si>
    <t>10.3390/ijms25041992</t>
  </si>
  <si>
    <t xml:space="preserve">Effects of strength training in Smith press with partial blood flow restriction on jump performance. </t>
  </si>
  <si>
    <t xml:space="preserve">Bahamondes-Avila C, Lagos Gutiérrez JD, Bustos-Medina L, Curilem Gatica C, Hernández-Mosqueira C, Berral De La Rosa FJ, Salazar Navarrete L. </t>
  </si>
  <si>
    <t xml:space="preserve">2247 - 806X </t>
  </si>
  <si>
    <t xml:space="preserve">10.7752/jpes.2024.05120 </t>
  </si>
  <si>
    <t xml:space="preserve">Santelices, M. P., Barrera, P., Undurraga, C., Valenzuela, E., Viviani, P., Hamilton, J., &amp; Murillo, J. </t>
  </si>
  <si>
    <t xml:space="preserve">0145-2134 </t>
  </si>
  <si>
    <t xml:space="preserve">Síndrome de Ovario Poliquístico y Salud Mental en Adolescentes. </t>
  </si>
  <si>
    <t xml:space="preserve">Matte M, del Río J, Fernández O, Crisosto King N. </t>
  </si>
  <si>
    <t xml:space="preserve">2452-6045 </t>
  </si>
  <si>
    <t xml:space="preserve">Uneven effects of twenty years of Chile’s cannabis policy implementation in cannabis onset. </t>
  </si>
  <si>
    <t xml:space="preserve">Nazif-Munoz, J. I., Domínguez-Cancino, K., Martínez, P., &amp; Jauffret-Roustide, M. </t>
  </si>
  <si>
    <t>10.1016/j.drugpo.2024.104395</t>
  </si>
  <si>
    <t xml:space="preserve">Effects of Anxiety, Stress and Perceived Social Support on Depression and Loneliness Among Older People During the COVID-19 Pandemic: A Cross-Sectional Path Analysis. </t>
  </si>
  <si>
    <t xml:space="preserve">Farhang M, Álvarez-Aguado I, Celis Correa J, Toffoletto MC, Rosello-Peñaloza M, Miranda-Castillo C. </t>
  </si>
  <si>
    <t xml:space="preserve">0046-9580 </t>
  </si>
  <si>
    <t xml:space="preserve">El papel del ocio y entretenimiento digital en la salud mental de personas mayores en contextos de crisis social: el caso del estallido social en Chile. </t>
  </si>
  <si>
    <t xml:space="preserve">Rosell J, Vergés A, Miranda-Castillo C. </t>
  </si>
  <si>
    <t xml:space="preserve">1757-9759 </t>
  </si>
  <si>
    <t xml:space="preserve">Consequences of caring for the physical health, mental health and subjective well-being of Chilean older adults. </t>
  </si>
  <si>
    <t xml:space="preserve">International Journal of Care and Caring </t>
  </si>
  <si>
    <t xml:space="preserve">2397-8821 </t>
  </si>
  <si>
    <t xml:space="preserve">Body Composition and Its Interaction with Bone Mineral Density and Biochemical and Nutritional Parameters in Chilean Adults with Overweight/Obesity and Normal Weight. </t>
  </si>
  <si>
    <t xml:space="preserve">Villagrán-Silva F, Lanas F, Huard N, Salazar LA. </t>
  </si>
  <si>
    <t>Nutrients</t>
  </si>
  <si>
    <t xml:space="preserve">2072-6643 </t>
  </si>
  <si>
    <t>10.3390/nu16111559</t>
  </si>
  <si>
    <t xml:space="preserve">Changes in prenatal cannabis‐related diagnosed disorders after the Cannabis Act and the COVID‐19 pandemic in Quebec, Canada. </t>
  </si>
  <si>
    <t xml:space="preserve">Nazif‐Munoz, J. I., Martínez, P., Huỳnh, C., Massamba, V., Zefania, I., Rochette, L., &amp; Vasiliadis, H. </t>
  </si>
  <si>
    <t xml:space="preserve">0965-2140 </t>
  </si>
  <si>
    <t>Analyzing 14-years of suicide rates in Chile: Impact of alcohol policy, domestic violence, and a suicide prevention program.</t>
  </si>
  <si>
    <t xml:space="preserve">Nazif-Munoz, J. I., Pereira, C. C. M., Martínez, P., Najafi Moghaddam, V., &amp; Domínguez-Cancino, K. </t>
  </si>
  <si>
    <t>Psychiatry Research</t>
  </si>
  <si>
    <t>0165-1781</t>
  </si>
  <si>
    <t>10.1016/j.psychres.2024.115729</t>
  </si>
  <si>
    <t xml:space="preserve">Comparison of Patient Health Questionnaire-9, Edinburgh Postnatal Depression Scale and Hospital Anxiety and Depression - Depression subscale scores by administration mode: An individual participant data differential item functioning meta-analysis. </t>
  </si>
  <si>
    <t xml:space="preserve">Harel, D., Wu, Y., Levis, B., Fan, S., Sun, Y., Xu, M., Rice, D. B., Boruff, J., Markham, S., Ioannidis, J. P. A., Takwoingi, Y., Patten, S. B., Ziegelstein, R. C., Cuijpers, P., Gilbody, S., Vigod, S., Akena, D., Benedetti, A., Thombs, B. D., &amp; DEPRESsion Screening Data (DEPRESSD) Collaboration (… Martínez, P… et al). </t>
  </si>
  <si>
    <t xml:space="preserve">0165-0327 </t>
  </si>
  <si>
    <t xml:space="preserve">Institutional Dimension of Burnout in Governmental Psychosocial and Community Programmes: Gaps between Intervening Conditions, Consequences, and Guidelines for Improvement. </t>
  </si>
  <si>
    <t xml:space="preserve">Daher M, Rosati A, Tomicic A, Hernández A, Alfaro J. </t>
  </si>
  <si>
    <t xml:space="preserve">1474-7464 </t>
  </si>
  <si>
    <t>Childhood studies: From participation to the incorporation of their voices</t>
  </si>
  <si>
    <t xml:space="preserve">Ugarte, M. J., &amp; Altimir, C. </t>
  </si>
  <si>
    <t xml:space="preserve">Journal of Theoretical and Philosophical Psychology </t>
  </si>
  <si>
    <t>1068-8471</t>
  </si>
  <si>
    <t xml:space="preserve">10.1037/teo0000275 </t>
  </si>
  <si>
    <t xml:space="preserve">Broadening the evidentiary basis for clinical practice guidelines: Recommendations from qualitative psychotherapy researchers. </t>
  </si>
  <si>
    <t xml:space="preserve">Levitt HM, Hamburger A, Hill CE, McLeod J, Pascual-Leone A, Timulak L, Buchholz MB, Frommer J, Fuertes J, Iwakabe S, Martínez C, Morrill Z, Knox S, Langer P, Muran JC, Weie Oddli H, Řiháček T, Tomicic A, Tuval-Mashiach R. </t>
  </si>
  <si>
    <t>0003-066X</t>
  </si>
  <si>
    <t>10.1037/amp0001363</t>
  </si>
  <si>
    <t xml:space="preserve">2573-4393 </t>
  </si>
  <si>
    <t xml:space="preserve">Psychiatric Experiments with “Community” Under Dictatorship and Authoritarianism: The Case of the Protected Commune Experience, 1980–1989. </t>
  </si>
  <si>
    <t xml:space="preserve">Montenegro, C. </t>
  </si>
  <si>
    <t xml:space="preserve">Culture, Medicine, and Psychiatry </t>
  </si>
  <si>
    <t>10.1007/s11013-024-09868-2</t>
  </si>
  <si>
    <t>Non-binary gender, vulnerable populations and mental health during the COVID-19 pandemic: Data from the COVID-19 mental health international for the general population (COMET-G) study.</t>
  </si>
  <si>
    <t xml:space="preserve">Fountoulakis KN, Vrublevska J, Abraham S, … Irarrázaval M, ... et al. </t>
  </si>
  <si>
    <t>0165-0327</t>
  </si>
  <si>
    <t>10.1016/j.jad.2024.02.050</t>
  </si>
  <si>
    <t xml:space="preserve">Somatic multicomorbidity and disability in patients with psychiatric disorders in comparison to the general population: a quasi-epidemiological investigation in 54,826 subjects from 40 countries (COMET-G study). </t>
  </si>
  <si>
    <t xml:space="preserve">Fountoulakis KN, Karakatsoulis GN, Abraham S, … Irarrázaval M, ... et al. </t>
  </si>
  <si>
    <t>CNS Spectrums</t>
  </si>
  <si>
    <t xml:space="preserve">1092-8529 </t>
  </si>
  <si>
    <t>10.1017/S1092852924000026</t>
  </si>
  <si>
    <t xml:space="preserve">González-Medina GA, Corral SA, Castillo-Passi RI, Irarrázaval M, Maturana-Hurtado AJ, Gaspar PA. </t>
  </si>
  <si>
    <t xml:space="preserve">Social Psychiatry and Psychiatric Epidemiology </t>
  </si>
  <si>
    <t xml:space="preserve">0933-7954 </t>
  </si>
  <si>
    <t>Investigación en Psicoterapia LGBT+ en Iberoamérica: Avances y Desafíos.</t>
  </si>
  <si>
    <t>Tomicic, A., Martínez, C., &amp; Concha, F.</t>
  </si>
  <si>
    <t xml:space="preserve"> Revista de Psicoterapia</t>
  </si>
  <si>
    <t>1130-5142</t>
  </si>
  <si>
    <t>10.5944/rdp.v35i127.39976</t>
  </si>
  <si>
    <t xml:space="preserve">Alamo Anich, N., &amp; Fischersworring, M. </t>
  </si>
  <si>
    <t xml:space="preserve">Changes in the incidence of cannabis-related disorders after the Cannabis Act and the COVID-19 pandemic in Québec, Canada. </t>
  </si>
  <si>
    <t xml:space="preserve">0955-3959 </t>
  </si>
  <si>
    <t xml:space="preserve">Uso de anticonceptivos hormonales y depresión en mujeres adolescentes y jóvenes: una revisión de alcance. </t>
  </si>
  <si>
    <t xml:space="preserve">Cerda, M., Garrido, V., Crockett, M. A., &amp; Martínez, V. </t>
  </si>
  <si>
    <t>Revista Chilena de Psiquiatría y Neurología de la Infancia y la Adolescencia</t>
  </si>
  <si>
    <t xml:space="preserve">0718 – 3798 </t>
  </si>
  <si>
    <t>https://docs.bvsalud.org/biblioref/2024/05/1554987/rev-sopnia-2024-1-12-22.pdf</t>
  </si>
  <si>
    <t>2024-01-21 00:00:00.000</t>
  </si>
  <si>
    <t xml:space="preserve">The cycle of solitude and avoidance: a daily life evaluation of the relationship between internet addiction and symptoms of social anxiety. </t>
  </si>
  <si>
    <t xml:space="preserve">Hernández C, Ferrada M, Ciarrochi J, Quevedo S, Garcés JA, Hansen R and Sahdra B </t>
  </si>
  <si>
    <t xml:space="preserve">1664-1078 </t>
  </si>
  <si>
    <t>10.3389/fpsyg.2024.1337834</t>
  </si>
  <si>
    <t xml:space="preserve">Process-based therapy: A common ground for understanding and utilizing therapeutic practices. </t>
  </si>
  <si>
    <t xml:space="preserve">Ciarrochi, J., Hernández, C., Hill, D., Ong, C., Gloster, A. T., Levin, M. E., Yap, K., Fraser, M. I., Sahdra, B. K., Hofmann, S. G., &amp; Hayes, S. C. </t>
  </si>
  <si>
    <t>Journal of Psychotherapy Integration</t>
  </si>
  <si>
    <t xml:space="preserve">1053-0479 </t>
  </si>
  <si>
    <t>10.1037/int0000348</t>
  </si>
  <si>
    <t xml:space="preserve">Uso de condón en jóvenes chilenos: El rol de los determinantes sociales, roles de género y salud mental. </t>
  </si>
  <si>
    <t xml:space="preserve">Olivera, MP., Salinas-Oñate, N, &amp; de la Hoz, S. </t>
  </si>
  <si>
    <t>Revista Médica de Chile</t>
  </si>
  <si>
    <t xml:space="preserve">10.4067/s0034-98872023001001309 </t>
  </si>
  <si>
    <t xml:space="preserve">Estudiar remoto de emergencia en la pandemia por Covid-19 desde la mirada de niños(as) de familias migrantes y profesionales de la educación: un estudio exploratorio en la Región Metropolitana de Chile. </t>
  </si>
  <si>
    <t xml:space="preserve">Veas Flores, A., Grau Rengifo, M. O., &amp; Alamo Anich, N. </t>
  </si>
  <si>
    <t xml:space="preserve">1989-9971 </t>
  </si>
  <si>
    <t xml:space="preserve">Telesalud mental en una unidad pública de psiquiatría infanto-juvenil en pandemia: estudio cualitativo de implementación. </t>
  </si>
  <si>
    <t xml:space="preserve">García F, Klagges M, Leyton F, Nogales I, Mickman C, Martínez C, Tomicic A. </t>
  </si>
  <si>
    <t>Medwave</t>
  </si>
  <si>
    <t>e2777</t>
  </si>
  <si>
    <t xml:space="preserve">0717-6384 </t>
  </si>
  <si>
    <t xml:space="preserve">10.5867/medwave.2024.02.2777 </t>
  </si>
  <si>
    <t xml:space="preserve">Características de personas deprimidas con hipertensión y/o diabetes mellitus en centros atención primaria de salud en Santiago de Chile. </t>
  </si>
  <si>
    <t xml:space="preserve">Rojas, G., Guajardo Tobar, V., Campos, S., Herrera, P., Vöhringer, P., &amp; Martínez, P. </t>
  </si>
  <si>
    <t>10.4067/s0034-98872024000400476</t>
  </si>
  <si>
    <t xml:space="preserve">“Reducing the Treatment Gap” Poses Human Rights Risks. </t>
  </si>
  <si>
    <t xml:space="preserve">Cuidados perinatales en parejas primerizas durante la pandemia. </t>
  </si>
  <si>
    <t>Morales A, Poblete C, Duhalde A, Pérez Cortés F.</t>
  </si>
  <si>
    <t>Revista Perinatal Argentina</t>
  </si>
  <si>
    <t xml:space="preserve">2953-4429 </t>
  </si>
  <si>
    <t>https://eppica.ar/descarga-revista-perinatal-argentina-no9/</t>
  </si>
  <si>
    <t xml:space="preserve">Differences in mental health problems in LGBT+ first year college students in Chile during the pandemic. </t>
  </si>
  <si>
    <t xml:space="preserve">Crockett, M.A., Martínez-Nahuel, V., Mac-Ginty, S., Núñez, D., Langer, ÁI, Gaete, J. </t>
  </si>
  <si>
    <t>Mental health service use and barriers to help-seeking among LGBTQ+ first-year college students in Chile.</t>
  </si>
  <si>
    <t>Crockett, M. A., Martínez, V., Mac-Ginty, S., Langer, Á. I., Gaete, J., Núñez, D., &amp; Léniz, I.</t>
  </si>
  <si>
    <t>Journal of LGBT Youth</t>
  </si>
  <si>
    <t xml:space="preserve">1936-1653 </t>
  </si>
  <si>
    <t>10.1080/19361653.2024.2347962</t>
  </si>
  <si>
    <t>2024-03-09 00:00:00.000</t>
  </si>
  <si>
    <t xml:space="preserve">“Safe within reach of my phone”: explaining the relationship between social anxiety and problematic internet use through social connections and avoidant safety-seeking behaviors. </t>
  </si>
  <si>
    <t xml:space="preserve">Hansen, R., Garcés, J.A., Quevedo, S., Ferrada, M., Cottin, M., &amp; Hernández, C. </t>
  </si>
  <si>
    <t>Current Psychology</t>
  </si>
  <si>
    <t xml:space="preserve">1046-1310 </t>
  </si>
  <si>
    <t xml:space="preserve">10.1007/s12144-024-05810-2 </t>
  </si>
  <si>
    <t xml:space="preserve">Mediating Role of Mentalization in Depressive Symptoms Among College University Students. </t>
  </si>
  <si>
    <t xml:space="preserve">Solervicens, P., Moran-Kneer, J., Cerda, K., Geldres, A., &amp; Guzmán, T. </t>
  </si>
  <si>
    <t xml:space="preserve">10.18103/mra.v12i6.5479 </t>
  </si>
  <si>
    <t>Experiencia de Cuidadores y Facilitadores sobre la Implementación Online de Generation PMTO en Contexto de Pandemia.</t>
  </si>
  <si>
    <t xml:space="preserve">Grau Rengifo, M. O., Pardo Galarce, D., Álamo Anich, N., González Suitt, K., Fernández Sanz, S., Cárdenas Sánchez, M. E., Banderas Montalva, J. M., Cantizano Rioseco, L., Ruiz Leiva, C., Correa Molina, M. L., &amp; Perry Mitchell, R. </t>
  </si>
  <si>
    <t xml:space="preserve">0717-0297 </t>
  </si>
  <si>
    <t>10.7764/psykhe.2021.46295</t>
  </si>
  <si>
    <t xml:space="preserve">Bahamondes-Avila, C., Curilem Gatica, C., Bustos Medina, L., Berral de la Rosa, F., &amp; Salazar, L. A. </t>
  </si>
  <si>
    <t xml:space="preserve">1579-1726 </t>
  </si>
  <si>
    <t xml:space="preserve">Thymol as adjuvant in oncology: molecular mechanisms, therapeutic potentials, and prospects for integration in cancer management. </t>
  </si>
  <si>
    <t xml:space="preserve">Herrera-Bravo J, Belén LH, Reyes ME, Silva V, Fuentealba S, Paz C, Loren P, Salazar LA, Sharifi-Rad J, Calina D. </t>
  </si>
  <si>
    <t xml:space="preserve">0028-1298 </t>
  </si>
  <si>
    <t xml:space="preserve">Muscle Mass and Strength Gains Following Resistance Exercise Training in Older Adults 65–75 Years and Older Adults Above 85 Years. </t>
  </si>
  <si>
    <t xml:space="preserve">Marzuca-Nassr, G. N., Alegría-Molina, A., SanMartín-Calísto, Y., Artigas-Arias, M., Huard, N., Sapunar, J., Salazar, L. A., Verdijk, L. B., &amp; van Loon, L. J. </t>
  </si>
  <si>
    <t>International Journal of Sport Nutrition and Exercise Metabolism</t>
  </si>
  <si>
    <t xml:space="preserve">1526-484X </t>
  </si>
  <si>
    <t>10.1123/ijsnem.2023-0087</t>
  </si>
  <si>
    <t xml:space="preserve">Gender differences in life expectancy free of depressive symptoms in Chile between 2003 and 2016. </t>
  </si>
  <si>
    <t xml:space="preserve">Moreno X, Monsalves MJ, Rueda S, Dagnino P, Borghero F. </t>
  </si>
  <si>
    <t xml:space="preserve">2054-4251 </t>
  </si>
  <si>
    <t xml:space="preserve">Construcción de Alianza Terapéutica en la Clínica del Trauma Complejo: un scoping review. </t>
  </si>
  <si>
    <t xml:space="preserve">López-Vásquez, A., González-Araneda, N., &amp; Errázuriz, P. </t>
  </si>
  <si>
    <t>10.32995/praxispsy.v25i41.268</t>
  </si>
  <si>
    <t xml:space="preserve">How Does Maternal Childhood Trauma, Adult Attachment, Depression, and Parental Reflective Functioning Affect Preschool Children’s Socio-emotional Development? </t>
  </si>
  <si>
    <t xml:space="preserve">Trends in Psychology </t>
  </si>
  <si>
    <t>10.1007/s43076-024-00412-0</t>
  </si>
  <si>
    <t xml:space="preserve">Figueroa, R. A., Errázuriz, P., Hoeboer, C. M., &amp; Olff, M. </t>
  </si>
  <si>
    <t>Journal of Trauma &amp; Dissociation</t>
  </si>
  <si>
    <t>10.1080/15299732.2024.2383191</t>
  </si>
  <si>
    <t xml:space="preserve">Making sense of the doxastic approach to thought insertion. </t>
  </si>
  <si>
    <t>Synthese</t>
  </si>
  <si>
    <t>10.1007/s11229-024-04721-w</t>
  </si>
  <si>
    <t xml:space="preserve">The narrative self-model in schizophrenia: integrating predictive processing with phenomenological psychopathology. </t>
  </si>
  <si>
    <t>Araya, J.M., López-Silva, P. &amp; Rosen, C.</t>
  </si>
  <si>
    <t>Phenomenology and the Cognitive Sciences</t>
  </si>
  <si>
    <t xml:space="preserve">1568-7759 </t>
  </si>
  <si>
    <t>10.1007/s11097-024-10032-9</t>
  </si>
  <si>
    <t>Psicosis y Patología: Delirio Psicótico como Disfunción Dañina.</t>
  </si>
  <si>
    <t>Límite, Revista Interdisciplinaria de Filosofía y Psicología</t>
  </si>
  <si>
    <t xml:space="preserve">0718-1361 </t>
  </si>
  <si>
    <t xml:space="preserve">10.4067/s0718-50652024000100218 </t>
  </si>
  <si>
    <t>Los límites del yo: hacia una clarificación de la relación entre delirios de inserción de pensamiento y el principio de inmunidad al error a través de la mala identificación.</t>
  </si>
  <si>
    <t>Crítica-Revista Hispanoamericana de Filosofía</t>
  </si>
  <si>
    <t xml:space="preserve">0011-1503 </t>
  </si>
  <si>
    <t>10.22201/iifs.18704905e.2024.1537</t>
  </si>
  <si>
    <t xml:space="preserve">Spanish version of Multidimensional Mentalizing Questionnaire (MMQ): Translation, adaptation and psychometric properties in a Chilean population. </t>
  </si>
  <si>
    <t>Aldunate N, López-Silva P, Brotfeld C, Guerra E, Kronmüller E.</t>
  </si>
  <si>
    <t xml:space="preserve">PLoS ONE </t>
  </si>
  <si>
    <t>e0296691</t>
  </si>
  <si>
    <t xml:space="preserve">1932-6203 </t>
  </si>
  <si>
    <t>10.1371/journal.pone.0296691</t>
  </si>
  <si>
    <t>Termination of Psychotherapy with Children and Adolescents in the Institutional Contexts from the Parents’ Perspective.</t>
  </si>
  <si>
    <t xml:space="preserve">Zapata Restrepo NJ, Ocampo-Lopera D-M, Ibarra-Rivera D-A, Sierra-Zuluaga A-S, Mejía M, Espinosa-Duque D. </t>
  </si>
  <si>
    <t>Revista de Investigación e Innovación en Ciencias de la Salud</t>
  </si>
  <si>
    <t xml:space="preserve">2665-2056 </t>
  </si>
  <si>
    <t>10.46634/riics.195</t>
  </si>
  <si>
    <t xml:space="preserve">Conocer para prevenir: el abuso sexual en contexto eclesial. Análisis del caso chileno (Capítulo 4). </t>
  </si>
  <si>
    <t>Celis AM, Martínez J y Capella C.</t>
  </si>
  <si>
    <t xml:space="preserve">https://www.libreriasalesiana.com/libro/el-abuso-sexual-en-contextos-eclesiales_496017 </t>
  </si>
  <si>
    <t>Exploring the Meanings of Posttraumatic Growth in Spanish Survivors of Clergy-Perpetrated Child Sexual Abuse: A Phenomenological Approach.</t>
  </si>
  <si>
    <t xml:space="preserve">Sicilia, L., Capella, C., Barrios, M., &amp; Pereda, N. </t>
  </si>
  <si>
    <t>Journal of Child Sexual Abuse</t>
  </si>
  <si>
    <t xml:space="preserve">1053-8712 </t>
  </si>
  <si>
    <t>10.1080/10538712.2024.2304241</t>
  </si>
  <si>
    <t>The Importance of Conducting Practice-oriented Research with Underserved Populations.</t>
  </si>
  <si>
    <t xml:space="preserve">Fernández-Alvarez, J., Molinari, G., Kilcullen, R., Delgadillo, J., Drill, R., Errázuriz, P., ... &amp; Castonguay, L. G. </t>
  </si>
  <si>
    <t>10.1007/s10488-023-01337-z</t>
  </si>
  <si>
    <t xml:space="preserve">Developing a European Psychotherapy Consortium (EPoC): Towards adopting a single-item self-report outcome measure across European countries. </t>
  </si>
  <si>
    <t>Clinical Psychology in Europe</t>
  </si>
  <si>
    <t>2625-3410</t>
  </si>
  <si>
    <t>10.23668/psycharchives.15081</t>
  </si>
  <si>
    <t xml:space="preserve">Neglected caregivers: Analysis of the technical guidelines of child maltreatment and child sexual abuse programs (Cuidadores descuidados: Análisis de las orientaciones técnicas de programas de maltrato y abuso sexual infantil). </t>
  </si>
  <si>
    <t xml:space="preserve">Gabriel-Vacher, N., &amp; Capella, C. </t>
  </si>
  <si>
    <t>Ibero-American Journal of Psychology and Public Policy</t>
  </si>
  <si>
    <t xml:space="preserve">2810-6598 </t>
  </si>
  <si>
    <t>10.56754/2810-6598.2024.0005</t>
  </si>
  <si>
    <t>Perceived social support and treatment adherence in Chileans with Type 2 diabetes.</t>
  </si>
  <si>
    <t xml:space="preserve">Salinas-Rehbein B, Ortiz MS, Robles TF. </t>
  </si>
  <si>
    <t>Journal of Health Psychology</t>
  </si>
  <si>
    <t xml:space="preserve">1359-1053 </t>
  </si>
  <si>
    <t>10.1177/13591053241253370</t>
  </si>
  <si>
    <t xml:space="preserve">Disentangling between-person and within-person associations of physical symptoms of depression with self-perceived health and life satisfaction: A longitudinal study in Chilean adults. </t>
  </si>
  <si>
    <t xml:space="preserve">Schleef J, Castellanos-Alvarenga LM, Olivera MP, Ortiz MS. </t>
  </si>
  <si>
    <t>1359-1053</t>
  </si>
  <si>
    <t>10.1177/13591053241229533</t>
  </si>
  <si>
    <t xml:space="preserve">Mind in action: expanding the concept of affordance. </t>
  </si>
  <si>
    <t xml:space="preserve">Jorba, M., &amp; López-Silva, P. </t>
  </si>
  <si>
    <t xml:space="preserve">0951-5089 </t>
  </si>
  <si>
    <t xml:space="preserve">Neurotechnological Applications and the Protection of Mental Privacy: An Assessment of Risks. </t>
  </si>
  <si>
    <t xml:space="preserve">López-Silva, P., Wajnerman-Paz, A. &amp; Molnar-Gabor, F. </t>
  </si>
  <si>
    <t>Neuroethics</t>
  </si>
  <si>
    <t>10.1007/s12152-024-09565-2</t>
  </si>
  <si>
    <t>Instituto Milenio para la Investigación en Imperfecciones de Mercado y Políticas Públicas</t>
  </si>
  <si>
    <t>https://doi.org/10.1016/j.ijresmar.2024.10.002</t>
  </si>
  <si>
    <t>https://doi.org/10.1002/for.3202</t>
  </si>
  <si>
    <t>945-7731</t>
  </si>
  <si>
    <t>2024-10-31 00:00:00.000</t>
  </si>
  <si>
    <t>Grievance shocks and coordination in protest</t>
  </si>
  <si>
    <t>Sofia Correa, Mehdi Shadmehr, Gaetan Nandong</t>
  </si>
  <si>
    <t>American Journal of Political Science</t>
  </si>
  <si>
    <t>https://doi.org/10.7910/DVN/OSJD7T</t>
  </si>
  <si>
    <t>10.7910/DVN/OSJD7T</t>
  </si>
  <si>
    <t xml:space="preserve">Sovereign Credit Spreads, Banking Fragility, and Global Factors </t>
  </si>
  <si>
    <t>Patricio Valenzuela, Anusha Chari, Felipe Garcés and Juan Francisco Martínez</t>
  </si>
  <si>
    <t xml:space="preserve"> Journal of Financial Stability</t>
  </si>
  <si>
    <t>https://doi.org/10.1016/j.jfs.2024.101235</t>
  </si>
  <si>
    <t>10.1016/j.jfs.2024.101235</t>
  </si>
  <si>
    <t>Uncertainty and Credit Risk: Evidence from International Corporate Bonds</t>
  </si>
  <si>
    <t>Patricio Valenzuela, Javier Mella and Juan Claveria</t>
  </si>
  <si>
    <t>Economics Letters</t>
  </si>
  <si>
    <t>https://doi.org/10.1016/j.econlet.2024.111666</t>
  </si>
  <si>
    <t>10.1016/j.econlet.2024.111666</t>
  </si>
  <si>
    <t>Sonia Bhalotra, Emilia Brito, Damian Clarke, Pilar Larroulet, Francisco Pino</t>
  </si>
  <si>
    <t>Nudges in public policy and their impact on financial decisions</t>
  </si>
  <si>
    <t xml:space="preserve">Elisa Durán-Micco, Denise Laroze </t>
  </si>
  <si>
    <t>Global Encyclopedia of Public Administration, Public Policy, and Governance</t>
  </si>
  <si>
    <t>10.1007/978-3-319-31816-5_4396-1</t>
  </si>
  <si>
    <t>Cayul P. and A. Corvalán</t>
  </si>
  <si>
    <t xml:space="preserve"> Mathematical Programming</t>
  </si>
  <si>
    <t>https://doi.org/10.1007/s10107-023-02027-2</t>
  </si>
  <si>
    <t>https://doi.org/10.1086/734144</t>
  </si>
  <si>
    <t>The effect of economic incentives and cooperation messages on user participation in crowdsourced public transport technologies</t>
  </si>
  <si>
    <t>Marcela Munizaga, Daniel Schwartz, Jacqueline Arriagada, Claudio Mena</t>
  </si>
  <si>
    <t>Transportation</t>
  </si>
  <si>
    <t>1572-9435</t>
  </si>
  <si>
    <t>10.1007/s11116-022-10288-7</t>
  </si>
  <si>
    <t>Instituto Milenio para la Investigación en Violencia y Democracia</t>
  </si>
  <si>
    <t>El derecho indígena y el desafío de un pluralismo jurídico</t>
  </si>
  <si>
    <t>Salvador Millaleo</t>
  </si>
  <si>
    <t>Ediciones Universidad Alberto Hurtado</t>
  </si>
  <si>
    <t xml:space="preserve">Teoría Crítica del Derecho y Justicia Social en las Américas </t>
  </si>
  <si>
    <t>https://ediciones.uahurtado.cl/producto/teoria-critica-del-derecho-y-justicia-social-en-las-americas/</t>
  </si>
  <si>
    <t>Hacia un Derecho Penal crítico</t>
  </si>
  <si>
    <t>José Manuel Fernández</t>
  </si>
  <si>
    <t>978-956-357-512-5</t>
  </si>
  <si>
    <t>Teoría Crítica del Derecho, pedagogía crítica y justicia social en las Américas: por un derecho contrahegemónico viramundo</t>
  </si>
  <si>
    <t xml:space="preserve">Hugo Rojas, Sheila Vélez Martínez </t>
  </si>
  <si>
    <t xml:space="preserve"> Ediciones Universidad Alberto Hurtado</t>
  </si>
  <si>
    <t>En Hugo Rojas y Sheila Vélez Martínez (eds.), Teoría Crítica del Derecho y Justicia Social en las Américas</t>
  </si>
  <si>
    <t>Desisting into what? An exploration of desistance from crime after imprisonment among Chilean women</t>
  </si>
  <si>
    <t>Droppelmann, Catalina; Borquez, Ignacio; Rodríguez, Jacinta</t>
  </si>
  <si>
    <t>Palgrave MacMillan</t>
  </si>
  <si>
    <t>10.1007/978-3-031-61277-0_14</t>
  </si>
  <si>
    <t>Multitude and Memory in   the Chilean Social Uprising</t>
  </si>
  <si>
    <t xml:space="preserve"> Angel Aedo, Oriana Bernasconi, Damián Omar Martínez,   Alicia Olivari, Fernando Pairican, Juan Porma.</t>
  </si>
  <si>
    <t>South Atlantic Quarterly</t>
  </si>
  <si>
    <t>Volumen 123</t>
  </si>
  <si>
    <t xml:space="preserve">Issue 1 </t>
  </si>
  <si>
    <t>ISSN 0038-2876</t>
  </si>
  <si>
    <t xml:space="preserve">10.1215/00382876-10920714 </t>
  </si>
  <si>
    <t>Mapuche Anticolonial Politics   and Chile’s Social Uprising</t>
  </si>
  <si>
    <t xml:space="preserve"> Angel Aedo, Oriana Bernasconi,   Alicia Olivari, Damián Omar Martínez,   Juan Porma, Fernando Pairican</t>
  </si>
  <si>
    <t>10.1215/00382876-10924623</t>
  </si>
  <si>
    <t>Dynamic Impacts of Lockdown on Domestic Violence:  Evidence from Multiple Policy Shifts in Chile∗</t>
  </si>
  <si>
    <t>The Review of Economics and Statistics</t>
  </si>
  <si>
    <t>ISSN impreso: 0034-6535</t>
  </si>
  <si>
    <t>10.1162/rest_a_01412</t>
  </si>
  <si>
    <t>Re-name the Streets. Toponymic Struggles and Civic Belonging in Murcia (Spain) and Johannesburg (South Africa)</t>
  </si>
  <si>
    <t>Manuel Dieterich, Damián Omar Martínez, Boris Nieswand</t>
  </si>
  <si>
    <t>Ethnography</t>
  </si>
  <si>
    <t>Online First</t>
  </si>
  <si>
    <t>ISSN 1466-1381</t>
  </si>
  <si>
    <t>10.1177/14661381241269638</t>
  </si>
  <si>
    <t>The heterogeneous effects of COVID-19 lockdowns on crime across the world</t>
  </si>
  <si>
    <t>N. Trajtenberg, S. Fossati, C. Diaz, A. E. Nivette, R. Aguilar, A. Ahven, L. Andrade, S. Amram, B. Ariel, M. J. Arosemena Burbano, R. Astolfi, D. Baier, H.‐M. Bark, J. E. H. Beijers, M. Bergman, D. Borges, G. Breetzke, I. Cano, I. A. Concha Eastman, S. Curtis‐Ham, R. Davenport, C. Droppelman, D. Fleitas, M. Gerell, K.‐H. Jang, J. Kääriäinen, T. Lappi‐Seppälä, W.‐S. Lim, R. Loureiro Revilla, L. Mazerolle, C. Mendoza, G. Meško, N. Pereda, M. F. Peres, R. Poblete‐Cazenave, E. Rojido, S. Rose, O. Sanchez de Ribera, R. Svensson, T. van der Lippe, J. A. M. Veldkamp, C. J. Vilalta Perdomo, R. Zahnow and M. P. Eisner</t>
  </si>
  <si>
    <t>Crime Science</t>
  </si>
  <si>
    <t>no aplica</t>
  </si>
  <si>
    <t>2193-7680</t>
  </si>
  <si>
    <t>10.1186/s40163-024-00220-y</t>
  </si>
  <si>
    <t>Producción musical en la época dorada de las telenovelas en Chile</t>
  </si>
  <si>
    <t xml:space="preserve">Estefanía Urqueta, Pablo Cisternas y Andrés Kalawski </t>
  </si>
  <si>
    <t xml:space="preserve">Comunicación y medios </t>
  </si>
  <si>
    <t>0716-3991</t>
  </si>
  <si>
    <t>10.5354/0719-1529.2024.73964</t>
  </si>
  <si>
    <t>Memory Sites Under Attack</t>
  </si>
  <si>
    <t>Manuela Badilla Rajevic &amp;Elisa Muñoz Elgueta</t>
  </si>
  <si>
    <t>Nacla Report on the America</t>
  </si>
  <si>
    <t>364-369</t>
  </si>
  <si>
    <t>10.1080/10714839.2024.2427967</t>
  </si>
  <si>
    <t xml:space="preserve">Introduction: Widening the Space of Politics </t>
  </si>
  <si>
    <t>10.1215/00382876-10920705</t>
  </si>
  <si>
    <t>Confinement in Pandemic Times: Two Tales of Prisons, Epidemics, and Power from the Global South</t>
  </si>
  <si>
    <t>Angel Aedo, Catalina Droppelmann, Frédéric Le Marcis, and Daniela Montanari</t>
  </si>
  <si>
    <t>Routledge</t>
  </si>
  <si>
    <t>1st Editión</t>
  </si>
  <si>
    <t>https://doi.org/10.4324/9781003506867</t>
  </si>
  <si>
    <t>Critical Reflexivities of Women Who Cared for Others During their Childhood</t>
  </si>
  <si>
    <t>Renata Boado, Rocío Fatyass y Marjorie Murray</t>
  </si>
  <si>
    <t xml:space="preserve">Families, Relationships and Societies </t>
  </si>
  <si>
    <t>2046-7443</t>
  </si>
  <si>
    <t>10.1332/20467435Y2024D000000028</t>
  </si>
  <si>
    <t>A Politics of Care from the Margins   of Chile’s Social Uprising</t>
  </si>
  <si>
    <t xml:space="preserve">10.1215/00382876-10920732 </t>
  </si>
  <si>
    <t>Detenidos Desaparecidos por la dictadura en Chile a 50 años: ¿Dónde están?</t>
  </si>
  <si>
    <t>Oriana Bernasconi.</t>
  </si>
  <si>
    <t>Ediciones UC</t>
  </si>
  <si>
    <t>ISBN: 9789561433045</t>
  </si>
  <si>
    <t xml:space="preserve">https://lea.uc.cl/1973-a-50-anos-del-golpe-de-estado/p </t>
  </si>
  <si>
    <t>¿Democracia muerta? Chile, América Latina y un Modelo Estallado</t>
  </si>
  <si>
    <t>Editorial Ariel</t>
  </si>
  <si>
    <t>https://www.planetadelibros.cl/libro-democracia-muerta/408703</t>
  </si>
  <si>
    <t>2024-10-21 00:00:00.000</t>
  </si>
  <si>
    <t>¿Octubrismo? Cómo pensó y piensa la nueva generación que llegó a gobernar a Chile</t>
  </si>
  <si>
    <t>Gloria de la Fuente, Juan Pablo Luna</t>
  </si>
  <si>
    <t>https://www.libreriacatalonia.cl/product/octubrismo-como-penso-y-piensa-la-nueva-generacion?srsltid=AfmBOoqE_s70hxZh-oG3B_nqdXQHiRVj-RraxRMx-XoqUMoX_xHr5bFJ</t>
  </si>
  <si>
    <t>Polvo, temor y aislamiento. Movilidades vulnerables de mujeres cuidadoras de campamentos</t>
  </si>
  <si>
    <t>Luneke, A.; Rasse, A.; Cereceda, E., y Hewstone, M.</t>
  </si>
  <si>
    <t>En Rojas, Ladrón de Guevara y Vecchio (eds). Accesibilidad para ciudades equitativas. Editorial RIL Editores</t>
  </si>
  <si>
    <t>https://rileditores.publica.la/reader/accesibilidad-para-ciudades-equitativas</t>
  </si>
  <si>
    <t xml:space="preserve">50 Years After the 1973 Coup in Chile: Analysis of the Processes of Transition to Democracy and Transitional Justice of Transition to Democracy and Transitional Justice </t>
  </si>
  <si>
    <t>Hugo Rojas</t>
  </si>
  <si>
    <t>Seattle Journal for Social Justice</t>
  </si>
  <si>
    <t>https://digitalcommons.law.seattleu.edu/sjsj/vol22/iss3/8</t>
  </si>
  <si>
    <t>Sobre el efecto reparador de las sentencias civiles en casos de violaciones graves a los derechos humanos en Chile</t>
  </si>
  <si>
    <t>Hugo Rojas, Alberto Pino</t>
  </si>
  <si>
    <t>Atenea</t>
  </si>
  <si>
    <t>0716-1840</t>
  </si>
  <si>
    <t>10.29393/At528-16SEHA20016</t>
  </si>
  <si>
    <t>Cómo escribir ensayos: Manual de investigación jurídica y socio-jurídica</t>
  </si>
  <si>
    <t>Héctor Fernández, Victoria Martínez, Hugo Rojas, Lieta Vivaldi</t>
  </si>
  <si>
    <t>978-956-357-478-4</t>
  </si>
  <si>
    <t>978-956-357-479-1</t>
  </si>
  <si>
    <t>Judicial Independence in Chile, 1973-2023</t>
  </si>
  <si>
    <t>Hugo Rojas, Rafael Blanco</t>
  </si>
  <si>
    <t>Judicial Independence in Transitional Democracies (London: Routledge)</t>
  </si>
  <si>
    <t>10.4324/9781003458296-16</t>
  </si>
  <si>
    <t>Automatic knowledge-graph creation from historical documents: The Chilean dictatorship as a case study</t>
  </si>
  <si>
    <t>Camila Díaz, Jocelyn Dunstan, Lorena Etcheberry, Antonia Flock, Alejandro Grez, Domingo Mery, Juan Reutter, Hugo Rojas</t>
  </si>
  <si>
    <t>Computers and Society (cs.CY)</t>
  </si>
  <si>
    <t>Special Issue: Critical Legal Theory and Social Justice in the Americas</t>
  </si>
  <si>
    <t>Hugo Rojas, Sheila Vélez Martínez (editores invitados)</t>
  </si>
  <si>
    <t>Latin American Legal Studies</t>
  </si>
  <si>
    <t>0719-9104</t>
  </si>
  <si>
    <t>10.15691/0719-9112Vol12n1a1</t>
  </si>
  <si>
    <t>Los Delitos del Estallido Social y el Rol de la Defensoría Penal Pública en Chile el 2019</t>
  </si>
  <si>
    <t>Javiera Farías, José Manuel Fernández, Tomás Pascual, Hugo Rojas</t>
  </si>
  <si>
    <t>Revista de Derecho PUCP</t>
  </si>
  <si>
    <t>e-ISSN: 2305-2546</t>
  </si>
  <si>
    <t>10.18800/derechopucp.202301.003</t>
  </si>
  <si>
    <t>Hacia un Modelo Disyuntivo De Robo: Entre Luis Rodriguez Collao y Antonio Bascuñan Rodriguez</t>
  </si>
  <si>
    <t>Libro Homenaje Luis Rodríguez Collao</t>
  </si>
  <si>
    <t>859-879</t>
  </si>
  <si>
    <t>https://libromar.cl/-derecho-penal-chileno/4244-un-derecho-penal-centrado-en-la-persona-libro-homenaje-al-profesor-luis-rodriguez-collao.html</t>
  </si>
  <si>
    <t xml:space="preserve">Navigating Silences: The Everyday Relationship Betweern Chilean Mothers and the State. </t>
  </si>
  <si>
    <t>Marjorie Murray y Constanza Tizzoni</t>
  </si>
  <si>
    <t>Sociológia</t>
  </si>
  <si>
    <t>10.31577/sociologia.2024.56.4.13</t>
  </si>
  <si>
    <t>La caída del encarcelamiento en Chile: Un estudio sobre el comportamiento del sistema penal chileno y su impacto en la población penal</t>
  </si>
  <si>
    <t xml:space="preserve">Pilar Larroulet , Isabel Arriagada, Javier Wilenmann, </t>
  </si>
  <si>
    <t>Política Criminal</t>
  </si>
  <si>
    <t xml:space="preserve">Vol. 19 </t>
  </si>
  <si>
    <t xml:space="preserve"> Nº 37</t>
  </si>
  <si>
    <t>ISSN-e (only) 0718-3399</t>
  </si>
  <si>
    <t xml:space="preserve">10.4067/S0718-33992024000100354 </t>
  </si>
  <si>
    <t>Munoz-Rodriguez, Manuel; Ferrero, Rosana; Luna, Juan Pablo; Lima, Mauricio</t>
  </si>
  <si>
    <t>2024-07-03 00:00:00.000</t>
  </si>
  <si>
    <t>Local Government, Social Media and Management of COVID-19: The Case of Chilean Mayoral Communication</t>
  </si>
  <si>
    <t>Juan Pablo Luna, Daniel Alcatruz, Cristian Pérez Muñoz, Fernando Rosenblatt, Sergio Toro Maureira, Sebastián Valenzuela</t>
  </si>
  <si>
    <t>Political Communication (Taylor and Francis)</t>
  </si>
  <si>
    <t>1058-4609</t>
  </si>
  <si>
    <t>10.1080/10584609.2023.2290494</t>
  </si>
  <si>
    <t>Disjointed polarization in Chile's Enduring Crisis of Representation</t>
  </si>
  <si>
    <t>10.1017/lap.2024.47</t>
  </si>
  <si>
    <t>Telar and TelarKG: Data-Driven Insights into Chile's Constitutional Process</t>
  </si>
  <si>
    <t>Angles, Renzo; Bro, Naim; Donoso-Guzman, Ivania; Luna, Juan Pablo; Hogan, Aidan; Reutter, Juan; Rosales-Mendez, Henry; Toro, Sergio</t>
  </si>
  <si>
    <t>0001-0782</t>
  </si>
  <si>
    <t>2024-11-03 00:00:00.000</t>
  </si>
  <si>
    <t>Vigilar y cuidar. La ambivalencia de la participación ciudadana securitaria en Chile y Argentina</t>
  </si>
  <si>
    <t>Violeta Dickenstein y Alejandra Luneke</t>
  </si>
  <si>
    <t>Contemporánea. Revista Sociología UFS-Car</t>
  </si>
  <si>
    <t>2316-1329</t>
  </si>
  <si>
    <t>10.14244/contemp.v13i3.1272</t>
  </si>
  <si>
    <t>Poitics and Society</t>
  </si>
  <si>
    <t>10.1177/00323292221137192</t>
  </si>
  <si>
    <t>Teoría Crítica del Derecho y Justicia Social en las Américas</t>
  </si>
  <si>
    <t>Hugo Rojas, Sheila Vélez Martínez</t>
  </si>
  <si>
    <t>Meditaciones Stratherianas Relaciones, oscilaciones y sesgos a partir de dos ejemplos amerindios</t>
  </si>
  <si>
    <t xml:space="preserve">Marcelo González y Piergiorgio Di Giminiani </t>
  </si>
  <si>
    <t>Estudios Atacameños</t>
  </si>
  <si>
    <t>0716-0925</t>
  </si>
  <si>
    <t>10.5027/psicoperspectivas-Vol23-Issue3-fulltext-3279</t>
  </si>
  <si>
    <t>When my neighborhood woke up: Knitting collective action in disadvantaged areas amid the 2019 Chilean uprising</t>
  </si>
  <si>
    <t>Manuela Badilla y Alicia Olivari</t>
  </si>
  <si>
    <t>Peace and Conflict: Journal of Peace Psychology</t>
  </si>
  <si>
    <t>1078-1919</t>
  </si>
  <si>
    <t>10.1037/pac0000706</t>
  </si>
  <si>
    <t>La vida después del golpe. Presentación</t>
  </si>
  <si>
    <t>Daniela Jara y Manuela Badilla</t>
  </si>
  <si>
    <t>Atenea Universidad de Concepción</t>
  </si>
  <si>
    <t>10.29393/At528-14PSDM20014</t>
  </si>
  <si>
    <t xml:space="preserve"> La construcción del lenguaje global de los derechos humanos en el Chile posdictatorial: un análisis de la representación local del caso Letelier</t>
  </si>
  <si>
    <t>10.29393/at528-17cldm20017</t>
  </si>
  <si>
    <t>Memorias sociales y política. Reflexiones sobre el proceso constituyente en Chile</t>
  </si>
  <si>
    <t>Félix Aguirre Díaz, María Angélica Cruz Contreras, María José Reyes Andreani, Manuela Badilla, Francisco Jeanneret Brith, Paula Eguren Álvarez, Juan Fernando Pavez Pérez y Ernesto Bouey Vargas</t>
  </si>
  <si>
    <t xml:space="preserve"> Editorial Clacso</t>
  </si>
  <si>
    <t>978-987-813-718-6</t>
  </si>
  <si>
    <t>10.54871/ca24l10a</t>
  </si>
  <si>
    <t>Monument to the Chilean Women Victims of Political Repression</t>
  </si>
  <si>
    <t>Carolina Aguilera y Manuela Badilla</t>
  </si>
  <si>
    <t xml:space="preserve">Editorial Fordham University Press. </t>
  </si>
  <si>
    <t>10.1515/9781531506414-006</t>
  </si>
  <si>
    <t xml:space="preserve">The 2019-2020 Chilean Protests, the Emergence of a Movement of Urban Memories </t>
  </si>
  <si>
    <t>Alicia Olivari y Manuela Badilla</t>
  </si>
  <si>
    <t>Editorial Edward Elgar Publishing</t>
  </si>
  <si>
    <t>10.4337/9781839109652</t>
  </si>
  <si>
    <t>Una década de memorias en conflicto: la irrupción de nuevas temporalidades y de los DDHH en las protestas de la última década.</t>
  </si>
  <si>
    <t>Editorial Palgrave MacMillan</t>
  </si>
  <si>
    <t>978-3-031-58134-2</t>
  </si>
  <si>
    <t>10.1007/978-3-031-58132-8</t>
  </si>
  <si>
    <t>Feminist and Dissident Counter-monumental Interventions: Urban Memory Struggles Between Santiago de Chile and Mexico City.</t>
  </si>
  <si>
    <t xml:space="preserve">Manuela Badilla y Alexander Ulrich Thygesen </t>
  </si>
  <si>
    <t xml:space="preserve">Art and the Public Sphere </t>
  </si>
  <si>
    <t>2042-793X</t>
  </si>
  <si>
    <t>10.1386/aps_00082_1</t>
  </si>
  <si>
    <t>De la “transmisión” a la “conexión” generacional de memorias en escenarios conflictivo</t>
  </si>
  <si>
    <t>María José Reyes, María Angélica Cruz Contreras, Francisco Jeanneret Brith, Manuela Badilla y Félix Aguirre</t>
  </si>
  <si>
    <t>Psicoperspectivas. Individuo y Sociedad</t>
  </si>
  <si>
    <t>10.5027/psicoperspectivas-vol23-issue3-fulltext-3279</t>
  </si>
  <si>
    <t>Conciencia jurídica y autoridad judicial: riesgo y desigualdades de género en procedimientos por violencia intrafamiliar (VIF) en Chile</t>
  </si>
  <si>
    <t>Ignacio Riquelme; Loreto Quiroz</t>
  </si>
  <si>
    <t>Novum Jus</t>
  </si>
  <si>
    <t>10.14718/NovumJus.2024.18.2.7</t>
  </si>
  <si>
    <t>Linchamientos, conciencia jurídica y enajenación legal en Chile: análisis de prensa</t>
  </si>
  <si>
    <t>Loreto Quiroz, Daniela Cornejo</t>
  </si>
  <si>
    <t>Delito y Sociedad</t>
  </si>
  <si>
    <t>ISSN:0328-0101</t>
  </si>
  <si>
    <t>10.14409/dys.2024.57.e0110</t>
  </si>
  <si>
    <t>From hard vigilantism to soft vigilantism in Latin America</t>
  </si>
  <si>
    <t>Antonio Fuentes Díaz, Loreto Quiroz Rojas, José González Zempoalteca</t>
  </si>
  <si>
    <t xml:space="preserve">Contemporânea Revista de Sociologia da UFSCar </t>
  </si>
  <si>
    <t>10.14244/contemp.v13i3.1263</t>
  </si>
  <si>
    <t>Reinhumaciones y memoriales de líderes históricos como metáforas de las transiciones en España y Chile</t>
  </si>
  <si>
    <t>Paloma Aguilar, Valentina Infante Batiste, Guillermo León</t>
  </si>
  <si>
    <t>Kamchatka</t>
  </si>
  <si>
    <t>10.7203/KAM.24.27550</t>
  </si>
  <si>
    <t>Memoriales funerarios en España y Chile: lugares de memoria, ámbitos de movilización y espejos de la transición</t>
  </si>
  <si>
    <t>Guillermo León, Paloma Aguilar, Valentina Infante Batiste</t>
  </si>
  <si>
    <t>Mélanges de la Casa de Velázquez</t>
  </si>
  <si>
    <t>10.4000/12s4c</t>
  </si>
  <si>
    <t>The toponymic battle: Renaming streets in Santiago de Chile 50 years after the military coup</t>
  </si>
  <si>
    <t>Valentina Infante Batiste</t>
  </si>
  <si>
    <t>Journal of Urban Affairs</t>
  </si>
  <si>
    <t>10.1080/07352166.2024.2374786</t>
  </si>
  <si>
    <t>Núcleo Milenario de Salmónidos Invasores Australes</t>
  </si>
  <si>
    <t>Mitigation measures for pinniped-fisheries interactions based on knowledge of animal behavior</t>
  </si>
  <si>
    <t>Barrios-Guzmán, C., H. Pavez, E. Crespo &amp; M. Sepúlveda</t>
  </si>
  <si>
    <t>ICES Journal of Marine Science</t>
  </si>
  <si>
    <t>10543139, 10959289</t>
  </si>
  <si>
    <t>10.1093/icesjms/fsae145</t>
  </si>
  <si>
    <t>Latitudinal changes of blubber fatty acids in the South American sea lion along the South-East Pacific coast</t>
  </si>
  <si>
    <t>Guerrero, A., TL. Rogers, C. Barrios-Guzmán, H. Heredia-Azuaje, F. Tala, M. Araya &amp; M. Sepúlveda</t>
  </si>
  <si>
    <t>Marine Environmental</t>
  </si>
  <si>
    <t>01411136, 18790291</t>
  </si>
  <si>
    <t>10.1016/j.marenvres.2024.106890</t>
  </si>
  <si>
    <t>Observations of Attacks on Sei and Fin Whales by Orcas in Magellanic Sub-Antarctic waters, Chile</t>
  </si>
  <si>
    <t xml:space="preserve">Schüttler, E., J. Rendoll-Cárcamo, M. Gañan, O. Barroso, T. Contador, D. Illanes, MJ. Palma, MJ. Pérez-Álvarez &amp; M. Sepúlveda. </t>
  </si>
  <si>
    <t>01675427, 19967292</t>
  </si>
  <si>
    <t>Patterns of surface temperature and link to environmental variables in Weddell seals from the western Antarctic Peninsula</t>
  </si>
  <si>
    <t>Vargas, N., M. Sepúlveda &amp; A. Guerrero</t>
  </si>
  <si>
    <t>07224060, 14322056</t>
  </si>
  <si>
    <t>10.1007/s00300-024-03258-5</t>
  </si>
  <si>
    <t>Zoning proposal for a Marine Protected Area in Chile: a conservation tool for large cetaceans</t>
  </si>
  <si>
    <t>Gutiérrez, E., L. Letelier, M. Santos-Carvallo, F. Barilari, L. Gutiérrez, MJ. Pérez-Alvarez &amp; M. Sepúlveda</t>
  </si>
  <si>
    <t xml:space="preserve">Ocean &amp; Coastal Management </t>
  </si>
  <si>
    <t>Understanding the oceanographic dynamics of the Isla Chañaral baleen whale feeding ground, (Humboldt Archipelago, Northern Chile) to extend habitat protection</t>
  </si>
  <si>
    <t>Buchan, S., J. Oyanadel, M. Santos-Carvallo, M. Ramos, L. Bedriñana-Romano, M. Valladares, M. Maldonado, O. Astudillo, M. Sepúlveda, S. Pearce &amp; C. Olavarría</t>
  </si>
  <si>
    <t xml:space="preserve">Frontiers of Marine Science </t>
  </si>
  <si>
    <t>10.3389/fmars.2023.1208262</t>
  </si>
  <si>
    <t>Habitat-based variation in the trophic ecology of the world’s highest-altitude self-sustaining population of invasive rainbow trout</t>
  </si>
  <si>
    <t>Karina González, Pablo Rivara, Felipe Docmac, Daniel Gómez-Uchida, Chris Harrod</t>
  </si>
  <si>
    <t>Knowledge and Management of Aquatic Ecosystems</t>
  </si>
  <si>
    <t>10.1051/kmae/2024015</t>
  </si>
  <si>
    <t>Diversification dynamics of a common deep-sea octocoral family linked to the Paleocene-Eocene thermal maximum</t>
  </si>
  <si>
    <t>Mónica Núñez-Flores,  Andrés Solórzano ,  Jorge Avaria-Llautureo,  Daniel Gomez-Uchida,  Pablo J. López-González</t>
  </si>
  <si>
    <t>Molecular Phylogenetics and Evolution</t>
  </si>
  <si>
    <t>10557903, 10959513</t>
  </si>
  <si>
    <t>10.1016/j.ympev.2023.107945</t>
  </si>
  <si>
    <t>Indigenous Knowledge in Post-Pandemic Cultural Tourism: Discussion from Arauco Territories, Chile</t>
  </si>
  <si>
    <t>Carrasco Henríquez, N; Cid Aguayo, Beatriz  Neves Guzmán, Camila  and Orellana Ojeda Juanita.</t>
  </si>
  <si>
    <t>Heritage</t>
  </si>
  <si>
    <t>10.3390/heritage7020040</t>
  </si>
  <si>
    <t>‘I know how to live from what the hill gives’: biocultural uses, tensions and partial reconstructions around the common goods of the Cerro Caracol urban park</t>
  </si>
  <si>
    <t>Cid Aguayo, Beatriz; Olivero, Verónica; Oñate, Diego y Gajardo, Anahí</t>
  </si>
  <si>
    <t>Community Development Journal</t>
  </si>
  <si>
    <t>00103802, 14682656</t>
  </si>
  <si>
    <t xml:space="preserve">10.1093/cdj/bsad038 </t>
  </si>
  <si>
    <t>Ecological experiences and perceptions of small-scale gillnet and purse seine fishers on seabirds and other non-target taxa in the Humboldt current system, Chile</t>
  </si>
  <si>
    <t>Suazo, C.G., C. Anguita, J. Ojeda, G. Luna-Jorquera, M. Sepúlveda &amp; O. Yates</t>
  </si>
  <si>
    <t xml:space="preserve">Marine Ornithology </t>
  </si>
  <si>
    <t>10.5038/2074-1235.52.1.1556</t>
  </si>
  <si>
    <t>Temporal and spatial population genetic variation in Chilean jack mackerel, Trachurus murphyi</t>
  </si>
  <si>
    <t>Canales-Aguirre CB, Ferrada-Fuentes S, Galleguillos R</t>
  </si>
  <si>
    <t>BioRxiv</t>
  </si>
  <si>
    <t>10.1101/2024.08.05.606603</t>
  </si>
  <si>
    <t>Influence of coastal oceanography on early life history traits of larval Patagonian sprat, Sprattus fuegensis along southeastern Pacific Ocean</t>
  </si>
  <si>
    <t>López-Soto, E; G. Ord, M. Castillo, G. Plaza, M.A. Cáceres, M.T. González, M. Sepúlveda, A.I. Guerrero, A. Piñones &amp; M. Landaeta</t>
  </si>
  <si>
    <t>Fisheries Oceanography</t>
  </si>
  <si>
    <t>10546006, 13652419</t>
  </si>
  <si>
    <t>10.1111/fog.12690</t>
  </si>
  <si>
    <t>Combining potential and realized distribution modeling of telemetry data for a bycatch risk assessment</t>
  </si>
  <si>
    <t>Frantz, B.H, M. Sepúlveda, M. García-Reyes, R. Vega, D.M. Palacios, L. Bedriñana-Romano, L.A. Hückstädt, M. Santos-Carvallo, J.D. Davis &amp; E. Hines</t>
  </si>
  <si>
    <t>10.1002/ece3.11541</t>
  </si>
  <si>
    <t>Rivers flowing to the Southern Pacific</t>
  </si>
  <si>
    <t>Nimptsch, J., Fierro, P., Górski, K., Colin, N., León Muñoz, J</t>
  </si>
  <si>
    <t>Rivers of South America (Elsevier)</t>
  </si>
  <si>
    <t>10.1016/B978-0-12-823429-7.00022-7</t>
  </si>
  <si>
    <t>Comunes Costeros: Una guia para su reconocimiento y cuidado</t>
  </si>
  <si>
    <t>Cid, Beatriz, Carrasco, Noelia, Ferrer, Ana</t>
  </si>
  <si>
    <t>AMUKAN</t>
  </si>
  <si>
    <t>10.29393/L4UDEC-10CCHN30010</t>
  </si>
  <si>
    <t>Ecological responses of freshwater macroinvertebrates to augmented drought: A literature review and projections</t>
  </si>
  <si>
    <t>Machuca-Sepulveda, J., López, M., Fierro, P., Beltrán, J., Norambuena, J-A., Pinheiro S. Oliveira, R., Zamorano, M., Farias, J.F.</t>
  </si>
  <si>
    <t>10.1016/j.ecolind.2024.112153</t>
  </si>
  <si>
    <t>Exploring the prokaryote-eukaryote interplay in microbial mats from an Andean athalassohaline wetland</t>
  </si>
  <si>
    <t>Carolina Cubillos, Pablo Aguilar, David Moreira, Paola Bertolino, Miguel Iniesto, Cristina Dorador, Purificacion Lopez-Garcia</t>
  </si>
  <si>
    <t>e00072-24</t>
  </si>
  <si>
    <t>10.1128/spectrum.00072-24</t>
  </si>
  <si>
    <t>Socioecology of farmed salmon escapes: 'Commons' and de-privatization of escaped salmon for better management of a potentially invasive species</t>
  </si>
  <si>
    <t>Beatriz Eugenia Cid-Aguayo,  Alfonso Henríquez,  Loreto Arias Ramírez,  Marcelo Durán Pérez,  Chris Harrod,  Daniel Gomez-Uchida</t>
  </si>
  <si>
    <t>308-597-x</t>
  </si>
  <si>
    <t>10.1016/j.marpol.2023.105935</t>
  </si>
  <si>
    <t>Tidal levels significantly change bacterial community composition in a tropical estuary during the dry season</t>
  </si>
  <si>
    <t>Pablo Aguilar, Chantima Piyapong, Nitcha Chamroensaksri, Pachoenchoke Jintasaeranee &amp; Ruben Sommaruga  </t>
  </si>
  <si>
    <t>Marine Life Science &amp; Technology</t>
  </si>
  <si>
    <t>2096-6490</t>
  </si>
  <si>
    <t>10.1007/s42995-024-00254-w</t>
  </si>
  <si>
    <t>Distribution and life cycles of mayflies Andesiops torrens (Lugo-Ortiz and McCafferty, 1999) and Andesiops peruvianus (Ulmer, 1920) (Ephemeroptera: Baetidae): importance for environmental monitoring</t>
  </si>
  <si>
    <t>Fierro, P., Barrientos, P., Montiel, S., Valdovinos, C</t>
  </si>
  <si>
    <t>Aquatic Insects</t>
  </si>
  <si>
    <t>0165-0424</t>
  </si>
  <si>
    <t>10.1080/01650424.2024.2428863</t>
  </si>
  <si>
    <t>Ecological variation in invasive brown trout (Salmo trutta) within a remote coastal river catchment in northern Patagonia complicates estimates of invasion impact</t>
  </si>
  <si>
    <t>Paulina Andrea Bahamonde, Gustavo Chiang, Gabriela Mancilla, Tamara Contador, Caudio Quezada-Romegialli, Kelly Roland Munkittrick, Chris Harrod</t>
  </si>
  <si>
    <t>Journal of Fish Biology</t>
  </si>
  <si>
    <t>0022-1112</t>
  </si>
  <si>
    <t>10.1111/jfb.15559</t>
  </si>
  <si>
    <t>Feeding behavior of blue whales (Balaenoptera musculus) during austral summer in northern Chilean Patagonia</t>
  </si>
  <si>
    <t>ADI AYOUB, FRANCESCO CARUSO, PAOLO SEGRE, LEIGH HICKMOTT, JOSEPH D. WARREN, GUSTAVO CHIANG, PAULINA BAHAMONDE and ALESSANDRO BOCCONCELLI</t>
  </si>
  <si>
    <t xml:space="preserve">Ethology Ecology &amp; Evolution </t>
  </si>
  <si>
    <t>0394-9370</t>
  </si>
  <si>
    <t>10.1080/03949370.2024.2419125</t>
  </si>
  <si>
    <t>Bottom-up processes drive isotopic variation in the South American sea lion Otaria flavescens across a 2300 km latitudinal gradient</t>
  </si>
  <si>
    <t>C. Barrios-Guzmán, C. Harrod, A. Guerrero, L. Muñoz, G. Pavez, R. Quiñones, H. Reyes, M. Santos-Carvallo, P. M. Zárate, S.D. Newsome &amp; M. Sepúlveda.</t>
  </si>
  <si>
    <t>10.1016/j.marenvres.2024.106732</t>
  </si>
  <si>
    <t>Salmon farming, overfishing and Southern sea lion: not so opportunistic responses of a top predator to human perturbations in the Patagonian Fjords</t>
  </si>
  <si>
    <t>Heredia-Azuaje H, Niklitschek E, Sepúlveda M, Harrod C, Guerrero A, Peña G, Pacheco B, Gomez-Uchida D, Canales-Aguirre CB, Toledo P.</t>
  </si>
  <si>
    <t>02727714, 10960015</t>
  </si>
  <si>
    <t>10.1016/j.ecss.2024.108669</t>
  </si>
  <si>
    <t>2023-12-04 00:00:00.000</t>
  </si>
  <si>
    <t>Species tree analyses and protracted species delimitation support new species in the relict catfish family Diplomystidae and provide insights on recent glacial history in Patagonia</t>
  </si>
  <si>
    <t>Munoz-Ramirez CP, Colin N, Canales-Aguirre CB, Manosalva A, López-Rodríguez R, Sukumaran J, Gorski K.</t>
  </si>
  <si>
    <t>10.1016/j.ympev.2023.107932</t>
  </si>
  <si>
    <t>Reproductive endocrine disruption in fishes</t>
  </si>
  <si>
    <t>Elizabeth B. Allmon a, C. Melman Neill a b, Paulina A. Bahamonde Cárdenas c, Maria S. Sepúlveda a d, Elizabeth B. Allmon, C. Melman Neill, Paulina A. Bahamonde Cárdena, Maria S. Sepúlveda</t>
  </si>
  <si>
    <t>Encyclopedia of Fish Physiology</t>
  </si>
  <si>
    <t>978-0-323-99761-4</t>
  </si>
  <si>
    <t>10.1016/B978-0-323-90801-6.00054-9</t>
  </si>
  <si>
    <t>Risk map of human intake of mercury through fish consumption in Latin America and the Caribbean.</t>
  </si>
  <si>
    <t xml:space="preserve">Vergara E., Pancetti F., Zúñiga L., Fabres K. and Bahamonde P.A. </t>
  </si>
  <si>
    <t>Frontiers in Sustainable Food Systems</t>
  </si>
  <si>
    <t>2571-581X</t>
  </si>
  <si>
    <t>10.3389/fsufs.2024.1470683</t>
  </si>
  <si>
    <t>Oliva, M.E.; Ñacari, L.A.; Escribano, R.; Luque, J.L.</t>
  </si>
  <si>
    <t>Two new Neotetraonchus species (Dactylogyridea, Dactylogyridae) parasitising the Peruvian sea catfish Galeichthys peruvianus (Siluriformes, Ariidae), including molecular data</t>
  </si>
  <si>
    <t>Cruces, C., Chero, J., Ñacari, L. A., De Celis, V. R., Simões, R., &amp; Luque, J. L</t>
  </si>
  <si>
    <t>Journal of Helminthology</t>
  </si>
  <si>
    <t>0022149X, 14752697</t>
  </si>
  <si>
    <t>10.1017/S0022149X24000208.</t>
  </si>
  <si>
    <t>2024-10-12 00:00:00.000</t>
  </si>
  <si>
    <t>Metazoan Parasites of Antimora rostrata (Günther, 1878) (Gadiformes: Moridae) from the Deep Sea in the Southeastern Pacific Ocean</t>
  </si>
  <si>
    <t>. Ñacari, L. A., Escribano, R., &amp; Oliva, M. E.</t>
  </si>
  <si>
    <t>Celebrating recent innovations in the application of stable isotopes to fish biology</t>
  </si>
  <si>
    <t>Oliver N Shipley, Bailey C McMeans, Chris Harrod, Brittany S Graham, Seth D Newsome</t>
  </si>
  <si>
    <t>00221112, 10958649</t>
  </si>
  <si>
    <t>10.1111/jfb.15880</t>
  </si>
  <si>
    <t>Holocene interactions between marine nomads and their coastal landscape in the Strait of Magellan, southern Patagonia: Ichthyoarchaeological and isotopic evidence</t>
  </si>
  <si>
    <t>Jimena Torres, Karina González, Francisca Santana-Sagredo, Claudia Andrade, Manuel San Román, Chris Harrod</t>
  </si>
  <si>
    <t>Journal of Archaeological Science: Reports</t>
  </si>
  <si>
    <t>2352409X</t>
  </si>
  <si>
    <t>10.1016/j.jasrep.2024.104712</t>
  </si>
  <si>
    <t>Differences in the adulteration degree and antimicrobial activity of chilean ulmo honey versus multifloral honey revealed by stable isotope analysis</t>
  </si>
  <si>
    <t>Pablo Pérez, Paris Lavín, Chris Harrod, Pedro Echeveste</t>
  </si>
  <si>
    <t>Food Control</t>
  </si>
  <si>
    <t>10.1016/j.foodcont.2024.110590</t>
  </si>
  <si>
    <t>How strongly does diet variation explain variation in isotope values of animal consumers?</t>
  </si>
  <si>
    <t>Jean-François Arnoldi, Jenny Rose Bortoluzzi, Hugh Rowland, Chris Harrod, Andrew C Parnell, Nicholas Payne, Ian Donohue, Andrew L Jackson</t>
  </si>
  <si>
    <t>PLoS ONE</t>
  </si>
  <si>
    <t>e0301900</t>
  </si>
  <si>
    <t>10.1371/journal.pone.0301900</t>
  </si>
  <si>
    <t>Why aquatic scientists should use sulfur stable isotope ratios (ẟ34S) more often</t>
  </si>
  <si>
    <t>Vincent Raoult, Alexandra A Phillips, James Nelson, Yuri Niella, Christina Skinner, Miranda Bell Tilcock, Patrick J Burke, Paul Szpak, W Ryan James, Chris Harrod</t>
  </si>
  <si>
    <t>Chemosphere</t>
  </si>
  <si>
    <t>00456535, 18791298</t>
  </si>
  <si>
    <t>10.1016/j.chemosphere.2024.141816</t>
  </si>
  <si>
    <t>Metazoan diversity in Chilean hypersaline lakes unveiled by environmental DNA</t>
  </si>
  <si>
    <t>Mattia Saccò, Matthew A Campbell, Pablo Aguilar, Gonzalo Salazar, Tina E Berry, Matthew J Heydenrich, Angus Lawrie, Nicole E White, Chris Harrod, Morten E Allentoft</t>
  </si>
  <si>
    <t>bioRxiv</t>
  </si>
  <si>
    <t>10.1101/2024.10.01.616191</t>
  </si>
  <si>
    <t>Non-indigenous species and their realized niche in tidepools along the South-East Pacific coast</t>
  </si>
  <si>
    <t>David Jofré-Madariaga, Moisés A Aguilera Moya, Catharina Alves-de-Souza, Rene Matías Arias, Lars Gutow, Ricardo Antonio Jeldres Polanco, Erasmo C Macaya, Martín Munizaga Kappes, Leslie Nicole Ortiz Arancibia, Oscar Pino, Sabine Rech, Eva Rothäusler, Chris Harrod, Martin Thiel</t>
  </si>
  <si>
    <t>10.1016/j.marenvres.2024.106541</t>
  </si>
  <si>
    <t>Maternal care strategies differentially optimize the health and immunity of male and female South American fur seal pups</t>
  </si>
  <si>
    <t>Diego Joaquín Perez Venegas, Felipe Montalva, Josefina Gutierrez, Aranza Gómez-Camus, Antonia Angel, Claudia Ulloa-Contreras, Blanca E Molina-Burgos, Gustavo Chiang, Chris Harrod, Hector Pavés, Maritza Sepúlveda, Mauricio Seguel</t>
  </si>
  <si>
    <t>Ecological and Evolutionary Physiology</t>
  </si>
  <si>
    <t>10.1086/733793</t>
  </si>
  <si>
    <t>Detection of human enteric viral genes in a non-native winter crane fly, Trichocera maculipennis (Diptera) in the sewage treatment facilities at Antarctic stations</t>
  </si>
  <si>
    <t>Sook-Young Lee, Ji Hee Kim, Seunghyun Kang, Kye Chung Park, Sung Mi Cho, Carla Ximena Salinas, Lorena Rebolledo, Hugo A Benítez, Tamara Contador Mejías, Alvaro Soutullo, Eduardo Juri, Sanghee Kim</t>
  </si>
  <si>
    <t>Parasites &amp; Vectors</t>
  </si>
  <si>
    <t>10.1186/s13071-024-06555-4</t>
  </si>
  <si>
    <t>Guillaume Schwob, Lea Cabrol, Paula M Vidal, Yasna C Tapia, Fernando Moya, Tamara Contador, Julieta Orlando, Claudia S Maturana</t>
  </si>
  <si>
    <t>2296701X</t>
  </si>
  <si>
    <t>Variación morfométrica en poblaciones subantárticas de Liodessus chilensis (Coleoptera: Dytiscidae)</t>
  </si>
  <si>
    <t>Javier Rendoll-Cárcamo, Melisa Gañán, Brenda Riquelme del Río, Peter Convey, Tamara Contador</t>
  </si>
  <si>
    <t>10.22352/AIP202452009</t>
  </si>
  <si>
    <t>When ice and sea are not barriers for flies: First report of Trichocera maculipennis (Diptera) in South America</t>
  </si>
  <si>
    <t>Tamara Contador, Claudia S Maturana, Melisa Gañan, Javier Rendoll‐Cárcamo, Matías Troncoso‐Villar, James Kennedy, Peter Convey, Ewa Krzemińska, Sanghee Kim, Isabel Lobos, Alejandro Piñeiro, Jordan Hernandez, Hugo A Benítez</t>
  </si>
  <si>
    <t>1752458X, 17524598</t>
  </si>
  <si>
    <t>An outsider on the Antarctic Peninsula: A new record of the non-native moth Plodia interpunctella (Lepidoptera: Pyralidae)</t>
  </si>
  <si>
    <t>Hugo A Benitez, Carla Salinas, Jordan Hernández, Tamara Contador Mejías, Sanghee Kim, Claudia S Maturana, Lorena Rebolledo, Laura M Pérez, Paulo EAS Câmara, Vinícius Alves Ferreira, Isabel Lobos, Alejandro Piñeiro, Peter Convey</t>
  </si>
  <si>
    <t>e10838</t>
  </si>
  <si>
    <t>Hugo A Benítez, Carlos Muñoz-Ramírez, Margarita Correa, Ian S Acuña-Rodríguez, Amado Villalobos-Leiva, Tamara Contador, Nelson A Velásquez, Manuel J Suazo</t>
  </si>
  <si>
    <t>A conservation assessment of freshwater ecosystems in Southwestern Patagonia</t>
  </si>
  <si>
    <t>Brian Reid, Anna Astorga Roine, Isaí Madriz, Cristián Correa, Tamara Contador</t>
  </si>
  <si>
    <t>Springer International Publishing</t>
  </si>
  <si>
    <t>10.1007/978-3-031-39408-9_14</t>
  </si>
  <si>
    <t>Genetic selection for reduced parasite load in Atlantic salmon: Zero-sum game or a tool for group-level protection against sea lice?</t>
  </si>
  <si>
    <t>Jørgen Ødegård, Matias Medina, Jacob S Torgersen, Sven A Korsvoll, Robert Deerenberg, José M Yáñez, Daniela Cichero, Paulina Lopez, Thomas Moen, Sissel Kjøglum</t>
  </si>
  <si>
    <t>10.1016/j.aquaculture.2023.740438</t>
  </si>
  <si>
    <t>Prioritized imputed sequence variants from multi-population GWAS improve prediction accuracy for sea lice count in Atlantic salmon (Salmo salar)</t>
  </si>
  <si>
    <t>Baltasar F. Garcia,  Pablo A. Cáceres,  Rodrigo Marín-Nahuelpi,  Paulina Lopez,  Daniela Cichero,  Jørgen Ødegård,  Thomas Moen,  José M. Yáñez</t>
  </si>
  <si>
    <t>10.1016/j.aquaculture.2023.740422</t>
  </si>
  <si>
    <t>Meta-analysis of GWAS for sea lice load in Atlantic salmon</t>
  </si>
  <si>
    <t>Pablo Cáceres, Paulina Lopéz, Baltasar Garcia, Daniela Cichero, Jorgen Ødegård, Thomas Moen, José M Yáñez</t>
  </si>
  <si>
    <t>10.1016/j.aquaculture.2024.740543</t>
  </si>
  <si>
    <t>First paired observations of sexual behavior and calls in wild leopard seals</t>
  </si>
  <si>
    <t>Kienle S., Bonin C., Gómez G., Goebel M., Donke M., Sperou E., Guerrero A.I., Borras-Chavez R.</t>
  </si>
  <si>
    <t>10.1007/s00300-024-03275-4</t>
  </si>
  <si>
    <t>Biomarker selection depends on gene function and organ: the case of the cytochrome P450 family genes in freshwater fish exposed to chronic pollution</t>
  </si>
  <si>
    <t xml:space="preserve"> Jorge Cortés-Miranda, Noemí Rojas-Hernández, Gigliola Muñoz, Sylvia Copaja, Claudio Quezada-Romegialli, David Veliz, Caren Vega-Retter​</t>
  </si>
  <si>
    <t>PeerJ</t>
  </si>
  <si>
    <t xml:space="preserve">e16925 </t>
  </si>
  <si>
    <t>2167-8359</t>
  </si>
  <si>
    <t>10.7717/peerj.16925</t>
  </si>
  <si>
    <t>Diet of Andean Leaf-Eared Mice (Phyllotis) Living at Extreme Elevations on Atacama Volcanoes: Insights From Metagenomics, DNA Metabarcoding, and Stable Isotopes</t>
  </si>
  <si>
    <t>Claudio Quezada- Romegialli, Marcial Quiroga- Carmona, Guillermo D'Elía, Chris Harrod &amp; Jay F. Storz</t>
  </si>
  <si>
    <t>e70591</t>
  </si>
  <si>
    <t>10.1002/ece3.70591</t>
  </si>
  <si>
    <t>Comparing trophic position estimates using bulk and compound specific stable isotope analyses: applying new approaches to mackerel icefish Champsocephalus gunnari</t>
  </si>
  <si>
    <t xml:space="preserve"> Jose Antonio Canseco​, Edwin J. Niklitschek​, Claudio Quezada-Romegialli, Chris Yarnes, Chris Harrod</t>
  </si>
  <si>
    <t xml:space="preserve">e17372 </t>
  </si>
  <si>
    <t>10.7717/peerj.17372</t>
  </si>
  <si>
    <t>Occurrence, residency, and habitat characterization of leopard seals in Chile</t>
  </si>
  <si>
    <t>Borras-Chavez R., Soteres R., Gómez G., Martínez F., Fernández-Ferrada N., Castillo-Aguilar M, Moreno Azua F., Dougnac C., Arredondo C., Brown N., Sperou E., Bonin C., Goebel M., Guerrero A.I., Donke M., Kienle S.</t>
  </si>
  <si>
    <t>10.3389/fevo.2024.1448098.</t>
  </si>
  <si>
    <t>Núcleo Milenio Agronomía marina de los holobiontes de las algas</t>
  </si>
  <si>
    <t>Biosecurity baseline for a sustainable development of seaweed aquaculture in Latin America</t>
  </si>
  <si>
    <t>Mendez, C., Bustamante, D.E., Calderon, M.S., Gauna, C., Hayashi, L., Robledo, D., Tapia-Larios, C., Campbell, I., Westermeier, R., Murua, P.</t>
  </si>
  <si>
    <t>10.1016/j.marpol.2023.105747</t>
  </si>
  <si>
    <t>Assessment of local adaptation and outbreeding risks in contrasting thermal environments of the giant kelp, Macrocystis pyrifera</t>
  </si>
  <si>
    <t>Solas, M., Correa, R.A., Barria, F., Garces, C., Camus, C., Faugeron, S.</t>
  </si>
  <si>
    <t>Journal of Applied Phycology</t>
  </si>
  <si>
    <t>0921-8971</t>
  </si>
  <si>
    <t>10.1007/s10911-023-031119-4</t>
  </si>
  <si>
    <t>Deep-ocean seaweed dumping for carbon sequestration: Questionable, risky, and not the best use of valuable biomass</t>
  </si>
  <si>
    <t>Chopin, T., Costa-Pierce, B.A., Troell, M., Hurd, C.L., Costello, M.J., Backman, S., Buschmann, A.H., Cuhel, R., Duarte, C.M., Grondahl, F., Heasman, K., Haroun, R.J., Johansen, J., Jueterbock, A., Lench, M., Lindell, S., PAvia, H., Ricart, A.M., Sundell, K.S., Yarish, C.</t>
  </si>
  <si>
    <t>10.1016/j.oneear.2024.01.013</t>
  </si>
  <si>
    <t>Giant kelp (Macrocystis pyrifera) morphological and reproductive strategies in two contrasting sub-Antartic forests</t>
  </si>
  <si>
    <t>Kaminsky, J., Bagur, M., Schloss, I.R., Diodato, S., Rodriguez, M., Buschmann, A.H., Quartino, M.L.</t>
  </si>
  <si>
    <t>10.1007/s00227-023-04341-x</t>
  </si>
  <si>
    <t>Performamce of the estuarine alga Punctaria latifolia (Phaeophyceae) under different abiotic culture conditions</t>
  </si>
  <si>
    <t>Poza, A.M., Fernández, C., Croce, M.E., Gauna, M.C., Buschmann, A.H.</t>
  </si>
  <si>
    <t>1573-5176</t>
  </si>
  <si>
    <t>10.1007/s10811-024-03212-2</t>
  </si>
  <si>
    <t>Natural biocontrol of a Porphyra sp. pest on farmed Gracilaria chilensis by a pythiosis outbreak</t>
  </si>
  <si>
    <t xml:space="preserve">Muñoz, L., Patiño, D.J., Murua, P. </t>
  </si>
  <si>
    <t>10.1007/s10811-024-03228-8</t>
  </si>
  <si>
    <t>Feasibility of bioplastic production using micro and macroalgae: a review</t>
  </si>
  <si>
    <t>Sudhakar, M.P., Maurya, R., Mehariya, S., Karthikeyan, P.P., Dharani, G., Arunkumar, K., Pereda, S.V., Hernandez-Gonzalez, M.C., Buschmann, A.H., Pugazhendhi, A.</t>
  </si>
  <si>
    <t>Environmental Research</t>
  </si>
  <si>
    <t>0013-9351</t>
  </si>
  <si>
    <t>10.1016/j.envres.2023.117465</t>
  </si>
  <si>
    <t>Impact of persistent barrier to gene flow and catastrophic events on red algae evolutionary history along the Chilean coast</t>
  </si>
  <si>
    <t>Huanel, O.R., Montecinos, A.E., Sepulveda-Espinoza, F., Guillemin, M.L.</t>
  </si>
  <si>
    <t>Frontiers in Genetics</t>
  </si>
  <si>
    <t>1664-8021</t>
  </si>
  <si>
    <t>10.3389/fgene.2024.1336427</t>
  </si>
  <si>
    <t>Deep-ocean seaweed dumping for carbon sequestration: questionable, risky, and not the best use of valuable biomass</t>
  </si>
  <si>
    <t>2590-3322</t>
  </si>
  <si>
    <t>Cosmopolitan geographic distribution of Phaeosaccion multiseriatum (Phaeosacciaceae, Phaeosacciophyceae), and description of P. westermeieri sp. nov. from Chile</t>
  </si>
  <si>
    <t>Akira F. Peters, Liliana A. Muñoz, Niko R. Johansson, Anastasia Rizouli, Michael D. Guiry, Ga Youn Cho and Frithjof C. Küpper</t>
  </si>
  <si>
    <t>Botanica Marina</t>
  </si>
  <si>
    <t>1437-4323</t>
  </si>
  <si>
    <t>10.1515/bot-2024-0004</t>
  </si>
  <si>
    <t>2024-06-16 00:00:00.000</t>
  </si>
  <si>
    <t>Diverse inorganic carbon uptake strategies in Antarctic seaweeds: Revealing species-specific responses and implications for Ocean Acidification</t>
  </si>
  <si>
    <t>Pamela A. Fernandez, Charles D. Amsler, Catriona L. Hurd, Patricio A. Díaz, Juan Diego Gaitan-Espitia, Erasmo C. Macaya, Andreas Schmider-Martínez, Ignacio Garrido, Pedro Murúa, Alejandro H. Buschmann</t>
  </si>
  <si>
    <t>10.1016/j.scitotenv.2024.174006</t>
  </si>
  <si>
    <t>Machine learning modeling of lake chlorophyll content in a data scarce region (Northern Patagonia, Chile): insights for environmental monitoring"</t>
  </si>
  <si>
    <t>Luciano Caputo, Cristian Rios Molina, Roxanna Ayllon and Iván Felipe Benavides</t>
  </si>
  <si>
    <t>Inland Waters</t>
  </si>
  <si>
    <t>2044-2041</t>
  </si>
  <si>
    <t>10.1080/20442041.2024.2359329</t>
  </si>
  <si>
    <t>Effects of pH, Temperature, and Light on the Inorganic Carbon Uptake Strategies in Early Life Stages of Macrocystis pyrifera (Ochrophyta, Laminariales)</t>
  </si>
  <si>
    <t>Labbé, B.S.; Fernández, P.A.; Florez, J.Z.; Buschmann, A.H.</t>
  </si>
  <si>
    <t>10.3390/plants13233267</t>
  </si>
  <si>
    <t>Prevalence and seasonal variation of Olpidiopsis porphyrae (Oomycota) infecting red algal Bangiales from the Southern Pacific</t>
  </si>
  <si>
    <t>Pedro Murúa, Liliana Muñoz, Yacine Badis, Pieter van West &amp; Claire M.M. Gachon</t>
  </si>
  <si>
    <t>European Journal of Phycology</t>
  </si>
  <si>
    <t>1469-4433</t>
  </si>
  <si>
    <t>10.1080/09670262.2024.2383980</t>
  </si>
  <si>
    <t>Evolutionary genomics of the emergence of brown algae as key components of coastal ecosystems</t>
  </si>
  <si>
    <t xml:space="preserve">Rance Denoeud ∙ Olivier Godfroy ∙ Corinne Cruaud ∙ Svenja Heesch ∙ Zofia Nehr ∙ Nachida Tadrent ∙ Arnaud Couloux ∙ Loraine Brillet-Guéguen ∙ Ludovic Delage ∙ Dean Mckeown ∙ Taizo Motomura ∙ Duncan Sussfeld ∙ Xiao Fan ∙ Lisa Mazéas ∙ Nicolas Terrapon ∙ Josué Barrera-Redondo ∙ Romy Petroll ∙ Lauric Reynes ∙ Seok-Wan Choi ∙ Jihoon Jo ∙ Kavitha Uthanumallian ∙ Kenny Bogaert ∙ Céline Duc ∙ Pélagie Ratchinski ∙ Agnieszka Lipinska ∙ Benjamin Noel ∙ Eleanor A. Murphy ∙ Martin Lohr ∙ Ananya Khatei ∙ Pauline Hamon-Giraud ∙ Christophe Vieira ∙ Komlan Avia ∙ Svea Sanja Akerfors ∙ Shingo Akita ∙ Yacine Badis ∙ Tristan Barbeyron ∙ Arnaud Belcour ∙ Wahiba Berrabah ∙ Samuel Blanquart ∙ Ahlem Bouguerba-Collin ∙ Trevor Bringloe ∙ Rose Ann Cattolico ∙ Alexandre Cormier ∙ Helena Cruz de Carvalho ∙ Romain Dallet ∙ Olivier De Clerck ∙ Ahmed Debit ∙ Erwan Denis ∙ Christophe Destombe ∙ Erica Dinatale ∙ Simon Dittami ∙ Elodie Drula ∙ Sylvain Faugeron ∙ Jeanne Got ∙ Louis Graf ∙ Agnès Groisillier ∙ Marie-Laure Guillemin ∙ Lars Harms ∙ William John Hatchett ∙ Bernard Henrissat ∙ Galice Hoarau ∙ Chloé Jollivet ∙ Alexander Jueterbock ∙ Ehsan Kayal ∙ Andrew H. Knoll ∙ Kazuhiro Kogame ∙ Arthur Le Bars ∙ Catherine Leblanc ∙ Line Le Gall ∙ Ronja Ley ∙ Xi Liu ∙ Steven T. LoDuca ∙ Pascal Jean Lopez ∙ Philippe Lopez ∙ Eric Manirakiza ∙ Karine Massau ∙ Stéphane Mauger ∙ Laetitia Mest ∙ Gurvan Michel ∙ Catia Monteiro ∙ Chikako Nagasato ∙ Delphine Nègre ∙ Eric Pelletier ∙ Naomi Phillips ∙ Philippe Potin ∙ Stefan A. Rensing ∙ Ellyn Rousselot ∙ Sylvie Rousvoal ∙ Declan Schroeder ∙ Delphine Scornet ∙ Anne Siegel ∙ Leila Tirichine ∙ Thierry Tonon ∙ Klaus Valentin ∙ Heroen Verbruggen ∙ Florian Weinberger ∙ Glen Wheeler ∙ Hiroshi Kawai ∙ Akira F. Peters ∙ Hwan Su Yoon ∙ Cécile Hervé ∙ Naihao Ye ∙ Eric Bapteste ∙ Myriam Valero ∙ Gabriel V. Markov ∙ Erwan Corre ∙ Susana M. Coelho ∙ Patrick Wincker ∙ Jean-Marc Au.   </t>
  </si>
  <si>
    <t>Cell</t>
  </si>
  <si>
    <t>1097-4172</t>
  </si>
  <si>
    <t>10.1016/j.cell.2024.10.049</t>
  </si>
  <si>
    <t>Functional prediction based on 16S rRNA metagenome data from bacterial microbiota associated with macroalgae from the Peruvian coastFunctional prediction based on 16S rRNA</t>
  </si>
  <si>
    <t>Bianca E. Vigil, Francisco Ascue, Rosmery Y. Ayala, Pedro Murúa, Martha S. Calderon &amp; Danilo E. Bustamante</t>
  </si>
  <si>
    <t>10.1038/s41598-024-69538-6</t>
  </si>
  <si>
    <t xml:space="preserve">The first phycopathological atlas in Latin America unveils the underdocumentation of algal pathogens </t>
  </si>
  <si>
    <t>Pedro Murúa, Liliana Muñoz, Danilo Bustamante, Cecilia Gauna, Leila Hayashi, Daniel Robledo, Martina Strittmatterb, Paola Arceb, Renato Westermeier, Dieter G. Müller, Claire M.M. Gachon</t>
  </si>
  <si>
    <t>10.1016/j.algal.2024.103604</t>
  </si>
  <si>
    <t>Núcleo Milenio Bioproductos, Genómica y Microbiología Ambiental</t>
  </si>
  <si>
    <t>Diplodia seriata Biocontrol Is Altered via Temperature and the Control of Bacteria</t>
  </si>
  <si>
    <t>Alejandra Larach, Paulina Vega-Celedón, Diyanira Castillo- Novales, Lorena Tapia, Italo Cuneo, Fabiola Cádiz, Michael Seeger and Ximena Besoain</t>
  </si>
  <si>
    <t>10.3390/microorganisms12020350</t>
  </si>
  <si>
    <t>The long‑chain flavodoxin FldX1 improves the biodegradation of 4‑hydroxyphenylacetate and 3‑hydroxyphenylacetate and counteracts the oxidative stress associated to aromatic catabolism in Paraburkholderia xenovorans</t>
  </si>
  <si>
    <t>Laura Rodríguez‑Castro, Roberto E. Durán, Valentina Méndez, Flavia Dorochesi, Daniela Zühlke, Katharina Riedel and Michael Seeger.</t>
  </si>
  <si>
    <t>10.1186/s40659-024-00491-4</t>
  </si>
  <si>
    <t>Synthesis and Degradation of the Phytohormone Indole-3-Acetic Acid by the Versatile Bacterium Paraburkholderia xenovorans LB400 and Its Growth Promotion of Nicotiana tabacum Plant</t>
  </si>
  <si>
    <t>Paulina Vega-Celedón, Diyanira Castillo-Novales, Guillermo Bravo, Franco Cárdenas, María José Romero-Silva, Michael Seeger</t>
  </si>
  <si>
    <t>PLANTS-BASEL</t>
  </si>
  <si>
    <t xml:space="preserve"> 2223-7747</t>
  </si>
  <si>
    <t>10.3390/plants13243533</t>
  </si>
  <si>
    <t>Deep learning-based classification of visual symptoms of bacterial wilt disease caused by Ralstonia solanacearum in tomato plants</t>
  </si>
  <si>
    <t>J.P. Vásconez, I.N. Vásconez, V. Moyad, M.J. Calderón-Díaz, M. Valenzuela, X. Besoain, M. Seeger, F. Auat Cheein</t>
  </si>
  <si>
    <t>Computers and Electronics in Agriculture</t>
  </si>
  <si>
    <t>Part 2</t>
  </si>
  <si>
    <t>10.1016/j.compag.2024.109617</t>
  </si>
  <si>
    <t>Natural Bactericidal Effects of Psoralea glandulosa Essential Oil for the Control of Bacterial Canker and Speck in Tomato</t>
  </si>
  <si>
    <t xml:space="preserve">Iván Montenegro, Miryam Valenzuela Ormeño, Michael Seeger, Ximena Besoain, Patricio Godoy, Enrique Werner, Nelson Caro, Yusser Olguín, Manuel Valenzuela, Valentina Silva and Alejandro Madrid </t>
  </si>
  <si>
    <t>Agronomy</t>
  </si>
  <si>
    <t>2073-4395</t>
  </si>
  <si>
    <t>10.3390/agronomy14112615</t>
  </si>
  <si>
    <t xml:space="preserve">Unveiling metabolo-genomic insights of potent antitumoral and antibiotic activity in Streptomyces sp. VB1 from Valparaíso Bay </t>
  </si>
  <si>
    <t>Néstor Serna-Cardona, Leonardo Zamora-Leiva, Eduardo Sánchez-Carvajal, Fernanda P. Claverías, Andrés Cumsille, Karla Alexa Pentón, Beatriz Vivanco, Alesia Tietze, Catherine Tessini and Beatriz Cámara</t>
  </si>
  <si>
    <t xml:space="preserve">10.3389/fmicb.2024.1463911 </t>
  </si>
  <si>
    <t>Agricultural Managements Influence the Diversity of Arbuscular Mycorrhizal Fungi in Vineyards from Chilean Mediterranean Climate Ecosystems</t>
  </si>
  <si>
    <t>Ana Aguilar‑Paredes,  Alessandra Turrini, Luciano Avio, Cristian Stuardo, Alexis Velásquez,  José Becerra, Manuela Giovannetti, Michael Seeger</t>
  </si>
  <si>
    <t>10.1007/s42729-024-01963-y</t>
  </si>
  <si>
    <t>First Report of Erwinia aphidicola Causing Bulb Rot of Onion in Chile</t>
  </si>
  <si>
    <t>Miryam Valenzuela, Michelle Pena MacLellan, Jeannette Guajardo, Fernando Dorta, Michael Seeger, and Bhabesh Dutta</t>
  </si>
  <si>
    <t>Plant Disease</t>
  </si>
  <si>
    <t>0191-2917</t>
  </si>
  <si>
    <t>10.1094/PDIS-05-24-1020-PDN</t>
  </si>
  <si>
    <t>Microbiomes of urban trees: unveiling contributions to atmospheric pollution mitigation</t>
  </si>
  <si>
    <t>Isabella Gandolfi, Claudia Canedoli, Asia Rosatelli, Stefano Covino, David Cappelletti, Bartolomeo Sebastiani, Valeria Tatangelo, Davide Corengia, Francesca Pittino, Emilio Padoa-Schioppa, Ximena Báez-Matus, Lisette Hernández, Michael Seeger, Zaki Saati-Santamaría, Paula García-Fraile, Rubén López-Mondéjar, Roberto Ambrosini, Maddalena Papacchini and Andrea Franzetti</t>
  </si>
  <si>
    <t>10.3389/fmicb.2024.1470376</t>
  </si>
  <si>
    <t xml:space="preserve">Antimicrobial Activity of Drimanic Sesquiterpene Compounds from Drimys winteri against Multiresistant Microorganisms </t>
  </si>
  <si>
    <t>Iván Montenegro, Rolando Pazmiño, Ileana Araque, Alejandro Madrid, Ximena Besoain, Enrique Werner, Luis Espinoza-Catalán, Andrés F. Olea, Claudio Parra, Valentina Navarrete Molina, Patricio Godoy, Yusser Olguín and Mauricio A. Cuellar.</t>
  </si>
  <si>
    <t>Molecules</t>
  </si>
  <si>
    <t>10.3390/molecules29122844</t>
  </si>
  <si>
    <t>Novel Insights on Extracellular Electron Transfer Networks in the Desulfovibrionaceae Family: Unveiling the Potential Significance of Horizontal Gene Transfer</t>
  </si>
  <si>
    <t>Valentina Gonzalez, Josefina Abarca-Hurtado, Alejandra Arancibia, Fernanda Claverías, Miguel R. Guevara, Roberto Orellana</t>
  </si>
  <si>
    <t>MICROORGANISMS</t>
  </si>
  <si>
    <t xml:space="preserve"> 2076-2607</t>
  </si>
  <si>
    <t>10.3390/ microorganisms12091796</t>
  </si>
  <si>
    <t>Núcleo Milenio de  Neuroepigenética  y Plasticidad</t>
  </si>
  <si>
    <t>2024-04-20 00:00:00.000</t>
  </si>
  <si>
    <t>Samantha Acevedo , Alejandra A. Covarrubias, Paola Haeger, Floria Pancetti, Fadia Tala, and Erwin de la Fuente-Ortega</t>
  </si>
  <si>
    <t>10.3390/antiox13050618.</t>
  </si>
  <si>
    <t>Exercise reduces physical alterations in a rat model of fetal alcohol spectrum disorders</t>
  </si>
  <si>
    <t xml:space="preserve">Ronald Vargas-Foitzick, Bayron García-Ordenes, Donovan Iratchet, Angie Acuña, Spencer Alcayaga, Cristian Fernández, Karla Toledo, Marianela Rodríguez, Carolina Naranjo, René Bustamante &amp; Paola A Haeger </t>
  </si>
  <si>
    <t xml:space="preserve">10.1186/s40659-024-00520-2 </t>
  </si>
  <si>
    <t>2024-08-24 00:00:00.000</t>
  </si>
  <si>
    <t>Skeletal myotubes expressing ALS mutant SOD1 induce pathogenic changes, impair mitochondrial axonal transport, and trigger motoneuron death</t>
  </si>
  <si>
    <t>Pablo Martínez , Mónica Silva , Sebastián Abarzúa , María Florencia Tevy , Enrique Jaimovich , Martha Constantine‑Paton , Fernando J. Bustos, and Brigitte van Zundert</t>
  </si>
  <si>
    <t>Molecular Medicine</t>
  </si>
  <si>
    <t>10.1186/s10020-024-00942-4</t>
  </si>
  <si>
    <t>Deletion of VPS50 protein in mouse brain impairs synaptic function and behavior</t>
  </si>
  <si>
    <t xml:space="preserve">Constanza Ahumada‑Marchant, Carlos Ancatén‑Gonzalez, Henny Haensgen1, Bastian Brauer, Nicolas Merino‑Veliz, Rita Droste, Felipe Arancibia, H. Robert Horvitz, Martha Constantine‑Paton, Gloria Arriagada, Andrés E. Chávez and Fernando J. Bustos </t>
  </si>
  <si>
    <t>BMC Biology</t>
  </si>
  <si>
    <t>10.1186/s12915-024-01940-y</t>
  </si>
  <si>
    <t>RSPO/LGR signaling regulates proliferation of adult hippocampal neural stem cells</t>
  </si>
  <si>
    <t>Daniela Valenzuela-Bezanilla, Muriel D Mardones, Maximiliano Galassi, Sebastian B Arredondo, Sebastian H Santibanez, Stephanie Gutierrez-Jimenez, Nicolás Merino-Véliz, Fernando J Bustos, Lorena Varela-Nallar</t>
  </si>
  <si>
    <t>Stem Cells</t>
  </si>
  <si>
    <t>10.1093/stmcls/sxae065</t>
  </si>
  <si>
    <t>Wnt‑5a Signaling Mediates Metaplasticity at Hippocampal CA3–CA1 Synapses in Mice</t>
  </si>
  <si>
    <t>Jorge ParodI, Rodrigo G. Mira, Marco Fuenzalida, Waldo Cerpa, Felipe G. Serrano, Cherl Tapia-Rojas, Ataulfo Martínez-torres, Nibaldo C. Inestrosa</t>
  </si>
  <si>
    <t>Cellular and Molecular Neurobiology</t>
  </si>
  <si>
    <t>10.1007/s10571-024-01512-2</t>
  </si>
  <si>
    <t>Polett Garcés, Armando Amaro, Martin Montecino and Brigitte van Zundert</t>
  </si>
  <si>
    <t>Impact of KDM6B mosaic brain knockout on synaptic function and behavior</t>
  </si>
  <si>
    <t>Bastian Brauer, Carlos Ancatén‑González, Constanza Ahumada‑Marchant , Rodrigo C. Meza, Nicolas Merino‑Veliz, Gino Nardocci, Lorena Varela‑Nallar, Gloria Arriagada, Andrés E. Chávez  &amp; Fernando J. Bustos</t>
  </si>
  <si>
    <t>10.1038/s41598-024-70728-5</t>
  </si>
  <si>
    <t>Maternal immune activation alters temporal Precision of spike generation of CA1 pyramidal neurons by Unbalancing GABAergic inhibition in the Offspring</t>
  </si>
  <si>
    <t>Ernesto Griego, Camila Cerna, Isabel Sollozo-Dupont , Marco Fuenzalida, Emilio J. Galván</t>
  </si>
  <si>
    <t>Brain Behav Immun</t>
  </si>
  <si>
    <t>10.1016/j.bbi.2024.09.012</t>
  </si>
  <si>
    <t>New therapeutics for the prevention or amelioration of fetal alcohol spectrum disorders: a narrative review of the preclinical literature</t>
  </si>
  <si>
    <t>Montserrat Olivares-Costa, María Carolina Fabio, Erwin De la Fuente-Ortega, Paola A. Haeger &amp; Ricardo Pautassi</t>
  </si>
  <si>
    <t>The American Journal of Drug and Alcohol Abuse</t>
  </si>
  <si>
    <t>10.1080/00952990.2024.2361442</t>
  </si>
  <si>
    <t>Núcleo Milenio de Desigualdades y Oportunidades Digitales</t>
  </si>
  <si>
    <t xml:space="preserve">Marcelo Mendoza, Eliana Providel, Marcelo Santos &amp; Sebastián Valenzuela </t>
  </si>
  <si>
    <t>2023-12-20 00:00:00.000</t>
  </si>
  <si>
    <t>Politics and Media in Journalism &amp; Mass Communication Quarterly: A Centennial Research Retrospective</t>
  </si>
  <si>
    <t>Sebastián Valenzuela, Ingrid Bachmann, Regina G. Lawrence &amp; Homero Gil de Zúñiga</t>
  </si>
  <si>
    <t>Journalism &amp; Mass Communication Quarterly</t>
  </si>
  <si>
    <t>1077-6990</t>
  </si>
  <si>
    <t>10.1177/10776990231203542</t>
  </si>
  <si>
    <t>A Panel Study on the Dynamics of Social Media Use and Conspiracy Thinking</t>
  </si>
  <si>
    <t>Sebastián Valenzuela, Trevor Diehl, Sangwon Lee &amp; Daniel Halpern</t>
  </si>
  <si>
    <t>Media Psychology</t>
  </si>
  <si>
    <t>1532-785X</t>
  </si>
  <si>
    <t>10.1080/15213269.2023.2295522</t>
  </si>
  <si>
    <t>Sebastián Valenzuela &amp; Marcelo Santos</t>
  </si>
  <si>
    <t xml:space="preserve"> 2167-0811</t>
  </si>
  <si>
    <t>Think global, act local: How #MeToo hybridized across borders and platforms for contextual relevance</t>
  </si>
  <si>
    <t>Jiyoun Suk, Yibing Sun, Luhang Sun, Mengyu Li, Catalina Farías, Hyerin Kwon, Shreenita Ghosh, Porismita Borah, Darshana Sreedhar Mini, Teresa Correa, Christine Garlough &amp; Dhavan V Shah</t>
  </si>
  <si>
    <t>Information, Communication &amp; Society</t>
  </si>
  <si>
    <t>1468-4462</t>
  </si>
  <si>
    <t>10.1080/1369118X.2023.2219716</t>
  </si>
  <si>
    <t>Algorithmic News Versus Non-Algorithmic News: Towards a Principle based Artificial Intelligence (AI) Theoretical Framework of News Media</t>
  </si>
  <si>
    <t>Rebecca Scheffauer, Homero Gil de Zúñiga &amp; Teresa Correa</t>
  </si>
  <si>
    <t>El Profesional de la información</t>
  </si>
  <si>
    <t>1386-6710</t>
  </si>
  <si>
    <t>10.3145/epi.2024.0009</t>
  </si>
  <si>
    <t>Transparencia en la contratación pública en Ecuador: un análisis de la demanda de acceso a la información</t>
  </si>
  <si>
    <t>Irma Jara Iñiguez, Sofía López, Mario Hidalgo &amp; Alejandro Olivares</t>
  </si>
  <si>
    <t>Revista de Gestión Pública</t>
  </si>
  <si>
    <t>0719-1820</t>
  </si>
  <si>
    <t>10.1080/10447318.2024.2356910</t>
  </si>
  <si>
    <t>Desinformación y confianza en los medios: propuestas de actuación</t>
  </si>
  <si>
    <t>Ramón Salaverría, Ingrid Bachmann &amp; Raúl Magallón-Rosa</t>
  </si>
  <si>
    <t>Index.Comunicación</t>
  </si>
  <si>
    <t xml:space="preserve"> 2444-3239</t>
  </si>
  <si>
    <t>10.62008/ixc/14/02Yconfi</t>
  </si>
  <si>
    <t>Claims of ownership, claims of dignity Moral narratives on the right to housing in Chile’s constitutional referendum</t>
  </si>
  <si>
    <t>Raimundo Frei, Rodrigo Cordero, Benjamín Lang, Juan Rozas &amp; Juan Pablo Rodríguez</t>
  </si>
  <si>
    <t>Journal of Language and Politics</t>
  </si>
  <si>
    <t>1569-2159</t>
  </si>
  <si>
    <t>10.1075/jlp.24097.fre</t>
  </si>
  <si>
    <t>Chile: La deriva del sistema político y el fracaso del nuevo proceso constitucional</t>
  </si>
  <si>
    <t>Sergio Toro y Agustina Noguera</t>
  </si>
  <si>
    <t>Revista de Ciencia Política</t>
  </si>
  <si>
    <t>0716-1417</t>
  </si>
  <si>
    <t xml:space="preserve">10.4067/s0718-090x2024005000110 </t>
  </si>
  <si>
    <t>Brechas de género en la percepción y justificación de la desigualdad salarial en Chile 1999-2019</t>
  </si>
  <si>
    <t>Juan Carlos Castillo &amp; Kevin Carrasco Quintanilla</t>
  </si>
  <si>
    <t>Estudios Públicos</t>
  </si>
  <si>
    <t>0716-1115</t>
  </si>
  <si>
    <t>10.38178/07183089/1152230428</t>
  </si>
  <si>
    <t>A credibility divide? Discerning truth from misinformation in Chile</t>
  </si>
  <si>
    <t>Ingrid Bachmann, Sebastián Valenzuela, Constanza Mujica, Claudia Labarca, Daniela Grassau, &amp; Daniel Halpern</t>
  </si>
  <si>
    <t>0954-2892</t>
  </si>
  <si>
    <t>Demarcating rights in divided social worlds: An introduction to the moral economy of constitutional struggles</t>
  </si>
  <si>
    <t>Rodrigo Cordero &amp; Raimundo Frei</t>
  </si>
  <si>
    <t>10.1075/jlp.24096.cor</t>
  </si>
  <si>
    <t>Del gabinete a la papeleta: ministros y ministras como candidatos presidenciales</t>
  </si>
  <si>
    <t>Sergio Huertas-Hernández, Alejandro Olivares &amp; Gustavo Pérez-Arrobo</t>
  </si>
  <si>
    <t>Revista Española de Ciencia Política</t>
  </si>
  <si>
    <t>1575-6548</t>
  </si>
  <si>
    <t>10.21308/recp.65.05</t>
  </si>
  <si>
    <t>Juan Pablo Luna, Daniel Alcatruz, Cristian Pérez Muñoz, Fernando Rosenblatt, Sergio Toro Maureira  &amp; Sebastián Valenzuela</t>
  </si>
  <si>
    <t>Political Communication</t>
  </si>
  <si>
    <t>Racialized Representations of Migrants by the Local Police in Chile</t>
  </si>
  <si>
    <t>Cristián Doña-Reveco, Macarena Bonhomme &amp; Liza Zúñiga</t>
  </si>
  <si>
    <t>10.3390/socsci13120646</t>
  </si>
  <si>
    <t>Resilience, support, and feminist counterpublics in online debates of gender-based violence in Latin America</t>
  </si>
  <si>
    <t>Ingrid Bachmann</t>
  </si>
  <si>
    <t>New digital feminist interventions: speaking up, talking back - Routledge</t>
  </si>
  <si>
    <t>10.4324/9781003492412-4</t>
  </si>
  <si>
    <t>Encuadres de depresión en Twitter: estigmas y atributos de responsabilidad</t>
  </si>
  <si>
    <t>Gabriela Castillo &amp; Macarena Peña y Lillo</t>
  </si>
  <si>
    <t>Cuadernos.info</t>
  </si>
  <si>
    <t>0719-3661</t>
  </si>
  <si>
    <t>10.7764/cdi.59.74133</t>
  </si>
  <si>
    <t>Núcleo Milenio de Ecología Histórica Aplicada para los Bosques Áridos</t>
  </si>
  <si>
    <t>Katie M. Becklin, Julio L. Betancourt, Joseph Braasch, Olivier Dézerald, Francisca P. Díaz, Angélica L. González, Robert Harbert, Camille A. Holmgren,  Angela D. Hornsby, Claudio Latorre, Marjorie D. Matocq &amp; Felisa A. Smith</t>
  </si>
  <si>
    <t>2023-12-26 00:00:00.000</t>
  </si>
  <si>
    <t>Macarena Araya, Pablo Villarreal, Tomás Moyano, Ana R. O. Santos, Francisca P. Díaz, Andrea Bustos-Jarufe, Kamila Urbina, Javier E. del Pino, Marizeth Groenewald, Rodrigo A. Gutiérrez, Carlos A. Rosa &amp; Francisco A. Cubillos</t>
  </si>
  <si>
    <t>YEAST</t>
  </si>
  <si>
    <t>Making places in the world: An ethnographic review and archaeologic perspective on hunter-gatherer relationships with trees</t>
  </si>
  <si>
    <t>Paula C. Ugalde &amp; Steven L. Kuhn</t>
  </si>
  <si>
    <t>Journal of Anthropological Archaeology</t>
  </si>
  <si>
    <t>0278-4165</t>
  </si>
  <si>
    <t>10.1016/j.jaa.2024.101572</t>
  </si>
  <si>
    <t>Ecological and metabolic implications of the nurse effect of Maihueniopsis camachoi in the Atacama Desert</t>
  </si>
  <si>
    <t>Francisca P. Díaz, Thomas Dussarrat, Gabriela Carrasco-Puga, Sophie Colombié, Sylvain Prigent, Guillaume Decros, Stéphane Bernillon, Cédric Cassan, Amélie Flandin, Pablo C. Guerrero, Yves Gibon, Dominique Rolin, Lohengrin A. Cavieres, Pierre Pétriacq, Claudio Latorre &amp; Rodrigo A. Gutiérrez</t>
  </si>
  <si>
    <t>10.1111/nph.19415</t>
  </si>
  <si>
    <t>The first peoples of the Atacama Desert lived among the trees: A 11,600- to 11,200-year-old grove and congregation site</t>
  </si>
  <si>
    <t>Paula C. Ugalde, Delphine Joly, Claudio Latorre, Eugenia M. Gayo, Rafael Labarca, Mikhaela Simunovic, Virginia McRostie, Vance T. Holliday, Jay Quade &amp; Calogero M. Santoro</t>
  </si>
  <si>
    <t>Proceedings of the National Academy of Sciences - environmental science</t>
  </si>
  <si>
    <t>Rhizochemistry and soil bacterial community are tailored to natural stress gradients.</t>
  </si>
  <si>
    <t>Thomas Dussarrat, Claudio Latorre, Millena C. Barros Santos, Constanza Aguado-Norese, Sylvain Prigent, Francisca P. Díaz, Dominique Rolin, Mauricio González, Caroline Müller, Rodrigo A. Gutiérrez &amp; Pierre Pétriacq</t>
  </si>
  <si>
    <t>Structure, gene composition, divergence time and phylogeny analysis of the woody desert species Neltuma alba, Neltuma chilensis and Strombocarpa strombulifera</t>
  </si>
  <si>
    <t xml:space="preserve">Roberto Contreras-Díaz, Felipe S. Carevic, Liesbeth van den Brink, Wilson Huanca-Mamani &amp; Patrick Jung </t>
  </si>
  <si>
    <t>NATURE - Scientific Reports</t>
  </si>
  <si>
    <t>10.1038/s41598-024-64287-y</t>
  </si>
  <si>
    <t>Estudio indirecto del sistema de fecundación en una población natural de Prosopis flexuosa (Fabaceae) del Desierto de Atacama, provincia de El Loa (Chile)</t>
  </si>
  <si>
    <t>Catalina Chan, Carolina Pometti, Calogero M. Santoro, Renée H. Fortunato, Virginia McRostie &amp; Cecilia Bessega</t>
  </si>
  <si>
    <t>Boletín de la Sociedad Argentina de Botánica</t>
  </si>
  <si>
    <t>0373-580X</t>
  </si>
  <si>
    <t>10.31055/1851.2372.v59.n2.43576</t>
  </si>
  <si>
    <t>Camelids in the hyperarid core of the Atacama desert 12,000–11,000 years ago? A stable isotope study and its consequences for early human settlement</t>
  </si>
  <si>
    <t>Paula C. Ugalde, Eugenia M. Gayo, Rafael Labarca, Calogero M. Santoro &amp; Jay Quade</t>
  </si>
  <si>
    <t>10.1016/j.quascirev.2024.108750.</t>
  </si>
  <si>
    <t>De la arqueología de las prácticas minerales</t>
  </si>
  <si>
    <t>Jose Francisco Blanco Jara</t>
  </si>
  <si>
    <t>Boletín de la Sociedad Chilena de Arqueología</t>
  </si>
  <si>
    <t>0716-5730</t>
  </si>
  <si>
    <t>10.56575/BSCHA.05600240821</t>
  </si>
  <si>
    <t>El entramado de la reparación</t>
  </si>
  <si>
    <t xml:space="preserve">Consuelo Biskupovic </t>
  </si>
  <si>
    <t>Revista de Geografía Norte Grande</t>
  </si>
  <si>
    <t>0379-8682</t>
  </si>
  <si>
    <t>10.4067/S0718-34022024000200101%20</t>
  </si>
  <si>
    <t>The Participation of Activists and Indigenous Peoples in Climate Governance in Chile</t>
  </si>
  <si>
    <t>Consuelo Biskupovic &amp; Rosario Carmona</t>
  </si>
  <si>
    <t>Dados</t>
  </si>
  <si>
    <t>0011-5258</t>
  </si>
  <si>
    <t>10.1590/dados.2025.68.2.363</t>
  </si>
  <si>
    <t>Núcleo Milenio de MXenos avanzados para aplicaciones en sustentabilidad</t>
  </si>
  <si>
    <t>Advancing the frontiers of EV tribology with 2D materials–A critical perspective</t>
  </si>
  <si>
    <t>Diana Berman, Leonardo Israel Farfan-Cabrera, Andreas Rosenkranz, Ali Erdemir</t>
  </si>
  <si>
    <t>Materials Science and Engineering: R: Reports</t>
  </si>
  <si>
    <t>0927796X</t>
  </si>
  <si>
    <t>10.1016/j.mser.2024.100855</t>
  </si>
  <si>
    <t>Humidity-Dependent Tribological Performance of Ti3C2Tx/MoS2 Nanosheet-Based Hybrid Coatings</t>
  </si>
  <si>
    <t>Guido Boidi, Dario Zambrano, Manel Rodríguez Ripoll, Andreas Rosenkranz</t>
  </si>
  <si>
    <t>ACS Applied Nano Materials</t>
  </si>
  <si>
    <t>10.1021/acsanm.4c04858</t>
  </si>
  <si>
    <t>Reactive oxygen species-dependent anti-extended spectrum β-lactamases activity of multi-layer Ti3C2Tx: A novel approach for treating successfully P. aeruginosa and K. pneumoniae</t>
  </si>
  <si>
    <t>Govindan Rajivgandhi, Mudaliar Mahesh Margoni, Chenthis Kanisha Chelliah, Andreas Rosenkranz, Chackaravarthi Gnansekaran, Ramachandran Vijayan, Govindan Ramachandran, Heman Bhuyan, José F Adell, Muthuchamy Maruthupandy, Natesan Manoharan, Ali Akbari-Fakhrabadi, Franck Quero</t>
  </si>
  <si>
    <t>Chemical Engineering Journal</t>
  </si>
  <si>
    <t>10.1016/j.cej.2024.157111</t>
  </si>
  <si>
    <t>Ti3C2Tx-UHMWPE Nanocomposites—Towards an Enhanced Wear-Resistance of Biomedical Implants</t>
  </si>
  <si>
    <t>Benedict Rothammer, Klara Feile, Siegfried Werner, Rainer Frank, Marcel Bartz, Sandro Wartzack, Dirk W. Schubert, Dietmar Drummer, Rainer Detsch, Bo Wang, Andreas Rosenkranz, Max Marian</t>
  </si>
  <si>
    <t>Journal of Biomedical Materials Research Part A</t>
  </si>
  <si>
    <t>1549-3296</t>
  </si>
  <si>
    <t>10.1002/jbm.a.37819</t>
  </si>
  <si>
    <t>Covalent organic frameworks in tribology - A perspective</t>
  </si>
  <si>
    <t>Isadora Berlanga, Andreas Rosenkranz</t>
  </si>
  <si>
    <t>Advances in Colloid and Interface Science</t>
  </si>
  <si>
    <t>10.1016/j.cis.2024.103228</t>
  </si>
  <si>
    <t>2D materials for Tribo-corrosion and -oxidation protection: A review</t>
  </si>
  <si>
    <t>Sangharatna M. Ramteke, Magdalena Walczak, Marco De Stefano, Alessandro Ruggiero, Andreas Rosenkranz, Max Marian,</t>
  </si>
  <si>
    <t>10.1016/j.cis.2024.103243</t>
  </si>
  <si>
    <t>Ti3C2Tx and Mo2TiC2Tx MXenes as additives in synovial fluids - towards an enhanced biotribological performance of 3D-printed implants</t>
  </si>
  <si>
    <t>Max Marian, Cotty D. Quiroz Esteban, Dario F. Zambrano , Sangharatna M. Ramteke , Jorge Ramos Grez,  Brian C. Wyatt, Jacob Patenaude, Bethany G. Wright , Babak Anasori, Andreas Rosenkranz .</t>
  </si>
  <si>
    <t>Applied Materials Today</t>
  </si>
  <si>
    <t>10.1016/j.apmt.2024.102464</t>
  </si>
  <si>
    <t>2D materials for durable and sustainable electric vehicles</t>
  </si>
  <si>
    <t>Diana Berman, Leonardo Israel Farfan-Cabrera, Andreas Rosenkranz &amp; Ali Erdemir</t>
  </si>
  <si>
    <t>Nature Reviews materials</t>
  </si>
  <si>
    <t>10.1038/s41578-024-00680-3</t>
  </si>
  <si>
    <t>Sustainable Grease Lubrication Induced by Graphene Oxide and LiFePO4</t>
  </si>
  <si>
    <t>Dario F Zambrano, Jessica Gutiérrez González, Cristian Castillo, Javier Marqués Henríquez, Nicole Parra‐Muñoz, Julio I Urzúa, Andreas Rosenkranz</t>
  </si>
  <si>
    <t>Advaned Engineering Materials</t>
  </si>
  <si>
    <t>1527-2648</t>
  </si>
  <si>
    <t>10.1002/adem.202401762</t>
  </si>
  <si>
    <t>Impact of different 2D materials on the efficacy of photothermal and photodynamic therapy in 3D-bioprinted breast cancer</t>
  </si>
  <si>
    <t xml:space="preserve">Giordano Perini , Antonio Minopoli , Dario Zambrano , Lishan Cui , Valeria Ferrara , Caterina Perfili , Giulia Artemi , Marco De Spirito , Valentina Palmieri , Andreas Rosenkranz and Massimiliano Papi </t>
  </si>
  <si>
    <t>Royal Society of Chemistry</t>
  </si>
  <si>
    <t>3221-3235</t>
  </si>
  <si>
    <t>10.1039/D4NR05026F</t>
  </si>
  <si>
    <t>Proceedings 6th International Conference on Materials Science 2024</t>
  </si>
  <si>
    <t>J. Tapia, J. Fernández-Rocha, V. Ruz, Th. M. Hoffmann, M. Flores-Flores, J. Lisoni</t>
  </si>
  <si>
    <t>https://www.icmschile.cl/_files/ugd/c749f9_f8484f4349464c8785818bcd78ff61c9.pdf</t>
  </si>
  <si>
    <t>Núcleo Milenio de Sociomedicina</t>
  </si>
  <si>
    <t>Borders and Liminality in the Right to Health of Migrants in Transit: The Case of Colchane in Chile and Necoclí in Colombia</t>
  </si>
  <si>
    <t>Jaramillo Contreras, Andrea Carolina and Cabieses, Báltica and Knipper, Michael and Rocha-Jiménez, Teresita</t>
  </si>
  <si>
    <t>Migration and Health</t>
  </si>
  <si>
    <t>2666-6235</t>
  </si>
  <si>
    <t>10.1016/j.jmh.2024.100230</t>
  </si>
  <si>
    <t>Evaluation of Machine Learning Techniques for Classifying and Balancing Data on an Unbalanced Mini-Mental State Examination Test Data Collection Applied in Chile</t>
  </si>
  <si>
    <t>Ormeño, Pablo; Marquéz, Gastón; Taramasco, Carla</t>
  </si>
  <si>
    <t>10.1109/ACCESS.2024.3383837</t>
  </si>
  <si>
    <t>Protocolo Total XV: Resultados en menores de un año con Leucemia Linfoblástica Aguda</t>
  </si>
  <si>
    <t>Enmanuel Isidoro Guerrero-Quiroz ,Carlos Guillermo Manterola-Delgado, Tamara Francisca Otzen-Hernandez, Lorena Carlota Albarracín-Navas, Ana Karina Inga-Mogrovejo, Jannina Viviana Torres-Avila</t>
  </si>
  <si>
    <t>Peruvian Journal of Health Care and Global Health</t>
  </si>
  <si>
    <t>10.22258/hgh.2024.81.169</t>
  </si>
  <si>
    <t>Supervivencia y factores asociados a infiltración del Sistema Nervioso Central por Leucemia Linfoblástica Aguda, en SOLCA-Cuenca, período 2012 - 2016</t>
  </si>
  <si>
    <t>Guerrero-Quiroz, Enmanuel; Bastidas-Sanchez, Andrea; Mejía-Buri, Julia; Martínez-Reyes, Fray</t>
  </si>
  <si>
    <t>Revista de la Facultad de Ciencias Médicas (Quito)</t>
  </si>
  <si>
    <t>10.29166/rfcmq.v49i2.6646</t>
  </si>
  <si>
    <t>Discriminación y salud mental en la población haitiana viviendo en Chile: un análisis mixto de las consecuencias de las políticas migratorias restrictivas</t>
  </si>
  <si>
    <t>Mercado-Órdenes, Mercedes, Brito, Denisse., Antipichun, Andy, Díaz-Valdes, Antonia. Rocha-Jiménez, Teresita</t>
  </si>
  <si>
    <t xml:space="preserve">Terapia Psicológica </t>
  </si>
  <si>
    <t xml:space="preserve">10.4067/S0718-48082024000300353. </t>
  </si>
  <si>
    <t>Neurocognitive factors predicting BMI changes from adolescence to young adulthood</t>
  </si>
  <si>
    <t>Sussanne Reyes, Patricio Peirano, Sheila Gahagan, Estela Blanco, Cecilia Algarín</t>
  </si>
  <si>
    <t>Obesity</t>
  </si>
  <si>
    <t>1930-7381</t>
  </si>
  <si>
    <t>10.1002/oby.23978.</t>
  </si>
  <si>
    <t>Differential Protein-Coding Gene Expression Profile in Patients with Prostate Cancer</t>
  </si>
  <si>
    <t>Lorena Albarracín-Navas, Maylin Almonte-Becerril, Enmanuel Guerrero, Josue Rivadeneira, Marcelino Telechea-Fernández, Elizabeth Guzmán, Fanny Calderón, María José Hernández-Leal, Tamara Otzen, Carlos Manterola, Galo Duque and Ángela L. Riffo-Campos</t>
  </si>
  <si>
    <t>Biomedicines</t>
  </si>
  <si>
    <t>2227-9059</t>
  </si>
  <si>
    <t>10.3390/biomedicines12112509</t>
  </si>
  <si>
    <t>2024-10-05 00:00:00.000</t>
  </si>
  <si>
    <t>Multicohort Epigenome-Wide Association Study of All-Cause Cardiovascular Disease and Cancer Incidence</t>
  </si>
  <si>
    <t>Arce Domingo-Relloso, Angela L. Riffo-Campos, Naisi Zhao, Guillermo Ayala, Karin Haack, Carlos Manterola, Dorothy A. Rhoades, Jason G. Umans, M Daniele Fallin, Miguel Herreros-Martinez, Marina Pollan, Eric Boerwinkle, Elizabeth A. Platz, Miranda R. Jones, Jan Bressler, Roby Joehanes, Calen P. Ryan, Juan R. Gonzalez, Daniel Levy, Daniel W. Belsky, Shelley A. Cole, Dominique S. Michaud, Ana Navas-Acien, Maria Tellez-Plaza</t>
  </si>
  <si>
    <t>JACC: CardioOncology</t>
  </si>
  <si>
    <t>2666-0873</t>
  </si>
  <si>
    <t>10.1016/j.jaccao.2024.07.014</t>
  </si>
  <si>
    <t>Social support and religion: Protective factors of symptoms of depression throughout the complex Haitian migration trajectories in Latin America</t>
  </si>
  <si>
    <t>Annika C. Hogan, Ana Karen Espinoza, Antonia Díaz-Valdes, Emnet Sisay, Teresita Rocha-Jiménez</t>
  </si>
  <si>
    <t>Revista Chilena de Antropología</t>
  </si>
  <si>
    <t>10.5354/0719-5281.2023.74353</t>
  </si>
  <si>
    <t>Low-Cost LIDAR-Based Monitoring System for Fall Detection</t>
  </si>
  <si>
    <t>Piñeiro, Miguel; Araya, David; Ruete, David; Taramasco, Carla</t>
  </si>
  <si>
    <t>10.1109/ACCESS.2024.3401651</t>
  </si>
  <si>
    <t>Cholangiohydatidosis. Clinical features, postoperative complications and hospital mortality. A systematic review</t>
  </si>
  <si>
    <t>Manterola, Carlos; Rivadeneira, Josue; Rojas-Pincheira, Claudio; Otzen, Tamara; Delgado, Hugo; Sotelo, Catalina; Sanhueza, Antonio</t>
  </si>
  <si>
    <t>Plos Neglected Tropical Diseases</t>
  </si>
  <si>
    <t>1935-2735</t>
  </si>
  <si>
    <t>10.1371/journal.pntd.0011558</t>
  </si>
  <si>
    <t>Impact of COVID-19 on the prevalence of dyslipidemia in Ecuador: A cross-sectional study between 2017 and 2022</t>
  </si>
  <si>
    <t>Rivadeneira, Josue; Fuenmayor-González, Luis; Jácome-García, Michelle; Flores-Lastra, Nancy; Delgado, Hugo; Otzen, Tamara</t>
  </si>
  <si>
    <t>Atención Primaria</t>
  </si>
  <si>
    <t>0212-6567</t>
  </si>
  <si>
    <t>10.1016/j.aprim.2024.103007</t>
  </si>
  <si>
    <t>How effective are mobile apps in managing people with type 2 diabetes mellitus? A systematic literature review protocol</t>
  </si>
  <si>
    <t>Taramasco, Carla; Rimassa, Carla; Lagos, María Elena; Figueroa, Rosa</t>
  </si>
  <si>
    <t>10.1371/journal.pone.0301523</t>
  </si>
  <si>
    <t>Ethics in Mental Health Research with Haitian Migrants: Lessons from a Community-Based Study in Santiago, Chile.</t>
  </si>
  <si>
    <t>Francesca McLaren, Mercedes Mercado, Nicolás Montalva, Loreto Watkins, Andy Antipichun, Judeline Cheristil, Teresita Rocha-Jiménez</t>
  </si>
  <si>
    <t>Ethics &amp; Human Research</t>
  </si>
  <si>
    <t>10.1002/eahr.500209</t>
  </si>
  <si>
    <t>Inclusion of individuals with autism spectrum disorder in Software Engineering</t>
  </si>
  <si>
    <t>Marquez, Gastón; Pacheco, Michelle; Astudillo, Hernán; Taramasco, Carla; Calvo, Esteban</t>
  </si>
  <si>
    <t>Information and Software Technology</t>
  </si>
  <si>
    <t>0950-5849</t>
  </si>
  <si>
    <t>10.1016/j.infsof.2024.107434</t>
  </si>
  <si>
    <t>Caracterización y análisis de las medidas cautelares de los casos de femicidios en Chile (2008-2022)</t>
  </si>
  <si>
    <t>Marchant Espinoza, Juan Pablo, Rocha-Jiménez, Teresita, &amp; Córdova Cynthia</t>
  </si>
  <si>
    <t>OÑATI SOCIO-LEGAL SERIES</t>
  </si>
  <si>
    <t>2079-5971</t>
  </si>
  <si>
    <t>10.35295/OSLS.IISL.2100</t>
  </si>
  <si>
    <t>Differential Effects of a Telemonitoring Platform in the Development of Chemotherapy-Associated Toxicity: A Randomized Trial Protocol</t>
  </si>
  <si>
    <t>Martínez, Felipe; Taramasco, Carla; Espinoza, Manuel; Acevedo, Johana; Goic, Carolina; Nervi, Bruno</t>
  </si>
  <si>
    <t>Diagnostics</t>
  </si>
  <si>
    <t>2075-4418</t>
  </si>
  <si>
    <t>10.3390/diagnostics14060619</t>
  </si>
  <si>
    <t>Effects on Quality of Life of a Telemonitoring Platform amongst Patients with Cancer (EQUALITE): A Randomized Trial Protocol</t>
  </si>
  <si>
    <t>Methods and Protocols</t>
  </si>
  <si>
    <t>2409-9279</t>
  </si>
  <si>
    <t>10.3390/mps7020024</t>
  </si>
  <si>
    <t>Trends in traffic accident mortality and social inequalities in Ecuador from 2011 to 2022</t>
  </si>
  <si>
    <t>Holguín-Carvajal, Juan Pablo; Otzen, Tamara; Sanhueza, Aa¿ntonio; Castillo, Álvaro; Manterola, Carlos; Muñoz, Georgina; García-Aguilera, Fernanda; Salgado-Castillo, Fernanda</t>
  </si>
  <si>
    <t>1471-2458</t>
  </si>
  <si>
    <t>10.1186/s12889-024-19494-7</t>
  </si>
  <si>
    <t>A Contemporary Review of Breast Cancer Risk Factors and the Role of Artificial Intelligence</t>
  </si>
  <si>
    <t>Nicolis, Orietta; De los Angeles, Denisse; Taramasco, Carla</t>
  </si>
  <si>
    <t>Frontiers in Oncology</t>
  </si>
  <si>
    <t xml:space="preserve"> 2234-943X</t>
  </si>
  <si>
    <t>10.3389/fonc.2024.1356014</t>
  </si>
  <si>
    <t>Desafíos en la vigilancia de todos los casos de cáncer en Chile: Registro Nacional de Cáncer</t>
  </si>
  <si>
    <t>Taramasco, Carla; Rimassa, Carla; Acevedo, Johana</t>
  </si>
  <si>
    <t>0717-6384</t>
  </si>
  <si>
    <t>10.5867/medwave.2024.01.2771</t>
  </si>
  <si>
    <t>La Pregunta de Investigación y su Asociación con los Niveles de Evidencia y Grados de Recomendación en Estudios de Investigación Clínica</t>
  </si>
  <si>
    <t>Manterola, Carlos; Rivadeneira, Josue; Otzen, Tamara</t>
  </si>
  <si>
    <t>International Journal of Morphology</t>
  </si>
  <si>
    <t xml:space="preserve"> 0717-9502</t>
  </si>
  <si>
    <t xml:space="preserve">10.4067/S0717-95022024000401020 </t>
  </si>
  <si>
    <t>Phenotypic Characterization of Patients with Polycystic Ovary Syndrome in a Population from the Ecuadorian Andes: A Cross-Sectional Study</t>
  </si>
  <si>
    <t>Espinosa, Maria Elena; Sánchez, Raul; Otzen, Tamara; Bautista-Valarezo, Estefania; Aguiar, Stefanie; Corrales-Gutierrez, Isabel; Leon-Larios, Fatima; Manterola, Carlos</t>
  </si>
  <si>
    <t>Journal of Clinical Medicine</t>
  </si>
  <si>
    <t>2077-0383</t>
  </si>
  <si>
    <t>10.3390/jcm13082376</t>
  </si>
  <si>
    <t>2024-05-12 00:00:00.000</t>
  </si>
  <si>
    <t>MInCir-Pr2: Escala para Determinar Calidad Metodológica de Artículos Primarios de Pronóstico</t>
  </si>
  <si>
    <t>Manterola Carlos, Holguín-Carvajal Juan Pablo, Rivadeneira Josue, Otzen Tamara</t>
  </si>
  <si>
    <t>10.4067/S0717-95022024000501394</t>
  </si>
  <si>
    <t>Urban climate simulation model to support climate-sensitive planning decision making at local scale</t>
  </si>
  <si>
    <t>Smith, Pamela; Blanco, Estela; Sarricolea, Pablo; Peralta, Orlando; Thomas, Felipe</t>
  </si>
  <si>
    <t>10.1016/j.jum.2024.11.003</t>
  </si>
  <si>
    <t xml:space="preserve">Núcleo Milenio del Límite de Vida Patagónico: limitaciones ambientales en genética y ecofisiología </t>
  </si>
  <si>
    <t>Taxogenomic analyses of Starmerella gilliamiae f.a, sp. nov. and Starmerella monicapupoae f.a., sp. nov., two novel species isolated from plant substrates and insects</t>
  </si>
  <si>
    <t>Carlos A. Rosa, Ana Raquel O. Santos​, Kirsten Palmier​, Meghan Duell, Andrea O. S. Carvalho​, Natalia V. Fernadez, Raphael S. Pimenta, Paula B. Morais​, Macarena Araya​, Francisco A. Cubillos​, Ana Pontes, Andreia Aires, Carla Gonçalves​, Paula Gonçalves9, José Paulo Sampaio,​ and Marc-André Lachance</t>
  </si>
  <si>
    <t>International Journal of Systematic and Evolutionary Microbiology</t>
  </si>
  <si>
    <t>1466-5026</t>
  </si>
  <si>
    <t>10.1099/ijsem.0.006270</t>
  </si>
  <si>
    <t>Macarena Araya, Pablo Villarreal, Tomás Moyano, Ana R O Santos, Francisca P Díaz, Andrea Bustos-Jarufe, Kamila Urbina, Javier E Del Pino, Marizeth Groenewald, Rodrigo A Gutiérrez, Carlos A Rosa, Francisco A Cubillos</t>
  </si>
  <si>
    <t>Tomas A. Peña, Pablo Villarreal, Nicolas Agier, Matteo De ChiaraI, Tomas Barría, Kamila Urbina, Carlos A. Villarroel, Ana R. O. Santos, Carlos A. Rosa, Roberto F. Nespolo, Gianni Liti, Gilles Fischer, Francisco A. Cubillos</t>
  </si>
  <si>
    <t>PLOS Genetics</t>
  </si>
  <si>
    <t>e1011396</t>
  </si>
  <si>
    <t>Impacts of an organophosphate pesticide and water restriction on physiology and immunity in the passerine Zonotrichia capensis</t>
  </si>
  <si>
    <t xml:space="preserve">Benjamín Corvalan, Felipe Alvarez-Vergara, Diego Landaeta, Natalia Ramirez-Otarola, Juan Carlos Sanchez-Hernandez, Karin Maldonado, Roberto F. Nespolo, Seth D. Newsome, Pablo Sabat </t>
  </si>
  <si>
    <t>COMPARATIVE BIOCHEMISTRY AND PHYSIOLOGY C-TOXICOLOGY &amp; PHARMACOLOGY</t>
  </si>
  <si>
    <t>1532-0456</t>
  </si>
  <si>
    <t>10.1016/j.cbpc.2024.110076</t>
  </si>
  <si>
    <t>Small-scale geographic differences in multiple-driver environmental variability can modulate contrasting phenotypic plasticity despite high levels of gene flow.</t>
  </si>
  <si>
    <t xml:space="preserve">Castillo, N., Gaitán-Espitia, J. D., Quintero-Galvis, J. F., Saldías, G. S., Martel, S. I., Lardies, M. A., Mesas, A., Pérez-Santos, I. E., Gelcich, S., &amp; Vargas, C. A. </t>
  </si>
  <si>
    <t>Understanding brewing trait inheritance in de novo Lager yeast hybrids</t>
  </si>
  <si>
    <t>Vasni Zavaleta, Laura Pérez-Través, Luis A Saona, Carlos A Villarroel, Amparo Querol, Francisco A Cubillos</t>
  </si>
  <si>
    <t>10.1128/msystems.00762-24</t>
  </si>
  <si>
    <t>How many animal-pollinated angiosperms are nectar-producing?</t>
  </si>
  <si>
    <t>Caio S. Ballarin, Francisco E. Fontúrbel, André R. Rech, Paulo E. Oliveira, Guilherme Alcarás Goés, Diego S. Polizello, Pablo H. Oliveira, Leandro Hachuy-Filho, Felipe W. Amorim</t>
  </si>
  <si>
    <t>10.1111/nph.19940</t>
  </si>
  <si>
    <t>Environmental and ecological factors affecting tick infestation in wild birds of the Americas</t>
  </si>
  <si>
    <t>Ana Busi, Estefani T. Martínez‑Sánchez, Johnathan Alvarez‑Londoño, Fredy A. Rivera‑Páez, Héctor E. Ramírez‑Chaves, Francisco E. Fontúrbel, Gabriel J. Castaño‑Villa</t>
  </si>
  <si>
    <t>Parasitology Research</t>
  </si>
  <si>
    <t>0932-0113</t>
  </si>
  <si>
    <t>10.1007/s00436-024-08246-6</t>
  </si>
  <si>
    <t>Mistletoes on lianas: Seed dispersal highways or drought safe havens? Evidence from South American temperate rainforests</t>
  </si>
  <si>
    <t>José I. Orellana, Guillermo C. Amico, Roberto F. Nespolo, Soraya Sade, Valentina Vilches-Gómez, Francisco E. Fontúrbel</t>
  </si>
  <si>
    <t>Ecology</t>
  </si>
  <si>
    <t>e4479</t>
  </si>
  <si>
    <t>0012-9658</t>
  </si>
  <si>
    <t>10.1002/ecy.4479</t>
  </si>
  <si>
    <t>Julian F. Quintero-Galvis, Pablo Saenz-Agudelo, Guillermo D'Elía, Roberto F. Nespolo</t>
  </si>
  <si>
    <t>e70355</t>
  </si>
  <si>
    <t>Jennifer Molinet, Juan P. Navarrete, Carlos A. Villarroel, Pablo Villarreal, Felipe I. Sandoval, Roberto F. Nespolo, Rike Stelkens,Francisco A. Cubillos</t>
  </si>
  <si>
    <t>e1011154</t>
  </si>
  <si>
    <t>L. A. Saona, P. G. Villafañe, D. Carrizo, C. Cónsole Gonella, R. F. Néspolo, M. E. Farías.</t>
  </si>
  <si>
    <t>e10931</t>
  </si>
  <si>
    <t>Roberto F. Nespolo, Julian F. Quintero-Galvis, Francisco E. Fontúrbel, Francisco A. Cubillos, Juliana Vianna, Paulo Moreno-Meynard, Enrico L. Rezende  and Francisco Bozinovic</t>
  </si>
  <si>
    <t>PROCEEDINGS OF THE ROYAL SOCIETY B-BIOLOGICAL SCIENCES</t>
  </si>
  <si>
    <t>The relative importance of local versus regional habitat structure variation on the abundance of two generalist mutualists along a forest disturbance gradient</t>
  </si>
  <si>
    <t>Macarena Ponce, Flor Gómez, Susan Ojeda, Gloria B. Rodríguez-Gómez, José I. Orellana, Francisco E. Fontúrbel</t>
  </si>
  <si>
    <t>Global Ecology and Conservation</t>
  </si>
  <si>
    <t>October 2024</t>
  </si>
  <si>
    <t>e03160</t>
  </si>
  <si>
    <t>2351-9894</t>
  </si>
  <si>
    <t>10.1016/j.gecco.2024.e03160</t>
  </si>
  <si>
    <t>Unforeseen plant phenotypic diversity in a dry and grazed world</t>
  </si>
  <si>
    <t>Nicolas Gross, Fernando T Maestre, Pierre Liancourt, Miguel Berdugo, Raphaël Martin, Beatriz Gozalo, Victoria Ochoa, Manuel Delgado-Baquerizo, Vincent Maire, Hugo Saiz, Santiago Soliveres, Enrique Valencia, David J Eldridge, Emilio Guirado, Franck Jabot, Sergio Asensio, Juan J Gaitán, Miguel García-Gómez, Paloma Martínez, Jaime Martínez-Valderrama, Betty J Mendoza, Eduardo Moreno-Jiménez, David S Pescador, César Plaza, Ivan Santaolaria Pijuan, Mehdi Abedi, Rodrigo J Ahumada, Fateh Amghar, Antonio I Arroyo, Khadijeh Bahalkeh, Lydia Bailey, Farah Ben Salem, Niels Blaum, Bazartseren Boldgiv, Matthew A Bowker, Cristina Branquinho, Liesbeth van den Brink, Chongfeng Bu, Rafaella Canessa, Andrea Del P Castillo-Monroy, Helena Castro, Patricio Castro, Roukaya Chibani, Abel Augusto Conceição , Anthony Darrouzet-Nardi, Yvonne C Davila, Balázs Deák, David A Donoso, Jorge Durán, Carlos Espinosa, Alex Fajardo, Mohammad Farzam, Daniela Ferrante, Jorgelina Franzese, Lauchlan Fraser, Sofía Gonzalez, Elizabeth Gusman-Montalvan, Rosa Mary Hernández-Hernández, Norbert Hölzel, Elisabeth Huber-Sannwald, Oswaldo Jadan, Florian Jeltsch, Anke Jentsch, Mengchen Ju, Kudzai F Kaseke, Liana Kindermann, Peter le Roux, Anja Linstädter, Michelle A Louw, Mancha Mabaso, Gillian Maggs-Kölling, Thulani P Makhalanyane, Oumarou Malam Issa, Antonio J Manzaneda, Eugene Marais, Pierre Margerie, Frederic Mendes Hughes, João Vitor S Messeder, Juan P Mora, Gerardo Moreno, Seth M Munson, Alice Nunes, Gabriel Oliva, Gaston R Oñatibia, Guadalupe Peter, Yolanda Pueyo, R Emiliano Quiroga, Elizabeth Ramírez-Iglesias, Sasha C Reed, Pedro J Rey, Víctor M Reyes Gómez, Alexandra Rodríguez, Victor Rolo, Juan G Rubalcaba, Jan C Ruppert , Osvaldo Sala, Ayman Salah, Phokgedi Julius Sebei, Ilan Stavi, Colton Stephens, Alberto L Teixido, Andrew D Thomas, Heather L Throop, Katja Tielbörger, Samantha Travers, Sainbileg Undrakhbold, James Val, Orsolya Valkó, Frederike Velbert, Wanyoike Wamiti, Lixin Wang, Deli Wang, Glenda M Wardle, Peter Wolff, Laura Yahdjian, Reza Yari, Eli Zaady, Juan Manuel Zeberio, Yuanling Zhang, Xiaobing Zhou, Yoann Le Bagousse-Pingue</t>
  </si>
  <si>
    <t>10.1038/s41586-024-07731-3</t>
  </si>
  <si>
    <t>Expanding the scope of afforestation and climate mitigation in Chile</t>
  </si>
  <si>
    <t>Alex Fajardo</t>
  </si>
  <si>
    <t>Trends in Ecology and Evolution</t>
  </si>
  <si>
    <t>10.1016/j.tree.2024.02.006</t>
  </si>
  <si>
    <t>Advances and knowledge gaps on climate change impacts on honey bees and beekeeping: A systematic review</t>
  </si>
  <si>
    <t>Germán Zapata-Hernández, Martina Gajardo-Rojas, Matías Calderón-Seguel, Ariel A. Muñoz, Karen P. Yáñez, Fabrice Requier, Francisco E. Fontúrbel, Pablo I. Ormeño-Arriagada, Héctor Arrieta</t>
  </si>
  <si>
    <t>Global Change Biology</t>
  </si>
  <si>
    <t>e17219</t>
  </si>
  <si>
    <t>1354-1013</t>
  </si>
  <si>
    <t>10.1111/gcb.17219</t>
  </si>
  <si>
    <t>Fabiola León, Eduardo J. Pizarro, Daly Noll, Luis R. Pertierra, Benito A. Gonzalez, Warren E. Johnson, Juan Carlos Marín, and Juliana A. Vianna</t>
  </si>
  <si>
    <t>Fabiola León, Eduardo Pizarro, Daly Noll, Luis R. Pertierra, Patricia Parker, Marcela P.A. Espinaze, Guillermo Luna-Jorquera, Alejandro Simeone, Esteban Frere, Gisele P.M. Dantas,  Robin Cristofari, Omar E. Cornejo, Rauri C.K. Bowie, Juliana A. Vianna</t>
  </si>
  <si>
    <t>Juan Rivero de Aguilar, Omar Barroso, Elisa Bonaccorso, Hector Cadena, Lucas Hussing, Josefina Jorquera, Javier Martinez, Josué Martínez-de la Puente, Alfonso Marzal, Fabiola León Miranda, Santiago Merino, Nubia E. Matta,| Marilyn Ramenofsky, Ricardo Rozzi, Carlos E. Valeris-Chacín, Rodrigo A. Vásquez, Juliana A. Vianna , John C. Wingfield</t>
  </si>
  <si>
    <t>e11634</t>
  </si>
  <si>
    <t>Luis R. Pertierra, Gilda Varliero, Andrés Barbosa, Elisabeth M. Biersma, Peter Convey, Steven L. Chown, Don Cowan, Asunción De Los Rios, Pablo Escribano-Alvarez, Diego Fontaneto, Ceridwen Fraser, Mathew Harris, Kevin Hughes, Huw Griffiths, Peter le Roux, Xiaoyue P. Liu, Heather Lynch, Roksana Majewska, Pablo A. Martinez , Marco Molina-Montenegro, Miguel A. Olalla-Tarraga, Lloyd Peck, Antonio Quesada, Cristina Ronquillo, Yan Ropert-Coudert, Leopoldo Sancho, Aleks Terauds, Juliana Vianna, Annick Wilmotte, Joaquín Hortal, Michelle Greve</t>
  </si>
  <si>
    <t>e106199</t>
  </si>
  <si>
    <t>1314-2836</t>
  </si>
  <si>
    <t>Forest stand dynamics of a short-stature tree species: Ecological knowledge for sustainable forest management</t>
  </si>
  <si>
    <t>Alex Fajardo, Paulo Moreno-Meynard, Daniel P. Soto</t>
  </si>
  <si>
    <t>10.1111/1365-2664.14662</t>
  </si>
  <si>
    <t>The effects of urban thermal heterogeneity and feather coloration on oxidative stress and metabolism of pigeons (Columba livia)</t>
  </si>
  <si>
    <t>Tomás Jiménez, Isaac Peña-Villalobos, Javiera Arcila , Francisco Del Basto, Verónica Palma, Pablo Sabat</t>
  </si>
  <si>
    <t>10.1016/j.scitotenv.2023.169564</t>
  </si>
  <si>
    <t>2024-03-17 00:00:00.000</t>
  </si>
  <si>
    <t>Living with voracious roommates: Factors that explain isotopic niche variation in a mixed colony of insectivorous bats</t>
  </si>
  <si>
    <t>Isaac Peña-Villalobos, Catalina B. Muñoz-Pacheco, Martín A. H. Escobar, Fabian M. Jaksic, Pablo Sabat</t>
  </si>
  <si>
    <t>e10939</t>
  </si>
  <si>
    <t>10.1002/ece3.10939</t>
  </si>
  <si>
    <t xml:space="preserve">Hepatozoon (Eucoccidiorida: Hepatozoidae) in wild mammals of the Americas: a systematic review. </t>
  </si>
  <si>
    <t xml:space="preserve">Thomas, R., Santodomingo, A., Saboya-Acosta, L., Quintero-Galvis, J.F., Moreno, L., Uribe, J.E., Muñoz-Leal, S. </t>
  </si>
  <si>
    <t>Parasites and Vectors</t>
  </si>
  <si>
    <t>1756-3305</t>
  </si>
  <si>
    <t>10.1186/s13071-024-06154-3</t>
  </si>
  <si>
    <t>Prophages carrying Zot toxins on different Vibrio genomes: A comprehensive assessment using multilayer networks</t>
  </si>
  <si>
    <t>Esteban F. Soto, Melissa Alegría, Felipe Sepúlveda, Katherine García, Gastón Higuera, Daniel Castillo, Francisco E. Fontúrbel, Roberto Bastías</t>
  </si>
  <si>
    <t>Environmental Microbiology</t>
  </si>
  <si>
    <t>e16654</t>
  </si>
  <si>
    <t>1462-2912</t>
  </si>
  <si>
    <t>10.1111/1462-2920.16654</t>
  </si>
  <si>
    <t>Núcleo Milenio en Culturas Musicales y Sonoras</t>
  </si>
  <si>
    <t>El archivo de música mapuche de la Radio Bahá’í: diagnóstico, inventario, desafíos y reflexiones</t>
  </si>
  <si>
    <t>José Velásquez Arce, Katherine Zamora Caro, Alex Calfuqueo Calfucura y Leonardo Díaz-Collao</t>
  </si>
  <si>
    <t>Resonancias. Revista de investigación musical</t>
  </si>
  <si>
    <t xml:space="preserve"> 0717-3474</t>
  </si>
  <si>
    <t>10.7764/res.2024.55.9</t>
  </si>
  <si>
    <t>“Rap en acción” como alternativa para resituar la resistencia: Introducción al dossier</t>
  </si>
  <si>
    <t>Sebastián Muñoz-Tapia y Constanza Abeille</t>
  </si>
  <si>
    <t>TRANS-Revista Transcultural de Música</t>
  </si>
  <si>
    <t>1697-0101</t>
  </si>
  <si>
    <t>https://www.sibetrans.com/trans/public/docs/introduccion.pdf</t>
  </si>
  <si>
    <t>Entre lo Analógico-Digital y lo Underground-Mainstream. Las articulaciones del Rap de Santiago de Chile (1995-2000)</t>
  </si>
  <si>
    <t>Sebastián Muñoz-Tapia y Nelson Rodríguez Vega</t>
  </si>
  <si>
    <t>Música Hodie</t>
  </si>
  <si>
    <t>2317-6776</t>
  </si>
  <si>
    <t>10.5216/mh.v24.80441</t>
  </si>
  <si>
    <t>Canción con todos Notas sobre un debate latinoamericano –y una canción que se volvió anónima–</t>
  </si>
  <si>
    <t>Pablo Alabarces y Laura Jordán González</t>
  </si>
  <si>
    <t>Canción con todos Culturas populares, subalternidades y decolonialidades en América Latina. Colección CLACSO-CALAS.</t>
  </si>
  <si>
    <t>978-987-813-929-6</t>
  </si>
  <si>
    <t>https://libreria.clacso.org/publicacion.php?p=4056&amp;c=39</t>
  </si>
  <si>
    <t>Incidencias sonoras del indigenismo Lo mapuche en Pascuala Ilabaca</t>
  </si>
  <si>
    <t>Laura Jordán González</t>
  </si>
  <si>
    <t>“Sonando flaite” o el salvaje renovado Sobre periferia urbana, abyecciones aurales e intersubjetividades</t>
  </si>
  <si>
    <t>Natalia Bieletto Bueno</t>
  </si>
  <si>
    <t>Fuerte y feo Música y cultura popular en contextos de protesta (Santiago de Chile, 2021-2022)</t>
  </si>
  <si>
    <t>Christian Spencer Espinosa y Felipe Bórquez Aguilar</t>
  </si>
  <si>
    <t xml:space="preserve">“Antropologías y artes: genealogías, experimentos y desafíos desde Latinoamérica”. En: Cánepa, Gisela; Borea, Giuliana y Quinteros, Alonso (coords.) Antropologías visuales latinoamericanas: genealogías, investigación y enseñanza. </t>
  </si>
  <si>
    <t>Andrade, X.; Borea, Giuliana y Pinochet Cobos, Carla</t>
  </si>
  <si>
    <t>FLACSO Ecuador/Fondo Editorial de la Pontificia Universidad Católica del Perú (PUCP)</t>
  </si>
  <si>
    <t>10.46546/2024-56foro</t>
  </si>
  <si>
    <t xml:space="preserve">La cultura descentrada. Estudios sobre democracia cultural en Chile y América Latina. </t>
  </si>
  <si>
    <t>Carla Pinochet Cobos</t>
  </si>
  <si>
    <t xml:space="preserve">Ediciones Universidad Alberto Hurtado, Colección Antropología. </t>
  </si>
  <si>
    <t>978-956-357-496-8</t>
  </si>
  <si>
    <t>https://ediciones.uahurtado.cl/producto/la-cultura-descentrada/</t>
  </si>
  <si>
    <t>Voices of Memory in Leni Alexander's Experimental Radio Dramas, en: Switched On. The Dawm of Electronic Sound by Latin American Women</t>
  </si>
  <si>
    <t>Daniela Fugellie</t>
  </si>
  <si>
    <t>Editorial Contingent Sounds, Berlin</t>
  </si>
  <si>
    <t>978-3-00-077752-3</t>
  </si>
  <si>
    <t>https://www.contingentsounds.com/switched-on/</t>
  </si>
  <si>
    <t>Técnicas seriales en Latinoamérica. Un estudio introductorio desde la musicología y el análisis musical</t>
  </si>
  <si>
    <t>Daniela Fugellie y Gonzalo Martínez</t>
  </si>
  <si>
    <t>Neuma. Revista de Música y Docencia Musical</t>
  </si>
  <si>
    <t>0719-5389</t>
  </si>
  <si>
    <t>10.4067/S0719-53892023000200010</t>
  </si>
  <si>
    <t>Ulutun: sound, materiality and power in a Mapuche ritual</t>
  </si>
  <si>
    <t>Leonardo Díaz Collao</t>
  </si>
  <si>
    <t>Ethnomusicology Forum</t>
  </si>
  <si>
    <t>17411920, 17411912</t>
  </si>
  <si>
    <t>10.1080/17411912.2024.2302572</t>
  </si>
  <si>
    <t>La Autobiografía como recurso para el estudio de la música tradicional Williche</t>
  </si>
  <si>
    <t>Ignacio Soto-Silva; Myriam Núñez Pertucé</t>
  </si>
  <si>
    <t>PerMusi</t>
  </si>
  <si>
    <t>10.35699/2317-6377.2024.49113</t>
  </si>
  <si>
    <t>Heitor Villa-Lobos and the Traces of Coloniality in Andrés Segovia's Guitar Repertoire</t>
  </si>
  <si>
    <t>Luis Achondo Parra</t>
  </si>
  <si>
    <t>Journal of the Society for American Music</t>
  </si>
  <si>
    <t>1752-1963</t>
  </si>
  <si>
    <t>10.1017/S1752196324000099</t>
  </si>
  <si>
    <t>Caminos y desplazamientos en la precordillera de Arica (Chile)</t>
  </si>
  <si>
    <t>Andrea Chamorro Pérez; Iván Muñoz Ovalle</t>
  </si>
  <si>
    <t>Revista del Museo de Antropología</t>
  </si>
  <si>
    <t>1852-060X</t>
  </si>
  <si>
    <t>10.31048/1852.4826.v17.n2.44299</t>
  </si>
  <si>
    <t>Las redes sociotécnicas de los primeros años del rap en Santiago de Chile (1984-1996): entre la “tecno-dependencia” y la creatividad a contrapelo</t>
  </si>
  <si>
    <t>Sebastián Muñoz Tapia y Nelson Rodríguez Vega</t>
  </si>
  <si>
    <t>Neuma</t>
  </si>
  <si>
    <t>10.XXXX https://neuma.utalca.cl/index.php/neuma/article/view/259</t>
  </si>
  <si>
    <t>Listening to Mapuche sound in Illapu</t>
  </si>
  <si>
    <t>Popular Music</t>
  </si>
  <si>
    <t>0261-1430</t>
  </si>
  <si>
    <t>10.1017/S0261143024000205</t>
  </si>
  <si>
    <t>Desterritorialización y recuperación lingüística en el rap de la región de Los Lagos: el caso de “Melipulli”, de Natural Es Estylo y Luanko</t>
  </si>
  <si>
    <t>Ignacio Soto; Claudio Donoso</t>
  </si>
  <si>
    <t>La Palabra</t>
  </si>
  <si>
    <t xml:space="preserve">0121-8530 </t>
  </si>
  <si>
    <t>10.19053/uptc.01218530.n47.2024.16083</t>
  </si>
  <si>
    <t>Globally, songs and instrumental melodies are slower and higher and use more stable pitches than speech: A Registered Report</t>
  </si>
  <si>
    <t>Ignacio Soto-SIlva y Javier Silva-Zurita</t>
  </si>
  <si>
    <t>10.1126/sciadv.adm9797</t>
  </si>
  <si>
    <t>Celebrar a los difuntos entre familias aymara: vivos y muertos en correspondencia</t>
  </si>
  <si>
    <t>Andrea Chamorro Pérez, Nathaly Ardiles Roble, Ignacio Carrasco Meza, Verónica García Jarufe, Violeta Lineros González, Koen De Munter</t>
  </si>
  <si>
    <t>Diálogo Andino</t>
  </si>
  <si>
    <t>0716-2278</t>
  </si>
  <si>
    <t>http://dialogoandino.cl/wp-content/uploads/2024/08/10_Chamorro.pdf</t>
  </si>
  <si>
    <t>Consideraciones sobre el aporte de la música en la fiesta popular callejera a la construcción del territorio</t>
  </si>
  <si>
    <t>Natalia Bieletto-Bueno</t>
  </si>
  <si>
    <t>Revista Musical Chilena</t>
  </si>
  <si>
    <t>97–116</t>
  </si>
  <si>
    <t>0717-6252</t>
  </si>
  <si>
    <t>Presentación de dosier: Nuevas formas de entender el territorio en la etnomusicología de América Latina</t>
  </si>
  <si>
    <t>Ignacio Soto Silva y Jacob Rekedal</t>
  </si>
  <si>
    <t>9–15</t>
  </si>
  <si>
    <t>Memoria musical de Valparaíso: del archivo privado e inédito al archivo digital</t>
  </si>
  <si>
    <t>Eileen Karmy</t>
  </si>
  <si>
    <t>La dimensión marírimo-costera de la modernidad periférica. Experiencias culturales, materiales y simbólicas para comprender las formas de vida urbano-portuorias</t>
  </si>
  <si>
    <t>https://drive.google.com/file/d/153LXhP_ZA6VqDsi2FrBL5z7Y0w9xm6xz/view</t>
  </si>
  <si>
    <t>Reflections on football fandom and fake crowd noise during Chile’s COVID-19 pandemic</t>
  </si>
  <si>
    <t>Sound Studies. An Interdisciplinary Journal</t>
  </si>
  <si>
    <t>10.1080/20551940.2024.2428688</t>
  </si>
  <si>
    <t>Espacialidad en la experiencia musical. Reflexiones indisciplinadas y una propuesta a partir del territorio</t>
  </si>
  <si>
    <t>Ignacio Soto-Silva, Katherine Zamora, Javier Silva-Zurita</t>
  </si>
  <si>
    <t>El Oído Pensante</t>
  </si>
  <si>
    <t xml:space="preserve">2250-7116 </t>
  </si>
  <si>
    <t>10.34096/oidopensante.v12n2.12991</t>
  </si>
  <si>
    <t>Elas na escuta: cartografia digital de mulheres em espaços incomuns na música</t>
  </si>
  <si>
    <t>Beatriz Polivanov, Beatriz Medeiros</t>
  </si>
  <si>
    <t>Editora Sulina | Livro CIDADES MUSICAIS (IN)VISÍVEIS VOL. 2 - Micael Herschmann</t>
  </si>
  <si>
    <t xml:space="preserve">978-65-5759-168-0 </t>
  </si>
  <si>
    <t>https://www.editorasulina.com.br/detalhes.php?id=891</t>
  </si>
  <si>
    <t>Voces subversivas: género, resistencia y transformación en la escena metalera boliviana</t>
  </si>
  <si>
    <t>Beatriz Medeiros</t>
  </si>
  <si>
    <t>Rincón Ediciones</t>
  </si>
  <si>
    <t>978-9917-0-4424-6</t>
  </si>
  <si>
    <t>https://books.google.cl/books?id=IFAsEQAAQBAJ&amp;printsec=frontcover&amp;hl=es&amp;source=gbs_ge_summary_r&amp;cad=0#v=onepage&amp;q&amp;f=false</t>
  </si>
  <si>
    <t>“Uma coisa que tentamos fazer por nós”: festival eresistência feminina na cena undergroundbrasileira</t>
  </si>
  <si>
    <t>Contrapulso. Revista latinoamericana de estudios en música popular</t>
  </si>
  <si>
    <t>2452-5545</t>
  </si>
  <si>
    <t>10.XXXX https://contrapulso.uahurtado.cl/index.php/cp/article/view/262/115</t>
  </si>
  <si>
    <t>El país de las canciones. De Charly y Evita a María Becerra y Trueno</t>
  </si>
  <si>
    <t>Martín Liut</t>
  </si>
  <si>
    <t>Gourmet Musical Ediciones (Argentina)</t>
  </si>
  <si>
    <t xml:space="preserve">978-631-6636-04-1 </t>
  </si>
  <si>
    <t>https://gourmetmusicalediciones.com/libros/el-pais-de-las-canciones-de-charly-y-evita-a-maria-becerra-y-trueno/?srsltid=AfmBOoolsAGdEepuBs4-vWG5KkMB4iulpfwW6WFpKRe47Rybe8MwKqrE</t>
  </si>
  <si>
    <t>Dosier Entre riffs y rebeliones: la presencia femenina y queer en el heavy metal</t>
  </si>
  <si>
    <t>Beatriz Medeiros, Manuela Belén Calvo, Melina Aparecida dos Santos Silva</t>
  </si>
  <si>
    <t>10.XXXX https://contrapulso.uahurtado.cl/index.php/cp/article/view/268/113</t>
  </si>
  <si>
    <t>El Camino del Inca en los Altos de Arica: propuesta para un estudio etnoarqueológico</t>
  </si>
  <si>
    <t>Muñoz, I. / Chamorro, A.</t>
  </si>
  <si>
    <t>Revista Interciencia</t>
  </si>
  <si>
    <t>0378-1844</t>
  </si>
  <si>
    <t>Invisibilidade, inaudibilidade e marginalidade: músicas e geografias afetivas nas cidades noturnas</t>
  </si>
  <si>
    <t>Editora Sulina | Livro CIDADES MUSICAIS (IN)VISÍVEIS VOL. 1 - Micael Herschmann</t>
  </si>
  <si>
    <t>978-65-5759-162-8</t>
  </si>
  <si>
    <t>https://editorasulina.com.br/detalhes.php?id=887</t>
  </si>
  <si>
    <t>Nucleo milenio en desajustes en emparejamientos en el mercado laboral: causas y consecuencias</t>
  </si>
  <si>
    <t xml:space="preserve">Unpacking the Persistence of Informality </t>
  </si>
  <si>
    <t>Benjamin Villena</t>
  </si>
  <si>
    <t>Hiring Discrimination Under Pressures to Diversify: Gender, Race, and Diversity Commodification across Job Transitions in Software Engineering.</t>
  </si>
  <si>
    <t>Weisshaar, Katherine, Koji Chavez, and Tania Cabello-Hutt</t>
  </si>
  <si>
    <t xml:space="preserve">American Sociological Review </t>
  </si>
  <si>
    <t>0003-1224</t>
  </si>
  <si>
    <t>10.1177/00031224241245706</t>
  </si>
  <si>
    <t xml:space="preserve">The How’s and How Often’s of School Harassment: How Do They Influence the Academic Achievement of Adolescents over time.  </t>
  </si>
  <si>
    <t>Andrea Canales; A. Webb</t>
  </si>
  <si>
    <t>Studies in Educational Evaluation</t>
  </si>
  <si>
    <t>0191-491X</t>
  </si>
  <si>
    <t>10.1016/j.stueduc.2024.101358</t>
  </si>
  <si>
    <t>Intergenerational Social Mobility Among the Children of Immigrants in Western Europe: Between Socioeconomic Assimilation and Disadvantage</t>
  </si>
  <si>
    <t>Mauricio Bucca, Lucas G Drouhot</t>
  </si>
  <si>
    <t>Sociological Science</t>
  </si>
  <si>
    <t>2330-6696</t>
  </si>
  <si>
    <t>10.15195/v11.a18</t>
  </si>
  <si>
    <t>Marrying across Borders in Latin America: Visualizing Intermarriage Flows</t>
  </si>
  <si>
    <t>Adriana Robles, Luca Maria Pesando, Alejandra Abufhele, Mauricio Bucca, Daniela R Urbina</t>
  </si>
  <si>
    <t>Socius: Sociological Research for a Dynamic World</t>
  </si>
  <si>
    <t>2378-0231</t>
  </si>
  <si>
    <t>10.1177/23780231241290</t>
  </si>
  <si>
    <t>Teacher's social desirability bias and Migrant students: A study on explicit and implicit prejudices with a list experiment</t>
  </si>
  <si>
    <t>Ayala, M.C., Webb, A., Maldonado, L. Canales, A., Cascallar, E.</t>
  </si>
  <si>
    <t>Social Science Research</t>
  </si>
  <si>
    <t>0049-089X</t>
  </si>
  <si>
    <t>10.1016/j.ssresearch.2024.102990.</t>
  </si>
  <si>
    <t>Colorism Revisited: The Effects of Skin Color on Educational and Labor Market Outcomes in the United States</t>
  </si>
  <si>
    <t>Mauricio Bucca</t>
  </si>
  <si>
    <t>10.15195/v11.a19</t>
  </si>
  <si>
    <t>Are Within-Racial Group Inequalities by Skin Color Really Greater Than Inequalities Between Racial Groups in the United States?</t>
  </si>
  <si>
    <t>10.1177/23780231241259656</t>
  </si>
  <si>
    <t>Núcleo Milenio en NanoBiofísica</t>
  </si>
  <si>
    <t>Membrane tension-dependent conformational change of Isoleucine 106 of loop B diminishes water permeability in FaPIP2;1</t>
  </si>
  <si>
    <t>Agustín Caviglia, Nicolás Espinoza-Muñoz, Juan José Alvear-Arias, Luciano Galizia, Florencia Guastaferri, Rosario Zimmermann, Lorena Sigaut, Gabriela Amodeo, Carlos González, Marcelo Ozu, José Antonio Garate</t>
  </si>
  <si>
    <t>Wiley</t>
  </si>
  <si>
    <t>10.1002/pro.5204</t>
  </si>
  <si>
    <t>Effect of thiol adsorption on the electrical resistance of copper ultrathin films</t>
  </si>
  <si>
    <t>Gabriel Gray, Francisca Marín, Valeria del Campo, Claudio González-Fuentes, Jonathan Correa-Puerta, Marcos Flores, Rodrigo Segura, Patricio Häberle, Ricardo Henríquez</t>
  </si>
  <si>
    <t xml:space="preserve">Applied Surface Sciente </t>
  </si>
  <si>
    <t>10.1016/j.apsusc.2024.160912</t>
  </si>
  <si>
    <t>Quantitative Dynamic AFM Hydration-Adsorption Design for Hygroscopic and Bio-Compatible Polymeric Nanofibers</t>
  </si>
  <si>
    <t>Menacho, W.; Catalan, K.N.; Corrales, T.P. and Guzman, H.V.</t>
  </si>
  <si>
    <t>Small Structures</t>
  </si>
  <si>
    <t>2688-4062</t>
  </si>
  <si>
    <t>10.1002/sstr.202300379</t>
  </si>
  <si>
    <t xml:space="preserve"> Effects of magnetic anisotropy on three-qubit antiferromagnetic thermal machines</t>
  </si>
  <si>
    <t>Castorene, B., Peña, F. J., Norambuena, A., Ulloa, S. E., Araya, C., &amp; Vargas, P.</t>
  </si>
  <si>
    <t> Physical Review E</t>
  </si>
  <si>
    <t xml:space="preserve"> 2470-0045</t>
  </si>
  <si>
    <t>10.1103/PhysRevE.110.044135</t>
  </si>
  <si>
    <t>Tau‑ and α‑synuclein‑targeted gold nanoparticles: applications, opportunities, and future outlooks in the diagnosis and therapy of neurodegenerative diseases</t>
  </si>
  <si>
    <t>Andreas Tapia‑Arellano, Pablo Cabrera, Elizabeth Cortés‑Adasme, Ana Riveros Natalia Hassan and Marcelo J. Kogan</t>
  </si>
  <si>
    <t>Journal of Nanobiotechnology</t>
  </si>
  <si>
    <t>1477-3155</t>
  </si>
  <si>
    <t>10.1186/s12951-024-02526-0</t>
  </si>
  <si>
    <t>Glass Surface Nanostructuring by Soft Lithography and Chemical Etching</t>
  </si>
  <si>
    <t>Luciano Bravo, Martín Ampuero, Jonathan Correa-Puerta, Tomás P. Corrales, Sofía Flores, Benjamín Schleyer, Natalia Hassan, Patricio Häberle, Ricardo Henríquez and Valeria del Campo</t>
  </si>
  <si>
    <t>10.3390/nano14211714</t>
  </si>
  <si>
    <t xml:space="preserve"> Magnonic Otto thermal machine</t>
  </si>
  <si>
    <t xml:space="preserve">Vidal-Silva, N., Peña, F. J., Troncoso, R. E., &amp; Vargas, P. </t>
  </si>
  <si>
    <t>10.1103/PhysRevResearch.6.033164</t>
  </si>
  <si>
    <t>Teaching labs for blind students: Equipment to measure the inertia of simple objects</t>
  </si>
  <si>
    <t xml:space="preserve">Lisboa, A., &amp; Peña, F. J. </t>
  </si>
  <si>
    <t>American Journal of Physics</t>
  </si>
  <si>
    <t>0002-9505</t>
  </si>
  <si>
    <t>10.1119/5.0152980</t>
  </si>
  <si>
    <t>Núcleo Milenio en procesos catalíticos hacia la química sustentable</t>
  </si>
  <si>
    <t>Nitrogen-enriched flexible metal–organic framework for CO2 adsorption</t>
  </si>
  <si>
    <t>Andrés Lancheros, Subhadip Goswami, Ximena Zarate, Eduardo Schott and Joseph T. Hupp</t>
  </si>
  <si>
    <t>Dalton Transactions</t>
  </si>
  <si>
    <t>10.1039/D4DT01457J</t>
  </si>
  <si>
    <t>Adsorption properties of M-UiO-66 (M = Zr(IV); Hf(IV) or Ce(IV)) with BDC or PDC linker</t>
  </si>
  <si>
    <t>Diego González, Cesar Pazo-Carballo, Esteban Camú , Yoan Hidalgo-Rosa , Ximena Zarate , Néstor Escalona and Eduardo Schott</t>
  </si>
  <si>
    <t>10.1039/D4DT00941J</t>
  </si>
  <si>
    <t>MnO2/TiO2-Catalyzed Ozonolysis: Enhancing Pentachlorophenol Degradation and Understanding Intermediates</t>
  </si>
  <si>
    <t>. J Sharifi-Rad, C Valdés, C Quispe, R Fritz, R Andler, J Villaseñor, G Pecchi, E Avendaño, A Delgadillo, WN Setzer</t>
  </si>
  <si>
    <t>BioMed Central Chemistry</t>
  </si>
  <si>
    <t>2661-801X</t>
  </si>
  <si>
    <t>10.1186/s13065-024-01194-3</t>
  </si>
  <si>
    <t>Furfural adsorption on V2O5 surface: a combined experimental-theoretical study</t>
  </si>
  <si>
    <t xml:space="preserve">I Lizana; E Schott; M Saavedra-Torres; Y Hidalgo-Rosa; G Pecchi; A Karelovic. </t>
  </si>
  <si>
    <t>Chemical Physics Letters A</t>
  </si>
  <si>
    <t>0009-2614</t>
  </si>
  <si>
    <t>10.1016/j.cplett.2024.141288</t>
  </si>
  <si>
    <t>2024-09-25 00:00:00.000</t>
  </si>
  <si>
    <t>Organic radicals stabilization in natural rubber: Discerning the influence of thermo-oxidation using chemically modified or unmodified lignin as antioxidant</t>
  </si>
  <si>
    <t>Eduardo Troncoso-Ortega, Patricia Castaño-Rivera, Romina Romero, Adolfo Henriquez, Camila Méndez, Eduardo Schott, David Contreras</t>
  </si>
  <si>
    <t>Journal of Industrial and Engineering Chemistry</t>
  </si>
  <si>
    <t>1226-086X</t>
  </si>
  <si>
    <t>10.1016/j.jiec.2024.03.029</t>
  </si>
  <si>
    <t>Solar Selective Photooxidation of Veratryl Alcohol by Suppression of Reactive Oxygen Species Through Band Modulation in the BiOI/Bi4Ti3O12 Heterojunction</t>
  </si>
  <si>
    <t>J. C. Murillo-Sierra, R. Romero, V. Melin, A. Henriquez, L. F. Montoya, C. H. Campos, D. Contreras</t>
  </si>
  <si>
    <t>ChemSusChem</t>
  </si>
  <si>
    <t>e202401489</t>
  </si>
  <si>
    <t>1864-564X</t>
  </si>
  <si>
    <t>10.1002/cssc.2024</t>
  </si>
  <si>
    <t>Role of Nb2O5 Crystal Phases on the Photocatalytic Conversion of Lignin Model Molecules and Selectivity for Value-Added Products</t>
  </si>
  <si>
    <t>Susana D. Rojas, Gabriela Rafaela, Nicole Espinoza-Villalobos, Donovan E. Diaz-Droguett, Ricardo Salazar-González, Lizethly. Caceres-Jensen, Néstor Escalona, Lorena Barrientos</t>
  </si>
  <si>
    <t>Chemistry-sustainability-Energy-Materials</t>
  </si>
  <si>
    <t>e202301594</t>
  </si>
  <si>
    <t>10.1002/cssc.202301594</t>
  </si>
  <si>
    <t>Degradation of dairy wastewater using sustainable nanotechnology composed of a-Fe2O3/TiO2 rod-shaped material and photocatalytic process: a complementary treatment approach for industrial wastewater</t>
  </si>
  <si>
    <t>Nicole Espinoza-Villalobos, Susana Rojas, Lorena Barrientos, Ricardo Salazar-González, Damari Luna, Caetano Flores, Néstor Escalona</t>
  </si>
  <si>
    <t xml:space="preserve">J Chem Technol Biotechnol </t>
  </si>
  <si>
    <t>1097-4660</t>
  </si>
  <si>
    <t>10.1002/jctb.7687</t>
  </si>
  <si>
    <t>VO Supported on Functionalized CNTs for Oxidative Conversion of Furfural to Maleic Anhydride</t>
  </si>
  <si>
    <t>Pedro Rodríguez, Carolina Parra, J. Noe Díaz de León , Alejandro Karelovic, Sebastian Riffo Carla Herrera, Gina Pecchi and Catherine Sepúlveda</t>
  </si>
  <si>
    <t>Catalysts</t>
  </si>
  <si>
    <t>10.3390/catal14080510</t>
  </si>
  <si>
    <t>2024-06-19 00:00:00.000</t>
  </si>
  <si>
    <t>Sustainable synthesis and extraction of 5-methyl-N-phenyl-2-pyrrolidone produced via reductive amination of levulinic acid</t>
  </si>
  <si>
    <t>J Meruane-Anich, C Araya-Lopez, R Santiago, N Escalona, RI Canales</t>
  </si>
  <si>
    <t>Separation and Purification Technology</t>
  </si>
  <si>
    <t>1873-3794</t>
  </si>
  <si>
    <t>10.1016/j.seppur.2024.126531</t>
  </si>
  <si>
    <t>H2 production through aqueous phase reforming of ethanol over molybdenum carbide catalysts supported on zirconium oxide</t>
  </si>
  <si>
    <t>C. Pavesi, C. Contreras, E Blanco, C Pazo, AB Dongil, N Escalona</t>
  </si>
  <si>
    <t>Applied Catalysis A: General</t>
  </si>
  <si>
    <t>0926-860X</t>
  </si>
  <si>
    <t>10.1016/j.apcata.2023.119535</t>
  </si>
  <si>
    <t>Alkali-driven selectivity of products on carbon-supported Ni-based catalysts during the HDO of guaiacol</t>
  </si>
  <si>
    <t>J Matos, D Samudio-González, E Blanco, PS Poon, N Escalona</t>
  </si>
  <si>
    <t>Fuel</t>
  </si>
  <si>
    <t>0016-2361</t>
  </si>
  <si>
    <t>10.1016/j.fuel.2024.132442</t>
  </si>
  <si>
    <t>Aqueous Phase Hydrogenation of 4-(2-Furyl)-3-buten-2-one over Different Re Phases</t>
  </si>
  <si>
    <t>Claudio C. Díaz, C Araya-López, AB Dongil, N Escalona</t>
  </si>
  <si>
    <t>1420-3049</t>
  </si>
  <si>
    <t>10.3390/molecules29163853</t>
  </si>
  <si>
    <t>Cobalt-based core@ shell catalysts for guaiacol hydro conversion: use of salicylic acid as a sacrificial modulator of the interaction between the metal phase and the silica support</t>
  </si>
  <si>
    <t xml:space="preserve">D.A Aguirre-Abarca, C Pazo-Carballo, D Laurenti, A Karelovic, AB Dongil, N. Escalona </t>
  </si>
  <si>
    <t xml:space="preserve">New Journal of Chemistry </t>
  </si>
  <si>
    <t>1369-9261</t>
  </si>
  <si>
    <t>10.1039/D4NJ02689F</t>
  </si>
  <si>
    <t>Catalytic evaluation of MOF-808 with metallic centers of Zr(IV), Hf(IV) and Ce(IV) in the acetalization of benzaldehyde with methanol</t>
  </si>
  <si>
    <t>Yazmín Arellano, César Pazo, Vanesa Roa, Yoan Hidalgo-Rosa, Ximena Zarate, Jaime Llanos, Nestor Escalona and Eduardo Schot</t>
  </si>
  <si>
    <t xml:space="preserve">Dalton Transaction </t>
  </si>
  <si>
    <t>1477-9234</t>
  </si>
  <si>
    <t>Nickel promoter effect in rhenium catalysts for valorization of bio-oil model molecules</t>
  </si>
  <si>
    <t xml:space="preserve">N. Mora, E. Blanco, J. Seguel, J.N. Díaz de León, N. Escalona </t>
  </si>
  <si>
    <t>inpress</t>
  </si>
  <si>
    <t>10.1016/j.apcata.2024.120033</t>
  </si>
  <si>
    <t>Biomass characterization and solvent extraction as tools to promote phenol production from urban pruning</t>
  </si>
  <si>
    <t>Fabiola Valdebenito, Rodrigo Ramírez-Álvarez, M. Alexandra Muñoz, Gina Pecchi, Roberto Canales, Sebastián Ormazabal, Robinson Muñoz, Serguei Alejandro-Martín, Franck Quero, Roman Adam, Gerald Cifuentes, J. Flavio Espinoza-Monje, Laura Azócar</t>
  </si>
  <si>
    <t>10.1016/j.fuel.2023.130830</t>
  </si>
  <si>
    <t>New Pillar-MOF with Nitrogen-Donor Sites for CO2 Adsorption</t>
  </si>
  <si>
    <t>A. Lancheros, S. Goswami, X. Zarate, E. Blanco, E. Schott and J. T. Hupp</t>
  </si>
  <si>
    <t>Crystal Growth &amp; Design</t>
  </si>
  <si>
    <t>1528-7483</t>
  </si>
  <si>
    <t>10.1021/acs.cgd.3c01182</t>
  </si>
  <si>
    <t>Atrazine degradation through a heterogeneous dual-effect process using Fe–TiO2-allophane catalysts under sunlight</t>
  </si>
  <si>
    <t>J. Castro-Rojas, P. Jofré-Dupre, N. Escalona, E. Blanco, M. S. Ureta-Zañartu, M. L. Mora and E. Garrido-Ramírez</t>
  </si>
  <si>
    <t>e32894</t>
  </si>
  <si>
    <t>10.1016/j.heliyon.2024.e32894</t>
  </si>
  <si>
    <t>Palladium nanoparticles immobilized on TiO2 nanosheets matrix for the valorization of furfural to produce tetrahydrofurfuryl alcohol</t>
  </si>
  <si>
    <t>Shanmugaraj, Krishnamoorthy, Bedoya, Santiago, González-Vera, Daniela, Mangalaraja, Ramalinga Viswanathan, Vigneshwaran, Sivakumar, de León, J. Noé Díaz, Herrera, Carla, Al-Sehemi, Abdullah G., Campos, Cristian H.</t>
  </si>
  <si>
    <t>10.1016/j.jece.2024.113442</t>
  </si>
  <si>
    <t>Furfural Hydrogenation Over Reduced Pure (LaBO3) and Substituted (LaB0.5B'0.5O3) (B, B': Fe, Co, Ni) Perovskites</t>
  </si>
  <si>
    <t>Katherine Lara, Dana Arias, Catherine Sepulveda, Antonio Buljan, Ignacio Lizana, Eduardo J. Delgado, Gina Pecchi, and Carla Herrera</t>
  </si>
  <si>
    <t>ChemCatChem</t>
  </si>
  <si>
    <t>10.1002/cctc.202301507</t>
  </si>
  <si>
    <t>Núcleo Milenio en Tecnología e Investigación Transversal para explorar Agujeros Negros Supermasivos</t>
  </si>
  <si>
    <t>Evolution of the dual AGN in Mrk 266: a young AGN and a rotation-dominated disc in the SW nucleus</t>
  </si>
  <si>
    <t>Ruby, Mason; Müller-Sánchez, Francisco; Comerford, Julia M.; Stern, Daniel; Cales, Sabrina L.; Harrison, Fiona; Malkan, Matthew A.; Privon, George C.; Treister, Ezequiel</t>
  </si>
  <si>
    <t>10.1093/mnras/stae2320</t>
  </si>
  <si>
    <t>First Very Long Baseline Interferometry Detections at 870 μm</t>
  </si>
  <si>
    <t>Raymond, Alexander W.; Doeleman, Sheperd S.; Asada, Keiichi; Blackburn, Lindy; Bower, Geoffrey C.; Bremer, Michael; Broguiere, Dominique; Chen, Ming-Tang; Crew, Geoffrey B.; Dornbusch, Sven; Fish, Vincent L.; García, Roberto; Gentaz, Olivier; Goddi, Ciriaco; Han, Chih-Chiang; Hecht, Michael H.; Huang, Yau-De; Janssen, Michael; Keating, Garrett K.; Koay, Jun Yi; Krichbaum, Thomas P.; Lo, Wen-Ping; Matsushita, Satoki; Matthews, Lynn D.; Moran, James M.; Norton, Timothy J.; Patel, Nimesh; Pesce, Dominic W.; Ramakrishnan, Venkatessh; Rottmann, Helge; Roy, Alan L.; Sánchez, Salvador; Tilanus, Remo P. J.; Titus, Michael; Torne, Pablo; Wagner, Jan; Weintroub, Jonathan; Wielgus, Maciek; Young, André; Akiyama, Kazunori; Albentosa-Ruíz, Ezequiel; Alberdi, Antxon; Alef, Walter; Algaba, Juan Carlos; Anantua, Richard; Azulay, Rebecca; Bach, Uwe; Baczko, Anne-Kathrin; Ball, David; Balokovic, Mislav; Bandyopadhyay, Bidisha; Barrett, John; Bauböck, Michi; Benson, Bradford A.; Bintley, Dan; Blundell, Raymond; Bouman, Katherine L.; Boyce, Hope; Brissenden, Roger; Britzen, Silke; Broderick, Avery E.; Bronzwaer, Thomas; Bustamante, Sandra; Carlstrom, John E.; Chael, Andrew; Chan, Chi-kwan; Chang, Dominic O.; Chatterjee, Koushik; Chatterjee, Shami; Chen, Yongjun; Cheng, Xiaopeng; Cho, Ilje; Christian, Pierre; Conroy, Nicholas S.; Conway, John E.; Crawford, Thomas M.; Cruz-Osorio, Alejandro; Cui, Yuzhu; Dahale, Rohan; Davelaar, Jordy; De Laurentis, Mariafelicia; Deane, Roger; Dempsey, Jessica; Desvignes, Gregory; Dexter, Jason; Dhruv, Vedant; Dihingia, Indu K.; Dzib, Sergio A.; Eatough, Ralph P.; Emami, Razieh; Falcke, Heino; Farah, Joseph; Fomalont, Edward; Fontana, Anne-Laure; Ford, H. Alyson; Foschi, Marianna; Fraga-Encinas, Raquel; Freeman, William T.; Friberg, Per; Fromm, Christian M.; Fuentes, Antonio; Galison, Peter; Gammie, Charles F.; Georgiev, Boris; Gold, Roman; Gómez-Ruiz, Arturo I.; Gómez, José L.; Gu, Minfeng; Gurwell, Mark; Hada, Kazuhiro; Haggard, Daryl; Hesper, Ronald; Heumann, Dirk; Ho, Luis C.; Ho, Paul; Honma, Mareki; Huang, Chih-Wei L.; Huang, Lei; Hughes, David H.; Ikeda, Shiro; Impellizzeri, C. M. Violette; Inoue, Makoto; Issaoun, Sara; James, David J.; Jannuzi, Buell T.; Jeter, Britton; Jiang, Wu; Jiménez-Rosales, Alejandra; Johnson, Michael D.; Jorstad, Svetlana; Jones, Adam C.; Joshi, Abhishek V.; Jung, Taehyun; Karuppusamy, Ramesh; Kawashima, Tomohisa; Kettenis, Mark; Kim, Dong-Jin; Kim, Jae-Young; Kim, Jongsoo; Kim, Junhan; Kino, Motoki; Kocherlakota, Prashant; Kofuji, Yutaro; Koch, Patrick M.; Koyama, Shoko; Kramer, Carsten; Kramer, Joana A.; Kramer, Michael; Kubo, Derek; Kuo, Cheng-Yu; La Bella, Noemi; Lee, Sang-Sung; Levis, Aviad; Li, Zhiyuan; Lico, Rocco; Lindahl, Greg; Lindqvist, Michael; Lisakov, Mikhail; Liu, Jun; Liu, Kuo; Liuzzo, Elisabetta; Lobanov, Andrei P.; Loinard, Laurent; Lonsdale, Colin J.; Lowitz, Amy E.; Lu, Ru-Sen; MacDonald, Nicholas R.; Mahieu, Sylvain; Maier, Doris; Mao, Jirong; Marchili, Nicola; Markoff, Sera; Marrone, Daniel P.; Marscher, Alan P.; Martí-Vidal, Iván; Medeiros, Lia; Menten, Karl M.; Mizuno, Izumi; Mizuno, Yosuke; Montgomery, Joshua; Moriyama, Kotaro; Moscibrodzka, Monika; Mulaudzi, Wanga; Müller, Cornelia; Müller, Hendrik; Mus, Alejandro; Musoke, Gibwa; Myserlis, Ioannis; Nagai, Hiroshi; Nagar, Neil M.; Nakamura, Masanori; Narayanan, Gopal; Natarajan, Iniyan; Nathanail, Antonios; Fuentes, Santiago Navarro; Neilsen, Joey; Ni, Chunchong; Nowak, Michael A.; Oh, Junghwan; Okino, Hiroki; Olivares Sánchez, Héctor Raúl; Oyama, Tomoaki; Özel, Feryal; Palumbo, Daniel C. M.; Paraschos, Georgios Filippos; Park, Jongho; Parsons, Harriet; Pen, Ue-Li; Piétu, Vincent; PopStefanija, Aleksandar; Porth, Oliver; Prather, Ben; Principe, Giacomo; Psaltis, Dimitrios; Pu, Hung-Yi; Raffin, Philippe A.; Rao, Ramprasad; Rawlings, Mark G.; Ricarte, Angelo; Ripperda, Bart; Roelofs, Freek; Romero-Cañizales, Cristina; Ros, Eduardo; Roshanineshat, Arash; Ruiz, Ignacio; Ruszczyk, Chet; Rygl, Kazi L. J.; Sánchez-Argüelles, David; Sánchez-Portal, Miguel; Sasada, Mahito; Satapathy, Kaushik; Savolainen, Tuomas; Schloerb, F. Peter; Schonfeld, Jonathan; Schuster, Karl-Friedrich; Shao, Lijing; Shen, Zhiqiang; Small, Des; Sohn, Bong Won; SooHoo, Jason; Sosapanta Salas, León David; Souccar, Kamal; Srinivasan, Ranjani; Stanway, Joshua S.; Sun, He; Tazaki, Fumie; Tetarenko, Alexandra J.; Tiede, Paul; Toma, Kenji; Toscano, Teresa; Traianou, Efthalia; Trent, Tyler; Trippe, Sascha; Turk, Matthew; van Bemmel, Ilse; van Langevelde, Huib Jan; van Rossum, Daniel R.; Vos, Jesse; Ward-Thompson, Derek; Wardle, John; Washington, Jasmin E.; Wharton, Robert; Wiik, Kaj; Witzel, Gunther; Wondrak, Michael F.; Wong, George N.; Wu, Qingwen; Yadlapalli, Nitika; Yamaguchi, Paul; Yfantis, Aristomenis; Yoon, Doosoo; Younsi, Ziri; Yu, Wei; Yuan, Feng; Yuan, Ye-Fei; Zensus, J. Anton; Zhang, Shuo; Zhao, Guang-Yao; Zhao, Shan-Shan</t>
  </si>
  <si>
    <t>10.3847/1538-3881/ad5bdb</t>
  </si>
  <si>
    <t>Characterizing the Molecular Gas in Infrared Bright Galaxies with CARMA</t>
  </si>
  <si>
    <t>Alatalo, Katherine; Petric, Andreea O.; Lanz, Lauranne; Rowlands, Kate; U, Vivian; Larson, Kirsten L.; Armus, Lee; Barcos-Muñoz, Loreto; Evans, Aaron S.; Koda, Jin; Luo, Yuanze; Medling, Anne M.; Nyland, Kristina E.; Otter, Justin A.; Patil, Pallavi; Peñaloza, Fernando; Salim, Diane; Sanders, David B.; Sazonova, Elizaveta; Skarbinski, Maya; Song, Yiqing; Treister, Ezequiel; Urry, C. Meg</t>
  </si>
  <si>
    <t>0004-637X</t>
  </si>
  <si>
    <t>10.3847/1538-4357/ad7b31</t>
  </si>
  <si>
    <t>The SDSS-V Black Hole Mapper Reverberation Mapping Project: A Kinematically Variable Broad-line Region and Consequences for the Masses of Luminous Quasars</t>
  </si>
  <si>
    <t>Fries, Logan B.; Trump, Jonathan R.; Horne, Keith; Davis, Megan C.; Grier, Catherine J.; Shen, Yue; Anderson, Scott F.; Dwelly, Tom; Homayouni, Y.; Morrison, Sean; Runnoe, Jessie C.; Trakhtenbrot, Benny; Assef, Roberto J.; Bizyaev, Dmitry; Brandt, W. N.; Breiding, Peter; Brownstein, Joel; Chakraborty, Priyanka; Hall, P. B.; Koekemoer, Anton M.; Ibarra-Medel, Héctor J.; Martínez-Aldama, Mary Loli; Negrete, C. Alenka; Pan, Kaike; Ricci, Claudio; Schneider, Donald P.; Sharp, Hugh W.; Smith, Theodore B.; Stone, Zachary; Temple, Matthew J.</t>
  </si>
  <si>
    <t xml:space="preserve">10.3847/1538-4357/ad7c42 </t>
  </si>
  <si>
    <t>Supermassive black hole formation via collisions in black hole clusters</t>
  </si>
  <si>
    <t>Gaete, B.; Schleicher, D. R. G.; Lupi, A.; Reinoso, B.; Fellhauer, M.; Vergara, M. C</t>
  </si>
  <si>
    <t>A378</t>
  </si>
  <si>
    <t>10.1051/0004-6361/202450770</t>
  </si>
  <si>
    <t>The ALMA-CRISTAL survey: Widespread dust-obscured star formation in typical star-forming galaxies at z = 4–6</t>
  </si>
  <si>
    <t>Mitsuhashi, Ikki; Tadaki, Ken-ichi; Ikeda, Ryota; Herrera-Camus, Rodrigo; Aravena, Manuel; De Looze, Ilse; Förster Schreiber, Natascha M.; González-López, Jorge; Spilker, Justin; Assef, Roberto J.; Bouwens, Rychard; Barcos-Munoz, Loreto; Birkin, Jack; Bowler, Rebecca A. A.; Rivera, Gabriela Calistro; Davies, Rebecca; Da Cunha, Elisabete; Díaz-Santos, Tanio; Ferrara, Andrea; Fisher, Deanne B.; Lee, Lilian L.; Li, Juno; Lutz, Dieter; Relaño, Monica; Naab, Thorsten; Palla, Marco; Posses, Ana; Solimano, Manuel; Tacconi, Linda; Übler, Hannah; van der Giessen, Stefan; Veilleux, Sylvain</t>
  </si>
  <si>
    <t>A197</t>
  </si>
  <si>
    <t>10.1051/0004-6361/202348782</t>
  </si>
  <si>
    <t>Stripe 82-XL: The ∼54.8 deg2 and ∼18.8 Ms Chandra and XMM-Newton Point-source Catalog and Number of Counts</t>
  </si>
  <si>
    <t>Peca, Alessandro; Cappelluti, Nico; LaMassa, Stephanie; Urry, C. Megan; Moscetti, Massimo; Marchesi, Stefano; Sanders, David; Auge, Connor; Ghosh, Aritra; Ananna, Tonima Tasnim; Torres-Albà, Núria; Treister, Ezequiel</t>
  </si>
  <si>
    <t>10.3847/1538-4357/ad6df4</t>
  </si>
  <si>
    <t>Double periodic variable V4142 Sgr: A key to approaching the stellar dynamo</t>
  </si>
  <si>
    <t>Rosales, J. A.; Petrović, J.; Mennickent, R. E.; Schleicher, D. R. G.; Djurašević, G.; Leigh, N. W. C.</t>
  </si>
  <si>
    <t>A154</t>
  </si>
  <si>
    <t>10.1051/0004-6361/202348290</t>
  </si>
  <si>
    <t>Turbulence and the characteristics of circumstellar discs</t>
  </si>
  <si>
    <t>Riaz, R.; Schleicher, D. R. G.; Vanaverbeke, S.; Klessen, Ralf S.; Saavedra-Bastidas, J.</t>
  </si>
  <si>
    <t>10.1093/mnras/stae1451</t>
  </si>
  <si>
    <t>Stellar Abundances at the Center of Early-type Galaxies with Fine Structure</t>
  </si>
  <si>
    <t>Barth, Nicholas; Privon, George C.; Ezzeddine, Rana; Evans, Aaron S.; Treister, Ezequiel</t>
  </si>
  <si>
    <t>10.3847/1538-4357/ad41b5</t>
  </si>
  <si>
    <t>The SDSS-V Black Hole Mapper Reverberation Mapping Project: C IV Broad Absorption Line Acceleration in the Quasar SBS 1408+544</t>
  </si>
  <si>
    <t>Wheatley, Robert; Grier, Catherine J.; Hall, Patrick B.; Brandt, W. N.; Lotz, Jonah; Schneider, D. P.; Trump, Jonathan R.; Shen, Yue; Seaton, Lucas M.; Anderson, Scott F.; Temple, Matthew J.; Assef, Roberto; Fries, Logan B.; Homayouni, Y.; Kakkad, Darshan; Koekemoer, Anton M.; Martínez-Aldama, Mary Loli; Negrete, C. Alenka; Ricci, Claudio; Bizyaev, Dmitry; Brownstein, Joel R.; Morrison, Sean; Pan, Kaike</t>
  </si>
  <si>
    <t>10.3847/1538-4357/ad429e</t>
  </si>
  <si>
    <t>The Structural and Orbital Effects of Active Galactic Nuclei Feedback on SMBH Binaries Embedded in Gaseous Circumbinary Disks</t>
  </si>
  <si>
    <t>d'Etigny, Juan; Escala, Andrés; Rosdhal, Joakim</t>
  </si>
  <si>
    <t xml:space="preserve">10.3847/1538-4357/ad5352 </t>
  </si>
  <si>
    <t>Greenwell, Claire L.; Klindt, Lizelke; Lansbury, George B.; Rosario, David J.; Alexander, David M.; Aird, James; Stern, Daniel; Forster, Karl; Koss, Michael J.; Bauer, Franz E.; Ricci, Claudio; Tomsick, John; Brandt, William N.; Connor, Thomas; Boorman, Peter G.; Annuar, Adlyka; Ballantyne, David R.; Chen, Chien-Ting; Civano, Francesca; Comastri, Andrea; Fawcett, Victoria A.; Fornasini, Francesca M.; Gandhi, Poshak; Harrison, Fiona; Heida, Marianne; Hickox, Ryan; Kammoun, Elias S.; Lanz, Lauranne; Marchesi, Stefano; Noirot, Gaël; Romero-Colmenero, Encarni; Treister, Ezequiel; Urry, C. Megan; Väisänen, Petri; van Soelen, Brian</t>
  </si>
  <si>
    <t>Sánchez-Sáez, P.; Hernández-García, L.; Bernal, S.; Bayo, A.; Calistro Rivera, G.; Bauer, F. E.; Ricci, C.; Merloni, A.; Graham, M. J.; Cartier, R.; Arévalo, P.; Assef, R. J.; Concas, A.; Homan, D.; Krumpe, M.; Lira, P.; Malyali, A.; Martínez-Aldama, M. L.; Muñoz Arancibia, A. M.; Rau, A.; Bruni, G.; Förster, F.; Pavez-Herrera, M.; Tubín-Arenas, D.; Brightman, M.</t>
  </si>
  <si>
    <t xml:space="preserve">10.1051/0004-6361/202347957 </t>
  </si>
  <si>
    <t>DUVET: Resolved direct metallicity measurements in the outflow of starburst galaxy NGC 1569</t>
  </si>
  <si>
    <t>Hamel-Bravo, Magdalena J.; Fisher, Deanne B.; Berg, Danielle; Björgvinsson, Bjarki; Bolatto, Alberto D.; Cameron, Alex J.; Chisholm, John; Fielding, Drummond B.; Herrera-Camus, Rodrigo; Kacprzak, Glenn G.; Li, Miao; Ciraulo, Barbara Mazzilli; McLeod, Anna F.; McPherson, Daniel K.; Nielsen, Nikole M.; Reichardt Chu, Bronwyn; Vaught, Ryan J. Rickards; Sandstrom, Karin</t>
  </si>
  <si>
    <t>10.1093/mnras/stae983</t>
  </si>
  <si>
    <t>Dark matter line searches with the Cherenkov Telescope Array</t>
  </si>
  <si>
    <t>Abe, S.; Abhir, J.; Abhishek, A.; Acero, F.; Acharyya, A.; Adam, R.; Aguasca-Cabot, A.; Agudo, I.; Aguirre-Santaella, A.; Alfaro, J.; Alfaro, R.; Alvarez-Crespo, N.; Alves Batista, R.; Amans, J. -P.; Amato, E.; Ambrosi, G.; Angel, L.; Aramo, C.; Arcaro, C.; Arnesen, T. T. H.; Arrabito, L.; Asano, K.; Ascasibar, Y.; Aschersleben, J.; Ashkar, H.; Backes, M.; Baktash, A.; Balazs, C.; Balbo, M.; Baquero Larriva, A.; Barbosa Martins, V.; Barres de Almeida, U.; Barrio, J. A.; Batković, I.; Batzofin, R.; Baxter, J.; Becerra González, J.; Beck, G.; Benbow, W.; Berge, D.; Bernardini, E.; Bernete, J.; Bernlöhr, K.; Berti, A.; Bertucci, B.; Bhattacharjee, P.; Bhattacharyya, S.; Bigongiari, C.; Biland, A.; Bissaldi, E.; Biteau, J.; Blanch, O.; Blazek, J.; Bocchino, F.; Boisson, C.; Bolmont, J.; Bonnoli, G.; Bonollo, A.; Bordas, P.; Bosnjak, Z.; Bottacini, E.; Böttcher, M.; Bringmann, T.; Bronzini, E.; Brose, R.; Brown, A. M.; Brunelli, G.; Bulgarelli, A.; Bulik, T.; Burelli, I.; Burmistrov, L.; Burton, M.; Buscemi, M.; Bylund, T.; Cailleux, J.; Campoy-Ordaz, A.; Cantlay, B. K.; Capasso, G.; Caproni, A.; Capuzzo-Dolcetta, R.; Caraveo, P.; Caroff, S.; Carosi, A.; Carosi, R.; Carquin, E.; Carrasco, M. -S.; Cassol, F.; Castaldini, L.; Castrejon, N.; Castro-Tirado, A. J.; Cerasole, D.; Cerruti, M.; Chadwick, P. M.; Chaty, S.; Chen, A. W.; Chernyakova, M.; Chiavassa, A.; Chudoba, J.; Chytka, L.; Cicciari, G. M.; Cifuentes, A.; Coimbra Araujo, C. H.; Colapietro, M.; Conforti, V.; Conte, F.; Contreras, J. L.; Costa, A.; Costantini, H.; Cotter, G.; Cristofari, P.; Cuevas, O.; Curtis-Ginsberg, Z.; D'Amico, G.; D'Ammando, F.; Dai, S.; Dalchenko, M.; Dazzi, F.; De Angelis, A.; de Bony de Lavergne, M.; De Caprio, V.; de Gouveia Dal Pino, E. M.; De Lotto, B.; De Lucia, M.; de Menezes, R.; de Naurois, M.; de Souza, V.; del Peral, L.; del Valle, M. V.; Delgado Giler, A. G.; Delgado Mengual, J.; Delgado, C.; Dell'aiera, M.; della Volpe, D.; Depaoli, D.; Di Girolamo, T.; Di Piano, A.; Di Pierro, F.; Di Tria, R.; Di Venere, L.; Díaz, C.; Diebold, S.; Dinesh, A.; Djuvsland, J.; Dominik, R. M.; Dominis Prester, D.; Donini, A.; Dorner, D.; Dörner, J.; Doro, M.; Dournaux, J. -L.; Duangchan, C.; Dubos, C.; Ducci, L.; Dwarkadas, V. V.; Ebr, J.; Eckner, C.; Egberts, K.; Einecke, S.; Elsässer, D.; Emery, G.; Errando, M.; Escanuela, C.; Escarate, P.; Escobar Godoy, M.; Escudero, J.; Esposito, P.; Ettori, S.; Falceta-Goncalves, D.; Fedorova, E.; Fegan, S.; Feng, Q.; Ferrand, G.; Ferrarotto, F.; Fiandrini, E.; Fiasson, A.; Filipovic, M.; Fioretti, V.; Fiori, M.; Foffano, L.; Font Guiteras, L.; Fontaine, G.; Fröse, S.; Fukazawa, Y.; Fukui, Y.; Furniss, A.; Galanti, G.; Galaz, G.; Galelli, C.; Gallozzi, S.; Gammaldi, V.; Garczarczyk, M.; Gasbarra, C.; Gasparrini, D.; Ghalumyan, A.; Gianotti, F.; Giarrusso, M.; Giesbrecht Formiga Paiva, J. G.; Giglietto, N.; Giordano, F.; Giuffrida, R.; Glicenstein, J. -F.; Glombitza, J.; Goldoni, P.; González, J. M.; González, M. M.; Goulart Coelho, J.; Gradetzke, T.; Granot, J.; Grasso, D.; Grau, R.; Gréaux, L.; Green, D.; Green, J. G.; Grolleron, G.; Guedes, L. M. V.; Gueta, O.; Hackfeld, J.; Hadasch, D.; Hamal, P.; Hanlon, W.; Hara, S.; Harvey, V. M.; Hassan, T.; Hayashi, K.; Heß, B.; Heckmann, L.; Heller, M.; Hernández Cadena, S.; Hervet, O.; Hinton, J.; Hiroshima, N.; Hnatyk, B.; Hnatyk, R.; Hofmann, W.; Holder, J.; Horan, D.; Horvath, P.; Hovatta, T.; Hrabovsky, M.; Hrupec, D.; Iarlori, M.; Inada, T.; Incardona, F.; Inoue, S.; Inoue, Y.; Iocco, F.; Iori, M.; Ishio, K.; Jamrozy, M.; Janecek, P.; Jankowsky, F.; Jean, P.; Jimenez Quiles, J.; Jin, W.; Juramy-Gilles, C.; Jurysek, J.; Kagaya, M.; Kalekin, O.; Karas, V.; Katagiri, H.; Kataoka, J.; Kaufmann, S.; Kazanas, D.; Kerszberg, D.; Kieda, D. B.; Kleiner, T.; Kluge, G.; Kobayashi, Y.; Kohri, K.; Komin, N.; Kornecki, P.; Kosack, K.; Kowal, G.; Kubo, H.; Kushida, J.; La Barbera, A.; La Palombara, N.; Láinez, M.; Lamastra, A.; Lapington, J.; Laporte, P.; Lazarević, S.; Lazendic-Galloway, J.; Lemoine-Goumard, M.; Lenain, J. -P.; Leone, F.; Leonora, E.; Leto, G.; Lindfors, E.; Linhoff, M.; Liodakis, I.; Lipniacka, A.; Lombardi, S.; Longo, F.; López-Coto, R.; López-Moya, M.; López-Oramas, A.; Loporchio, S.; Lozano Bahilo, J.; Luque-Escamilla, P. L.; Macias, O.; Majumdar, P.; Mallamaci, M.; Malyshev, D.; Mandat, D.; Manicò, G.; Mariotti, M.; Márquez, I.; Marquez, P.; Marsella, G.; Martí, J.; Martínez, G. A.; Martínez, M.; Martinez, O.; Marty, C.; Mas-Aguilar, A.; Mastropietro, M.; Mazin, D.; Menchiari, S.; Mestre, E.; Meunier, J. -L.; Meyer, D. M. -A.; Meyer, M.; Miceli, D.; Miceli, M.; Michailidis, M.; Michałowski, J.; Miener, T.; Miranda, J. M.; Mitchell, A.; Mizote, M.; Mizuno, T.; Moderski, R.; Molero, M.; Molfese, C.; Molina, E.; Montaruli, T.; Moralejo, A.; Morcuende, D.; Morselli, A.; Moulin, E.; Moya Zamanillo, V.; Munari, K.; Murach, T.; Muraczewski, A.; Muraishi, H.; Nakamori, T.; Nayak, A.; Nemmen, R.; Neto, J. P.; Nickel, L.; Niemiec, J.; Nieto, D.; Nievas Rosillo, M.; Nikołajuk, M.; Nikolić, L.; Nishijima, K.; Noda, K.; Nosek, D.; Novotny, V.; Nozaki, S.; Ohishi, M.; Ohtani, Y.; Okumura, A.; Olive, J. -F.; Ong, R. A.; Orienti, M.; Orito, R.; Orlandini, M.; Orlando, E.; Orlando, S.; Ostrowski, M.; Otero-Santos, J.; Oya, I.; Pagano, I.; Pagliaro, A.; Palatiello, M.; Panebianco, G.; Paneque, D.; Pantaleo, F. R.; Paredes, J. M.; Parmiggiani, N.; Patricelli, B.; Pe'er, A.; Pech, M.; Pecimotika, M.; Pensec, U.; Peresano, M.; Pérez-Romero, J.; Persic, M.; Peters, K. P.; Petruk, O.; Piano, G.; Pierre, E.; Pietropaolo, E.; Pihet, M.; Pinchbeck, L.; Pirola, G.; Pittori, C.; Plard, C.; Podobnik, F.; Pohl, M.; Pollet, V.; Ponti, G.; Prandini, E.; Principe, G.; Priyadarshi, C.; Produit, N.; Prouza, M.; Pueschel, E.; Pühlhofer, G.; Pumo, M. L.; Queiroz, F.; Quirrenbach, A.; Rainò, S.; Rando, R.; Razzaque, S.; Regeard, M.; Reimer, A.; Reimer, O.; Reisenegger, A.; Rhode, W.; Ribeiro, D.; Ribó, M.; Ricci, C.; Richtler, T.; Rico, J.; Rieger, F.; Riitano, L.; Rizi, V.; Roache, E.; Rodriguez Fernandez, G.; Rodríguez Frías, M. D.; Rodríguez-Vázquez, J. J.; Romano, P.; Romeo, G.; Rosado, J.; Rosales de Leon, A.; Rowell, G.; Rudak, B.; Ruiter, A. J.; Rulten, C. B.; Sadeh, I.; Saha, L.; Saito, T.; Salzmann, H.; Sánchez-Conde, M.; Sandaker, H.; Sangiorgi, P.; Sano, H.; Santander, M.; Santos-Lima, R.; Sapienza, V.; Šarić, T.; Sarkar, A.; Sarkar, S.; Saturni, F. G.; Savarese, S.; Scherer, A.; Schiavone, F.; Schipani, P.; Schleicher, B.; Schovanek, P.; Schubert, J. L.; Schwanke, U.; Seglar Arroyo, M.; Seitenzahl, I. R.; Sergijenko, O.; Servillat, M.; Siegert, T.; Siejkowski, H.; Siqueira, C.; Sliusar, V.; Slowikowska, A.; Sol, H.; Spencer, S. T.; Spiga, D.; Stamerra, A.; Stanič, S.; Starecki, T.; Starling, R.; Stawarz, Ł.; Steppa, C.; Sæther Hatlen, E.; Stolarczyk, T.; Strišković, J.; Suda, Y.; Świerk, P.; Tajima, H.; Tak, D.; Takahashi, M.; Takeishi, R.; Tavernier, T.; Tejedor, L. A.; Terauchi, K.; Teshima, M.; Testa, V.; Tian, W. W.; Tibaldo, L.; Tibolla, O.; Todero Peixoto, C. J.; Torradeflot, F.; Torres, D. F.; Tosti, G.; Tothill, N.; Toussenel, F.; Tramacere, A.; Travnicek, P.; Tripodo, G.; Trois, A.; Truzzi, S.; Tutone, A.; Vaclavek, L.; Vacula, M.; Vallania, P.; Vallés, R.; van Eldik, C.; van Scherpenberg, J.; Vandenbroucke, J.; Vassiliev, V.; Vázquez Acosta, M.; Vecchi, M.; Ventura, S.; Vercellone, S.; Verna, G.; Viana, A.; Viaux, N.; Vigliano, A.; Vignatti, J.; Vigorito, C. F.; Villanueva, J.; Visentin, E.; Vitale, V.; Vodeb, V.; Voisin, V.; Voitsekhovskyi, V.; Vorobiov, S.; Voutsinas, G.; Vovk, I.; Vuillaume, T.; Wagner, S. J.; Walter, R.; White, M.; White, R.; Wierzcholska, A.; Will, M.; Williams, D. A.; Wohlleben, F.; Wolter, A.; Yamamoto, T.; Yang, L.; Yoshida, T.; Yoshikoshi, T.; Zaharijas, G.; Zampieri, L.; Zanmar Sanchez, R.; Zavrtanik, D.; Zavrtanik, M.; Zdziarski, A. A.; Zech, A.; Zhang, W.; Zhdanov, V. I.; Ziętara, K.; Živec, M.; Zuriaga-Puig, J.; The CTAO Consortium</t>
  </si>
  <si>
    <t>Journal of Cosmology and Astroparticle Physics</t>
  </si>
  <si>
    <t>1475-7516</t>
  </si>
  <si>
    <t>10.1088/1475-7516/2024/07/047</t>
  </si>
  <si>
    <t>Distribution of Merging and Post-merger Galaxies in Nearby Galaxy Clusters</t>
  </si>
  <si>
    <t>Kim, Duho; Sheen, Yun-Kyeong; Jaffé, Yara L.; Kelkar, Kshitija; Ranjan, Adarsh; Piraino-Cerda, Franco; Crossett, Jacob P.; Costa Lourenço, Ana Carolina; Martin, Garreth; Nantais, Julie B.; Demarco, Ricardo; Treister, Ezequiel; Yi, Sukyoung K.</t>
  </si>
  <si>
    <t>10.3847/1538-4357/ad32ce</t>
  </si>
  <si>
    <t>First Sagittarius A* Event Horizon Telescope Results. VII. Polarization of the Ring</t>
  </si>
  <si>
    <t>Event Horizon Telescope Collaboration; Akiyama, Kazunori; Alberdi, Antxon; Alef, Walter; Algaba, Juan Carlos; Anantua, Richard; Asada, Keiichi; Azulay, Rebecca; Bach, Uwe; Baczko, Anne-Kathrin; Ball, David; Balokovic, Mislav; Bandyopadhyay, Bidisha; Barrett, John; Bauböck, Michi; Benson, Bradford A.; Bintley, Dan; Blackburn, Lindy; Blundell, Raymond; Bouman, Katherine L.; Bower, Geoffrey C.; Boyce, Hope; Bremer, Michael; Brinkerink, Christiaan D.; Brissenden, Roger; Britzen, Silke; Broderick, Avery E.; Broguiere, Dominique; Bronzwaer, Thomas; Bustamante, Sandra; Byun, Do-Young; Carlstrom, John E.; Ceccobello, Chiara; Chael, Andrew; Chan, Chi-kwan; Chang, Dominic O.; Chatterjee, Koushik; Chatterjee, Shami; Chen, Ming-Tang; Chen, Yongjun; Cheng, Xiaopeng; Cho, Ilje; Christian, Pierre; Conroy, Nicholas S.; Conway, John E.; Cordes, James M.; Crawford, Thomas M.; Crew, Geoffrey B.; Cruz-Osorio, Alejandro; Cui, Yuzhu; Dahale, Rohan; Davelaar, Jordy; De Laurentis, Mariafelicia; Deane, Roger; Dempsey, Jessica; Desvignes, Gregory; Dexter, Jason; Dhruv, Vedant; Dihingia, Indu K.; Doeleman, Sheperd S.; Dougal, Sean Taylor; Dzib, Sergio A.; Eatough, Ralph P.; Emami, Razieh; Falcke, Heino; Farah, Joseph; Fish, Vincent L.; Fomalont, Edward; Ford, H. Alyson; Foschi, Marianna; Fraga-Encinas, Raquel; Freeman, William T.; Friberg, Per; Fromm, Christian M.; Fuentes, Antonio; Galison, Peter; Gammie, Charles F.; García, Roberto; Gentaz, Olivier; Georgiev, Boris; Goddi, Ciriaco; Gold, Roman; Gómez-Ruiz, Arturo I.; Gómez, José L.; Gu, Minfeng; Gurwell, Mark; Hada, Kazuhiro; Haggard, Daryl; Haworth, Kari; Hecht, Michael H.; Hesper, Ronald; Heumann, Dirk; Ho, Luis C.; Ho, Paul; Honma, Mareki; Huang, Chih-Wei L.; Huang, Lei; Hughes, David H.; Ikeda, Shiro; Impellizzeri, C. M. Violette; Inoue, Makoto; Issaoun, Sara; James, David J.; Jannuzi, Buell T.; Janssen, Michael; Jeter, Britton; Jiang, Wu; Jiménez-Rosales, Alejandra; Johnson, Michael D.; Jorstad, Svetlana; Joshi, Abhishek V.; Jung, Taehyun; Karami, Mansour; Karuppusamy, Ramesh; Kawashima, Tomohisa; Keating, Garrett K.; Kettenis, Mark; Kim, Dong-Jin; Kim, Jae-Young; Kim, Jongsoo; Kim, Junhan; Kino, Motoki; Koay, Jun Yi; Kocherlakota, Prashant; Kofuji, Yutaro; Koch, Patrick M.; Koyama, Shoko; Kramer, Carsten; Kramer, Joana A.; Kramer, Michael; Krichbaum, Thomas P.; Kuo, Cheng-Yu; La Bella, Noemi; Lauer, Tod R.; Lee, Daeyoung; Lee, Sang-Sung; Leung, Po Kin; Levis, Aviad; Li, Zhiyuan; Lico, Rocco; Lindahl, Greg; Lindqvist, Michael; Lisakov, Mikhail; Liu, Jun; Liu, Kuo; Liuzzo, Elisabetta; Lo, Wen-Ping; Lobanov, Andrei P.; Loinard, Laurent; Lonsdale, Colin J.; Lowitz, Amy E.; Lu, Ru-Sen; MacDonald, Nicholas R.; Mao, Jirong; Marchili, Nicola; Markoff, Sera; Marrone, Daniel P.; Marscher, Alan P.; Martí-Vidal, Iván; Matsushita, Satoki; Matthews, Lynn D.; Medeiros, Lia; Menten, Karl M.; Michalik, Daniel; Mizuno, Izumi; Mizuno, Yosuke; Moran, James M.; Moriyama, Kotaro; Moscibrodzka, Monika; Mulaudzi, Wanga; Müller, Cornelia; Müller, Hendrik; Mus, Alejandro; Musoke, Gibwa; Myserlis, Ioannis; Nadolski, Andrew; Nagai, Hiroshi; Nagar, Neil M.; Nakamura, Masanori; Narayanan, Gopal; Natarajan, Iniyan; Nathanail, Antonios; Fuentes, Santiago Navarro; Neilsen, Joey; Neri, Roberto; Ni, Chunchong; Noutsos, Aristeidis; Nowak, Michael A.; Oh, Junghwan; Okino, Hiroki; Olivares, Hèctor; Ortiz-León, Gisela N.; Oyama, Tomoaki; Özel, Feryal; Palumbo, Daniel C. M.; Paraschos, Georgios Filippos; Park, Jongho; Parsons, Harriet; Patel, Nimesh; Pen, Ue-Li; Pesce, Dominic W.; Piétu, Vincent; Plambeck, Richard; PopStefanija, Aleksandar; Porth, Oliver; Pötzl, Felix M.; Prather, Ben; Preciado-López, Jorge A.; Psaltis, Dimitrios; Pu, Hung-Yi; Ramakrishnan, Venkatessh; Rao, Ramprasad; Rawlings, Mark G.; Raymond, Alexander W.; Rezzolla, Luciano; Ricarte, Angelo; Ripperda, Bart; Roelofs, Freek; Rogers, Alan; Romero-Cañizales, Cristina; Ros, Eduardo; Roshanineshat, Arash; Rottmann, Helge; Roy, Alan L.; Ruiz, Ignacio; Ruszczyk, Chet; Rygl, Kazi L. J.; Sánchez, Salvador; Sánchez-Argüelles, David; Sánchez-Portal, Miguel; Sasada, Mahito; Satapathy, Kaushik; Savolainen, Tuomas; Schloerb, F. Peter; Schonfeld, Jonathan; Schuster, Karl-Friedrich; Shao, Lijing; Shen, Zhiqiang; Small, Des; Sohn, Bong Won; SooHoo, Jason; Sosapanta Salas, León David; Souccar, Kamal; Stanway, Joshua S.; Sun, He; Tazaki, Fumie; Tetarenko, Alexandra J.; Tiede, Paul; Tilanus, Remo P. J.; Titus, Michael; Torne, Pablo; Toscano, Teresa; Traianou, Efthalia; Trent, Tyler; Trippe, Sascha; Turk, Matthew; van Bemmel, Ilse; van Langevelde, Huib Jan; van Rossum, Daniel R.; Vos, Jesse; Wagner, Jan; Ward-Thompson, Derek; Wardle, John; Washington, Jasmin E.; Weintroub, Jonathan; Wharton, Robert; Wielgus, Maciek; Wiik, Kaj; Witzel, Gunther; Wondrak, Michael F.; Wong, George N.; Wu, Qingwen; Yadlapalli, Nitika; Yamaguchi, Paul; Yfantis, Aristomenis; Yoon, Doosoo; Young, Andrè; Young, Ken; Younsi, Ziri; Yu, Wei; Yuan, Feng; Yuan, Ye-Fei; Zensus, J. Anton; Zhang, Shuo; Zhao, Guang-Yao; Zhao, Shan-Shan</t>
  </si>
  <si>
    <t>10.3847/2041-8213/ad2df0</t>
  </si>
  <si>
    <t>Luna, A.; Marchetti, T.; Rejkuba, M.; Leigh, N. W. C.; Alonso-García, J.; Valenzuela Navarro, A.; Minniti, D.; Smith, L. C.</t>
  </si>
  <si>
    <t>2024-04-26 00:00:00.000</t>
  </si>
  <si>
    <t>Exploring Changing-look Active Galactic Nuclei with the Sloan Digital Sky Survey V: First Year Results</t>
  </si>
  <si>
    <t>Zeltyn, Grisha; Trakhtenbrot, Benny; Eracleous, Michael; Yang, Qian; Green, Paul; Anderson, Scott F.; LaMassa, Stephanie; Runnoe, Jessie; Assef, Roberto J.; Bauer, Franz E.; Brandt, W. N.; Davis, Megan C.; Frederick, Sara E.; Fries, Logan B.; Graham, Matthew J.; Grogin, Norman A.; Guolo, Muryel; Hernández-García, Lorena; Koekemoer, Anton M.; Krumpe, Mirko; Liu, Xin; Martínez-Aldama, Mary Loli; Ricci, Claudio; Schneider, Donald P.; Shen, Yue; Śniegowska, Marzena; Temple, Matthew J.; Trump, Jonathan R.; Xue, Yongquan; Brownstein, Joel R.; Dwelly, Tom; Morrison, Sean; Bizyaev, Dmitry; Pan, Kaike; Kollmeier, Juna A.</t>
  </si>
  <si>
    <t>10.3847/1538-4357/ad2f30</t>
  </si>
  <si>
    <t>First Sagittarius A* Event Horizon Telescope Results. VIII. Physical Interpretation of the Polarized Ring</t>
  </si>
  <si>
    <t xml:space="preserve">Event Horizon Telescope Collaboration; Akiyama, Kazunori; Alberdi, Antxon; Alef, Walter; Algaba, Juan Carlos; Anantua, Richard; Asada, Keiichi; Azulay, Rebecca; Bach, Uwe; Baczko, Anne-Kathrin; Ball, David; Baloković, Mislav; Bandyopadhyay, Bidisha; Barrett, John; Bauböck, Michi; Benson, Bradford A.; Bintley, Dan; Blackburn, Lindy; Blundell, Raymond; Bouman, Katherine L.; Bower, Geoffrey C.; Boyce, Hope; Bremer, Michael; Brinkerink, Christiaan D.; Brissenden, Roger; Britzen, Silke; Broderick, Avery E.; Broguiere, Dominique; Bronzwaer, Thomas; Bustamante, Sandra; Byun, Do-Young; Carlstrom, John E.; Ceccobello, Chiara; Chael, Andrew; Chan, Chi-kwan; Chang, Dominic O.; Chatterjee, Koushik; Chatterjee, Shami; Chen, Ming-Tang; Chen, Yongjun; Cheng, Xiaopeng; Cho, Ilje; Christian, Pierre; Conroy, Nicholas S.; Conway, John E.; Cordes, James M.; Crawford, Thomas M.; Crew, Geoffrey B.; Cruz-Osorio, Alejandro; Cui, Yuzhu; Dahale, Rohan; Davelaar, Jordy; De Laurentis, Mariafelicia; Deane, Roger; Dempsey, Jessica; Desvignes, Gregory; Dexter, Jason; Dhruv, Vedant; Dihingia, Indu K.; Doeleman, Sheperd S.; Dougall, Sean; Dzib, Sergio A.; Eatough, Ralph P.; Emami, Razieh; Falcke, Heino; Farah, Joseph; Fish, Vincent L.; Fomalont, Edward; Ford, H. Alyson; Foschi, Marianna; Fraga-Encinas, Raquel; Freeman, William T.; Friberg, Per; Fromm, Christian M.; Fuentes, Antonio; Galison, Peter; Gammie, Charles F.; García, Roberto; Gentaz, Olivier; Georgiev, Boris; Goddi, Ciriaco; Gold, Roman; Gómez-Ruiz, Arturo I.; Gómez, José L.; Gu, Minfeng; Gurwell, Mark; Hada, Kazuhiro; Haggard, Daryl; Haworth, Kari; Hecht, Michael H.; Hesper, Ronald; Heumann, Dirk; Ho, Luis C.; Ho, Paul; Honma, Mareki; Huang, Chih-Wei L.; Huang, Lei; Hughes, David H.; Ikeda, Shiro; Impellizzeri, C. M. Violette; Inoue, Makoto; Issaoun, Sara; James, David J.; Jannuzi, Buell T.; Janssen, Michael; Jeter, Britton; Jiang, Wu; Jiménez-Rosales, Alejandra; Johnson, Michael D.; Jorstad, Svetlana; Joshi, Abhishek V.; Jung, Taehyun; Karami, Mansour; Karuppusamy, Ramesh; Kawashima, Tomohisa; Keating, Garrett K.; Kettenis, Mark; Kim, Dong-Jin; Kim, Jae-Young; Kim, Jongsoo; Kim, Junhan; Kino, Motoki; Koay, Jun Yi; Kocherlakota, Prashant; Kofuji, Yutaro; Koch, Patrick M.; Koyama, Shoko; Kramer, Carsten; Kramer, Joana A.; Kramer, Michael; Krichbaum, Thomas P.; Kuo, Cheng-Yu; La Bella, Noemi; Lauer, Tod R.; Lee, Daeyoung; Lee, Sang-Sung; Leung, Po Kin; Levis, Aviad; Li, Zhiyuan; Lico, Rocco; Lindahl, Greg; Lindqvist, Michael; Lisakov, Mikhail; Liu, Jun; Liu, Kuo; Liuzzo, Elisabetta; Lo, Wen-Ping; Lobanov, Andrei P.; Loinard, Laurent; Lonsdale, Colin J.; Lowitz, Amy E.; Lu, Ru-Sen; MacDonald, Nicholas R.; Mao, Jirong; Marchili, Nicola; Markoff, Sera; Marrone, Daniel P.; Marscher, Alan P.; Martí-Vidal, Iván; Matsushita, Satoki; Matthews, Lynn D.; Medeiros, Lia; Menten, Karl M.; Michalik, Daniel; Mizuno, Izumi; Mizuno, Yosuke; Moran, James M.; Moriyama, Kotaro; Moscibrodzka, Monika; Mulaudzi, Wanga; Müller, Cornelia; Müller, Hendrik; Mus, Alejandro; Musoke, Gibwa; Myserlis, Ioannis; Nadolski, Andrew; Nagai, Hiroshi; Nagar, Neil M.; Nakamura, Masanori; Narayanan, Gopal; Natarajan, Iniyan; Nathanail, Antonios; Fuentes, Santiago Navarro; Neilsen, Joey; Neri, Roberto; Ni, Chunchong; Noutsos, Aristeidis; Nowak, Michael A.; Oh, Junghwan; Okino, Hiroki; Olivares, Héctor; Ortiz-León, Gisela N.; Oyama, Tomoaki; Özel, Feryal; Palumbo, Daniel C. M.; Paraschos, Georgios Filippos; Park, Jongho; Parsons, Harriet; Patel, Nimesh; Pen, Ue-Li; Pesce, Dominic W.; Piétu, Vincent; Plambeck, Richard; PopStefanija, Aleksandar; Porth, Oliver; Pötzl, Felix M.; Prather, Ben; Preciado-López, Jorge A.; Psaltis, Dimitrios; Pu, Hung-Yi; Ramakrishnan, Venkatessh; Rao, Ramprasad; Rawlings, Mark G.; Raymond, Alexander W.; Rezzolla, Luciano; Ricarte, Angelo; Ripperda, Bart; Roelofs, Freek; Rogers, Alan; Romero-Cañizales, Cristina; Ros, Eduardo; Roshanineshat, Arash; Rottmann, Helge; Roy, Alan L.; Ruiz, Ignacio; Ruszczyk, Chet; Rygl, Kazi L. J.; Sánchez, Salvador; Sánchez-Argüelles, David; Sánchez-Portal, Miguel; Sasada, Mahito; Satapathy, Kaushik; Savolainen, Tuomas; Schloerb, F. Peter; Schonfeld, Jonathan; Schuster, Karl-Friedrich; Shao, Lijing; Shen, Zhiqiang; Small, Des; Sohn, Bong Won; SooHoo, Jason; Sosapanta Salas, León David; Souccar, Kamal; Stanway, Joshua S.; Sun, He; Tazaki, Fumie; Tetarenko, Alexandra J.; Tiede, Paul; Tilanus, Remo P. J.; Titus, Michael; Torne, Pablo; Toscano, Teresa; Traianou, Efthalia; Trent, Tyler; Trippe, Sascha; Turk, Matthew; van Bemmel, Ilse; van Langevelde, Huib Jan; van Rossum, Daniel R.; Vos, Jesse; Wagner, Jan; Ward-Thompson, Derek; Wardle, John; Washington, Jasmin E.; Weintroub, Jonathan; Wharton, Robert; Wielgus, Maciek; Wiik, Kaj; Witzel, Gunther; Wondrak, Michael F.; Wong, George N.; Wu, Qingwen; Yadlapalli, Nitika; Yamaguchi, Paul; Yfantis, Aristomenis; Yoon, Doosoo; Young, André; Young, Ken; Younsi, Ziri; Yu, Wei; Yuan, Feng; Yuan, Ye-Fei; Zensus, J. Anton; Zhang, Shuo; Zhao, Guang-Yao; Zhao, Shan-Shan; Najafi-Ziyazi, Mahdi </t>
  </si>
  <si>
    <t>10.3847/2041-8213/ad2df1</t>
  </si>
  <si>
    <t>Magnetic field amplification in massive primordial halos. Influence of Lyman-Werner radiation</t>
  </si>
  <si>
    <t>Díaz, V. B.; Schleicher, D. R. G.; Latif, M. A.; Grete, P.; Banerjee, R.</t>
  </si>
  <si>
    <t>A195</t>
  </si>
  <si>
    <t>10.1051/0004-6361/202347783</t>
  </si>
  <si>
    <t>Arévalo, P.; Churazov, E.; Lira, P.; Sánchez-Sáez, P.; Bernal, S.; Hernández-García, L.; López-Navas, E.; Patel, P.</t>
  </si>
  <si>
    <t>The persistent shadow of the supermassive black hole of M 87. I. Observations, calibration, imaging, and analysis</t>
  </si>
  <si>
    <t>Event Horizon Telescope Collaboration; Akiyama, Kazunori; Alberdi, Antxon; Alef, Walter; Algaba, Juan Carlos; Anantua, Richard; Asada, Keiichi; Azulay, Rebecca; Bach, Uwe; Baczko, Anne-Kathrin; Ball, David; Baloković, Mislav; Bandyopadhyay, Bidisha; Barrett, John; Bauböck, Michi; Benson, Bradford A.; Bintley, Dan; Blackburn, Lindy; Blundell, Raymond; Bouman, Katherine L.; Bower, Geoffrey C.; Boyce, Hope; Bremer, Michael; Brissenden, Roger; Britzen, Silke; Broderick, Avery E.; Broguiere, Dominique; Bronzwaer, Thomas; Bustamante, Sandra; Carlstrom, John E.; Chael, Andrew; Chan, Chi-kwan; Chang, Dominic O.; Chatterjee, Koushik; Chatterjee, Shami; Chen, Ming-Tang; Chen, Yongjun; Cheng, Xiaopeng; Cho, Ilje; Christian, Pierre; Conroy, Nicholas S.; Conway, John E.; Crawford, Thomas M.; Crew, Geoffrey B.; Cruz-Osorio, Alejandro; Cui, Yuzhu; Dahale, Rohan; Davelaar, Jordy; De Laurentis, Mariafelicia; Deane, Roger; Dempsey, Jessica; Desvignes, Gregory; Dexter, Jason; Dhruv, Vedant; Dihingia, Indu K.; Doeleman, Sheperd S.; Dzib, Sergio A.; Eatough, Ralph P.; Emami, Razieh; Falcke, Heino; Farah, Joseph; Fish, Vincent L.; Fomalont, Edward; Ford, H. Alyson; Foschi, Marianna; Fraga-Encinas, Raquel; Freeman, William T.; Friberg, Per; Fromm, Christian M.; Fuentes, Antonio; Galison, Peter; Gammie, Charles F.; García, Roberto; Gentaz, Olivier; Georgiev, Boris; Goddi, Ciriaco; Gold, Roman; Gómez-Ruiz, Arturo I.; Gómez, José L.; Gu, Minfeng; Gurwell, Mark; Hada, Kazuhiro; Haggard, Daryl; Hesper, Ronald; Heumann, Dirk; Ho, Luis C.; Ho, Paul; Honma, Mareki; Huang, Chih-Wei L.; Huang, Lei; Hughes, David H.; Ikeda, Shiro; Violette Impellizzeri, C. M.; Inoue, Makoto; Issaoun, Sara; James, David J.; Jannuzi, Buell T.; Janssen, Michael; Jeter, Britton; Jiang, Wu; Jiménez-Rosales, Alejandra; Johnson, Michael D.; Jorstad, Svetlana; Jones, Adam C.; Joshi, Abhishek V.; Jung, Taehyun; Karuppusamy, Ramesh; Kawashima, Tomohisa; Keating, Garrett K.; Kettenis, Mark; Kim, Dong-Jin; Kim, Jae-Young; Kim, Jongsoo; Kim, Junhan; Kino, Motoki; Koay, Jun Yi; Kocherlakota, Prashant; Kofuji, Yutaro; Koch, Patrick M.; Koyama, Shoko; Kramer, Carsten; Kramer, Joana A.; Kramer, Michael; Krichbaum, Thomas P.; Kuo, Cheng-Yu; La Bella, Noemi; Lee, Sang-Sung; Levis, Aviad; Li, Zhiyuan; Lico, Rocco; Lindahl, Greg; Lindqvist, Michael; Lisakov, Mikhail; Liu, Jun; Liu, Kuo; Liuzzo, Elisabetta; Lo, Wen-Ping; Lobanov, Andrei P.; Loinard, Laurent; Lonsdale, Colin J.; Lowitz, Amy E.; Lu, Ru-Sen; MacDonald, Nicholas R.; Mao, Jirong; Marchili, Nicola; Markoff, Sera; Marrone, Daniel P.; Marscher, Alan P.; Martí-Vidal, Iván; Matsushita, Satoki; Matthews, Lynn D.; Medeiros, Lia; Menten, Karl M.; Mizuno, Izumi; Mizuno, Yosuke; Montgomery, Joshua; Moran, James M.; Moriyama, Kotaro; Moscibrodzka, Monika; Mulaudzi, Wanga; Müller, Cornelia; Müller, Hendrik; Mus, Alejandro; Musoke, Gibwa; Myserlis, Ioannis; Nagai, Hiroshi; Nagar, Neil M.; Nakamura, Masanori; Narayanan, Gopal; Natarajan, Iniyan; Nathanail, Antonios; Fuentes, Santiago Navarro; Neilsen, Joey; Ni, Chunchong; Nowak, Michael A.; Oh, Junghwan; Okino, Hiroki; Olivares, Héctor; Oyama, Tomoaki; Özel, Feryal; Palumbo, Daniel C. M.; Paraschos, Georgios Filippos; Park, Jongho; Parsons, Harriet; Patel, Nimesh; Pen, Ue-Li; Pesce, Dominic W.; Piétu, Vincent; PopStefanija, Aleksandar; Porth, Oliver; Prather, Ben; Psaltis, Dimitrios; Pu, Hung-Yi; Ramakrishnan, Venkatessh; Rao, Ramprasad; Rawlings, Mark G.; Raymond, Alexander W.; Rezzolla, Luciano; Ricarte, Angelo; Ripperda, Bart; Roelofs, Freek; Romero-Cañizales, Cristina; Ros, Eduardo; Roshanineshat, Arash; Rottmann, Helge; Roy, Alan L.; Ruiz, Ignacio; Ruszczyk, Chet; Rygl, Kazi L. J.; Sánchez, Salvador; Sánchez-Argüelles, David; Sánchez-Portal, Miguel; Sasada, Mahito; Satapathy, Kaushik; Savolainen, Tuomas; Schloerb, F. Peter; Schonfeld, Jonathan; Schuster, Karl-Friedrich; Shao, Lijing; Shen, Zhiqiang; Small, Des; Sohn, Bong Won; SooHoo, Jason; Salas, León David Sosapanta; Souccar, Kamal; Stanway, Joshua S.; Sun, He; Tazaki, Fumie; Tetarenko, Alexandra J.; Tiede, Paul; Tilanus, Remo P. J.; Titus, Michael; Toma, Kenji; Torne, Pablo; Toscano, Teresa; Traianou, Efthalia; Trent, Tyler; Trippe, Sascha; Turk, Matthew; van Bemmel, Ilse; van Langevelde, Huib Jan; van Rossum, Daniel R.; Vos, Jesse; Wagner, Jan; Ward-Thompson, Derek; Wardle, John; Washington, Jasmin E.; Weintroub, Jonathan; Wharton, Robert; Wielgus, Maciek; Wiik, Kaj; Witzel, Gunther; Wondrak, Michael F.; Wong, George N.; Wu, Qingwen; Yadlapalli, Nitika; Yamaguchi, Paul; Yfantis, Aristomenis; Yoon, Doosoo; Young, André; Younsi, Ziri; Yu, Wei; Yuan, Feng; Yuan, Ye-Fei; Anton Zensus, J.; Zhang, Shuo; Zhao, Guang-Yao; Zhao, Shan-Shan; Allardi, Alexander; Chang, Shu-Hao; Chang, Chih-Cheng; Chang, Song-Chu; Chen, Chung-Chen; Chilson, Ryan; Faber, Aaron; Gale, David M.; Han, Chih-Chiang; Han, Kuo-Chang; Hasegawa, Yutaka; Hernández-Rebollar, José Luis; Huang, Yau-De; Jiang, Homin; Jinchi, Hao; Kimura, Kimihiro; Kubo, Derek; Li, Chao-Te; Lin, Lupin C. -C.; Liu, Ching-Tang; Liu, Kuan-Yu; Lu, Li-Ming; Martin-Cocher, Pierre; Meyer-Zhao, Zheng; Montaña, Alfredo; Moraghan, Anthony; Moreno-Nolasco, Marcos Emir; Nishioka, Hiroaki; Norton, Timothy J.; Nystrom, George; Ogawa, Hideo; Oshiro, Peter; Pradel, Nicolas; Principe, Giacomo; Raffin, Philippe; Rodríguez-Montoya, Iván; Shaw, Paul; Snow, William; Sridharan, Tirupati Kumara; Srinivasan, Ranjani; Wei, Ta-Shun; Yu, Chen-Yu</t>
  </si>
  <si>
    <t>A79</t>
  </si>
  <si>
    <t>10.1051/0004-6361/202347932</t>
  </si>
  <si>
    <t>Multiwavelength Galactic center gamma-ray observations explained by a unified cosmic-ray dynamics model</t>
  </si>
  <si>
    <t>Scherer, Andrés; Cuadra, Jorge</t>
  </si>
  <si>
    <t>L14</t>
  </si>
  <si>
    <t>10.1051/0004-6361/202451678</t>
  </si>
  <si>
    <t>Isles of regularity in a sea of chaos amid the gravitational three-body problem</t>
  </si>
  <si>
    <t>Trani, Alessandro Alberto; Leigh, Nathan W. C.; Boekholt, Tjarda C. N.; Portegies Zwart, Simon</t>
  </si>
  <si>
    <t>A24</t>
  </si>
  <si>
    <t>10.1051/0004-6361/202449862</t>
  </si>
  <si>
    <t>Long-term evolution of binary orbits induced by circumbinary disks</t>
  </si>
  <si>
    <t>Valli, Ruggero; Tiede, Christopher; Vigna-Gómez, Alejandro; Cuadra, Jorge; Siwek, Magdalena; Ma, Jing-Ze; D'Orazio, Daniel J.; Zrake, Jonathan; de Mink, Selma E.</t>
  </si>
  <si>
    <t>A128</t>
  </si>
  <si>
    <t>10.1051/0004-6361/202449421</t>
  </si>
  <si>
    <t>A catalogue of Galactic GEMS: Globular cluster Extra-tidal Mock Stars</t>
  </si>
  <si>
    <t xml:space="preserve">Grondin, Steffani M.; Webb, Jeremy J.; Lane, James M. M.; Speagle, Joshua S.; Leigh, Nathan W. C. </t>
  </si>
  <si>
    <t>10.1093/mnras/stae203</t>
  </si>
  <si>
    <t>WISE2MBH: a scaling-based algorithm for probing supermassive black hole masses through WISE catalogues</t>
  </si>
  <si>
    <t>Hernández-Yévenes, J.; Nagar, N.; Arratia, V.; Jarrett, T. H.</t>
  </si>
  <si>
    <t xml:space="preserve">10.1093/mnras/stae1372 </t>
  </si>
  <si>
    <t>Satellite-based atmospheric characterization for sites of interest in millimeter and sub-millimeter astronomy</t>
  </si>
  <si>
    <t>Valeria, L.; Martínez-Ledesma, M.; Reeves, R.</t>
  </si>
  <si>
    <t>A186</t>
  </si>
  <si>
    <t>10.1051/0004-6361/202347773</t>
  </si>
  <si>
    <t>Arévalo, P.; López-Navas, E.; Martínez-Aldama, M. L.; Lira, P.; Bernal, S.; Sánchez-Sáez, P.; Salvato, M.; Hernández-García, L.; Ricci, C.; Merloni, A.; Krumpe, M.</t>
  </si>
  <si>
    <t>High dust content of a quiescent galaxy at z 2 revealed by deep ALMA observation</t>
  </si>
  <si>
    <t>Lee, Minju M.; Steidel, Charles C.; Brammer, Gabriel; Förster-Schreiber, Natascha; Renzini, Alvio; Liu, Daizhong; Herrera-Camus, Rodrigo; Naab, Thorsten; Price, Sedona H.; Übler, Hannah; Arriagada-Neira, Sebastián; Magdis, Georgios</t>
  </si>
  <si>
    <t xml:space="preserve">10.1093/mnras/stad3718 </t>
  </si>
  <si>
    <t>UV FeII emission model of HE 0413−4031 and its relation to broad-line time delays</t>
  </si>
  <si>
    <t>Zajaček, Michal; Panda, Swayamtrupta; Pandey, Ashwani; Prince, Raj; Rodríguez-Ardila, Alberto; Jaiswal, Vikram; Czerny, Bożena; Hryniewicz, Krzysztof; Urbanowicz, Maciej; Trzcionkowski, Piotr; Śniegowska, Marzena; Fałkowska, Zuzanna; Martínez-Aldama, Mary Loli; Werner, Norbert</t>
  </si>
  <si>
    <t>A140</t>
  </si>
  <si>
    <t>10.1051/0004-6361/202348172</t>
  </si>
  <si>
    <t>The Sloan Digital Sky Survey Reverberation Mapping Project: Investigation of Continuum Lag Dependence on Broad-line Contamination and Quasar Properties</t>
  </si>
  <si>
    <t>Sharp, Hugh W.; Homayouni, Y.; Trump, Jonathan R.; Anderson, Scott F.; Assef, Roberto J.; Brandt, W. N.; Davis, Megan C.; Fries, Logan B.; Grier, Catherine J.; Hall, Patrick B.; Horne, Keith; Koekemoer, Anton M.; Martínez-Aldama, Mary Loli; Menezes, David M.; Pena, Theodore; Ricci, C.; Schneider, Donald P.; Shen, Yue; Trakhtenbrot, Benny</t>
  </si>
  <si>
    <t xml:space="preserve">10.3847/1538-4357/ad0cea </t>
  </si>
  <si>
    <t>A Large Jet Narrow-line Seyfert 1 Galaxy: Observations from Parsec to 100 kpc Scales</t>
  </si>
  <si>
    <t>Chen, Sina; Kharb, Preeti; Silpa, Sasikumar; Nandi, Sumana; Berton, Marco; Järvelä, Emilia; Laor, Ari; Behar, Ehud; Foschini, Luigi; Vietri, Amelia; Gu, Minfeng; La Mura, Giovanni; Crepaldi, Luca; Zhou, Minhua</t>
  </si>
  <si>
    <t>10.3847/1538-4357/ad182a</t>
  </si>
  <si>
    <t>The chaotic four-body problem in Newtonian gravity - II. An ansatz-based approach to analytical solutions</t>
  </si>
  <si>
    <t>Barrera Retamal, Carlos M.; Leigh, Nathan W. C.; Stone, Nicholas C.</t>
  </si>
  <si>
    <t>10.1093/mnras/stad3988</t>
  </si>
  <si>
    <t>Observing the LMC with APEX: Signatures of large-scale feedback in the molecular clouds of 30 Doradus</t>
  </si>
  <si>
    <t>Grishunin, K.; Weiss, A.; Colombo, D.; Chevance, M.; Chen, C. -H. R.; Güsten, R.; Rubio, M.; Hunt, L. K.; Wyrowski, F.; Harrington, K.; Menten, K. M.; Herrera-Camus, R.</t>
  </si>
  <si>
    <t>A137</t>
  </si>
  <si>
    <t xml:space="preserve">10.1051/0004-6361/202347364 </t>
  </si>
  <si>
    <t>The dominant mechanism(s) for populating the outskirts of star clusters with neutron star binaries</t>
  </si>
  <si>
    <t>Leigh, Nathan W. C.; Ye, Claire S.; Grondin, Steffani M.; Fragione, Giacomo; Webb, Jeremy J.; Heinke, Craig O.</t>
  </si>
  <si>
    <t>10.1093/mnras/stad3490</t>
  </si>
  <si>
    <t>Quasar feedback survey: molecular gas affected by central outflows and by 10-kpc radio lobes reveal dual feedback effects in 'radio quiet' quasars</t>
  </si>
  <si>
    <t>Girdhar, A.; Harrison, C. M.; Mainieri, V.; Fernández Aranda, R.; Alexander, D. M.; Arrigoni Battaia, F.; Bianchin, M.; Calistro Rivera, G.; Circosta, C.; Costa, T.; Edge, A. C.; Farina, E. P.; Kakkad, D.; Kharb, P.; Molyneux, S. J.; Mukherjee, D.; Njeri, A.; Silpa, S.; Venturi, G.; Ward, S. R.</t>
  </si>
  <si>
    <t>10.1093/mnras/stad3453</t>
  </si>
  <si>
    <t>In-plane tidal disruption of stars in discs of active galactic nuclei</t>
  </si>
  <si>
    <t>Ryu, Taeho; McKernan, Barry; Ford, K. E. Saavik; Cantiello, Matteo; Graham, Matthew; Stern, Daniel; Leigh, Nathan W. C.</t>
  </si>
  <si>
    <t xml:space="preserve">10.1093/mnras/stad3487 </t>
  </si>
  <si>
    <t>Sun, Tian-Rui; Geng, Jin-Jun; Yan, Jing-Zhi; Hu, You-Dong; Wu, Xue-Feng; Castro-Tirado, Alberto J.; Yang, Chao; Ping, Yi-Ding; Hu, Chen-Ran; Xu, Fan; Gao, Hao-Xuan; Jiang, Ji-An; Zhu, Yan-Tian; Xue, Yongquan; Pérez-García, Ignacio; Wu, Si-Yu; Fernández-García, Emilio; Caballero-García, María D.; Sánchez-Ramírez, Rubén; Guziy, Sergiy; Olivares, I.; Pérez del Pulgar, Carlos Jesus; Castellón, A.; Castillo, S.; Xiong, Ding-Rong; Pandey, Shashi B.; Hiriart, David; García-Segura, Guillermo; Lee, William H.; Carrasco-García, I. M.; Park, Il H.; Jeong, S.; Meintjes, Petrus J.; van Heerden, Hendrik J.; Martín-Carrillo, Antonio; Hanlon, Lorraine; Zhang, Bin-Bin; Hernández-García, L.; Gritsevich, Maria; Rossi, Andrea; Maiorano, Elisabetta; Cusano, Felice; D'Avanzo, Paolo; Ferro, Matteo; Melandri, Andrea; De Pasquale, Massimiliano; Brivio, Riccardo; Fang, Min; Fan, Lu-Lu; Hu, Wei-Da; Wan, Zhen; Hu, Lei; Zuo, Ying-Xi; Tang, Jin-Long; Zhang, Xiao-Ling; Zheng, Xian-Zhong; Li, Bin; Luo, Wen-Tao; Liu, Wei; Wang, Jian; Zhang, Hong-Fei; Liu, Hao; Gao, Jie; Liang, Ming; Wang, Hai-Ren; Yao, Da-Zhi; Cheng, Jing-Quan; Zhao, Wen; Dai, Zi-Gao</t>
  </si>
  <si>
    <t xml:space="preserve">10.3847/2041-8213/ad85da </t>
  </si>
  <si>
    <t>Multistructured Accretion Flow of Sgr A*. II. Signatures of a Cool Accretion Disk in Hydrodynamic Simulations of Stellar Winds</t>
  </si>
  <si>
    <t>Balakrishnan, Mayura; Russell, Christopher M. P.; Corrales, Lia; Calderón, Diego; Cuadra, Jorge; Haggard, Daryl; Markoff, Sera; Neilsen, Joey; Nowak, Michael; Wang, Q. Daniel; Baganoff, Frederick</t>
  </si>
  <si>
    <t>10.3847/1538-4357/ad6866</t>
  </si>
  <si>
    <t>Ordered magnetic fields around the 3C 84 central black hole</t>
  </si>
  <si>
    <t>Paraschos, G. F.; Kim, J. -Y.; Wielgus, M.; Röder, J.; Krichbaum, T. P.; Ros, E.; Agudo, I.; Myserlis, I.; Moscibrodzka, M.; Traianou, E.; Zensus, J. A.; Blackburn, L.; Chan, C. -K.; Issaoun, S.; Janssen, M.; Johnson, M. D.; Fish, V. L.; Akiyama, K.; Alberdi, A.; Alef, W.; Algaba, J. C.; Anantua, R.; Asada, K.; Azulay, R.; Bach, U.; Baczko, A. -K.; Ball, D.; Baloković, M.; Barrett, J.; Bauböck, M.; Benson, B. A.; Bintley, D.; Blundell, R.; Bouman, K. L.; Bower, G. C.; Boyce, H.; Bremer, M.; Brinkerink, C. D.; Brissenden, R.; Britzen, S.; Broderick, A. E.; Broguiere, D.; Bronzwaer, T.; Bustamante, S.; Byun, D. -Y.; Carlstrom, J. E.; Ceccobello, C.; Chael, A.; Chang, D. O.; Chatterjee, K.; Chatterjee, S.; Chen, M. T.; Chen, Y.; Cheng, X.; Cho, I.; Christian, P.; Conroy, N. S.; Conway, J. E.; Cordes, J. M.; Crawford, T. M.; Crew, G. B.; Cruz-Osorio, A.; Cui, Y.; Dahale, R.; Davelaar, J.; De Laurentis, M.; Deane, R.; Dempsey, J.; Desvignes, G.; Dexter, J.; Dhruv, V.; Doeleman, S. S.; Dougal, S.; Dzib, S. A.; Eatough, R. P.; Emami, R.; Falcke, H.; Farah, J.; Fomalont, E.; Ford, H. A.; Foschi, M.; Fraga-Encinas, R.; Freeman, W. T.; Friberg, P.; Fromm, C. M.; Fuentes, A.; Galison, P.; Gammie, C. F.; García, R.; Gentaz, O.; Georgiev, B.; Goddi, C.; Gold, R.; Gómez-Ruiz, A. I.; Gómez, J. L.; Gu, M.; Gurwell, M.; Hada, K.; Haggard, D.; Haworth, K.; Hecht, M. H.; Hesper, R.; Heumann, D.; Ho, L. C.; Ho, P.; Honma, M.; Huang, C. L.; Huang, L.; Hughes, D. H.; Ikeda, S.; Impellizzeri, C. M. V.; Inoue, M.; James, D. J.; Jannuzi, B. T.; Jeter, B.; Jaing, W.; Jiménez-Rosales, A.; Jorstad, S.; Joshi, A. V.; Jung, T.; Karami, M.; Karuppusamy, R.; Kawashima, T.; Keating, G. K.; Kettenis, M.; Kim, D. -J.; Kim, J.; Kim, J.; Kino, M.; Koay, J. Y.; Kocherlakota, P.; Kofuji, Y.; Koch, P. M.; Koyama, S.; Kramer, C.; Kramer, J. A.; Kramer, M.; Kuo, C. -Y.; La Bella, N.; Lauer, T. R.; Lee, D.; Lee, S. -S.; Leung, P. K.; Levis, A.; Li, Z.; Lico, R.; Lindahl, G.; Lindqvist, M.; Lisakov, M.; Liu, J.; Liu, K.; Liuzzo, E.; Lo, W. -P.; Lobanov, A. P.; Loinard, L.; Lonsdale, C. J.; Lowitz, A. E.; Lu, R. -S.; MacDonald, N. R.; Mao, J.; Marchili, N.; Markoff, S.; Marrone, D. P.; Marscher, A. P.; Martí-Vidal, I.; Matsushita, S.; Matthews, L. D.; Medeiros, L.; Menten, K. M.; Michalik, D.; Mizuno, I.; Mizuno, Y.; Moran, J. M.; Moriyama, K.; Mulaudzi, W.; Müller, C.; Müller, H.; Mus, A.; Musoke, G.; Nadolski, A.; Nagai, H.; Nagar, N. M.; Nakamura, M.; Narayanan, G.; Natarajan, I.; Nathanail, A.; Navarro Fuentes, S.; Neilsen, J.; Neri, R.; Ni, C.; Noutsos, A.; Nowak, M. A.; Oh, J.; Okino, H.; Olivares, H.; Ortiz-León, G. N.; Oyama, T.; Özel, F.; Palumbo, D. C. M.; Park, J.; Parsons, H.; Patel, N.; Pen, U. -L.; Piétu, V.; Plambeck, R.; PopStefanija, A.; Porth, O.; Pötzl, F. M.; Prather, B.; Preciado-López, J. A.; Psaltis, D.; Pu, H. -Y.; Ramakrishnan, V.; Rao, R.; Rawlings, M. G.; Raymond, A. W.; Rezzolla, L.; Ricarte, A.; Ripperda, B.; Roelofs, F.; Rogers, A.; Romero-Cañizales, C.; Roshanineshat, A.; Rottmann, H.; Roy, A. L.; Ruiz, I.; Ruszczyk, C.; Rygl, K. L. J.; Sánchez, S.; Sánchez-Argüelles, D.; Sánchez-Portal, M.; Sasada, M.; Satapathy, K.; Savolainen, T.; Schloerb, F. P.; Schonfeld, J.; Schuster, K.; Shao, L.; Shen, Z.; Small, D.; Sohn, B. W.; SooHoo, J.; Sosapanta Salas, L. D.; Souccar, K.; Sun, H.; Tazaki, F.; Tetarenko, A. J.; Tiede, P.; Tilanus, R. P. J.; Titus, M.; Torne, P.; Toscano, T.; Trent, T.; Trippe, S.; Turk, M.; van Bemmel, I.; van Langevelde, H. J.; van Rossum, D. R.; Vos, J.; Wagner, J.; Ward-Thompson, D.; Wardle, J.; Washington, J. E.; Weintroub, J.; Wharton, R.; Wiik, K.; Witzel, G.; Wondrak, M. F.; Wong, G. N.; Wu, Q.; Yadlapalli, N.; Yamaguchi, P.; Yfantis, A.; Yoon, D.; Young, A.; Young, K.; Younsi, Z.; Yu, W.; Yuan, F.; Yuan, Y. -F.; Zhang, S.; Zhao, G. Y.; Zhao, S. -S.</t>
  </si>
  <si>
    <t xml:space="preserve">10.1051/0004-6361/202348308 </t>
  </si>
  <si>
    <t>A Stellar Dynamical Mass Measurement of the Supermassive Black Hole in NGC 3258</t>
  </si>
  <si>
    <t>Waters, Thomas K.; Gültekin, Kayhan; Gebhardt, Karl; Nagar, Neil; Ávila, Vanessa</t>
  </si>
  <si>
    <t>10.3847/1538-4357/ad5a91</t>
  </si>
  <si>
    <t>The S-PLUS Fornax Project (S+FP): A first 12-band glimpse of the Fornax galaxy cluster</t>
  </si>
  <si>
    <t>Smith Castelli, A. V.; Cortesi, A.; Haack, R. F.; Lopes, A. R.; Thainá-Batista, J.; Cid Fernandes, R.; Lomelí-Núñez, L.; Ribeiro, U.; de Bom, C. R.; Cernic, V.; Sodré, L., Jr.; Zenocratti, L.; De Rossi, M. E.; Calderón, J. P.; Herpich, F.; Telles, E.; Saha, K.; Lopes, P. A. A.; Lopes-Silva, V. H.; Gonçalves, T. S.; Bambrila, D.; Cardoso, N. M.; Buzzo, M. L.; Astudillo Sotomayor, P.; Demarco, R.; Leigh, N.; Sarzi, M.; Menéndez-Delmestre, K.; Faifer, F. R.; Jiménez-Teja, Y.; Grossi, M.; Hernández-Jiménez, J. A.; Krabbe, A. C.; Gutiérrez Soto, L. A.; Brandão, D.; Espinosa, L.; Olave-Rojas, D. E.; Oliveira Schwarz, G. B.; Almeida-Fernandes, F.; Schoenell, W.; Ribeiro, T.; Kanaan, A.; Mendes de Oliveira, C.</t>
  </si>
  <si>
    <t>10.1093/mnras/stae840</t>
  </si>
  <si>
    <t>Effect of Extinction on Quasar Luminosity Distances Determined from UV and X-Ray Flux Measurements</t>
  </si>
  <si>
    <t>Zajaček, Michal; Czerny, Bożena; Khadka, Narayan; Martínez-Aldama, Mary Loli; Prince, Raj; Panda, Swayamtrupta; Ratra, Bharat</t>
  </si>
  <si>
    <t>10.3847/1538-4357/ad11dc</t>
  </si>
  <si>
    <t>Broadband multi-wavelength properties of M87 during the 2018 EHT campaign including a very high energy flaring episode</t>
  </si>
  <si>
    <t>Algaba, J. C.; Baloković, M.; Chandra, S.; Cheong, W. -Y.; Cui, Y. -Z.; D'Ammando, F.; Falcone, A. D.; Ford, N. M.; Giroletti, M.; Goddi, C.; Gurwell, M. A.; Hada, K.; Haggard, D.; Jorstad, S.; Kaur, A.; Kawashima, T.; Kerby, S.; Kim, J. -Y.; Kino, M.; Kravchenko, E. V.; Lee, S. -S.; Lu, R. -S.; Markoff, S.; Michail, J.; Neilsen, J.; Nowak, M. A.; Principe, G.; Ramakrishnan, V.; Ripperda, B.; Sasada, M.; Savchenko, S. S.; Sheridan, C.; Akiyama, K.; Alberdi, A.; Alef, W.; Anantua, R.; Asada, K.; Azulay, R.; Bach, U.; Baczko, A. -K.; Ball, D.; Bandyopadhyay, B.; Barrett, J.; Bauböck, M.; Benson, B. A.; Bintley, D.; lackburn, L.; Blundell, R.; Bouman, K. L.; Bower, G. C.; Boyce, H.; Bremer, M.; Brissenden, R.; Britzen, S.; Broderick, A. E.; Broguiere, D.; Bronzwaer, T.; Bustamante, S.; Carlstrom, J. E.; Chael, A.; Chan, C. -k.; Chang, D. O.; Chatterjee, K.; Chatterjee, S.; Chen, M. -T.; Chen, Y.; Cheng, X.; Cho, I.; Christian, P.; Conroy, N. S.; Conway, J. E.; Crawford, T. M.; Crew, G. B.; Cruz-Osorio, A.; Dahale, R.; Davelaar, J.; De Laurentis, M.; Deane, R.; Dempsey, J.; Desvignes, G.; Dexter, J.; Dhruv, V.; Dihingia, I. K.; Doeleman, S. S.; Dzib, S. A.; Eatough, R. P.; Emami, R.; Falcke, H.; Farah, J.; Fish, V. L.; Fomalont, E.; Ford, H. A.; Foschi, M.; Fraga-Encinas, R.; Freeman, W. T.; Friberg, P.; Fromm, C. M.; Fuentes, A.; Galison, P.; Gammie, C. F.; García, R.; Gentaz, O.; Georgiev, B.; Gold, R.; Gómez-Ruiz, A. I.; Gómez, J. L.; Gu, M.; Hesper, R.; Heumann, D.; Ho, L. C.; Ho, P.; Honma, M.; Huang, C. -W. L.; Huang, L.; Hughes, D. H.; Ikeda, S.; Impellizzeri, C. M. V.; Inoue, M.; Issaoun, S.; James, D. J.; Jannuzi, B. T.; Janssen, M.; Jeter, B.; Jiang, W.; Jiménez-Rosales, A.; Johnson, M. D.; Jones, A. C.; Joshi, A. V.; Jung, T.; Karuppusamy, R.; Keating, G. K.; Kettenis, M.; Kim, D. -J.; Kim, J.; Kim, J.; Koay, J. Y.; Kocherlakota, P.; Kofuji, Y.; Koch, P. M.; Koyama, S.; Kramer, C.; Kramer, J. A.; Kramer, M.; Krichbaum, T. P.; Kuo, C. -Y.; La Bella, N.; Levis, A.; Li, Z.; Lico, R.; Lindahl, G.; Lindqvist, M.; Lisakov, M.; Liu, J.; Liu, K.; Liuzzo, E.; Lo, W. -P.; Lobanov, A. P.; Loinard, L.; Lonsdale, C. J.; Lowitz, A. E.; MacDonald, N. R.; Mao, J.; Marchili, N.; Marrone, D. P.; Marscher, A. P.; Martí-Vidal, I.; Matsushita, S.; Matthews, L. D.; Medeiros, L.; Menten, K. M.; Mizuno, I.; Mizuno, Y.; Montgomery, J.; Moran, J. M.; Moriyama, K.; Moscibrodzka, M.; Mulaudzi, W.; Müller, C.; Müller, H.; Mus, A.; Musoke, G.; Myserlis, I.; Nagai, H.; Nagar, N. M.; Nair, D. G.; Nakamura, M.; Narayanan, G.; Natarajan, I.; Nathanail, A.; Navarro Fuentes, S.; Ni, C.; Oh, J.; Okino, H.; Olivares, H.; Oyama, T.; Özel, F.; Palumbo, D. C. M.; Filippos Paraschos, G.; Park, J.; Parsons, H.; Patel, N.; Pen, U. -L.; Pesce, D. W.; Piétu, V.; PopStefanija, A.; Porth, O.; Prather, B.; Psaltis, D.; Pu, H. -Y.; Rao, R.; Rawlings, M. G.; Raymond, A. W.; Rezzolla, L.; Ricarte, A.; Roelofs, F.; Romero-Cañizales, C.; Ros, E.; Roshanineshat, A.; Rottmann, H.; Roy, A. L.; Ruiz, I.; Ruszczyk, C.; Rygl, K. L. J.; Sánchez, S.; Sánchez-Argüelles, D.; Sánchez-Portal, M.; Satapathy, K.; Savolainen, T.; Schloerb, F. P.; Schonfeld, J.; Schuster, K. -F.; Shao, L.; Shen, Z.; Small, D.; Sohn, B. W.; SooHoo, J.; Sosapanta Salas, L. D.; Souccar, K.; Stanway, J. S.; Sun, H.; Tazaki, F.; Tetarenko, A. J.; Tiede, P.; Tilanus, R. P. J.; Titus, M.; Toma, K.; Torne, P.; Toscano, T.; Traianou, E.; Trent, T.; Trippe, S.; Turk, M.; van Bemmel, I.; van Langevelde, H. J.; van Rossum, D. R.; Vos, J.; Wagner, J.; Ward-Thompson, D.; Wardle, J.; Washington, J. E.; Weintroub, J.; Wharton, R.; Wielgus, M.; Wiik, K.; Witzel, G.; Wondrak, M. F.; Wong, G. N.; Wu, Q.; Yadlapalli, N.; Yamaguchi, P.; Yfantis, A.; Yoon, D.; Young, A.; Younsi, Z.; Yu, W.; Yuan, F.; Yuan, Y. -F.; Zensus, J. A.; Zhang, S.; Zhao, G. -Y.; Zhao, S. -S.; Bellazzini, R.; Berenji, B.; Bissaldi, E.; Blandford, R. D.; Bonino, R.; Bruel, P.; Cameron, R. A.; Caraveo, P. A.; Cavazzuti, E.; Cheung, C. C.; Ciprini, S.; Cristarella Orestano, P.; Cutini, S.; Di Lalla, N.; Dinesh, A.; Di Venere, L.; Domínguez, A.; Fegan, S. J.; Franckowiak, A.; Fukazawa, Y.; Fusco, P.; Gargano, F.; Gasbarra, C.; Germani, S.; Giliberti, M.; Grenier, I. A.; Hays, E.; Horan, D.; Kuss, M.; Larsson, S.; Liodakis, I.; Longo, F.; Loparco, F.; Lovellette, M. N.; Maldera, S.; Mazziotta, M. N.; Mereu, I.; Michelson, P. F.; Mirabal, N.; Mizuno, T.; Monzani, M. E.; Morselli, A.; Negro, M.; Omodei, N.; Orlando, E.; Persic, M.; Rainò, S.; Rani, B.; Reimer, A.; Reimer, O.; Sánchez-Conde, M.; Saz Parkinson, P. M.; Sgrò, C.; Siskind, E. J.; Spinelli, P.; Suson, D. J.; Tajima, H.; Torres, D. F.; Zaharijas, G.; Aharonian, F.; Ait Benkhali, F.; Aschersleben, J.; Ashkar, H.; Backes, M.; Barbosa Martins, V.; Batzofin, R.; Becherini, Y.; Berge, D.; Böttcher, M.; Boisson, C.; Bolmont, J.; de Bony de Lavergne, M.; Borowska, J.; Bouyahiaoui, M.; Bradascio, F.; Brose, R.; Brown, A.; Bruno, B.; Bulik, T.; Burger-Scheidlin, C.; Casanova, S.; Cecil, R.; Celic, J.; Cerruti, M.; Chand, T.; Chen, A.; Chibueze, J.; Chibueze, O.; Cotter, G.; Damascene Mbarubucyeye, J.; Devin, J.; Djuvsland, J.; Dmytriiev, A.; Einecke, S.; Ernenwein, J. -P.; Feijen, K.; Fontaine, G.; Funk, S.; Gabici, S.; Glawion, D.; Glicenstein, J. F.; Goswami, P.; Grolleron, G.; Haerer, L.; Heß, B.; Holch, T. L.; Holler, M.; Horns, D.; Huang, Zhiqiu; Jamrozy, M.; Jankowsky, F.; Jung-Richardt, I.; Kasai, E.; Katarzyński, K.; Khatoon, R.; Khélifi, B.; Kluźniak, W.; Komin, Nu.; Kosack, K.; Kundu, A.; Lang, R. G.; Le Stum, S.; Leitl, F.; Lemière, A.; Lemoine-Goumard, M.; Lenain, J. -P.; Leuschner, F.; Luashvili, A.; Mackey, J.; Malyshev, D.; Martí-Devesa, G.; Marx, R.; Meyer, M.; Mitchell, A.; Moderski, R.; Moghadam, M. O.; Mohrmann, L.; Montanari, A.; Moulin, E.; de Naurois, M.; Niemiec, J.; O'Brien, P.; Ohm, S.; de Ona Wilhelmi, E.; Ostrowski, M.; Panny, S.; Panter, M.; Pensec, U.; Pita, S.; Pühlhofer, G.; Quirrenbach, A.; Ravikularaman, S.; Reimer, A.; Reimer, O.; Reville, B.; Reis, I.; Ren, H.; Rieger, F.; Roellinghoff, G.; Rudak, B.; Ruiz-Velasco, E.; Sabri, K.; Sahakian, V.; Salzmann, H.; Santangelo, A.; Sasaki, M.; Schäfer, J.; Schüssler, F.; Schutte, H. M.; Shapopi, J. N. S.; Sharma, A.; Sol, H.; Spencer, S.; Stawarz, Ł.; Steppa, C.; Streil, K.; Suzuki, H.; Takahashi, T.; Tanaka, T.; Taylor, A. M.; Terrier, R.; Tluczykont, M.; Tsirou, M.; van Eldik, C.; Vecchi, M.; Wach, T.; Wagner, S. J.; Wierzcholska, A.; Zacharias, M.; Zdziarski, A. A.; Zech, A.; Żywucka, N.; Abe, S.; Abhir, J.; Abhishek, A.; Acciari, V. A.; Aguasca-Cabot, A.; Agudo, I.; Aniello, T.; Ansoldi, S.; Antonelli, L. A.; Arbet Engels, A.; Arcaro, C.; Artero, M.; Asano, K.; Babić, A.; Barres de Almeida, U.; Barrio, J. A.; Batković, I.; Bautista, A.; Baxter, J.; Becerra González, J.; Bednarek, W.; Bernardini, E.; Bernete, J.; Berti, A.; Besenrieder, J.; Bigongiari, C.; Biland, A.; Blanch, O.; Bonnoli, G.; Bošnjak, Ž.; Bronzini, E.; Burelli, I.; Busetto, G.; Campoy-Ordaz, A.; Carosi, A.; Carosi, R.; Carretero-Castrillo, M.; Castro-Tirado, A. J.; Cerasole, D.; Ceribella, G.; Chai, Y.; Cifuentes, A.; Colombo, E.; Contreras, J. L.; Cortina, J.; Covino, S.; D'Amico, G.; D'Elia, V.; Da Vela, P.; Dazzi, F.; De Angelis, A.; De Lotto, B.; de Menezes, R.; Delfino, M.; Delgado, J.; Delgado Mendez, C.; Di Pierro, F.; Di Tria, R.; Di Venere, L.; Dominis Prester, D.; Donini, A.; Dorner, D.; Doro, M.; Elsaesser, D.; Escudero, J.; Fariña, L.; Fattorini, A.; Foffano, L.; Font, L.; Fröse, S.; Fukami, S.; Fukazawa, Y.; García López, R. J.; Garczarczyk, M.; Gasparyan, S.; Gaug, M.; Giesbrecht Paiva, J. G.; Giglietto, N.; Giordano, F.; Gliwny, P.; Godinović, N.; Gradetzke, T.; Grau, R.; Green, D.; Green, J. G.; Günther, P.; Hadasch, D.; Hahn, A.; Hassan, T.; Heckmann, L.; Herrera Llorente, J.; Hrupec, D.; Imazawa, R.; Ishio, K.; Jiménez Martínez, I.; Jormanainen, J.; Kayanoki, T.; Kerszberg, D.; Kluge, G. W.; Kobayashi, Y.; Kouch, P. M.; Kubo, H.; Kushida, J.; Láinez, M.; Lamastra, A.; Leone, F.; Lindfors, E.; Lombardi, S.; López-Coto, R.; López-Moya, M.; López-Oramas, A.; Loporchio, S.; Lorini, A.; Lyard, E.; Machado de Oliveira Fraga, B.; Majumdar, P.; Makariev, M.; Maneva, G.; Manganaro, M.; Mangano, S.; Mannheim, K.; Mariotti, M.; Martínez, M.; Martínez-Chicharro, M.; Mas-Aguilar, A.; Mazin, D.; Menchiari, S.; Mender, S.; Miceli, D.; Miener, T.; Miranda, J. M.; Mirzoyan, R.; Molero González, M.; Molina, E.; Mondal, H. A.; Moralejo, A.; Morcuende, D.; Nakamori, T.; Nanci, C.; Neustroev, V.; Nickel, L.; Nievas Rosillo, M.; Nigro, C.; Nikolić, L.; Nilsson, K.; Nishijima, K.; Njoh Ekoume, T.; Noda, K.; Nozaki, S.; Ohtani, Y.; Okumura, A.; Otero-Santos, J.; Paiano, S.; Paneque, D.; Paoletti, R.; Paredes, J. M.; Peresano, M.; Persic, M.; Pihet, M.; Pirola, G.; Podobnik, F.; Prada Moroni, P. G.; Prandini, E.; Priyadarshi, C.; Ribó, M.; Rico, J.; Righi, C.; Sahakyan, N.; Saito, T.; Saturni, F. G.; Schmidt, K.; Schmuckermaier, F.; Schubert, J. L.; Schweizer, T.; Sciaccaluga, A.; Silvestri, G.; Sitarek, J.; Sliusar, V.; Sobczynska, D.; Spolon, A.; Stamerra, A.; Strišković, J.; Strom, D.; Strzys, M.; Suda, Y.; Suutarinen, S.; Tajima, H.; Takahashi, M.; Takeishi, R.; Tavecchio, F.; Temnikov, P.; Terauchi, K.; Terzić, T.; Teshima, M.; Truzzi, S.; Tutone, A.; Ubach, S.; van Scherpenberg, J.; Vazquez Acosta, M.; Ventura, S.; Verna, G.; Viale, I.; Vigorito, C. F.; Vitale, V.; Vovk, I.; Walter, R.; Will, M.; Wunderlich, C.; Yamamoto, T.; Acharyya, A.; Adams, C. B.; Bangale, P.; Bartkoske, J. T.; Benbow, W.; Christiansen, J. L.; Duerr, A.; Errando, M.; Feng, Q.; Foote, J.; Fortson, L.; Furniss, A.; Hanlon, W.; Hervet, O.; Hinrichs, C. E.; Holder, J.; Humensky, T. B.; Jin, W.; Johnson, M. N.; Kaaret, P.; Kertzman, M.; Kieda, D.; Kleiner, T. K.; Korzoun, N.; Krennrich, F.; Kumar, S.; Lang, M. J.; Lundy, M.; Maier, G.; McGrath, C. E.; Millard, M. J.; Mooney, C. L.; Moriarty, P.; Mukherjee, R.; Ning, W.; O'Brien, S.; Ong, R. A.; Pohl, M.; Pueschel, E.; Quinn, J.; Ragan, K.; Reynolds, P. T.; Ribeiro, D.; Roache, E.; Ryan, J. L.; Sadeh, I.; Saha, L.; Santander, M.; Sembroski, G. H.; Shang, R.; Splettstoesser, M.; Talluri, A. K.; Tucci, J. V.; Valverde, J.; Vassiliev, V. V.; Williams, D. A.; Wong, S. L.; Chen, Z.; Cui, L.; Hirota, T.; Li, B.; Li, G.; Liu, Q.; Liu, X.; Liu, Z.; Ma, J.; Niinuma, K.; Ro, H.; Sakai, N.; Sawada-Satoh, S.; Wajima, K.; Wang, J.; Wang, N.; Xia, B.; Yan, H.; Yonekura, Y.; Zhang, H.; Zhao, R.; Zhong, W.</t>
  </si>
  <si>
    <t>Astronomy and Astrophysics</t>
  </si>
  <si>
    <t>10.1051/0004-6361/202450497</t>
  </si>
  <si>
    <t>Dissecting cosmological filaments at high redshifts: emergence of spaghetti-type flow inside DM haloes</t>
  </si>
  <si>
    <t>Bi, Da; Shlosman, Isaac; Romano-Díaz, Emilio</t>
  </si>
  <si>
    <t>10.1093/mnras/stad3942</t>
  </si>
  <si>
    <t>The putative center in NGC 1052</t>
  </si>
  <si>
    <t>Baczko, Anne-Kathrin; Kadler, Matthias; Ros, Eduardo; Fromm, Christian M.; Wielgus, Maciek; Perucho, Manel; Krichbaum, Thomas P.; Baloković, Mislav; Blackburn, Lindy; Chan, Chi-kwan; Issaoun, Sara; Janssen, Michael; Ricci, Luca; Akiyama, Kazunori; Albentosa-Ruíz, Ezequiel; Alberdi, Antxon; Alef, Walter; Algaba, Juan Carlos; Anantua, Richard; Asada, Keiichi; Azulay, Rebecca; Bach, Uwe; Ball, David; Bandyopadhyay, Bidisha; Barrett, John; Bauböck, Michi; Benson, Bradford A.; Bintley, Dan; Blundell, Raymond; Bouman, Katherine L.; Bower, Geoffrey C.; Boyce, Hope; Bremer, Michael; Brinkerink, Christiaan D.; Brissenden, Roger; Britzen, Silke; Broderick, Avery E.; Broguiere, Dominique; Bronzwaer, Thomas; Bustamante, Sandra; Byun, Do-Young; Carlstrom, John E.; Ceccobello, Chiara; Chael, Andrew; Chang, Dominic O.; Chatterjee, Koushik; Chatterjee, Shami; Chen, Ming-Tang; Chen, Yongjun; Cheng, Xiaopeng; Cho, Ilje; Christian, Pierre; Conroy, Nicholas S.; Conway, John E.; Cordes, James M.; Crawford, Thomas M.; Crew, Geoffrey B.; Cruz-Osorio, Alejandro; Cui, Yuzhu; Dahale, Rohan; Davelaar, Jordy; De Laurentis, Mariafelicia; Deane, Roger; Dempsey, Jessica; Desvignes, Gregory; Dexter, Jason; Dhruv, Vedant; Dihingia, Indu K.; Doeleman, Sheperd S.; Dougall, Sean Taylor; Dzib, Sergio A.; Eatough, Ralph P.; Emami, Razieh; Falcke, Heino; Farah, Joseph; Fish, Vincent L.; Fomalont, Edward; Alyson Ford, H.; Foschi, Marianna; Fraga-Encinas, Raquel; Freeman, William T.; Friberg, Per; Fuentes, Antonio; Galison, Peter; Gammie, Charles F.; García, Roberto; Gentaz, Olivier; Georgiev, Boris; Goddi, Ciriaco; Gold, Roman; Gómez-Ruiz, Arturo I.; Gómez, José L.; Gu, Minfeng; Gurwell, Mark; Hada, Kazuhiro; Haggard, Daryl; Haworth, Kari; Hecht, Michael H.; Hesper, Ronald; Heumann, Dirk; Ho, Luis C.; Ho, Paul; Honma, Mareki; Huang, Chih-Wei L.; Huang, Lei; Hughes, David H.; Violette Impellizzeri, C. M.; Inoue, Makoto; James, David J.; Jannuzi, Buell T.; Jeter, Britton; Jiang, Wu; Jiménez-Rosales, Alejandra; Johnson, Michael D.; Jorstad, Svetlana; Joshi, Abhishek V.; Jung, Taehyun; Karami, Mansour; Karuppusamy, Ramesh; Kawashima, Tomohisa; Keating, Garrett K.; Kettenis, Mark; Kim, Dong-Jin; Kim, Jae-Young; Kim, Jongsoo; Kim, Junhan; Kino, Motoki; Koay, Jun Yi; Kocherlakota, Prashant; Kofuji, Yutaro; Koyama, Shoko; Kramer, Carsten; Kramer, Joana A.; Kramer, Michael; Kuo, Cheng-Yu; La Bella, Noemi; Lauer, Tod R.; Lee, Daeyoung; Lee, Sang-Sung; Leung, Po Kin; Levis, Aviad; Li, Zhiyuan; Lico, Rocco; Lindahl, Greg; Lindqvist, Michael; Lisakov, Mikhail; Liu, Jun; Liu, Kuo; Liuzzo, Elisabetta; Lo, Wen-Ping; Lobanov, Andrei P.; Loinard, Laurent; Lonsdale, Colin J.; Lowitz, Amy E.; Lu, Ru-Sen; MacDonald, Nicholas R.; Mao, Jirong; Marchili, Nicola; Markoff, Sera; Marrone, Daniel P.; Marscher, Alan P.; Martí-Vidal, Iván; Matsushita, Satoki; Matthews, Lynn D.; Medeiros, Lia; Menten, Karl M.; Michalik, Daniel; Mizuno, Izumi; Mizuno, Yosuke; Moran, James M.; Moriyama, Kotaro; Moscibrodzka, Monika; Mulaudzi, Wanga; Müller, Cornelia; Müller, Hendrik; Mus, Alejandro; Musoke, Gibwa; Myserlis, Ioannis; Nadolski, Andrew; Nagai, Hiroshi; Nagar, Neil M.; Nair, Dhanya G.; Nakamura, Masanori; Narayanan, Gopal; Natarajan, Iniyan; Nathanail, Antonios; Fuentes, Santiago Navarro; Neilsen, Joey; Neri, Roberto; Ni, Chunchong; Noutsos, Aristeidis; Nowak, Michael A.; Oh, Junghwan; Okino, Hiroki; Sánchez, Héctor Raúl Olivares; Ortiz-León, Gisela N.; Oyama, Tomoaki; Özel, Feryal; Palumbo, Daniel C. M.; Paraschos, Georgios Filippos; Park, Jongho; Parsons, Harriet; Patel, Nimesh; Pen, Ue-Li; Pesce, Dominic W.; Piétu, Vincent; Plambeck, Richard; PopStefanija, Aleksandar; Porth, Oliver; Pötzl, Felix M.; Prather, Ben; Preciado-López, Jorge A.; Principe, Giacomo; Psaltis, Dimitrios; Pu, Hung-Yi; Ramakrishnan, Venkatessh; Rao, Ramprasad; Rawlings, Mark G.; Raymond, Alexander W.; Ricarte, Angelo; Ripperda, Bart; Roelofs, Freek; Rogers, Alan; Romero-Cañizales, Cristina; Roshanineshat, Arash; Rottmann, Helge; Roy, Alan L.; Ruiz, Ignacio; Ruszczyk, Chet; Rygl, Kazi L. J.; Sánchez, Salvador; Sánchez-Argüelles, David; Sánchez-Portal, Miguel; Sasada, Mahito; Satapathy, Kaushik; Savolainen, Tuomas; Peter Schloerb, F.; Schonfeld, Jonathan; Schuster, Karl-Friedrich; Shao, Lijing; Shen, Zhiqiang; Small, Des; Sohn, Bong Won; SooHoo, Jason; Salas, León David Sosapanta; Souccar, Kamal; Stanway, Joshua S.; Sun, He; Tazaki, Fumie; Tetarenko, Alexandra J.; Tiede, Paul; Tilanus, Remo P. J.; Titus, Michael; Torne, Pablo; Toscano, Teresa; Traianou, Efthalia; Trent, Tyler; Trippe, Sascha; Turk, Matthew; van Bemmel, Ilse; van Langevelde, Huib Jan; van Rossum, Daniel R.; Vos, Jesse; Wagner, Jan; Ward-Thompson, Derek; Wardle, John; Washington, Jasmin E.; Weintroub, Jonathan; Wharton, Robert; Wiik, Kaj; Witzel, Gunther; Wondrak, Michael F.; Wong, George N.; Wu, Qingwen; Yadlapalli, Nitika; Yamaguchi, Paul; Yfantis, Aristomenis; Yoon, Doosoo; Young, André; Young, Ken; Younsi, Ziri; Yu, Wei; Yuan, Feng; Yuan, Ye-Fei; Anton Zensus, J.; Zhang, Shuo; Zhao, Guang-Yao</t>
  </si>
  <si>
    <t>A205</t>
  </si>
  <si>
    <t xml:space="preserve">10.1051/0004-6361/202450898 </t>
  </si>
  <si>
    <t>Núcleo Milenio en Turberas Andinas</t>
  </si>
  <si>
    <t>Towards Hemispheric Conversations in the Americas: Internal Colonialism and Efforts to Decolonise the Self in Abya Yala</t>
  </si>
  <si>
    <t>Gámez, DP; Noroña, MB; Rojas-Marchini, F; Sosa-Aranda, I</t>
  </si>
  <si>
    <t>Antipode</t>
  </si>
  <si>
    <t>1467-833</t>
  </si>
  <si>
    <t>10.1111/anti.13110</t>
  </si>
  <si>
    <t>Effectiveness of billion trees Tsunami afforestation projects in restoration of forests in Pakistan</t>
  </si>
  <si>
    <t>Haq, F., Mark, B. G., Shum, C. K., Zeballos-Castellon, G., &amp; Rahman, G.</t>
  </si>
  <si>
    <t>Environment, Development and Sustainability</t>
  </si>
  <si>
    <t>1573-2975</t>
  </si>
  <si>
    <t>10.1007/s10668-024-04573-x</t>
  </si>
  <si>
    <t>Geochemical and magnetic propierties in fluvial and lacustrine systems asevironmental quality proxies in the Atacama Desert</t>
  </si>
  <si>
    <t>Adriana Aránguiz-Acuña, Pizarro Héctor, Flores-Varas Abraham, Joseline Tapia, Josefina Herrera, Maza Santiago</t>
  </si>
  <si>
    <t>Environmetal Earth Sciences</t>
  </si>
  <si>
    <t>1866-6280</t>
  </si>
  <si>
    <t>Spatial and temporal heterogeneity of depositional environment and vegetational cover in a salt flat of the Lickan Antay Territory of Toconao, Northern Chile</t>
  </si>
  <si>
    <t>Aránguiz-Acuña, A., Alday-Galleguillos, G., Pérez, D. H., Chávez, R. O., Olea, M., de Toconao, C. L. A., Prieto, M., Figueroa, V., Espíndola, C., Tejerina, A., Galleguillos, F., Sanzana, C., Núñez, L., &amp; Loyola, R.</t>
  </si>
  <si>
    <t>Progress in Physical Geography</t>
  </si>
  <si>
    <t>0309-1333</t>
  </si>
  <si>
    <t>10.1177/03091333241306660</t>
  </si>
  <si>
    <t>La Memoria del Fuego. Antracología, Pirotecnología y Metalurgia Prehispánica del Período Tardío en San Pedro de Atacama, Chile</t>
  </si>
  <si>
    <t>Daniela Grimberg, Ariadna Cifuentes y Valentina Figueroa</t>
  </si>
  <si>
    <t>10.31048/1852.4826.v17.n2.44295</t>
  </si>
  <si>
    <t>La interpretación “eco-cultural” de los derechos territoriales de los pueblos indígenas y sus riesgos</t>
  </si>
  <si>
    <t>Carmona, C.</t>
  </si>
  <si>
    <t>Revista Chilena de Derecho | Chilean Journal of Law</t>
  </si>
  <si>
    <t>0718-3437</t>
  </si>
  <si>
    <t>10.7764/R.512.1</t>
  </si>
  <si>
    <t>General dry trends according to the Standardized Precipitation Evapotranspiration Index in mainland Chile</t>
  </si>
  <si>
    <t>Meseguer-Ruiz O., Serrano-Notivoli R., Nuñez-Hidalgo I., Sarricolea P.</t>
  </si>
  <si>
    <t>Frontiers in Earth Science</t>
  </si>
  <si>
    <t>2296-6463</t>
  </si>
  <si>
    <t>10.3389/feart.2024.1355443</t>
  </si>
  <si>
    <t>Blowin' in the wind: Mapping the dispersion of metal(loid)s from Atacama mining</t>
  </si>
  <si>
    <t>Zanetta-Colombo, N. C., Manzano, C. A., Brombierstäudl, D., Fleming, Z. L., Gayo, E. M., Rubinos, D. A., Jerez, Ó., Valdés, J., Prieto, M., &amp; Nüsser</t>
  </si>
  <si>
    <t>GeoHealt</t>
  </si>
  <si>
    <t>2471-1403</t>
  </si>
  <si>
    <t>10.1029/2024GH001078</t>
  </si>
  <si>
    <t>Desestabilizando la Geografía Indígena</t>
  </si>
  <si>
    <t>Manuel Prieto</t>
  </si>
  <si>
    <t>ACME: An International Journal for Critical Geographies</t>
  </si>
  <si>
    <t>10.7202/1110469ar</t>
  </si>
  <si>
    <t>It’s time to talk about the hidden human cost of the green transition</t>
  </si>
  <si>
    <t>Prieto, M ; Zanetta-Colombo, Nicolas C.</t>
  </si>
  <si>
    <t>10.1038/d41586-024-01084-7</t>
  </si>
  <si>
    <t>Globalizing nature : long-standing structures and contemporary processes</t>
  </si>
  <si>
    <t>Fernanda Rojas-Marchini, Jessica Dempsey</t>
  </si>
  <si>
    <t>Doing Political Ecology</t>
  </si>
  <si>
    <t>10.4324/9781003165477</t>
  </si>
  <si>
    <t>2024-04-28 00:00:00.000</t>
  </si>
  <si>
    <t>Mining Extractivism, Commodification of Nature and Indigenous Peasantry in the Atacama Desert: The Political Economy of Yareta (Azorella Compacta) in Historical Perspective (1915-1960)</t>
  </si>
  <si>
    <t>Calderón-Seguel, M and Prieto, M</t>
  </si>
  <si>
    <t>Latin American Perspectives</t>
  </si>
  <si>
    <t>0094-582X</t>
  </si>
  <si>
    <t>10.1177/0094582X241238715</t>
  </si>
  <si>
    <t>Comparing SPI and SPEI to detect different precipitation and temperature regimes in Chile throughout the last four decades</t>
  </si>
  <si>
    <t>Oliver Meseguer-Ruiz a b, Roberto Serrano-Notivoli c, Adriana Aránguiz-Acuña a d, Magdalena Fuentealba e, Ignacio Nuñez-Hidalgo f, Pablo Sarricolea g h, René Garreaud h i</t>
  </si>
  <si>
    <t xml:space="preserve"> ATMOSPHERIC RESEARCH</t>
  </si>
  <si>
    <t xml:space="preserve"> 0169-8095</t>
  </si>
  <si>
    <t>10.1016/j.atmosres.2023.107085</t>
  </si>
  <si>
    <t>Paleolimnology: insights from sedimentary archives</t>
  </si>
  <si>
    <t>Bao, K., Aránguiz-Acuña, A., &amp; Cao, X</t>
  </si>
  <si>
    <t>FRONTIERS IN ECOLOGY AND EVOLUTION</t>
  </si>
  <si>
    <t xml:space="preserve"> 2296-701X</t>
  </si>
  <si>
    <t>10.3389/fevo.2023.1352925</t>
  </si>
  <si>
    <t>Assessing the effects of long-term mining explotation on a lacustrine system from the arid region of the Atacama Desert, Chile.</t>
  </si>
  <si>
    <t>Pérez-Portilla P., Aránguiz-Acuña A., Pizarro H., Maldonado A., Herrera J., Tapia J.</t>
  </si>
  <si>
    <t>Science of the Total Enviroment</t>
  </si>
  <si>
    <t>00489697, 18791026</t>
  </si>
  <si>
    <t>Review: Fractal Geometry in Precipitation</t>
  </si>
  <si>
    <t xml:space="preserve">Monjo R., Meseguer-Ruiz O. </t>
  </si>
  <si>
    <t>Atmosphere</t>
  </si>
  <si>
    <t>2073-4433</t>
  </si>
  <si>
    <t>10.3390/atmos15010135</t>
  </si>
  <si>
    <t>Núcleo Milenio Estudios en Discapacidad y Ciudadanía</t>
  </si>
  <si>
    <t>La lectura fácil como herramienta para el acceso a la justicia de las personas con discapacidad intelectual y del desarrollo en América Latina</t>
  </si>
  <si>
    <t>https://www.sitios.scjn.gob.mx/cec/sites/default/files/publication/documents/2024-02/Tenorio_La%20lectura%20fa%CC%81cil%20como%20herramienta%20para%20el%20acceso%20a%20la%20justicia_El%20acceso%20a%20una%20justicia%20adaptada.pdf</t>
  </si>
  <si>
    <t>Sin detección, sin denuncia y sin proceso: la vulneración de derechos de niñas y niños con discapacidad intelectual en chile</t>
  </si>
  <si>
    <t>2024-12-19 00:00:00.000</t>
  </si>
  <si>
    <t>Comprehensive Gerontological Assessment: An Update on the Concept and Its Evaluation Tools in Latin America and the Caribbean—A Literature Review</t>
  </si>
  <si>
    <t>Pizarro-Mena R, Rotarou ES, Chavarro-Carvajal D, Wachholz PA, López MF, Perdomo Delgado C, Parra-Soto S, Barrientos-Calvo I, Retamal-Walter F, Riveros-Basoalto G.</t>
  </si>
  <si>
    <t>International Journal of Environmental Research and Public Health</t>
  </si>
  <si>
    <t>1660-4601</t>
  </si>
  <si>
    <t>10.3390/ijerph21121697</t>
  </si>
  <si>
    <t>Haitianization of Migration: The Lack of Attachment of Haitian Women in the Medical Discourse of the City of Rancagua, Chile</t>
  </si>
  <si>
    <t>Martina Cociña-Cholaky y Pía Rodríguez-Garrido</t>
  </si>
  <si>
    <t>Población &amp; Sociedad</t>
  </si>
  <si>
    <t>1852-8562</t>
  </si>
  <si>
    <t>10.19137/pys-2024-310104</t>
  </si>
  <si>
    <t>Health care reforms and policies from a disability-rights perspective</t>
  </si>
  <si>
    <t>Rotarou, E.S.</t>
  </si>
  <si>
    <t>The Routledge International Handbook of Disability and Global Health</t>
  </si>
  <si>
    <t>https://www.routledge.com/The-Routledge-International-Handbook-of-Disability-and-Global-Health/Ned-RivasVelarde-Singh-Swartz-Soldatic/p/book/9781032131849?srsltid=AfmBOoomg9NM83O5y64W5COah8XhzePw8sJU7y5imsuN0JXcXqk2Mfln</t>
  </si>
  <si>
    <t>‘Who am I to write this?’: An approach to the field of feminist disability studies in Latin America</t>
  </si>
  <si>
    <t>López-Radrigán, C y Herrera, F</t>
  </si>
  <si>
    <t>The Routledge Handbook of Postcolonial Disability Studies</t>
  </si>
  <si>
    <t>https://www.routledge.com/The-Routledge-Handbook-of-Postcolonial-Disability-Studies/Chataika-Goodley/p/book/9781032316499?srsltid=AfmBOoouaDbQKxB8EWynWrHPEi0jgndsidDlcGO6GV8BlyJ3uQiYex2U</t>
  </si>
  <si>
    <t>2024-02-10 00:00:00.000</t>
  </si>
  <si>
    <t>Accessing Sexual and Reproductive Health Services in Chile: Women with Disabilities and Their Experience with Gynaecological and Obstetric Violence</t>
  </si>
  <si>
    <t>Yupanqui-Concha, A., Hichins-Arismendi, M., Mandiola-Godoy, D., Rodriguez-Garrido, P. &amp; Rotarou, E. S.</t>
  </si>
  <si>
    <t xml:space="preserve">Sexuality Research and Social Policy </t>
  </si>
  <si>
    <t>1868-9884</t>
  </si>
  <si>
    <t>10.1007/s13178-024-00942-3</t>
  </si>
  <si>
    <t>Inclusion of people with disabilities in Chilean health policy: a policy analysis</t>
  </si>
  <si>
    <t xml:space="preserve">Rodríguez Gatta, D., Gutiérrez Monclus, P., Wilbur, J., Hanefeld, J., Banks, L. M., &amp; Kuper, H. </t>
  </si>
  <si>
    <t>International Journal for Equity in Health</t>
  </si>
  <si>
    <t>1475-9276</t>
  </si>
  <si>
    <t>10.1186/s12939-024-02259-4</t>
  </si>
  <si>
    <t>Insumos y recomendaciones para políticas públicas e intervención social en torno a las luchas de las personas con discapacidad en América Latina</t>
  </si>
  <si>
    <t>Vallegos, C; Lopez-rodrigan, C; Ramirez, J; Schmidt, F; Pino-Morán, J. (2024)</t>
  </si>
  <si>
    <t>Colección Convocatorias de Investigación</t>
  </si>
  <si>
    <t>978-987-813-856-5</t>
  </si>
  <si>
    <t>https://biblioteca-repositorio.clacso.edu.ar/bitstream/CLACSO/251172/1/Democracia-DDHH-y-Paz-4.pdf</t>
  </si>
  <si>
    <t>Salud y personas con discapacidad: hacia un acceso equitativo</t>
  </si>
  <si>
    <t>Rotarou, E., Pizarro, R. &amp;  Verdugo, W.</t>
  </si>
  <si>
    <t>978-956-314-608-0</t>
  </si>
  <si>
    <t>https://ediciones.udp.cl/libro/discapacidad-en-chile-una-introduccion/</t>
  </si>
  <si>
    <t>Participación política</t>
  </si>
  <si>
    <t>Marshall, P. &amp; Herrera, F.</t>
  </si>
  <si>
    <t>Activismo de las personas con discapacidad. ¿Por qué es fundamental?</t>
  </si>
  <si>
    <t>Pino-Morán, J., Vera, L., Ramírez-Fuentes, J. &amp; Romero-Rojas, V.</t>
  </si>
  <si>
    <t>‘Five rungs down’: encounters between disabled parents and the medical institution</t>
  </si>
  <si>
    <t>Herrera, F.; Salvo, I.; Campos, L.; Peralta, C.</t>
  </si>
  <si>
    <t>1360-0508</t>
  </si>
  <si>
    <t>Sexualidad, reproducción y parentalidad en personas con discapacidad</t>
  </si>
  <si>
    <t>Herrera, F. &amp; Rojas, A.</t>
  </si>
  <si>
    <t>Derecho a la ciudad y a una vivienda adecuada: desafíos que enfrentan las personas con discapacidad en Chile en el ámbito de la accesibilidad</t>
  </si>
  <si>
    <t>Gaete-Reyes, M. &amp; Acevedo-López, J.</t>
  </si>
  <si>
    <t>Acceso a la justicia para las personas con discapacidad en Chile</t>
  </si>
  <si>
    <t>“Si nos enseñan, lo vamos a lograr”: autonomía desde la voz de los Expertos por Experiencia hacia los conocimientos científicos</t>
  </si>
  <si>
    <t>Cervical Cancer Screening Uptake Among Women with Disabilities: Findings from a Cross-Sectional Study in Chile</t>
  </si>
  <si>
    <t>Jara-Rosales, S., &amp; Rotarou, E. S.</t>
  </si>
  <si>
    <t>10.3390/ijerph21121578</t>
  </si>
  <si>
    <t>Discapacidad en Chile: Una introducción</t>
  </si>
  <si>
    <t>De la urgencia de un enfoque anticapacitista en educación inclusiva</t>
  </si>
  <si>
    <t>Araneda-Urrutia, C. &amp; Eyzaguirre-Negrete, L.</t>
  </si>
  <si>
    <t>Núcleo Milenio Evolución Reconstruida del medio intereStelar</t>
  </si>
  <si>
    <t>The Gaia-ESO Survey: The DR5 analysis of the medium-resolution GIRAFFE and high-resolution UVES spectra of FGK-type stars</t>
  </si>
  <si>
    <t>C. C. Worley, R. Smiljanic, L. Magrini, A. Frasca, E. Franciosini, D. Montes, D. K. Feuillet, H. M. Tabernero, J. I. González Hernández, S. Villanova, Š. Mikolaitis, K. Lind, G. Tautvaišienė, A. R. Casey, A. J. Korn, P. Bonifacio, C. Soubiran, E. Caffau, G. Guiglion, T. Merle, A. Hourihane, A. Gonneau, P. François, S. Randich, G. Gilmore, J. R. Lewis, D. N. A. Murphy, R. D. Jeffries, S. E. Koposov, R. Blomme, A. C. Lanzafame, T. Bensby, A. Bragaglia, E. J. Alfaro, N. A. Walton, A. Vallenari, T. Prusti, K. Biazzo, P. Jofré, S. Zaggia, U. Heiter, E. Marfil, F. Jiménez-Esteban, M. L. Gutiérrez Albarrán, L. Morbidelli</t>
  </si>
  <si>
    <t>10.48550/arXiv.2402.06076</t>
  </si>
  <si>
    <t>Niv Drory, Guillermo A. Blanc, Kathryn Kreckel, Sebastián F. Sánchez, Alfredo Mejía-Narváez, Evelyn J. Johnston, Amy M. Jones, Eric W. Pellegrini, Nicholas P. Konidaris, Tom Herbst, José Sánchez-Gallego, Juna A. Kollmeier, Florence de Almeida, Jorge K. Barrera-Ballesteros, Dmitry Bizyaev, Joel R. Brownstein, Mar Canal i Saguer, Brian Cherinka, Maria-Rosa L. Cioni, Enrico Congiu, Maren Cosens, Bruno Dias, John Donor, Oleg Egorov, Evgeniia Egorova, Cynthia S. Froning, Pablo García, Simon C. O. Glover, Hannah Greve, Maximilian Häberle, Kevin Hoy, Hector Ibarra, Jing Li, Ralf S. Klessen, Dhanesh Krishnarao, Nimisha Kumari7, Knox S. Long, José Eduardo Méndez-Delgado, Silvia Anastasia Popa, Solange Ramirez, Hans-Walter Rix, Aurora Mata Sánchez, Ravi Sankrit, Natascha Sattler, Conor Sayres, Amrita Singh, Guy Stringfellow, Stefanie Wachter, Elizabeth Jayne Watkins, Tony Wong, and Aida Wofford</t>
  </si>
  <si>
    <t>Astronomical Journal (AJ)</t>
  </si>
  <si>
    <t>1538-3881</t>
  </si>
  <si>
    <t xml:space="preserve">Comparing bulge RR Lyrae stars with bulge giants: Insight from 3D kinematics </t>
  </si>
  <si>
    <t>Olivares Carvajal, J.; Zoccali, M.; De Leo, M.; Contreras Ramos, R.; Quezada, C.; Rojas-Arriagada, Á.; Valenti, E.; Albarracín, R.; Valenzuela Navarro, Á.</t>
  </si>
  <si>
    <t xml:space="preserve">Chemical evolution of the Galactic bulge with different stellar populations </t>
  </si>
  <si>
    <t xml:space="preserve">The treasure behind the haystack: MUSE analysis of five recently discovered globular clusters </t>
  </si>
  <si>
    <t xml:space="preserve">Gran, F.; Kordopatis, G.; Zoccali, M.; Hill, V.; Saviane, I.; Navarrete, C.; Rojas-Arriagada, A.; Carballo-Bello, J.; Hartke, J.; Valenti, E.; Contreras Ramos, R.; De Leo, M.; Fabbro, S. </t>
  </si>
  <si>
    <t xml:space="preserve">Host-star and exoplanet composition: Polluted white dwarf reveals depletion of moderately refractory elements in planetary material </t>
  </si>
  <si>
    <t xml:space="preserve"> Aguilera-Gómez, Claudia ; Rogers, Laura K. ; Bonsor, Amy ; Jofré, Paula ; Blouin, Simon ; Shorttle, Oliver ; Buchan, Andrew M. ; Li, Yuqi ; Xu, Siyi </t>
  </si>
  <si>
    <t>en prensa (sin numero aun)</t>
  </si>
  <si>
    <t>.</t>
  </si>
  <si>
    <t>10.48550/arXiv.2411.03454</t>
  </si>
  <si>
    <t>The accreted galaxy: An overview of TESS metal-poor accreted star candidates</t>
  </si>
  <si>
    <t>Danielle de Brito Silva, Paula Jofré, Clare Worley, Keith Hawkins, Payel Das</t>
  </si>
  <si>
    <t>Astronomy &amp; Astrophysics (A&amp;A)</t>
  </si>
  <si>
    <t>10.1051/0004-6361/202450610</t>
  </si>
  <si>
    <t>The metallicity gradients of star-forming regions store information of the assembly history of galaxies</t>
  </si>
  <si>
    <t>Jara-Ferreira, F, Tissera, P. et al</t>
  </si>
  <si>
    <t>1369-1385</t>
  </si>
  <si>
    <t>A catalog of ringed galaxies in the TNG50 simulation: Analysis of their properties and structure</t>
  </si>
  <si>
    <t>Fernandez, Julia ; Sillero, Emanuel ; Alonso, Sol ; Tissera, Patricia</t>
  </si>
  <si>
    <t>10.48550/arXiv.2411.15682</t>
  </si>
  <si>
    <t>A baseline on the relation between chemical patterns and the birth stellar cluster</t>
  </si>
  <si>
    <t>T. Signor, P. Jofré, L. Martí, N. Sánchez-Pi</t>
  </si>
  <si>
    <t>A165</t>
  </si>
  <si>
    <t>10.1051/0004-6361/202449938</t>
  </si>
  <si>
    <t>The Pristine Inner Galaxy Survey (PIGS) IX. The largest detailed chemical analysis of very metal-poor stars in the Sagittarius dwarf galaxy</t>
  </si>
  <si>
    <t>Federico Sestito, Sara Vitali, Paula Jofre, Kim A. Venn, David S. Aguado, Claudia Aguilera-Gómez, Anke Ardern-Arentsen, Danielle de Brito Silva, Raymond Carlberg, Camilla J. L. Eldridge, Felipe Gran, Vanessa Hill, Pascale Jablonka, Georges Kordopatis, Nicolas F. Martin, Tadafumi Matsuno, Samuel Rusterucci, Else Starkenburg, Akshara Viswanathan</t>
  </si>
  <si>
    <t>A210</t>
  </si>
  <si>
    <t>10.1051/0004-6361/202450553</t>
  </si>
  <si>
    <t>Exploring the dependence of chemical traits on metallicity Chemical trends for red giant stars with asteroseismic ages</t>
  </si>
  <si>
    <t>S. Vitali, D. Slumstrup, P. Jofré, L. Casamiquela, H. Korhonen, S. Blanco-Cuaresma, M. L. Winther, V. Aguirre Børsen-Koch</t>
  </si>
  <si>
    <t>A164</t>
  </si>
  <si>
    <t>10.1051/0004-6361/202349049</t>
  </si>
  <si>
    <t>The chemical diversity of the metal-poor Milky Way</t>
  </si>
  <si>
    <t xml:space="preserve"> Buckley, Nicole ; Das, Payel search by orcid ; Jofré, Paula ; Yates, Robert M.  ; Hawkins, Keith </t>
  </si>
  <si>
    <t>1985-2005</t>
  </si>
  <si>
    <t>10.1093/mnras/stae2202</t>
  </si>
  <si>
    <t>Full Abundance Study of Two Newly Discovered Barium Giants</t>
  </si>
  <si>
    <t xml:space="preserve"> Vitali, Sara ; Escorza, Ana  ; Slumstrup, Ditte; Jofré, Paula </t>
  </si>
  <si>
    <t>Astrophysical Journal</t>
  </si>
  <si>
    <t>10.3847/1538-4357/ad77d8</t>
  </si>
  <si>
    <t>Revealing the chemical structure of the Magellanic Clouds with APOGEE. I. Calculating individual stellar ages of RGB stars in the Large Magellanic Cloud</t>
  </si>
  <si>
    <t xml:space="preserve"> Povick, Joshua T.; Nidever, David L. ; Massana, Pol ; Tayar, Jamie ; Olsen, Knut A. G. ; Hasselquist, Sten  ; Cioni, Maria-Rosa L. ; Nitschelm, Christian ; Carrera, Ricardo ; Choi, Yumi ; Roman-Lopes, Alexandre ; Majewski, Steven R. ; Almeida, Andrés ; Cunha, Katia ; Smith, Verne V.</t>
  </si>
  <si>
    <t>MNRAS</t>
  </si>
  <si>
    <t>3685–3707</t>
  </si>
  <si>
    <t>10.1093/mnras/stae1949</t>
  </si>
  <si>
    <t>S S Elgueta, N Matsunaga, M Jian, D Taniguchi, N Kobayashi, K Fukue, S Hamano, H Sameshima, S Kondo, A Arai, Y Ikeda, H Kawakita, S Otsubo, C Yasui, T Tsujimoto</t>
  </si>
  <si>
    <t xml:space="preserve">MNRAS </t>
  </si>
  <si>
    <t>3694–3712</t>
  </si>
  <si>
    <t>BUDDI-MaNGA III. The mass-assembly histories of bulges and discs of spiral galaxies</t>
  </si>
  <si>
    <t>Keerthana Jegatheesan, Evelyn J. Johnston, Boris Häußler, and Kalina V. Nedkova</t>
  </si>
  <si>
    <t>A32</t>
  </si>
  <si>
    <t>10.1051/0004-6361/202347372</t>
  </si>
  <si>
    <t>Núcleo Milenio Futuros de la Inteligencia Artificial y sus implicancias socioculturales en Chile y América Latina</t>
  </si>
  <si>
    <t>For better and for worse: A panel survey of how mobile-only and hybrid Internet use affects digital skills over time</t>
  </si>
  <si>
    <t xml:space="preserve">Teresa Correa, Sebastián Valenzuela, Isabel Pavez </t>
  </si>
  <si>
    <t xml:space="preserve">New Media &amp; Society </t>
  </si>
  <si>
    <t xml:space="preserve">1461-4448 </t>
  </si>
  <si>
    <t>10.1177/14614448211059114</t>
  </si>
  <si>
    <t>Seeking justice on social media: Funas as a localized form of Latin American youth activism</t>
  </si>
  <si>
    <t xml:space="preserve">Sebastián Rivera, Nicole Etchegaray, Homero Gil de Zúñiga, Teresa Correa </t>
  </si>
  <si>
    <t>New Media &amp; Society</t>
  </si>
  <si>
    <t>1461-4448</t>
  </si>
  <si>
    <t>10.1177/14614448241283943</t>
  </si>
  <si>
    <t xml:space="preserve">Resonancias tectónicas: Del diseño centrado en el usuario a un diseño orientado en el planeta </t>
  </si>
  <si>
    <t xml:space="preserve">Pablo Hermansen, Martín Tironi, Marcos Chilet, Carola Ureta </t>
  </si>
  <si>
    <t xml:space="preserve">Ediciones UC </t>
  </si>
  <si>
    <t>https://lea.uc.cl/resonancias-tectonicas/p</t>
  </si>
  <si>
    <t>Hybrid Ecologies of artificial intelligence: prototyping terrestrial practices through a design installation</t>
  </si>
  <si>
    <t>Martín Tironi, Manuela Garretón</t>
  </si>
  <si>
    <t xml:space="preserve">Design Research Society Digital Library </t>
  </si>
  <si>
    <t>10.21606/drs.2024.1104</t>
  </si>
  <si>
    <t>Algorithmic news versus non-algorithmic news: Towards a principle-based artificial intelligence (AI) theoretical framework of news media</t>
  </si>
  <si>
    <t xml:space="preserve">Rebeca Scheffauer, Homero Gil de Zúñiga, Teresa Correa </t>
  </si>
  <si>
    <t xml:space="preserve">Profesional de la Comunicación </t>
  </si>
  <si>
    <t xml:space="preserve">Personal Reflections on Our Context and Cognitive Digital Skills </t>
  </si>
  <si>
    <t>Teresa Correa</t>
  </si>
  <si>
    <t xml:space="preserve">International Journal of Communication </t>
  </si>
  <si>
    <t>https://ijoc.org/index.php/ijoc/article/viewFile/21891/4509</t>
  </si>
  <si>
    <t xml:space="preserve">'Think global, act local': How #MeToo hybridized across borders and platforms for contextual relevance </t>
  </si>
  <si>
    <t>Jiyoun Suk, Yibing Sun, Luhang Sun, Mengyu Li, Catalina Farías, Hyerin Kwon, Shreenita Ghosh, Porismita Borah, Darshana Sreedhar Mini, Teresa Correa, Christine Garlough, Dhavan V. Shah</t>
  </si>
  <si>
    <t xml:space="preserve">Information, Communication &amp; Society </t>
  </si>
  <si>
    <t>Living with Algorithms: Agency and User Culture in Costa Rica by Ignacio Siles (review)</t>
  </si>
  <si>
    <t>Mónica Humeres</t>
  </si>
  <si>
    <t>Technology and Culture</t>
  </si>
  <si>
    <t xml:space="preserve">0040-165X </t>
  </si>
  <si>
    <t>10.1353/tech.2024.a926325</t>
  </si>
  <si>
    <t xml:space="preserve">Survey of data stories: Guidelines for data story authoring </t>
  </si>
  <si>
    <t>Manuela Garretón, Daniela Moyano, José Guerra, Denis Parra</t>
  </si>
  <si>
    <t>Information Visualization</t>
  </si>
  <si>
    <t>10.1177/14738716241287116</t>
  </si>
  <si>
    <t>Dreaming of a Bright Future: Statistics, Disaster, and the Birth of Energopolitics in 1930s Chile</t>
  </si>
  <si>
    <t>Mónica Humeres, Magdalena Gil</t>
  </si>
  <si>
    <t xml:space="preserve">Technology and Culture </t>
  </si>
  <si>
    <t>10.1353/tech.2024.a926316</t>
  </si>
  <si>
    <t>Introducción. Estéticas posthumanas y tecnopoéticas en las literaturas y artes latinoamericanas del siglo XXI</t>
  </si>
  <si>
    <t>Wolfgang Bongers</t>
  </si>
  <si>
    <t>Bulletin of Hispanic Studies</t>
  </si>
  <si>
    <t>10.3828/bhs.2024.36</t>
  </si>
  <si>
    <t>Digital Valuation: Lessons in relevance from the prototyping of a recommendation app</t>
  </si>
  <si>
    <t>Celia Lury, Sophie Day, Andre Simon, Martín Tironi, Matías Valderrama, Scott Wark</t>
  </si>
  <si>
    <t>Valuation Studies</t>
  </si>
  <si>
    <t>10.3384/VS.2001-5992.2024.11.1.38-59</t>
  </si>
  <si>
    <t>Fabulaciones posthumanas del tiempo y la memoria en la creación poética de la Inteligencia Artificial en Soy una máquina y no puedo olvidar (2017) de Martín Rangel</t>
  </si>
  <si>
    <t xml:space="preserve">Jhoerson Yagmour Figuera </t>
  </si>
  <si>
    <t xml:space="preserve">Bulletin of Hispanic Studies </t>
  </si>
  <si>
    <t>10.3828/bhs.2024.41</t>
  </si>
  <si>
    <t>Users' Experiences of Algorithm-Mediated Public Services: Folk Theories, Trust, and Strategies in the Global South</t>
  </si>
  <si>
    <t xml:space="preserve">Claudia López, Alexandra Davidoff, Francisca Luco, Mónica Humeres, Teresa Correa </t>
  </si>
  <si>
    <t xml:space="preserve">International Journal of Human-Computer Interaction </t>
  </si>
  <si>
    <t xml:space="preserve"> 1044-7318 </t>
  </si>
  <si>
    <t>Máquina Cóndor, de Demian Schopf, y los proyectos IA de Sofía Crespo: la imaginación artificial y el desafío noopolítico</t>
  </si>
  <si>
    <t xml:space="preserve">Wolfgang Bongers </t>
  </si>
  <si>
    <t>10.3828/bhs.2024.42</t>
  </si>
  <si>
    <t>Núcleo Milenio MIGRA: percepciones y consecuencias de la inmigración</t>
  </si>
  <si>
    <t>Perceived workplace discrimination by South American immigrants in Chile: A quantitative study in a large sample</t>
  </si>
  <si>
    <t>José Berríos-Riquelme, Gustavo Castillo-Rozas, Olaya Grau-Rengifo</t>
  </si>
  <si>
    <t>REMHU, Revista Interdisciplinar da Mobilidade Humana</t>
  </si>
  <si>
    <t>1980-8585</t>
  </si>
  <si>
    <t>10.1590/1980-85852503880003208</t>
  </si>
  <si>
    <t>Higher education trajectories of migrants and the role of age of arrival: evidence from native and migrant students in Chile</t>
  </si>
  <si>
    <t>Alejandra Abufhele, Luis Herskovic, Samanta Alarcón</t>
  </si>
  <si>
    <t xml:space="preserve">Higher Education </t>
  </si>
  <si>
    <t>0018-1560</t>
  </si>
  <si>
    <t>10.1007/s10734-024-01213-1</t>
  </si>
  <si>
    <t>El enfoque de derechos como una oportunidad para enfrentar el pensamiento deficitario en escuelas chilenas con alta participación de estudiantes migrantes</t>
  </si>
  <si>
    <t>Patricia Guerrero, Olaya Grau, Romina Díaz, Ana Hormazábal, Diego Palacios</t>
  </si>
  <si>
    <t>978-956-14-3281-9</t>
  </si>
  <si>
    <t>https://ulibros.com/migracion-xso99.html</t>
  </si>
  <si>
    <t>Procesos interculturales y gestión de la diversidad</t>
  </si>
  <si>
    <t xml:space="preserve"> María Olaya Grau Rengifo, Isaac Irán Cabrera Ruiz, Margarita Rozas Pagaza, Ángel Joel Méndez López, María del Mar Bernabé Villodre, José Vicente Pérez Cosín</t>
  </si>
  <si>
    <t>Editorial Tirant Lo Blanch</t>
  </si>
  <si>
    <t>https://editorial.tirant.com/es/libro/procesos-interculturales-y-gestion-de-la-diversidad-maria-olaya-grau-rengifo-9788411835756</t>
  </si>
  <si>
    <t>Estudiar remoto de emergencia en la pandemia por Covid-19 desde la mirada de niños(as) de familias migrantes y profesionales de la educación: un estudio exploratorio en la Región Metropolitana de Chile</t>
  </si>
  <si>
    <t>Alicia Veas Flores, María Olaya Grau-Rengifo, Nicolle Alamo Anich.</t>
  </si>
  <si>
    <t>Alternativas. Cuadernos de Trabajo Social</t>
  </si>
  <si>
    <t>Willingness to pay for crime reduction: The role of information in the Americas</t>
  </si>
  <si>
    <t>Patricio Domínguez, Carlos Scartascini</t>
  </si>
  <si>
    <t>Journal of Public Economics</t>
  </si>
  <si>
    <t>0047-2727</t>
  </si>
  <si>
    <t>10.1016/j.jpubeco.2024.105205</t>
  </si>
  <si>
    <t>¿Cómo se articulan las políticas migratorias y laborales para regular el trabajo extranjero?</t>
  </si>
  <si>
    <t>Mayra Feddersen, Antonio Morales</t>
  </si>
  <si>
    <t>Revista Chilena de Derecho</t>
  </si>
  <si>
    <t>0716-0747</t>
  </si>
  <si>
    <t>10.7764/R.511.6</t>
  </si>
  <si>
    <t>2024-09-26 00:00:00.000</t>
  </si>
  <si>
    <t xml:space="preserve"> Estereotipos y prejuicios: aspectos básicos e investigaciones</t>
  </si>
  <si>
    <t xml:space="preserve"> José Vicente Pérez Cosín, Isaac Irán Cabrera Ruiz, Ángel Joel Méndez López, María Olaya Grau Rengifo, Nina Navajas-Pertegás</t>
  </si>
  <si>
    <t>Editorial Aula Magna</t>
  </si>
  <si>
    <t>https://www.casadellibro.com/libro-estereotipos-y-prejuicios-aspectos-basicos-e-investigaciones/9788410066649/16445320?srsltid=AfmBOorH-YqN2lyzJLP61HIDRyZETAdmRPOE28BWXiMCsKdcvECs3L_Z</t>
  </si>
  <si>
    <t>2024-08-04 00:00:00.000</t>
  </si>
  <si>
    <t>Experiencia de Cuidadores y Facilitadores sobre la Implementación Online de GenerationPMTO en Contexto de Pandemia</t>
  </si>
  <si>
    <t>M. Olaya Grau Rengifo, Débora Pardo Galarce, Nicolle Álamo Anich, Karla González Suitt, Sofía Fernández Sanz, M. Elvira Cárdenas Sánchez, José Miguel Banderas Montalva, Luz Cantizano Rioseco, Constanza Ruiz Leiva, María Luisa Correa Molina, Raúl Perry Mitchell</t>
  </si>
  <si>
    <t>Social Boundaries and Stigmatization in a Border Territory: Experiences of Peruvian and Bolivian Students in the Northernmost Region of Chile</t>
  </si>
  <si>
    <t>Andrea Alvarado-Urbina, Carlos Mondaca-Rojas, Raúl Bustos-González, Elizabeth Sánchez-González</t>
  </si>
  <si>
    <t>10.1177/21582440241253421</t>
  </si>
  <si>
    <t>Análisis de la estratificación horizontal de estudiantes migrantes en el sistema escolar chileno en el período 2014-2019</t>
  </si>
  <si>
    <t>Andrea Alvarado-Urbina, Alejandra Abufhele, M. Olaya Grau, Daniel Acevedo, Alicia Veas Flores</t>
  </si>
  <si>
    <t>Ediciones Universidad Autónoma de Chile</t>
  </si>
  <si>
    <t>978-956-417-037-4</t>
  </si>
  <si>
    <t>10.32457/4r5cfw81</t>
  </si>
  <si>
    <t>Adriana Robles, Luca Maria Pesando, Alejandra Abufhele, Mauricio Bucca, Daniela R. Urbina</t>
  </si>
  <si>
    <t>10.1177/23780231241290679</t>
  </si>
  <si>
    <t>Developmental Losses in Young Children from Preprimary Program Closures during the COVID-19 Pandemic</t>
  </si>
  <si>
    <t>Alejandra Abufhele, David Bravo, Florencia Lopez-Boo, Pamela Soto-Ramirez</t>
  </si>
  <si>
    <t>Comparative Education Review</t>
  </si>
  <si>
    <t>0010-4086</t>
  </si>
  <si>
    <t>10.1086/731588</t>
  </si>
  <si>
    <t>Understanding vulnerable and multiple life courses across Latin America</t>
  </si>
  <si>
    <t>Andrés Biehl, Ignacio Cabib, Eduardo Undurraga, Alejandra Abufhele</t>
  </si>
  <si>
    <t xml:space="preserve">Sociologie </t>
  </si>
  <si>
    <t>https://shs.cairn.info/journal-sociologie-2024-4-page-449?lang=en.</t>
  </si>
  <si>
    <t>Partisanship with rightist and leftist parties in Central America: A test of four hypotheses</t>
  </si>
  <si>
    <t>Perelló, Lucas &amp; Patricio Navia</t>
  </si>
  <si>
    <t xml:space="preserve"> 0954-2892</t>
  </si>
  <si>
    <t>10.1093/ijpor/edae008</t>
  </si>
  <si>
    <t>Núcleo Milenio para el Estudio de la Política, Opinión Pública y Medios en Chile</t>
  </si>
  <si>
    <t>Ideological polarization in roll call votes in constitutional conventions: The case of Chile in 2021–2</t>
  </si>
  <si>
    <t>Campos Parra, Hernán &amp; Patricio Navia</t>
  </si>
  <si>
    <t>Parliamentary Affairs</t>
  </si>
  <si>
    <t>203-225</t>
  </si>
  <si>
    <t xml:space="preserve"> 0031-2290</t>
  </si>
  <si>
    <t>10.1093/pa/gsae009</t>
  </si>
  <si>
    <t>Chilean-Style Populism: Carlos Ibáñez’s Electoral Support Base</t>
  </si>
  <si>
    <t>Mimica Nicolás &amp; Patricio Navia</t>
  </si>
  <si>
    <t>Journal of Latin American Studies</t>
  </si>
  <si>
    <t>225-251</t>
  </si>
  <si>
    <t>0022-216X</t>
  </si>
  <si>
    <t>10.1017/S0022216X24000282 </t>
  </si>
  <si>
    <t>Legitimizing violence by protestors and the police in social protests: The case of Chile, 2019-2022</t>
  </si>
  <si>
    <t>Ross Zbinden, Maximiiano, &amp; Navia, Patricio</t>
  </si>
  <si>
    <t>Revista Latinoamericana De Opinión Pública</t>
  </si>
  <si>
    <t>2660-700X</t>
  </si>
  <si>
    <t>10.14201/rlop.31706</t>
  </si>
  <si>
    <t>Where did Hyper-Presidentialism Go? The Origin of Bills and Laws Passed in Chile, 1990–2022</t>
  </si>
  <si>
    <t>Mimica, Nicolás  &amp; Navia, Patricio</t>
  </si>
  <si>
    <t>Journal of Politics in Latin America</t>
  </si>
  <si>
    <t>27-49</t>
  </si>
  <si>
    <t>1866-802X</t>
  </si>
  <si>
    <t>10.1177/1866802X241245727</t>
  </si>
  <si>
    <t>Candidaturas independientes, gasto en campaña y desempeño electoral en las elecciones de convencionales constituyentes en Chile en 2021</t>
  </si>
  <si>
    <t>Álvarez Martínez, Ariel &amp; Patricio Navia</t>
  </si>
  <si>
    <t>Política y gobierno</t>
  </si>
  <si>
    <t>1405-1060</t>
  </si>
  <si>
    <t>10.4067/www.politicaygobierno.cide.edu/index.php/pyg/issue/view/86  </t>
  </si>
  <si>
    <t>Party Affiliation, District-Level Incentives and the Use of Parliamentary Questions in Chile’s Presidential Democracy</t>
  </si>
  <si>
    <t>Mimica, Nicolás, Patricio Navia, and Ignacio Cárcamo</t>
  </si>
  <si>
    <t>Government and Opposition</t>
  </si>
  <si>
    <t>526-542</t>
  </si>
  <si>
    <t>0017-257X</t>
  </si>
  <si>
    <t>10.1017/gov.2023.7</t>
  </si>
  <si>
    <t>2024-09-28 00:00:00.000</t>
  </si>
  <si>
    <t>Corruption and media surveillance of power in Argentina and Peru: The coverage of Clarín and El Comercio during the vaccination scandals against COVID 19</t>
  </si>
  <si>
    <t>Francisco Tagle, Rocío Gómez, Rosa Gamarra</t>
  </si>
  <si>
    <t>Observatorio (OBS*),</t>
  </si>
  <si>
    <t>10.15847/obsOBS18320242411</t>
  </si>
  <si>
    <t>Fracture of the Centre and Presidential Popularity: The Chilean Christian Democratic Party, 1958-19701</t>
  </si>
  <si>
    <t>Mario Herrera, Mauricio Morales y Rodrigo Bugueño</t>
  </si>
  <si>
    <t>Divergencia</t>
  </si>
  <si>
    <t xml:space="preserve">0719-2398 </t>
  </si>
  <si>
    <t>https://www.revistadivergencia.cl/wp-content/uploads/2024/09/Revista-Divergencia-Nro.-22-Ano-13-Ene-Jun-2024_3.pdf</t>
  </si>
  <si>
    <t>Fund Distribution and Incentives for Territorial Fragmentation: The Case of the FNDR in Chile</t>
  </si>
  <si>
    <t>Patricio Aroca, Eduardo Mundt y Pedro Fierro</t>
  </si>
  <si>
    <t>EURE-Revista Latinoamericana de Estudios Urbano Regionales</t>
  </si>
  <si>
    <t>0250-7161</t>
  </si>
  <si>
    <t>10.1093/cjres/rsae004</t>
  </si>
  <si>
    <t>Strategies, access and influence: a survey of interests groups in Chile</t>
  </si>
  <si>
    <t>Andrés Dockendorff, Marcel Aubry, Camila Galván</t>
  </si>
  <si>
    <t>Interest Groups &amp; Advocacy</t>
  </si>
  <si>
    <t>192-212</t>
  </si>
  <si>
    <t xml:space="preserve"> 2047-7414</t>
  </si>
  <si>
    <t>10.1057/s41309-024-00207-9</t>
  </si>
  <si>
    <t>Primarias presidenciales en Chile, 2013-2021: instituciones, participación electoral y resultados</t>
  </si>
  <si>
    <t>Mauricio Morales</t>
  </si>
  <si>
    <t>Colombia Internacional</t>
  </si>
  <si>
    <t>85-113</t>
  </si>
  <si>
    <t>0121-5612</t>
  </si>
  <si>
    <t>10.7440/colombiaint118.2024.04</t>
  </si>
  <si>
    <t>La privación del derecho a sufragio y la participación electoral: el caso de Chile en 2021</t>
  </si>
  <si>
    <t>Berg Bilbao, Santiago, Francisca Chávez Saavedra, &amp; Patricio Navia</t>
  </si>
  <si>
    <t>10.38178/07183089/1746230922</t>
  </si>
  <si>
    <t>The Length of Service of Cabinet Ministers in Chile's Presidential Democracy, 1990–2022</t>
  </si>
  <si>
    <t>Jofré, Hugo, Patricio Navia &amp; José Miguel Cabezas</t>
  </si>
  <si>
    <t>Bulletin of Latin American Research</t>
  </si>
  <si>
    <t>362-376</t>
  </si>
  <si>
    <t>0261-3050</t>
  </si>
  <si>
    <t>10.1111/blar.13577 </t>
  </si>
  <si>
    <t>El impacto de la participación en las primarias simultáneas y opcionales en la votación del candidato de la coalición en la elección presidencial: Evidencia del sistema de dos vueltas en Chile</t>
  </si>
  <si>
    <t>Jofré, Hugo, and Patricio Navia</t>
  </si>
  <si>
    <t>59-84</t>
  </si>
  <si>
    <t>10.7440/colombiaint118.2024.03.</t>
  </si>
  <si>
    <t>Bankers and Sheriffs? The Economy, Public Security, and Vote Intention for Presidential Incumbents in Central America</t>
  </si>
  <si>
    <t>Representation</t>
  </si>
  <si>
    <t>10.1080/00344893.2024.2392528</t>
  </si>
  <si>
    <t>Television Campaigns in the Chilean Constituent Elections: The Negative and Anti-system Discourse in the Success of the Social Movement La Lista Del Pueblo and its Electoral Base</t>
  </si>
  <si>
    <t>Francisco Tagle, Mauricio Morales, Isabel Pavez &amp; Cecilia Caro</t>
  </si>
  <si>
    <t>Journal of Iberian &amp; Latin American Research</t>
  </si>
  <si>
    <t>256-273</t>
  </si>
  <si>
    <t>1326-0219</t>
  </si>
  <si>
    <t>10.1080/13260219.2023.2344761</t>
  </si>
  <si>
    <t>Religious Voting and the Gender Gap: Support for the Radical Right in Chile</t>
  </si>
  <si>
    <t>Mauricio Morales y Teresa Pérez</t>
  </si>
  <si>
    <t>Nordic Journal of Religion and Society</t>
  </si>
  <si>
    <t>19-33</t>
  </si>
  <si>
    <t>0809-7291</t>
  </si>
  <si>
    <t>10.18261/njrs.37.1.2</t>
  </si>
  <si>
    <t>Political entrepreneurs and interest groups in the CPTPP ratification process in Chile: A case of politicization?</t>
  </si>
  <si>
    <t>Dorotea López, Andrés Dockendorff, Simón Lodato</t>
  </si>
  <si>
    <t>World Affairs</t>
  </si>
  <si>
    <t>437-447</t>
  </si>
  <si>
    <t>0043-8200</t>
  </si>
  <si>
    <t>10.1002/waf2.12042</t>
  </si>
  <si>
    <t>Constituency Service and Representation: The Effects of Remoteness and Social Deprivation</t>
  </si>
  <si>
    <t>Andres Dockendorff, Simon Lodato</t>
  </si>
  <si>
    <t>545-557</t>
  </si>
  <si>
    <t>0034-4893</t>
  </si>
  <si>
    <t>10.1080/00344893.2023.2237028</t>
  </si>
  <si>
    <t>When Do Interest Groups Lobby Legislators in Strong Presidential Systems?</t>
  </si>
  <si>
    <t>Andrés Dockendorff, Simon Lodato</t>
  </si>
  <si>
    <t>Legislative Studies Quarterly</t>
  </si>
  <si>
    <t>289-321</t>
  </si>
  <si>
    <t>0362-9805</t>
  </si>
  <si>
    <t>10.1111/lsq.12419</t>
  </si>
  <si>
    <t>The impact of using social media to obtain political information on presidential approval. The case of Chile, 2011-2021</t>
  </si>
  <si>
    <t>Belmar Soto, Jorge; Faúndez Caicedo, Vicente;  Navia, Patricio</t>
  </si>
  <si>
    <t>Cuadernos.Info</t>
  </si>
  <si>
    <t>71-93</t>
  </si>
  <si>
    <t>10.7764/cdi.59.73757</t>
  </si>
  <si>
    <t>Clickbait, anonimato y “cuña selfie”: el temor como factor de cambio en las prácticas periodísticas</t>
  </si>
  <si>
    <t xml:space="preserve">Grassau, Daniela, Ortega-Gunckel, Constanza., Puente, Soledad. &amp; Porath, William. </t>
  </si>
  <si>
    <t>Comunicación y sociedad</t>
  </si>
  <si>
    <t>0188-252X</t>
  </si>
  <si>
    <t>10.32870/cys.v2024.8796</t>
  </si>
  <si>
    <t>Misleading content on encrypted platforms in Chile: WhatsApp vs. Telegram during constitutional elections</t>
  </si>
  <si>
    <t>Santos, Marcelo; Bustamante-Pavez, Guillermo; Flores, Antonia &amp; Ortiz-Fuentes, Jorge</t>
  </si>
  <si>
    <t>Catalan Journal of Communication &amp; Cultural Studies</t>
  </si>
  <si>
    <t>197-216</t>
  </si>
  <si>
    <t>1757-1898</t>
  </si>
  <si>
    <t>10.1386/cjcs_00109_1</t>
  </si>
  <si>
    <t>2024-12-10 00:00:00.000</t>
  </si>
  <si>
    <t>Constitution-Making in the 21st Century. Lessons from the Chilean Process</t>
  </si>
  <si>
    <t>Heiss, Claudia; Suarez-Cao, Julieta</t>
  </si>
  <si>
    <t>PS: Political Science &amp; Politics</t>
  </si>
  <si>
    <t>282-285</t>
  </si>
  <si>
    <t>1049-0965</t>
  </si>
  <si>
    <t>10.1017/S104909652300104X</t>
  </si>
  <si>
    <t>729-734</t>
  </si>
  <si>
    <t>Núcleo Milenio para el Estudio de los Impactos de China en América Latina</t>
  </si>
  <si>
    <t>Factors determining the emergence of environmental concerns regarding Chinese investment in the South America's extractive industries Author links open overlay panel</t>
  </si>
  <si>
    <t>Andrea Freites</t>
  </si>
  <si>
    <t>Extractive Industries and Society</t>
  </si>
  <si>
    <t>10.1016/j.exis.2024.101506</t>
  </si>
  <si>
    <t>Viaje a China nueva: la República Popular China en ojos de Olga Poblete</t>
  </si>
  <si>
    <t>María Montt y María Fernanda Lanfranco</t>
  </si>
  <si>
    <t>Cuadernos Americanos</t>
  </si>
  <si>
    <t>http://www.cialc.unam.mx/cuadamer/textos/ca187-47.pdf</t>
  </si>
  <si>
    <t>From Dams to Data: China’s Shifting Interests in Central America</t>
  </si>
  <si>
    <t>Margaret Myers</t>
  </si>
  <si>
    <t>United States Institute of Peace</t>
  </si>
  <si>
    <t>https://thedialogue.org/analysis/from-dams-to-data-chinas-shifting-interests-in-central-america/</t>
  </si>
  <si>
    <t>La presencia de empresas chinas en el sector argentino del litio: implicaciones para el desarrollo económico y la inserción internacional en el escenario geopolítico y geoeconómico actual</t>
  </si>
  <si>
    <t>Juliana González Jauregui</t>
  </si>
  <si>
    <t>Revista Desarrollo, Espacio y Estado</t>
  </si>
  <si>
    <t>10.14409/rdee.2024.1.e0039</t>
  </si>
  <si>
    <t>Chile in the US–China competition: Defying zero-sum logic with pragmatism and complementarity?</t>
  </si>
  <si>
    <t>Diego Telias, Florencia Rubiolo</t>
  </si>
  <si>
    <t>10.4324/9781032664941-13</t>
  </si>
  <si>
    <t>Feeling the Stones: Chinese Development Finance to Latin America and the Caribbean, 2023</t>
  </si>
  <si>
    <t>Margaret Myers, Rebecca May</t>
  </si>
  <si>
    <t>The Dialogue</t>
  </si>
  <si>
    <t>https://thedialogue.org/analysis/feeling-the-stones-chinese-development-finance-to-latin-america-and-the-caribbean-2023/</t>
  </si>
  <si>
    <t>Chinese investments in Argentina's lithium sector: Economic development implications amid global competition</t>
  </si>
  <si>
    <t>The Extractive Industries and Society</t>
  </si>
  <si>
    <t>10.1016/j.exis.2024.101551</t>
  </si>
  <si>
    <t>Las embarcaciones chinas y la pesca ilegal, no declarada y no reglamentada frente a la costa pacífico de Sudamérica</t>
  </si>
  <si>
    <t>Nicole Jenne, Johannes Rehner y Luciano Quispe</t>
  </si>
  <si>
    <t>Núcleo Milenio ICLAC</t>
  </si>
  <si>
    <t>10.5281/zenodo.14004234</t>
  </si>
  <si>
    <t>Context matters? The influence of happiness, trust, democracy and economic development on DEI policies in communications in Latin America and the Caribbean</t>
  </si>
  <si>
    <t>Claudia Labarca, Gabriel Sadi y Alejandro Álvarez Nobell</t>
  </si>
  <si>
    <t>Corporate Communications</t>
  </si>
  <si>
    <t>10.1108/CCIJ-08-2024-0142</t>
  </si>
  <si>
    <t>The Nexus between Authoritarian and Environmental Regionalism: An Analysis of China's Driving Role in the Shanghai Cooperation Organization</t>
  </si>
  <si>
    <t>Francisco Urdinez y Giovanni Agostinis</t>
  </si>
  <si>
    <t>Sustainable Development, Regional Governance, and International Organizations</t>
  </si>
  <si>
    <t>https://www.taylorfrancis.com/chapters/edit/10.4324/9781003468998-4/nexus-authoritarian-environmental-regionalism-analysis-china-driving-role-shanghai-cooperation-organization-giovanni-agostinis-francisco-urdinez?context=ubx&amp;refId=0df2add1-4a93-4d60-bb5e-c2c0e86a0b00</t>
  </si>
  <si>
    <t>Managing the Long-Term Effects of Psychological Abuse on (Im)migrant Domestic Workers</t>
  </si>
  <si>
    <t>Carol Chan y Christine Thrams</t>
  </si>
  <si>
    <t>Culture, Medicine and Psychiatry</t>
  </si>
  <si>
    <t>10.1007/s11013-023-09836-2</t>
  </si>
  <si>
    <t>Editorial Dossier: Comunicación organizacional, estratégica y relaciones públicas en América Latina: convergencias y divergencias</t>
  </si>
  <si>
    <t>Andréia Athaydes, Cecilia Claro y Claudia Labarca</t>
  </si>
  <si>
    <t>10.7764/cdi.58.80900</t>
  </si>
  <si>
    <t>Conclusion: The compression of social time</t>
  </si>
  <si>
    <t>Delphine Mercier, Pablo Ampuero Ruiz y Beatrice Zani</t>
  </si>
  <si>
    <t>Anthem Press</t>
  </si>
  <si>
    <t>10.2307/jj.15729467.13</t>
  </si>
  <si>
    <t>Bibliografía selecta de estudios budistas en América Latina</t>
  </si>
  <si>
    <t>María Elvira Ríos</t>
  </si>
  <si>
    <t>Publicaciones URV</t>
  </si>
  <si>
    <t>10.17345/9788413651248</t>
  </si>
  <si>
    <t xml:space="preserve">Claudia Labarca, Ingrid Bachmann, Sebastián Valenzuela, Constanza Mujica, Daniela Grassau y Daniel Halpern </t>
  </si>
  <si>
    <t>Migration, heteronormativity, and gendered diversity</t>
  </si>
  <si>
    <t>Carol Chan y Nicole Constable</t>
  </si>
  <si>
    <t>Edward Elgar Publishing</t>
  </si>
  <si>
    <t>10.4337/9781800884793.00027</t>
  </si>
  <si>
    <t>Chinese students in the global south: a case study of mobility to Chile</t>
  </si>
  <si>
    <t>Andrés Bórquez, José Manuel Morales y Osvaldo Gúzman</t>
  </si>
  <si>
    <t>Asian Education and Development Studies</t>
  </si>
  <si>
    <t>10.1108/AEDS-04-2024-0082</t>
  </si>
  <si>
    <t>Monitor de Opinión Pública 2023: ¿Qué piensan los chilenos sobre China?</t>
  </si>
  <si>
    <t>María Montt, Claudia Labarca, Nicole Jenne y Francisco Urdinez</t>
  </si>
  <si>
    <t>10.5281/zenodo.12700686</t>
  </si>
  <si>
    <t>The Representation of Women in Chilean Advertising: Changes and Continuities in the Context of the Establishment of a Consumer Culture (1980–2013)</t>
  </si>
  <si>
    <t>Claudia Labarca, William Porath, Enrique Vergara, Paulina Gomez-Lorenzini y Constanza Ortega-Gunckel</t>
  </si>
  <si>
    <t>10.1111/blar.13596</t>
  </si>
  <si>
    <t>2024-10-19 00:00:00.000</t>
  </si>
  <si>
    <t>Digging deeper: Unpacking the subnational political drivers of Chinese extractive investment in Latin America Author links open overlay panel</t>
  </si>
  <si>
    <t>Francisco Urdinez, Agustina Giraudy y Andrea Freites</t>
  </si>
  <si>
    <t>2214-790X</t>
  </si>
  <si>
    <t>10.1016/j.exis.2024.101555</t>
  </si>
  <si>
    <t>When do business groups embrace outside lobbying in trade policy? The case of the CPTPP in Chile.</t>
  </si>
  <si>
    <t>Andrés Dockendorff y Dorotea López</t>
  </si>
  <si>
    <t>Estudos Internacionais: Revista De Relaçoes Internacionais Da PUC Minas</t>
  </si>
  <si>
    <t>10.5752/P.2317-773X.2023v11n2p7-23</t>
  </si>
  <si>
    <t>Hacia una tierra de memorias, cuentos y tragedias: La imagen del Perú en la prensa anglófona en China (1874-1939)</t>
  </si>
  <si>
    <t>Nashely Lizarme Villcas, Patricia Palma y José Manuel Carrasco Weston</t>
  </si>
  <si>
    <t>Revista del Instituto Riva-Agüero</t>
  </si>
  <si>
    <t>10.18800/revistaira.202401.011</t>
  </si>
  <si>
    <t>Dorotea Lopez, Andres Dockendorff y Simón Lodato</t>
  </si>
  <si>
    <t>Latin America and the Caribbean: How the Belt and Road Initiative Diminished the United States Influence</t>
  </si>
  <si>
    <t>Juan Enrique Serrano</t>
  </si>
  <si>
    <t>Bristol University Press</t>
  </si>
  <si>
    <t>10.46692/9781529228472.007</t>
  </si>
  <si>
    <t>El Auge de las Cerezas Chilenas y el Desafío del Mercado Chino</t>
  </si>
  <si>
    <t>Francisco Urdinez, María Montt, Italo Aguirre y Gonzalo Matamala</t>
  </si>
  <si>
    <t>10.5281/zenodo.10966613</t>
  </si>
  <si>
    <t>La Política Exterior de China en la Era de Xi Jinping</t>
  </si>
  <si>
    <t>Daniel Lemus y Andrés Bórquez</t>
  </si>
  <si>
    <t>CONfines de Relaciones Internaciones y Ciencia Política</t>
  </si>
  <si>
    <t>10.46530/cf.vi38/cnfns.n38.p1-8</t>
  </si>
  <si>
    <t>Empowerment, Self-Reification and Economic Aspirations Through Digital Media Among Migrant Workers in Southern China</t>
  </si>
  <si>
    <t>Pablo Ampuero Ruiz</t>
  </si>
  <si>
    <t>10.2307/jj.15729467.6</t>
  </si>
  <si>
    <t>Nonlinear Cultural Diplomacy: A Latin American Traveler to China During the Cold War</t>
  </si>
  <si>
    <t>María Montt</t>
  </si>
  <si>
    <t>Georgetown University Press</t>
  </si>
  <si>
    <t>https://search.worldcat.org/title/Soft-power-beyond-the-nation/oclc/1430209515</t>
  </si>
  <si>
    <t>Diverse and Shifting Everyday Experiences of “China in Chile”</t>
  </si>
  <si>
    <t>Carol Chan</t>
  </si>
  <si>
    <t>University of Pittsburgh Press</t>
  </si>
  <si>
    <t>10.2307/jj.13944248.5</t>
  </si>
  <si>
    <t>Representación de la mujer en el Chile autoritario. Una aproximación desde la publicidad.</t>
  </si>
  <si>
    <t>Claudia Labarca, Enrique Vergara-Leyton, Liliana De Simone, Paulina Gomez-Lorenzini y Antonia Guevara-Iturbe</t>
  </si>
  <si>
    <t>Historia y Comunicación Social</t>
  </si>
  <si>
    <t>10.5209/hics.92116</t>
  </si>
  <si>
    <t>China in the Global South: Exploring Venezuelan's Perceptions of Chinese Loans</t>
  </si>
  <si>
    <t>Andrés Bórquez y Eduardo Carreño</t>
  </si>
  <si>
    <t>Journal of East Asia and International Law</t>
  </si>
  <si>
    <t>10.14330/jeail.2024.17.1.01</t>
  </si>
  <si>
    <t>Núcleo Milenio para el Estudio del Desarrollo de las Habilidades Matemáticas Tempranas</t>
  </si>
  <si>
    <t>Early Childhood Teachers’ Professional Competence in Mathematics</t>
  </si>
  <si>
    <t>Dionicio García, E.</t>
  </si>
  <si>
    <t>Perfiles Educativos</t>
  </si>
  <si>
    <t>Happiness at School and Its Relationship with Academic Achievement</t>
  </si>
  <si>
    <t>Hochschild Ovalle, H., Nussbaum, M., Claro, S., Espinosa, P., &amp; Alvares, D.</t>
  </si>
  <si>
    <t>Education Sciences</t>
  </si>
  <si>
    <t>National disparities favoring males are reflected in girls’ implicit associations about gender and academic subjects</t>
  </si>
  <si>
    <t>Cvencek, D., Sanders, E. A., del Río, M. F., Susperreguy, M. I., Strasser, K., Brečić, R., Gaćeša, D., Skala, D., Tomasetto, C., Galdi, S., Cadinu, M., Kapur, M., Passolunghi, M. C., Rueda Ferreira, T. I., Mirisola, A., Mariani, B., &amp; Meltzoff, A. N.</t>
  </si>
  <si>
    <t>Developmental Psychology</t>
  </si>
  <si>
    <t>0012-1649</t>
  </si>
  <si>
    <t>10.1037/dev0001797</t>
  </si>
  <si>
    <t>We are not being taught sustainable citizenship!: Podcasts for critical science literacy in teacher education</t>
  </si>
  <si>
    <t xml:space="preserve">Cabello, V., Zúñiga, C. G., Amador Valbuena, C., Manrique, F., Albarrán, M. J., &amp; Moncada-Arce, A. </t>
  </si>
  <si>
    <t>LUMAT: International Journal on Math, Science and Technology Education</t>
  </si>
  <si>
    <t>18-49</t>
  </si>
  <si>
    <t>10.31129/LUMAT.12.2.2135</t>
  </si>
  <si>
    <t>The role of mathematical vocabulary in the development of mathematical skills for Spanish-speaking students</t>
  </si>
  <si>
    <t xml:space="preserve">Susperreguy, M. I., Di Lonardo Burr, S., Xu, C., Douglas, H., Bourque, T., del Río, M. F., Salinas, V., &amp; LeFevre, J.-A. </t>
  </si>
  <si>
    <t>Cognitive Development</t>
  </si>
  <si>
    <t>0885-2014</t>
  </si>
  <si>
    <t>10.1016/j.cogdev.2024.101441</t>
  </si>
  <si>
    <t>Early symbolic numeracy and gross, fine, and perceptual-motor skills in Mexican preschool children</t>
  </si>
  <si>
    <t xml:space="preserve">Jiménez Lira, C., Benavides Pando, E. V., Paz García, D. S., Susperreguy, M. I., Palma Gardea, L. C., &amp; Mondaca Fernández, F. </t>
  </si>
  <si>
    <t>1452–1462</t>
  </si>
  <si>
    <t>10.47197/retos.v51.101477</t>
  </si>
  <si>
    <t>Ayala, M. C., Webb, A., Maldonado, L., Canales, A., &amp; Cascallar, E.</t>
  </si>
  <si>
    <t>10.1016/j.ssresearch.2024.102990</t>
  </si>
  <si>
    <t>Characteristics of professional development research in mathematics education and its approach to student learning [Características de la investigación sobre desarrollo profesional en educación matemática y su aproximación a los aprendizajes de los estudiantes]</t>
  </si>
  <si>
    <t xml:space="preserve">Peri, A., &amp; Gómez Zaccarelli, F. </t>
  </si>
  <si>
    <t>Educación Matemática</t>
  </si>
  <si>
    <t>157–188</t>
  </si>
  <si>
    <t xml:space="preserve">10.24844/EM3601.06 </t>
  </si>
  <si>
    <t>Learning biodiversity care in everyday life: teacher education in contrasting biocultural contexts</t>
  </si>
  <si>
    <t>Méndez-Herranz, M., &amp; Cabello, V.</t>
  </si>
  <si>
    <t>Environmental Education Research</t>
  </si>
  <si>
    <t>1–20</t>
  </si>
  <si>
    <t>1350-4622</t>
  </si>
  <si>
    <t>10.1080/13504622.2024.2370998</t>
  </si>
  <si>
    <t>Public policies aimed at migrant students: What is being done in Chile? [Políticas públicas orientadas a estudiantes migrantes: ¿Qué se está haciendo en Chile?]</t>
  </si>
  <si>
    <t>Olaya, M., Ayala, C., &amp; Valenzuela-Vergara, E.</t>
  </si>
  <si>
    <t xml:space="preserve">Website publication </t>
  </si>
  <si>
    <t>0718-9745</t>
  </si>
  <si>
    <t>URL:https://politicaspublicas.uc.cl/publicacion/politicas-publicas-orientadas-a-estudiantes-migrantes-que-se-esta-haciendo-en-chile/</t>
  </si>
  <si>
    <t>Are Changes in Reported Social-Emotional Skills Just Noise? The Predictive Power of Longitudinal Differences in Self-Reports</t>
  </si>
  <si>
    <t xml:space="preserve">Kanopka, K., Claro, S., Loeb, S., West, M. &amp; Frickeet, H. </t>
  </si>
  <si>
    <t>AERA Open</t>
  </si>
  <si>
    <t>2332-8584</t>
  </si>
  <si>
    <t>10.1177/23328584241233277</t>
  </si>
  <si>
    <t>From a very early age, children receive the message that mathematics is not for everyone: this must change [Desde muy temprano, los niños y niñas reciben el mensaje que dice que las matemáticas no son para todos: esto debe cambiar]</t>
  </si>
  <si>
    <t xml:space="preserve">del Río, M. F., Strasser, K., &amp; Susperreguy, M. I. </t>
  </si>
  <si>
    <t>URL: https://mileniomemat.cl/desde-muy-temprano-los-ninos-y-ninas-reciben-el-mensaje-que-dice-que-las-matematicas-no-son-para-todos-esto-debe-cambiar/</t>
  </si>
  <si>
    <t>Students With Growth Mindset Learn More in School: Evidence From California’s CORE School Districts</t>
  </si>
  <si>
    <t xml:space="preserve">Claro, S., &amp; Loeb, S. </t>
  </si>
  <si>
    <t>Educational Researcher</t>
  </si>
  <si>
    <t>1935-102X</t>
  </si>
  <si>
    <t>10.3102/0013189X241242393</t>
  </si>
  <si>
    <t>Inequalities in Learning Loss during the COVID-19 Pandemic in Chile: The Significance of School Effectiveness</t>
  </si>
  <si>
    <t>Valenzuela, JP., Kuzmanic, D., Rodriguez, P., Meneses, F., &amp; Claro, S.</t>
  </si>
  <si>
    <t>School Effectiveness and School Improvement</t>
  </si>
  <si>
    <t>10.1080/09243453.2024.2328016</t>
  </si>
  <si>
    <t>Simce with those missing: proposal for Simce score reporting that includes the population with no information [Simce con los que faltan: propuesta de reporte de puntajes Simce que incluya a la población sin información]</t>
  </si>
  <si>
    <t>Claro, S., Ramírez, F., Escobar, E. y Rodríguez, P.</t>
  </si>
  <si>
    <t>Temas de la Agenda Pública</t>
  </si>
  <si>
    <t>URL: https://politicaspublicas.uc.cl/publicacion/simce-con-los-que-faltan-propuesta-de-reporte-de-puntajes-simce-que-incluya-a-la-poblacion-sin-informacion/</t>
  </si>
  <si>
    <t>Socioeconomic gaps in specific mathematical skills at different ages in primary school</t>
  </si>
  <si>
    <t xml:space="preserve">Ayala, M. C., Strasser, K., Susperreguy, M. I., &amp; Castillo, K. </t>
  </si>
  <si>
    <t>Journal of Educational Psychology</t>
  </si>
  <si>
    <t>762–784</t>
  </si>
  <si>
    <t>0022-0663</t>
  </si>
  <si>
    <t>10.1037/edu0000892</t>
  </si>
  <si>
    <t>Discussions and argumentation in science teaching: Teaching practices and challenges [Discusiones y argumentación en la enseñanza de las ciencias: Prácticas y desafíos docentes]</t>
  </si>
  <si>
    <t xml:space="preserve">Gómez Zaccarelli, F., Candido Vendrasco, N., &amp; Arriagada Jofré, V. </t>
  </si>
  <si>
    <t xml:space="preserve">Enseñanzas de las ciencias </t>
  </si>
  <si>
    <t>25–43</t>
  </si>
  <si>
    <t>10.5565/rev/ensciencias.5958</t>
  </si>
  <si>
    <t>Successfully preparing future mathematics teachers for digital technology integration: a literature review</t>
  </si>
  <si>
    <t>Dockendorff, M., &amp; Gomez Zaccarelli, F.</t>
  </si>
  <si>
    <t>International Journal of Mathematical Education in Science and Technology</t>
  </si>
  <si>
    <t>1–32</t>
  </si>
  <si>
    <t>10.1080/0020739X.2024.2309273</t>
  </si>
  <si>
    <t>Playfulness and the quality of classroom interactions in preschool</t>
  </si>
  <si>
    <t xml:space="preserve">Strasser, K; Balladares, J; Grau, V;  Marín, A; Preiss, D; Jadue, D. </t>
  </si>
  <si>
    <t>Learning and Instruction</t>
  </si>
  <si>
    <t>0959-4752</t>
  </si>
  <si>
    <t>10.1016/j.learninstruc.2024.101941</t>
  </si>
  <si>
    <t>Children’s explanations in at-risk zones: fostering hope through science education in Quintero-Puchuncaví Bay.</t>
  </si>
  <si>
    <t>Cabello, V. M.</t>
  </si>
  <si>
    <t>Pedagogies: An International Journal</t>
  </si>
  <si>
    <t>1–27</t>
  </si>
  <si>
    <t>10.1080/1554480X.2024.2397537</t>
  </si>
  <si>
    <t>Effects of Sex, Gender Stereotypes and Gender Identity in Male and Female Students’ Reading Motivation</t>
  </si>
  <si>
    <t>Espinoza, A. M., Strasser, K., &amp; Carvacho, H.</t>
  </si>
  <si>
    <t>10.7764/psykhe.2023.58757</t>
  </si>
  <si>
    <t>Training future kindergarten educators to teach mathematics with equity [La formación de futuras educadoras de párvulos para enseñar matemáticas con equidad]</t>
  </si>
  <si>
    <t>Cornejo Morales, C., Soto Sarmiento, M., &amp; Gómez, D. M.</t>
  </si>
  <si>
    <t>URL:https://mileniomemat.cl/la-formacion-de-futuras-educadoras-de-parvulos-para-ensenar-matematicas-con-equidad/</t>
  </si>
  <si>
    <t>Explicitly teaching vocabulary may promote mathematics learning [Enseñar vocabulario en forma explícita podría promover el aprendizaje de las matemáticas]</t>
  </si>
  <si>
    <t>Strasser, K</t>
  </si>
  <si>
    <t>URL: https://mileniomemat.cl/ensenar-vocabulario-en-forma-explicita-podria-promover-el-aprendizaje-de-las-matematicas/</t>
  </si>
  <si>
    <t>Math anxiety in kindergarten already associated with math learning [Ansiedad matemática en kínder ya se asocia al aprendizaje matemático]</t>
  </si>
  <si>
    <t>del Río, M. F., Susperreguy, M. I., Morales, M. F., Peake, C., &amp; Angulo, M.</t>
  </si>
  <si>
    <t>URL:https://mileniomemat.cl/ansiedad-matematica-en-kinder-ya-se-asocia-al-aprendizaje-matematico/</t>
  </si>
  <si>
    <t>The influence of parent’s expectations and children’s early skills on children’s future STEM career prospects</t>
  </si>
  <si>
    <t>Morales, M. F., del Río F., Espinoza, A. M.</t>
  </si>
  <si>
    <t>Revista Latinoamerica de Psicología</t>
  </si>
  <si>
    <t>0120-0534</t>
  </si>
  <si>
    <t>10.14349/rlp.2024.v56.19</t>
  </si>
  <si>
    <t>Disciplinary vocabulary and mastery of educational objectives in first-grade</t>
  </si>
  <si>
    <t xml:space="preserve">Strasser, K., Meneses, A., Iturra, A., &amp; Marín, A. </t>
  </si>
  <si>
    <t>10.1016/j.learninstruc.2024.102000</t>
  </si>
  <si>
    <t>Enriching cross-sectoral collaboration to foster inclusive cultures in schools: A model to address the needs of diverse Chilean students</t>
  </si>
  <si>
    <t>Vidal, V., Mendive, S., Gómez, F., Pozo, F., Narea, M., Wachholtz, D., &amp; Melo, C.</t>
  </si>
  <si>
    <t>10.3389/fpsyg.2024.1356642</t>
  </si>
  <si>
    <t>Motivation and Mathematical Performance Using Digital Game-Based Learning in Kindergarten</t>
  </si>
  <si>
    <t xml:space="preserve">Varas-Pavez, A., Sepúlveda, F., Balladares, J. &amp; Peake, C. </t>
  </si>
  <si>
    <t>Computers in the Schools</t>
  </si>
  <si>
    <t>10.1080/07380569.2024.2390404</t>
  </si>
  <si>
    <t>From design to implementation: How to advance educational inclusion? [Desde el diseño a la implementación: ¿Cómo avanzar en la inclusión educativa?]</t>
  </si>
  <si>
    <t xml:space="preserve">Mendive, S., Pozo-Tapia, F., &amp; Gómez, F. </t>
  </si>
  <si>
    <t xml:space="preserve">Propuestas para Chile 2023 </t>
  </si>
  <si>
    <t>URL: https://politicaspublicas.uc.cl/web/content/uploads/2024/04/PROPUESTAS-PARA-CHILE-2023.pdf</t>
  </si>
  <si>
    <t>Conducting parenting research in Chile: Challenges and opportunities</t>
  </si>
  <si>
    <t>Susperreguy, M. I., Aldoney, D., &amp; Narea, M.</t>
  </si>
  <si>
    <t xml:space="preserve"> 0012-1649</t>
  </si>
  <si>
    <t>10.1037/ dev0001873</t>
  </si>
  <si>
    <t>Critical vocabulary for remedial and accelerated learning in science and mathematics in 2nd and 3rd grade [Vocabulario crítico para recuperación y aceleración de aprendizajes en ciencias y matemáticas en 2° y 3° básico]</t>
  </si>
  <si>
    <t>Strasser, K. &amp; Zamora, R.</t>
  </si>
  <si>
    <t>Revista Calidad en la Educación</t>
  </si>
  <si>
    <t>10.31619/caledu.n60.1459</t>
  </si>
  <si>
    <t>Characterization of physics teacher trainees' explanations of modeling skills [Caracterización de explicaciones del profesorado de física en formación respecto a las competencias modelizadoras]</t>
  </si>
  <si>
    <t>Soto, M., Vergara, C., y Valenzuela, J.</t>
  </si>
  <si>
    <t>Revista Eureka sobre Enseñanza y Divulgación de las Ciencias</t>
  </si>
  <si>
    <t>1697-011X</t>
  </si>
  <si>
    <t>10.25267/Rev_Eureka_ensen_divulg_cienc.2024.v21.i3.3601</t>
  </si>
  <si>
    <t>Teachers’ Scientific Explanation Practices: Opportunities for Equity</t>
  </si>
  <si>
    <t>Cabello, V.M. and Geelan, D.</t>
  </si>
  <si>
    <t>Emerald Publishing Limited</t>
  </si>
  <si>
    <t>10.1108/S1479-363620240000024009</t>
  </si>
  <si>
    <t>Núcleo Milenio para la Ciencia del Aprendizaje</t>
  </si>
  <si>
    <t>Reading Spanish Prosody: The Role of Word Reading and Syntactic Knowledge</t>
  </si>
  <si>
    <t>Rodriquez, C., Gutiérrez, N., Seoane, R. C., González, D., &amp; de León, S. C.</t>
  </si>
  <si>
    <t>Journal of Literacy Research</t>
  </si>
  <si>
    <t>1086-296X</t>
  </si>
  <si>
    <t>10.1177/1086296X2412447</t>
  </si>
  <si>
    <t>Prácticas docentes vinculadas al desarrollo de Comunidades Profesionales de Aprendizaje</t>
  </si>
  <si>
    <t>Sepúlveda,F. &amp; Aparicio-Molina, C.</t>
  </si>
  <si>
    <t>Revista Colombiana de Educación</t>
  </si>
  <si>
    <t>0120-3916</t>
  </si>
  <si>
    <t>10.17227/rce.num91-16959</t>
  </si>
  <si>
    <t>Editorial: Educational neuroscience: key processes and approaches to measurement</t>
  </si>
  <si>
    <t>Gordon, R., Ferreira, R. A., Rodríguez, C. &amp; Tolmie, A.</t>
  </si>
  <si>
    <t>10.3389/fpsyg.2023.1342147</t>
  </si>
  <si>
    <t>The Impact of Oral Language and Transcription Skills on Early Writing Production in Kindergarteners: Productivity and Quality</t>
  </si>
  <si>
    <t>Rodríguez, C., Jiménez, J.E. &amp; Balade, J.</t>
  </si>
  <si>
    <t xml:space="preserve">Early Childhood Education Journal </t>
  </si>
  <si>
    <t>1082-3301</t>
  </si>
  <si>
    <t>10.1007/s10643-024-01670-4</t>
  </si>
  <si>
    <t>Emotional valence promotes free recall of foreign language words after video exposure</t>
  </si>
  <si>
    <t>Arriagada-Mödinger, F. &amp; Ferreira, R. A.</t>
  </si>
  <si>
    <t>International Journal of Applied Linguistics</t>
  </si>
  <si>
    <t>0802-6106</t>
  </si>
  <si>
    <t>10.1111/ijal.12592</t>
  </si>
  <si>
    <t>Estrés Cotidiano, Funciones Ejecutivas y Rendimiento Académico en Escolares de Primaria</t>
  </si>
  <si>
    <t>Armstrong-Gallegos, S. &amp; Troncoso-Díaz, L.</t>
  </si>
  <si>
    <t xml:space="preserve"> Revista Ecuatoriana de Neurología</t>
  </si>
  <si>
    <t>1019-8113</t>
  </si>
  <si>
    <t>10.46997/revecuatneurol33100030</t>
  </si>
  <si>
    <t>The influence of cross-language similarity and transparency on idiom knowledge in non-immersed L2 speakers.</t>
  </si>
  <si>
    <t>Soto-Sierra, V. &amp; Ferreira, R. A.</t>
  </si>
  <si>
    <t>System</t>
  </si>
  <si>
    <t>0346-251X</t>
  </si>
  <si>
    <t>10.1016/j.system.2024.103287</t>
  </si>
  <si>
    <t xml:space="preserve">Propiedades psicométricas de la Escala Factores que influyen en la elección de carreras de Educación Fit-Choice en estudiantes de Pedagogía chilenos. </t>
  </si>
  <si>
    <t>González-Sanzana, Álvaro ., Valenzuela-Carreño, J., Cáceres-Serrano, P., &amp; Valdenegro-Fuentes, L.</t>
  </si>
  <si>
    <t>Electronic Journal of Research in Educational Psychology</t>
  </si>
  <si>
    <t>1696-2095</t>
  </si>
  <si>
    <t>10.25115/ejrep.v22i62.9100</t>
  </si>
  <si>
    <t>Learning-oriented motivation: Examining the impact of teaching practices with motivational potential</t>
  </si>
  <si>
    <t>Valenzuela, J., Miranda-Ossandon, J., Muñoz, C., Precht, A., Del Valle, M. &amp; Vergaño-Salazar, J.</t>
  </si>
  <si>
    <t>10.1371/journal.pone.0297877</t>
  </si>
  <si>
    <t>Modeling learning-oriented motivation in health students: a system dynamics approach</t>
  </si>
  <si>
    <t>Vergaño-Salazar, J.G., Del Valle, M., Muñoz, C., Miranda, J.,  Precht, A. &amp; Valenzuela, J.</t>
  </si>
  <si>
    <t>BMC Psychology</t>
  </si>
  <si>
    <t>2050-7283</t>
  </si>
  <si>
    <t>10.1186/s40359-024-02014-y</t>
  </si>
  <si>
    <t xml:space="preserve">Motivation and Mathematical Performance Using Digital Game-Based Learning in Kindergarten. </t>
  </si>
  <si>
    <t>Varas-Pavez, A., Sepúlveda, F., Balladares, J., &amp; Peake, C.</t>
  </si>
  <si>
    <t xml:space="preserve"> 0738-0569</t>
  </si>
  <si>
    <t>Curriculum-based Measurement for Early Writing Struggles in Kindergarten: A Systematic Review</t>
  </si>
  <si>
    <t xml:space="preserve">Balade, J., Rodríguez, C., and Jiménez, J. E. </t>
  </si>
  <si>
    <t>Psicología Educativa</t>
  </si>
  <si>
    <t xml:space="preserve"> 1133-0740</t>
  </si>
  <si>
    <t>10.5093/psed2024a11</t>
  </si>
  <si>
    <t>Substantial parallel mediation contribution by cognitive domains in the relationship between adolescents’ physical fitness and academic achievements: the Cogni-Action Project</t>
  </si>
  <si>
    <t xml:space="preserve">Cristi-Montero, C., Martínez-Flores, R., Espinoza-Puelles, J. P., Doherty, A., Zavala-Crichton, J. P., Aguilar-Farias, N., Reyes-Amigo, T., Salvatierra-Calderon, V., Ibáñez, R., &amp; Sadarangani, K. P. </t>
  </si>
  <si>
    <t>10.3389/fpsyg.2024.1355434</t>
  </si>
  <si>
    <t>The ethical character of scientific research: the view of future doctors in education</t>
  </si>
  <si>
    <t>González-Acuña, J., Valenzuela, J., Muñoz, C. &amp; Precht, A.</t>
  </si>
  <si>
    <t>Veritas</t>
  </si>
  <si>
    <t>0718-9273</t>
  </si>
  <si>
    <t xml:space="preserve">10.4067/S0718-92732024000100037 </t>
  </si>
  <si>
    <t>Patrones de procesamiento sensorial de adultos con dificultades de aprendizaje autorreferidas</t>
  </si>
  <si>
    <t>Armstrong-Gallegos, S. &amp; Sandoval Muñoz, M.</t>
  </si>
  <si>
    <t>Revista Costarricense de Psicología</t>
  </si>
  <si>
    <t>0257-1439</t>
  </si>
  <si>
    <t>10.22544/rcps.v42i02.04</t>
  </si>
  <si>
    <t>Formación de expectativas docentes: rendimiento previo del estudiante y características del profesor como factores explicativos</t>
  </si>
  <si>
    <t>Barriga, C. A., Rodríguez, C., Ferreira, R. A., y Cárdenas-Mancilla, M. H.</t>
  </si>
  <si>
    <t>Revista Española de Pedagogía</t>
  </si>
  <si>
    <t>0034-9461</t>
  </si>
  <si>
    <t>10.22550/2174-0909.4042</t>
  </si>
  <si>
    <t>Diferencias de género en el rendimiento lector de preescolares que asisten a escuelas vulnerables</t>
  </si>
  <si>
    <t xml:space="preserve">Barriga, Carmen A., &amp; Sepúlveda, Felipe. </t>
  </si>
  <si>
    <t>Páginas de Educación</t>
  </si>
  <si>
    <t>1688-7468</t>
  </si>
  <si>
    <t>10.22235/pe.v17i1.3558</t>
  </si>
  <si>
    <t>Determinants of Academic Help-Seeking Willingness Among Chilean University Students: A Structural Model Analysis</t>
  </si>
  <si>
    <t>Valenzuela, J., Muñoz, C., Miranda-Ossandón, J., &amp; González- Sanzana, Álvaro .</t>
  </si>
  <si>
    <t>Multidisciplinary Journal of Educational Research</t>
  </si>
  <si>
    <t>2014-2862</t>
  </si>
  <si>
    <t>10.17583/remie.13449</t>
  </si>
  <si>
    <t>Motivational profiles for choosing special education teaching as a career</t>
  </si>
  <si>
    <t>Valdenegro-Fuentes, L. &amp; González-Sanzana, A.</t>
  </si>
  <si>
    <t>South African Journal of Education</t>
  </si>
  <si>
    <t xml:space="preserve"> 2076-3433</t>
  </si>
  <si>
    <t>10.15700/saje.v44n4a2417</t>
  </si>
  <si>
    <t>Factores que influyen en la elección de la carrera de educación como predictores de la Identidad Docente en futuros profesores de Educación Especial</t>
  </si>
  <si>
    <t>Valdenegro Fuentes, L., &amp; González Sanzana, Á.</t>
  </si>
  <si>
    <t>Revista Interuniversitaria De Formación Del Profesorado</t>
  </si>
  <si>
    <t>38.1</t>
  </si>
  <si>
    <t>2530-3791</t>
  </si>
  <si>
    <t>10.47553/rifop.v99i38.1.95275</t>
  </si>
  <si>
    <t>Construcción y validación de una medida observacional de aula para evaluar el ambiente motivador de la literacidad</t>
  </si>
  <si>
    <t>Muñoz, C., Frez-Aróstica, N., Valenzuela, J.,&amp; B-Souza, S.</t>
  </si>
  <si>
    <t>Logos: Revista de Lingüística, Filosofía y Literatura</t>
  </si>
  <si>
    <t>0719-3262</t>
  </si>
  <si>
    <t>10.15443/RL3432</t>
  </si>
  <si>
    <t>Núcleo Milenio para la Ecología y la Conservación de los ecosistemas de arrecifes Mesofóticos Templados</t>
  </si>
  <si>
    <t>Biodiversidad marina y terrestre de la Región de Atacama</t>
  </si>
  <si>
    <t>Squeo Porcile, Francisco A. (Editor Literario) Arcos Rojas, Dagoberto Fernando (Editor Literario) Vargas Parra, Freddy (Editor Literario) Catalán Garrido, Ricardo (Editor Literario)</t>
  </si>
  <si>
    <t>Corporación Instituto de Ecología y Biodiversidad</t>
  </si>
  <si>
    <t>https://libroverde.org/producto/biodiversidad-marina-y-terrestre-de-la-region-de-atacama/?srsltid=AfmBOopkM-7MuNsfBSSWhGBN-yjbPTqY7X8tZL1zTW09XSglaJ01g_25</t>
  </si>
  <si>
    <t>The natural diet of Prolatilus jugularis inhabiting Lessonia trabeculata kelp forests of south-central Chile</t>
  </si>
  <si>
    <t>Simon Gartenstein, Eliseo Fica-Rojas, Alejandro Pérez-Matus, Natalio Godoy, Felipe Torres-Cañete, Nelson Valdivia</t>
  </si>
  <si>
    <t>Latin american journal of aquatic research</t>
  </si>
  <si>
    <t>10.3856/vol52-issue4-fulltext-3042</t>
  </si>
  <si>
    <t>Using expert knowledge to propose recreational marine reef‐fish management measures in Chile</t>
  </si>
  <si>
    <t>Rodrigo A Estévez, Natalio Godoy, Miguel Araya, Cristian Azocar, Christian de la Barra, Francisca Bardi, Francisco Fernández‐Urzúa, Marcelo García, Luciano Hiriart‐Bertrand, Serena Lomonico, Marianela Medina, Javier Naretto, F Patricio Ojeda, Germán Pequeño, Francisco Ponce, José Pulgar, Alejandro Pérez‐Matus, Javier Rivera, Andrés Smith, Jorge Toro Da Ponte, Felipe Torres‐Cañete, Julio A Vásquez, Stefan Gelcich</t>
  </si>
  <si>
    <t>2578-4854</t>
  </si>
  <si>
    <t>Limited effects of management and ecological subsidies on the size-spectra of kelp forest fish communities</t>
  </si>
  <si>
    <t>Simon Gartenstein, Alejandro Pérez-Matus, Freddie J Heather, Natalio Godoy, Felipe Torres-Cañete, Alexis M Catalán, Nelson Valdivia</t>
  </si>
  <si>
    <t xml:space="preserve">Marine Ecology Progress Series </t>
  </si>
  <si>
    <t>1616-1599</t>
  </si>
  <si>
    <t>10.3354/meps14528</t>
  </si>
  <si>
    <t>Phylogenomics reveals coincident divergence between giant host sea anemones and the clownfish adaptive radiation</t>
  </si>
  <si>
    <t>Aurelien De Jode, Andrea M. Quattrini, Tommaso Chiodo, Marymegan Daly, Catherine S. McFadden, Michael L. Berumen, Christopher P. Meyer, Suzanne Mills, Ricardo Beldade, Aaron Bartholomew, Anna Scott, James D Reimer, Kensuke Yanagi, Takuma Fuji, Estefanía Rodríguez, Benjamin M. Titus</t>
  </si>
  <si>
    <t>10.1101/2024.01.24.576469</t>
  </si>
  <si>
    <t>Artificial Light Increases Nighttime Prevalence of Predatory Fishes, Altering Community Composition on Coral Reefs</t>
  </si>
  <si>
    <t>Emma Weschke, Jules Schligler, Isla Hely, Thibaut Roost, Jo-Ann Schies, Ben Williams, Bartosz Dworzanski, Suzanne C. Mills, Ricardo Beldade, Stephen D. Simpson, Andrew N. Radford</t>
  </si>
  <si>
    <t xml:space="preserve">Global Change Biology </t>
  </si>
  <si>
    <t>e70002</t>
  </si>
  <si>
    <t>10.1111/gcb.70002</t>
  </si>
  <si>
    <t>Host genetic diversity and body condition influence parasite resistance and clearance in a wild marine mammal population</t>
  </si>
  <si>
    <t>Josefina Gutiérrez, Mauricio Seguel, Pablo Saenz-Agudelo, Gerardo Acosta-Jamett and Claudio Verdugo</t>
  </si>
  <si>
    <t>Biology Letters</t>
  </si>
  <si>
    <t>1744-9561</t>
  </si>
  <si>
    <t>10.1098/rsbl.2024.0302</t>
  </si>
  <si>
    <t>Exploring evolutionary mechanisms of genomic divergence in Scurria limpets</t>
  </si>
  <si>
    <t>Paulina Carimán Soto, Marie-Laure Guillemin, Emily Giles, Gabriela Narváez, Ana Suescún, Pablo Saenz-Agudelo</t>
  </si>
  <si>
    <t>Research Square (Under review in Heredity)</t>
  </si>
  <si>
    <t>10.21203/rs.3.rs-4682442/v1</t>
  </si>
  <si>
    <t>Spatiotemporal variability in the structure and diversity of understory faunal assemblages associated with the kelp Eisenia cokeri (Laminariales) in Peru</t>
  </si>
  <si>
    <t xml:space="preserve">Roberto A. Uribe, Dan A. Smale, Robinson Morales, Solange Aleman, Dennis Atoche-Suclupe, Michael T. Burrows, Hannah S. Earp, Juan Diego Hinostroza, Nathan G. King, Angel Perea, Alejandro Pérez-Matus, Kathryn Smith &amp; Pippa J. Moore </t>
  </si>
  <si>
    <t xml:space="preserve">Marine Biology </t>
  </si>
  <si>
    <t>10.1007/s00227-023-04334-w</t>
  </si>
  <si>
    <t>Assessing the Efficiency of the Marine Protected Area Systems in the Southeastern Pacific</t>
  </si>
  <si>
    <t xml:space="preserve">Mauro G. Zucconi, Felipe Opazo, Sergio A. Navarrete </t>
  </si>
  <si>
    <t>Aquatic Conservation: Marine and Freshwater Ecosystems</t>
  </si>
  <si>
    <t>1052-7613</t>
  </si>
  <si>
    <t>10.1002/aqc.70032</t>
  </si>
  <si>
    <t>2024-12-27 00:00:00.000</t>
  </si>
  <si>
    <t>Mareas verdes en la bahía de Algarrobo: Conocimiento ecológico y oceanográfico para informar sobre sus causas y potenciales medidas de mitigación.</t>
  </si>
  <si>
    <t xml:space="preserve">Sergio A. Navarrete, Carolina Martínez, Walter Troncoso, Fabián J. Tapia </t>
  </si>
  <si>
    <t xml:space="preserve">Sergio A. Navarrete </t>
  </si>
  <si>
    <t>978-956-420-310-2</t>
  </si>
  <si>
    <t>https://www.researchgate.net/publication/388359694_MAREAS_VERDES_EN_LA_BAHIA_DE_ALGARROBO_31_dec_2024</t>
  </si>
  <si>
    <t>Environmental change mediates plasticity in offspring traits through maternal effects in a coral reef fish</t>
  </si>
  <si>
    <t>Daphne Cortese, Clara Diaz, Ricardo Beldade, Shaun S. Killen, Zoe Scholz, Suzanne C. Mills</t>
  </si>
  <si>
    <t xml:space="preserve">Science of The Total Environment </t>
  </si>
  <si>
    <t>10.1016/j.scitotenv.2024.177630</t>
  </si>
  <si>
    <t>Escape behavior of rocky‐reef fish reveals the impact of spearfishing across different management regimes</t>
  </si>
  <si>
    <t>Francisco J Contreras‐Drey, Natalio Godoy, Andrés Smith, Enrico L Rezende, Alejandro Pérez‐Matus, Rodrigo A Estevez, Ricardo Beldade, F Patricio Ojeda, Stefan Gelcich</t>
  </si>
  <si>
    <t>Morphology and diet are decoupled in nearshore notothenoids from King George Island, West Antarctica</t>
  </si>
  <si>
    <t>Mauricio F. Landaeta, Matías Pareja, Mathias Hüne, Lisette Zenteno-Devaud, Javier Vera-Duarte, Valentina Bernal-Durán, Manuel I. Castillo, Mario La Mesa</t>
  </si>
  <si>
    <t>10.1111/jfb.15632</t>
  </si>
  <si>
    <t>Valentina Bernal-Durán, David Donoso, Andrea Piñones, Per R. Jonsson, Laura Benestan, Mauricio F. Landaeta, Javier Naretto, Karin Gerard, Pilar A. Haye, Claudio Gonzalez-Wevar, Elie Poulin, Nicolás I. Segovia</t>
  </si>
  <si>
    <t>Lanternfish larvae (Teleostei: Myctophidae) feeding ecology in the continental slope and off oceanic islands in the tropical Atlantic</t>
  </si>
  <si>
    <t>Jana Ribeiro de Santana, Alejandro Esteweson Santos Faustino da Costa, Mauricio F Landaeta, Paulo de Oliveira Mafalda Jr., Silvia Helena Lima Schwamborn, Sigrid Neumann-Leitão, Ralf Schwamborn</t>
  </si>
  <si>
    <t>Journal of Plankton Research</t>
  </si>
  <si>
    <t xml:space="preserve"> 0142-7873</t>
  </si>
  <si>
    <t>10.1093/plankt/fbae025</t>
  </si>
  <si>
    <t>Spatio-temporal variations in the mesozooplankton assemblages off Clarence Island, Magellan Strait, Chile</t>
  </si>
  <si>
    <t xml:space="preserve">Mauricio F. Landaeta, Kharla Skamiotis, Pamela Lara, Francisco Olivera </t>
  </si>
  <si>
    <t xml:space="preserve"> 2352-4855</t>
  </si>
  <si>
    <t>10.1016/j.rsma.2024.103507</t>
  </si>
  <si>
    <t>Osteological development of the surf silverside (Notocheirus hubbsi) (Teleostei: Atheriniformes: Notocheiridae)</t>
  </si>
  <si>
    <t>Brian S. Dyer, Francisca Zavala-Muñoz, Valentina Bernal-Durán, Mauricio F. Landaeta</t>
  </si>
  <si>
    <t>NOAA Professional Paper NMFS</t>
  </si>
  <si>
    <t>1931-4590</t>
  </si>
  <si>
    <t>10.7755/PP.24.5</t>
  </si>
  <si>
    <t>Morphospace of lanternfish larvae and their interplay with oceanographic conditions from the southeastern Pacific Ocean</t>
  </si>
  <si>
    <t>Fernanda S Orrego, Hugo A Benítez, Manuel I Castillo, Nicolás Cumplido, Alejandra Fabres, Yanara Figueroa-González, Claudia Morales, Francisca Zavala-Muñoz, Mauricio F Landaeta</t>
  </si>
  <si>
    <t>Deep Sea Research Part I: Oceanographic Research Papers</t>
  </si>
  <si>
    <t xml:space="preserve"> 0967-0637</t>
  </si>
  <si>
    <t>10.1016/j.dsr.2024.104413</t>
  </si>
  <si>
    <t>Erika López‐Soto, Gillian Ord, Manuel I Castillo, Guido Plaza, Mario A Cáceres, María Teresa González, Maritza Sepúlveda, Alicia I Guerrero, Andrea Piñones, Mauricio F Landaeta</t>
  </si>
  <si>
    <t xml:space="preserve"> 1054-6006</t>
  </si>
  <si>
    <t>Exploring the consequences of kelp removal: a review shows  we are missing a broader perspective</t>
  </si>
  <si>
    <t>Daniela M. Carranza, Evie A. Wieters, Julio A. Vásquez, Wolfgang B. Stotz</t>
  </si>
  <si>
    <t xml:space="preserve"> 0960-3115</t>
  </si>
  <si>
    <t>10.1007/s10531-023-02769-7</t>
  </si>
  <si>
    <t>Modeling time-varying phytoplankton subsidy reveals at-risk species in a Chilean intertidal ecosystem</t>
  </si>
  <si>
    <t xml:space="preserve">Casey Duckwall, John L. Largier, Evie A. Wieters, Fernanda S. Valdovinos </t>
  </si>
  <si>
    <t xml:space="preserve"> 2045-2322</t>
  </si>
  <si>
    <t>10.1038/s41598-024-57108-9</t>
  </si>
  <si>
    <t>Pardal, André, Jenkins, Stuart R., Navarrete, Sergio A., Wangkulangkul, Kringpaka, Christofoletti, Ronaldo A.</t>
  </si>
  <si>
    <t>Springer, Cham</t>
  </si>
  <si>
    <t>Brazilian Rocky Shores, Brazilian Marine Biodiversity (BMB)</t>
  </si>
  <si>
    <t>Tree cavity density is a limiting factor for a secondary cavity nester in second-growth Andean temperate rainforests</t>
  </si>
  <si>
    <t>Altamirano, T. A., F. Novoa, J. T. Ibarra, S. A. Navarrete, C. Bonacic, K. Martin</t>
  </si>
  <si>
    <t>Ornithological Applications</t>
  </si>
  <si>
    <t xml:space="preserve"> 0010-5422</t>
  </si>
  <si>
    <t>10.1093/ornithapp/duae031</t>
  </si>
  <si>
    <t>Lucas de la Maza, Evie A Wieters, Ricardo Beldade, Mauricio F Landaeta, Alejandro Perez-Matus, Sergio A Navarrete</t>
  </si>
  <si>
    <t>Emergent spatial patterns indicate upcoming regime shifts in a realistic model of coral community</t>
  </si>
  <si>
    <t>Génin, Alexandre, Navarrete, Sergio A., Garcia-Mayor, Angeles, Wieters, Evie A.</t>
  </si>
  <si>
    <t>Fast shape changes prior to settlement for a temperate cryptobenthic fish: an approach using geometric morphometrics and otolith</t>
  </si>
  <si>
    <t>Frances Páez‑Collao, Yanara Figueroa‑González, Guido Plaza, Hugo A. Benítez, Mauricio F. Landaeta</t>
  </si>
  <si>
    <t>0018-8158</t>
  </si>
  <si>
    <t>Temperate rocky reef fish community patterns in a coastal marine protected area (MPA) from northern Chile, utilizing remote underwater video cameras (RUVs)</t>
  </si>
  <si>
    <t>Mateo Gres, Mathias Hüne, Simone Baldanzi, Alejandro Pérez-Matus, Mauricio F. Landaeta</t>
  </si>
  <si>
    <t>10.1016/j.rsma.2023.103305</t>
  </si>
  <si>
    <t>Mutizabal-Aros, Javiera, Ramírez, María Eliana, Haye, Pilar A., Meynard, Andrés, Pinilla-Rojas, Benjamín, Núñez, Alejandra, Latorre-Padilla, Nicolás, Search, Francesca V., Tapia,  Fabian J., Saldías, Gonzalo S., Navarrete, Sergio A., Contreras-Porcia, Loretto</t>
  </si>
  <si>
    <t>13(9)</t>
  </si>
  <si>
    <t>Otolith shape variability of labrid fish from Rapa Nui (Easter Island), southeastern Pacific</t>
  </si>
  <si>
    <t>Andrés Castro-García,  Erwan Delrieu-Trottin,  Pablo Saenz-Agudelo,  Cristian Rapu-Edmunds,  Guido Plaza,  Federico Márquez,  Mauricio F. Landaeta</t>
  </si>
  <si>
    <t xml:space="preserve"> 0165-7836</t>
  </si>
  <si>
    <t>10.1016/j.fishres.2024.107233</t>
  </si>
  <si>
    <t>Local adaptation of Dromiciops marsupials (Microbiotheriidae)from southern South America: Implications for speciesmanagement facing climate change</t>
  </si>
  <si>
    <t xml:space="preserve"> 2045-7758</t>
  </si>
  <si>
    <t>Peluso, Lívia, Faúndez, Juan, Navarrete, Sergio A., Broitman, Bernardo R., Aiken, Christopher M., Saenz-Agudelo, Pablo</t>
  </si>
  <si>
    <t>21942 (2024)</t>
  </si>
  <si>
    <t>Génin, Alexandre, Dupont, Guillaume, Valencia, Daniel, Zucconi, Mauro, Ávila-Thieme, M. Isidora, Navarrete, Sergio A., Wieters, Evie A.</t>
  </si>
  <si>
    <t>4 (2024)</t>
  </si>
  <si>
    <t>2804-3871</t>
  </si>
  <si>
    <t>Microbial community and network responses across strong environmental gradients: How do they compare to macroorganisms?</t>
  </si>
  <si>
    <t>Arboleda-Baena, Clara, Freilich, Mara, Pareja, Claudia Belén, Logares, Ramiro, De la Iglesia, Rodrigo, Navarrete, Sergio A.</t>
  </si>
  <si>
    <t xml:space="preserve"> 0168-6496</t>
  </si>
  <si>
    <t>Saenz-Agudelo, Pablo, Ramirez, Paula, Beldade, Ricardo, Campoy, Ana N., Garmendia, Vladimir, Search, Francesca V., Fernández, Miriam, Wieters, Evie A., Navarrete, Sergio A., Landaeta, Mauricio F., Pérez-Matus, Alejandro</t>
  </si>
  <si>
    <t>Núcleo Milenio para la Evaluación y Análisis de políticas de Drogas</t>
  </si>
  <si>
    <t>Longitudinal trajectories of substance use disorder treatment use: A latent class growth analysis using a national cohort in Chile</t>
  </si>
  <si>
    <t xml:space="preserve">Ignacio Bórquez, Magdalena Cerdá, Andrés González-Santa Cruz, Noa Krawczyk, Álvaro Castillo-Carniglia </t>
  </si>
  <si>
    <t>0965-2140</t>
  </si>
  <si>
    <t xml:space="preserve">10.1111/add.16412 </t>
  </si>
  <si>
    <t>The Epidemiology of Cannabis Use</t>
  </si>
  <si>
    <t xml:space="preserve">Alvaro Castillo-Carniglia, Diego Piñol-Arriagada </t>
  </si>
  <si>
    <t>The Sage Handbook of Addiction Psychology</t>
  </si>
  <si>
    <t>https://uk.sagepub.com/en-gb/eur/the-sage-handbook-of-addiction-psychology/book285547#contents</t>
  </si>
  <si>
    <t>Niños, niñas y adolescentes en situación de calle con consumo de drogas: una realidad que no queremos ver. Análisis del único programa de drogas para esta población en Chile</t>
  </si>
  <si>
    <t>Rodrigo Goycolea</t>
  </si>
  <si>
    <t>La infancia que nos robaron: La niñez en situación de calle</t>
  </si>
  <si>
    <t>https://drive.google.com/file/d/1kjkp1k_TYeZGwgqyDJ9IzKGS8y6eJrWL/view</t>
  </si>
  <si>
    <t>Substance use treatment completion and criminal justice system contact in Chile: A retrospective, linked data cohort study</t>
  </si>
  <si>
    <t>Mariel Mateo Pinones, Andrés González-Santa Cruz, Álvaro Castillo-Carniglia, Christine Bond, Jason Payne, Tara Renae McGee</t>
  </si>
  <si>
    <t>10.1111/add.16488</t>
  </si>
  <si>
    <t>Off-premises demand elasticities for pure alcohol in five Latin American countries: The case of Argentina, Chile, Costa Rica, Honduras, and Uruguay</t>
  </si>
  <si>
    <t xml:space="preserve">Guillermo Paraje, Daniel Araya, Maristela Monteiro </t>
  </si>
  <si>
    <t>10.1016/j.drugpo.2024.104316</t>
  </si>
  <si>
    <t>The role of academic performance, prosocial behaviour and friendships on adolescents' preferred studying partners: A longitudinal social network analysis</t>
  </si>
  <si>
    <t xml:space="preserve">Diego Palacios, Christian Berger, Bernardette Paula Luengo Kanacri, Mark Huisman, René Veenstra </t>
  </si>
  <si>
    <t>British Journal of Educational Psychology</t>
  </si>
  <si>
    <t>0007-0998</t>
  </si>
  <si>
    <t>10.1111/bjep.12675</t>
  </si>
  <si>
    <t>Looking beyond representation: Gender inequities in research attrition, output, leadership, and collaboration in Chilean education researchers’ career trajectories</t>
  </si>
  <si>
    <t xml:space="preserve">Lorena Ortega, Carolina Guzmán-Valenzuela, Matías Montero, Diego Palacios, Francisca Ruiz  </t>
  </si>
  <si>
    <t>Journal of Diversity in Higher Education</t>
  </si>
  <si>
    <t>1938-8926</t>
  </si>
  <si>
    <t>10.1037/dhe0000617</t>
  </si>
  <si>
    <t>Reductions in smoking due to ratification of the Framework Convention for Tobacco Control in 171 countries</t>
  </si>
  <si>
    <t>Guillermo Paraje, Mauricio Flores Muñoz, Daphne C. Wu, Prabhat Jha</t>
  </si>
  <si>
    <t>10.1038/s41591-024-02806-0</t>
  </si>
  <si>
    <t>Do Adolescents Adopt the Prosocial Behaviors of the Classmates they Like? A Social Network Analysis on Prosocial Contagion</t>
  </si>
  <si>
    <t>Daniela V. Chávez, Diego Palacios, Lydia Laninga-Wijnen, Christina Salmivalli, Claire F. Garandeau,  Christian Berger, Bernadette Paula Luengo Kanacri</t>
  </si>
  <si>
    <t>Journal of Youth and Adolescence</t>
  </si>
  <si>
    <t>10.1007/s10964-024-02037-z</t>
  </si>
  <si>
    <t>Adolescence depressive symptoms and Peer Dynamics: Distorted Perceptions in Liking and Disliking Networks</t>
  </si>
  <si>
    <t xml:space="preserve">Diego Palacios, Silvia Caldaroni, Christian Berger, Daniele Di Tata, Davide Barrera </t>
  </si>
  <si>
    <t>Behavioral Sciences</t>
  </si>
  <si>
    <t>2076-328X</t>
  </si>
  <si>
    <t>10.3390/bs14111110</t>
  </si>
  <si>
    <t>Alcohol policy changes during the first three-months of the COVID-19 pandemic: Development and application of a classification scheme</t>
  </si>
  <si>
    <t>Sebastián Peña, Claire Wilkinson, Giovanni Aresi, Liz Barrett, Sadie Boniface, Niamh Fitzgerald, Pablo Norambuena, Catherine Paradis, Francisca Román, Paula Sierralta</t>
  </si>
  <si>
    <t>10.1016/j.drugpo.2024.104373</t>
  </si>
  <si>
    <t xml:space="preserve">Juan Pablo Holguín-Carvajal, Tamara Otzen, Antonio Sanhueza, Álvaro Castillo, Carlos Manterola, Georgina Muñoz, Fernanda García-Aguilera, Fernanda Salgado-Castillo  </t>
  </si>
  <si>
    <t>Caracterización de hábitos saludables y actividad física en estudiantes adolescentes de Chile</t>
  </si>
  <si>
    <t>Jessica Ibarra Mora, Fernando Muñoz-Hinrichsen, Nicolás Aguilar-Farías, Tomás Reyes-Amigo, Marcelo Toledo-Vargas, Luis Felipe Castelli Correia de Campos, Francisca Román</t>
  </si>
  <si>
    <t>10.47197/retos.v63.109885</t>
  </si>
  <si>
    <t>Entre la tradición y el proyecto moderno: proyectos de vida de jóvenes rurales pewenche (en prensa)</t>
  </si>
  <si>
    <t>Amo, B., Román Mella, F., Garcés, G., Palet Correa, D. &amp; Zambrano, A.</t>
  </si>
  <si>
    <t>CUHSO</t>
  </si>
  <si>
    <t>0716-1557</t>
  </si>
  <si>
    <t>10.7770/CUHSO-V34N1-ART606</t>
  </si>
  <si>
    <t>2024-12-14 00:00:00.000</t>
  </si>
  <si>
    <t>Factores sociodemográficos-sanitarios sobre la decisión de interrupción del embarazo, Chile: un análisis de clases latentes</t>
  </si>
  <si>
    <t>María Angélica Saldías Fernández, Andrés González-Santa Cruz, Macarena Martínez Órdenes, Denisse Parra-Giordano</t>
  </si>
  <si>
    <t>10.1177/1757975924125747</t>
  </si>
  <si>
    <t>Núcleo Milenio para Mejorar la Salud Mental de Adolescentes y Jóvenes</t>
  </si>
  <si>
    <t>Explorando el estigma hacia las personas con esquizofrenia en los medios de comunicación y sus discursos privados</t>
  </si>
  <si>
    <t>Emmanuel Méndez, Alicia Figueroa-Barra, Cristina Martínez, Eduardo Durán</t>
  </si>
  <si>
    <t>Revista Colombiana de Psiquiatría</t>
  </si>
  <si>
    <t>0034-7450</t>
  </si>
  <si>
    <t>10.1016/j.rcp.2022.08.003</t>
  </si>
  <si>
    <t>Digital policy trends: regulations, interventions, and policy solutions</t>
  </si>
  <si>
    <t xml:space="preserve">Teki Akuetteh, Lionel Brossi, Emma Day, Rys Farthing, Josh Golin, Brian O’Neill </t>
  </si>
  <si>
    <t>Springer Cham</t>
  </si>
  <si>
    <t>978-3-031-69361-8</t>
  </si>
  <si>
    <t>10.1007/978-3-031-69362-5_64</t>
  </si>
  <si>
    <t>Impulsivity and compulsivity dimensions in the prediction of substance use and depressive symptoms among emerging adults</t>
  </si>
  <si>
    <t xml:space="preserve">Alvaro Vergés, Tomás Arriaza, Marcela Soto, María Elena Alvarado </t>
  </si>
  <si>
    <t>International Journal of Mental Health and Addiction</t>
  </si>
  <si>
    <t>1557-1874</t>
  </si>
  <si>
    <t>10.1007/s11469-024-01277-1</t>
  </si>
  <si>
    <t>Lifetime prevalence of psychotic-like experiences and associated factors in Chile</t>
  </si>
  <si>
    <t xml:space="preserve">Gabriel A. González-Medina, Sebastián A. Corral, Rolando I. Castillo-Passi, Matías Irarrazaval, Alejandro J. Maturana-Hurtado, Pablo A. Gaspar </t>
  </si>
  <si>
    <t>Characterization of psychopathology in Latin American adolescents using a web-based screening tool: cross-sectional study</t>
  </si>
  <si>
    <t>Susana Campos, Daniel Núñez, J. Carola Pérez,  Jo Robinson</t>
  </si>
  <si>
    <t>2561-326X</t>
  </si>
  <si>
    <t>¿Cómo se está estudiando la co-ocurrencia entre trastorno del espectro autista y disforia de género en la población adolescente?</t>
  </si>
  <si>
    <t>Carolina Morales, Natalia Martín, Camila Asenjo, Mariam Ferrada, Alicia Figueroa</t>
  </si>
  <si>
    <t>Revista Chilena de Psiquiatría y Neurología de la Infancia y Adolescencia</t>
  </si>
  <si>
    <t>0718-3798</t>
  </si>
  <si>
    <t>https://www.sopnia.com/revistas/volumen-34-n-3-diciembre-2023/</t>
  </si>
  <si>
    <t>Montreal Cognitive Assessment (MoCA) as a screening tool for cognitive impairment in early stages of psychosis</t>
  </si>
  <si>
    <t>Sebastian Corral, Pablo A. Gaspar, Rolando I. Castillo-Passi, Rocío Mayol Troncoso, Adrian P. Mundt, Yuriy Ignatyev, Rodrigo R. Nieto, Alicia Figueroa-Muñoz</t>
  </si>
  <si>
    <t xml:space="preserve">Schizophrenia Research: Cognition </t>
  </si>
  <si>
    <t>2215-0013</t>
  </si>
  <si>
    <t>10.1016/j.scog.2024.100302</t>
  </si>
  <si>
    <t>First international consensus statement on sports psychiatry</t>
  </si>
  <si>
    <t>Malte Christian Claussen, Alan Currie, Eugene Koh Boon Yau, Masaki Nishida, Vania Martínez, James Burger, Shane Creado, Alexander Schorb, Roberto Fernandes Nicola, Amrit Pattojoshi, Ranjit Menon, Ira Glick, Jim Whitehead, Carla Edwards, David Baron</t>
  </si>
  <si>
    <t>Scandinavian Journal of Medicine &amp; Science in Sports</t>
  </si>
  <si>
    <t>0905-7188</t>
  </si>
  <si>
    <t>10.1111/sms.14627</t>
  </si>
  <si>
    <t>Psychometric evidence of the Acceptance and Action Questionnaire-II (AAQ-II): an item response theory analysis in university students from Chile</t>
  </si>
  <si>
    <t>Álvaro I. Langer, Fernando P. Ponce, Jorge L. Ordóñez-Carrasco, Reiner Fuentes-Ferrada, Scarlett Mac-Ginty, Jorge Gaete, Daniel Núñez</t>
  </si>
  <si>
    <t>10.1186/s40359-024-01608-w</t>
  </si>
  <si>
    <t>Sociodemographic correlates of mental health treatment seeking among college students: a systematic review and meta-analysis</t>
  </si>
  <si>
    <t>Julia Pei, Yagmur Amanvermez, Daniel Vigo, Joseph Puyat, Ronald C. Kessler, Philippe Mortier, Ronny Bruffaerts, Osiris Rankin, Sook Ning Chua, Vania Martínez, Charlene Rapsey, Liviu A. Fodor, Oana A. David, Claudia Garcia, Pim Cuijpers</t>
  </si>
  <si>
    <t>Psychiatric Services</t>
  </si>
  <si>
    <t>1075-2730</t>
  </si>
  <si>
    <t>10.1176/appi.ps.20230414</t>
  </si>
  <si>
    <t>Psychotic symptoms with and without a primary psychotic disorder in children requiring inpatient mental health admission</t>
  </si>
  <si>
    <t>Nefeli Anagnostopoulou, Efstathios Papachristou, Hayley Galitzer, Anca Alba, Jorge Gaete, Danai Dima, Maria Rogdaki, Gonzalo Salazar de Pablo, Marinos Kyriakopoulos</t>
  </si>
  <si>
    <t>10.1192/j.eurpsy.2024.23</t>
  </si>
  <si>
    <t>Uso de anticonceptivos hormonales y depresión en mujeres adolescentes y jóvenes: una revisión de alcance</t>
  </si>
  <si>
    <t>Mónica Cerda, Verónica Garrido, Marcelo A. Crockett, Vania Martínez</t>
  </si>
  <si>
    <t>https://www.sopnia.com/revistas/volumen-35-n-1-marzo-2024/</t>
  </si>
  <si>
    <t>Characterization of latent classes of early preadolescents from their reports of victimization and bullying – A Latent Class Analysis</t>
  </si>
  <si>
    <t xml:space="preserve">Marcela Cárcamo, Patricio Cumsille, Jorge Gaete </t>
  </si>
  <si>
    <t>International Journal of Bullying Prevention</t>
  </si>
  <si>
    <t>2523-3653</t>
  </si>
  <si>
    <t>10.1007/s42380-024-00247-4</t>
  </si>
  <si>
    <t xml:space="preserve">Accelerating Medicines Partnership® Schizophrenia (AMP® SCZ): Rationale and study design of the largest global prospective cohort study of clinical high risk for psychosis </t>
  </si>
  <si>
    <t>Cassandra M. Wannan et al (Pablo A. Gaspar, Rolando I. Castillo-Passi, Rocío Mayol-Troncoso, Gabriel Turra-Fariña)</t>
  </si>
  <si>
    <t>Schizophrenia Bulletin</t>
  </si>
  <si>
    <t>1745-1701</t>
  </si>
  <si>
    <t>10.1093/schbul/sbae011</t>
  </si>
  <si>
    <t>2024-01-14 00:00:00.000</t>
  </si>
  <si>
    <t xml:space="preserve"> Suicidal ideation, non-suicidal self-injury and psychopathology in university students: Examining the moderating role of experiential avoidance</t>
  </si>
  <si>
    <t>Álvaro I. Langer, Carlos Schmidt, Vania Martínez, Scarlett Mac-Ginty, Reiner Fuentes, Daniel Núñez</t>
  </si>
  <si>
    <t>Journal of Affective Disorders Reports</t>
  </si>
  <si>
    <t>2666-9153</t>
  </si>
  <si>
    <t>10.1016/j.jadr.2024.100734</t>
  </si>
  <si>
    <t>Association between socioeconomic position and depression, anxiety and eating disorders in university students: A systematic review</t>
  </si>
  <si>
    <t xml:space="preserve">Scarlett Mac-Ginty, Daniela Lira, Ignacio Lillo, Esteban Moraga, César Cáceres, Ricardo Araya, Matthew Prina </t>
  </si>
  <si>
    <t>Adolescent Research Review</t>
  </si>
  <si>
    <t>2363-8354</t>
  </si>
  <si>
    <t>10.1007/s40894-023-00230-y</t>
  </si>
  <si>
    <t>Female firefighters' experiences of discrimination and harassment: Implications for institutional gender policy</t>
  </si>
  <si>
    <t>Nadia Ramos, Paula García, María Paz Vega, Natalia Cancino, Susana Campos</t>
  </si>
  <si>
    <t>2810-6598</t>
  </si>
  <si>
    <t>10.56754/2810-6598.2024.0010</t>
  </si>
  <si>
    <t>Exploring the impact of social protest on mental health: A study of the 2019 “Social Uprising” in Chile</t>
  </si>
  <si>
    <t>Fabián Duarte, Álvaro Jiménez-Molina</t>
  </si>
  <si>
    <t>Social Science &amp; Medicine</t>
  </si>
  <si>
    <t>0277-9536</t>
  </si>
  <si>
    <t>10.1016/j.socscimed.2023.116392</t>
  </si>
  <si>
    <t>Clients’ and therapists’ perspectives on the role of therapists’ values in psychotherapy</t>
  </si>
  <si>
    <t>Álvaro Jiménez-Molina, María-Luz Bascuñán, Vania Martínez</t>
  </si>
  <si>
    <t>10.32995/praxispsy.v24i40.250</t>
  </si>
  <si>
    <t>Consenso internacional sobre medidas de resultado de tratamientos de depresión y ansiedad en población infantojuvenil: recomendaciones para su aplicación en Chile</t>
  </si>
  <si>
    <t>Vania Martínez, Karolin R. Krause, Rosario Valdebenito</t>
  </si>
  <si>
    <t>Disparidades en el uso de servicios de salud mental de adolescentes en Chile</t>
  </si>
  <si>
    <t>Marcia Salinas-Contreras, Belén Vargas, Marcelo A. Crockett, Vania Martínez</t>
  </si>
  <si>
    <t>Andes Pediatrica</t>
  </si>
  <si>
    <t>10.32641/andespediatr.v94i6.4637</t>
  </si>
  <si>
    <t>Improving suicide ideation screening with machine learning and questionnaire optimization through feature analysis</t>
  </si>
  <si>
    <t>Ignacio Martínez, César Astudillo, Daniel Núñez</t>
  </si>
  <si>
    <t>10.1007/978-3-031-76604-6_17</t>
  </si>
  <si>
    <t>Teachers' situated knowledge: Addressing digital exclusion in rural contexts</t>
  </si>
  <si>
    <t>Isabel Pavez, Angela Novoa-Echaurren, Antonio Salinas-Layana</t>
  </si>
  <si>
    <t>Digital Education Review</t>
  </si>
  <si>
    <t>2013-9144</t>
  </si>
  <si>
    <t>10.1344/der.2024.45.171-178</t>
  </si>
  <si>
    <t>Adaptación cultural de los instrumentos del Modelo Desarrollo Positivo en adultos emergentes chilenos</t>
  </si>
  <si>
    <t>Ana Barrera-Herrera, Francisca Salinas-Venegas, Valentina González-Maldonado, Leslie Núñez, Claudia Riffo-Álvarez</t>
  </si>
  <si>
    <t>Interdisciplinaria</t>
  </si>
  <si>
    <t>10.16888/interd.2024.41.2.19</t>
  </si>
  <si>
    <t>Terapia centrada en la compasión y autocompasión en el trastorno límite de la personalidad: oportunidades y consideraciones a partir de un caso clínico</t>
  </si>
  <si>
    <t>Reiner Fuentes-Ferrada, Gerardo Rivera, Jaime Yáñez Lizana, Álvaro I. Langer</t>
  </si>
  <si>
    <t>Pirámide</t>
  </si>
  <si>
    <t>978-84-368-4987-5</t>
  </si>
  <si>
    <t>https://www.edicionespiramide.es/libro/psicologia/tratamientos-psicologicos-en-los-trastornos-de-la-personalidad-ii-juan-antonio-diaz-garrido-9788436849875/</t>
  </si>
  <si>
    <t>Imitative inhibitory control is associated with psychotic experiences in a sample from the general population</t>
  </si>
  <si>
    <t>José Luis Ulloa, Daniel E. Núñez, Pablo A. Gaspar, Marcel Brass</t>
  </si>
  <si>
    <t>10.3389/fpsyt.2024.1470030</t>
  </si>
  <si>
    <t>Jóvenes que no han dejado de creer, pero que creen distinto: reflexiones en torno a la religiosidad juvenil en Chile</t>
  </si>
  <si>
    <t>Reiner Fuentes-Ferrada</t>
  </si>
  <si>
    <t>Última Década</t>
  </si>
  <si>
    <t>0718-2236</t>
  </si>
  <si>
    <t>10.5354/0718-2236.2024.74938</t>
  </si>
  <si>
    <t>Ximena Moreno, María José Monsalves, Sarahí Rueda, Paula Dagnino, Francesca Borghero</t>
  </si>
  <si>
    <t>Fixational eye movements and their associated evoked potentials during natural vision are altered in schizophrenia</t>
  </si>
  <si>
    <t>Rocío Mayol-Troncoso, Pablo A. Gaspar, Roberto Verdugo, Juan J. Mariman, Pedro E. Maldonado</t>
  </si>
  <si>
    <t>Schizophrenia Research: Cognition</t>
  </si>
  <si>
    <t>10.1016/j.scog.2024.100324</t>
  </si>
  <si>
    <t>Effect of prior beliefs and cognitive deficits on learning in first-episode schizophrenia patients</t>
  </si>
  <si>
    <t>Daniel Núñez,  Javiera Rodríguez-Delgado,  Ramón D. Castillo,  José Yupanqui,  Heidi Kloos</t>
  </si>
  <si>
    <t>10.1016/j.scog.2024.100318</t>
  </si>
  <si>
    <t>Mental health service use and barriers to help-seeking among LGBTQ+ first-year college students in Chile</t>
  </si>
  <si>
    <t>Marcelo A. Crockett, Vania Martínez, Scarlett Mac-Ginty, Álvaro I. Langer, Jorge Gaete, Daniel Núñez, Irene Léniz</t>
  </si>
  <si>
    <t>1936-1653</t>
  </si>
  <si>
    <t>Acceptability, feasibility and fidelity of the culturally adapted version of Unplugged (“Yo Se Lo Que Quiero”), a substance use preventive program among adolescents in Chile: a pilot randomized controlled study</t>
  </si>
  <si>
    <t xml:space="preserve">Gabriel Salgado, Jorge Gaete, Sofía Gana, Daniela Valenzuela, Ricardo Araya </t>
  </si>
  <si>
    <t>10.1186/s12889-024-19499-2</t>
  </si>
  <si>
    <t>Revisión narrativa del modelo de desarrollo positivo para adultos emergentes chilenos</t>
  </si>
  <si>
    <t>Ana Barrera-Herrera, Nayadett Leal-Paredes, Alejandra Cid-Penroz, María José Huerta-Espinoza, Claudia Riffo-Álvarez, Lea Vallejos-Barrera, Paola Raipán-Gómez</t>
  </si>
  <si>
    <t>Universidad y Salud</t>
  </si>
  <si>
    <t>0124-7107</t>
  </si>
  <si>
    <t>10.22267/rus.242602.324.</t>
  </si>
  <si>
    <t>Internet-based self-administered intervention to reduce anxiety and depression symptomatology and improve well-being in 7 countries: protocol of a randomized control trial</t>
  </si>
  <si>
    <t>Alejandro Dominguez-Rodriguez, Paulina Erika Herdoiza-Arroyo, Leivy Patricia González-Ramírez, Reyna Jazmín Martínez-Arriaga, David Villarreal-Zegarra, Antonio Carlos Santos da Silva, Joel Omar González-Cantero, Viviana Sylvia Vargas Salinas, Marinna S. Mensorio, Adrián Antonio Cisneros Hernández, Rogéria Lourenço dos Santos, Emilia Gabriela Nieto Ramos, Margarita Gabriela Albán-Terán, Joaquín Mateu-Mollá, Flor Rocío Ramírez-Martínez, Ana Marisa Colmenero Guadián, David Martínez-Rubio, Álvaro I. Langer, Claudio Araya, Rosa Olimpia Castellanos-Vargas</t>
  </si>
  <si>
    <t>10.3389/fpsyg.2024.1279847</t>
  </si>
  <si>
    <t>Internal consistency and temporal stability of the Community Assessment of Psychic Experiences (CAPE): A reliability generalization meta-analysis</t>
  </si>
  <si>
    <t>César Villacura-Herrera,  Jesús Pérez,  Peter B. Jones,  Daniel Núñez</t>
  </si>
  <si>
    <t xml:space="preserve"> 0165-1781</t>
  </si>
  <si>
    <t>10.1016/j.psychres.2024.115988</t>
  </si>
  <si>
    <t>Differences in mental health problems in LGBT+ first year college students in Chile during the pandemic</t>
  </si>
  <si>
    <t>Marcelo A. Crockett, Vania Martínez, Scarlett Mac-Ginty, Álvaro I. Langer, Jorge Gaete, Daniel Núñez</t>
  </si>
  <si>
    <t>Núcleo Milenio sobre la Evolución del Trabajo</t>
  </si>
  <si>
    <t>Firm heterogeneity and the aggregate labour share</t>
  </si>
  <si>
    <t>Matteo G Richiardi, Luis Valenzuela</t>
  </si>
  <si>
    <t>LABOUR</t>
  </si>
  <si>
    <t>10.1111/labr.12265</t>
  </si>
  <si>
    <t>The redistributive effects of size-dependent childcare policies</t>
  </si>
  <si>
    <t>Diego Escobar, Jeanne Lafortune, Loris Rubini and Jose Tessada</t>
  </si>
  <si>
    <t>Journal of Economic Dynamics and Control</t>
  </si>
  <si>
    <t>10.1016/j.jedc.2024.104818</t>
  </si>
  <si>
    <t>Impacto de la seguridad laboral en las actitudes hacia la carrera laboral tardía en trabajadores(as) chilenos(as) mayores de 45 años</t>
  </si>
  <si>
    <t>Bargsted, M &amp; Yeves, J.</t>
  </si>
  <si>
    <t>Libro: Bienestar, salud, calidad de vida y preparación para el retiro de los trabajadores mayores</t>
  </si>
  <si>
    <t>978-958-507-105-6</t>
  </si>
  <si>
    <t>Incentivos a la producción y la productividad, 1969-1973: debates y dilemas en la izquierda chilena</t>
  </si>
  <si>
    <t>Jorge Rojas Flores, Gorka Villar</t>
  </si>
  <si>
    <t>Hispanic American Historical Review</t>
  </si>
  <si>
    <t>10.1215/00182168-10943033</t>
  </si>
  <si>
    <t>Living My Latin American Influencer Dream: How Racism and Nationality Shape Latin American Influencers within the U.S.</t>
  </si>
  <si>
    <t xml:space="preserve">Arriagada, A., Craig, D. </t>
  </si>
  <si>
    <t>International Journal of Cultural Studies</t>
  </si>
  <si>
    <t>online</t>
  </si>
  <si>
    <t>10.1177/13678779241268138</t>
  </si>
  <si>
    <t>Between acceptance and resistance: Conceptualising migrant platform labour agency in Chile</t>
  </si>
  <si>
    <t>Bonhomme, M., Ustek-Spilda, F., Arriagada, A.</t>
  </si>
  <si>
    <t>New Technology, Work, and Employment</t>
  </si>
  <si>
    <t>10.1111/ntwe.12308</t>
  </si>
  <si>
    <t>La salud mental en trabajadores y trabajadoras de plataformas digitales: un análisis de la evidencia desde el Modelo de Demandas y Recursos Laborales</t>
  </si>
  <si>
    <t>Yeves, J., Bargsted, M., Soto, E., &amp; Torres-Ochoa, C.</t>
  </si>
  <si>
    <t>Libro: Proteger la salud mental en el trabajo. Conceptos, contextos e intervenciones</t>
  </si>
  <si>
    <t>978-956-01-1585-0</t>
  </si>
  <si>
    <t>Flexibilidad laboral en pandemia por y sus efectos en estrés, inseguridad y satisfacción laboral</t>
  </si>
  <si>
    <t xml:space="preserve">Yeves, J., Bargsted, M., Orlandini, E. &amp; Ureta, S., O </t>
  </si>
  <si>
    <t>10.7764/psykhe.2021.41401</t>
  </si>
  <si>
    <t>Proteger la salud mental en el trabajo. Conceptos, contextos e intervenciones</t>
  </si>
  <si>
    <t>Elisa Ansoleaga, Jesús Yeves, Lorena Godoy</t>
  </si>
  <si>
    <t>RIL Editores</t>
  </si>
  <si>
    <t>Trabajadores: Su presencia en la historia de Chile, 1800-2019</t>
  </si>
  <si>
    <t>Núcleo Milenio sobre Movilidad Intergeneracional: del Modelamiento a la Política Pública</t>
  </si>
  <si>
    <t>Intergenerational Mobility in Chile: A Year-to-Year Analysis of a National Cohort of Students</t>
  </si>
  <si>
    <t>Francisco Meneses &amp; Kenzo Asahi</t>
  </si>
  <si>
    <t>Research on Economic Inequality</t>
  </si>
  <si>
    <t>1049-2585</t>
  </si>
  <si>
    <t>10.1108/S1049-258520250000031002</t>
  </si>
  <si>
    <t xml:space="preserve"> On the Evolution of Population Preferences toward Retirement System Design and Savings Withdrawal: Evidence from Chile</t>
  </si>
  <si>
    <t xml:space="preserve">Parada-Contzen, Marcela and Isidora Sanhueza </t>
  </si>
  <si>
    <t>The Journal of Retirement</t>
  </si>
  <si>
    <t>10.3905/jor.2024.1.167</t>
  </si>
  <si>
    <t>2025-02-17 00:00:00.000</t>
  </si>
  <si>
    <t>Impacts of an employer’s contributory pillar: evidence from Chile</t>
  </si>
  <si>
    <t>Marcela Parada, Lucas Provoste, Cristobal Sanhueza, Uyen Tran, and James Traina</t>
  </si>
  <si>
    <t>The Journal of Pension Economics and Finance</t>
  </si>
  <si>
    <t>10.1017/S1474747224000131</t>
  </si>
  <si>
    <t>Teacher value-added and the test score gender gap</t>
  </si>
  <si>
    <t>Andrés García, Sebastián Poblete y Tomás Rau</t>
  </si>
  <si>
    <t>Labour Economics</t>
  </si>
  <si>
    <t>10.1016/j.labeco.2024.102588</t>
  </si>
  <si>
    <t>2024-05-05 00:00:00.000</t>
  </si>
  <si>
    <t>Analysis of formative and evaluative activities on statistical graphs in textbooks for Chilean rural multigrade education</t>
  </si>
  <si>
    <t>Bustamante-Valdés, M., Díaz-Levicoy, D., Alarcón-Bustamante, E.</t>
  </si>
  <si>
    <t>European Journal of Investigation in Health, Psychology and Education</t>
  </si>
  <si>
    <t>2174-8144</t>
  </si>
  <si>
    <t>10.3390/ejihpe14050092</t>
  </si>
  <si>
    <t>A Family of Discrete Kernels for Presmoothing Test Score Distributions</t>
  </si>
  <si>
    <t>González, J., Wiberg, M.</t>
  </si>
  <si>
    <t xml:space="preserve">Quantitative Psychology </t>
  </si>
  <si>
    <t>10.1007/978-3-031-55548-0_1</t>
  </si>
  <si>
    <t>Generalized Kernel Equating with Applications in R</t>
  </si>
  <si>
    <t>Wiberg, M., González, J., von Davier, A.A</t>
  </si>
  <si>
    <t>https://www.routledge.com/Generalized-Kernel-Equating-with-Applications-in-R/Wiberg-Gonzalez-vonDavier/p/book/9781138196988</t>
  </si>
  <si>
    <t>Identifiability Analysis of the Fixed-Effects One Parameter Logistic Positive Exponent model</t>
  </si>
  <si>
    <t>González, J, Bazán, J., Curi, M.</t>
  </si>
  <si>
    <t>British Journal of Mathematical and Statistical Psychology</t>
  </si>
  <si>
    <t>10.1111/bmsp.12366</t>
  </si>
  <si>
    <t>Calor extremo: estrategia de gestión y medidas de adaptación para la Región Metropolitana de Santiago.</t>
  </si>
  <si>
    <t>Gil, M., Asahi, K., Palharini R., Undurraga, E.</t>
  </si>
  <si>
    <t>Centro de Políticas Públicas UC (ed), Propuestas para Chile. Concurso Políticas Públicas 2023.</t>
  </si>
  <si>
    <t>file:///C:/Users/fran2/Downloads/Cap-2.pdf</t>
  </si>
  <si>
    <t>2025-03-03 00:00:00.000</t>
  </si>
  <si>
    <t>From Missing Data to Informative GPA Predictions: Navigating Selection Process Beliefs with the Partial Identifiability Approach.</t>
  </si>
  <si>
    <t>Alarcón-Bustamante, E., González, J., Torres Irribarra, D., San Martín, E.</t>
  </si>
  <si>
    <t>10.1111/BMSP.12377</t>
  </si>
  <si>
    <t xml:space="preserve">Alejandra Abufhele, Luis Herskovic &amp; Samanta Alarcón </t>
  </si>
  <si>
    <t>Higher education</t>
  </si>
  <si>
    <t>Beyond early motherhood: Trends and determinants of late fertility in Chile</t>
  </si>
  <si>
    <t xml:space="preserve">Yopo Díaz, M., &amp; Abufhele, A. </t>
  </si>
  <si>
    <t xml:space="preserve"> International Sociology</t>
  </si>
  <si>
    <t>1461-7242</t>
  </si>
  <si>
    <t>10.1177/02685809231195956</t>
  </si>
  <si>
    <t>DDevelopmental Losses in Young Children from Preprimary Program Closures during the COVID-19 Pandemic</t>
  </si>
  <si>
    <t>Alejandra Abufhele, David Bravo, Florencia Lopez-Boo, and Pamela Soto-Ramirez</t>
  </si>
  <si>
    <t>Comparative education review</t>
  </si>
  <si>
    <t>Temporally Dynamic, Cohort-Varying Value-Added Models</t>
  </si>
  <si>
    <t xml:space="preserve">Garritt L. Page,  Ernesto San Martín,  David Torres Irribarra &amp;  Sébastien Van Bellegem </t>
  </si>
  <si>
    <t>Psychometrika</t>
  </si>
  <si>
    <t>10.1007/s11336-024-09979-0</t>
  </si>
  <si>
    <t>The role of identifiability in empirical research</t>
  </si>
  <si>
    <t>San Martín, Ernesto, Varas, Inés M., González, Jorge, Perticará, Marcela and Asahi, Kenzo.</t>
  </si>
  <si>
    <t>Models, Measurement, and Metrology Extending the SI: Trust and Quality Assured Knowledge Infrastructures, edited by William P., Jr. Fisher and Leslie Pendrill, Berlin, Boston: De Gruyter Oldenbourg</t>
  </si>
  <si>
    <t>10.1515/9783111036496-004</t>
  </si>
  <si>
    <t>Cross-cultural validation of the Sexual Desire Inventory (SDI-2) in 42 countries and 26 languages.</t>
  </si>
  <si>
    <t>Castro-Calvo, J., Beltrán-Martínez, P., Ballester-Arnal, R., Nagy, L., Koós, M., International Sex Consortium, &amp; Bőthe, B.</t>
  </si>
  <si>
    <t>The Journal of Sex Research</t>
  </si>
  <si>
    <t>0022-4499</t>
  </si>
  <si>
    <t xml:space="preserve">10.1080/00224499.2024.2417023 </t>
  </si>
  <si>
    <t>Psychometric evidence of the Acceptance and Action Questionnaire-II (AAQ-II): An item response theory analysis in university students from Chile</t>
  </si>
  <si>
    <t>Langer, AI., Ponce, FP., Ordóñez, JL., Fuentes, R., Mac-Ginty, S., Gaete, J., &amp; Núñez, D.</t>
  </si>
  <si>
    <t xml:space="preserve">10.1186/s40359-024-01608-w </t>
  </si>
  <si>
    <t>Cross-cultural adult ADHD assessment in 42 countries using the Adult ADHD Self-Report Scale screener.</t>
  </si>
  <si>
    <t>Lewczuk, K., Marcowski, P., Wizla, M., Gola, M., Nagy, L., Koós, M., Kraus, S., International Sex Consortium, &amp; Bőthe, B.</t>
  </si>
  <si>
    <t>Journal of Attention Disorders</t>
  </si>
  <si>
    <t>1087-0547</t>
  </si>
  <si>
    <t xml:space="preserve">10.1177/10870547231215518 </t>
  </si>
  <si>
    <t>Núcleo Milenio Transiciones Evolutivas Tempranas de Mamíferos</t>
  </si>
  <si>
    <t>New evidence from high-resolution computed microtomography of Triassic stem-mammal skulls from South America enhances discussions on turbinates before the origin of Mammaliaformes</t>
  </si>
  <si>
    <t>Fonseca, Pedro, Martinelli, Agustin, Gill, Pamela, Rayfield, Emily, Schultz, Cesar, Kerber, Leonardo, Ribeiro, Ana, Francischini, Heitor &amp; Soares, Marina</t>
  </si>
  <si>
    <t>10.1038/s41598-024-64434-5</t>
  </si>
  <si>
    <t>Anatomy of the maxillary canal of Riograndia guaibensis (Cynodontia, Probainognathia)—A prozostrodont from the Late Triassic of southern Brazil</t>
  </si>
  <si>
    <t>Fonseca, Pedro, Martinelli, Agustin, Gill, Pamela, Rayfield, Emily, Schultz, Cesar, Kerber, Leonardo, Ribeiro, Ana, Soares, Marina</t>
  </si>
  <si>
    <t>The Anatomical Record</t>
  </si>
  <si>
    <t>1932-8494</t>
  </si>
  <si>
    <t>10.1002/ar.25540</t>
  </si>
  <si>
    <t>2024-09-07 00:00:00.000</t>
  </si>
  <si>
    <t>A new dentition-based phylogeny of Litopterna (Mammalia: Placentalia) and ‘archaic’ South American ungulates</t>
  </si>
  <si>
    <t>Hans P. Püschel,  Sarah L. Shelley, Thomas E. Williamson, Fernando A. Perini, John R. Wible &amp; S. L. Brusatte</t>
  </si>
  <si>
    <t>Zoological Journal of the Linnean Society</t>
  </si>
  <si>
    <t>0024-4082</t>
  </si>
  <si>
    <t>10.1093/zoolinnean/zlae095</t>
  </si>
  <si>
    <t>Cretaceous bird from Brazil informs the evolution of the avian skull and brain</t>
  </si>
  <si>
    <t>Chiappe, Luis, Navalón, Guillermo, Martinelli, Agustín, Carvalho, Ismar, Santucci, Rodrigo, Wu, Yun, Field, Daniel</t>
  </si>
  <si>
    <t>376-381</t>
  </si>
  <si>
    <t>10.1038/s41586-024-08114-4</t>
  </si>
  <si>
    <t>Craniodental reinterpretations and new specimens of Protuberum cabralense, a bizarre traversodontid cynodont from the earliest Late Triassic of Brazil</t>
  </si>
  <si>
    <t>Schmitt, Mauricio, Martinelli, Agustin, Fonseca, Pedro, Schultz, Cesar, Soares, Marina</t>
  </si>
  <si>
    <t>Journal of South American Earth Sciences</t>
  </si>
  <si>
    <t>0895-9811</t>
  </si>
  <si>
    <t>10.1016/j.jsames.2024.105213</t>
  </si>
  <si>
    <t>2024-08-17 00:00:00.000</t>
  </si>
  <si>
    <t>Lower Cretaceous iguanodontian dinosaurs from the southwestern margin of Gondwana</t>
  </si>
  <si>
    <t>Jhonatan Alarcón-Muñoz,  Penélope Cruzado-Caballero,  Omar Vicencio Campos ,  Claudio Bravo-Ortiz,  Erick Vargas Bugueño,  Dániel Bajor,  Mario E. Suárez,  Juan Pablo Guevara,  Alexander O. Vargas,  David Rubilar-Rogers</t>
  </si>
  <si>
    <t>Cretaceous Research</t>
  </si>
  <si>
    <t>ISSN 0195-6671</t>
  </si>
  <si>
    <t>10.1016/j.cretres.2024.105983</t>
  </si>
  <si>
    <t>2024-03-30 00:00:00.000</t>
  </si>
  <si>
    <t>A new look at the first dinosaur discovered in Antarctica: reappraisal of Antarctopelta oliveroi (Ankylosauria: Parankylosauria)</t>
  </si>
  <si>
    <t>Sergio SOTO ACUÑA, Alexander O. VARGAS, Jonatan KALUZA</t>
  </si>
  <si>
    <t>Advances in Polar Science</t>
  </si>
  <si>
    <t>1674-9928</t>
  </si>
  <si>
    <t>10.12429/j.advps.2023.0036</t>
  </si>
  <si>
    <t>Review of two marine vertebrate assemblages from the Arauco Basin (central Chile) reveals diversity changes throughout the Maastrichtian</t>
  </si>
  <si>
    <t>Rodrigo A. Otero</t>
  </si>
  <si>
    <t>0195-6671</t>
  </si>
  <si>
    <t>10.1016/j.cretres.2024.105996</t>
  </si>
  <si>
    <t>Brazilian fossils reveal homoplasy in the oldest mammalian jaw joint</t>
  </si>
  <si>
    <t xml:space="preserve">James R. G. Rawson, Agustín G. Martinelli, Pamela G. Gill, Marina B. Soares, Cesar L. Schultz &amp; Emily J. Rayfield </t>
  </si>
  <si>
    <t>10.1038/s41586-024-07971-3</t>
  </si>
  <si>
    <t>Patagomaia could be a gondwanatherian</t>
  </si>
  <si>
    <t xml:space="preserve">Hans P. Püschel, Agustín G. Martinelli, Sergio Soto-Acuña &amp; Alexander O. Vargas </t>
  </si>
  <si>
    <t>10.1038/s41598-024-78400-8</t>
  </si>
  <si>
    <t>Núcleo Milenio, Experiencia Estudiantil en Educación Superior En Chile: Expectativas y Realidades</t>
  </si>
  <si>
    <t xml:space="preserve">Equity and Higher Education Access in Chile: The High School Ranking Admission Policy Results from the Perspective of Its Program Theory </t>
  </si>
  <si>
    <t xml:space="preserve">Ximena Catalán, Verónica Santelices y Catherine Horn </t>
  </si>
  <si>
    <t xml:space="preserve"> Higher Education Policy</t>
  </si>
  <si>
    <t>0952-8733</t>
  </si>
  <si>
    <t xml:space="preserve">10.1057/s41307-024-00349-0 </t>
  </si>
  <si>
    <t xml:space="preserve">Envisioning doctoral education as research hubs in Latin America (2011–2021): waves of evolution. </t>
  </si>
  <si>
    <t>Sergio Celis, Ivet Parra-Gaete y Carolina Guzmán-Valenzuela</t>
  </si>
  <si>
    <t>Journal of Higher Education Policy and Managent</t>
  </si>
  <si>
    <t>1360-080X</t>
  </si>
  <si>
    <t>10.1080/1360080X.2024.2426252</t>
  </si>
  <si>
    <t xml:space="preserve">Latin America: Weak academic freedom within strong university autonomy </t>
  </si>
  <si>
    <t xml:space="preserve">Andrés Bernasconi </t>
  </si>
  <si>
    <t xml:space="preserve">Global Constitutionalism </t>
  </si>
  <si>
    <t>2045-3817</t>
  </si>
  <si>
    <t>10.1017/S204538172400011X</t>
  </si>
  <si>
    <t xml:space="preserve">Academic Freedom in Latin America and the Deceptive Comfort of Autonomy </t>
  </si>
  <si>
    <t>International Higher Education</t>
  </si>
  <si>
    <t>https://ejournals.bc.edu/index.php/ihe/article/view/17361</t>
  </si>
  <si>
    <t>Feminismos en el umbral de la academia</t>
  </si>
  <si>
    <t xml:space="preserve">Ana Luisa Muñoz García y Catalina Trebisacce Marchand </t>
  </si>
  <si>
    <t>https://ceppe.uc.cl/index.php/publicaciones/libros/1071-feminismos-en-el-umbral-de-la-academia</t>
  </si>
  <si>
    <t xml:space="preserve">Financiamiento en el régimen de performatividad de las políticas de investigación en educación </t>
  </si>
  <si>
    <t>Marisol Campillay y Ana Luisa Muñoz-García</t>
  </si>
  <si>
    <t>Autoctonía</t>
  </si>
  <si>
    <t>10.23854/autoc.v8i3.483</t>
  </si>
  <si>
    <t xml:space="preserve">Avanzando al desarrollo académico: Programa de mentorías con enfoque de género.  </t>
  </si>
  <si>
    <t>Daniela Véliz y Liliana Pedraja.</t>
  </si>
  <si>
    <t>In What Institutional Contexts Do Adult Community College Students Prosper?</t>
  </si>
  <si>
    <t>Peter Bahr, Yiran Chen, Claire Boeck, Paula Clasing-Manquian y Phyllis Cummins</t>
  </si>
  <si>
    <t>Community College Review</t>
  </si>
  <si>
    <t>0091-5521</t>
  </si>
  <si>
    <t>10.1177/00915521241280067</t>
  </si>
  <si>
    <t>Educación Superior en Iberoamérica. Informe 2024 (Capítulos de Chile)</t>
  </si>
  <si>
    <t>José Miguel Salazar y Peodair Leihy</t>
  </si>
  <si>
    <t>Centro Interuniversitario de Desarrollo</t>
  </si>
  <si>
    <t>978-956-7106-73-8</t>
  </si>
  <si>
    <t>https://cinda.cl/wp-content/uploads/2024/04/educacion-superior-en-iberoamerica-informe-2024-CINDA.pdf</t>
  </si>
  <si>
    <t>Is it worth attending higher education? Lessons from a systematic review on institutional contribution to learning outcomes</t>
  </si>
  <si>
    <t>Gonzalo Cifuentes y María Verónica Santelices</t>
  </si>
  <si>
    <t>Cogent Education</t>
  </si>
  <si>
    <t>2331-186X</t>
  </si>
  <si>
    <t>10.1080/2331186X.2024.2351241</t>
  </si>
  <si>
    <t>An observational study of teachers' and students' behaviors in synchronous online classrooms</t>
  </si>
  <si>
    <t>Carlos González y Daniel Ponce</t>
  </si>
  <si>
    <t>Journal of Applied Research in Higher Education</t>
  </si>
  <si>
    <t>2050-7003</t>
  </si>
  <si>
    <t>10.1108/JARHE-07-2023-0277</t>
  </si>
  <si>
    <t>Applications of Learning Analytics in Latin America</t>
  </si>
  <si>
    <t xml:space="preserve">Hilliger, I., G. Ceballos, H. ., Maldonado-Mahauad, J. ., &amp; Ferreira, R. </t>
  </si>
  <si>
    <t>Journal of Learning Analytics</t>
  </si>
  <si>
    <t>10.18608/jla.2024.8409</t>
  </si>
  <si>
    <t>Case Study: Potential Effects of Test-Optional in Doctoral Admissions at a Research-Intensive University</t>
  </si>
  <si>
    <t>Heeyun Kim, John Gonzalez, Paula Clasing-Manquian, Sooji Kim</t>
  </si>
  <si>
    <t>https://www.taylorfrancis.com/chapters/edit/10.4324/9781003447856-9/case-study-heeyun-kim-john-gonzalez-paula-clasing-manquian-sooji-kim</t>
  </si>
  <si>
    <t>Unmothering the Conversation on Gender in Academia</t>
  </si>
  <si>
    <t>Mara Silva Hope, Ana Luisa Muñoz y Lorena Medina Morales</t>
  </si>
  <si>
    <t>Journal of Women and Gender in Higher Education</t>
  </si>
  <si>
    <t>10.1080/26379112.2024.2308676</t>
  </si>
  <si>
    <t>Midiendo la carga de trabajo a través de un enfoque centrado en el estudiante: La cuestión del tiempo y los objetivos de aprendizaje</t>
  </si>
  <si>
    <t>Paula Clasing Maquián y Tamara Zúñiga</t>
  </si>
  <si>
    <t>Núcleo Milenio Experiencia Estudiantil en Educación Superior en Chile</t>
  </si>
  <si>
    <t>https://nmedsup.cl/wp-content/uploads/2024/12/PolicyBrief_n°17_vf.pdf</t>
  </si>
  <si>
    <t>Being a woman across STEM programs: Navigating through a foggy institutional climate</t>
  </si>
  <si>
    <t>María José López, Catalina Moraga y Sergio Celis</t>
  </si>
  <si>
    <t>https://nmedsup.cl/wp-content/uploads/2024/07/Working-Paper-N%C2%B05-NMEDSUP.pdf</t>
  </si>
  <si>
    <t>Enfoques de aprendizaje y uso de recursos educativos físicos y digitales en educación superior</t>
  </si>
  <si>
    <t>Carlos González, Dany López, Lina Calle y Helena Montenegro</t>
  </si>
  <si>
    <t>10.17227/rce.num92-16833</t>
  </si>
  <si>
    <t xml:space="preserve">The Effect of Communication Emails on Web Survey Response Rate, Representativeness, and Response Bias: Results from a Factorial Randomized Control Trial in a College Student Population </t>
  </si>
  <si>
    <t>Paula Clasing-Manquian y John González</t>
  </si>
  <si>
    <t>Field Methods</t>
  </si>
  <si>
    <t>1525-822X</t>
  </si>
  <si>
    <t>10.1177/1525822X241286341</t>
  </si>
  <si>
    <t xml:space="preserve">Less is more, or is it? Age and Gender Differences in How Students Build Momentum toward College Graduation </t>
  </si>
  <si>
    <t>Peter Bahr, Claire Boeck, Yiran Chen y Paula Clasing-Manquian</t>
  </si>
  <si>
    <t>Research in Higher Education</t>
  </si>
  <si>
    <t>0361-0365</t>
  </si>
  <si>
    <t>10.1007/s11162-024-09806-6</t>
  </si>
  <si>
    <t>Internationalization and disciplinary differences: Tensions in the academic career in Chilean universities</t>
  </si>
  <si>
    <t>Daniela Véliz y Pío Marshall</t>
  </si>
  <si>
    <t>Higher Education Quarterly</t>
  </si>
  <si>
    <t>10.1111/hequ.12501</t>
  </si>
  <si>
    <t>2024-03-03 00:00:00.000</t>
  </si>
  <si>
    <t>Blended learning in rural K-12 education: Stakeholder dynamics and recommendations</t>
  </si>
  <si>
    <t>Valeria Henríquez e Isabel Hilliger</t>
  </si>
  <si>
    <t>Journal of Computer Assisted Learning</t>
  </si>
  <si>
    <t>0266-4909</t>
  </si>
  <si>
    <t>10.1111/jcal.12963</t>
  </si>
  <si>
    <t>Afterword.Charting the path forward.</t>
  </si>
  <si>
    <t>Leonardo Veliz, Malba Barahona y Stephen Darwin</t>
  </si>
  <si>
    <t>Critiquing the Teaching and Learning of English in Chile</t>
  </si>
  <si>
    <t>10.4324/9781003482550</t>
  </si>
  <si>
    <t>Perfiles y comportamientos más frecuentes de clases en línea: ¿Cómo promover estrategias de docencia centradas en los estudiantes?</t>
  </si>
  <si>
    <t>Carlos González, Daniel Ponce y María Conzuelo Aguilar</t>
  </si>
  <si>
    <t>https://nmedsup.cl/wp-content/uploads/2024/10/Policy-Brief-Perfiles-y-comportamientos-en-clases-en-linea.pdf </t>
  </si>
  <si>
    <t>Introduction. Exploring avenues for the transformation of teaching and learning English in Chile</t>
  </si>
  <si>
    <t>Navigating the challenges and opportunities for equipping pre-service English language teachers for diverse classrooms.</t>
  </si>
  <si>
    <t>The Mediating Role of Learning Analytics: Insights into Student Approaches to Learning and Academic Achievement in Latin America.</t>
  </si>
  <si>
    <t>Villalobos Díaz, E., Hilliger, I., Gonzalez, C., Celis, S., Pérez-Sanagustín, M., &amp; Broisin, J.</t>
  </si>
  <si>
    <t>10.18608/jla.2024.8149</t>
  </si>
  <si>
    <t>2024-04-29 00:00:00.000</t>
  </si>
  <si>
    <t>A siete años de una política de acción afirmativa para el ingreso de mujeres a Ingeniería: Impacto en trayectorias académicas e inclusión en la cultura</t>
  </si>
  <si>
    <t>Darinka Radovic, Gabriela Zúñiga Irigoin, Catalina Torrent Maluje, Salomé Martinez Salazar, Sergio Celis Guzman, Ziomara Gerdzen Hakim</t>
  </si>
  <si>
    <t>Pensamiento Educativo</t>
  </si>
  <si>
    <t>10.7764/PEL.61.1.2024.1</t>
  </si>
  <si>
    <t>Analíticas de aprendizaje, estrategias y rendimiento académico de estudiantes universitarios.</t>
  </si>
  <si>
    <t>Esteban Villalobos, Isabel Hilliger, Carlos González, Sergio Celis, Mar Pérez-Sanagustin y Julien Broisin</t>
  </si>
  <si>
    <t>https://nmedsup.cl/wp-content/uploads/2025/01/PolicyBrief_N%C2%B019_v1.pdf</t>
  </si>
  <si>
    <t xml:space="preserve">Evaluación de la validez del Test de Competencia Moral utilizando datos del proceso de respuesta obtenidos de entrevistas cognitivas </t>
  </si>
  <si>
    <t>Manuel Lavados y Edgar Valencia</t>
  </si>
  <si>
    <t>https://nmedsup.cl/wp-content/uploads/2025/01/Working-Paper-N%C2%B06.pdf</t>
  </si>
  <si>
    <t>LAFe: Learning Analytics Solutions to Support On-Time Feedback</t>
  </si>
  <si>
    <t>Rafael Ferreira Mello,  Gabriel Alves,  Elaine Harada,  Mar Pérez-Sanagustín,  Isabel Hilliger,  Esteban Villalobos,  Esther Félix &amp;  Julien Broisin</t>
  </si>
  <si>
    <t xml:space="preserve">Communications in Computer and Information Science </t>
  </si>
  <si>
    <t>10.1007/978-3-031-64312-5_61</t>
  </si>
  <si>
    <t>2024-08-18 00:00:00.000</t>
  </si>
  <si>
    <t>Curriculum analytics adoption in higher education: A multiple case study engaging stakeholders in different phases of design</t>
  </si>
  <si>
    <t>Isabel Hilliger, Constanza Miranda, Sergio Celis, Mar Pérez-Sanagustín</t>
  </si>
  <si>
    <t>British Journal of Educational Technology</t>
  </si>
  <si>
    <t>755-768</t>
  </si>
  <si>
    <t>10.1111/bjet.13374</t>
  </si>
  <si>
    <t>Implementing Artificial Intelligence in Physiotherapy Education: A Case Study on the Use of Large Language Models (LLM) to Enhance Feedback</t>
  </si>
  <si>
    <t>Ignacio Villagrán, Rocío Hernández, Gregory Schuit , Andrés Neyem , Javiera Fuentes-Cimma , Constanza Miranda, Isabel Hilliger, Valentina Durán, Gabriel Escalona, y Julián Varas</t>
  </si>
  <si>
    <t>IEEE TRANSACTIONS ON LEARNING TECHNOLOGIES</t>
  </si>
  <si>
    <t>1939-1382</t>
  </si>
  <si>
    <t>10.1109/TLT.2024.3450210</t>
  </si>
  <si>
    <t>Enhancing Feedback Uptake and Self-Regulated Learning in Procedural Skills Training</t>
  </si>
  <si>
    <t>Ignacio Villagrán, Rocio Hernández, Gregory Schuit, Andrés Neyem, Javiera Fuentes, Loreto Larrondo, Elisa Margozzini, María T. Hurtado, Zoe Iriarte, Constanza Miranda, Julián Varas e Isabel Hilliger</t>
  </si>
  <si>
    <t>1929-7750</t>
  </si>
  <si>
    <t>10.18608/jla.2024.8195</t>
  </si>
  <si>
    <t>How Could Be Used Student Comments for Delivering Feedback to Instructors in Higher Education?</t>
  </si>
  <si>
    <t>Gabriel Astudillo,  Isabel Hilliger y  Jorge Baier</t>
  </si>
  <si>
    <t>10.1007/978-3-031-64312-5_50</t>
  </si>
  <si>
    <t>10.3390/educsci14121321</t>
  </si>
  <si>
    <t xml:space="preserve"> </t>
  </si>
  <si>
    <t>2024-09-12 00:00:00.000</t>
  </si>
  <si>
    <t>“The state is something that disappoints”: legal consciousness amid institutional dissatisfaction</t>
  </si>
  <si>
    <t>Mayra Feddersen, Javier Wilenmann, Julia Cavieres, Maite Gambardella</t>
  </si>
  <si>
    <t>Law &amp; Society Review</t>
  </si>
  <si>
    <t>10.1017/lsr.2023.3.</t>
  </si>
  <si>
    <t>Immigration and the Boundaries of Black Political Subjecthood in Argentina and Chile</t>
  </si>
  <si>
    <t>Antonia Mardones Marshall</t>
  </si>
  <si>
    <t>International Migration Review</t>
  </si>
  <si>
    <t>0197-9183</t>
  </si>
  <si>
    <t>10.1177/01979183241277544</t>
  </si>
  <si>
    <t xml:space="preserve"> 1945-7731 </t>
  </si>
  <si>
    <t>Ana Maria Montoya, Eric Parrado, Alex Solis, Raimundo Undurraga</t>
  </si>
  <si>
    <t>2832-9368</t>
  </si>
  <si>
    <t>El Pueblo Tribal Afrodescendiente Chileno en el proceso constituyente, 2019–2022: De la exclusión al reconocimiento limitado</t>
  </si>
  <si>
    <t>Antonia Mardones Marshall, Ricardo Amigo Dürre, Carolina Cortés Silva</t>
  </si>
  <si>
    <t>Latin American Research Review</t>
  </si>
  <si>
    <t xml:space="preserve">1542-4278 </t>
  </si>
  <si>
    <t>10.1017/lar.2024.42</t>
  </si>
  <si>
    <t>Núcleo Milenio Océano, Patrimonio y Cultura</t>
  </si>
  <si>
    <t>The South American climate during the last two millennia</t>
  </si>
  <si>
    <t>Flores-Aqueveque, V., Arias, P., Gómez-Fontealba, C., González-Arango, C., Apaestegui, J., Evangelista, H., Guerra, L., &amp; Latorre, C</t>
  </si>
  <si>
    <t>Oxford Research Encyclopedia of Climate Science</t>
  </si>
  <si>
    <t>10.1093/acrefore/9780190228620.013.975</t>
  </si>
  <si>
    <t>Santuario de la Naturaleza Isla Kaikue-Lagartija. Una oportunidad para la conservación del patrimonio biocultural de Calbuco</t>
  </si>
  <si>
    <t>Jaime A. Cursach Valenzuela, Jonnathan Vilugrón Torres, Ricardo Álvarez Abel, Ma. Agustina Andrade Alvarado, Carlos Oyarzún Segovia</t>
  </si>
  <si>
    <t>Ediciones de la Fundación Conservación Marina</t>
  </si>
  <si>
    <t>Edición digital</t>
  </si>
  <si>
    <t>https://www.fcmarina.cl/wp-content/uploads/2024/07/Libro-digital-santuario-isla-kaikue-lagartija.pdf</t>
  </si>
  <si>
    <t>Remains of fill and floor? contextual taphonomy in a semi-subterranean structure in the hyperarid coast of the Atacama Desert, Chile</t>
  </si>
  <si>
    <t>Sebastian Yrarrazaval, Ximena Power, Luca Sitzia, Diego Salazar</t>
  </si>
  <si>
    <t>ScienceDirect</t>
  </si>
  <si>
    <t>10.1016/j.jasrep.2023.104324</t>
  </si>
  <si>
    <t>Microanalytical study of an archived marine core from late Pleistocene submerged site GNL Quintero 1 (GNLQ1), Central Chile</t>
  </si>
  <si>
    <t>I. Ward,  V. Flores-Aqueveque,  I. Cartajena,  D. Carabias</t>
  </si>
  <si>
    <t>10.1016/j.jasrep.2024.104609</t>
  </si>
  <si>
    <t>Machine learning-based identification of geomorphological units in Quintero Bay (32°S) and its implications for the search for early drowned archaeological sites on the western coast of South America</t>
  </si>
  <si>
    <t>Valentina Flores-Aqueveque,  Hugo Neira-Santander,  Cristina Ortega,  César Méndez,  Isabel Cartajena,  Renato Simonetti,  Diego Carabias</t>
  </si>
  <si>
    <t>10.1016/j.quaint.2024.11.003</t>
  </si>
  <si>
    <t>Identifying non-anthropogenic accumulation in zooarchaeological assemblages using naive Bayesian classifier: A trace-oriented actualistic taphonomic approach in the hyperarid coasts of the Atacama desert</t>
  </si>
  <si>
    <t xml:space="preserve">Sebastian Yrarrazaval ,  Isabel Cartajena  ,  Luis Borrero  ,  Diego Salazar </t>
  </si>
  <si>
    <t>Elsevier</t>
  </si>
  <si>
    <t>10.1016/j.qsa.2023.100143</t>
  </si>
  <si>
    <t>Estudio preliminar e identificación de un campamento de náufragos en el contexto de la Guerra del Brasil (1825-1828), Partido de Patagones, Buenos Aires</t>
  </si>
  <si>
    <t>Nicolás C. Ciarlo, Ana Castelli, Joaquín Rodríguez Saumell , Carlos G. Landa , Leonardo Dam , Diego Carabias Amor , Alasdair Brooks , Luis V. J. Coll  and Rodrigo Torres</t>
  </si>
  <si>
    <t>Cambridge University Press</t>
  </si>
  <si>
    <t>10.1017/laq.2023.73</t>
  </si>
  <si>
    <t>Núcleo Milenio para el Desarrollo de Plantas Súper Adaptables</t>
  </si>
  <si>
    <t>Embracing Complexity in Plant-Microbiome Systems.</t>
  </si>
  <si>
    <t>Poupin M.J. and González B.</t>
  </si>
  <si>
    <t>Environmental Microbiology Reports</t>
  </si>
  <si>
    <t>10.1111/1758-2229.70000</t>
  </si>
  <si>
    <t>Sup4h5-L19 activation tagging line partially restores root hair growth in p4h5 mutant by introducing small transcriptomic changes in Arabidopsis thaliana</t>
  </si>
  <si>
    <t>Tomás Urzúa Lehuedé, Gerardo Núñez-Lillo, Juan Salgado Salter, Romina Acha, Miguel Angel Ibeas, Claudio Meneses,  José M. Estevez</t>
  </si>
  <si>
    <t>BioRvix</t>
  </si>
  <si>
    <t>10.1101/2024.06.14.599040</t>
  </si>
  <si>
    <t>Jimenez, J., Contreras-Riquelme, S., Vidal, P., Prado, C., Bastías, M., Meneses, C., Martín, A., Perez-Acle, T., Pacheco, R.</t>
  </si>
  <si>
    <t>Miguel Angel Ibeas, Hernán Salinas-Grenet, Nathan R Johnson, Jorge Pérez-Díaz, Elena A Vidal, José Miguel Alvarez, José M Estevez</t>
  </si>
  <si>
    <t>00320889, 15322548</t>
  </si>
  <si>
    <t>Leonel E Lopez, Miguel A Ibeas, Gabriela Diaz Dominguez, Jose M Estevez</t>
  </si>
  <si>
    <t>00220957, 14602431</t>
  </si>
  <si>
    <t>Ana R Sede, Diego L Wengier, Cecilia Borassi, Martiniano Ricardi, Sofía C Somoza, Rafael Aguiló, José M Estevez, Jorge P Muschietti</t>
  </si>
  <si>
    <t>Nitrogen-modulated effects of the diazotrophic bacterium Cupriavidus taiwanensis on the non-nodulating plant Arabidopsis thaliana</t>
  </si>
  <si>
    <t xml:space="preserve">Daniela Ruiz, Natalia Céspedes-Bernal, Andrea Vega, Thomas Ledger, Bernardo González &amp; María Josefina Poupin </t>
  </si>
  <si>
    <t>Plant and Soil</t>
  </si>
  <si>
    <t>0032079X, 15735036</t>
  </si>
  <si>
    <t>10.1007/s11104-024-06736-1</t>
  </si>
  <si>
    <t>YABBY transcription factor family in the octoploid Fragaria × ananassa and five diploid Fragaria species</t>
  </si>
  <si>
    <t>K. Jara-Cornejo, P. E. Zúñiga, C. Rivera-Mora, E. Bustos, A. Garrido-Bigotes, S. Ruiz-Lara, C. R. Figueroa</t>
  </si>
  <si>
    <t>Plant Biology</t>
  </si>
  <si>
    <t>10.1111/plb.13656</t>
  </si>
  <si>
    <t>Functionality of the MYB1 Transcription Factor in the Transactivation of Leucoanthocyanidin Reductase (LAR) Promoters of Fragaria × Ananassa and Fragaria Chiloensis</t>
  </si>
  <si>
    <t>Claudia Gómez-Parada, Carlos R. Figueroa, Kui Lin-Wang, Alejandra Moya-León, Richard V. Espley, Andrew C. Allan &amp; Raul Herrera</t>
  </si>
  <si>
    <t>07217595, 14358107</t>
  </si>
  <si>
    <t>10.1007/s00344-024-11281-3</t>
  </si>
  <si>
    <t>2024-09-22 00:00:00.000</t>
  </si>
  <si>
    <t>Dynamical robustness of a Boolean model for the human gonadal sex determination.</t>
  </si>
  <si>
    <t xml:space="preserve">Vivanco E., Goles, E., Montalva M., Poupin MJ. </t>
  </si>
  <si>
    <t>Computational Biology and Chemistry</t>
  </si>
  <si>
    <t>1476-9271</t>
  </si>
  <si>
    <t>10.1016/j.compbiolchem.2024.108225.</t>
  </si>
  <si>
    <t>RSL4 regulatory network acts as an early driver of root hair growth at low temperature in Arabidopsis thaliana</t>
  </si>
  <si>
    <t>Tomás Urzúa Lehuedé, Victoria Berdion Gabarain, Tomas Moyano, Lucia Ferrero, Miguel Angel Ibeas, Hernan Salinas-Grenet, Gerardo Núñez-Lillo, Romina Acha, Jorge Perez, Florencia Perotti, Virginia Natali Miguel, Fiorella Paola Spies, Miguel A. Rosas, Michitaro Shibata, Diana R. Rodríguez-García, Adrian A. Moreno, Keiko Sugimoto, Karen Sanguinet, Claudio Meneses, Raquel L. Chan, Federico Ariel, Jose M. Alvarez,  José M. Estevez</t>
  </si>
  <si>
    <t>10.1101/2024.04.09.588718</t>
  </si>
  <si>
    <t>Enhanced auxin signaling hub triggers root hair growth at moderate low temperature in Arabidopsis thaliana</t>
  </si>
  <si>
    <t>Victoria Berdion Gabarain, Gerardo Núñez-Lillo, Aleš Pěnčík, Miguel Angel Ibeas, Javier Martínez Pacheco, Leonel Lopez, Mariana Carignani Sardoy, Jia Zhongtao, Ondřej Novák, Ricardo F.H. Giehl, Nicolaus von Wiren, Claudio Meneses,  José M. Estevez</t>
  </si>
  <si>
    <t>10.1101/2024.08.15.608078</t>
  </si>
  <si>
    <t>Fusarium sp. Strain K-23 Alleviates Salt Stress in Arabidopsis thaliana Through its Root Hair Growth-Promoting Effect</t>
  </si>
  <si>
    <t>Francis C. Onejeme, Adrián González Ortega-Villaizán, Estefanía Rodríguez-Dobreva, Basha Topel Prieto, Manish K. Patel, Selma Guendouzi, Priya Y. N. Reddy, Leonel E. Lopez, José M. Estevez, Karaba N. Nataraja, R. Uma Shaanker, Begoña Benito, Jesús Vicente-Carbajosa, Ralf Oelmüller &amp; Stephan Pollmann</t>
  </si>
  <si>
    <t xml:space="preserve">Nuñez-Lillo G., Lillo-Carmona, V., Perez-Donoso, A., Pedreschi, R., Campos-Vargas, R., Meneses, C. </t>
  </si>
  <si>
    <t>N2 Fixation, N Transfer, and Land Equivalent Ratio (LER) in Grain Legume–Wheat Intercropping: Impact of N Supply and Plant Density</t>
  </si>
  <si>
    <t>Sebastian Salinas-Roco, Amanda Morales-Gonzalez, Soledad Espinoza, Ricardo Perez-Diaz, Basilio Carrasco, Alejandro del Pozo, Ricardo A. Cabeza</t>
  </si>
  <si>
    <t>10.3390/plants13070991</t>
  </si>
  <si>
    <t>Victoria Berdion Gabarain, Miguel A Ibeas, Hernán Salinas-Grenet, José M Estevez</t>
  </si>
  <si>
    <t>Molecular Plant Spotlight</t>
  </si>
  <si>
    <t>Gabriela Auge, Rohan Shawn Sunil, Robert A. Ingle, Puthan Valappil Rahul, Marek Mutwil, José M. Estevez</t>
  </si>
  <si>
    <t>1168-1174</t>
  </si>
  <si>
    <t>RAPID ALKALINIZATION FACTOR 22 is a key modulator of the root hair growth responses to fungal ethylene emissions in Arabidopsis</t>
  </si>
  <si>
    <t>Rafael Jorge León Morcillo, Jesús Leal-López, Alberto Férez-Gómez, Lidia López-Serrano, Edurne Baroja-Fernández, Samuel Gámez-Arcas, Germán Tortosa, Leonel E López, José Manuel Estevez, Verónica G Doblas, Laura Frías-España, María Dolores García-Pedrajas, Jorge Sarmiento-Villamil, Javier Pozueta-Romero</t>
  </si>
  <si>
    <t>2890-2904</t>
  </si>
  <si>
    <t xml:space="preserve">Muñoz, S., Vallejos-Baccelliere, G., Manubens, A., Salazar, M., Nascimento, A., Tapia-Reyes, P., Meneses, C., Ambrosio, A., Becker, M., Guixé, V., Castro-Fernandez, V. </t>
  </si>
  <si>
    <t>A First Omics Data Integration Approach in Hass Avocados to Evaluate Rootstock-Scion Interactions: From Aerial and Root Plant Growth to Fruit Development</t>
  </si>
  <si>
    <t>Gerardo Núñez-Lillo , Excequel Ponce, Clemens P. Beyer, Juan E. Álvaro, Claudio Meneses, Romina Pedreschi</t>
  </si>
  <si>
    <t>10.1093/jxb/erad362.</t>
  </si>
  <si>
    <t>Unheard voices speak up: The Arabidopsis community and the representation of researchers from the Global South</t>
  </si>
  <si>
    <t>Gabriela Auge, José M Estevez</t>
  </si>
  <si>
    <t>Biomass and nitrogen fixation dataset of Pisum sativum L. and Vicia faba L. cultivated under elevated CO2 and nitrogen addition.</t>
  </si>
  <si>
    <t>Ricardo A. Cabeza, Ricardo Perez-Diaz, Ramon Amigo, Sebastian Salinas-Roco, Amanda Morales-Gonzalez, Alejandro del Pozo</t>
  </si>
  <si>
    <t>Data in Brief</t>
  </si>
  <si>
    <t>2352-3409</t>
  </si>
  <si>
    <t>10.1016/j.dib.2024.110644</t>
  </si>
  <si>
    <t>The inhibition of N2 fixation by nitrogen is attenuated by the P supply, altering the plant metabolism</t>
  </si>
  <si>
    <t>Ricardo A. Cabeza, Joachim Schulze,Sebastian Salinas-Roco, Amanda Morales-Gonzalez, Ramon Amigo, Ricardo Perez-Diaz, Basilio Carrasco, Rodrigo Contreras-Soto, Carlos Maldonado, Romina Pedreschi, Soledad Espinoza, Alejandro del Pozo</t>
  </si>
  <si>
    <t>1873-7307</t>
  </si>
  <si>
    <t>E. Muñoz‑Díaz, I. Fuenzalida‑Valdivia, T. Darrière, A. de Bures, F. Blanco‑Herrera, M. Rompais, C. Carapito &amp; J. Sáez‑Vásquez</t>
  </si>
  <si>
    <t>10.1038/s41598-024-65558-4</t>
  </si>
  <si>
    <t>Núcleo Milenio para el Desarrollo Integral de los Territorios</t>
  </si>
  <si>
    <t xml:space="preserve">El rol del Estado en la reproducción de la escasez hídrica en territorios agrícolas. Un análisis a los subsidios de riego en la Región del Maule, Chile. </t>
  </si>
  <si>
    <t>Avanco, Ana; Castillo, Mayarí; Pérez Silva, Rodrigo</t>
  </si>
  <si>
    <t>10.1007/s41885-023-00130-2</t>
  </si>
  <si>
    <t xml:space="preserve">Unraveling gender differences in entrepreneurial exits: The role of human capital and family situation during an unprecedented crisis. </t>
  </si>
  <si>
    <t xml:space="preserve">Usero, B., Hernández, V. y Romaní, G. </t>
  </si>
  <si>
    <t xml:space="preserve">The International Journal of Entrepreneurship and Innovation. </t>
  </si>
  <si>
    <t>1465-7503</t>
  </si>
  <si>
    <t>10.1177/14657503241288997</t>
  </si>
  <si>
    <t>Regional Endogenous development in Chile: a simulation analysis of two models of allocation of public funds.</t>
  </si>
  <si>
    <t>Terán, O., Ravlic-Torres, D., Romaní, G</t>
  </si>
  <si>
    <t>Tec. Empresarial</t>
  </si>
  <si>
    <t>18-35</t>
  </si>
  <si>
    <t>1409-6980</t>
  </si>
  <si>
    <t xml:space="preserve">10.18845/te.v18i2.7135 </t>
  </si>
  <si>
    <t>Aprendizaje y cooperación: Explicando la adopción del marco de cualificaciones técnico profesional en Chile. </t>
  </si>
  <si>
    <t>Aguiar Lopez, O</t>
  </si>
  <si>
    <t>Archivos Analíticos De Políticas Educativas</t>
  </si>
  <si>
    <t>1068-2341</t>
  </si>
  <si>
    <t>10.14507/epaa.32.8101</t>
  </si>
  <si>
    <t>Modeling the economic impact for Chile of an import ban on genetically modified maize</t>
  </si>
  <si>
    <t>Foster, W., J. Ortega, G. Vargas</t>
  </si>
  <si>
    <t>GM Crops and Food</t>
  </si>
  <si>
    <t>85-104</t>
  </si>
  <si>
    <t>2164-5698</t>
  </si>
  <si>
    <t>10.1080/21645698.2024.2325180</t>
  </si>
  <si>
    <t>Linking Entrepreneurship to Productivity: Using a Composite Indicator for Farm-Level Innovation in UK Agriculture with Secondary Data</t>
  </si>
  <si>
    <t>Gadanakis, Y., Campos-González, J., Jones, P</t>
  </si>
  <si>
    <t>Agriculture</t>
  </si>
  <si>
    <t>2077-0472</t>
  </si>
  <si>
    <t xml:space="preserve">10.3390/agriculture14030409 </t>
  </si>
  <si>
    <t>The race between education and technology in Chile and its impact on the skill premium</t>
  </si>
  <si>
    <t>Campos-González, J. and Balcombe, K</t>
  </si>
  <si>
    <t>Economic Modelling</t>
  </si>
  <si>
    <t xml:space="preserve">1873-6122 </t>
  </si>
  <si>
    <t xml:space="preserve">10.1016/j.econmod.2023.106616 </t>
  </si>
  <si>
    <t>Disasters and technological upgrading measured by changes in demand for ICT labour: estimating the impacts with text</t>
  </si>
  <si>
    <t>Jorge Campos Gonzalez</t>
  </si>
  <si>
    <t xml:space="preserve">Natural Hazards </t>
  </si>
  <si>
    <t>1387-585X</t>
  </si>
  <si>
    <t xml:space="preserve">10.1007/s10668-024-04743-x </t>
  </si>
  <si>
    <t>2024-04-03 00:00:00.000</t>
  </si>
  <si>
    <t>Optimising decision support tools for the agricultural sector.</t>
  </si>
  <si>
    <t xml:space="preserve">Iakovidis, D. , Gadanakis, Y., Campos Gonzalez, J. Park, J. </t>
  </si>
  <si>
    <t xml:space="preserve">Environment, Development and Sustainability </t>
  </si>
  <si>
    <t xml:space="preserve">Is the proliferation of private standards acting as a non-tariff trade barrier in agrifood trade? Evidence from Chilean grape exports </t>
  </si>
  <si>
    <t>Anríquez, G; Gajardo, JT and de Frahan, BH</t>
  </si>
  <si>
    <t>JOURNAL OF AGRIBUSINESS IN DEVELOPING AND EMERGING ECONOMIES</t>
  </si>
  <si>
    <t>2044-0839</t>
  </si>
  <si>
    <t>10.1108/JADEE-08-2023-0200</t>
  </si>
  <si>
    <t xml:space="preserve">Cambio climático. Género y Pluralidad de saberes. </t>
  </si>
  <si>
    <t xml:space="preserve">Castillo, M.&amp; Patricia Retamal  </t>
  </si>
  <si>
    <t>Antropologías Del Sur</t>
  </si>
  <si>
    <t>10.25074/rantros.v11i21.2744</t>
  </si>
  <si>
    <t xml:space="preserve">Toxic Territories, gender and conflict. </t>
  </si>
  <si>
    <t>Castillo, Mayarí</t>
  </si>
  <si>
    <t>The Journal Of Political Ecology.</t>
  </si>
  <si>
    <t>10.2458/jpe.5262</t>
  </si>
  <si>
    <t>SLOW burn: Weak energy transition in a growing economy</t>
  </si>
  <si>
    <t>J. Fercovic, W. Foster, S. Gulati</t>
  </si>
  <si>
    <t>Energy Economics</t>
  </si>
  <si>
    <t>0140-9883</t>
  </si>
  <si>
    <t>10.1016/j.eneco.2024.107756</t>
  </si>
  <si>
    <t>Internal migration in Chile and the psychosocial well-being of families-of-origin</t>
  </si>
  <si>
    <t xml:space="preserve">Cazzuffi, C., Díaz-Allendes, V., Leyton, C. </t>
  </si>
  <si>
    <t xml:space="preserve">Journal of Family Studies. </t>
  </si>
  <si>
    <t>3041-8550</t>
  </si>
  <si>
    <t>10.1080/13229400.2024.2377136</t>
  </si>
  <si>
    <t>Why should we be concerned about balancing the supply and demand of skilled workers?</t>
  </si>
  <si>
    <t xml:space="preserve"> Societal Impacts</t>
  </si>
  <si>
    <t>2949-6977</t>
  </si>
  <si>
    <t xml:space="preserve">10.1016/j.socimp.2024.100057 </t>
  </si>
  <si>
    <t xml:space="preserve">Conflictos socioambientales, extractivismo y crisis. </t>
  </si>
  <si>
    <t xml:space="preserve">Cuevas, C., &amp; Castillo, M. </t>
  </si>
  <si>
    <t>Refining the scale of the rural-urban landscape: A policy-relevant application to Chile</t>
  </si>
  <si>
    <t>G. Anríquez, J. Calabrese, W. Foster, K. Keim, P. Osses.</t>
  </si>
  <si>
    <t>Applied Geography</t>
  </si>
  <si>
    <t>0143-6228</t>
  </si>
  <si>
    <t>10.1016/j.apgeog.2024.103318</t>
  </si>
  <si>
    <t>Desarrollo local y migración interregional de trabajadores altamente calificados. El caso de Chile.</t>
  </si>
  <si>
    <t xml:space="preserve">Pérez-Silva, R., Fernández, I. &amp; Sanhueza, C. </t>
  </si>
  <si>
    <t>Investigaciones Regionales - Journal of Regional Research</t>
  </si>
  <si>
    <t>10.38191/iirr-jorr.24.061</t>
  </si>
  <si>
    <t>Social capital and individual well-being in the post-disaster period: The case of Hurricane Maria in Puerto Rico</t>
  </si>
  <si>
    <t>Ahumada, G., Cantillan, R., &amp; Jara, B</t>
  </si>
  <si>
    <t>International Journal of Disaster Risk Reduction</t>
  </si>
  <si>
    <t>2212-4209</t>
  </si>
  <si>
    <t>10.1016/j.ijdrr.2020.101632</t>
  </si>
  <si>
    <t>Influence of skills and knowledge on the financial attitude of university students.</t>
  </si>
  <si>
    <t xml:space="preserve">Loza, R., Romaní, G., Castañeda, W, y Arias, G. </t>
  </si>
  <si>
    <t>65-83</t>
  </si>
  <si>
    <t>10.18845/te.v18i1.7002</t>
  </si>
  <si>
    <t>“Quiero Ser Mi Propio jefe”. Luces Y Sombras Del Periodismo Emprendedor En Chile</t>
  </si>
  <si>
    <t>Lazcano-Peña, Daniela, Maria Paz Galvez-Pereira, &amp; Carolina Paredes-Flores</t>
  </si>
  <si>
    <t>Comunicación Y Medios</t>
  </si>
  <si>
    <t>65-78</t>
  </si>
  <si>
    <t xml:space="preserve">10.5354/0719-1529.2024.73997 </t>
  </si>
  <si>
    <t>Malabaristas y equilibristas: Mujeres que escriben y editan en el campo de los estudios en comunicación</t>
  </si>
  <si>
    <t>Lagos, Claudia</t>
  </si>
  <si>
    <t>Friedrich Ebert Stiftung</t>
  </si>
  <si>
    <t>57-68</t>
  </si>
  <si>
    <t>978-958-8677-88-0</t>
  </si>
  <si>
    <t>NO tiene DOI</t>
  </si>
  <si>
    <t>Medios y memoria en Chile: análisis comparativo del framing mediático en los funerales de Patricio Aylwin y Carlos Altamirano</t>
  </si>
  <si>
    <t>Francisco Javier Tagle Montt, Vanessa Zúñiga Rodríguez &amp; José Tomás Hargous Fuentes</t>
  </si>
  <si>
    <t>Memoria y Civilización</t>
  </si>
  <si>
    <t>10.15581/001.27.2.021</t>
  </si>
  <si>
    <t>Outsourcing Machines. How Programmatic Parties Include Clientelistic Strategies</t>
  </si>
  <si>
    <t>Gonzalo Contreras</t>
  </si>
  <si>
    <t>Comparative Political Studies</t>
  </si>
  <si>
    <t>1552-3829</t>
  </si>
  <si>
    <t>10.1177/00104140241271310</t>
  </si>
  <si>
    <t>The effects of district magnitude on the number of intra-party factions: the case of Colombia, 1958–1990</t>
  </si>
  <si>
    <t>Campos-Herrera, Germán; Navia, Patricio</t>
  </si>
  <si>
    <t>Japanese Journal of Political Science</t>
  </si>
  <si>
    <t>1468-1099</t>
  </si>
  <si>
    <t>10.1017/S1468109924000112</t>
  </si>
  <si>
    <t>Elecciones presidenciales en Chile 2021: La generación de la protesta estudiantil llega al gobierno</t>
  </si>
  <si>
    <t>Miguel Angel López &amp; Nicolás Miranda</t>
  </si>
  <si>
    <t>Centro de Estudios Políticos y Constitucionales. Mº de la Presidencia</t>
  </si>
  <si>
    <t>263-318</t>
  </si>
  <si>
    <t>978-84-259-2040-0</t>
  </si>
  <si>
    <t>No tiene DOI</t>
  </si>
  <si>
    <t>Del porqué y para qué estudiar el campo de la Comunicación (o los desvaríos de una búsqueda identitaria personal)</t>
  </si>
  <si>
    <t>Lazcano-Peña, Daniela</t>
  </si>
  <si>
    <t>Friedrich Ebert Stiftung - FES COMUNICACIÓN</t>
  </si>
  <si>
    <t>Between Gattopardismo and Ideational Change: The Mainstream Chilean Right’s Winding Road to Moderation</t>
  </si>
  <si>
    <t>Alenda, Stéphanie; López, Miguel Ángel; Bunker, Kenneth &amp; Miranda. Nicolás</t>
  </si>
  <si>
    <t>10.1017/9781009427432.011</t>
  </si>
  <si>
    <t>The B Side of Activism: What Happens When Threats Against Journalists Affect the Coverage of Democratic Backsliding?</t>
  </si>
  <si>
    <t>Proust, V.  Ortega-Gunckel, C., &amp; Grassau, D.</t>
  </si>
  <si>
    <t>Lexington Books</t>
  </si>
  <si>
    <t>Análisis del consumo y de la credibilidad informativa en estudiantes chilenos de Periodismo</t>
  </si>
  <si>
    <t>Bustamante-Pavez, Guillermo, Gonzalo Espinoza-Bianchini, Daniela Lazcano-Peña, &amp; Isabel Pavez</t>
  </si>
  <si>
    <t>10.56754/0718-4867.2024.3634</t>
  </si>
  <si>
    <t>Activismo politico online: Los chilenos y el plebiscito de 2022</t>
  </si>
  <si>
    <t xml:space="preserve">Nicolás Miranda Olivares, Miguel Ángel López &amp; Carolina Plaza Colodro, </t>
  </si>
  <si>
    <t>Tirant Lo Blanch</t>
  </si>
  <si>
    <t>235-265</t>
  </si>
  <si>
    <t xml:space="preserve"> Political Participation and Technology: Continuities and discontinuities in the Southern Cone and Brazil.</t>
  </si>
  <si>
    <t>Marcelo Santos &amp; Sebastián Valenzuela</t>
  </si>
  <si>
    <t xml:space="preserve">Digital ‘Guerrillas’ and the changing Influence Industry’s impact on Latin American democracies: lessons from Chile. </t>
  </si>
  <si>
    <t>Marcelo Santos &amp; Ximena Orchard</t>
  </si>
  <si>
    <t>10.4324/9781003256878-16</t>
  </si>
  <si>
    <t>2025-01-01 00:00:00.000</t>
  </si>
  <si>
    <t>Reclaiming the Social Legitimacy of Journalism in Polarised Environments: Lessons from Chile and Bolivia</t>
  </si>
  <si>
    <t>Orchard, Ximena &amp; Schuliaquer, Iván</t>
  </si>
  <si>
    <t>Springer</t>
  </si>
  <si>
    <t>317-332</t>
  </si>
  <si>
    <t>978-3-031-48739-2</t>
  </si>
  <si>
    <t>10.1007/978-3-031-48739-2_19</t>
  </si>
  <si>
    <t>The more official, the less I believe”: Using focus groups to explore public opinion formation in politically polarized contexts</t>
  </si>
  <si>
    <t>Pavez, Maria Isabel.; Saldaña, Magdalena; Cabalin, Cristián; Scherman, Andrés</t>
  </si>
  <si>
    <t>1587-1599</t>
  </si>
  <si>
    <t>Medición efectiva de las competencias mediáticas de los futuros comunicadores chilenos</t>
  </si>
  <si>
    <t>Andrada, Pablo.; Cabalin, Cristián.; Agurto, Cristian</t>
  </si>
  <si>
    <t>Perspectivas de la Comunicación</t>
  </si>
  <si>
    <t>Masking turnout inequality. Invalid voting and class bias when compulsory voting is reinstated</t>
  </si>
  <si>
    <t>Gonzalo Contreras; Mauricio Morales</t>
  </si>
  <si>
    <t>10.1016/j.electstud.2024.102878</t>
  </si>
  <si>
    <t>Crossing borders, casting votes: examining migrant electoral turnout in Chile (2012–2020)</t>
  </si>
  <si>
    <t>Mario Herrera y Mauricio Morales</t>
  </si>
  <si>
    <t>Journal of Ethnic &amp; Migration Studies</t>
  </si>
  <si>
    <t>1369-183X</t>
  </si>
  <si>
    <t>10.1080/1369183X.2024.2385681</t>
  </si>
  <si>
    <t>Profe, ¿tiene TikTok? Autopercepción de competencias mediáticas en el profesorado de periodismo en Chile</t>
  </si>
  <si>
    <t>Lazcano-Peña, Daniela, Nairbis Sibrian, &amp; Paulina Maureira</t>
  </si>
  <si>
    <t>Innovaciones Educativas</t>
  </si>
  <si>
    <t>10.22458/ie.v26iEspecial.5363</t>
  </si>
  <si>
    <t>Desafíos En La enseñanza Del Periodismo: Autopercepción De Competencias mediáticas En Profesores De Universidades Chilenas</t>
  </si>
  <si>
    <t>Sibrian Díaz, Nairbis, Paulina Loreto Maureira González, Claudia Ximena Reyes Betanzo, Daniela Lazcano-Peña, Amaranta Alfaro, &amp; Vanessa Zúñiga</t>
  </si>
  <si>
    <t>Anuario Electrónico De Estudios En Comunicación Social</t>
  </si>
  <si>
    <t>10.12804/revistas.urosario.edu.co/disertaciones/a.14248</t>
  </si>
  <si>
    <t>Religious voting in a secularised country. Evidence from Chile's constitutional referendum (2022)</t>
  </si>
  <si>
    <t>Secularism &amp; Nonreligion</t>
  </si>
  <si>
    <t>2053-6712</t>
  </si>
  <si>
    <t>10.5334/snr.177</t>
  </si>
  <si>
    <t>In search of the missing link: election law infractions and candidate sanctions</t>
  </si>
  <si>
    <t>Fabián Belmar, Francisco Maldonado, Mauricio Morales</t>
  </si>
  <si>
    <t>Public Integrity</t>
  </si>
  <si>
    <t>1099-9922</t>
  </si>
  <si>
    <t>10.1080/10999922.2024.2364384</t>
  </si>
  <si>
    <t>Electoral vulnerability and localism under two electoral regimes: the case of Chile</t>
  </si>
  <si>
    <t>Ricardo Gamboa, Andrés Dockendorff y Marcel Aubry</t>
  </si>
  <si>
    <t>Journal of Elections, Public Opinion and Parties</t>
  </si>
  <si>
    <t>1745-7289</t>
  </si>
  <si>
    <t>10.1080/17457289.2024.2395348</t>
  </si>
  <si>
    <t>When do business groups embrace outside lobbying in trade policy? The case of the CPTPP in Chile</t>
  </si>
  <si>
    <t>A Dockendorff, Dorotea Lòpez</t>
  </si>
  <si>
    <t>Estudos Internacionais PUC Minas</t>
  </si>
  <si>
    <t xml:space="preserve"> El efecto del gasto en campaña en candidaturas de partidos institucionalizados y de grupos emergentes: Convencionales constituyentes en Chile en 2021</t>
  </si>
  <si>
    <t>Abarca Olave, Thomas; Patricio Navia</t>
  </si>
  <si>
    <t>Revista de Estudios Políticos</t>
  </si>
  <si>
    <t>221-248</t>
  </si>
  <si>
    <t>0048-7694</t>
  </si>
  <si>
    <t>10.18042/cepc/rep.205.08 </t>
  </si>
  <si>
    <t>The moderating effect of ideological identification on how economic news and economic growth impact individual economic perceptions: Evidence from Chile</t>
  </si>
  <si>
    <t>Cabezas, José Miguel, Patricio Navia &amp; Sebastián Rivera Aburto</t>
  </si>
  <si>
    <t>Political Studies Review</t>
  </si>
  <si>
    <t>171-189</t>
  </si>
  <si>
    <t>1478-9302</t>
  </si>
  <si>
    <t>10.1177/14789299241232624</t>
  </si>
  <si>
    <t>Geographies of Discontent: Measuring and Understanding the Feeling of Abandonment in the Chilean Region of Valparaiso (2019-2021)</t>
  </si>
  <si>
    <t>Pedro Fierro, Ignacio Aravena, Patricio Aroca y Francisco Rowe</t>
  </si>
  <si>
    <t>Cambridge Journal of Regions, Economy and Society</t>
  </si>
  <si>
    <t>275-291</t>
  </si>
  <si>
    <t>1752-1378</t>
  </si>
  <si>
    <t>ISI/WOS</t>
  </si>
  <si>
    <t>Otras</t>
  </si>
  <si>
    <t>Libros</t>
  </si>
  <si>
    <t>Scielo</t>
  </si>
  <si>
    <t>Núcleo Milenio sobre exoplanetas jóvenes y sus lunas</t>
  </si>
  <si>
    <t>Instituto Milenio para Investigación en Imperfecciones de Mercado y Políticas Públicas</t>
  </si>
  <si>
    <t>Institutos Milenio</t>
  </si>
  <si>
    <t>Núcleos Milenio</t>
  </si>
  <si>
    <t>Instrumento</t>
  </si>
  <si>
    <t>n =</t>
  </si>
  <si>
    <t>Total</t>
  </si>
  <si>
    <t>Promedio x proyecto</t>
  </si>
  <si>
    <t>Contar</t>
  </si>
  <si>
    <t>Sin Cuartil</t>
  </si>
  <si>
    <t>BORRAR despuess</t>
  </si>
  <si>
    <t>Cantidad</t>
  </si>
  <si>
    <t>%</t>
  </si>
  <si>
    <r>
      <rPr>
        <b/>
        <sz val="14"/>
        <color theme="1"/>
        <rFont val="Calibri"/>
        <family val="2"/>
      </rPr>
      <t>*</t>
    </r>
    <r>
      <rPr>
        <sz val="11"/>
        <color theme="1"/>
        <rFont val="Calibri"/>
        <family val="2"/>
      </rPr>
      <t xml:space="preserve"> = descontando las sin cuartil</t>
    </r>
  </si>
  <si>
    <r>
      <t xml:space="preserve">% </t>
    </r>
    <r>
      <rPr>
        <b/>
        <sz val="14"/>
        <color theme="1"/>
        <rFont val="Calibri"/>
        <family val="2"/>
      </rPr>
      <t>*</t>
    </r>
  </si>
  <si>
    <t>N/A</t>
  </si>
  <si>
    <t>Cuartil</t>
  </si>
  <si>
    <t>Posición Relativa</t>
  </si>
  <si>
    <t>Relevancia/Impacto</t>
  </si>
  <si>
    <t>Top 25%</t>
  </si>
  <si>
    <t>Mayor impacto y prestigio en su área. Estas son consideradas las revistas de élite.</t>
  </si>
  <si>
    <t>25% al 50%</t>
  </si>
  <si>
    <t>Impacto alto, por encima de la media, pero inferior al Q1.</t>
  </si>
  <si>
    <t>50% al 75%</t>
  </si>
  <si>
    <t>Impacto moderado.</t>
  </si>
  <si>
    <t>75% al 100%</t>
  </si>
  <si>
    <t>Impacto menor dentro de su categoría.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</si>
</sst>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1"/>
      <name val="Calibri"/>
      <family val="2"/>
    </font>
    <font>
      <sz val="11"/>
      <color theme="1"/>
      <name val="Calibri"/>
      <family val="2"/>
    </font>
    <font>
      <sz val="8"/>
      <name val="Aptos Narrow"/>
      <family val="2"/>
      <scheme val="minor"/>
    </font>
    <font>
      <b/>
      <sz val="14"/>
      <color theme="1"/>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1" fillId="0" borderId="1" xfId="0" applyFont="1" applyBorder="1" applyAlignment="1">
      <alignment vertical="center"/>
    </xf>
    <xf numFmtId="0" fontId="2" fillId="0" borderId="0" xfId="0" applyFont="1" applyAlignment="1">
      <alignment vertical="center"/>
    </xf>
    <xf numFmtId="0" fontId="2" fillId="0" borderId="1" xfId="0" applyFont="1" applyBorder="1" applyAlignment="1">
      <alignment vertical="center"/>
    </xf>
    <xf numFmtId="17" fontId="2" fillId="0" borderId="1" xfId="0" applyNumberFormat="1" applyFont="1" applyBorder="1" applyAlignment="1">
      <alignment vertical="center"/>
    </xf>
    <xf numFmtId="3" fontId="2" fillId="0" borderId="1" xfId="0" applyNumberFormat="1" applyFont="1" applyBorder="1" applyAlignment="1">
      <alignment vertical="center"/>
    </xf>
    <xf numFmtId="16" fontId="2" fillId="0" borderId="1" xfId="0" applyNumberFormat="1" applyFont="1" applyBorder="1" applyAlignment="1">
      <alignment vertical="center"/>
    </xf>
    <xf numFmtId="14" fontId="2" fillId="0" borderId="1" xfId="0" applyNumberFormat="1" applyFont="1" applyBorder="1" applyAlignment="1">
      <alignment vertical="center"/>
    </xf>
    <xf numFmtId="0" fontId="2"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164" fontId="2" fillId="0" borderId="1" xfId="0" applyNumberFormat="1" applyFont="1" applyBorder="1" applyAlignment="1">
      <alignment horizontal="center" vertical="center"/>
    </xf>
    <xf numFmtId="0" fontId="1" fillId="0" borderId="0" xfId="0" applyFont="1" applyAlignment="1">
      <alignment vertical="center"/>
    </xf>
    <xf numFmtId="0" fontId="1" fillId="0" borderId="2" xfId="0" applyFont="1" applyBorder="1" applyAlignment="1">
      <alignment horizontal="center" vertical="center"/>
    </xf>
    <xf numFmtId="164" fontId="1" fillId="0" borderId="1" xfId="0" applyNumberFormat="1"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37CE-E79B-44C9-B40A-81C57AC0B067}">
  <dimension ref="A1:W2007"/>
  <sheetViews>
    <sheetView workbookViewId="0">
      <selection activeCell="V2007" sqref="V2:V2007"/>
    </sheetView>
  </sheetViews>
  <sheetFormatPr baseColWidth="10" defaultRowHeight="15" x14ac:dyDescent="0.25"/>
  <cols>
    <col min="1" max="1" width="6.42578125" style="2" customWidth="1"/>
    <col min="2" max="2" width="70.42578125" style="2" customWidth="1"/>
    <col min="3" max="3" width="11.5703125" style="2" bestFit="1" customWidth="1"/>
    <col min="4" max="5" width="11.42578125" style="2"/>
    <col min="6" max="6" width="1.85546875" style="2" customWidth="1"/>
    <col min="7" max="7" width="8.42578125" style="8" bestFit="1" customWidth="1"/>
    <col min="8" max="8" width="6.28515625" style="8" bestFit="1" customWidth="1"/>
    <col min="9" max="9" width="5.7109375" style="8" bestFit="1" customWidth="1"/>
    <col min="10" max="10" width="6.28515625" style="8" bestFit="1" customWidth="1"/>
    <col min="11" max="11" width="7.140625" style="8" bestFit="1" customWidth="1"/>
    <col min="12" max="12" width="11.42578125" style="2"/>
    <col min="13" max="14" width="21.7109375" style="2" customWidth="1"/>
    <col min="15" max="15" width="11.5703125" style="2" bestFit="1" customWidth="1"/>
    <col min="16" max="16" width="12" style="2" bestFit="1" customWidth="1"/>
    <col min="17" max="17" width="11.5703125" style="2" bestFit="1" customWidth="1"/>
    <col min="18" max="18" width="12" style="2" bestFit="1" customWidth="1"/>
    <col min="19" max="19" width="11.5703125" style="2" bestFit="1" customWidth="1"/>
    <col min="20" max="20" width="14.85546875" style="2" bestFit="1" customWidth="1"/>
    <col min="21" max="21" width="6.85546875" style="11" bestFit="1" customWidth="1"/>
    <col min="22" max="22" width="27.140625" style="2" customWidth="1"/>
    <col min="23" max="16384" width="11.42578125" style="2"/>
  </cols>
  <sheetData>
    <row r="1" spans="1:23" s="8" customFormat="1" x14ac:dyDescent="0.25">
      <c r="B1" s="9" t="s">
        <v>0</v>
      </c>
      <c r="C1" s="9" t="s">
        <v>1</v>
      </c>
      <c r="D1" s="9" t="s">
        <v>2</v>
      </c>
      <c r="E1" s="9" t="s">
        <v>3</v>
      </c>
      <c r="F1" s="9" t="s">
        <v>7834</v>
      </c>
      <c r="G1" s="9" t="s">
        <v>8157</v>
      </c>
      <c r="H1" s="9" t="s">
        <v>8159</v>
      </c>
      <c r="I1" s="9" t="s">
        <v>8158</v>
      </c>
      <c r="J1" s="9" t="s">
        <v>8160</v>
      </c>
      <c r="K1" s="9" t="s">
        <v>206</v>
      </c>
      <c r="L1" s="9" t="s">
        <v>4</v>
      </c>
      <c r="M1" s="9" t="s">
        <v>5</v>
      </c>
      <c r="N1" s="9" t="s">
        <v>6</v>
      </c>
      <c r="O1" s="9" t="s">
        <v>7</v>
      </c>
      <c r="P1" s="9" t="s">
        <v>8</v>
      </c>
      <c r="Q1" s="9" t="s">
        <v>9</v>
      </c>
      <c r="R1" s="9" t="s">
        <v>10</v>
      </c>
      <c r="S1" s="9" t="s">
        <v>11</v>
      </c>
      <c r="T1" s="9" t="s">
        <v>12</v>
      </c>
      <c r="U1" s="11" t="s">
        <v>8169</v>
      </c>
      <c r="V1" s="9" t="s">
        <v>8171</v>
      </c>
      <c r="W1" s="8" t="s">
        <v>7834</v>
      </c>
    </row>
    <row r="2" spans="1:23" x14ac:dyDescent="0.25">
      <c r="A2" s="2">
        <v>25</v>
      </c>
      <c r="B2" s="3" t="s">
        <v>13</v>
      </c>
      <c r="C2" s="3">
        <v>2024</v>
      </c>
      <c r="D2" s="3" t="s">
        <v>107</v>
      </c>
      <c r="E2" s="3" t="s">
        <v>114</v>
      </c>
      <c r="F2" s="1" t="s">
        <v>7834</v>
      </c>
      <c r="G2" s="10"/>
      <c r="H2" s="10"/>
      <c r="I2" s="10"/>
      <c r="J2" s="10"/>
      <c r="K2" s="10"/>
      <c r="L2" s="3" t="s">
        <v>115</v>
      </c>
      <c r="M2" s="3" t="s">
        <v>116</v>
      </c>
      <c r="N2" s="3" t="s">
        <v>117</v>
      </c>
      <c r="O2" s="3"/>
      <c r="P2" s="3"/>
      <c r="Q2" s="3"/>
      <c r="R2" s="3"/>
      <c r="S2" s="3" t="s">
        <v>118</v>
      </c>
      <c r="T2" s="3" t="s">
        <v>119</v>
      </c>
      <c r="U2" s="11">
        <v>1</v>
      </c>
      <c r="V2" s="3" t="s">
        <v>13</v>
      </c>
      <c r="W2" s="8" t="s">
        <v>7834</v>
      </c>
    </row>
    <row r="3" spans="1:23" x14ac:dyDescent="0.25">
      <c r="A3" s="2">
        <v>29</v>
      </c>
      <c r="B3" s="3" t="s">
        <v>13</v>
      </c>
      <c r="C3" s="3">
        <v>2024</v>
      </c>
      <c r="D3" s="3" t="s">
        <v>93</v>
      </c>
      <c r="E3" s="3" t="s">
        <v>114</v>
      </c>
      <c r="F3" s="1" t="s">
        <v>7834</v>
      </c>
      <c r="G3" s="10"/>
      <c r="H3" s="10"/>
      <c r="I3" s="10"/>
      <c r="J3" s="10"/>
      <c r="K3" s="10"/>
      <c r="L3" s="3" t="s">
        <v>130</v>
      </c>
      <c r="M3" s="3" t="s">
        <v>131</v>
      </c>
      <c r="N3" s="3" t="s">
        <v>132</v>
      </c>
      <c r="O3" s="3"/>
      <c r="P3" s="3"/>
      <c r="Q3" s="3"/>
      <c r="R3" s="3"/>
      <c r="S3" s="3" t="s">
        <v>133</v>
      </c>
      <c r="T3" s="3" t="s">
        <v>119</v>
      </c>
      <c r="U3" s="11">
        <v>2</v>
      </c>
      <c r="V3" s="3" t="s">
        <v>13</v>
      </c>
      <c r="W3" s="8" t="s">
        <v>7834</v>
      </c>
    </row>
    <row r="4" spans="1:23" x14ac:dyDescent="0.25">
      <c r="A4" s="2">
        <v>30</v>
      </c>
      <c r="B4" s="3" t="s">
        <v>13</v>
      </c>
      <c r="C4" s="3">
        <v>2024</v>
      </c>
      <c r="D4" s="3" t="s">
        <v>93</v>
      </c>
      <c r="E4" s="3" t="s">
        <v>114</v>
      </c>
      <c r="F4" s="1" t="s">
        <v>7834</v>
      </c>
      <c r="G4" s="10"/>
      <c r="H4" s="10"/>
      <c r="I4" s="10"/>
      <c r="J4" s="10"/>
      <c r="K4" s="10"/>
      <c r="L4" s="3" t="s">
        <v>134</v>
      </c>
      <c r="M4" s="3" t="s">
        <v>135</v>
      </c>
      <c r="N4" s="3" t="s">
        <v>132</v>
      </c>
      <c r="O4" s="3"/>
      <c r="P4" s="3"/>
      <c r="Q4" s="3"/>
      <c r="R4" s="3"/>
      <c r="S4" s="3" t="s">
        <v>136</v>
      </c>
      <c r="T4" s="3" t="s">
        <v>119</v>
      </c>
      <c r="U4" s="11">
        <v>3</v>
      </c>
      <c r="V4" s="3" t="s">
        <v>13</v>
      </c>
      <c r="W4" s="8" t="s">
        <v>7834</v>
      </c>
    </row>
    <row r="5" spans="1:23" x14ac:dyDescent="0.25">
      <c r="A5" s="2">
        <v>31</v>
      </c>
      <c r="B5" s="3" t="s">
        <v>13</v>
      </c>
      <c r="C5" s="3">
        <v>2024</v>
      </c>
      <c r="D5" s="3" t="s">
        <v>93</v>
      </c>
      <c r="E5" s="3" t="s">
        <v>114</v>
      </c>
      <c r="F5" s="1" t="s">
        <v>7834</v>
      </c>
      <c r="G5" s="10"/>
      <c r="H5" s="10"/>
      <c r="I5" s="10"/>
      <c r="J5" s="10"/>
      <c r="K5" s="10"/>
      <c r="L5" s="3" t="s">
        <v>137</v>
      </c>
      <c r="M5" s="3" t="s">
        <v>138</v>
      </c>
      <c r="N5" s="3" t="s">
        <v>132</v>
      </c>
      <c r="O5" s="3"/>
      <c r="P5" s="3"/>
      <c r="Q5" s="3"/>
      <c r="R5" s="3"/>
      <c r="S5" s="3" t="s">
        <v>139</v>
      </c>
      <c r="T5" s="3" t="s">
        <v>119</v>
      </c>
      <c r="U5" s="11">
        <v>4</v>
      </c>
      <c r="V5" s="3" t="s">
        <v>13</v>
      </c>
      <c r="W5" s="8" t="s">
        <v>7834</v>
      </c>
    </row>
    <row r="6" spans="1:23" x14ac:dyDescent="0.25">
      <c r="A6" s="2">
        <v>32</v>
      </c>
      <c r="B6" s="3" t="s">
        <v>13</v>
      </c>
      <c r="C6" s="3">
        <v>2024</v>
      </c>
      <c r="D6" s="3" t="s">
        <v>140</v>
      </c>
      <c r="E6" s="3" t="s">
        <v>114</v>
      </c>
      <c r="F6" s="1" t="s">
        <v>7834</v>
      </c>
      <c r="G6" s="10"/>
      <c r="H6" s="10"/>
      <c r="I6" s="10">
        <v>1</v>
      </c>
      <c r="J6" s="10"/>
      <c r="K6" s="10"/>
      <c r="L6" s="3" t="s">
        <v>141</v>
      </c>
      <c r="M6" s="3" t="s">
        <v>142</v>
      </c>
      <c r="N6" s="3" t="s">
        <v>143</v>
      </c>
      <c r="O6" s="3"/>
      <c r="P6" s="3"/>
      <c r="Q6" s="3"/>
      <c r="R6" s="3" t="s">
        <v>144</v>
      </c>
      <c r="S6" s="3" t="s">
        <v>145</v>
      </c>
      <c r="T6" s="3" t="s">
        <v>119</v>
      </c>
      <c r="U6" s="11">
        <v>5</v>
      </c>
      <c r="V6" s="3" t="s">
        <v>13</v>
      </c>
      <c r="W6" s="8" t="s">
        <v>7834</v>
      </c>
    </row>
    <row r="7" spans="1:23" x14ac:dyDescent="0.25">
      <c r="A7" s="2">
        <v>106</v>
      </c>
      <c r="B7" s="3" t="s">
        <v>501</v>
      </c>
      <c r="C7" s="3">
        <v>2024</v>
      </c>
      <c r="D7" s="3" t="s">
        <v>508</v>
      </c>
      <c r="E7" s="3" t="s">
        <v>496</v>
      </c>
      <c r="F7" s="1" t="s">
        <v>7834</v>
      </c>
      <c r="G7" s="10"/>
      <c r="H7" s="10"/>
      <c r="I7" s="10"/>
      <c r="J7" s="10"/>
      <c r="K7" s="10"/>
      <c r="L7" s="3" t="s">
        <v>509</v>
      </c>
      <c r="M7" s="3" t="s">
        <v>510</v>
      </c>
      <c r="N7" s="3" t="s">
        <v>511</v>
      </c>
      <c r="O7" s="3">
        <v>5</v>
      </c>
      <c r="P7" s="3">
        <v>572</v>
      </c>
      <c r="Q7" s="3"/>
      <c r="R7" s="3">
        <v>9780323972802</v>
      </c>
      <c r="S7" s="3" t="s">
        <v>512</v>
      </c>
      <c r="T7" s="3" t="s">
        <v>119</v>
      </c>
      <c r="U7" s="11">
        <v>1</v>
      </c>
      <c r="V7" s="3" t="s">
        <v>501</v>
      </c>
      <c r="W7" s="8" t="s">
        <v>7834</v>
      </c>
    </row>
    <row r="8" spans="1:23" x14ac:dyDescent="0.25">
      <c r="A8" s="2">
        <v>126</v>
      </c>
      <c r="B8" s="3" t="s">
        <v>501</v>
      </c>
      <c r="C8" s="3">
        <v>2024</v>
      </c>
      <c r="D8" s="3" t="s">
        <v>93</v>
      </c>
      <c r="E8" s="3" t="s">
        <v>496</v>
      </c>
      <c r="F8" s="1" t="s">
        <v>7834</v>
      </c>
      <c r="G8" s="10"/>
      <c r="H8" s="10">
        <v>2</v>
      </c>
      <c r="I8" s="10"/>
      <c r="J8" s="10"/>
      <c r="K8" s="10"/>
      <c r="L8" s="3" t="s">
        <v>618</v>
      </c>
      <c r="M8" s="3" t="s">
        <v>619</v>
      </c>
      <c r="N8" s="3" t="s">
        <v>620</v>
      </c>
      <c r="O8" s="3"/>
      <c r="P8" s="3"/>
      <c r="Q8" s="3"/>
      <c r="R8" s="3">
        <v>9788436279733</v>
      </c>
      <c r="S8" s="3" t="s">
        <v>621</v>
      </c>
      <c r="T8" s="3" t="s">
        <v>119</v>
      </c>
      <c r="U8" s="11">
        <v>2</v>
      </c>
      <c r="V8" s="3" t="s">
        <v>501</v>
      </c>
      <c r="W8" s="8" t="s">
        <v>7834</v>
      </c>
    </row>
    <row r="9" spans="1:23" x14ac:dyDescent="0.25">
      <c r="A9" s="2">
        <v>111</v>
      </c>
      <c r="B9" s="3" t="s">
        <v>501</v>
      </c>
      <c r="C9" s="3">
        <v>2024</v>
      </c>
      <c r="D9" s="3" t="s">
        <v>536</v>
      </c>
      <c r="E9" s="3" t="s">
        <v>114</v>
      </c>
      <c r="F9" s="1" t="s">
        <v>7834</v>
      </c>
      <c r="G9" s="10"/>
      <c r="H9" s="10"/>
      <c r="I9" s="10"/>
      <c r="J9" s="10"/>
      <c r="K9" s="10"/>
      <c r="L9" s="3" t="s">
        <v>537</v>
      </c>
      <c r="M9" s="3" t="s">
        <v>538</v>
      </c>
      <c r="N9" s="3" t="s">
        <v>539</v>
      </c>
      <c r="O9" s="3">
        <v>13</v>
      </c>
      <c r="P9" s="3">
        <v>25</v>
      </c>
      <c r="Q9" s="3">
        <v>207</v>
      </c>
      <c r="R9" s="3" t="s">
        <v>540</v>
      </c>
      <c r="S9" s="3" t="s">
        <v>541</v>
      </c>
      <c r="T9" s="3" t="s">
        <v>119</v>
      </c>
      <c r="U9" s="11">
        <v>3</v>
      </c>
      <c r="V9" s="3" t="s">
        <v>501</v>
      </c>
      <c r="W9" s="8" t="s">
        <v>7834</v>
      </c>
    </row>
    <row r="10" spans="1:23" x14ac:dyDescent="0.25">
      <c r="A10" s="2">
        <v>113</v>
      </c>
      <c r="B10" s="3" t="s">
        <v>501</v>
      </c>
      <c r="C10" s="3">
        <v>2024</v>
      </c>
      <c r="D10" s="3" t="s">
        <v>120</v>
      </c>
      <c r="E10" s="3" t="s">
        <v>114</v>
      </c>
      <c r="F10" s="1" t="s">
        <v>7834</v>
      </c>
      <c r="G10" s="10"/>
      <c r="H10" s="10"/>
      <c r="I10" s="10"/>
      <c r="J10" s="10"/>
      <c r="K10" s="10"/>
      <c r="L10" s="3" t="s">
        <v>547</v>
      </c>
      <c r="M10" s="3" t="s">
        <v>548</v>
      </c>
      <c r="N10" s="3" t="s">
        <v>549</v>
      </c>
      <c r="O10" s="3">
        <v>9</v>
      </c>
      <c r="P10" s="3">
        <v>3</v>
      </c>
      <c r="Q10" s="3">
        <v>1</v>
      </c>
      <c r="R10" s="3" t="s">
        <v>550</v>
      </c>
      <c r="S10" s="3" t="s">
        <v>551</v>
      </c>
      <c r="T10" s="3" t="s">
        <v>119</v>
      </c>
      <c r="U10" s="11">
        <v>4</v>
      </c>
      <c r="V10" s="3" t="s">
        <v>501</v>
      </c>
      <c r="W10" s="8" t="s">
        <v>7834</v>
      </c>
    </row>
    <row r="11" spans="1:23" x14ac:dyDescent="0.25">
      <c r="A11" s="2">
        <v>129</v>
      </c>
      <c r="B11" s="3" t="s">
        <v>501</v>
      </c>
      <c r="C11" s="3">
        <v>2024</v>
      </c>
      <c r="D11" s="3" t="s">
        <v>633</v>
      </c>
      <c r="E11" s="3" t="s">
        <v>114</v>
      </c>
      <c r="F11" s="1" t="s">
        <v>7834</v>
      </c>
      <c r="G11" s="10"/>
      <c r="H11" s="10"/>
      <c r="I11" s="10"/>
      <c r="J11" s="10"/>
      <c r="K11" s="10"/>
      <c r="L11" s="3" t="s">
        <v>634</v>
      </c>
      <c r="M11" s="3" t="s">
        <v>635</v>
      </c>
      <c r="N11" s="3" t="s">
        <v>636</v>
      </c>
      <c r="O11" s="3">
        <v>25</v>
      </c>
      <c r="P11" s="3">
        <v>41</v>
      </c>
      <c r="Q11" s="3"/>
      <c r="R11" s="3" t="s">
        <v>637</v>
      </c>
      <c r="S11" s="3" t="s">
        <v>638</v>
      </c>
      <c r="T11" s="3" t="s">
        <v>119</v>
      </c>
      <c r="U11" s="11">
        <v>5</v>
      </c>
      <c r="V11" s="3" t="s">
        <v>501</v>
      </c>
      <c r="W11" s="8" t="s">
        <v>7834</v>
      </c>
    </row>
    <row r="12" spans="1:23" x14ac:dyDescent="0.25">
      <c r="A12" s="2">
        <v>135</v>
      </c>
      <c r="B12" s="3" t="s">
        <v>501</v>
      </c>
      <c r="C12" s="3">
        <v>2024</v>
      </c>
      <c r="D12" s="3" t="s">
        <v>602</v>
      </c>
      <c r="E12" s="3" t="s">
        <v>114</v>
      </c>
      <c r="F12" s="1" t="s">
        <v>7834</v>
      </c>
      <c r="G12" s="10"/>
      <c r="H12" s="10"/>
      <c r="I12" s="10"/>
      <c r="J12" s="10"/>
      <c r="K12" s="10"/>
      <c r="L12" s="3" t="s">
        <v>666</v>
      </c>
      <c r="M12" s="3" t="s">
        <v>667</v>
      </c>
      <c r="N12" s="3" t="s">
        <v>668</v>
      </c>
      <c r="O12" s="3">
        <v>26</v>
      </c>
      <c r="P12" s="3">
        <v>1</v>
      </c>
      <c r="Q12" s="3">
        <v>129</v>
      </c>
      <c r="R12" s="3" t="s">
        <v>669</v>
      </c>
      <c r="S12" s="3" t="s">
        <v>670</v>
      </c>
      <c r="T12" s="3" t="s">
        <v>119</v>
      </c>
      <c r="U12" s="11">
        <v>6</v>
      </c>
      <c r="V12" s="3" t="s">
        <v>501</v>
      </c>
      <c r="W12" s="8" t="s">
        <v>7834</v>
      </c>
    </row>
    <row r="13" spans="1:23" x14ac:dyDescent="0.25">
      <c r="A13" s="2">
        <v>136</v>
      </c>
      <c r="B13" s="3" t="s">
        <v>501</v>
      </c>
      <c r="C13" s="3">
        <v>2024</v>
      </c>
      <c r="D13" s="3" t="s">
        <v>31</v>
      </c>
      <c r="E13" s="3" t="s">
        <v>114</v>
      </c>
      <c r="F13" s="1" t="s">
        <v>7834</v>
      </c>
      <c r="G13" s="10"/>
      <c r="H13" s="10"/>
      <c r="I13" s="10"/>
      <c r="J13" s="10"/>
      <c r="K13" s="10"/>
      <c r="L13" s="3" t="s">
        <v>671</v>
      </c>
      <c r="M13" s="3" t="s">
        <v>672</v>
      </c>
      <c r="N13" s="3" t="s">
        <v>673</v>
      </c>
      <c r="O13" s="3">
        <v>12</v>
      </c>
      <c r="P13" s="3">
        <v>6</v>
      </c>
      <c r="Q13" s="3"/>
      <c r="R13" s="3" t="s">
        <v>674</v>
      </c>
      <c r="S13" s="3" t="s">
        <v>675</v>
      </c>
      <c r="T13" s="3" t="s">
        <v>119</v>
      </c>
      <c r="U13" s="11">
        <v>7</v>
      </c>
      <c r="V13" s="3" t="s">
        <v>501</v>
      </c>
      <c r="W13" s="8" t="s">
        <v>7834</v>
      </c>
    </row>
    <row r="14" spans="1:23" x14ac:dyDescent="0.25">
      <c r="A14" s="2">
        <v>138</v>
      </c>
      <c r="B14" s="3" t="s">
        <v>501</v>
      </c>
      <c r="C14" s="3">
        <v>2024</v>
      </c>
      <c r="D14" s="3" t="s">
        <v>75</v>
      </c>
      <c r="E14" s="3" t="s">
        <v>114</v>
      </c>
      <c r="F14" s="1" t="s">
        <v>7834</v>
      </c>
      <c r="G14" s="10"/>
      <c r="H14" s="10"/>
      <c r="I14" s="10">
        <v>6</v>
      </c>
      <c r="J14" s="10"/>
      <c r="K14" s="10"/>
      <c r="L14" s="3" t="s">
        <v>681</v>
      </c>
      <c r="M14" s="3" t="s">
        <v>682</v>
      </c>
      <c r="N14" s="3" t="s">
        <v>683</v>
      </c>
      <c r="O14" s="3">
        <v>59</v>
      </c>
      <c r="P14" s="3">
        <v>4</v>
      </c>
      <c r="Q14" s="3"/>
      <c r="R14" s="3" t="s">
        <v>684</v>
      </c>
      <c r="S14" s="3" t="s">
        <v>685</v>
      </c>
      <c r="T14" s="3" t="s">
        <v>119</v>
      </c>
      <c r="U14" s="11">
        <v>8</v>
      </c>
      <c r="V14" s="3" t="s">
        <v>501</v>
      </c>
      <c r="W14" s="8" t="s">
        <v>7834</v>
      </c>
    </row>
    <row r="15" spans="1:23" x14ac:dyDescent="0.25">
      <c r="A15" s="2">
        <v>147</v>
      </c>
      <c r="B15" s="3" t="s">
        <v>501</v>
      </c>
      <c r="C15" s="3">
        <v>2024</v>
      </c>
      <c r="D15" s="3" t="s">
        <v>729</v>
      </c>
      <c r="E15" s="3" t="s">
        <v>730</v>
      </c>
      <c r="F15" s="1" t="s">
        <v>7834</v>
      </c>
      <c r="G15" s="10"/>
      <c r="H15" s="10"/>
      <c r="I15" s="10"/>
      <c r="J15" s="10">
        <v>1</v>
      </c>
      <c r="K15" s="10"/>
      <c r="L15" s="3" t="s">
        <v>731</v>
      </c>
      <c r="M15" s="3" t="s">
        <v>732</v>
      </c>
      <c r="N15" s="3" t="s">
        <v>733</v>
      </c>
      <c r="O15" s="3"/>
      <c r="P15" s="3">
        <v>19</v>
      </c>
      <c r="Q15" s="3"/>
      <c r="R15" s="3" t="s">
        <v>734</v>
      </c>
      <c r="S15" s="3" t="s">
        <v>735</v>
      </c>
      <c r="T15" s="3" t="s">
        <v>119</v>
      </c>
      <c r="U15" s="11">
        <v>9</v>
      </c>
      <c r="V15" s="3" t="s">
        <v>501</v>
      </c>
      <c r="W15" s="8" t="s">
        <v>7834</v>
      </c>
    </row>
    <row r="16" spans="1:23" x14ac:dyDescent="0.25">
      <c r="A16" s="2">
        <v>194</v>
      </c>
      <c r="B16" s="3" t="s">
        <v>774</v>
      </c>
      <c r="C16" s="3">
        <v>2024</v>
      </c>
      <c r="D16" s="3" t="s">
        <v>330</v>
      </c>
      <c r="E16" s="3" t="s">
        <v>496</v>
      </c>
      <c r="F16" s="1" t="s">
        <v>7834</v>
      </c>
      <c r="G16" s="10"/>
      <c r="H16" s="10"/>
      <c r="I16" s="10"/>
      <c r="J16" s="10"/>
      <c r="K16" s="10"/>
      <c r="L16" s="3" t="s">
        <v>943</v>
      </c>
      <c r="M16" s="3" t="s">
        <v>944</v>
      </c>
      <c r="N16" s="3" t="s">
        <v>945</v>
      </c>
      <c r="O16" s="3"/>
      <c r="P16" s="3"/>
      <c r="Q16" s="3"/>
      <c r="R16" s="3"/>
      <c r="S16" s="3" t="s">
        <v>946</v>
      </c>
      <c r="T16" s="3" t="s">
        <v>119</v>
      </c>
      <c r="U16" s="11">
        <v>10</v>
      </c>
      <c r="V16" s="3" t="s">
        <v>774</v>
      </c>
      <c r="W16" s="8" t="s">
        <v>7834</v>
      </c>
    </row>
    <row r="17" spans="1:23" x14ac:dyDescent="0.25">
      <c r="A17" s="2">
        <v>215</v>
      </c>
      <c r="B17" s="3" t="s">
        <v>774</v>
      </c>
      <c r="C17" s="3">
        <v>2024</v>
      </c>
      <c r="D17" s="3" t="s">
        <v>818</v>
      </c>
      <c r="E17" s="3" t="s">
        <v>496</v>
      </c>
      <c r="F17" s="1" t="s">
        <v>7834</v>
      </c>
      <c r="G17" s="10"/>
      <c r="H17" s="10"/>
      <c r="I17" s="10"/>
      <c r="J17" s="10"/>
      <c r="K17" s="10"/>
      <c r="L17" s="3" t="s">
        <v>1038</v>
      </c>
      <c r="M17" s="3" t="s">
        <v>1039</v>
      </c>
      <c r="N17" s="3" t="s">
        <v>1040</v>
      </c>
      <c r="O17" s="3"/>
      <c r="P17" s="3"/>
      <c r="Q17" s="3"/>
      <c r="R17" s="3"/>
      <c r="S17" s="3" t="s">
        <v>1041</v>
      </c>
      <c r="T17" s="3" t="s">
        <v>119</v>
      </c>
      <c r="U17" s="11">
        <v>11</v>
      </c>
      <c r="V17" s="3" t="s">
        <v>774</v>
      </c>
      <c r="W17" s="8" t="s">
        <v>7834</v>
      </c>
    </row>
    <row r="18" spans="1:23" x14ac:dyDescent="0.25">
      <c r="A18" s="2">
        <v>235</v>
      </c>
      <c r="B18" s="3" t="s">
        <v>774</v>
      </c>
      <c r="C18" s="3">
        <v>2024</v>
      </c>
      <c r="D18" s="3" t="s">
        <v>31</v>
      </c>
      <c r="E18" s="3" t="s">
        <v>496</v>
      </c>
      <c r="F18" s="1" t="s">
        <v>7834</v>
      </c>
      <c r="G18" s="10"/>
      <c r="H18" s="10">
        <v>4</v>
      </c>
      <c r="I18" s="10"/>
      <c r="J18" s="10"/>
      <c r="K18" s="10"/>
      <c r="L18" s="3" t="s">
        <v>1119</v>
      </c>
      <c r="M18" s="3" t="s">
        <v>944</v>
      </c>
      <c r="N18" s="3" t="s">
        <v>1120</v>
      </c>
      <c r="O18" s="3"/>
      <c r="P18" s="3"/>
      <c r="Q18" s="3" t="s">
        <v>1121</v>
      </c>
      <c r="R18" s="3"/>
      <c r="S18" s="3" t="s">
        <v>1122</v>
      </c>
      <c r="T18" s="3" t="s">
        <v>119</v>
      </c>
      <c r="U18" s="11">
        <v>12</v>
      </c>
      <c r="V18" s="3" t="s">
        <v>774</v>
      </c>
      <c r="W18" s="8" t="s">
        <v>7834</v>
      </c>
    </row>
    <row r="19" spans="1:23" x14ac:dyDescent="0.25">
      <c r="A19" s="2">
        <v>155</v>
      </c>
      <c r="B19" s="3" t="s">
        <v>774</v>
      </c>
      <c r="C19" s="3">
        <v>2024</v>
      </c>
      <c r="D19" s="3" t="s">
        <v>775</v>
      </c>
      <c r="E19" s="3" t="s">
        <v>114</v>
      </c>
      <c r="F19" s="1" t="s">
        <v>7834</v>
      </c>
      <c r="G19" s="10"/>
      <c r="H19" s="10"/>
      <c r="I19" s="10"/>
      <c r="J19" s="10"/>
      <c r="K19" s="10"/>
      <c r="L19" s="3" t="s">
        <v>776</v>
      </c>
      <c r="M19" s="3" t="s">
        <v>777</v>
      </c>
      <c r="N19" s="3" t="s">
        <v>778</v>
      </c>
      <c r="O19" s="3"/>
      <c r="P19" s="3"/>
      <c r="Q19" s="3"/>
      <c r="R19" s="3"/>
      <c r="S19" s="3" t="s">
        <v>779</v>
      </c>
      <c r="T19" s="3" t="s">
        <v>119</v>
      </c>
      <c r="U19" s="11">
        <v>13</v>
      </c>
      <c r="V19" s="3" t="s">
        <v>774</v>
      </c>
      <c r="W19" s="8" t="s">
        <v>7834</v>
      </c>
    </row>
    <row r="20" spans="1:23" x14ac:dyDescent="0.25">
      <c r="A20" s="2">
        <v>157</v>
      </c>
      <c r="B20" s="3" t="s">
        <v>774</v>
      </c>
      <c r="C20" s="3">
        <v>2024</v>
      </c>
      <c r="D20" s="3" t="s">
        <v>785</v>
      </c>
      <c r="E20" s="3" t="s">
        <v>114</v>
      </c>
      <c r="F20" s="1" t="s">
        <v>7834</v>
      </c>
      <c r="G20" s="10"/>
      <c r="H20" s="10"/>
      <c r="I20" s="10"/>
      <c r="J20" s="10"/>
      <c r="K20" s="10"/>
      <c r="L20" s="3" t="s">
        <v>786</v>
      </c>
      <c r="M20" s="3" t="s">
        <v>787</v>
      </c>
      <c r="N20" s="3" t="s">
        <v>778</v>
      </c>
      <c r="O20" s="3"/>
      <c r="P20" s="3"/>
      <c r="Q20" s="3"/>
      <c r="R20" s="3"/>
      <c r="S20" s="3" t="s">
        <v>784</v>
      </c>
      <c r="T20" s="3" t="s">
        <v>119</v>
      </c>
      <c r="U20" s="11">
        <v>14</v>
      </c>
      <c r="V20" s="3" t="s">
        <v>774</v>
      </c>
      <c r="W20" s="8" t="s">
        <v>7834</v>
      </c>
    </row>
    <row r="21" spans="1:23" x14ac:dyDescent="0.25">
      <c r="A21" s="2">
        <v>158</v>
      </c>
      <c r="B21" s="3" t="s">
        <v>774</v>
      </c>
      <c r="C21" s="3">
        <v>2024</v>
      </c>
      <c r="D21" s="3" t="s">
        <v>788</v>
      </c>
      <c r="E21" s="3" t="s">
        <v>114</v>
      </c>
      <c r="F21" s="1" t="s">
        <v>7834</v>
      </c>
      <c r="G21" s="10"/>
      <c r="H21" s="10"/>
      <c r="I21" s="10"/>
      <c r="J21" s="10"/>
      <c r="K21" s="10"/>
      <c r="L21" s="3" t="s">
        <v>789</v>
      </c>
      <c r="M21" s="3" t="s">
        <v>790</v>
      </c>
      <c r="N21" s="3" t="s">
        <v>778</v>
      </c>
      <c r="O21" s="3"/>
      <c r="P21" s="3"/>
      <c r="Q21" s="3"/>
      <c r="R21" s="3"/>
      <c r="S21" s="3" t="s">
        <v>791</v>
      </c>
      <c r="T21" s="3" t="s">
        <v>119</v>
      </c>
      <c r="U21" s="11">
        <v>15</v>
      </c>
      <c r="V21" s="3" t="s">
        <v>774</v>
      </c>
      <c r="W21" s="8" t="s">
        <v>7834</v>
      </c>
    </row>
    <row r="22" spans="1:23" x14ac:dyDescent="0.25">
      <c r="A22" s="2">
        <v>159</v>
      </c>
      <c r="B22" s="3" t="s">
        <v>774</v>
      </c>
      <c r="C22" s="3">
        <v>2024</v>
      </c>
      <c r="D22" s="3" t="s">
        <v>792</v>
      </c>
      <c r="E22" s="3" t="s">
        <v>114</v>
      </c>
      <c r="F22" s="1" t="s">
        <v>7834</v>
      </c>
      <c r="G22" s="10"/>
      <c r="H22" s="10"/>
      <c r="I22" s="10"/>
      <c r="J22" s="10"/>
      <c r="K22" s="10"/>
      <c r="L22" s="3" t="s">
        <v>793</v>
      </c>
      <c r="M22" s="3" t="s">
        <v>794</v>
      </c>
      <c r="N22" s="3" t="s">
        <v>778</v>
      </c>
      <c r="O22" s="3"/>
      <c r="P22" s="3"/>
      <c r="Q22" s="3"/>
      <c r="R22" s="3"/>
      <c r="S22" s="3" t="s">
        <v>795</v>
      </c>
      <c r="T22" s="3" t="s">
        <v>119</v>
      </c>
      <c r="U22" s="11">
        <v>16</v>
      </c>
      <c r="V22" s="3" t="s">
        <v>774</v>
      </c>
      <c r="W22" s="8" t="s">
        <v>7834</v>
      </c>
    </row>
    <row r="23" spans="1:23" x14ac:dyDescent="0.25">
      <c r="A23" s="2">
        <v>160</v>
      </c>
      <c r="B23" s="3" t="s">
        <v>774</v>
      </c>
      <c r="C23" s="3">
        <v>2024</v>
      </c>
      <c r="D23" s="3" t="s">
        <v>796</v>
      </c>
      <c r="E23" s="3" t="s">
        <v>114</v>
      </c>
      <c r="F23" s="1" t="s">
        <v>7834</v>
      </c>
      <c r="G23" s="10"/>
      <c r="H23" s="10"/>
      <c r="I23" s="10"/>
      <c r="J23" s="10"/>
      <c r="K23" s="10"/>
      <c r="L23" s="3" t="s">
        <v>797</v>
      </c>
      <c r="M23" s="3" t="s">
        <v>798</v>
      </c>
      <c r="N23" s="3" t="s">
        <v>778</v>
      </c>
      <c r="O23" s="3"/>
      <c r="P23" s="3"/>
      <c r="Q23" s="3"/>
      <c r="R23" s="3"/>
      <c r="S23" s="3" t="s">
        <v>799</v>
      </c>
      <c r="T23" s="3" t="s">
        <v>119</v>
      </c>
      <c r="U23" s="11">
        <v>17</v>
      </c>
      <c r="V23" s="3" t="s">
        <v>774</v>
      </c>
      <c r="W23" s="8" t="s">
        <v>7834</v>
      </c>
    </row>
    <row r="24" spans="1:23" x14ac:dyDescent="0.25">
      <c r="A24" s="2">
        <v>161</v>
      </c>
      <c r="B24" s="3" t="s">
        <v>774</v>
      </c>
      <c r="C24" s="3">
        <v>2024</v>
      </c>
      <c r="D24" s="3" t="s">
        <v>800</v>
      </c>
      <c r="E24" s="3" t="s">
        <v>114</v>
      </c>
      <c r="F24" s="1" t="s">
        <v>7834</v>
      </c>
      <c r="G24" s="10"/>
      <c r="H24" s="10"/>
      <c r="I24" s="10"/>
      <c r="J24" s="10"/>
      <c r="K24" s="10"/>
      <c r="L24" s="3" t="s">
        <v>801</v>
      </c>
      <c r="M24" s="3" t="s">
        <v>802</v>
      </c>
      <c r="N24" s="3" t="s">
        <v>778</v>
      </c>
      <c r="O24" s="3"/>
      <c r="P24" s="3"/>
      <c r="Q24" s="3"/>
      <c r="R24" s="3"/>
      <c r="S24" s="3" t="s">
        <v>803</v>
      </c>
      <c r="T24" s="3" t="s">
        <v>119</v>
      </c>
      <c r="U24" s="11">
        <v>18</v>
      </c>
      <c r="V24" s="3" t="s">
        <v>774</v>
      </c>
      <c r="W24" s="8" t="s">
        <v>7834</v>
      </c>
    </row>
    <row r="25" spans="1:23" x14ac:dyDescent="0.25">
      <c r="A25" s="2">
        <v>162</v>
      </c>
      <c r="B25" s="3" t="s">
        <v>774</v>
      </c>
      <c r="C25" s="3">
        <v>2024</v>
      </c>
      <c r="D25" s="3" t="s">
        <v>14</v>
      </c>
      <c r="E25" s="3" t="s">
        <v>114</v>
      </c>
      <c r="F25" s="1" t="s">
        <v>7834</v>
      </c>
      <c r="G25" s="10"/>
      <c r="H25" s="10"/>
      <c r="I25" s="10"/>
      <c r="J25" s="10"/>
      <c r="K25" s="10"/>
      <c r="L25" s="3" t="s">
        <v>804</v>
      </c>
      <c r="M25" s="3" t="s">
        <v>805</v>
      </c>
      <c r="N25" s="3" t="s">
        <v>778</v>
      </c>
      <c r="O25" s="3"/>
      <c r="P25" s="3"/>
      <c r="Q25" s="3"/>
      <c r="R25" s="3"/>
      <c r="S25" s="3" t="s">
        <v>806</v>
      </c>
      <c r="T25" s="3" t="s">
        <v>119</v>
      </c>
      <c r="U25" s="11">
        <v>19</v>
      </c>
      <c r="V25" s="3" t="s">
        <v>774</v>
      </c>
      <c r="W25" s="8" t="s">
        <v>7834</v>
      </c>
    </row>
    <row r="26" spans="1:23" x14ac:dyDescent="0.25">
      <c r="A26" s="2">
        <v>163</v>
      </c>
      <c r="B26" s="3" t="s">
        <v>774</v>
      </c>
      <c r="C26" s="3">
        <v>2024</v>
      </c>
      <c r="D26" s="3" t="s">
        <v>807</v>
      </c>
      <c r="E26" s="3" t="s">
        <v>114</v>
      </c>
      <c r="F26" s="1" t="s">
        <v>7834</v>
      </c>
      <c r="G26" s="10"/>
      <c r="H26" s="10"/>
      <c r="I26" s="10"/>
      <c r="J26" s="10"/>
      <c r="K26" s="10"/>
      <c r="L26" s="3" t="s">
        <v>808</v>
      </c>
      <c r="M26" s="3" t="s">
        <v>809</v>
      </c>
      <c r="N26" s="3" t="s">
        <v>778</v>
      </c>
      <c r="O26" s="3"/>
      <c r="P26" s="3"/>
      <c r="Q26" s="3"/>
      <c r="R26" s="3"/>
      <c r="S26" s="3" t="s">
        <v>810</v>
      </c>
      <c r="T26" s="3" t="s">
        <v>119</v>
      </c>
      <c r="U26" s="11">
        <v>20</v>
      </c>
      <c r="V26" s="3" t="s">
        <v>774</v>
      </c>
      <c r="W26" s="8" t="s">
        <v>7834</v>
      </c>
    </row>
    <row r="27" spans="1:23" x14ac:dyDescent="0.25">
      <c r="A27" s="2">
        <v>164</v>
      </c>
      <c r="B27" s="3" t="s">
        <v>774</v>
      </c>
      <c r="C27" s="3">
        <v>2024</v>
      </c>
      <c r="D27" s="3" t="s">
        <v>811</v>
      </c>
      <c r="E27" s="3" t="s">
        <v>114</v>
      </c>
      <c r="F27" s="1" t="s">
        <v>7834</v>
      </c>
      <c r="G27" s="10"/>
      <c r="H27" s="10"/>
      <c r="I27" s="10"/>
      <c r="J27" s="10"/>
      <c r="K27" s="10"/>
      <c r="L27" s="3" t="s">
        <v>812</v>
      </c>
      <c r="M27" s="3" t="s">
        <v>813</v>
      </c>
      <c r="N27" s="3" t="s">
        <v>778</v>
      </c>
      <c r="O27" s="3"/>
      <c r="P27" s="3"/>
      <c r="Q27" s="3"/>
      <c r="R27" s="3"/>
      <c r="S27" s="3" t="s">
        <v>814</v>
      </c>
      <c r="T27" s="3" t="s">
        <v>119</v>
      </c>
      <c r="U27" s="11">
        <v>21</v>
      </c>
      <c r="V27" s="3" t="s">
        <v>774</v>
      </c>
      <c r="W27" s="8" t="s">
        <v>7834</v>
      </c>
    </row>
    <row r="28" spans="1:23" x14ac:dyDescent="0.25">
      <c r="A28" s="2">
        <v>165</v>
      </c>
      <c r="B28" s="3" t="s">
        <v>774</v>
      </c>
      <c r="C28" s="3">
        <v>2024</v>
      </c>
      <c r="D28" s="3" t="s">
        <v>788</v>
      </c>
      <c r="E28" s="3" t="s">
        <v>114</v>
      </c>
      <c r="F28" s="1" t="s">
        <v>7834</v>
      </c>
      <c r="G28" s="10"/>
      <c r="H28" s="10"/>
      <c r="I28" s="10"/>
      <c r="J28" s="10"/>
      <c r="K28" s="10"/>
      <c r="L28" s="3" t="s">
        <v>815</v>
      </c>
      <c r="M28" s="3" t="s">
        <v>816</v>
      </c>
      <c r="N28" s="3" t="s">
        <v>778</v>
      </c>
      <c r="O28" s="3"/>
      <c r="P28" s="3"/>
      <c r="Q28" s="3"/>
      <c r="R28" s="3"/>
      <c r="S28" s="3" t="s">
        <v>817</v>
      </c>
      <c r="T28" s="3" t="s">
        <v>119</v>
      </c>
      <c r="U28" s="11">
        <v>22</v>
      </c>
      <c r="V28" s="3" t="s">
        <v>774</v>
      </c>
      <c r="W28" s="8" t="s">
        <v>7834</v>
      </c>
    </row>
    <row r="29" spans="1:23" x14ac:dyDescent="0.25">
      <c r="A29" s="2">
        <v>166</v>
      </c>
      <c r="B29" s="3" t="s">
        <v>774</v>
      </c>
      <c r="C29" s="3">
        <v>2024</v>
      </c>
      <c r="D29" s="3" t="s">
        <v>818</v>
      </c>
      <c r="E29" s="3" t="s">
        <v>114</v>
      </c>
      <c r="F29" s="1" t="s">
        <v>7834</v>
      </c>
      <c r="G29" s="10"/>
      <c r="H29" s="10"/>
      <c r="I29" s="10"/>
      <c r="J29" s="10"/>
      <c r="K29" s="10"/>
      <c r="L29" s="3" t="s">
        <v>819</v>
      </c>
      <c r="M29" s="3" t="s">
        <v>820</v>
      </c>
      <c r="N29" s="3" t="s">
        <v>778</v>
      </c>
      <c r="O29" s="3"/>
      <c r="P29" s="3"/>
      <c r="Q29" s="3"/>
      <c r="R29" s="3"/>
      <c r="S29" s="3" t="s">
        <v>821</v>
      </c>
      <c r="T29" s="3" t="s">
        <v>119</v>
      </c>
      <c r="U29" s="11">
        <v>23</v>
      </c>
      <c r="V29" s="3" t="s">
        <v>774</v>
      </c>
      <c r="W29" s="8" t="s">
        <v>7834</v>
      </c>
    </row>
    <row r="30" spans="1:23" x14ac:dyDescent="0.25">
      <c r="A30" s="2">
        <v>167</v>
      </c>
      <c r="B30" s="3" t="s">
        <v>774</v>
      </c>
      <c r="C30" s="3">
        <v>2024</v>
      </c>
      <c r="D30" s="3" t="s">
        <v>822</v>
      </c>
      <c r="E30" s="3" t="s">
        <v>114</v>
      </c>
      <c r="F30" s="1" t="s">
        <v>7834</v>
      </c>
      <c r="G30" s="10"/>
      <c r="H30" s="10"/>
      <c r="I30" s="10"/>
      <c r="J30" s="10"/>
      <c r="K30" s="10"/>
      <c r="L30" s="3" t="s">
        <v>823</v>
      </c>
      <c r="M30" s="3" t="s">
        <v>824</v>
      </c>
      <c r="N30" s="3" t="s">
        <v>778</v>
      </c>
      <c r="O30" s="3"/>
      <c r="P30" s="3"/>
      <c r="Q30" s="3"/>
      <c r="R30" s="3"/>
      <c r="S30" s="3" t="s">
        <v>779</v>
      </c>
      <c r="T30" s="3" t="s">
        <v>119</v>
      </c>
      <c r="U30" s="11">
        <v>24</v>
      </c>
      <c r="V30" s="3" t="s">
        <v>774</v>
      </c>
      <c r="W30" s="8" t="s">
        <v>7834</v>
      </c>
    </row>
    <row r="31" spans="1:23" x14ac:dyDescent="0.25">
      <c r="A31" s="2">
        <v>171</v>
      </c>
      <c r="B31" s="3" t="s">
        <v>774</v>
      </c>
      <c r="C31" s="3">
        <v>2024</v>
      </c>
      <c r="D31" s="3" t="s">
        <v>840</v>
      </c>
      <c r="E31" s="3" t="s">
        <v>114</v>
      </c>
      <c r="F31" s="1" t="s">
        <v>7834</v>
      </c>
      <c r="G31" s="10"/>
      <c r="H31" s="10"/>
      <c r="I31" s="10"/>
      <c r="J31" s="10"/>
      <c r="K31" s="10"/>
      <c r="L31" s="3" t="s">
        <v>841</v>
      </c>
      <c r="M31" s="3" t="s">
        <v>842</v>
      </c>
      <c r="N31" s="3" t="s">
        <v>778</v>
      </c>
      <c r="O31" s="3"/>
      <c r="P31" s="3"/>
      <c r="Q31" s="3"/>
      <c r="R31" s="3"/>
      <c r="S31" s="3" t="s">
        <v>843</v>
      </c>
      <c r="T31" s="3" t="s">
        <v>119</v>
      </c>
      <c r="U31" s="11">
        <v>25</v>
      </c>
      <c r="V31" s="3" t="s">
        <v>774</v>
      </c>
      <c r="W31" s="8" t="s">
        <v>7834</v>
      </c>
    </row>
    <row r="32" spans="1:23" x14ac:dyDescent="0.25">
      <c r="A32" s="2">
        <v>172</v>
      </c>
      <c r="B32" s="3" t="s">
        <v>774</v>
      </c>
      <c r="C32" s="3">
        <v>2024</v>
      </c>
      <c r="D32" s="3" t="s">
        <v>844</v>
      </c>
      <c r="E32" s="3" t="s">
        <v>114</v>
      </c>
      <c r="F32" s="1" t="s">
        <v>7834</v>
      </c>
      <c r="G32" s="10"/>
      <c r="H32" s="10"/>
      <c r="I32" s="10"/>
      <c r="J32" s="10"/>
      <c r="K32" s="10"/>
      <c r="L32" s="3" t="s">
        <v>845</v>
      </c>
      <c r="M32" s="3" t="s">
        <v>846</v>
      </c>
      <c r="N32" s="3" t="s">
        <v>778</v>
      </c>
      <c r="O32" s="3"/>
      <c r="P32" s="3"/>
      <c r="Q32" s="3"/>
      <c r="R32" s="3"/>
      <c r="S32" s="3" t="s">
        <v>847</v>
      </c>
      <c r="T32" s="3" t="s">
        <v>119</v>
      </c>
      <c r="U32" s="11">
        <v>26</v>
      </c>
      <c r="V32" s="3" t="s">
        <v>774</v>
      </c>
      <c r="W32" s="8" t="s">
        <v>7834</v>
      </c>
    </row>
    <row r="33" spans="1:23" x14ac:dyDescent="0.25">
      <c r="A33" s="2">
        <v>173</v>
      </c>
      <c r="B33" s="3" t="s">
        <v>774</v>
      </c>
      <c r="C33" s="3">
        <v>2024</v>
      </c>
      <c r="D33" s="3" t="s">
        <v>848</v>
      </c>
      <c r="E33" s="3" t="s">
        <v>114</v>
      </c>
      <c r="F33" s="1" t="s">
        <v>7834</v>
      </c>
      <c r="G33" s="10"/>
      <c r="H33" s="10"/>
      <c r="I33" s="10"/>
      <c r="J33" s="10"/>
      <c r="K33" s="10"/>
      <c r="L33" s="3" t="s">
        <v>849</v>
      </c>
      <c r="M33" s="3" t="s">
        <v>846</v>
      </c>
      <c r="N33" s="3" t="s">
        <v>778</v>
      </c>
      <c r="O33" s="3"/>
      <c r="P33" s="3"/>
      <c r="Q33" s="3"/>
      <c r="R33" s="3"/>
      <c r="S33" s="3" t="s">
        <v>850</v>
      </c>
      <c r="T33" s="3" t="s">
        <v>119</v>
      </c>
      <c r="U33" s="11">
        <v>27</v>
      </c>
      <c r="V33" s="3" t="s">
        <v>774</v>
      </c>
      <c r="W33" s="8" t="s">
        <v>7834</v>
      </c>
    </row>
    <row r="34" spans="1:23" x14ac:dyDescent="0.25">
      <c r="A34" s="2">
        <v>174</v>
      </c>
      <c r="B34" s="3" t="s">
        <v>774</v>
      </c>
      <c r="C34" s="3">
        <v>2024</v>
      </c>
      <c r="D34" s="3" t="s">
        <v>851</v>
      </c>
      <c r="E34" s="3" t="s">
        <v>114</v>
      </c>
      <c r="F34" s="1" t="s">
        <v>7834</v>
      </c>
      <c r="G34" s="10"/>
      <c r="H34" s="10"/>
      <c r="I34" s="10"/>
      <c r="J34" s="10"/>
      <c r="K34" s="10"/>
      <c r="L34" s="3" t="s">
        <v>852</v>
      </c>
      <c r="M34" s="3" t="s">
        <v>853</v>
      </c>
      <c r="N34" s="3" t="s">
        <v>854</v>
      </c>
      <c r="O34" s="3"/>
      <c r="P34" s="3"/>
      <c r="Q34" s="3"/>
      <c r="R34" s="3"/>
      <c r="S34" s="3" t="s">
        <v>855</v>
      </c>
      <c r="T34" s="3" t="s">
        <v>119</v>
      </c>
      <c r="U34" s="11">
        <v>28</v>
      </c>
      <c r="V34" s="3" t="s">
        <v>774</v>
      </c>
      <c r="W34" s="8" t="s">
        <v>7834</v>
      </c>
    </row>
    <row r="35" spans="1:23" x14ac:dyDescent="0.25">
      <c r="A35" s="2">
        <v>175</v>
      </c>
      <c r="B35" s="3" t="s">
        <v>774</v>
      </c>
      <c r="C35" s="3">
        <v>2024</v>
      </c>
      <c r="D35" s="3" t="s">
        <v>856</v>
      </c>
      <c r="E35" s="3" t="s">
        <v>114</v>
      </c>
      <c r="F35" s="1" t="s">
        <v>7834</v>
      </c>
      <c r="G35" s="10"/>
      <c r="H35" s="10"/>
      <c r="I35" s="10"/>
      <c r="J35" s="10"/>
      <c r="K35" s="10"/>
      <c r="L35" s="3" t="s">
        <v>857</v>
      </c>
      <c r="M35" s="3" t="s">
        <v>858</v>
      </c>
      <c r="N35" s="3" t="s">
        <v>859</v>
      </c>
      <c r="O35" s="3"/>
      <c r="P35" s="3"/>
      <c r="Q35" s="3"/>
      <c r="R35" s="3"/>
      <c r="S35" s="3" t="s">
        <v>860</v>
      </c>
      <c r="T35" s="3" t="s">
        <v>119</v>
      </c>
      <c r="U35" s="11">
        <v>29</v>
      </c>
      <c r="V35" s="3" t="s">
        <v>774</v>
      </c>
      <c r="W35" s="8" t="s">
        <v>7834</v>
      </c>
    </row>
    <row r="36" spans="1:23" x14ac:dyDescent="0.25">
      <c r="A36" s="2">
        <v>180</v>
      </c>
      <c r="B36" s="3" t="s">
        <v>774</v>
      </c>
      <c r="C36" s="3">
        <v>2024</v>
      </c>
      <c r="D36" s="3" t="s">
        <v>14</v>
      </c>
      <c r="E36" s="3" t="s">
        <v>114</v>
      </c>
      <c r="F36" s="1" t="s">
        <v>7834</v>
      </c>
      <c r="G36" s="10"/>
      <c r="H36" s="10"/>
      <c r="I36" s="10"/>
      <c r="J36" s="10"/>
      <c r="K36" s="10"/>
      <c r="L36" s="3" t="s">
        <v>882</v>
      </c>
      <c r="M36" s="3" t="s">
        <v>883</v>
      </c>
      <c r="N36" s="3" t="s">
        <v>778</v>
      </c>
      <c r="O36" s="3"/>
      <c r="P36" s="3"/>
      <c r="Q36" s="3"/>
      <c r="R36" s="3"/>
      <c r="S36" s="3" t="s">
        <v>884</v>
      </c>
      <c r="T36" s="3" t="s">
        <v>119</v>
      </c>
      <c r="U36" s="11">
        <v>30</v>
      </c>
      <c r="V36" s="3" t="s">
        <v>774</v>
      </c>
      <c r="W36" s="8" t="s">
        <v>7834</v>
      </c>
    </row>
    <row r="37" spans="1:23" x14ac:dyDescent="0.25">
      <c r="A37" s="2">
        <v>214</v>
      </c>
      <c r="B37" s="3" t="s">
        <v>774</v>
      </c>
      <c r="C37" s="3">
        <v>2024</v>
      </c>
      <c r="D37" s="3" t="s">
        <v>1034</v>
      </c>
      <c r="E37" s="3" t="s">
        <v>114</v>
      </c>
      <c r="F37" s="1" t="s">
        <v>7834</v>
      </c>
      <c r="G37" s="10"/>
      <c r="H37" s="10"/>
      <c r="I37" s="10"/>
      <c r="J37" s="10"/>
      <c r="K37" s="10"/>
      <c r="L37" s="3" t="s">
        <v>1035</v>
      </c>
      <c r="M37" s="3" t="s">
        <v>1036</v>
      </c>
      <c r="N37" s="3" t="s">
        <v>778</v>
      </c>
      <c r="O37" s="3"/>
      <c r="P37" s="3"/>
      <c r="Q37" s="3"/>
      <c r="R37" s="3"/>
      <c r="S37" s="3" t="s">
        <v>1037</v>
      </c>
      <c r="T37" s="3" t="s">
        <v>119</v>
      </c>
      <c r="U37" s="11">
        <v>31</v>
      </c>
      <c r="V37" s="3" t="s">
        <v>774</v>
      </c>
      <c r="W37" s="8" t="s">
        <v>7834</v>
      </c>
    </row>
    <row r="38" spans="1:23" x14ac:dyDescent="0.25">
      <c r="A38" s="2">
        <v>216</v>
      </c>
      <c r="B38" s="3" t="s">
        <v>774</v>
      </c>
      <c r="C38" s="3">
        <v>2024</v>
      </c>
      <c r="D38" s="3" t="s">
        <v>1042</v>
      </c>
      <c r="E38" s="3" t="s">
        <v>114</v>
      </c>
      <c r="F38" s="1" t="s">
        <v>7834</v>
      </c>
      <c r="G38" s="10"/>
      <c r="H38" s="10"/>
      <c r="I38" s="10"/>
      <c r="J38" s="10"/>
      <c r="K38" s="10"/>
      <c r="L38" s="3" t="s">
        <v>1043</v>
      </c>
      <c r="M38" s="3" t="s">
        <v>846</v>
      </c>
      <c r="N38" s="3" t="s">
        <v>778</v>
      </c>
      <c r="O38" s="3"/>
      <c r="P38" s="3"/>
      <c r="Q38" s="3"/>
      <c r="R38" s="3"/>
      <c r="S38" s="3" t="s">
        <v>1044</v>
      </c>
      <c r="T38" s="3" t="s">
        <v>119</v>
      </c>
      <c r="U38" s="11">
        <v>32</v>
      </c>
      <c r="V38" s="3" t="s">
        <v>774</v>
      </c>
      <c r="W38" s="8" t="s">
        <v>7834</v>
      </c>
    </row>
    <row r="39" spans="1:23" x14ac:dyDescent="0.25">
      <c r="A39" s="2">
        <v>217</v>
      </c>
      <c r="B39" s="3" t="s">
        <v>774</v>
      </c>
      <c r="C39" s="3">
        <v>2024</v>
      </c>
      <c r="D39" s="3" t="s">
        <v>22</v>
      </c>
      <c r="E39" s="3" t="s">
        <v>114</v>
      </c>
      <c r="F39" s="1" t="s">
        <v>7834</v>
      </c>
      <c r="G39" s="10"/>
      <c r="H39" s="10"/>
      <c r="I39" s="10"/>
      <c r="J39" s="10"/>
      <c r="K39" s="10"/>
      <c r="L39" s="3" t="s">
        <v>1045</v>
      </c>
      <c r="M39" s="3" t="s">
        <v>1046</v>
      </c>
      <c r="N39" s="3" t="s">
        <v>1047</v>
      </c>
      <c r="O39" s="3"/>
      <c r="P39" s="3"/>
      <c r="Q39" s="3"/>
      <c r="R39" s="3"/>
      <c r="S39" s="3" t="s">
        <v>1048</v>
      </c>
      <c r="T39" s="3" t="s">
        <v>119</v>
      </c>
      <c r="U39" s="11">
        <v>33</v>
      </c>
      <c r="V39" s="3" t="s">
        <v>774</v>
      </c>
      <c r="W39" s="8" t="s">
        <v>7834</v>
      </c>
    </row>
    <row r="40" spans="1:23" x14ac:dyDescent="0.25">
      <c r="A40" s="2">
        <v>218</v>
      </c>
      <c r="B40" s="3" t="s">
        <v>774</v>
      </c>
      <c r="C40" s="3">
        <v>2024</v>
      </c>
      <c r="D40" s="3" t="s">
        <v>22</v>
      </c>
      <c r="E40" s="3" t="s">
        <v>114</v>
      </c>
      <c r="F40" s="1" t="s">
        <v>7834</v>
      </c>
      <c r="G40" s="10"/>
      <c r="H40" s="10"/>
      <c r="I40" s="10"/>
      <c r="J40" s="10"/>
      <c r="K40" s="10"/>
      <c r="L40" s="3" t="s">
        <v>1049</v>
      </c>
      <c r="M40" s="3" t="s">
        <v>1050</v>
      </c>
      <c r="N40" s="3" t="s">
        <v>1047</v>
      </c>
      <c r="O40" s="3"/>
      <c r="P40" s="3"/>
      <c r="Q40" s="3"/>
      <c r="R40" s="3"/>
      <c r="S40" s="3" t="s">
        <v>1051</v>
      </c>
      <c r="T40" s="3" t="s">
        <v>119</v>
      </c>
      <c r="U40" s="11">
        <v>34</v>
      </c>
      <c r="V40" s="3" t="s">
        <v>774</v>
      </c>
      <c r="W40" s="8" t="s">
        <v>7834</v>
      </c>
    </row>
    <row r="41" spans="1:23" x14ac:dyDescent="0.25">
      <c r="A41" s="2">
        <v>219</v>
      </c>
      <c r="B41" s="3" t="s">
        <v>774</v>
      </c>
      <c r="C41" s="3">
        <v>2024</v>
      </c>
      <c r="D41" s="3" t="s">
        <v>1052</v>
      </c>
      <c r="E41" s="3" t="s">
        <v>114</v>
      </c>
      <c r="F41" s="1" t="s">
        <v>7834</v>
      </c>
      <c r="G41" s="10"/>
      <c r="H41" s="10"/>
      <c r="I41" s="10"/>
      <c r="J41" s="10"/>
      <c r="K41" s="10"/>
      <c r="L41" s="3" t="s">
        <v>1053</v>
      </c>
      <c r="M41" s="3" t="s">
        <v>1054</v>
      </c>
      <c r="N41" s="3" t="s">
        <v>1055</v>
      </c>
      <c r="O41" s="3"/>
      <c r="P41" s="3"/>
      <c r="Q41" s="3"/>
      <c r="R41" s="3"/>
      <c r="S41" s="3" t="s">
        <v>1056</v>
      </c>
      <c r="T41" s="3" t="s">
        <v>119</v>
      </c>
      <c r="U41" s="11">
        <v>35</v>
      </c>
      <c r="V41" s="3" t="s">
        <v>774</v>
      </c>
      <c r="W41" s="8" t="s">
        <v>7834</v>
      </c>
    </row>
    <row r="42" spans="1:23" x14ac:dyDescent="0.25">
      <c r="A42" s="2">
        <v>223</v>
      </c>
      <c r="B42" s="3" t="s">
        <v>774</v>
      </c>
      <c r="C42" s="3">
        <v>2024</v>
      </c>
      <c r="D42" s="3" t="s">
        <v>1067</v>
      </c>
      <c r="E42" s="3" t="s">
        <v>114</v>
      </c>
      <c r="F42" s="1" t="s">
        <v>7834</v>
      </c>
      <c r="G42" s="10"/>
      <c r="H42" s="10"/>
      <c r="I42" s="10">
        <v>27</v>
      </c>
      <c r="J42" s="10"/>
      <c r="K42" s="10"/>
      <c r="L42" s="3" t="s">
        <v>1068</v>
      </c>
      <c r="M42" s="3" t="s">
        <v>1069</v>
      </c>
      <c r="N42" s="3" t="s">
        <v>1055</v>
      </c>
      <c r="O42" s="3"/>
      <c r="P42" s="3"/>
      <c r="Q42" s="3"/>
      <c r="R42" s="3"/>
      <c r="S42" s="3" t="s">
        <v>1070</v>
      </c>
      <c r="T42" s="3" t="s">
        <v>119</v>
      </c>
      <c r="U42" s="11">
        <v>36</v>
      </c>
      <c r="V42" s="3" t="s">
        <v>774</v>
      </c>
      <c r="W42" s="8" t="s">
        <v>7834</v>
      </c>
    </row>
    <row r="43" spans="1:23" x14ac:dyDescent="0.25">
      <c r="A43" s="2">
        <v>242</v>
      </c>
      <c r="B43" s="3" t="s">
        <v>1126</v>
      </c>
      <c r="C43" s="3">
        <v>2024</v>
      </c>
      <c r="D43" s="3" t="s">
        <v>1151</v>
      </c>
      <c r="E43" s="3" t="s">
        <v>15</v>
      </c>
      <c r="F43" s="1" t="s">
        <v>7834</v>
      </c>
      <c r="G43" s="10"/>
      <c r="H43" s="10"/>
      <c r="I43" s="10"/>
      <c r="J43" s="10"/>
      <c r="K43" s="10"/>
      <c r="L43" s="3" t="s">
        <v>1152</v>
      </c>
      <c r="M43" s="3" t="s">
        <v>1153</v>
      </c>
      <c r="N43" s="3" t="s">
        <v>1154</v>
      </c>
      <c r="O43" s="3">
        <v>288</v>
      </c>
      <c r="P43" s="3"/>
      <c r="Q43" s="3"/>
      <c r="R43" s="3" t="s">
        <v>1155</v>
      </c>
      <c r="S43" s="3" t="s">
        <v>1156</v>
      </c>
      <c r="T43" s="3" t="s">
        <v>119</v>
      </c>
      <c r="U43" s="11">
        <v>37</v>
      </c>
      <c r="V43" s="3" t="s">
        <v>1126</v>
      </c>
      <c r="W43" s="8" t="s">
        <v>7834</v>
      </c>
    </row>
    <row r="44" spans="1:23" x14ac:dyDescent="0.25">
      <c r="A44" s="2">
        <v>260</v>
      </c>
      <c r="B44" s="3" t="s">
        <v>1126</v>
      </c>
      <c r="C44" s="3">
        <v>2024</v>
      </c>
      <c r="D44" s="3" t="s">
        <v>579</v>
      </c>
      <c r="E44" s="3" t="s">
        <v>15</v>
      </c>
      <c r="F44" s="1" t="s">
        <v>7834</v>
      </c>
      <c r="G44" s="10"/>
      <c r="H44" s="10"/>
      <c r="I44" s="10"/>
      <c r="J44" s="10"/>
      <c r="K44" s="10"/>
      <c r="L44" s="3" t="s">
        <v>1236</v>
      </c>
      <c r="M44" s="3" t="s">
        <v>1237</v>
      </c>
      <c r="N44" s="3" t="s">
        <v>1238</v>
      </c>
      <c r="O44" s="3"/>
      <c r="P44" s="3"/>
      <c r="Q44" s="3"/>
      <c r="R44" s="3" t="s">
        <v>1239</v>
      </c>
      <c r="S44" s="3" t="s">
        <v>1240</v>
      </c>
      <c r="T44" s="3" t="s">
        <v>119</v>
      </c>
      <c r="U44" s="11">
        <v>38</v>
      </c>
      <c r="V44" s="3" t="s">
        <v>1126</v>
      </c>
      <c r="W44" s="8" t="s">
        <v>7834</v>
      </c>
    </row>
    <row r="45" spans="1:23" x14ac:dyDescent="0.25">
      <c r="A45" s="2">
        <v>268</v>
      </c>
      <c r="B45" s="3" t="s">
        <v>1126</v>
      </c>
      <c r="C45" s="3">
        <v>2024</v>
      </c>
      <c r="D45" s="3" t="s">
        <v>1067</v>
      </c>
      <c r="E45" s="3" t="s">
        <v>15</v>
      </c>
      <c r="F45" s="1" t="s">
        <v>7834</v>
      </c>
      <c r="G45" s="10"/>
      <c r="H45" s="10"/>
      <c r="I45" s="10"/>
      <c r="J45" s="10"/>
      <c r="K45" s="10"/>
      <c r="L45" s="3" t="s">
        <v>1273</v>
      </c>
      <c r="M45" s="3" t="s">
        <v>1274</v>
      </c>
      <c r="N45" s="3" t="s">
        <v>1275</v>
      </c>
      <c r="O45" s="3">
        <v>290</v>
      </c>
      <c r="P45" s="3"/>
      <c r="Q45" s="3"/>
      <c r="R45" s="3" t="s">
        <v>1155</v>
      </c>
      <c r="S45" s="3" t="s">
        <v>1276</v>
      </c>
      <c r="T45" s="3" t="s">
        <v>119</v>
      </c>
      <c r="U45" s="11">
        <v>39</v>
      </c>
      <c r="V45" s="3" t="s">
        <v>1126</v>
      </c>
      <c r="W45" s="8" t="s">
        <v>7834</v>
      </c>
    </row>
    <row r="46" spans="1:23" x14ac:dyDescent="0.25">
      <c r="A46" s="2">
        <v>272</v>
      </c>
      <c r="B46" s="3" t="s">
        <v>1126</v>
      </c>
      <c r="C46" s="3">
        <v>2024</v>
      </c>
      <c r="D46" s="3" t="s">
        <v>1294</v>
      </c>
      <c r="E46" s="3" t="s">
        <v>15</v>
      </c>
      <c r="F46" s="1" t="s">
        <v>7834</v>
      </c>
      <c r="G46" s="10"/>
      <c r="H46" s="10"/>
      <c r="I46" s="10"/>
      <c r="J46" s="10"/>
      <c r="K46" s="10"/>
      <c r="L46" s="3" t="s">
        <v>1295</v>
      </c>
      <c r="M46" s="3" t="s">
        <v>1296</v>
      </c>
      <c r="N46" s="3" t="s">
        <v>1297</v>
      </c>
      <c r="O46" s="3"/>
      <c r="P46" s="3"/>
      <c r="Q46" s="3">
        <v>585</v>
      </c>
      <c r="R46" s="3" t="s">
        <v>1298</v>
      </c>
      <c r="S46" s="3" t="s">
        <v>1299</v>
      </c>
      <c r="T46" s="3" t="s">
        <v>119</v>
      </c>
      <c r="U46" s="11">
        <v>40</v>
      </c>
      <c r="V46" s="3" t="s">
        <v>1126</v>
      </c>
      <c r="W46" s="8" t="s">
        <v>7834</v>
      </c>
    </row>
    <row r="47" spans="1:23" x14ac:dyDescent="0.25">
      <c r="A47" s="2">
        <v>275</v>
      </c>
      <c r="B47" s="3" t="s">
        <v>1126</v>
      </c>
      <c r="C47" s="3">
        <v>2024</v>
      </c>
      <c r="D47" s="3" t="s">
        <v>1294</v>
      </c>
      <c r="E47" s="3" t="s">
        <v>15</v>
      </c>
      <c r="F47" s="1" t="s">
        <v>7834</v>
      </c>
      <c r="G47" s="10"/>
      <c r="H47" s="10"/>
      <c r="I47" s="10"/>
      <c r="J47" s="10"/>
      <c r="K47" s="10"/>
      <c r="L47" s="3" t="s">
        <v>1308</v>
      </c>
      <c r="M47" s="3" t="s">
        <v>1309</v>
      </c>
      <c r="N47" s="3" t="s">
        <v>1297</v>
      </c>
      <c r="O47" s="3"/>
      <c r="P47" s="3"/>
      <c r="Q47" s="3">
        <v>496</v>
      </c>
      <c r="R47" s="3" t="s">
        <v>1298</v>
      </c>
      <c r="S47" s="3" t="s">
        <v>1310</v>
      </c>
      <c r="T47" s="3" t="s">
        <v>119</v>
      </c>
      <c r="U47" s="11">
        <v>41</v>
      </c>
      <c r="V47" s="3" t="s">
        <v>1126</v>
      </c>
      <c r="W47" s="8" t="s">
        <v>7834</v>
      </c>
    </row>
    <row r="48" spans="1:23" x14ac:dyDescent="0.25">
      <c r="A48" s="2">
        <v>276</v>
      </c>
      <c r="B48" s="3" t="s">
        <v>1126</v>
      </c>
      <c r="C48" s="3">
        <v>2024</v>
      </c>
      <c r="D48" s="3" t="s">
        <v>167</v>
      </c>
      <c r="E48" s="3" t="s">
        <v>15</v>
      </c>
      <c r="F48" s="1" t="s">
        <v>7834</v>
      </c>
      <c r="G48" s="10"/>
      <c r="H48" s="10"/>
      <c r="I48" s="10"/>
      <c r="J48" s="10"/>
      <c r="K48" s="10"/>
      <c r="L48" s="3" t="s">
        <v>1311</v>
      </c>
      <c r="M48" s="3" t="s">
        <v>1312</v>
      </c>
      <c r="N48" s="3" t="s">
        <v>1313</v>
      </c>
      <c r="O48" s="3"/>
      <c r="P48" s="3"/>
      <c r="Q48" s="3"/>
      <c r="R48" s="3" t="s">
        <v>1314</v>
      </c>
      <c r="S48" s="3" t="s">
        <v>1315</v>
      </c>
      <c r="T48" s="3" t="s">
        <v>119</v>
      </c>
      <c r="U48" s="11">
        <v>42</v>
      </c>
      <c r="V48" s="3" t="s">
        <v>1126</v>
      </c>
      <c r="W48" s="8" t="s">
        <v>7834</v>
      </c>
    </row>
    <row r="49" spans="1:23" x14ac:dyDescent="0.25">
      <c r="A49" s="2">
        <v>277</v>
      </c>
      <c r="B49" s="3" t="s">
        <v>1126</v>
      </c>
      <c r="C49" s="3">
        <v>2024</v>
      </c>
      <c r="D49" s="3" t="s">
        <v>1294</v>
      </c>
      <c r="E49" s="3" t="s">
        <v>15</v>
      </c>
      <c r="F49" s="1" t="s">
        <v>7834</v>
      </c>
      <c r="G49" s="10"/>
      <c r="H49" s="10"/>
      <c r="I49" s="10"/>
      <c r="J49" s="10"/>
      <c r="K49" s="10"/>
      <c r="L49" s="3" t="s">
        <v>1316</v>
      </c>
      <c r="M49" s="3" t="s">
        <v>1317</v>
      </c>
      <c r="N49" s="3" t="s">
        <v>1318</v>
      </c>
      <c r="O49" s="3"/>
      <c r="P49" s="3"/>
      <c r="Q49" s="3">
        <v>7</v>
      </c>
      <c r="R49" s="3" t="s">
        <v>1319</v>
      </c>
      <c r="S49" s="3" t="s">
        <v>1320</v>
      </c>
      <c r="T49" s="3" t="s">
        <v>119</v>
      </c>
      <c r="U49" s="11">
        <v>43</v>
      </c>
      <c r="V49" s="3" t="s">
        <v>1126</v>
      </c>
      <c r="W49" s="8" t="s">
        <v>7834</v>
      </c>
    </row>
    <row r="50" spans="1:23" x14ac:dyDescent="0.25">
      <c r="A50" s="2">
        <v>281</v>
      </c>
      <c r="B50" s="3" t="s">
        <v>1126</v>
      </c>
      <c r="C50" s="3">
        <v>2024</v>
      </c>
      <c r="D50" s="3" t="s">
        <v>1294</v>
      </c>
      <c r="E50" s="3" t="s">
        <v>15</v>
      </c>
      <c r="F50" s="1" t="s">
        <v>7834</v>
      </c>
      <c r="G50" s="10"/>
      <c r="H50" s="10"/>
      <c r="I50" s="10"/>
      <c r="J50" s="10"/>
      <c r="K50" s="10"/>
      <c r="L50" s="3" t="s">
        <v>1333</v>
      </c>
      <c r="M50" s="3" t="s">
        <v>1334</v>
      </c>
      <c r="N50" s="3" t="s">
        <v>1297</v>
      </c>
      <c r="O50" s="3"/>
      <c r="P50" s="3"/>
      <c r="Q50" s="3">
        <v>448</v>
      </c>
      <c r="R50" s="3" t="s">
        <v>1298</v>
      </c>
      <c r="S50" s="3" t="s">
        <v>1335</v>
      </c>
      <c r="T50" s="3" t="s">
        <v>119</v>
      </c>
      <c r="U50" s="11">
        <v>44</v>
      </c>
      <c r="V50" s="3" t="s">
        <v>1126</v>
      </c>
      <c r="W50" s="8" t="s">
        <v>7834</v>
      </c>
    </row>
    <row r="51" spans="1:23" x14ac:dyDescent="0.25">
      <c r="A51" s="2">
        <v>282</v>
      </c>
      <c r="B51" s="3" t="s">
        <v>1126</v>
      </c>
      <c r="C51" s="3">
        <v>2024</v>
      </c>
      <c r="D51" s="3" t="s">
        <v>167</v>
      </c>
      <c r="E51" s="3" t="s">
        <v>15</v>
      </c>
      <c r="F51" s="1" t="s">
        <v>7834</v>
      </c>
      <c r="G51" s="10"/>
      <c r="H51" s="10"/>
      <c r="I51" s="10"/>
      <c r="J51" s="10"/>
      <c r="K51" s="10"/>
      <c r="L51" s="3" t="s">
        <v>1336</v>
      </c>
      <c r="M51" s="3" t="s">
        <v>1337</v>
      </c>
      <c r="N51" s="3" t="s">
        <v>1313</v>
      </c>
      <c r="O51" s="3"/>
      <c r="P51" s="3"/>
      <c r="Q51" s="3"/>
      <c r="R51" s="3" t="s">
        <v>1314</v>
      </c>
      <c r="S51" s="3" t="s">
        <v>1338</v>
      </c>
      <c r="T51" s="3" t="s">
        <v>119</v>
      </c>
      <c r="U51" s="11">
        <v>45</v>
      </c>
      <c r="V51" s="3" t="s">
        <v>1126</v>
      </c>
      <c r="W51" s="8" t="s">
        <v>7834</v>
      </c>
    </row>
    <row r="52" spans="1:23" x14ac:dyDescent="0.25">
      <c r="A52" s="2">
        <v>298</v>
      </c>
      <c r="B52" s="3" t="s">
        <v>1126</v>
      </c>
      <c r="C52" s="3">
        <v>2024</v>
      </c>
      <c r="D52" s="3" t="s">
        <v>1067</v>
      </c>
      <c r="E52" s="3" t="s">
        <v>15</v>
      </c>
      <c r="F52" s="1" t="s">
        <v>7834</v>
      </c>
      <c r="G52" s="10"/>
      <c r="H52" s="10"/>
      <c r="I52" s="10"/>
      <c r="J52" s="10"/>
      <c r="K52" s="10"/>
      <c r="L52" s="3" t="s">
        <v>1408</v>
      </c>
      <c r="M52" s="3" t="s">
        <v>1409</v>
      </c>
      <c r="N52" s="3" t="s">
        <v>1275</v>
      </c>
      <c r="O52" s="3">
        <v>290</v>
      </c>
      <c r="P52" s="3"/>
      <c r="Q52" s="3"/>
      <c r="R52" s="3" t="s">
        <v>1155</v>
      </c>
      <c r="S52" s="3" t="s">
        <v>1410</v>
      </c>
      <c r="T52" s="3" t="s">
        <v>119</v>
      </c>
      <c r="U52" s="11">
        <v>46</v>
      </c>
      <c r="V52" s="3" t="s">
        <v>1126</v>
      </c>
      <c r="W52" s="8" t="s">
        <v>7834</v>
      </c>
    </row>
    <row r="53" spans="1:23" x14ac:dyDescent="0.25">
      <c r="A53" s="2">
        <v>304</v>
      </c>
      <c r="B53" s="3" t="s">
        <v>1126</v>
      </c>
      <c r="C53" s="3">
        <v>2024</v>
      </c>
      <c r="D53" s="3" t="s">
        <v>1434</v>
      </c>
      <c r="E53" s="3" t="s">
        <v>15</v>
      </c>
      <c r="F53" s="1" t="s">
        <v>7834</v>
      </c>
      <c r="G53" s="10"/>
      <c r="H53" s="10"/>
      <c r="I53" s="10"/>
      <c r="J53" s="10"/>
      <c r="K53" s="10"/>
      <c r="L53" s="3" t="s">
        <v>1435</v>
      </c>
      <c r="M53" s="3" t="s">
        <v>1436</v>
      </c>
      <c r="N53" s="3" t="s">
        <v>1437</v>
      </c>
      <c r="O53" s="3"/>
      <c r="P53" s="3"/>
      <c r="Q53" s="3">
        <v>379</v>
      </c>
      <c r="R53" s="3" t="s">
        <v>1438</v>
      </c>
      <c r="S53" s="3" t="s">
        <v>1439</v>
      </c>
      <c r="T53" s="3" t="s">
        <v>119</v>
      </c>
      <c r="U53" s="11">
        <v>47</v>
      </c>
      <c r="V53" s="3" t="s">
        <v>1126</v>
      </c>
      <c r="W53" s="8" t="s">
        <v>7834</v>
      </c>
    </row>
    <row r="54" spans="1:23" x14ac:dyDescent="0.25">
      <c r="A54" s="2">
        <v>318</v>
      </c>
      <c r="B54" s="3" t="s">
        <v>1126</v>
      </c>
      <c r="C54" s="3">
        <v>2024</v>
      </c>
      <c r="D54" s="3" t="s">
        <v>1501</v>
      </c>
      <c r="E54" s="3" t="s">
        <v>15</v>
      </c>
      <c r="F54" s="1" t="s">
        <v>7834</v>
      </c>
      <c r="G54" s="10"/>
      <c r="H54" s="10"/>
      <c r="I54" s="10"/>
      <c r="J54" s="10"/>
      <c r="K54" s="10"/>
      <c r="L54" s="3" t="s">
        <v>1502</v>
      </c>
      <c r="M54" s="3" t="s">
        <v>1503</v>
      </c>
      <c r="N54" s="3" t="s">
        <v>1504</v>
      </c>
      <c r="O54" s="3">
        <v>1</v>
      </c>
      <c r="P54" s="3"/>
      <c r="Q54" s="3">
        <v>951</v>
      </c>
      <c r="R54" s="3" t="s">
        <v>1505</v>
      </c>
      <c r="S54" s="3" t="s">
        <v>1506</v>
      </c>
      <c r="T54" s="3" t="s">
        <v>119</v>
      </c>
      <c r="U54" s="11">
        <v>48</v>
      </c>
      <c r="V54" s="3" t="s">
        <v>1126</v>
      </c>
      <c r="W54" s="8" t="s">
        <v>7834</v>
      </c>
    </row>
    <row r="55" spans="1:23" x14ac:dyDescent="0.25">
      <c r="A55" s="2">
        <v>243</v>
      </c>
      <c r="B55" s="3" t="s">
        <v>1126</v>
      </c>
      <c r="C55" s="3">
        <v>2024</v>
      </c>
      <c r="D55" s="3" t="s">
        <v>59</v>
      </c>
      <c r="E55" s="3" t="s">
        <v>496</v>
      </c>
      <c r="F55" s="1" t="s">
        <v>7834</v>
      </c>
      <c r="G55" s="10"/>
      <c r="H55" s="10"/>
      <c r="I55" s="10"/>
      <c r="J55" s="10"/>
      <c r="K55" s="10"/>
      <c r="L55" s="3" t="s">
        <v>1157</v>
      </c>
      <c r="M55" s="3" t="s">
        <v>1158</v>
      </c>
      <c r="N55" s="3" t="s">
        <v>1159</v>
      </c>
      <c r="O55" s="3"/>
      <c r="P55" s="3"/>
      <c r="Q55" s="3">
        <v>75</v>
      </c>
      <c r="R55" s="3"/>
      <c r="S55" s="3" t="s">
        <v>1160</v>
      </c>
      <c r="T55" s="3" t="s">
        <v>119</v>
      </c>
      <c r="U55" s="11">
        <v>49</v>
      </c>
      <c r="V55" s="3" t="s">
        <v>1126</v>
      </c>
      <c r="W55" s="8" t="s">
        <v>7834</v>
      </c>
    </row>
    <row r="56" spans="1:23" x14ac:dyDescent="0.25">
      <c r="A56" s="2">
        <v>264</v>
      </c>
      <c r="B56" s="3" t="s">
        <v>1126</v>
      </c>
      <c r="C56" s="3">
        <v>2024</v>
      </c>
      <c r="D56" s="3" t="s">
        <v>1252</v>
      </c>
      <c r="E56" s="3" t="s">
        <v>496</v>
      </c>
      <c r="F56" s="1" t="s">
        <v>7834</v>
      </c>
      <c r="G56" s="10"/>
      <c r="H56" s="10"/>
      <c r="I56" s="10"/>
      <c r="J56" s="10"/>
      <c r="K56" s="10"/>
      <c r="L56" s="3" t="s">
        <v>1253</v>
      </c>
      <c r="M56" s="3" t="s">
        <v>1254</v>
      </c>
      <c r="N56" s="3" t="s">
        <v>1255</v>
      </c>
      <c r="O56" s="3"/>
      <c r="P56" s="3"/>
      <c r="Q56" s="3"/>
      <c r="R56" s="3" t="s">
        <v>1256</v>
      </c>
      <c r="S56" s="3" t="s">
        <v>1257</v>
      </c>
      <c r="T56" s="3" t="s">
        <v>119</v>
      </c>
      <c r="U56" s="11">
        <v>50</v>
      </c>
      <c r="V56" s="3" t="s">
        <v>1126</v>
      </c>
      <c r="W56" s="8" t="s">
        <v>7834</v>
      </c>
    </row>
    <row r="57" spans="1:23" x14ac:dyDescent="0.25">
      <c r="A57" s="2">
        <v>313</v>
      </c>
      <c r="B57" s="3" t="s">
        <v>1126</v>
      </c>
      <c r="C57" s="3">
        <v>2024</v>
      </c>
      <c r="D57" s="3" t="s">
        <v>1477</v>
      </c>
      <c r="E57" s="3" t="s">
        <v>496</v>
      </c>
      <c r="F57" s="1" t="s">
        <v>7834</v>
      </c>
      <c r="G57" s="10"/>
      <c r="H57" s="10">
        <v>3</v>
      </c>
      <c r="I57" s="10"/>
      <c r="J57" s="10"/>
      <c r="K57" s="10"/>
      <c r="L57" s="3" t="s">
        <v>1478</v>
      </c>
      <c r="M57" s="3" t="s">
        <v>1479</v>
      </c>
      <c r="N57" s="3" t="s">
        <v>1480</v>
      </c>
      <c r="O57" s="3">
        <v>1</v>
      </c>
      <c r="P57" s="3"/>
      <c r="Q57" s="3"/>
      <c r="R57" s="3" t="s">
        <v>1468</v>
      </c>
      <c r="S57" s="3" t="s">
        <v>1481</v>
      </c>
      <c r="T57" s="3" t="s">
        <v>119</v>
      </c>
      <c r="U57" s="11">
        <v>51</v>
      </c>
      <c r="V57" s="3" t="s">
        <v>1126</v>
      </c>
      <c r="W57" s="8" t="s">
        <v>7834</v>
      </c>
    </row>
    <row r="58" spans="1:23" x14ac:dyDescent="0.25">
      <c r="A58" s="2">
        <v>244</v>
      </c>
      <c r="B58" s="3" t="s">
        <v>1126</v>
      </c>
      <c r="C58" s="3">
        <v>2024</v>
      </c>
      <c r="D58" s="3" t="s">
        <v>775</v>
      </c>
      <c r="E58" s="3" t="s">
        <v>114</v>
      </c>
      <c r="F58" s="1" t="s">
        <v>7834</v>
      </c>
      <c r="G58" s="10"/>
      <c r="H58" s="10"/>
      <c r="I58" s="10"/>
      <c r="J58" s="10"/>
      <c r="K58" s="10"/>
      <c r="L58" s="3" t="s">
        <v>1161</v>
      </c>
      <c r="M58" s="3" t="s">
        <v>1162</v>
      </c>
      <c r="N58" s="3" t="s">
        <v>1163</v>
      </c>
      <c r="O58" s="3"/>
      <c r="P58" s="3"/>
      <c r="Q58" s="3"/>
      <c r="R58" s="3"/>
      <c r="S58" s="3" t="s">
        <v>1164</v>
      </c>
      <c r="T58" s="3" t="s">
        <v>119</v>
      </c>
      <c r="U58" s="11">
        <v>52</v>
      </c>
      <c r="V58" s="3" t="s">
        <v>1126</v>
      </c>
      <c r="W58" s="8" t="s">
        <v>7834</v>
      </c>
    </row>
    <row r="59" spans="1:23" x14ac:dyDescent="0.25">
      <c r="A59" s="2">
        <v>245</v>
      </c>
      <c r="B59" s="3" t="s">
        <v>1126</v>
      </c>
      <c r="C59" s="3">
        <v>2024</v>
      </c>
      <c r="D59" s="3" t="s">
        <v>736</v>
      </c>
      <c r="E59" s="3" t="s">
        <v>114</v>
      </c>
      <c r="F59" s="1" t="s">
        <v>7834</v>
      </c>
      <c r="G59" s="10"/>
      <c r="H59" s="10"/>
      <c r="I59" s="10"/>
      <c r="J59" s="10"/>
      <c r="K59" s="10"/>
      <c r="L59" s="3" t="s">
        <v>1165</v>
      </c>
      <c r="M59" s="3" t="s">
        <v>1166</v>
      </c>
      <c r="N59" s="3" t="s">
        <v>1167</v>
      </c>
      <c r="O59" s="3"/>
      <c r="P59" s="3"/>
      <c r="Q59" s="3"/>
      <c r="R59" s="3"/>
      <c r="S59" s="3" t="s">
        <v>1168</v>
      </c>
      <c r="T59" s="3" t="s">
        <v>119</v>
      </c>
      <c r="U59" s="11">
        <v>53</v>
      </c>
      <c r="V59" s="3" t="s">
        <v>1126</v>
      </c>
      <c r="W59" s="8" t="s">
        <v>7834</v>
      </c>
    </row>
    <row r="60" spans="1:23" x14ac:dyDescent="0.25">
      <c r="A60" s="2">
        <v>247</v>
      </c>
      <c r="B60" s="3" t="s">
        <v>1126</v>
      </c>
      <c r="C60" s="3">
        <v>2024</v>
      </c>
      <c r="D60" s="3" t="s">
        <v>736</v>
      </c>
      <c r="E60" s="3" t="s">
        <v>114</v>
      </c>
      <c r="F60" s="1" t="s">
        <v>7834</v>
      </c>
      <c r="G60" s="10"/>
      <c r="H60" s="10"/>
      <c r="I60" s="10"/>
      <c r="J60" s="10"/>
      <c r="K60" s="10"/>
      <c r="L60" s="3" t="s">
        <v>1174</v>
      </c>
      <c r="M60" s="3" t="s">
        <v>1175</v>
      </c>
      <c r="N60" s="3" t="s">
        <v>1167</v>
      </c>
      <c r="O60" s="3"/>
      <c r="P60" s="3"/>
      <c r="Q60" s="3"/>
      <c r="R60" s="3"/>
      <c r="S60" s="3" t="s">
        <v>1176</v>
      </c>
      <c r="T60" s="3" t="s">
        <v>119</v>
      </c>
      <c r="U60" s="11">
        <v>54</v>
      </c>
      <c r="V60" s="3" t="s">
        <v>1126</v>
      </c>
      <c r="W60" s="8" t="s">
        <v>7834</v>
      </c>
    </row>
    <row r="61" spans="1:23" x14ac:dyDescent="0.25">
      <c r="A61" s="2">
        <v>251</v>
      </c>
      <c r="B61" s="3" t="s">
        <v>1126</v>
      </c>
      <c r="C61" s="3">
        <v>2024</v>
      </c>
      <c r="D61" s="3" t="s">
        <v>31</v>
      </c>
      <c r="E61" s="3" t="s">
        <v>114</v>
      </c>
      <c r="F61" s="1" t="s">
        <v>7834</v>
      </c>
      <c r="G61" s="10"/>
      <c r="H61" s="10"/>
      <c r="I61" s="10"/>
      <c r="J61" s="10"/>
      <c r="K61" s="10"/>
      <c r="L61" s="3" t="s">
        <v>1192</v>
      </c>
      <c r="M61" s="3" t="s">
        <v>1193</v>
      </c>
      <c r="N61" s="3" t="s">
        <v>1194</v>
      </c>
      <c r="O61" s="3"/>
      <c r="P61" s="3"/>
      <c r="Q61" s="3">
        <v>111</v>
      </c>
      <c r="R61" s="3"/>
      <c r="S61" s="3" t="s">
        <v>1195</v>
      </c>
      <c r="T61" s="3" t="s">
        <v>119</v>
      </c>
      <c r="U61" s="11">
        <v>55</v>
      </c>
      <c r="V61" s="3" t="s">
        <v>1126</v>
      </c>
      <c r="W61" s="8" t="s">
        <v>7834</v>
      </c>
    </row>
    <row r="62" spans="1:23" x14ac:dyDescent="0.25">
      <c r="A62" s="2">
        <v>262</v>
      </c>
      <c r="B62" s="3" t="s">
        <v>1126</v>
      </c>
      <c r="C62" s="3">
        <v>2024</v>
      </c>
      <c r="D62" s="3" t="s">
        <v>729</v>
      </c>
      <c r="E62" s="3" t="s">
        <v>114</v>
      </c>
      <c r="F62" s="1" t="s">
        <v>7834</v>
      </c>
      <c r="G62" s="10"/>
      <c r="H62" s="10"/>
      <c r="I62" s="10"/>
      <c r="J62" s="10"/>
      <c r="K62" s="10"/>
      <c r="L62" s="3" t="s">
        <v>1244</v>
      </c>
      <c r="M62" s="3" t="s">
        <v>1245</v>
      </c>
      <c r="N62" s="3" t="s">
        <v>1214</v>
      </c>
      <c r="O62" s="3"/>
      <c r="P62" s="3"/>
      <c r="Q62" s="3"/>
      <c r="R62" s="3" t="s">
        <v>1215</v>
      </c>
      <c r="S62" s="3" t="s">
        <v>1246</v>
      </c>
      <c r="T62" s="3" t="s">
        <v>119</v>
      </c>
      <c r="U62" s="11">
        <v>56</v>
      </c>
      <c r="V62" s="3" t="s">
        <v>1126</v>
      </c>
      <c r="W62" s="8" t="s">
        <v>7834</v>
      </c>
    </row>
    <row r="63" spans="1:23" x14ac:dyDescent="0.25">
      <c r="A63" s="2">
        <v>263</v>
      </c>
      <c r="B63" s="3" t="s">
        <v>1126</v>
      </c>
      <c r="C63" s="3">
        <v>2024</v>
      </c>
      <c r="D63" s="3" t="s">
        <v>1247</v>
      </c>
      <c r="E63" s="3" t="s">
        <v>114</v>
      </c>
      <c r="F63" s="1" t="s">
        <v>7834</v>
      </c>
      <c r="G63" s="10"/>
      <c r="H63" s="10"/>
      <c r="I63" s="10"/>
      <c r="J63" s="10"/>
      <c r="K63" s="10"/>
      <c r="L63" s="3" t="s">
        <v>1248</v>
      </c>
      <c r="M63" s="3" t="s">
        <v>1249</v>
      </c>
      <c r="N63" s="3" t="s">
        <v>1250</v>
      </c>
      <c r="O63" s="3">
        <v>2</v>
      </c>
      <c r="P63" s="3">
        <v>5</v>
      </c>
      <c r="Q63" s="3">
        <v>1</v>
      </c>
      <c r="R63" s="3"/>
      <c r="S63" s="3" t="s">
        <v>1251</v>
      </c>
      <c r="T63" s="3" t="s">
        <v>119</v>
      </c>
      <c r="U63" s="11">
        <v>57</v>
      </c>
      <c r="V63" s="3" t="s">
        <v>1126</v>
      </c>
      <c r="W63" s="8" t="s">
        <v>7834</v>
      </c>
    </row>
    <row r="64" spans="1:23" x14ac:dyDescent="0.25">
      <c r="A64" s="2">
        <v>270</v>
      </c>
      <c r="B64" s="3" t="s">
        <v>1126</v>
      </c>
      <c r="C64" s="3">
        <v>2024</v>
      </c>
      <c r="D64" s="3" t="s">
        <v>1283</v>
      </c>
      <c r="E64" s="3" t="s">
        <v>114</v>
      </c>
      <c r="F64" s="1" t="s">
        <v>7834</v>
      </c>
      <c r="G64" s="10"/>
      <c r="H64" s="10"/>
      <c r="I64" s="10"/>
      <c r="J64" s="10"/>
      <c r="K64" s="10"/>
      <c r="L64" s="3" t="s">
        <v>1284</v>
      </c>
      <c r="M64" s="3" t="s">
        <v>1285</v>
      </c>
      <c r="N64" s="3" t="s">
        <v>1286</v>
      </c>
      <c r="O64" s="3"/>
      <c r="P64" s="3"/>
      <c r="Q64" s="3"/>
      <c r="R64" s="3"/>
      <c r="S64" s="3" t="s">
        <v>1287</v>
      </c>
      <c r="T64" s="3" t="s">
        <v>119</v>
      </c>
      <c r="U64" s="11">
        <v>58</v>
      </c>
      <c r="V64" s="3" t="s">
        <v>1126</v>
      </c>
      <c r="W64" s="8" t="s">
        <v>7834</v>
      </c>
    </row>
    <row r="65" spans="1:23" x14ac:dyDescent="0.25">
      <c r="A65" s="2">
        <v>286</v>
      </c>
      <c r="B65" s="3" t="s">
        <v>1126</v>
      </c>
      <c r="C65" s="3">
        <v>2024</v>
      </c>
      <c r="D65" s="3" t="s">
        <v>1354</v>
      </c>
      <c r="E65" s="3" t="s">
        <v>114</v>
      </c>
      <c r="F65" s="1" t="s">
        <v>7834</v>
      </c>
      <c r="G65" s="10"/>
      <c r="H65" s="10"/>
      <c r="I65" s="10"/>
      <c r="J65" s="10"/>
      <c r="K65" s="10"/>
      <c r="L65" s="3" t="s">
        <v>1355</v>
      </c>
      <c r="M65" s="3" t="s">
        <v>1356</v>
      </c>
      <c r="N65" s="3" t="s">
        <v>1357</v>
      </c>
      <c r="O65" s="3"/>
      <c r="P65" s="3"/>
      <c r="Q65" s="3">
        <v>60</v>
      </c>
      <c r="R65" s="3" t="s">
        <v>1358</v>
      </c>
      <c r="S65" s="3" t="s">
        <v>1359</v>
      </c>
      <c r="T65" s="3" t="s">
        <v>119</v>
      </c>
      <c r="U65" s="11">
        <v>59</v>
      </c>
      <c r="V65" s="3" t="s">
        <v>1126</v>
      </c>
      <c r="W65" s="8" t="s">
        <v>7834</v>
      </c>
    </row>
    <row r="66" spans="1:23" x14ac:dyDescent="0.25">
      <c r="A66" s="2">
        <v>287</v>
      </c>
      <c r="B66" s="3" t="s">
        <v>1126</v>
      </c>
      <c r="C66" s="3">
        <v>2024</v>
      </c>
      <c r="D66" s="3" t="s">
        <v>1247</v>
      </c>
      <c r="E66" s="3" t="s">
        <v>114</v>
      </c>
      <c r="F66" s="1" t="s">
        <v>7834</v>
      </c>
      <c r="G66" s="10"/>
      <c r="H66" s="10"/>
      <c r="I66" s="10"/>
      <c r="J66" s="10"/>
      <c r="K66" s="10"/>
      <c r="L66" s="3" t="s">
        <v>1360</v>
      </c>
      <c r="M66" s="3" t="s">
        <v>1361</v>
      </c>
      <c r="N66" s="3" t="s">
        <v>1250</v>
      </c>
      <c r="O66" s="3">
        <v>2</v>
      </c>
      <c r="P66" s="3">
        <v>5</v>
      </c>
      <c r="Q66" s="3">
        <v>1</v>
      </c>
      <c r="R66" s="3"/>
      <c r="S66" s="3" t="s">
        <v>1362</v>
      </c>
      <c r="T66" s="3" t="s">
        <v>119</v>
      </c>
      <c r="U66" s="11">
        <v>60</v>
      </c>
      <c r="V66" s="3" t="s">
        <v>1126</v>
      </c>
      <c r="W66" s="8" t="s">
        <v>7834</v>
      </c>
    </row>
    <row r="67" spans="1:23" x14ac:dyDescent="0.25">
      <c r="A67" s="2">
        <v>290</v>
      </c>
      <c r="B67" s="3" t="s">
        <v>1126</v>
      </c>
      <c r="C67" s="3">
        <v>2024</v>
      </c>
      <c r="D67" s="3" t="s">
        <v>1196</v>
      </c>
      <c r="E67" s="3" t="s">
        <v>114</v>
      </c>
      <c r="F67" s="1" t="s">
        <v>7834</v>
      </c>
      <c r="G67" s="10"/>
      <c r="H67" s="10"/>
      <c r="I67" s="10"/>
      <c r="J67" s="10"/>
      <c r="K67" s="10"/>
      <c r="L67" s="3" t="s">
        <v>1372</v>
      </c>
      <c r="M67" s="3" t="s">
        <v>1373</v>
      </c>
      <c r="N67" s="3" t="s">
        <v>1374</v>
      </c>
      <c r="O67" s="3">
        <v>14</v>
      </c>
      <c r="P67" s="3">
        <v>1</v>
      </c>
      <c r="Q67" s="3"/>
      <c r="R67" s="3"/>
      <c r="S67" s="3" t="s">
        <v>1375</v>
      </c>
      <c r="T67" s="3" t="s">
        <v>119</v>
      </c>
      <c r="U67" s="11">
        <v>61</v>
      </c>
      <c r="V67" s="3" t="s">
        <v>1126</v>
      </c>
      <c r="W67" s="8" t="s">
        <v>7834</v>
      </c>
    </row>
    <row r="68" spans="1:23" x14ac:dyDescent="0.25">
      <c r="A68" s="2">
        <v>292</v>
      </c>
      <c r="B68" s="3" t="s">
        <v>1126</v>
      </c>
      <c r="C68" s="3">
        <v>2024</v>
      </c>
      <c r="D68" s="3" t="s">
        <v>1381</v>
      </c>
      <c r="E68" s="3" t="s">
        <v>114</v>
      </c>
      <c r="F68" s="1" t="s">
        <v>7834</v>
      </c>
      <c r="G68" s="10"/>
      <c r="H68" s="10"/>
      <c r="I68" s="10"/>
      <c r="J68" s="10"/>
      <c r="K68" s="10"/>
      <c r="L68" s="3" t="s">
        <v>1382</v>
      </c>
      <c r="M68" s="3" t="s">
        <v>1383</v>
      </c>
      <c r="N68" s="3" t="s">
        <v>1384</v>
      </c>
      <c r="O68" s="3"/>
      <c r="P68" s="3"/>
      <c r="Q68" s="3"/>
      <c r="R68" s="3"/>
      <c r="S68" s="3" t="s">
        <v>1385</v>
      </c>
      <c r="T68" s="3" t="s">
        <v>119</v>
      </c>
      <c r="U68" s="11">
        <v>62</v>
      </c>
      <c r="V68" s="3" t="s">
        <v>1126</v>
      </c>
      <c r="W68" s="8" t="s">
        <v>7834</v>
      </c>
    </row>
    <row r="69" spans="1:23" x14ac:dyDescent="0.25">
      <c r="A69" s="2">
        <v>299</v>
      </c>
      <c r="B69" s="3" t="s">
        <v>1126</v>
      </c>
      <c r="C69" s="3">
        <v>2024</v>
      </c>
      <c r="D69" s="3" t="s">
        <v>295</v>
      </c>
      <c r="E69" s="3" t="s">
        <v>114</v>
      </c>
      <c r="F69" s="1" t="s">
        <v>7834</v>
      </c>
      <c r="G69" s="10"/>
      <c r="H69" s="10"/>
      <c r="I69" s="10"/>
      <c r="J69" s="10"/>
      <c r="K69" s="10"/>
      <c r="L69" s="3" t="s">
        <v>1411</v>
      </c>
      <c r="M69" s="3" t="s">
        <v>1412</v>
      </c>
      <c r="N69" s="3" t="s">
        <v>1413</v>
      </c>
      <c r="O69" s="3"/>
      <c r="P69" s="3"/>
      <c r="Q69" s="3">
        <v>135</v>
      </c>
      <c r="R69" s="3"/>
      <c r="S69" s="3" t="s">
        <v>1414</v>
      </c>
      <c r="T69" s="3" t="s">
        <v>119</v>
      </c>
      <c r="U69" s="11">
        <v>63</v>
      </c>
      <c r="V69" s="3" t="s">
        <v>1126</v>
      </c>
      <c r="W69" s="8" t="s">
        <v>7834</v>
      </c>
    </row>
    <row r="70" spans="1:23" x14ac:dyDescent="0.25">
      <c r="A70" s="2">
        <v>320</v>
      </c>
      <c r="B70" s="3" t="s">
        <v>1126</v>
      </c>
      <c r="C70" s="3">
        <v>2024</v>
      </c>
      <c r="D70" s="3" t="s">
        <v>1022</v>
      </c>
      <c r="E70" s="3" t="s">
        <v>114</v>
      </c>
      <c r="F70" s="1" t="s">
        <v>7834</v>
      </c>
      <c r="G70" s="10"/>
      <c r="H70" s="10"/>
      <c r="I70" s="10"/>
      <c r="J70" s="10"/>
      <c r="K70" s="10"/>
      <c r="L70" s="3" t="s">
        <v>1511</v>
      </c>
      <c r="M70" s="3" t="s">
        <v>1512</v>
      </c>
      <c r="N70" s="3" t="s">
        <v>1250</v>
      </c>
      <c r="O70" s="3">
        <v>2</v>
      </c>
      <c r="P70" s="3">
        <v>1</v>
      </c>
      <c r="Q70" s="3">
        <v>1</v>
      </c>
      <c r="R70" s="3"/>
      <c r="S70" s="3" t="s">
        <v>1513</v>
      </c>
      <c r="T70" s="3" t="s">
        <v>119</v>
      </c>
      <c r="U70" s="11">
        <v>64</v>
      </c>
      <c r="V70" s="3" t="s">
        <v>1126</v>
      </c>
      <c r="W70" s="8" t="s">
        <v>7834</v>
      </c>
    </row>
    <row r="71" spans="1:23" x14ac:dyDescent="0.25">
      <c r="A71" s="2">
        <v>328</v>
      </c>
      <c r="B71" s="3" t="s">
        <v>1126</v>
      </c>
      <c r="C71" s="3">
        <v>2024</v>
      </c>
      <c r="D71" s="3" t="s">
        <v>1542</v>
      </c>
      <c r="E71" s="3" t="s">
        <v>114</v>
      </c>
      <c r="F71" s="1" t="s">
        <v>7834</v>
      </c>
      <c r="G71" s="10"/>
      <c r="H71" s="10"/>
      <c r="I71" s="10">
        <v>14</v>
      </c>
      <c r="J71" s="10"/>
      <c r="K71" s="10"/>
      <c r="L71" s="3" t="s">
        <v>1543</v>
      </c>
      <c r="M71" s="3" t="s">
        <v>1544</v>
      </c>
      <c r="N71" s="3" t="s">
        <v>1545</v>
      </c>
      <c r="O71" s="3"/>
      <c r="P71" s="3"/>
      <c r="Q71" s="3">
        <v>62</v>
      </c>
      <c r="R71" s="3"/>
      <c r="S71" s="3" t="s">
        <v>1546</v>
      </c>
      <c r="T71" s="3" t="s">
        <v>119</v>
      </c>
      <c r="U71" s="11">
        <v>65</v>
      </c>
      <c r="V71" s="3" t="s">
        <v>1126</v>
      </c>
      <c r="W71" s="8" t="s">
        <v>7834</v>
      </c>
    </row>
    <row r="72" spans="1:23" x14ac:dyDescent="0.25">
      <c r="A72" s="2">
        <v>238</v>
      </c>
      <c r="B72" s="3" t="s">
        <v>1126</v>
      </c>
      <c r="C72" s="3">
        <v>2024</v>
      </c>
      <c r="D72" s="3" t="s">
        <v>1132</v>
      </c>
      <c r="E72" s="3" t="s">
        <v>206</v>
      </c>
      <c r="F72" s="1" t="s">
        <v>7834</v>
      </c>
      <c r="G72" s="10"/>
      <c r="H72" s="10"/>
      <c r="I72" s="10"/>
      <c r="J72" s="10"/>
      <c r="K72" s="10"/>
      <c r="L72" s="3" t="s">
        <v>1133</v>
      </c>
      <c r="M72" s="3" t="s">
        <v>1134</v>
      </c>
      <c r="N72" s="3" t="s">
        <v>1135</v>
      </c>
      <c r="O72" s="3">
        <v>317</v>
      </c>
      <c r="P72" s="3"/>
      <c r="Q72" s="3"/>
      <c r="R72" s="3"/>
      <c r="S72" s="3" t="s">
        <v>1136</v>
      </c>
      <c r="T72" s="3" t="s">
        <v>119</v>
      </c>
      <c r="U72" s="11">
        <v>66</v>
      </c>
      <c r="V72" s="3" t="s">
        <v>1126</v>
      </c>
      <c r="W72" s="8" t="s">
        <v>7834</v>
      </c>
    </row>
    <row r="73" spans="1:23" x14ac:dyDescent="0.25">
      <c r="A73" s="2">
        <v>239</v>
      </c>
      <c r="B73" s="3" t="s">
        <v>1126</v>
      </c>
      <c r="C73" s="3">
        <v>2024</v>
      </c>
      <c r="D73" s="3" t="s">
        <v>1137</v>
      </c>
      <c r="E73" s="3" t="s">
        <v>206</v>
      </c>
      <c r="F73" s="1" t="s">
        <v>7834</v>
      </c>
      <c r="G73" s="10"/>
      <c r="H73" s="10"/>
      <c r="I73" s="10"/>
      <c r="J73" s="10"/>
      <c r="K73" s="10"/>
      <c r="L73" s="3" t="s">
        <v>1138</v>
      </c>
      <c r="M73" s="3" t="s">
        <v>1139</v>
      </c>
      <c r="N73" s="3" t="s">
        <v>1140</v>
      </c>
      <c r="O73" s="3">
        <v>247</v>
      </c>
      <c r="P73" s="3"/>
      <c r="Q73" s="3">
        <v>3241</v>
      </c>
      <c r="R73" s="3">
        <v>26403498</v>
      </c>
      <c r="S73" s="3" t="s">
        <v>1141</v>
      </c>
      <c r="T73" s="3" t="s">
        <v>119</v>
      </c>
      <c r="U73" s="11">
        <v>67</v>
      </c>
      <c r="V73" s="3" t="s">
        <v>1126</v>
      </c>
      <c r="W73" s="8" t="s">
        <v>7834</v>
      </c>
    </row>
    <row r="74" spans="1:23" x14ac:dyDescent="0.25">
      <c r="A74" s="2">
        <v>240</v>
      </c>
      <c r="B74" s="3" t="s">
        <v>1126</v>
      </c>
      <c r="C74" s="3">
        <v>2024</v>
      </c>
      <c r="D74" s="3" t="s">
        <v>1142</v>
      </c>
      <c r="E74" s="3" t="s">
        <v>206</v>
      </c>
      <c r="F74" s="1" t="s">
        <v>7834</v>
      </c>
      <c r="G74" s="10"/>
      <c r="H74" s="10"/>
      <c r="I74" s="10"/>
      <c r="J74" s="10"/>
      <c r="K74" s="10"/>
      <c r="L74" s="3" t="s">
        <v>1143</v>
      </c>
      <c r="M74" s="3" t="s">
        <v>1144</v>
      </c>
      <c r="N74" s="3" t="s">
        <v>1145</v>
      </c>
      <c r="O74" s="3"/>
      <c r="P74" s="3"/>
      <c r="Q74" s="3"/>
      <c r="R74" s="3"/>
      <c r="S74" s="3" t="s">
        <v>1146</v>
      </c>
      <c r="T74" s="3" t="s">
        <v>119</v>
      </c>
      <c r="U74" s="11">
        <v>68</v>
      </c>
      <c r="V74" s="3" t="s">
        <v>1126</v>
      </c>
      <c r="W74" s="8" t="s">
        <v>7834</v>
      </c>
    </row>
    <row r="75" spans="1:23" x14ac:dyDescent="0.25">
      <c r="A75" s="2">
        <v>241</v>
      </c>
      <c r="B75" s="3" t="s">
        <v>1126</v>
      </c>
      <c r="C75" s="3">
        <v>2024</v>
      </c>
      <c r="D75" s="3" t="s">
        <v>1142</v>
      </c>
      <c r="E75" s="3" t="s">
        <v>206</v>
      </c>
      <c r="F75" s="1" t="s">
        <v>7834</v>
      </c>
      <c r="G75" s="10"/>
      <c r="H75" s="10"/>
      <c r="I75" s="10"/>
      <c r="J75" s="10"/>
      <c r="K75" s="10"/>
      <c r="L75" s="3" t="s">
        <v>1147</v>
      </c>
      <c r="M75" s="3" t="s">
        <v>1148</v>
      </c>
      <c r="N75" s="3" t="s">
        <v>1149</v>
      </c>
      <c r="O75" s="3"/>
      <c r="P75" s="3"/>
      <c r="Q75" s="3"/>
      <c r="R75" s="3"/>
      <c r="S75" s="3" t="s">
        <v>1150</v>
      </c>
      <c r="T75" s="3" t="s">
        <v>119</v>
      </c>
      <c r="U75" s="11">
        <v>69</v>
      </c>
      <c r="V75" s="3" t="s">
        <v>1126</v>
      </c>
      <c r="W75" s="8" t="s">
        <v>7834</v>
      </c>
    </row>
    <row r="76" spans="1:23" x14ac:dyDescent="0.25">
      <c r="A76" s="2">
        <v>250</v>
      </c>
      <c r="B76" s="3" t="s">
        <v>1126</v>
      </c>
      <c r="C76" s="3">
        <v>2024</v>
      </c>
      <c r="D76" s="3" t="s">
        <v>31</v>
      </c>
      <c r="E76" s="3" t="s">
        <v>206</v>
      </c>
      <c r="F76" s="1" t="s">
        <v>7834</v>
      </c>
      <c r="G76" s="10"/>
      <c r="H76" s="10"/>
      <c r="I76" s="10"/>
      <c r="J76" s="10"/>
      <c r="K76" s="10"/>
      <c r="L76" s="3" t="s">
        <v>1188</v>
      </c>
      <c r="M76" s="3" t="s">
        <v>1189</v>
      </c>
      <c r="N76" s="3" t="s">
        <v>1190</v>
      </c>
      <c r="O76" s="3"/>
      <c r="P76" s="3"/>
      <c r="Q76" s="3">
        <v>176</v>
      </c>
      <c r="R76" s="3"/>
      <c r="S76" s="3" t="s">
        <v>1191</v>
      </c>
      <c r="T76" s="3" t="s">
        <v>119</v>
      </c>
      <c r="U76" s="11">
        <v>70</v>
      </c>
      <c r="V76" s="3" t="s">
        <v>1126</v>
      </c>
      <c r="W76" s="8" t="s">
        <v>7834</v>
      </c>
    </row>
    <row r="77" spans="1:23" x14ac:dyDescent="0.25">
      <c r="A77" s="2">
        <v>256</v>
      </c>
      <c r="B77" s="3" t="s">
        <v>1126</v>
      </c>
      <c r="C77" s="3">
        <v>2024</v>
      </c>
      <c r="D77" s="3" t="s">
        <v>120</v>
      </c>
      <c r="E77" s="3" t="s">
        <v>206</v>
      </c>
      <c r="F77" s="1" t="s">
        <v>7834</v>
      </c>
      <c r="G77" s="10"/>
      <c r="H77" s="10"/>
      <c r="I77" s="10"/>
      <c r="J77" s="10"/>
      <c r="K77" s="10"/>
      <c r="L77" s="3" t="s">
        <v>1217</v>
      </c>
      <c r="M77" s="3" t="s">
        <v>1218</v>
      </c>
      <c r="N77" s="3" t="s">
        <v>1219</v>
      </c>
      <c r="O77" s="3">
        <v>178</v>
      </c>
      <c r="P77" s="3"/>
      <c r="Q77" s="3"/>
      <c r="R77" s="3" t="s">
        <v>1220</v>
      </c>
      <c r="S77" s="3" t="s">
        <v>1221</v>
      </c>
      <c r="T77" s="3" t="s">
        <v>119</v>
      </c>
      <c r="U77" s="11">
        <v>71</v>
      </c>
      <c r="V77" s="3" t="s">
        <v>1126</v>
      </c>
      <c r="W77" s="8" t="s">
        <v>7834</v>
      </c>
    </row>
    <row r="78" spans="1:23" x14ac:dyDescent="0.25">
      <c r="A78" s="2">
        <v>265</v>
      </c>
      <c r="B78" s="3" t="s">
        <v>1126</v>
      </c>
      <c r="C78" s="3">
        <v>2024</v>
      </c>
      <c r="D78" s="3" t="s">
        <v>994</v>
      </c>
      <c r="E78" s="3" t="s">
        <v>206</v>
      </c>
      <c r="F78" s="1" t="s">
        <v>7834</v>
      </c>
      <c r="G78" s="10"/>
      <c r="H78" s="10"/>
      <c r="I78" s="10"/>
      <c r="J78" s="10"/>
      <c r="K78" s="10"/>
      <c r="L78" s="3" t="s">
        <v>1258</v>
      </c>
      <c r="M78" s="3" t="s">
        <v>1259</v>
      </c>
      <c r="N78" s="3" t="s">
        <v>1260</v>
      </c>
      <c r="O78" s="3"/>
      <c r="P78" s="3"/>
      <c r="Q78" s="3">
        <v>17154</v>
      </c>
      <c r="R78" s="3"/>
      <c r="S78" s="3" t="s">
        <v>1261</v>
      </c>
      <c r="T78" s="3" t="s">
        <v>119</v>
      </c>
      <c r="U78" s="11">
        <v>72</v>
      </c>
      <c r="V78" s="3" t="s">
        <v>1126</v>
      </c>
      <c r="W78" s="8" t="s">
        <v>7834</v>
      </c>
    </row>
    <row r="79" spans="1:23" x14ac:dyDescent="0.25">
      <c r="A79" s="2">
        <v>266</v>
      </c>
      <c r="B79" s="3" t="s">
        <v>1126</v>
      </c>
      <c r="C79" s="3">
        <v>2024</v>
      </c>
      <c r="D79" s="3" t="s">
        <v>1262</v>
      </c>
      <c r="E79" s="3" t="s">
        <v>206</v>
      </c>
      <c r="F79" s="1" t="s">
        <v>7834</v>
      </c>
      <c r="G79" s="10"/>
      <c r="H79" s="10"/>
      <c r="I79" s="10"/>
      <c r="J79" s="10"/>
      <c r="K79" s="10"/>
      <c r="L79" s="3" t="s">
        <v>1263</v>
      </c>
      <c r="M79" s="3" t="s">
        <v>1264</v>
      </c>
      <c r="N79" s="3" t="s">
        <v>1265</v>
      </c>
      <c r="O79" s="3">
        <v>235</v>
      </c>
      <c r="P79" s="3"/>
      <c r="Q79" s="3">
        <v>1243</v>
      </c>
      <c r="R79" s="3">
        <v>26403498</v>
      </c>
      <c r="S79" s="3" t="s">
        <v>1266</v>
      </c>
      <c r="T79" s="3" t="s">
        <v>119</v>
      </c>
      <c r="U79" s="11">
        <v>73</v>
      </c>
      <c r="V79" s="3" t="s">
        <v>1126</v>
      </c>
      <c r="W79" s="8" t="s">
        <v>7834</v>
      </c>
    </row>
    <row r="80" spans="1:23" x14ac:dyDescent="0.25">
      <c r="A80" s="2">
        <v>274</v>
      </c>
      <c r="B80" s="3" t="s">
        <v>1126</v>
      </c>
      <c r="C80" s="3">
        <v>2024</v>
      </c>
      <c r="D80" s="3" t="s">
        <v>14</v>
      </c>
      <c r="E80" s="3" t="s">
        <v>206</v>
      </c>
      <c r="F80" s="1" t="s">
        <v>7834</v>
      </c>
      <c r="G80" s="10"/>
      <c r="H80" s="10"/>
      <c r="I80" s="10"/>
      <c r="J80" s="10"/>
      <c r="K80" s="10"/>
      <c r="L80" s="3" t="s">
        <v>1304</v>
      </c>
      <c r="M80" s="3" t="s">
        <v>1305</v>
      </c>
      <c r="N80" s="3" t="s">
        <v>1306</v>
      </c>
      <c r="O80" s="3"/>
      <c r="P80" s="3"/>
      <c r="Q80" s="3">
        <v>156</v>
      </c>
      <c r="R80" s="3"/>
      <c r="S80" s="3" t="s">
        <v>1307</v>
      </c>
      <c r="T80" s="3" t="s">
        <v>119</v>
      </c>
      <c r="U80" s="11">
        <v>74</v>
      </c>
      <c r="V80" s="3" t="s">
        <v>1126</v>
      </c>
      <c r="W80" s="8" t="s">
        <v>7834</v>
      </c>
    </row>
    <row r="81" spans="1:23" x14ac:dyDescent="0.25">
      <c r="A81" s="2">
        <v>280</v>
      </c>
      <c r="B81" s="3" t="s">
        <v>1126</v>
      </c>
      <c r="C81" s="3">
        <v>2024</v>
      </c>
      <c r="D81" s="3" t="s">
        <v>1294</v>
      </c>
      <c r="E81" s="3" t="s">
        <v>206</v>
      </c>
      <c r="F81" s="1" t="s">
        <v>7834</v>
      </c>
      <c r="G81" s="10"/>
      <c r="H81" s="10"/>
      <c r="I81" s="10"/>
      <c r="J81" s="10"/>
      <c r="K81" s="10"/>
      <c r="L81" s="3" t="s">
        <v>1329</v>
      </c>
      <c r="M81" s="3" t="s">
        <v>1330</v>
      </c>
      <c r="N81" s="3" t="s">
        <v>1331</v>
      </c>
      <c r="O81" s="3"/>
      <c r="P81" s="3"/>
      <c r="Q81" s="3"/>
      <c r="R81" s="3">
        <v>10556338</v>
      </c>
      <c r="S81" s="3" t="s">
        <v>1332</v>
      </c>
      <c r="T81" s="3" t="s">
        <v>119</v>
      </c>
      <c r="U81" s="11">
        <v>75</v>
      </c>
      <c r="V81" s="3" t="s">
        <v>1126</v>
      </c>
      <c r="W81" s="8" t="s">
        <v>7834</v>
      </c>
    </row>
    <row r="82" spans="1:23" x14ac:dyDescent="0.25">
      <c r="A82" s="2">
        <v>295</v>
      </c>
      <c r="B82" s="3" t="s">
        <v>1126</v>
      </c>
      <c r="C82" s="3">
        <v>2024</v>
      </c>
      <c r="D82" s="3" t="s">
        <v>1395</v>
      </c>
      <c r="E82" s="3" t="s">
        <v>206</v>
      </c>
      <c r="F82" s="1" t="s">
        <v>7834</v>
      </c>
      <c r="G82" s="10"/>
      <c r="H82" s="10"/>
      <c r="I82" s="10"/>
      <c r="J82" s="10"/>
      <c r="K82" s="10"/>
      <c r="L82" s="3" t="s">
        <v>1396</v>
      </c>
      <c r="M82" s="3" t="s">
        <v>1397</v>
      </c>
      <c r="N82" s="3" t="s">
        <v>1398</v>
      </c>
      <c r="O82" s="3">
        <v>3809</v>
      </c>
      <c r="P82" s="3"/>
      <c r="Q82" s="3"/>
      <c r="R82" s="3">
        <v>16130073</v>
      </c>
      <c r="S82" s="3" t="s">
        <v>1399</v>
      </c>
      <c r="T82" s="3" t="s">
        <v>119</v>
      </c>
      <c r="U82" s="11">
        <v>76</v>
      </c>
      <c r="V82" s="3" t="s">
        <v>1126</v>
      </c>
      <c r="W82" s="8" t="s">
        <v>7834</v>
      </c>
    </row>
    <row r="83" spans="1:23" x14ac:dyDescent="0.25">
      <c r="A83" s="2">
        <v>297</v>
      </c>
      <c r="B83" s="3" t="s">
        <v>1126</v>
      </c>
      <c r="C83" s="3">
        <v>2024</v>
      </c>
      <c r="D83" s="3" t="s">
        <v>742</v>
      </c>
      <c r="E83" s="3" t="s">
        <v>206</v>
      </c>
      <c r="F83" s="1" t="s">
        <v>7834</v>
      </c>
      <c r="G83" s="10"/>
      <c r="H83" s="10"/>
      <c r="I83" s="10"/>
      <c r="J83" s="10"/>
      <c r="K83" s="10"/>
      <c r="L83" s="3" t="s">
        <v>1404</v>
      </c>
      <c r="M83" s="3" t="s">
        <v>1405</v>
      </c>
      <c r="N83" s="3" t="s">
        <v>1406</v>
      </c>
      <c r="O83" s="3">
        <v>3756</v>
      </c>
      <c r="P83" s="3"/>
      <c r="Q83" s="3"/>
      <c r="R83" s="3"/>
      <c r="S83" s="3" t="s">
        <v>1407</v>
      </c>
      <c r="T83" s="3" t="s">
        <v>119</v>
      </c>
      <c r="U83" s="11">
        <v>77</v>
      </c>
      <c r="V83" s="3" t="s">
        <v>1126</v>
      </c>
      <c r="W83" s="8" t="s">
        <v>7834</v>
      </c>
    </row>
    <row r="84" spans="1:23" x14ac:dyDescent="0.25">
      <c r="A84" s="2">
        <v>305</v>
      </c>
      <c r="B84" s="3" t="s">
        <v>1126</v>
      </c>
      <c r="C84" s="3">
        <v>2024</v>
      </c>
      <c r="D84" s="3" t="s">
        <v>1440</v>
      </c>
      <c r="E84" s="3" t="s">
        <v>206</v>
      </c>
      <c r="F84" s="1" t="s">
        <v>7834</v>
      </c>
      <c r="G84" s="10"/>
      <c r="H84" s="10"/>
      <c r="I84" s="10"/>
      <c r="J84" s="10"/>
      <c r="K84" s="10"/>
      <c r="L84" s="3" t="s">
        <v>1441</v>
      </c>
      <c r="M84" s="3" t="s">
        <v>1442</v>
      </c>
      <c r="N84" s="3" t="s">
        <v>1443</v>
      </c>
      <c r="O84" s="3">
        <v>3828</v>
      </c>
      <c r="P84" s="3"/>
      <c r="Q84" s="3"/>
      <c r="R84" s="3">
        <v>16130073</v>
      </c>
      <c r="S84" s="3" t="s">
        <v>1444</v>
      </c>
      <c r="T84" s="3" t="s">
        <v>119</v>
      </c>
      <c r="U84" s="11">
        <v>78</v>
      </c>
      <c r="V84" s="3" t="s">
        <v>1126</v>
      </c>
      <c r="W84" s="8" t="s">
        <v>7834</v>
      </c>
    </row>
    <row r="85" spans="1:23" x14ac:dyDescent="0.25">
      <c r="A85" s="2">
        <v>326</v>
      </c>
      <c r="B85" s="3" t="s">
        <v>1126</v>
      </c>
      <c r="C85" s="3">
        <v>2024</v>
      </c>
      <c r="D85" s="3" t="s">
        <v>1533</v>
      </c>
      <c r="E85" s="3" t="s">
        <v>206</v>
      </c>
      <c r="F85" s="1" t="s">
        <v>7834</v>
      </c>
      <c r="G85" s="10"/>
      <c r="H85" s="10"/>
      <c r="I85" s="10"/>
      <c r="J85" s="10"/>
      <c r="K85" s="10"/>
      <c r="L85" s="3" t="s">
        <v>1534</v>
      </c>
      <c r="M85" s="3" t="s">
        <v>1535</v>
      </c>
      <c r="N85" s="3" t="s">
        <v>1536</v>
      </c>
      <c r="O85" s="3">
        <v>37</v>
      </c>
      <c r="P85" s="3"/>
      <c r="Q85" s="3"/>
      <c r="R85" s="3">
        <v>10495258</v>
      </c>
      <c r="S85" s="3" t="s">
        <v>1537</v>
      </c>
      <c r="T85" s="3" t="s">
        <v>119</v>
      </c>
      <c r="U85" s="11">
        <v>79</v>
      </c>
      <c r="V85" s="3" t="s">
        <v>1126</v>
      </c>
      <c r="W85" s="8" t="s">
        <v>7834</v>
      </c>
    </row>
    <row r="86" spans="1:23" x14ac:dyDescent="0.25">
      <c r="A86" s="2">
        <v>327</v>
      </c>
      <c r="B86" s="3" t="s">
        <v>1126</v>
      </c>
      <c r="C86" s="3">
        <v>2024</v>
      </c>
      <c r="D86" s="3" t="s">
        <v>502</v>
      </c>
      <c r="E86" s="3" t="s">
        <v>206</v>
      </c>
      <c r="F86" s="1" t="s">
        <v>7834</v>
      </c>
      <c r="G86" s="10"/>
      <c r="H86" s="10"/>
      <c r="I86" s="10"/>
      <c r="J86" s="10"/>
      <c r="K86" s="10">
        <v>15</v>
      </c>
      <c r="L86" s="3" t="s">
        <v>1538</v>
      </c>
      <c r="M86" s="3" t="s">
        <v>1539</v>
      </c>
      <c r="N86" s="3" t="s">
        <v>1540</v>
      </c>
      <c r="O86" s="3">
        <v>3853</v>
      </c>
      <c r="P86" s="3"/>
      <c r="Q86" s="3"/>
      <c r="R86" s="3">
        <v>16130073</v>
      </c>
      <c r="S86" s="3" t="s">
        <v>1541</v>
      </c>
      <c r="T86" s="3" t="s">
        <v>119</v>
      </c>
      <c r="U86" s="11">
        <v>80</v>
      </c>
      <c r="V86" s="3" t="s">
        <v>1126</v>
      </c>
      <c r="W86" s="8" t="s">
        <v>7834</v>
      </c>
    </row>
    <row r="87" spans="1:23" x14ac:dyDescent="0.25">
      <c r="A87" s="2">
        <v>345</v>
      </c>
      <c r="B87" s="3" t="s">
        <v>1547</v>
      </c>
      <c r="C87" s="3">
        <v>2024</v>
      </c>
      <c r="D87" s="3" t="s">
        <v>1381</v>
      </c>
      <c r="E87" s="3" t="s">
        <v>496</v>
      </c>
      <c r="F87" s="1" t="s">
        <v>7834</v>
      </c>
      <c r="G87" s="10"/>
      <c r="H87" s="10"/>
      <c r="I87" s="10"/>
      <c r="J87" s="10"/>
      <c r="K87" s="10"/>
      <c r="L87" s="3" t="s">
        <v>1628</v>
      </c>
      <c r="M87" s="3" t="s">
        <v>1629</v>
      </c>
      <c r="N87" s="3" t="s">
        <v>1630</v>
      </c>
      <c r="O87" s="3"/>
      <c r="P87" s="3"/>
      <c r="Q87" s="3"/>
      <c r="R87" s="3"/>
      <c r="S87" s="3" t="s">
        <v>1631</v>
      </c>
      <c r="T87" s="3" t="s">
        <v>119</v>
      </c>
      <c r="U87" s="11">
        <v>81</v>
      </c>
      <c r="V87" s="3" t="s">
        <v>1547</v>
      </c>
      <c r="W87" s="8" t="s">
        <v>7834</v>
      </c>
    </row>
    <row r="88" spans="1:23" x14ac:dyDescent="0.25">
      <c r="A88" s="2">
        <v>390</v>
      </c>
      <c r="B88" s="3" t="s">
        <v>1547</v>
      </c>
      <c r="C88" s="3">
        <v>2024</v>
      </c>
      <c r="D88" s="3" t="s">
        <v>1838</v>
      </c>
      <c r="E88" s="3" t="s">
        <v>496</v>
      </c>
      <c r="F88" s="1" t="s">
        <v>7834</v>
      </c>
      <c r="G88" s="10"/>
      <c r="H88" s="10">
        <v>2</v>
      </c>
      <c r="I88" s="10"/>
      <c r="J88" s="10"/>
      <c r="K88" s="10"/>
      <c r="L88" s="3" t="s">
        <v>1839</v>
      </c>
      <c r="M88" s="3" t="s">
        <v>1840</v>
      </c>
      <c r="N88" s="3" t="s">
        <v>1841</v>
      </c>
      <c r="O88" s="3">
        <v>1386</v>
      </c>
      <c r="P88" s="3"/>
      <c r="Q88" s="3"/>
      <c r="R88" s="3"/>
      <c r="S88" s="3" t="s">
        <v>1842</v>
      </c>
      <c r="T88" s="3" t="s">
        <v>119</v>
      </c>
      <c r="U88" s="11">
        <v>82</v>
      </c>
      <c r="V88" s="3" t="s">
        <v>1547</v>
      </c>
      <c r="W88" s="8" t="s">
        <v>7834</v>
      </c>
    </row>
    <row r="89" spans="1:23" x14ac:dyDescent="0.25">
      <c r="A89" s="2">
        <v>331</v>
      </c>
      <c r="B89" s="3" t="s">
        <v>1547</v>
      </c>
      <c r="C89" s="3">
        <v>2024</v>
      </c>
      <c r="D89" s="3" t="s">
        <v>1558</v>
      </c>
      <c r="E89" s="3" t="s">
        <v>730</v>
      </c>
      <c r="F89" s="1" t="s">
        <v>7834</v>
      </c>
      <c r="G89" s="10"/>
      <c r="H89" s="10"/>
      <c r="I89" s="10"/>
      <c r="J89" s="10"/>
      <c r="K89" s="10"/>
      <c r="L89" s="3" t="s">
        <v>1559</v>
      </c>
      <c r="M89" s="3" t="s">
        <v>1560</v>
      </c>
      <c r="N89" s="3" t="s">
        <v>1561</v>
      </c>
      <c r="O89" s="3"/>
      <c r="P89" s="3"/>
      <c r="Q89" s="3"/>
      <c r="R89" s="3"/>
      <c r="S89" s="3" t="s">
        <v>1562</v>
      </c>
      <c r="T89" s="3" t="s">
        <v>119</v>
      </c>
      <c r="U89" s="11">
        <v>83</v>
      </c>
      <c r="V89" s="3" t="s">
        <v>1547</v>
      </c>
      <c r="W89" s="8" t="s">
        <v>7834</v>
      </c>
    </row>
    <row r="90" spans="1:23" x14ac:dyDescent="0.25">
      <c r="A90" s="2">
        <v>335</v>
      </c>
      <c r="B90" s="3" t="s">
        <v>1547</v>
      </c>
      <c r="C90" s="3">
        <v>2024</v>
      </c>
      <c r="D90" s="3" t="s">
        <v>167</v>
      </c>
      <c r="E90" s="3" t="s">
        <v>730</v>
      </c>
      <c r="F90" s="1" t="s">
        <v>7834</v>
      </c>
      <c r="G90" s="10"/>
      <c r="H90" s="10"/>
      <c r="I90" s="10"/>
      <c r="J90" s="10">
        <v>2</v>
      </c>
      <c r="K90" s="10"/>
      <c r="L90" s="3" t="s">
        <v>1580</v>
      </c>
      <c r="M90" s="3" t="s">
        <v>1581</v>
      </c>
      <c r="N90" s="3" t="s">
        <v>1561</v>
      </c>
      <c r="O90" s="3"/>
      <c r="P90" s="3"/>
      <c r="Q90" s="3"/>
      <c r="R90" s="3"/>
      <c r="S90" s="3" t="s">
        <v>1582</v>
      </c>
      <c r="T90" s="3" t="s">
        <v>119</v>
      </c>
      <c r="U90" s="11">
        <v>84</v>
      </c>
      <c r="V90" s="3" t="s">
        <v>1547</v>
      </c>
      <c r="W90" s="8" t="s">
        <v>7834</v>
      </c>
    </row>
    <row r="91" spans="1:23" x14ac:dyDescent="0.25">
      <c r="A91" s="2">
        <v>728</v>
      </c>
      <c r="B91" s="3" t="s">
        <v>3027</v>
      </c>
      <c r="C91" s="3">
        <v>2024</v>
      </c>
      <c r="D91" s="3" t="s">
        <v>3034</v>
      </c>
      <c r="E91" s="3" t="s">
        <v>496</v>
      </c>
      <c r="F91" s="1" t="s">
        <v>7834</v>
      </c>
      <c r="G91" s="10"/>
      <c r="H91" s="10">
        <v>1</v>
      </c>
      <c r="I91" s="10"/>
      <c r="J91" s="10"/>
      <c r="K91" s="10"/>
      <c r="L91" s="3" t="s">
        <v>3035</v>
      </c>
      <c r="M91" s="3" t="s">
        <v>3036</v>
      </c>
      <c r="N91" s="3" t="s">
        <v>3037</v>
      </c>
      <c r="O91" s="3">
        <v>1</v>
      </c>
      <c r="P91" s="3"/>
      <c r="Q91" s="3"/>
      <c r="R91" s="3" t="s">
        <v>3038</v>
      </c>
      <c r="S91" s="3" t="s">
        <v>3039</v>
      </c>
      <c r="T91" s="3" t="s">
        <v>119</v>
      </c>
      <c r="U91" s="11">
        <v>85</v>
      </c>
      <c r="V91" s="3" t="s">
        <v>3027</v>
      </c>
      <c r="W91" s="8" t="s">
        <v>7834</v>
      </c>
    </row>
    <row r="92" spans="1:23" x14ac:dyDescent="0.25">
      <c r="A92" s="2">
        <v>795</v>
      </c>
      <c r="B92" s="3" t="s">
        <v>3295</v>
      </c>
      <c r="C92" s="3">
        <v>2024</v>
      </c>
      <c r="D92" s="3" t="s">
        <v>3337</v>
      </c>
      <c r="E92" s="3" t="s">
        <v>15</v>
      </c>
      <c r="F92" s="1" t="s">
        <v>7834</v>
      </c>
      <c r="G92" s="10"/>
      <c r="H92" s="10"/>
      <c r="I92" s="10"/>
      <c r="J92" s="10"/>
      <c r="K92" s="10"/>
      <c r="L92" s="3" t="s">
        <v>3338</v>
      </c>
      <c r="M92" s="3" t="s">
        <v>3339</v>
      </c>
      <c r="N92" s="3" t="s">
        <v>3340</v>
      </c>
      <c r="O92" s="3"/>
      <c r="P92" s="3"/>
      <c r="Q92" s="3"/>
      <c r="R92" s="3" t="s">
        <v>3341</v>
      </c>
      <c r="S92" s="3" t="s">
        <v>3341</v>
      </c>
      <c r="T92" s="3" t="s">
        <v>119</v>
      </c>
      <c r="U92" s="11">
        <v>86</v>
      </c>
      <c r="V92" s="3" t="s">
        <v>3295</v>
      </c>
      <c r="W92" s="8" t="s">
        <v>7834</v>
      </c>
    </row>
    <row r="93" spans="1:23" x14ac:dyDescent="0.25">
      <c r="A93" s="2">
        <v>786</v>
      </c>
      <c r="B93" s="3" t="s">
        <v>3295</v>
      </c>
      <c r="C93" s="3">
        <v>2024</v>
      </c>
      <c r="D93" s="3" t="s">
        <v>3296</v>
      </c>
      <c r="E93" s="3" t="s">
        <v>206</v>
      </c>
      <c r="F93" s="1" t="s">
        <v>7834</v>
      </c>
      <c r="G93" s="10"/>
      <c r="H93" s="10"/>
      <c r="I93" s="10"/>
      <c r="J93" s="10"/>
      <c r="K93" s="10"/>
      <c r="L93" s="3" t="s">
        <v>3297</v>
      </c>
      <c r="M93" s="3" t="s">
        <v>3298</v>
      </c>
      <c r="N93" s="3" t="s">
        <v>3299</v>
      </c>
      <c r="O93" s="3"/>
      <c r="P93" s="3"/>
      <c r="Q93" s="3"/>
      <c r="R93" s="3" t="s">
        <v>3300</v>
      </c>
      <c r="S93" s="3" t="s">
        <v>3301</v>
      </c>
      <c r="T93" s="3" t="s">
        <v>119</v>
      </c>
      <c r="U93" s="11">
        <v>87</v>
      </c>
      <c r="V93" s="3" t="s">
        <v>3295</v>
      </c>
      <c r="W93" s="8" t="s">
        <v>7834</v>
      </c>
    </row>
    <row r="94" spans="1:23" x14ac:dyDescent="0.25">
      <c r="A94" s="2">
        <v>787</v>
      </c>
      <c r="B94" s="3" t="s">
        <v>3295</v>
      </c>
      <c r="C94" s="3">
        <v>2024</v>
      </c>
      <c r="D94" s="3" t="s">
        <v>3302</v>
      </c>
      <c r="E94" s="3" t="s">
        <v>206</v>
      </c>
      <c r="F94" s="1" t="s">
        <v>7834</v>
      </c>
      <c r="G94" s="10"/>
      <c r="H94" s="10"/>
      <c r="I94" s="10"/>
      <c r="J94" s="10"/>
      <c r="K94" s="10"/>
      <c r="L94" s="3" t="s">
        <v>3303</v>
      </c>
      <c r="M94" s="3" t="s">
        <v>3304</v>
      </c>
      <c r="N94" s="3" t="s">
        <v>3305</v>
      </c>
      <c r="O94" s="3"/>
      <c r="P94" s="3"/>
      <c r="Q94" s="3"/>
      <c r="R94" s="3"/>
      <c r="S94" s="3" t="s">
        <v>3306</v>
      </c>
      <c r="T94" s="3" t="s">
        <v>119</v>
      </c>
      <c r="U94" s="11">
        <v>88</v>
      </c>
      <c r="V94" s="3" t="s">
        <v>3295</v>
      </c>
      <c r="W94" s="8" t="s">
        <v>7834</v>
      </c>
    </row>
    <row r="95" spans="1:23" x14ac:dyDescent="0.25">
      <c r="A95" s="2">
        <v>798</v>
      </c>
      <c r="B95" s="3" t="s">
        <v>3295</v>
      </c>
      <c r="C95" s="3">
        <v>2024</v>
      </c>
      <c r="D95" s="3" t="s">
        <v>3352</v>
      </c>
      <c r="E95" s="3" t="s">
        <v>206</v>
      </c>
      <c r="F95" s="1" t="s">
        <v>7834</v>
      </c>
      <c r="G95" s="10"/>
      <c r="H95" s="10"/>
      <c r="I95" s="10"/>
      <c r="J95" s="10"/>
      <c r="K95" s="10"/>
      <c r="L95" s="3" t="s">
        <v>3353</v>
      </c>
      <c r="M95" s="3" t="s">
        <v>3354</v>
      </c>
      <c r="N95" s="3" t="s">
        <v>3355</v>
      </c>
      <c r="O95" s="3"/>
      <c r="P95" s="3"/>
      <c r="Q95" s="3"/>
      <c r="R95" s="3" t="s">
        <v>3356</v>
      </c>
      <c r="S95" s="3" t="s">
        <v>3357</v>
      </c>
      <c r="T95" s="3" t="s">
        <v>119</v>
      </c>
      <c r="U95" s="11">
        <v>89</v>
      </c>
      <c r="V95" s="3" t="s">
        <v>3295</v>
      </c>
      <c r="W95" s="8" t="s">
        <v>7834</v>
      </c>
    </row>
    <row r="96" spans="1:23" x14ac:dyDescent="0.25">
      <c r="A96" s="2">
        <v>799</v>
      </c>
      <c r="B96" s="3" t="s">
        <v>3295</v>
      </c>
      <c r="C96" s="3">
        <v>2024</v>
      </c>
      <c r="D96" s="3" t="s">
        <v>3358</v>
      </c>
      <c r="E96" s="3" t="s">
        <v>206</v>
      </c>
      <c r="F96" s="1" t="s">
        <v>7834</v>
      </c>
      <c r="G96" s="10"/>
      <c r="H96" s="10"/>
      <c r="I96" s="10"/>
      <c r="J96" s="10"/>
      <c r="K96" s="10"/>
      <c r="L96" s="3" t="s">
        <v>3359</v>
      </c>
      <c r="M96" s="3" t="s">
        <v>3354</v>
      </c>
      <c r="N96" s="3" t="s">
        <v>3360</v>
      </c>
      <c r="O96" s="3"/>
      <c r="P96" s="3"/>
      <c r="Q96" s="3"/>
      <c r="R96" s="3"/>
      <c r="S96" s="3" t="s">
        <v>3361</v>
      </c>
      <c r="T96" s="3" t="s">
        <v>119</v>
      </c>
      <c r="U96" s="11">
        <v>90</v>
      </c>
      <c r="V96" s="3" t="s">
        <v>3295</v>
      </c>
      <c r="W96" s="8" t="s">
        <v>7834</v>
      </c>
    </row>
    <row r="97" spans="1:23" x14ac:dyDescent="0.25">
      <c r="A97" s="2">
        <v>800</v>
      </c>
      <c r="B97" s="3" t="s">
        <v>3295</v>
      </c>
      <c r="C97" s="3">
        <v>2024</v>
      </c>
      <c r="D97" s="3" t="s">
        <v>120</v>
      </c>
      <c r="E97" s="3" t="s">
        <v>206</v>
      </c>
      <c r="F97" s="1" t="s">
        <v>7834</v>
      </c>
      <c r="G97" s="10"/>
      <c r="H97" s="10"/>
      <c r="I97" s="10"/>
      <c r="J97" s="10"/>
      <c r="K97" s="10"/>
      <c r="L97" s="3" t="s">
        <v>3362</v>
      </c>
      <c r="M97" s="3" t="s">
        <v>3363</v>
      </c>
      <c r="N97" s="3" t="s">
        <v>3364</v>
      </c>
      <c r="O97" s="3"/>
      <c r="P97" s="3"/>
      <c r="Q97" s="3"/>
      <c r="R97" s="3"/>
      <c r="S97" s="3" t="s">
        <v>3365</v>
      </c>
      <c r="T97" s="3" t="s">
        <v>119</v>
      </c>
      <c r="U97" s="11">
        <v>91</v>
      </c>
      <c r="V97" s="3" t="s">
        <v>3295</v>
      </c>
      <c r="W97" s="8" t="s">
        <v>7834</v>
      </c>
    </row>
    <row r="98" spans="1:23" x14ac:dyDescent="0.25">
      <c r="A98" s="2">
        <v>801</v>
      </c>
      <c r="B98" s="3" t="s">
        <v>3295</v>
      </c>
      <c r="C98" s="3">
        <v>2024</v>
      </c>
      <c r="D98" s="3" t="s">
        <v>120</v>
      </c>
      <c r="E98" s="3" t="s">
        <v>206</v>
      </c>
      <c r="F98" s="1" t="s">
        <v>7834</v>
      </c>
      <c r="G98" s="10"/>
      <c r="H98" s="10"/>
      <c r="I98" s="10"/>
      <c r="J98" s="10"/>
      <c r="K98" s="10"/>
      <c r="L98" s="3" t="s">
        <v>3366</v>
      </c>
      <c r="M98" s="3" t="s">
        <v>3367</v>
      </c>
      <c r="N98" s="3" t="s">
        <v>3368</v>
      </c>
      <c r="O98" s="3"/>
      <c r="P98" s="3"/>
      <c r="Q98" s="3"/>
      <c r="R98" s="3"/>
      <c r="S98" s="3" t="s">
        <v>3369</v>
      </c>
      <c r="T98" s="3" t="s">
        <v>119</v>
      </c>
      <c r="U98" s="11">
        <v>92</v>
      </c>
      <c r="V98" s="3" t="s">
        <v>3295</v>
      </c>
      <c r="W98" s="8" t="s">
        <v>7834</v>
      </c>
    </row>
    <row r="99" spans="1:23" x14ac:dyDescent="0.25">
      <c r="A99" s="2">
        <v>802</v>
      </c>
      <c r="B99" s="3" t="s">
        <v>3295</v>
      </c>
      <c r="C99" s="3">
        <v>2024</v>
      </c>
      <c r="D99" s="3" t="s">
        <v>120</v>
      </c>
      <c r="E99" s="3" t="s">
        <v>206</v>
      </c>
      <c r="F99" s="1" t="s">
        <v>7834</v>
      </c>
      <c r="G99" s="10"/>
      <c r="H99" s="10"/>
      <c r="I99" s="10"/>
      <c r="J99" s="10"/>
      <c r="K99" s="10"/>
      <c r="L99" s="3" t="s">
        <v>3370</v>
      </c>
      <c r="M99" s="3" t="s">
        <v>3371</v>
      </c>
      <c r="N99" s="3" t="s">
        <v>3368</v>
      </c>
      <c r="O99" s="3"/>
      <c r="P99" s="3"/>
      <c r="Q99" s="3"/>
      <c r="R99" s="3"/>
      <c r="S99" s="3" t="s">
        <v>3372</v>
      </c>
      <c r="T99" s="3" t="s">
        <v>119</v>
      </c>
      <c r="U99" s="11">
        <v>93</v>
      </c>
      <c r="V99" s="3" t="s">
        <v>3295</v>
      </c>
      <c r="W99" s="8" t="s">
        <v>7834</v>
      </c>
    </row>
    <row r="100" spans="1:23" x14ac:dyDescent="0.25">
      <c r="A100" s="2">
        <v>803</v>
      </c>
      <c r="B100" s="3" t="s">
        <v>3295</v>
      </c>
      <c r="C100" s="3">
        <v>2024</v>
      </c>
      <c r="D100" s="3" t="s">
        <v>1872</v>
      </c>
      <c r="E100" s="3" t="s">
        <v>206</v>
      </c>
      <c r="F100" s="1" t="s">
        <v>7834</v>
      </c>
      <c r="G100" s="10"/>
      <c r="H100" s="10"/>
      <c r="I100" s="10"/>
      <c r="J100" s="10"/>
      <c r="K100" s="10"/>
      <c r="L100" s="3" t="s">
        <v>3373</v>
      </c>
      <c r="M100" s="3" t="s">
        <v>3374</v>
      </c>
      <c r="N100" s="3" t="s">
        <v>3375</v>
      </c>
      <c r="O100" s="3"/>
      <c r="P100" s="3"/>
      <c r="Q100" s="3"/>
      <c r="R100" s="3"/>
      <c r="S100" s="3" t="s">
        <v>3376</v>
      </c>
      <c r="T100" s="3" t="s">
        <v>119</v>
      </c>
      <c r="U100" s="11">
        <v>94</v>
      </c>
      <c r="V100" s="3" t="s">
        <v>3295</v>
      </c>
      <c r="W100" s="8" t="s">
        <v>7834</v>
      </c>
    </row>
    <row r="101" spans="1:23" x14ac:dyDescent="0.25">
      <c r="A101" s="2">
        <v>804</v>
      </c>
      <c r="B101" s="3" t="s">
        <v>3295</v>
      </c>
      <c r="C101" s="3">
        <v>2024</v>
      </c>
      <c r="D101" s="3" t="s">
        <v>1262</v>
      </c>
      <c r="E101" s="3" t="s">
        <v>206</v>
      </c>
      <c r="F101" s="1" t="s">
        <v>7834</v>
      </c>
      <c r="G101" s="10"/>
      <c r="H101" s="10"/>
      <c r="I101" s="10"/>
      <c r="J101" s="10"/>
      <c r="K101" s="10"/>
      <c r="L101" s="3" t="s">
        <v>3377</v>
      </c>
      <c r="M101" s="3" t="s">
        <v>3378</v>
      </c>
      <c r="N101" s="3" t="s">
        <v>1265</v>
      </c>
      <c r="O101" s="3"/>
      <c r="P101" s="3"/>
      <c r="Q101" s="3"/>
      <c r="R101" s="3"/>
      <c r="S101" s="3" t="s">
        <v>3379</v>
      </c>
      <c r="T101" s="3" t="s">
        <v>119</v>
      </c>
      <c r="U101" s="11">
        <v>95</v>
      </c>
      <c r="V101" s="3" t="s">
        <v>3295</v>
      </c>
      <c r="W101" s="8" t="s">
        <v>7834</v>
      </c>
    </row>
    <row r="102" spans="1:23" x14ac:dyDescent="0.25">
      <c r="A102" s="2">
        <v>805</v>
      </c>
      <c r="B102" s="3" t="s">
        <v>3295</v>
      </c>
      <c r="C102" s="3">
        <v>2024</v>
      </c>
      <c r="D102" s="3" t="s">
        <v>2513</v>
      </c>
      <c r="E102" s="3" t="s">
        <v>206</v>
      </c>
      <c r="F102" s="1" t="s">
        <v>7834</v>
      </c>
      <c r="G102" s="10"/>
      <c r="H102" s="10"/>
      <c r="I102" s="10"/>
      <c r="J102" s="10"/>
      <c r="K102" s="10"/>
      <c r="L102" s="3" t="s">
        <v>3380</v>
      </c>
      <c r="M102" s="3" t="s">
        <v>3381</v>
      </c>
      <c r="N102" s="3" t="s">
        <v>3382</v>
      </c>
      <c r="O102" s="3"/>
      <c r="P102" s="3"/>
      <c r="Q102" s="3"/>
      <c r="R102" s="3"/>
      <c r="S102" s="3" t="s">
        <v>3383</v>
      </c>
      <c r="T102" s="3" t="s">
        <v>119</v>
      </c>
      <c r="U102" s="11">
        <v>96</v>
      </c>
      <c r="V102" s="3" t="s">
        <v>3295</v>
      </c>
      <c r="W102" s="8" t="s">
        <v>7834</v>
      </c>
    </row>
    <row r="103" spans="1:23" x14ac:dyDescent="0.25">
      <c r="A103" s="2">
        <v>825</v>
      </c>
      <c r="B103" s="3" t="s">
        <v>3295</v>
      </c>
      <c r="C103" s="3">
        <v>2024</v>
      </c>
      <c r="D103" s="3" t="s">
        <v>627</v>
      </c>
      <c r="E103" s="3" t="s">
        <v>206</v>
      </c>
      <c r="F103" s="1" t="s">
        <v>7834</v>
      </c>
      <c r="G103" s="10"/>
      <c r="H103" s="10"/>
      <c r="I103" s="10"/>
      <c r="J103" s="10"/>
      <c r="K103" s="10"/>
      <c r="L103" s="3" t="s">
        <v>3465</v>
      </c>
      <c r="M103" s="3" t="s">
        <v>3466</v>
      </c>
      <c r="N103" s="3" t="s">
        <v>3467</v>
      </c>
      <c r="O103" s="3"/>
      <c r="P103" s="3"/>
      <c r="Q103" s="3"/>
      <c r="R103" s="3" t="s">
        <v>3468</v>
      </c>
      <c r="S103" s="3" t="s">
        <v>3469</v>
      </c>
      <c r="T103" s="3" t="s">
        <v>119</v>
      </c>
      <c r="U103" s="11">
        <v>97</v>
      </c>
      <c r="V103" s="3" t="s">
        <v>3295</v>
      </c>
      <c r="W103" s="8" t="s">
        <v>7834</v>
      </c>
    </row>
    <row r="104" spans="1:23" x14ac:dyDescent="0.25">
      <c r="A104" s="2">
        <v>829</v>
      </c>
      <c r="B104" s="3" t="s">
        <v>3295</v>
      </c>
      <c r="C104" s="3">
        <v>2024</v>
      </c>
      <c r="D104" s="3" t="s">
        <v>627</v>
      </c>
      <c r="E104" s="3" t="s">
        <v>206</v>
      </c>
      <c r="F104" s="1" t="s">
        <v>7834</v>
      </c>
      <c r="G104" s="10"/>
      <c r="H104" s="10"/>
      <c r="I104" s="10"/>
      <c r="J104" s="10"/>
      <c r="K104" s="10"/>
      <c r="L104" s="3" t="s">
        <v>3483</v>
      </c>
      <c r="M104" s="3" t="s">
        <v>3484</v>
      </c>
      <c r="N104" s="3" t="s">
        <v>3467</v>
      </c>
      <c r="O104" s="3"/>
      <c r="P104" s="3"/>
      <c r="Q104" s="3"/>
      <c r="R104" s="3" t="s">
        <v>3468</v>
      </c>
      <c r="S104" s="3" t="s">
        <v>3485</v>
      </c>
      <c r="T104" s="3" t="s">
        <v>119</v>
      </c>
      <c r="U104" s="11">
        <v>98</v>
      </c>
      <c r="V104" s="3" t="s">
        <v>3295</v>
      </c>
      <c r="W104" s="8" t="s">
        <v>7834</v>
      </c>
    </row>
    <row r="105" spans="1:23" x14ac:dyDescent="0.25">
      <c r="A105" s="2">
        <v>831</v>
      </c>
      <c r="B105" s="3" t="s">
        <v>3295</v>
      </c>
      <c r="C105" s="3">
        <v>2024</v>
      </c>
      <c r="D105" s="3" t="s">
        <v>3491</v>
      </c>
      <c r="E105" s="3" t="s">
        <v>206</v>
      </c>
      <c r="F105" s="1" t="s">
        <v>7834</v>
      </c>
      <c r="G105" s="10"/>
      <c r="H105" s="10"/>
      <c r="I105" s="10"/>
      <c r="J105" s="10"/>
      <c r="K105" s="10"/>
      <c r="L105" s="3" t="s">
        <v>3492</v>
      </c>
      <c r="M105" s="3" t="s">
        <v>3493</v>
      </c>
      <c r="N105" s="3" t="s">
        <v>3494</v>
      </c>
      <c r="O105" s="3"/>
      <c r="P105" s="3"/>
      <c r="Q105" s="3"/>
      <c r="R105" s="3" t="s">
        <v>3495</v>
      </c>
      <c r="S105" s="3" t="s">
        <v>3496</v>
      </c>
      <c r="T105" s="3" t="s">
        <v>119</v>
      </c>
      <c r="U105" s="11">
        <v>99</v>
      </c>
      <c r="V105" s="3" t="s">
        <v>3295</v>
      </c>
      <c r="W105" s="8" t="s">
        <v>7834</v>
      </c>
    </row>
    <row r="106" spans="1:23" x14ac:dyDescent="0.25">
      <c r="A106" s="2">
        <v>843</v>
      </c>
      <c r="B106" s="3" t="s">
        <v>3295</v>
      </c>
      <c r="C106" s="3">
        <v>2024</v>
      </c>
      <c r="D106" s="3" t="s">
        <v>3491</v>
      </c>
      <c r="E106" s="3" t="s">
        <v>206</v>
      </c>
      <c r="F106" s="1" t="s">
        <v>7834</v>
      </c>
      <c r="G106" s="10"/>
      <c r="H106" s="10"/>
      <c r="I106" s="10"/>
      <c r="J106" s="10"/>
      <c r="K106" s="10"/>
      <c r="L106" s="3" t="s">
        <v>3540</v>
      </c>
      <c r="M106" s="3" t="s">
        <v>3541</v>
      </c>
      <c r="N106" s="3" t="s">
        <v>3305</v>
      </c>
      <c r="O106" s="3"/>
      <c r="P106" s="3"/>
      <c r="Q106" s="3"/>
      <c r="R106" s="3" t="s">
        <v>3495</v>
      </c>
      <c r="S106" s="3" t="s">
        <v>3542</v>
      </c>
      <c r="T106" s="3" t="s">
        <v>119</v>
      </c>
      <c r="U106" s="11">
        <v>100</v>
      </c>
      <c r="V106" s="3" t="s">
        <v>3295</v>
      </c>
      <c r="W106" s="8" t="s">
        <v>7834</v>
      </c>
    </row>
    <row r="107" spans="1:23" x14ac:dyDescent="0.25">
      <c r="A107" s="2">
        <v>844</v>
      </c>
      <c r="B107" s="3" t="s">
        <v>3295</v>
      </c>
      <c r="C107" s="3">
        <v>2024</v>
      </c>
      <c r="D107" s="3" t="s">
        <v>3352</v>
      </c>
      <c r="E107" s="3" t="s">
        <v>206</v>
      </c>
      <c r="F107" s="1" t="s">
        <v>7834</v>
      </c>
      <c r="G107" s="10"/>
      <c r="H107" s="10"/>
      <c r="I107" s="10"/>
      <c r="J107" s="10"/>
      <c r="K107" s="10">
        <v>15</v>
      </c>
      <c r="L107" s="3" t="s">
        <v>3543</v>
      </c>
      <c r="M107" s="3" t="s">
        <v>3544</v>
      </c>
      <c r="N107" s="3" t="s">
        <v>3355</v>
      </c>
      <c r="O107" s="3"/>
      <c r="P107" s="3"/>
      <c r="Q107" s="3"/>
      <c r="R107" s="3" t="s">
        <v>3356</v>
      </c>
      <c r="S107" s="3" t="s">
        <v>3545</v>
      </c>
      <c r="T107" s="3" t="s">
        <v>119</v>
      </c>
      <c r="U107" s="11">
        <v>101</v>
      </c>
      <c r="V107" s="3" t="s">
        <v>3295</v>
      </c>
      <c r="W107" s="8" t="s">
        <v>7834</v>
      </c>
    </row>
    <row r="108" spans="1:23" x14ac:dyDescent="0.25">
      <c r="A108" s="2">
        <v>852</v>
      </c>
      <c r="B108" s="3" t="s">
        <v>3552</v>
      </c>
      <c r="C108" s="3">
        <v>2024</v>
      </c>
      <c r="D108" s="3" t="s">
        <v>3579</v>
      </c>
      <c r="E108" s="3" t="s">
        <v>730</v>
      </c>
      <c r="F108" s="1" t="s">
        <v>7834</v>
      </c>
      <c r="G108" s="10"/>
      <c r="H108" s="10"/>
      <c r="I108" s="10"/>
      <c r="J108" s="10">
        <v>1</v>
      </c>
      <c r="K108" s="10"/>
      <c r="L108" s="3" t="s">
        <v>3580</v>
      </c>
      <c r="M108" s="3" t="s">
        <v>3581</v>
      </c>
      <c r="N108" s="3" t="s">
        <v>3582</v>
      </c>
      <c r="O108" s="3"/>
      <c r="P108" s="3"/>
      <c r="Q108" s="3"/>
      <c r="R108" s="3" t="s">
        <v>3583</v>
      </c>
      <c r="S108" s="3" t="s">
        <v>3584</v>
      </c>
      <c r="T108" s="3" t="s">
        <v>119</v>
      </c>
      <c r="U108" s="11">
        <v>102</v>
      </c>
      <c r="V108" s="3" t="s">
        <v>3552</v>
      </c>
      <c r="W108" s="8" t="s">
        <v>7834</v>
      </c>
    </row>
    <row r="109" spans="1:23" x14ac:dyDescent="0.25">
      <c r="A109" s="2">
        <v>985</v>
      </c>
      <c r="B109" s="3" t="s">
        <v>4166</v>
      </c>
      <c r="C109" s="3">
        <v>2024</v>
      </c>
      <c r="D109" s="3" t="s">
        <v>86</v>
      </c>
      <c r="E109" s="3" t="s">
        <v>496</v>
      </c>
      <c r="F109" s="1" t="s">
        <v>7834</v>
      </c>
      <c r="G109" s="10"/>
      <c r="H109" s="10"/>
      <c r="I109" s="10"/>
      <c r="J109" s="10"/>
      <c r="K109" s="10"/>
      <c r="L109" s="3" t="s">
        <v>4167</v>
      </c>
      <c r="M109" s="3" t="s">
        <v>4168</v>
      </c>
      <c r="N109" s="3" t="s">
        <v>4169</v>
      </c>
      <c r="O109" s="3"/>
      <c r="P109" s="3"/>
      <c r="Q109" s="3">
        <v>287</v>
      </c>
      <c r="R109" s="3" t="s">
        <v>4170</v>
      </c>
      <c r="S109" s="3" t="s">
        <v>4171</v>
      </c>
      <c r="T109" s="3" t="s">
        <v>119</v>
      </c>
      <c r="U109" s="11">
        <v>103</v>
      </c>
      <c r="V109" s="3" t="s">
        <v>4166</v>
      </c>
      <c r="W109" s="8" t="s">
        <v>7834</v>
      </c>
    </row>
    <row r="110" spans="1:23" x14ac:dyDescent="0.25">
      <c r="A110" s="2">
        <v>987</v>
      </c>
      <c r="B110" s="3" t="s">
        <v>4166</v>
      </c>
      <c r="C110" s="3">
        <v>2024</v>
      </c>
      <c r="D110" s="3" t="s">
        <v>86</v>
      </c>
      <c r="E110" s="3" t="s">
        <v>496</v>
      </c>
      <c r="F110" s="1" t="s">
        <v>7834</v>
      </c>
      <c r="G110" s="10"/>
      <c r="H110" s="10"/>
      <c r="I110" s="10"/>
      <c r="J110" s="10"/>
      <c r="K110" s="10"/>
      <c r="L110" s="3" t="s">
        <v>4177</v>
      </c>
      <c r="M110" s="3" t="s">
        <v>4178</v>
      </c>
      <c r="N110" s="3" t="s">
        <v>4169</v>
      </c>
      <c r="O110" s="3"/>
      <c r="P110" s="3"/>
      <c r="Q110" s="3">
        <v>205</v>
      </c>
      <c r="R110" s="3" t="s">
        <v>4170</v>
      </c>
      <c r="S110" s="3" t="s">
        <v>4171</v>
      </c>
      <c r="T110" s="3" t="s">
        <v>119</v>
      </c>
      <c r="U110" s="11">
        <v>104</v>
      </c>
      <c r="V110" s="3" t="s">
        <v>4166</v>
      </c>
      <c r="W110" s="8" t="s">
        <v>7834</v>
      </c>
    </row>
    <row r="111" spans="1:23" x14ac:dyDescent="0.25">
      <c r="A111" s="2">
        <v>988</v>
      </c>
      <c r="B111" s="3" t="s">
        <v>4166</v>
      </c>
      <c r="C111" s="3">
        <v>2024</v>
      </c>
      <c r="D111" s="3" t="s">
        <v>86</v>
      </c>
      <c r="E111" s="3" t="s">
        <v>496</v>
      </c>
      <c r="F111" s="1" t="s">
        <v>7834</v>
      </c>
      <c r="G111" s="10"/>
      <c r="H111" s="10"/>
      <c r="I111" s="10"/>
      <c r="J111" s="10"/>
      <c r="K111" s="10"/>
      <c r="L111" s="3" t="s">
        <v>4179</v>
      </c>
      <c r="M111" s="3" t="s">
        <v>4180</v>
      </c>
      <c r="N111" s="3" t="s">
        <v>4181</v>
      </c>
      <c r="O111" s="3"/>
      <c r="P111" s="3"/>
      <c r="Q111" s="3">
        <v>1</v>
      </c>
      <c r="R111" s="3" t="s">
        <v>4170</v>
      </c>
      <c r="S111" s="3" t="s">
        <v>4182</v>
      </c>
      <c r="T111" s="3" t="s">
        <v>119</v>
      </c>
      <c r="U111" s="11">
        <v>105</v>
      </c>
      <c r="V111" s="3" t="s">
        <v>4166</v>
      </c>
      <c r="W111" s="8" t="s">
        <v>7834</v>
      </c>
    </row>
    <row r="112" spans="1:23" x14ac:dyDescent="0.25">
      <c r="A112" s="2">
        <v>993</v>
      </c>
      <c r="B112" s="3" t="s">
        <v>4166</v>
      </c>
      <c r="C112" s="3">
        <v>2024</v>
      </c>
      <c r="D112" s="3" t="s">
        <v>3491</v>
      </c>
      <c r="E112" s="3" t="s">
        <v>496</v>
      </c>
      <c r="F112" s="1" t="s">
        <v>7834</v>
      </c>
      <c r="G112" s="10"/>
      <c r="H112" s="10"/>
      <c r="I112" s="10"/>
      <c r="J112" s="10"/>
      <c r="K112" s="10"/>
      <c r="L112" s="3" t="s">
        <v>4201</v>
      </c>
      <c r="M112" s="3" t="s">
        <v>4202</v>
      </c>
      <c r="N112" s="3" t="s">
        <v>4203</v>
      </c>
      <c r="O112" s="3"/>
      <c r="P112" s="3"/>
      <c r="Q112" s="3">
        <v>159</v>
      </c>
      <c r="R112" s="3" t="s">
        <v>4204</v>
      </c>
      <c r="S112" s="3" t="s">
        <v>4205</v>
      </c>
      <c r="T112" s="3" t="s">
        <v>119</v>
      </c>
      <c r="U112" s="11">
        <v>106</v>
      </c>
      <c r="V112" s="3" t="s">
        <v>4166</v>
      </c>
      <c r="W112" s="8" t="s">
        <v>7834</v>
      </c>
    </row>
    <row r="113" spans="1:23" x14ac:dyDescent="0.25">
      <c r="A113" s="2">
        <v>1006</v>
      </c>
      <c r="B113" s="3" t="s">
        <v>4166</v>
      </c>
      <c r="C113" s="3">
        <v>2024</v>
      </c>
      <c r="D113" s="3" t="s">
        <v>3242</v>
      </c>
      <c r="E113" s="3" t="s">
        <v>496</v>
      </c>
      <c r="F113" s="1" t="s">
        <v>7834</v>
      </c>
      <c r="G113" s="10"/>
      <c r="H113" s="10"/>
      <c r="I113" s="10"/>
      <c r="J113" s="10"/>
      <c r="K113" s="10"/>
      <c r="L113" s="3" t="s">
        <v>4261</v>
      </c>
      <c r="M113" s="3" t="s">
        <v>4262</v>
      </c>
      <c r="N113" s="3" t="s">
        <v>4263</v>
      </c>
      <c r="O113" s="3"/>
      <c r="P113" s="3"/>
      <c r="Q113" s="3">
        <v>1</v>
      </c>
      <c r="R113" s="3" t="s">
        <v>4264</v>
      </c>
      <c r="S113" s="3" t="s">
        <v>4265</v>
      </c>
      <c r="T113" s="3" t="s">
        <v>119</v>
      </c>
      <c r="U113" s="11">
        <v>107</v>
      </c>
      <c r="V113" s="3" t="s">
        <v>4166</v>
      </c>
      <c r="W113" s="8" t="s">
        <v>7834</v>
      </c>
    </row>
    <row r="114" spans="1:23" x14ac:dyDescent="0.25">
      <c r="A114" s="2">
        <v>1012</v>
      </c>
      <c r="B114" s="3" t="s">
        <v>4166</v>
      </c>
      <c r="C114" s="3">
        <v>2024</v>
      </c>
      <c r="D114" s="3" t="s">
        <v>14</v>
      </c>
      <c r="E114" s="3" t="s">
        <v>496</v>
      </c>
      <c r="F114" s="1" t="s">
        <v>7834</v>
      </c>
      <c r="G114" s="10"/>
      <c r="H114" s="10"/>
      <c r="I114" s="10"/>
      <c r="J114" s="10"/>
      <c r="K114" s="10"/>
      <c r="L114" s="3" t="s">
        <v>4291</v>
      </c>
      <c r="M114" s="3" t="s">
        <v>4292</v>
      </c>
      <c r="N114" s="3" t="s">
        <v>4293</v>
      </c>
      <c r="O114" s="3"/>
      <c r="P114" s="3"/>
      <c r="Q114" s="3">
        <v>103</v>
      </c>
      <c r="R114" s="3" t="s">
        <v>4294</v>
      </c>
      <c r="S114" s="3" t="s">
        <v>4295</v>
      </c>
      <c r="T114" s="3" t="s">
        <v>119</v>
      </c>
      <c r="U114" s="11">
        <v>108</v>
      </c>
      <c r="V114" s="3" t="s">
        <v>4166</v>
      </c>
      <c r="W114" s="8" t="s">
        <v>7834</v>
      </c>
    </row>
    <row r="115" spans="1:23" x14ac:dyDescent="0.25">
      <c r="A115" s="2">
        <v>1014</v>
      </c>
      <c r="B115" s="3" t="s">
        <v>4166</v>
      </c>
      <c r="C115" s="3">
        <v>2024</v>
      </c>
      <c r="D115" s="3" t="s">
        <v>31</v>
      </c>
      <c r="E115" s="3" t="s">
        <v>496</v>
      </c>
      <c r="F115" s="1" t="s">
        <v>7834</v>
      </c>
      <c r="G115" s="10"/>
      <c r="H115" s="10"/>
      <c r="I115" s="10"/>
      <c r="J115" s="10"/>
      <c r="K115" s="10"/>
      <c r="L115" s="3" t="s">
        <v>4299</v>
      </c>
      <c r="M115" s="3" t="s">
        <v>4300</v>
      </c>
      <c r="N115" s="3" t="s">
        <v>4301</v>
      </c>
      <c r="O115" s="3">
        <v>14725</v>
      </c>
      <c r="P115" s="3"/>
      <c r="Q115" s="3">
        <v>275</v>
      </c>
      <c r="R115" s="3" t="s">
        <v>4302</v>
      </c>
      <c r="S115" s="3" t="s">
        <v>4303</v>
      </c>
      <c r="T115" s="3" t="s">
        <v>119</v>
      </c>
      <c r="U115" s="11">
        <v>109</v>
      </c>
      <c r="V115" s="3" t="s">
        <v>4166</v>
      </c>
      <c r="W115" s="8" t="s">
        <v>7834</v>
      </c>
    </row>
    <row r="116" spans="1:23" x14ac:dyDescent="0.25">
      <c r="A116" s="2">
        <v>1042</v>
      </c>
      <c r="B116" s="3" t="s">
        <v>4166</v>
      </c>
      <c r="C116" s="3">
        <v>2024</v>
      </c>
      <c r="D116" s="3" t="s">
        <v>3579</v>
      </c>
      <c r="E116" s="3" t="s">
        <v>496</v>
      </c>
      <c r="F116" s="1" t="s">
        <v>7834</v>
      </c>
      <c r="G116" s="10"/>
      <c r="H116" s="10"/>
      <c r="I116" s="10"/>
      <c r="J116" s="10"/>
      <c r="K116" s="10"/>
      <c r="L116" s="3" t="s">
        <v>4424</v>
      </c>
      <c r="M116" s="3" t="s">
        <v>4425</v>
      </c>
      <c r="N116" s="3" t="s">
        <v>4426</v>
      </c>
      <c r="O116" s="3"/>
      <c r="P116" s="3"/>
      <c r="Q116" s="3">
        <v>269</v>
      </c>
      <c r="R116" s="3" t="s">
        <v>4427</v>
      </c>
      <c r="S116" s="3" t="s">
        <v>4428</v>
      </c>
      <c r="T116" s="3" t="s">
        <v>119</v>
      </c>
      <c r="U116" s="11">
        <v>110</v>
      </c>
      <c r="V116" s="3" t="s">
        <v>4166</v>
      </c>
      <c r="W116" s="8" t="s">
        <v>7834</v>
      </c>
    </row>
    <row r="117" spans="1:23" x14ac:dyDescent="0.25">
      <c r="A117" s="2">
        <v>1043</v>
      </c>
      <c r="B117" s="3" t="s">
        <v>4166</v>
      </c>
      <c r="C117" s="3">
        <v>2024</v>
      </c>
      <c r="D117" s="3" t="s">
        <v>14</v>
      </c>
      <c r="E117" s="3" t="s">
        <v>496</v>
      </c>
      <c r="F117" s="1" t="s">
        <v>7834</v>
      </c>
      <c r="G117" s="10"/>
      <c r="H117" s="10"/>
      <c r="I117" s="10"/>
      <c r="J117" s="10"/>
      <c r="K117" s="10"/>
      <c r="L117" s="3" t="s">
        <v>4429</v>
      </c>
      <c r="M117" s="3" t="s">
        <v>4430</v>
      </c>
      <c r="N117" s="3" t="s">
        <v>4293</v>
      </c>
      <c r="O117" s="3"/>
      <c r="P117" s="3"/>
      <c r="Q117" s="3">
        <v>116</v>
      </c>
      <c r="R117" s="3" t="s">
        <v>4294</v>
      </c>
      <c r="S117" s="3" t="s">
        <v>4431</v>
      </c>
      <c r="T117" s="3" t="s">
        <v>119</v>
      </c>
      <c r="U117" s="11">
        <v>111</v>
      </c>
      <c r="V117" s="3" t="s">
        <v>4166</v>
      </c>
      <c r="W117" s="8" t="s">
        <v>7834</v>
      </c>
    </row>
    <row r="118" spans="1:23" x14ac:dyDescent="0.25">
      <c r="A118" s="2">
        <v>1044</v>
      </c>
      <c r="B118" s="3" t="s">
        <v>4166</v>
      </c>
      <c r="C118" s="3">
        <v>2024</v>
      </c>
      <c r="D118" s="3" t="s">
        <v>14</v>
      </c>
      <c r="E118" s="3" t="s">
        <v>496</v>
      </c>
      <c r="F118" s="1" t="s">
        <v>7834</v>
      </c>
      <c r="G118" s="10"/>
      <c r="H118" s="10"/>
      <c r="I118" s="10"/>
      <c r="J118" s="10"/>
      <c r="K118" s="10"/>
      <c r="L118" s="3" t="s">
        <v>4432</v>
      </c>
      <c r="M118" s="3" t="s">
        <v>4433</v>
      </c>
      <c r="N118" s="3" t="s">
        <v>4293</v>
      </c>
      <c r="O118" s="3"/>
      <c r="P118" s="3"/>
      <c r="Q118" s="3">
        <v>28</v>
      </c>
      <c r="R118" s="3" t="s">
        <v>4294</v>
      </c>
      <c r="S118" s="3" t="s">
        <v>4434</v>
      </c>
      <c r="T118" s="3" t="s">
        <v>119</v>
      </c>
      <c r="U118" s="11">
        <v>112</v>
      </c>
      <c r="V118" s="3" t="s">
        <v>4166</v>
      </c>
      <c r="W118" s="8" t="s">
        <v>7834</v>
      </c>
    </row>
    <row r="119" spans="1:23" x14ac:dyDescent="0.25">
      <c r="A119" s="2">
        <v>1047</v>
      </c>
      <c r="B119" s="3" t="s">
        <v>4166</v>
      </c>
      <c r="C119" s="3">
        <v>2024</v>
      </c>
      <c r="D119" s="3" t="s">
        <v>2495</v>
      </c>
      <c r="E119" s="3" t="s">
        <v>496</v>
      </c>
      <c r="F119" s="1" t="s">
        <v>7834</v>
      </c>
      <c r="G119" s="10"/>
      <c r="H119" s="10"/>
      <c r="I119" s="10"/>
      <c r="J119" s="10"/>
      <c r="K119" s="10"/>
      <c r="L119" s="3" t="s">
        <v>4443</v>
      </c>
      <c r="M119" s="3" t="s">
        <v>4444</v>
      </c>
      <c r="N119" s="3" t="s">
        <v>4445</v>
      </c>
      <c r="O119" s="3"/>
      <c r="P119" s="3"/>
      <c r="Q119" s="3">
        <v>141</v>
      </c>
      <c r="R119" s="3" t="s">
        <v>4446</v>
      </c>
      <c r="S119" s="3" t="s">
        <v>4447</v>
      </c>
      <c r="T119" s="3" t="s">
        <v>119</v>
      </c>
      <c r="U119" s="11">
        <v>113</v>
      </c>
      <c r="V119" s="3" t="s">
        <v>4166</v>
      </c>
      <c r="W119" s="8" t="s">
        <v>7834</v>
      </c>
    </row>
    <row r="120" spans="1:23" x14ac:dyDescent="0.25">
      <c r="A120" s="2">
        <v>1049</v>
      </c>
      <c r="B120" s="3" t="s">
        <v>4166</v>
      </c>
      <c r="C120" s="3">
        <v>2024</v>
      </c>
      <c r="D120" s="3" t="s">
        <v>2513</v>
      </c>
      <c r="E120" s="3" t="s">
        <v>496</v>
      </c>
      <c r="F120" s="1" t="s">
        <v>7834</v>
      </c>
      <c r="G120" s="10"/>
      <c r="H120" s="10"/>
      <c r="I120" s="10"/>
      <c r="J120" s="10"/>
      <c r="K120" s="10"/>
      <c r="L120" s="3" t="s">
        <v>4453</v>
      </c>
      <c r="M120" s="3" t="s">
        <v>4454</v>
      </c>
      <c r="N120" s="3" t="s">
        <v>4455</v>
      </c>
      <c r="O120" s="3"/>
      <c r="P120" s="3"/>
      <c r="Q120" s="3">
        <v>631</v>
      </c>
      <c r="R120" s="3" t="s">
        <v>4456</v>
      </c>
      <c r="S120" s="3" t="s">
        <v>4457</v>
      </c>
      <c r="T120" s="3" t="s">
        <v>119</v>
      </c>
      <c r="U120" s="11">
        <v>114</v>
      </c>
      <c r="V120" s="3" t="s">
        <v>4166</v>
      </c>
      <c r="W120" s="8" t="s">
        <v>7834</v>
      </c>
    </row>
    <row r="121" spans="1:23" x14ac:dyDescent="0.25">
      <c r="A121" s="2">
        <v>1061</v>
      </c>
      <c r="B121" s="3" t="s">
        <v>4166</v>
      </c>
      <c r="C121" s="3">
        <v>2024</v>
      </c>
      <c r="D121" s="3" t="s">
        <v>1838</v>
      </c>
      <c r="E121" s="3" t="s">
        <v>496</v>
      </c>
      <c r="F121" s="1" t="s">
        <v>7834</v>
      </c>
      <c r="G121" s="10"/>
      <c r="H121" s="10">
        <v>13</v>
      </c>
      <c r="I121" s="10"/>
      <c r="J121" s="10"/>
      <c r="K121" s="10"/>
      <c r="L121" s="3" t="s">
        <v>4513</v>
      </c>
      <c r="M121" s="3" t="s">
        <v>4514</v>
      </c>
      <c r="N121" s="3" t="s">
        <v>4515</v>
      </c>
      <c r="O121" s="3"/>
      <c r="P121" s="3"/>
      <c r="Q121" s="3">
        <v>905</v>
      </c>
      <c r="R121" s="3" t="s">
        <v>4516</v>
      </c>
      <c r="S121" s="3" t="s">
        <v>4517</v>
      </c>
      <c r="T121" s="3" t="s">
        <v>119</v>
      </c>
      <c r="U121" s="11">
        <v>115</v>
      </c>
      <c r="V121" s="3" t="s">
        <v>4166</v>
      </c>
      <c r="W121" s="8" t="s">
        <v>7834</v>
      </c>
    </row>
    <row r="122" spans="1:23" x14ac:dyDescent="0.25">
      <c r="A122" s="2">
        <v>1003</v>
      </c>
      <c r="B122" s="3" t="s">
        <v>4166</v>
      </c>
      <c r="C122" s="3">
        <v>2024</v>
      </c>
      <c r="D122" s="3" t="s">
        <v>848</v>
      </c>
      <c r="E122" s="3" t="s">
        <v>114</v>
      </c>
      <c r="F122" s="1" t="s">
        <v>7834</v>
      </c>
      <c r="G122" s="10"/>
      <c r="H122" s="10"/>
      <c r="I122" s="10"/>
      <c r="J122" s="10"/>
      <c r="K122" s="10"/>
      <c r="L122" s="3" t="s">
        <v>4249</v>
      </c>
      <c r="M122" s="3" t="s">
        <v>4250</v>
      </c>
      <c r="N122" s="3" t="s">
        <v>4251</v>
      </c>
      <c r="O122" s="3"/>
      <c r="P122" s="3"/>
      <c r="Q122" s="3">
        <v>1</v>
      </c>
      <c r="R122" s="3"/>
      <c r="S122" s="3" t="s">
        <v>4252</v>
      </c>
      <c r="T122" s="3" t="s">
        <v>119</v>
      </c>
      <c r="U122" s="11">
        <v>116</v>
      </c>
      <c r="V122" s="3" t="s">
        <v>4166</v>
      </c>
      <c r="W122" s="8" t="s">
        <v>7834</v>
      </c>
    </row>
    <row r="123" spans="1:23" x14ac:dyDescent="0.25">
      <c r="A123" s="2">
        <v>1054</v>
      </c>
      <c r="B123" s="3" t="s">
        <v>4166</v>
      </c>
      <c r="C123" s="3">
        <v>2024</v>
      </c>
      <c r="D123" s="3" t="s">
        <v>1028</v>
      </c>
      <c r="E123" s="3" t="s">
        <v>114</v>
      </c>
      <c r="F123" s="1" t="s">
        <v>7834</v>
      </c>
      <c r="G123" s="10"/>
      <c r="H123" s="10"/>
      <c r="I123" s="10"/>
      <c r="J123" s="10"/>
      <c r="K123" s="10"/>
      <c r="L123" s="3" t="s">
        <v>4479</v>
      </c>
      <c r="M123" s="3" t="s">
        <v>4480</v>
      </c>
      <c r="N123" s="3" t="s">
        <v>4481</v>
      </c>
      <c r="O123" s="3"/>
      <c r="P123" s="3"/>
      <c r="Q123" s="3">
        <v>1</v>
      </c>
      <c r="R123" s="3" t="s">
        <v>4482</v>
      </c>
      <c r="S123" s="3" t="s">
        <v>4483</v>
      </c>
      <c r="T123" s="3" t="s">
        <v>119</v>
      </c>
      <c r="U123" s="11">
        <v>117</v>
      </c>
      <c r="V123" s="3" t="s">
        <v>4166</v>
      </c>
      <c r="W123" s="8" t="s">
        <v>7834</v>
      </c>
    </row>
    <row r="124" spans="1:23" x14ac:dyDescent="0.25">
      <c r="A124" s="2">
        <v>1058</v>
      </c>
      <c r="B124" s="3" t="s">
        <v>4166</v>
      </c>
      <c r="C124" s="3">
        <v>2024</v>
      </c>
      <c r="D124" s="3" t="s">
        <v>1669</v>
      </c>
      <c r="E124" s="3" t="s">
        <v>114</v>
      </c>
      <c r="F124" s="1" t="s">
        <v>7834</v>
      </c>
      <c r="G124" s="10"/>
      <c r="H124" s="10"/>
      <c r="I124" s="10">
        <v>7</v>
      </c>
      <c r="J124" s="10"/>
      <c r="K124" s="10"/>
      <c r="L124" s="3" t="s">
        <v>4498</v>
      </c>
      <c r="M124" s="3" t="s">
        <v>4499</v>
      </c>
      <c r="N124" s="3" t="s">
        <v>4500</v>
      </c>
      <c r="O124" s="3"/>
      <c r="P124" s="3"/>
      <c r="Q124" s="3">
        <v>1</v>
      </c>
      <c r="R124" s="3"/>
      <c r="S124" s="3" t="s">
        <v>4501</v>
      </c>
      <c r="T124" s="3" t="s">
        <v>119</v>
      </c>
      <c r="U124" s="11">
        <v>118</v>
      </c>
      <c r="V124" s="3" t="s">
        <v>4166</v>
      </c>
      <c r="W124" s="8" t="s">
        <v>7834</v>
      </c>
    </row>
    <row r="125" spans="1:23" x14ac:dyDescent="0.25">
      <c r="A125" s="2">
        <v>1071</v>
      </c>
      <c r="B125" s="3" t="s">
        <v>4536</v>
      </c>
      <c r="C125" s="3">
        <v>2024</v>
      </c>
      <c r="D125" s="3" t="s">
        <v>93</v>
      </c>
      <c r="E125" s="3" t="s">
        <v>496</v>
      </c>
      <c r="F125" s="1" t="s">
        <v>7834</v>
      </c>
      <c r="G125" s="10"/>
      <c r="H125" s="10"/>
      <c r="I125" s="10"/>
      <c r="J125" s="10"/>
      <c r="K125" s="10"/>
      <c r="L125" s="3" t="s">
        <v>4548</v>
      </c>
      <c r="M125" s="3" t="s">
        <v>619</v>
      </c>
      <c r="N125" s="3" t="s">
        <v>4549</v>
      </c>
      <c r="O125" s="3"/>
      <c r="P125" s="3"/>
      <c r="Q125" s="3"/>
      <c r="R125" s="3" t="s">
        <v>4550</v>
      </c>
      <c r="S125" s="3" t="s">
        <v>4551</v>
      </c>
      <c r="T125" s="3" t="s">
        <v>119</v>
      </c>
      <c r="U125" s="11">
        <v>119</v>
      </c>
      <c r="V125" s="3" t="s">
        <v>4536</v>
      </c>
      <c r="W125" s="8" t="s">
        <v>7834</v>
      </c>
    </row>
    <row r="126" spans="1:23" x14ac:dyDescent="0.25">
      <c r="A126" s="2">
        <v>1090</v>
      </c>
      <c r="B126" s="3" t="s">
        <v>4536</v>
      </c>
      <c r="C126" s="3">
        <v>2024</v>
      </c>
      <c r="D126" s="3" t="s">
        <v>1751</v>
      </c>
      <c r="E126" s="3" t="s">
        <v>496</v>
      </c>
      <c r="F126" s="1" t="s">
        <v>7834</v>
      </c>
      <c r="G126" s="10"/>
      <c r="H126" s="10"/>
      <c r="I126" s="10"/>
      <c r="J126" s="10"/>
      <c r="K126" s="10"/>
      <c r="L126" s="3" t="s">
        <v>4628</v>
      </c>
      <c r="M126" s="3" t="s">
        <v>4629</v>
      </c>
      <c r="N126" s="3" t="s">
        <v>4630</v>
      </c>
      <c r="O126" s="3"/>
      <c r="P126" s="3" t="s">
        <v>4631</v>
      </c>
      <c r="Q126" s="3"/>
      <c r="R126" s="3" t="s">
        <v>4632</v>
      </c>
      <c r="S126" s="3" t="s">
        <v>4633</v>
      </c>
      <c r="T126" s="3" t="s">
        <v>119</v>
      </c>
      <c r="U126" s="11">
        <v>120</v>
      </c>
      <c r="V126" s="3" t="s">
        <v>4536</v>
      </c>
      <c r="W126" s="8" t="s">
        <v>7834</v>
      </c>
    </row>
    <row r="127" spans="1:23" x14ac:dyDescent="0.25">
      <c r="A127" s="2">
        <v>1091</v>
      </c>
      <c r="B127" s="3" t="s">
        <v>4536</v>
      </c>
      <c r="C127" s="3">
        <v>2024</v>
      </c>
      <c r="D127" s="3" t="s">
        <v>1751</v>
      </c>
      <c r="E127" s="3" t="s">
        <v>496</v>
      </c>
      <c r="F127" s="1" t="s">
        <v>7834</v>
      </c>
      <c r="G127" s="10"/>
      <c r="H127" s="10"/>
      <c r="I127" s="10"/>
      <c r="J127" s="10"/>
      <c r="K127" s="10"/>
      <c r="L127" s="3" t="s">
        <v>4634</v>
      </c>
      <c r="M127" s="3" t="s">
        <v>4635</v>
      </c>
      <c r="N127" s="3" t="s">
        <v>4636</v>
      </c>
      <c r="O127" s="3"/>
      <c r="P127" s="3"/>
      <c r="Q127" s="3"/>
      <c r="R127" s="3" t="s">
        <v>4637</v>
      </c>
      <c r="S127" s="3" t="s">
        <v>4633</v>
      </c>
      <c r="T127" s="3" t="s">
        <v>119</v>
      </c>
      <c r="U127" s="11">
        <v>121</v>
      </c>
      <c r="V127" s="3" t="s">
        <v>4536</v>
      </c>
      <c r="W127" s="8" t="s">
        <v>7834</v>
      </c>
    </row>
    <row r="128" spans="1:23" x14ac:dyDescent="0.25">
      <c r="A128" s="2">
        <v>1104</v>
      </c>
      <c r="B128" s="3" t="s">
        <v>4536</v>
      </c>
      <c r="C128" s="3">
        <v>2024</v>
      </c>
      <c r="D128" s="3" t="s">
        <v>14</v>
      </c>
      <c r="E128" s="3" t="s">
        <v>496</v>
      </c>
      <c r="F128" s="1" t="s">
        <v>7834</v>
      </c>
      <c r="G128" s="10"/>
      <c r="H128" s="10"/>
      <c r="I128" s="10"/>
      <c r="J128" s="10"/>
      <c r="K128" s="10"/>
      <c r="L128" s="3" t="s">
        <v>4678</v>
      </c>
      <c r="M128" s="3" t="s">
        <v>4679</v>
      </c>
      <c r="N128" s="3" t="s">
        <v>4680</v>
      </c>
      <c r="O128" s="3"/>
      <c r="P128" s="3"/>
      <c r="Q128" s="3">
        <v>701</v>
      </c>
      <c r="R128" s="3" t="s">
        <v>4681</v>
      </c>
      <c r="S128" s="3" t="s">
        <v>4682</v>
      </c>
      <c r="T128" s="3" t="s">
        <v>119</v>
      </c>
      <c r="U128" s="11">
        <v>122</v>
      </c>
      <c r="V128" s="3" t="s">
        <v>4536</v>
      </c>
      <c r="W128" s="8" t="s">
        <v>7834</v>
      </c>
    </row>
    <row r="129" spans="1:23" x14ac:dyDescent="0.25">
      <c r="A129" s="2">
        <v>1105</v>
      </c>
      <c r="B129" s="3" t="s">
        <v>4536</v>
      </c>
      <c r="C129" s="3">
        <v>2024</v>
      </c>
      <c r="D129" s="3" t="s">
        <v>14</v>
      </c>
      <c r="E129" s="3" t="s">
        <v>496</v>
      </c>
      <c r="F129" s="1" t="s">
        <v>7834</v>
      </c>
      <c r="G129" s="10"/>
      <c r="H129" s="10"/>
      <c r="I129" s="10"/>
      <c r="J129" s="10"/>
      <c r="K129" s="10"/>
      <c r="L129" s="3" t="s">
        <v>4683</v>
      </c>
      <c r="M129" s="3" t="s">
        <v>4684</v>
      </c>
      <c r="N129" s="3" t="s">
        <v>4680</v>
      </c>
      <c r="O129" s="3"/>
      <c r="P129" s="3"/>
      <c r="Q129" s="3">
        <v>771</v>
      </c>
      <c r="R129" s="3" t="s">
        <v>4681</v>
      </c>
      <c r="S129" s="3" t="s">
        <v>4682</v>
      </c>
      <c r="T129" s="3" t="s">
        <v>119</v>
      </c>
      <c r="U129" s="11">
        <v>123</v>
      </c>
      <c r="V129" s="3" t="s">
        <v>4536</v>
      </c>
      <c r="W129" s="8" t="s">
        <v>7834</v>
      </c>
    </row>
    <row r="130" spans="1:23" x14ac:dyDescent="0.25">
      <c r="A130" s="2">
        <v>1106</v>
      </c>
      <c r="B130" s="3" t="s">
        <v>4536</v>
      </c>
      <c r="C130" s="3">
        <v>2024</v>
      </c>
      <c r="D130" s="3" t="s">
        <v>14</v>
      </c>
      <c r="E130" s="3" t="s">
        <v>496</v>
      </c>
      <c r="F130" s="1" t="s">
        <v>7834</v>
      </c>
      <c r="G130" s="10"/>
      <c r="H130" s="10"/>
      <c r="I130" s="10"/>
      <c r="J130" s="10"/>
      <c r="K130" s="10"/>
      <c r="L130" s="3" t="s">
        <v>4685</v>
      </c>
      <c r="M130" s="3" t="s">
        <v>4686</v>
      </c>
      <c r="N130" s="3" t="s">
        <v>4680</v>
      </c>
      <c r="O130" s="3"/>
      <c r="P130" s="3"/>
      <c r="Q130" s="3">
        <v>905</v>
      </c>
      <c r="R130" s="3" t="s">
        <v>4681</v>
      </c>
      <c r="S130" s="3" t="s">
        <v>4682</v>
      </c>
      <c r="T130" s="3" t="s">
        <v>119</v>
      </c>
      <c r="U130" s="11">
        <v>124</v>
      </c>
      <c r="V130" s="3" t="s">
        <v>4536</v>
      </c>
      <c r="W130" s="8" t="s">
        <v>7834</v>
      </c>
    </row>
    <row r="131" spans="1:23" x14ac:dyDescent="0.25">
      <c r="A131" s="2">
        <v>1109</v>
      </c>
      <c r="B131" s="3" t="s">
        <v>4536</v>
      </c>
      <c r="C131" s="3">
        <v>2024</v>
      </c>
      <c r="D131" s="3" t="s">
        <v>14</v>
      </c>
      <c r="E131" s="3" t="s">
        <v>496</v>
      </c>
      <c r="F131" s="1" t="s">
        <v>7834</v>
      </c>
      <c r="G131" s="10"/>
      <c r="H131" s="10"/>
      <c r="I131" s="10"/>
      <c r="J131" s="10"/>
      <c r="K131" s="10"/>
      <c r="L131" s="3" t="s">
        <v>4694</v>
      </c>
      <c r="M131" s="3" t="s">
        <v>4695</v>
      </c>
      <c r="N131" s="3" t="s">
        <v>4696</v>
      </c>
      <c r="O131" s="3"/>
      <c r="P131" s="3"/>
      <c r="Q131" s="3"/>
      <c r="R131" s="3" t="s">
        <v>4697</v>
      </c>
      <c r="S131" s="3" t="s">
        <v>4698</v>
      </c>
      <c r="T131" s="3" t="s">
        <v>119</v>
      </c>
      <c r="U131" s="11">
        <v>125</v>
      </c>
      <c r="V131" s="3" t="s">
        <v>4536</v>
      </c>
      <c r="W131" s="8" t="s">
        <v>7834</v>
      </c>
    </row>
    <row r="132" spans="1:23" x14ac:dyDescent="0.25">
      <c r="A132" s="2">
        <v>1111</v>
      </c>
      <c r="B132" s="3" t="s">
        <v>4536</v>
      </c>
      <c r="C132" s="3">
        <v>2024</v>
      </c>
      <c r="D132" s="3" t="s">
        <v>14</v>
      </c>
      <c r="E132" s="3" t="s">
        <v>496</v>
      </c>
      <c r="F132" s="1" t="s">
        <v>7834</v>
      </c>
      <c r="G132" s="10"/>
      <c r="H132" s="10"/>
      <c r="I132" s="10"/>
      <c r="J132" s="10"/>
      <c r="K132" s="10"/>
      <c r="L132" s="3" t="s">
        <v>4701</v>
      </c>
      <c r="M132" s="3" t="s">
        <v>4702</v>
      </c>
      <c r="N132" s="3" t="s">
        <v>4680</v>
      </c>
      <c r="O132" s="3"/>
      <c r="P132" s="3"/>
      <c r="Q132" s="3">
        <v>31</v>
      </c>
      <c r="R132" s="3" t="s">
        <v>4681</v>
      </c>
      <c r="S132" s="3" t="s">
        <v>4682</v>
      </c>
      <c r="T132" s="3" t="s">
        <v>119</v>
      </c>
      <c r="U132" s="11">
        <v>126</v>
      </c>
      <c r="V132" s="3" t="s">
        <v>4536</v>
      </c>
      <c r="W132" s="8" t="s">
        <v>7834</v>
      </c>
    </row>
    <row r="133" spans="1:23" x14ac:dyDescent="0.25">
      <c r="A133" s="2">
        <v>1114</v>
      </c>
      <c r="B133" s="3" t="s">
        <v>4536</v>
      </c>
      <c r="C133" s="3">
        <v>2024</v>
      </c>
      <c r="D133" s="3" t="s">
        <v>14</v>
      </c>
      <c r="E133" s="3" t="s">
        <v>496</v>
      </c>
      <c r="F133" s="1" t="s">
        <v>7834</v>
      </c>
      <c r="G133" s="10"/>
      <c r="H133" s="10"/>
      <c r="I133" s="10"/>
      <c r="J133" s="10"/>
      <c r="K133" s="10"/>
      <c r="L133" s="3" t="s">
        <v>4713</v>
      </c>
      <c r="M133" s="3" t="s">
        <v>4714</v>
      </c>
      <c r="N133" s="3" t="s">
        <v>4715</v>
      </c>
      <c r="O133" s="3"/>
      <c r="P133" s="3"/>
      <c r="Q133" s="3"/>
      <c r="R133" s="3" t="s">
        <v>4716</v>
      </c>
      <c r="S133" s="3" t="s">
        <v>4717</v>
      </c>
      <c r="T133" s="3" t="s">
        <v>119</v>
      </c>
      <c r="U133" s="11">
        <v>127</v>
      </c>
      <c r="V133" s="3" t="s">
        <v>4536</v>
      </c>
      <c r="W133" s="8" t="s">
        <v>7834</v>
      </c>
    </row>
    <row r="134" spans="1:23" x14ac:dyDescent="0.25">
      <c r="A134" s="2">
        <v>1119</v>
      </c>
      <c r="B134" s="3" t="s">
        <v>4536</v>
      </c>
      <c r="C134" s="3">
        <v>2024</v>
      </c>
      <c r="D134" s="3" t="s">
        <v>14</v>
      </c>
      <c r="E134" s="3" t="s">
        <v>496</v>
      </c>
      <c r="F134" s="1" t="s">
        <v>7834</v>
      </c>
      <c r="G134" s="10"/>
      <c r="H134" s="10"/>
      <c r="I134" s="10"/>
      <c r="J134" s="10"/>
      <c r="K134" s="10"/>
      <c r="L134" s="3" t="s">
        <v>4732</v>
      </c>
      <c r="M134" s="3" t="s">
        <v>4733</v>
      </c>
      <c r="N134" s="3" t="s">
        <v>4734</v>
      </c>
      <c r="O134" s="3"/>
      <c r="P134" s="3"/>
      <c r="Q134" s="3"/>
      <c r="R134" s="3" t="s">
        <v>4681</v>
      </c>
      <c r="S134" s="3" t="s">
        <v>4682</v>
      </c>
      <c r="T134" s="3" t="s">
        <v>119</v>
      </c>
      <c r="U134" s="11">
        <v>128</v>
      </c>
      <c r="V134" s="3" t="s">
        <v>4536</v>
      </c>
      <c r="W134" s="8" t="s">
        <v>7834</v>
      </c>
    </row>
    <row r="135" spans="1:23" x14ac:dyDescent="0.25">
      <c r="A135" s="2">
        <v>1120</v>
      </c>
      <c r="B135" s="3" t="s">
        <v>4536</v>
      </c>
      <c r="C135" s="3">
        <v>2024</v>
      </c>
      <c r="D135" s="3" t="s">
        <v>14</v>
      </c>
      <c r="E135" s="3" t="s">
        <v>496</v>
      </c>
      <c r="F135" s="1" t="s">
        <v>7834</v>
      </c>
      <c r="G135" s="10"/>
      <c r="H135" s="10"/>
      <c r="I135" s="10"/>
      <c r="J135" s="10"/>
      <c r="K135" s="10"/>
      <c r="L135" s="3" t="s">
        <v>4735</v>
      </c>
      <c r="M135" s="3" t="s">
        <v>4736</v>
      </c>
      <c r="N135" s="3" t="s">
        <v>4680</v>
      </c>
      <c r="O135" s="3"/>
      <c r="P135" s="3"/>
      <c r="Q135" s="3">
        <v>591</v>
      </c>
      <c r="R135" s="3" t="s">
        <v>4681</v>
      </c>
      <c r="S135" s="3" t="s">
        <v>4682</v>
      </c>
      <c r="T135" s="3" t="s">
        <v>119</v>
      </c>
      <c r="U135" s="11">
        <v>129</v>
      </c>
      <c r="V135" s="3" t="s">
        <v>4536</v>
      </c>
      <c r="W135" s="8" t="s">
        <v>7834</v>
      </c>
    </row>
    <row r="136" spans="1:23" x14ac:dyDescent="0.25">
      <c r="A136" s="2">
        <v>1121</v>
      </c>
      <c r="B136" s="3" t="s">
        <v>4536</v>
      </c>
      <c r="C136" s="3">
        <v>2024</v>
      </c>
      <c r="D136" s="3" t="s">
        <v>14</v>
      </c>
      <c r="E136" s="3" t="s">
        <v>496</v>
      </c>
      <c r="F136" s="1" t="s">
        <v>7834</v>
      </c>
      <c r="G136" s="10"/>
      <c r="H136" s="10"/>
      <c r="I136" s="10"/>
      <c r="J136" s="10"/>
      <c r="K136" s="10"/>
      <c r="L136" s="3" t="s">
        <v>4737</v>
      </c>
      <c r="M136" s="3" t="s">
        <v>4738</v>
      </c>
      <c r="N136" s="3" t="s">
        <v>4680</v>
      </c>
      <c r="O136" s="3"/>
      <c r="P136" s="3"/>
      <c r="Q136" s="3">
        <v>117</v>
      </c>
      <c r="R136" s="3" t="s">
        <v>4681</v>
      </c>
      <c r="S136" s="3" t="s">
        <v>4682</v>
      </c>
      <c r="T136" s="3" t="s">
        <v>119</v>
      </c>
      <c r="U136" s="11">
        <v>130</v>
      </c>
      <c r="V136" s="3" t="s">
        <v>4536</v>
      </c>
      <c r="W136" s="8" t="s">
        <v>7834</v>
      </c>
    </row>
    <row r="137" spans="1:23" x14ac:dyDescent="0.25">
      <c r="A137" s="2">
        <v>1122</v>
      </c>
      <c r="B137" s="3" t="s">
        <v>4536</v>
      </c>
      <c r="C137" s="3">
        <v>2024</v>
      </c>
      <c r="D137" s="3" t="s">
        <v>14</v>
      </c>
      <c r="E137" s="3" t="s">
        <v>496</v>
      </c>
      <c r="F137" s="1" t="s">
        <v>7834</v>
      </c>
      <c r="G137" s="10"/>
      <c r="H137" s="10"/>
      <c r="I137" s="10"/>
      <c r="J137" s="10"/>
      <c r="K137" s="10"/>
      <c r="L137" s="3" t="s">
        <v>4739</v>
      </c>
      <c r="M137" s="3" t="s">
        <v>4740</v>
      </c>
      <c r="N137" s="3" t="s">
        <v>4741</v>
      </c>
      <c r="O137" s="3"/>
      <c r="P137" s="3"/>
      <c r="Q137" s="3">
        <v>343</v>
      </c>
      <c r="R137" s="3" t="s">
        <v>4681</v>
      </c>
      <c r="S137" s="3" t="s">
        <v>4682</v>
      </c>
      <c r="T137" s="3" t="s">
        <v>119</v>
      </c>
      <c r="U137" s="11">
        <v>131</v>
      </c>
      <c r="V137" s="3" t="s">
        <v>4536</v>
      </c>
      <c r="W137" s="8" t="s">
        <v>7834</v>
      </c>
    </row>
    <row r="138" spans="1:23" x14ac:dyDescent="0.25">
      <c r="A138" s="2">
        <v>1123</v>
      </c>
      <c r="B138" s="3" t="s">
        <v>4536</v>
      </c>
      <c r="C138" s="3">
        <v>2024</v>
      </c>
      <c r="D138" s="3" t="s">
        <v>14</v>
      </c>
      <c r="E138" s="3" t="s">
        <v>496</v>
      </c>
      <c r="F138" s="1" t="s">
        <v>7834</v>
      </c>
      <c r="G138" s="10"/>
      <c r="H138" s="10"/>
      <c r="I138" s="10"/>
      <c r="J138" s="10"/>
      <c r="K138" s="10"/>
      <c r="L138" s="3" t="s">
        <v>4742</v>
      </c>
      <c r="M138" s="3" t="s">
        <v>4743</v>
      </c>
      <c r="N138" s="3" t="s">
        <v>4680</v>
      </c>
      <c r="O138" s="3"/>
      <c r="P138" s="3"/>
      <c r="Q138" s="3">
        <v>511</v>
      </c>
      <c r="R138" s="3" t="s">
        <v>4681</v>
      </c>
      <c r="S138" s="3" t="s">
        <v>4682</v>
      </c>
      <c r="T138" s="3" t="s">
        <v>119</v>
      </c>
      <c r="U138" s="11">
        <v>132</v>
      </c>
      <c r="V138" s="3" t="s">
        <v>4536</v>
      </c>
      <c r="W138" s="8" t="s">
        <v>7834</v>
      </c>
    </row>
    <row r="139" spans="1:23" x14ac:dyDescent="0.25">
      <c r="A139" s="2">
        <v>1124</v>
      </c>
      <c r="B139" s="3" t="s">
        <v>4536</v>
      </c>
      <c r="C139" s="3">
        <v>2024</v>
      </c>
      <c r="D139" s="3" t="s">
        <v>14</v>
      </c>
      <c r="E139" s="3" t="s">
        <v>496</v>
      </c>
      <c r="F139" s="1" t="s">
        <v>7834</v>
      </c>
      <c r="G139" s="10"/>
      <c r="H139" s="10"/>
      <c r="I139" s="10"/>
      <c r="J139" s="10"/>
      <c r="K139" s="10"/>
      <c r="L139" s="3" t="s">
        <v>4744</v>
      </c>
      <c r="M139" s="3" t="s">
        <v>4745</v>
      </c>
      <c r="N139" s="3" t="s">
        <v>4680</v>
      </c>
      <c r="O139" s="3"/>
      <c r="P139" s="3"/>
      <c r="Q139" s="3">
        <v>559</v>
      </c>
      <c r="R139" s="3" t="s">
        <v>4746</v>
      </c>
      <c r="S139" s="3" t="s">
        <v>4682</v>
      </c>
      <c r="T139" s="3" t="s">
        <v>119</v>
      </c>
      <c r="U139" s="11">
        <v>133</v>
      </c>
      <c r="V139" s="3" t="s">
        <v>4536</v>
      </c>
      <c r="W139" s="8" t="s">
        <v>7834</v>
      </c>
    </row>
    <row r="140" spans="1:23" x14ac:dyDescent="0.25">
      <c r="A140" s="2">
        <v>1125</v>
      </c>
      <c r="B140" s="3" t="s">
        <v>4536</v>
      </c>
      <c r="C140" s="3">
        <v>2024</v>
      </c>
      <c r="D140" s="3" t="s">
        <v>14</v>
      </c>
      <c r="E140" s="3" t="s">
        <v>496</v>
      </c>
      <c r="F140" s="1" t="s">
        <v>7834</v>
      </c>
      <c r="G140" s="10"/>
      <c r="H140" s="10"/>
      <c r="I140" s="10"/>
      <c r="J140" s="10"/>
      <c r="K140" s="10"/>
      <c r="L140" s="3" t="s">
        <v>4747</v>
      </c>
      <c r="M140" s="3" t="s">
        <v>4748</v>
      </c>
      <c r="N140" s="3" t="s">
        <v>4680</v>
      </c>
      <c r="O140" s="3"/>
      <c r="P140" s="3"/>
      <c r="Q140" s="3">
        <v>673</v>
      </c>
      <c r="R140" s="3" t="s">
        <v>4681</v>
      </c>
      <c r="S140" s="3" t="s">
        <v>4682</v>
      </c>
      <c r="T140" s="3" t="s">
        <v>119</v>
      </c>
      <c r="U140" s="11">
        <v>134</v>
      </c>
      <c r="V140" s="3" t="s">
        <v>4536</v>
      </c>
      <c r="W140" s="8" t="s">
        <v>7834</v>
      </c>
    </row>
    <row r="141" spans="1:23" x14ac:dyDescent="0.25">
      <c r="A141" s="2">
        <v>1129</v>
      </c>
      <c r="B141" s="3" t="s">
        <v>4536</v>
      </c>
      <c r="C141" s="3">
        <v>2024</v>
      </c>
      <c r="D141" s="3" t="s">
        <v>14</v>
      </c>
      <c r="E141" s="3" t="s">
        <v>496</v>
      </c>
      <c r="F141" s="1" t="s">
        <v>7834</v>
      </c>
      <c r="G141" s="10"/>
      <c r="H141" s="10"/>
      <c r="I141" s="10"/>
      <c r="J141" s="10"/>
      <c r="K141" s="10"/>
      <c r="L141" s="3" t="s">
        <v>4761</v>
      </c>
      <c r="M141" s="3" t="s">
        <v>4762</v>
      </c>
      <c r="N141" s="3" t="s">
        <v>4763</v>
      </c>
      <c r="O141" s="3"/>
      <c r="P141" s="3"/>
      <c r="Q141" s="3"/>
      <c r="R141" s="3" t="s">
        <v>4764</v>
      </c>
      <c r="S141" s="3" t="s">
        <v>4765</v>
      </c>
      <c r="T141" s="3" t="s">
        <v>119</v>
      </c>
      <c r="U141" s="11">
        <v>135</v>
      </c>
      <c r="V141" s="3" t="s">
        <v>4536</v>
      </c>
      <c r="W141" s="8" t="s">
        <v>7834</v>
      </c>
    </row>
    <row r="142" spans="1:23" x14ac:dyDescent="0.25">
      <c r="A142" s="2">
        <v>1150</v>
      </c>
      <c r="B142" s="3" t="s">
        <v>4536</v>
      </c>
      <c r="C142" s="3">
        <v>2024</v>
      </c>
      <c r="D142" s="3" t="s">
        <v>508</v>
      </c>
      <c r="E142" s="3" t="s">
        <v>496</v>
      </c>
      <c r="F142" s="1" t="s">
        <v>7834</v>
      </c>
      <c r="G142" s="10"/>
      <c r="H142" s="10"/>
      <c r="I142" s="10"/>
      <c r="J142" s="10"/>
      <c r="K142" s="10"/>
      <c r="L142" s="3" t="s">
        <v>509</v>
      </c>
      <c r="M142" s="3" t="s">
        <v>510</v>
      </c>
      <c r="N142" s="3" t="s">
        <v>511</v>
      </c>
      <c r="O142" s="3">
        <v>5</v>
      </c>
      <c r="P142" s="3">
        <v>572</v>
      </c>
      <c r="Q142" s="3"/>
      <c r="R142" s="3">
        <v>9780323972802</v>
      </c>
      <c r="S142" s="3" t="s">
        <v>512</v>
      </c>
      <c r="T142" s="3" t="s">
        <v>119</v>
      </c>
      <c r="U142" s="11">
        <v>136</v>
      </c>
      <c r="V142" s="3" t="s">
        <v>4536</v>
      </c>
      <c r="W142" s="8" t="s">
        <v>7834</v>
      </c>
    </row>
    <row r="143" spans="1:23" x14ac:dyDescent="0.25">
      <c r="A143" s="2">
        <v>1181</v>
      </c>
      <c r="B143" s="3" t="s">
        <v>4536</v>
      </c>
      <c r="C143" s="3">
        <v>2024</v>
      </c>
      <c r="D143" s="3" t="s">
        <v>14</v>
      </c>
      <c r="E143" s="3" t="s">
        <v>496</v>
      </c>
      <c r="F143" s="1" t="s">
        <v>7834</v>
      </c>
      <c r="G143" s="10"/>
      <c r="H143" s="10">
        <v>19</v>
      </c>
      <c r="I143" s="10"/>
      <c r="J143" s="10"/>
      <c r="K143" s="10"/>
      <c r="L143" s="3" t="s">
        <v>4950</v>
      </c>
      <c r="M143" s="3" t="s">
        <v>4951</v>
      </c>
      <c r="N143" s="3" t="s">
        <v>4763</v>
      </c>
      <c r="O143" s="3"/>
      <c r="P143" s="3"/>
      <c r="Q143" s="3"/>
      <c r="R143" s="3" t="s">
        <v>4764</v>
      </c>
      <c r="S143" s="3" t="s">
        <v>4952</v>
      </c>
      <c r="T143" s="3" t="s">
        <v>119</v>
      </c>
      <c r="U143" s="11">
        <v>137</v>
      </c>
      <c r="V143" s="3" t="s">
        <v>4536</v>
      </c>
      <c r="W143" s="8" t="s">
        <v>7834</v>
      </c>
    </row>
    <row r="144" spans="1:23" x14ac:dyDescent="0.25">
      <c r="A144" s="2">
        <v>1088</v>
      </c>
      <c r="B144" s="3" t="s">
        <v>4536</v>
      </c>
      <c r="C144" s="3">
        <v>2024</v>
      </c>
      <c r="D144" s="3" t="s">
        <v>2363</v>
      </c>
      <c r="E144" s="3" t="s">
        <v>114</v>
      </c>
      <c r="F144" s="1" t="s">
        <v>7834</v>
      </c>
      <c r="G144" s="10"/>
      <c r="H144" s="10"/>
      <c r="I144" s="10"/>
      <c r="J144" s="10"/>
      <c r="K144" s="10"/>
      <c r="L144" s="3" t="s">
        <v>4619</v>
      </c>
      <c r="M144" s="3" t="s">
        <v>4620</v>
      </c>
      <c r="N144" s="3" t="s">
        <v>636</v>
      </c>
      <c r="O144" s="3">
        <v>24</v>
      </c>
      <c r="P144" s="3">
        <v>40</v>
      </c>
      <c r="Q144" s="3">
        <v>4</v>
      </c>
      <c r="R144" s="3" t="s">
        <v>4621</v>
      </c>
      <c r="S144" s="3" t="s">
        <v>4622</v>
      </c>
      <c r="T144" s="3" t="s">
        <v>119</v>
      </c>
      <c r="U144" s="11">
        <v>138</v>
      </c>
      <c r="V144" s="3" t="s">
        <v>4536</v>
      </c>
      <c r="W144" s="8" t="s">
        <v>7834</v>
      </c>
    </row>
    <row r="145" spans="1:23" x14ac:dyDescent="0.25">
      <c r="A145" s="2">
        <v>1092</v>
      </c>
      <c r="B145" s="3" t="s">
        <v>4536</v>
      </c>
      <c r="C145" s="3">
        <v>2024</v>
      </c>
      <c r="D145" s="3" t="s">
        <v>2363</v>
      </c>
      <c r="E145" s="3" t="s">
        <v>114</v>
      </c>
      <c r="F145" s="1" t="s">
        <v>7834</v>
      </c>
      <c r="G145" s="10"/>
      <c r="H145" s="10"/>
      <c r="I145" s="10"/>
      <c r="J145" s="10"/>
      <c r="K145" s="10"/>
      <c r="L145" s="3" t="s">
        <v>4638</v>
      </c>
      <c r="M145" s="3" t="s">
        <v>4639</v>
      </c>
      <c r="N145" s="3" t="s">
        <v>636</v>
      </c>
      <c r="O145" s="3">
        <v>24</v>
      </c>
      <c r="P145" s="3">
        <v>40</v>
      </c>
      <c r="Q145" s="3">
        <v>24</v>
      </c>
      <c r="R145" s="3" t="s">
        <v>637</v>
      </c>
      <c r="S145" s="3" t="s">
        <v>4640</v>
      </c>
      <c r="T145" s="3" t="s">
        <v>119</v>
      </c>
      <c r="U145" s="11">
        <v>139</v>
      </c>
      <c r="V145" s="3" t="s">
        <v>4536</v>
      </c>
      <c r="W145" s="8" t="s">
        <v>7834</v>
      </c>
    </row>
    <row r="146" spans="1:23" x14ac:dyDescent="0.25">
      <c r="A146" s="2">
        <v>1097</v>
      </c>
      <c r="B146" s="3" t="s">
        <v>4536</v>
      </c>
      <c r="C146" s="3">
        <v>2024</v>
      </c>
      <c r="D146" s="3" t="s">
        <v>2363</v>
      </c>
      <c r="E146" s="3" t="s">
        <v>114</v>
      </c>
      <c r="F146" s="1" t="s">
        <v>7834</v>
      </c>
      <c r="G146" s="10"/>
      <c r="H146" s="10"/>
      <c r="I146" s="10"/>
      <c r="J146" s="10"/>
      <c r="K146" s="10"/>
      <c r="L146" s="3" t="s">
        <v>4655</v>
      </c>
      <c r="M146" s="3" t="s">
        <v>4656</v>
      </c>
      <c r="N146" s="3" t="s">
        <v>636</v>
      </c>
      <c r="O146" s="3">
        <v>24</v>
      </c>
      <c r="P146" s="3">
        <v>40</v>
      </c>
      <c r="Q146" s="3">
        <v>41</v>
      </c>
      <c r="R146" s="3" t="s">
        <v>637</v>
      </c>
      <c r="S146" s="3" t="s">
        <v>4657</v>
      </c>
      <c r="T146" s="3" t="s">
        <v>119</v>
      </c>
      <c r="U146" s="11">
        <v>140</v>
      </c>
      <c r="V146" s="3" t="s">
        <v>4536</v>
      </c>
      <c r="W146" s="8" t="s">
        <v>7834</v>
      </c>
    </row>
    <row r="147" spans="1:23" x14ac:dyDescent="0.25">
      <c r="A147" s="2">
        <v>1098</v>
      </c>
      <c r="B147" s="3" t="s">
        <v>4536</v>
      </c>
      <c r="C147" s="3">
        <v>2024</v>
      </c>
      <c r="D147" s="3" t="s">
        <v>14</v>
      </c>
      <c r="E147" s="3" t="s">
        <v>114</v>
      </c>
      <c r="F147" s="1" t="s">
        <v>7834</v>
      </c>
      <c r="G147" s="10"/>
      <c r="H147" s="10"/>
      <c r="I147" s="10"/>
      <c r="J147" s="10"/>
      <c r="K147" s="10"/>
      <c r="L147" s="3" t="s">
        <v>4658</v>
      </c>
      <c r="M147" s="3" t="s">
        <v>4659</v>
      </c>
      <c r="N147" s="3" t="s">
        <v>4660</v>
      </c>
      <c r="O147" s="3">
        <v>17</v>
      </c>
      <c r="P147" s="3">
        <v>1</v>
      </c>
      <c r="Q147" s="3">
        <v>57</v>
      </c>
      <c r="R147" s="3" t="s">
        <v>4661</v>
      </c>
      <c r="S147" s="3" t="s">
        <v>4662</v>
      </c>
      <c r="T147" s="3" t="s">
        <v>119</v>
      </c>
      <c r="U147" s="11">
        <v>141</v>
      </c>
      <c r="V147" s="3" t="s">
        <v>4536</v>
      </c>
      <c r="W147" s="8" t="s">
        <v>7834</v>
      </c>
    </row>
    <row r="148" spans="1:23" x14ac:dyDescent="0.25">
      <c r="A148" s="2">
        <v>1102</v>
      </c>
      <c r="B148" s="3" t="s">
        <v>4536</v>
      </c>
      <c r="C148" s="3">
        <v>2024</v>
      </c>
      <c r="D148" s="3" t="s">
        <v>75</v>
      </c>
      <c r="E148" s="3" t="s">
        <v>114</v>
      </c>
      <c r="F148" s="1" t="s">
        <v>7834</v>
      </c>
      <c r="G148" s="10"/>
      <c r="H148" s="10"/>
      <c r="I148" s="10"/>
      <c r="J148" s="10"/>
      <c r="K148" s="10"/>
      <c r="L148" s="3" t="s">
        <v>681</v>
      </c>
      <c r="M148" s="3" t="s">
        <v>4674</v>
      </c>
      <c r="N148" s="3" t="s">
        <v>683</v>
      </c>
      <c r="O148" s="3">
        <v>59</v>
      </c>
      <c r="P148" s="3">
        <v>4</v>
      </c>
      <c r="Q148" s="3"/>
      <c r="R148" s="3" t="s">
        <v>684</v>
      </c>
      <c r="S148" s="3" t="s">
        <v>685</v>
      </c>
      <c r="T148" s="3" t="s">
        <v>119</v>
      </c>
      <c r="U148" s="11">
        <v>142</v>
      </c>
      <c r="V148" s="3" t="s">
        <v>4536</v>
      </c>
      <c r="W148" s="8" t="s">
        <v>7834</v>
      </c>
    </row>
    <row r="149" spans="1:23" x14ac:dyDescent="0.25">
      <c r="A149" s="2">
        <v>1107</v>
      </c>
      <c r="B149" s="3" t="s">
        <v>4536</v>
      </c>
      <c r="C149" s="3">
        <v>2024</v>
      </c>
      <c r="D149" s="3" t="s">
        <v>2363</v>
      </c>
      <c r="E149" s="3" t="s">
        <v>114</v>
      </c>
      <c r="F149" s="1" t="s">
        <v>7834</v>
      </c>
      <c r="G149" s="10"/>
      <c r="H149" s="10"/>
      <c r="I149" s="10"/>
      <c r="J149" s="10"/>
      <c r="K149" s="10"/>
      <c r="L149" s="3" t="s">
        <v>4687</v>
      </c>
      <c r="M149" s="3" t="s">
        <v>4688</v>
      </c>
      <c r="N149" s="3" t="s">
        <v>636</v>
      </c>
      <c r="O149" s="3">
        <v>24</v>
      </c>
      <c r="P149" s="3">
        <v>40</v>
      </c>
      <c r="Q149" s="3">
        <v>122</v>
      </c>
      <c r="R149" s="3" t="s">
        <v>637</v>
      </c>
      <c r="S149" s="3" t="s">
        <v>4689</v>
      </c>
      <c r="T149" s="3" t="s">
        <v>119</v>
      </c>
      <c r="U149" s="11">
        <v>143</v>
      </c>
      <c r="V149" s="3" t="s">
        <v>4536</v>
      </c>
      <c r="W149" s="8" t="s">
        <v>7834</v>
      </c>
    </row>
    <row r="150" spans="1:23" x14ac:dyDescent="0.25">
      <c r="A150" s="2">
        <v>1145</v>
      </c>
      <c r="B150" s="3" t="s">
        <v>4536</v>
      </c>
      <c r="C150" s="3">
        <v>2024</v>
      </c>
      <c r="D150" s="3" t="s">
        <v>120</v>
      </c>
      <c r="E150" s="3" t="s">
        <v>114</v>
      </c>
      <c r="F150" s="1" t="s">
        <v>7834</v>
      </c>
      <c r="G150" s="10"/>
      <c r="H150" s="10"/>
      <c r="I150" s="10"/>
      <c r="J150" s="10"/>
      <c r="K150" s="10"/>
      <c r="L150" s="3" t="s">
        <v>547</v>
      </c>
      <c r="M150" s="3" t="s">
        <v>548</v>
      </c>
      <c r="N150" s="3" t="s">
        <v>549</v>
      </c>
      <c r="O150" s="3">
        <v>9</v>
      </c>
      <c r="P150" s="3">
        <v>3</v>
      </c>
      <c r="Q150" s="3">
        <v>1</v>
      </c>
      <c r="R150" s="3" t="s">
        <v>4819</v>
      </c>
      <c r="S150" s="3" t="s">
        <v>551</v>
      </c>
      <c r="T150" s="3" t="s">
        <v>119</v>
      </c>
      <c r="U150" s="11">
        <v>144</v>
      </c>
      <c r="V150" s="3" t="s">
        <v>4536</v>
      </c>
      <c r="W150" s="8" t="s">
        <v>7834</v>
      </c>
    </row>
    <row r="151" spans="1:23" x14ac:dyDescent="0.25">
      <c r="A151" s="2">
        <v>1152</v>
      </c>
      <c r="B151" s="3" t="s">
        <v>4536</v>
      </c>
      <c r="C151" s="3">
        <v>2024</v>
      </c>
      <c r="D151" s="3" t="s">
        <v>536</v>
      </c>
      <c r="E151" s="3" t="s">
        <v>114</v>
      </c>
      <c r="F151" s="1" t="s">
        <v>7834</v>
      </c>
      <c r="G151" s="10"/>
      <c r="H151" s="10"/>
      <c r="I151" s="10"/>
      <c r="J151" s="10"/>
      <c r="K151" s="10"/>
      <c r="L151" s="3" t="s">
        <v>537</v>
      </c>
      <c r="M151" s="3" t="s">
        <v>4841</v>
      </c>
      <c r="N151" s="3" t="s">
        <v>539</v>
      </c>
      <c r="O151" s="3">
        <v>13</v>
      </c>
      <c r="P151" s="3">
        <v>25</v>
      </c>
      <c r="Q151" s="3">
        <v>207</v>
      </c>
      <c r="R151" s="3" t="s">
        <v>540</v>
      </c>
      <c r="S151" s="3" t="s">
        <v>541</v>
      </c>
      <c r="T151" s="3" t="s">
        <v>119</v>
      </c>
      <c r="U151" s="11">
        <v>145</v>
      </c>
      <c r="V151" s="3" t="s">
        <v>4536</v>
      </c>
      <c r="W151" s="8" t="s">
        <v>7834</v>
      </c>
    </row>
    <row r="152" spans="1:23" x14ac:dyDescent="0.25">
      <c r="A152" s="2">
        <v>1154</v>
      </c>
      <c r="B152" s="3" t="s">
        <v>4536</v>
      </c>
      <c r="C152" s="3">
        <v>2024</v>
      </c>
      <c r="D152" s="3" t="s">
        <v>63</v>
      </c>
      <c r="E152" s="3" t="s">
        <v>114</v>
      </c>
      <c r="F152" s="1" t="s">
        <v>7834</v>
      </c>
      <c r="G152" s="10"/>
      <c r="H152" s="10"/>
      <c r="I152" s="10"/>
      <c r="J152" s="10"/>
      <c r="K152" s="10"/>
      <c r="L152" s="3" t="s">
        <v>4844</v>
      </c>
      <c r="M152" s="3" t="s">
        <v>4845</v>
      </c>
      <c r="N152" s="3" t="s">
        <v>4846</v>
      </c>
      <c r="O152" s="3">
        <v>35</v>
      </c>
      <c r="P152" s="3">
        <v>1</v>
      </c>
      <c r="Q152" s="3">
        <v>12</v>
      </c>
      <c r="R152" s="3" t="s">
        <v>4847</v>
      </c>
      <c r="S152" s="3" t="s">
        <v>4848</v>
      </c>
      <c r="T152" s="3" t="s">
        <v>119</v>
      </c>
      <c r="U152" s="11">
        <v>146</v>
      </c>
      <c r="V152" s="3" t="s">
        <v>4536</v>
      </c>
      <c r="W152" s="8" t="s">
        <v>7834</v>
      </c>
    </row>
    <row r="153" spans="1:23" x14ac:dyDescent="0.25">
      <c r="A153" s="2">
        <v>1161</v>
      </c>
      <c r="B153" s="3" t="s">
        <v>4536</v>
      </c>
      <c r="C153" s="3">
        <v>2024</v>
      </c>
      <c r="D153" s="3" t="s">
        <v>602</v>
      </c>
      <c r="E153" s="3" t="s">
        <v>114</v>
      </c>
      <c r="F153" s="1" t="s">
        <v>7834</v>
      </c>
      <c r="G153" s="10"/>
      <c r="H153" s="10"/>
      <c r="I153" s="10"/>
      <c r="J153" s="10"/>
      <c r="K153" s="10"/>
      <c r="L153" s="3" t="s">
        <v>4875</v>
      </c>
      <c r="M153" s="3" t="s">
        <v>667</v>
      </c>
      <c r="N153" s="3" t="s">
        <v>668</v>
      </c>
      <c r="O153" s="3">
        <v>26</v>
      </c>
      <c r="P153" s="3">
        <v>1</v>
      </c>
      <c r="Q153" s="3">
        <v>129</v>
      </c>
      <c r="R153" s="3" t="s">
        <v>669</v>
      </c>
      <c r="S153" s="3" t="s">
        <v>670</v>
      </c>
      <c r="T153" s="3" t="s">
        <v>119</v>
      </c>
      <c r="U153" s="11">
        <v>147</v>
      </c>
      <c r="V153" s="3" t="s">
        <v>4536</v>
      </c>
      <c r="W153" s="8" t="s">
        <v>7834</v>
      </c>
    </row>
    <row r="154" spans="1:23" x14ac:dyDescent="0.25">
      <c r="A154" s="2">
        <v>1162</v>
      </c>
      <c r="B154" s="3" t="s">
        <v>4536</v>
      </c>
      <c r="C154" s="3">
        <v>2024</v>
      </c>
      <c r="D154" s="3" t="s">
        <v>63</v>
      </c>
      <c r="E154" s="3" t="s">
        <v>114</v>
      </c>
      <c r="F154" s="1" t="s">
        <v>7834</v>
      </c>
      <c r="G154" s="10"/>
      <c r="H154" s="10"/>
      <c r="I154" s="10"/>
      <c r="J154" s="10"/>
      <c r="K154" s="10"/>
      <c r="L154" s="3" t="s">
        <v>4876</v>
      </c>
      <c r="M154" s="3" t="s">
        <v>4877</v>
      </c>
      <c r="N154" s="3" t="s">
        <v>4878</v>
      </c>
      <c r="O154" s="3"/>
      <c r="P154" s="3">
        <v>9</v>
      </c>
      <c r="Q154" s="3"/>
      <c r="R154" s="3" t="s">
        <v>4879</v>
      </c>
      <c r="S154" s="3" t="s">
        <v>4880</v>
      </c>
      <c r="T154" s="3" t="s">
        <v>119</v>
      </c>
      <c r="U154" s="11">
        <v>148</v>
      </c>
      <c r="V154" s="3" t="s">
        <v>4536</v>
      </c>
      <c r="W154" s="8" t="s">
        <v>7834</v>
      </c>
    </row>
    <row r="155" spans="1:23" x14ac:dyDescent="0.25">
      <c r="A155" s="2">
        <v>1166</v>
      </c>
      <c r="B155" s="3" t="s">
        <v>4536</v>
      </c>
      <c r="C155" s="3">
        <v>2024</v>
      </c>
      <c r="D155" s="3" t="s">
        <v>31</v>
      </c>
      <c r="E155" s="3" t="s">
        <v>114</v>
      </c>
      <c r="F155" s="1" t="s">
        <v>7834</v>
      </c>
      <c r="G155" s="10"/>
      <c r="H155" s="10"/>
      <c r="I155" s="10"/>
      <c r="J155" s="10"/>
      <c r="K155" s="10"/>
      <c r="L155" s="3" t="s">
        <v>4894</v>
      </c>
      <c r="M155" s="3" t="s">
        <v>4895</v>
      </c>
      <c r="N155" s="3" t="s">
        <v>673</v>
      </c>
      <c r="O155" s="3">
        <v>12</v>
      </c>
      <c r="P155" s="3">
        <v>6</v>
      </c>
      <c r="Q155" s="3"/>
      <c r="R155" s="3" t="s">
        <v>674</v>
      </c>
      <c r="S155" s="3" t="s">
        <v>4896</v>
      </c>
      <c r="T155" s="3" t="s">
        <v>119</v>
      </c>
      <c r="U155" s="11">
        <v>149</v>
      </c>
      <c r="V155" s="3" t="s">
        <v>4536</v>
      </c>
      <c r="W155" s="8" t="s">
        <v>7834</v>
      </c>
    </row>
    <row r="156" spans="1:23" x14ac:dyDescent="0.25">
      <c r="A156" s="2">
        <v>1172</v>
      </c>
      <c r="B156" s="3" t="s">
        <v>4536</v>
      </c>
      <c r="C156" s="3">
        <v>2024</v>
      </c>
      <c r="D156" s="3" t="s">
        <v>633</v>
      </c>
      <c r="E156" s="3" t="s">
        <v>114</v>
      </c>
      <c r="F156" s="1" t="s">
        <v>7834</v>
      </c>
      <c r="G156" s="10"/>
      <c r="H156" s="10"/>
      <c r="I156" s="10"/>
      <c r="J156" s="10"/>
      <c r="K156" s="10"/>
      <c r="L156" s="3" t="s">
        <v>4914</v>
      </c>
      <c r="M156" s="3" t="s">
        <v>4915</v>
      </c>
      <c r="N156" s="3" t="s">
        <v>636</v>
      </c>
      <c r="O156" s="3">
        <v>25</v>
      </c>
      <c r="P156" s="3">
        <v>41</v>
      </c>
      <c r="Q156" s="3"/>
      <c r="R156" s="3" t="s">
        <v>637</v>
      </c>
      <c r="S156" s="3" t="s">
        <v>4916</v>
      </c>
      <c r="T156" s="3" t="s">
        <v>119</v>
      </c>
      <c r="U156" s="11">
        <v>150</v>
      </c>
      <c r="V156" s="3" t="s">
        <v>4536</v>
      </c>
      <c r="W156" s="8" t="s">
        <v>7834</v>
      </c>
    </row>
    <row r="157" spans="1:23" x14ac:dyDescent="0.25">
      <c r="A157" s="2">
        <v>1185</v>
      </c>
      <c r="B157" s="3" t="s">
        <v>4536</v>
      </c>
      <c r="C157" s="3">
        <v>2024</v>
      </c>
      <c r="D157" s="3" t="s">
        <v>14</v>
      </c>
      <c r="E157" s="3" t="s">
        <v>114</v>
      </c>
      <c r="F157" s="1" t="s">
        <v>7834</v>
      </c>
      <c r="G157" s="10"/>
      <c r="H157" s="10"/>
      <c r="I157" s="10">
        <v>14</v>
      </c>
      <c r="J157" s="10"/>
      <c r="K157" s="10"/>
      <c r="L157" s="3" t="s">
        <v>4965</v>
      </c>
      <c r="M157" s="3" t="s">
        <v>4966</v>
      </c>
      <c r="N157" s="3" t="s">
        <v>4967</v>
      </c>
      <c r="O157" s="3">
        <v>1</v>
      </c>
      <c r="P157" s="3">
        <v>1</v>
      </c>
      <c r="Q157" s="3">
        <v>9</v>
      </c>
      <c r="R157" s="3" t="s">
        <v>4968</v>
      </c>
      <c r="S157" s="3" t="s">
        <v>4969</v>
      </c>
      <c r="T157" s="3" t="s">
        <v>119</v>
      </c>
      <c r="U157" s="11">
        <v>151</v>
      </c>
      <c r="V157" s="3" t="s">
        <v>4536</v>
      </c>
      <c r="W157" s="8" t="s">
        <v>7834</v>
      </c>
    </row>
    <row r="158" spans="1:23" x14ac:dyDescent="0.25">
      <c r="A158" s="2">
        <v>1177</v>
      </c>
      <c r="B158" s="3" t="s">
        <v>4536</v>
      </c>
      <c r="C158" s="3">
        <v>2024</v>
      </c>
      <c r="D158" s="3" t="s">
        <v>729</v>
      </c>
      <c r="E158" s="3" t="s">
        <v>730</v>
      </c>
      <c r="F158" s="1" t="s">
        <v>7834</v>
      </c>
      <c r="G158" s="10"/>
      <c r="H158" s="10"/>
      <c r="I158" s="10"/>
      <c r="J158" s="10">
        <v>1</v>
      </c>
      <c r="K158" s="10"/>
      <c r="L158" s="3" t="s">
        <v>4931</v>
      </c>
      <c r="M158" s="3" t="s">
        <v>732</v>
      </c>
      <c r="N158" s="3" t="s">
        <v>4932</v>
      </c>
      <c r="O158" s="3"/>
      <c r="P158" s="3">
        <v>19</v>
      </c>
      <c r="Q158" s="3"/>
      <c r="R158" s="3" t="s">
        <v>4933</v>
      </c>
      <c r="S158" s="3" t="s">
        <v>4934</v>
      </c>
      <c r="T158" s="3" t="s">
        <v>119</v>
      </c>
      <c r="U158" s="11">
        <v>152</v>
      </c>
      <c r="V158" s="3" t="s">
        <v>4536</v>
      </c>
      <c r="W158" s="8" t="s">
        <v>7834</v>
      </c>
    </row>
    <row r="159" spans="1:23" x14ac:dyDescent="0.25">
      <c r="A159" s="2">
        <v>1190</v>
      </c>
      <c r="B159" s="3" t="s">
        <v>4986</v>
      </c>
      <c r="C159" s="3">
        <v>2024</v>
      </c>
      <c r="D159" s="3" t="s">
        <v>495</v>
      </c>
      <c r="E159" s="3" t="s">
        <v>496</v>
      </c>
      <c r="F159" s="1" t="s">
        <v>7834</v>
      </c>
      <c r="G159" s="10"/>
      <c r="H159" s="10"/>
      <c r="I159" s="10"/>
      <c r="J159" s="10"/>
      <c r="K159" s="10"/>
      <c r="L159" s="3" t="s">
        <v>497</v>
      </c>
      <c r="M159" s="3" t="s">
        <v>498</v>
      </c>
      <c r="N159" s="3" t="s">
        <v>499</v>
      </c>
      <c r="O159" s="3"/>
      <c r="P159" s="3"/>
      <c r="Q159" s="3"/>
      <c r="R159" s="3"/>
      <c r="S159" s="3" t="s">
        <v>500</v>
      </c>
      <c r="T159" s="3" t="s">
        <v>119</v>
      </c>
      <c r="U159" s="11">
        <v>153</v>
      </c>
      <c r="V159" s="3" t="s">
        <v>4986</v>
      </c>
      <c r="W159" s="8" t="s">
        <v>7834</v>
      </c>
    </row>
    <row r="160" spans="1:23" x14ac:dyDescent="0.25">
      <c r="A160" s="2">
        <v>1202</v>
      </c>
      <c r="B160" s="3" t="s">
        <v>4986</v>
      </c>
      <c r="C160" s="3">
        <v>2024</v>
      </c>
      <c r="D160" s="3" t="s">
        <v>14</v>
      </c>
      <c r="E160" s="3" t="s">
        <v>496</v>
      </c>
      <c r="F160" s="1" t="s">
        <v>7834</v>
      </c>
      <c r="G160" s="10"/>
      <c r="H160" s="10">
        <v>2</v>
      </c>
      <c r="I160" s="10"/>
      <c r="J160" s="10"/>
      <c r="K160" s="10"/>
      <c r="L160" s="3" t="s">
        <v>5007</v>
      </c>
      <c r="M160" s="3" t="s">
        <v>5008</v>
      </c>
      <c r="N160" s="3" t="s">
        <v>5009</v>
      </c>
      <c r="O160" s="3"/>
      <c r="P160" s="3"/>
      <c r="Q160" s="3"/>
      <c r="R160" s="3"/>
      <c r="S160" s="3" t="s">
        <v>5010</v>
      </c>
      <c r="T160" s="3" t="s">
        <v>119</v>
      </c>
      <c r="U160" s="11">
        <v>154</v>
      </c>
      <c r="V160" s="3" t="s">
        <v>4986</v>
      </c>
      <c r="W160" s="8" t="s">
        <v>7834</v>
      </c>
    </row>
    <row r="161" spans="1:23" x14ac:dyDescent="0.25">
      <c r="A161" s="2">
        <v>1213</v>
      </c>
      <c r="B161" s="3" t="s">
        <v>5020</v>
      </c>
      <c r="C161" s="3">
        <v>2024</v>
      </c>
      <c r="D161" s="3" t="s">
        <v>3276</v>
      </c>
      <c r="E161" s="3" t="s">
        <v>496</v>
      </c>
      <c r="F161" s="1" t="s">
        <v>7834</v>
      </c>
      <c r="G161" s="10"/>
      <c r="H161" s="10"/>
      <c r="I161" s="10"/>
      <c r="J161" s="10"/>
      <c r="K161" s="10"/>
      <c r="L161" s="3" t="s">
        <v>5021</v>
      </c>
      <c r="M161" s="3" t="s">
        <v>5022</v>
      </c>
      <c r="N161" s="3" t="s">
        <v>5023</v>
      </c>
      <c r="O161" s="3" t="s">
        <v>5024</v>
      </c>
      <c r="P161" s="3"/>
      <c r="Q161" s="3">
        <v>257</v>
      </c>
      <c r="R161" s="3"/>
      <c r="S161" s="3" t="s">
        <v>5025</v>
      </c>
      <c r="T161" s="3" t="s">
        <v>119</v>
      </c>
      <c r="U161" s="11">
        <v>155</v>
      </c>
      <c r="V161" s="3" t="s">
        <v>5020</v>
      </c>
      <c r="W161" s="8" t="s">
        <v>7834</v>
      </c>
    </row>
    <row r="162" spans="1:23" x14ac:dyDescent="0.25">
      <c r="A162" s="2">
        <v>1214</v>
      </c>
      <c r="B162" s="3" t="s">
        <v>5020</v>
      </c>
      <c r="C162" s="3">
        <v>2024</v>
      </c>
      <c r="D162" s="3" t="s">
        <v>3276</v>
      </c>
      <c r="E162" s="3" t="s">
        <v>496</v>
      </c>
      <c r="F162" s="1" t="s">
        <v>7834</v>
      </c>
      <c r="G162" s="10"/>
      <c r="H162" s="10"/>
      <c r="I162" s="10"/>
      <c r="J162" s="10"/>
      <c r="K162" s="10"/>
      <c r="L162" s="3" t="s">
        <v>5026</v>
      </c>
      <c r="M162" s="3" t="s">
        <v>5027</v>
      </c>
      <c r="N162" s="3" t="s">
        <v>5023</v>
      </c>
      <c r="O162" s="3" t="s">
        <v>5024</v>
      </c>
      <c r="P162" s="3"/>
      <c r="Q162" s="3">
        <v>379</v>
      </c>
      <c r="R162" s="3" t="s">
        <v>5028</v>
      </c>
      <c r="S162" s="3" t="s">
        <v>5025</v>
      </c>
      <c r="T162" s="3" t="s">
        <v>119</v>
      </c>
      <c r="U162" s="11">
        <v>156</v>
      </c>
      <c r="V162" s="3" t="s">
        <v>5020</v>
      </c>
      <c r="W162" s="8" t="s">
        <v>7834</v>
      </c>
    </row>
    <row r="163" spans="1:23" x14ac:dyDescent="0.25">
      <c r="A163" s="2">
        <v>1215</v>
      </c>
      <c r="B163" s="3" t="s">
        <v>5020</v>
      </c>
      <c r="C163" s="3">
        <v>2024</v>
      </c>
      <c r="D163" s="3" t="s">
        <v>3276</v>
      </c>
      <c r="E163" s="3" t="s">
        <v>496</v>
      </c>
      <c r="F163" s="1" t="s">
        <v>7834</v>
      </c>
      <c r="G163" s="10"/>
      <c r="H163" s="10"/>
      <c r="I163" s="10"/>
      <c r="J163" s="10"/>
      <c r="K163" s="10"/>
      <c r="L163" s="3" t="s">
        <v>5029</v>
      </c>
      <c r="M163" s="3" t="s">
        <v>5030</v>
      </c>
      <c r="N163" s="3" t="s">
        <v>5031</v>
      </c>
      <c r="O163" s="3" t="s">
        <v>5032</v>
      </c>
      <c r="P163" s="3"/>
      <c r="Q163" s="3">
        <v>27</v>
      </c>
      <c r="R163" s="3"/>
      <c r="S163" s="3" t="s">
        <v>5025</v>
      </c>
      <c r="T163" s="3" t="s">
        <v>119</v>
      </c>
      <c r="U163" s="11">
        <v>157</v>
      </c>
      <c r="V163" s="3" t="s">
        <v>5020</v>
      </c>
      <c r="W163" s="8" t="s">
        <v>7834</v>
      </c>
    </row>
    <row r="164" spans="1:23" x14ac:dyDescent="0.25">
      <c r="A164" s="2">
        <v>1216</v>
      </c>
      <c r="B164" s="3" t="s">
        <v>5020</v>
      </c>
      <c r="C164" s="3">
        <v>2024</v>
      </c>
      <c r="D164" s="3" t="s">
        <v>2498</v>
      </c>
      <c r="E164" s="3" t="s">
        <v>496</v>
      </c>
      <c r="F164" s="1" t="s">
        <v>7834</v>
      </c>
      <c r="G164" s="10"/>
      <c r="H164" s="10"/>
      <c r="I164" s="10"/>
      <c r="J164" s="10"/>
      <c r="K164" s="10"/>
      <c r="L164" s="3" t="s">
        <v>5033</v>
      </c>
      <c r="M164" s="3" t="s">
        <v>5034</v>
      </c>
      <c r="N164" s="3" t="s">
        <v>5035</v>
      </c>
      <c r="O164" s="3"/>
      <c r="P164" s="3"/>
      <c r="Q164" s="3"/>
      <c r="R164" s="3"/>
      <c r="S164" s="3" t="s">
        <v>5036</v>
      </c>
      <c r="T164" s="3" t="s">
        <v>119</v>
      </c>
      <c r="U164" s="11">
        <v>158</v>
      </c>
      <c r="V164" s="3" t="s">
        <v>5020</v>
      </c>
      <c r="W164" s="8" t="s">
        <v>7834</v>
      </c>
    </row>
    <row r="165" spans="1:23" x14ac:dyDescent="0.25">
      <c r="A165" s="2">
        <v>1225</v>
      </c>
      <c r="B165" s="3" t="s">
        <v>5020</v>
      </c>
      <c r="C165" s="3">
        <v>2024</v>
      </c>
      <c r="D165" s="3" t="s">
        <v>2689</v>
      </c>
      <c r="E165" s="3" t="s">
        <v>496</v>
      </c>
      <c r="F165" s="1" t="s">
        <v>7834</v>
      </c>
      <c r="G165" s="10"/>
      <c r="H165" s="10"/>
      <c r="I165" s="10"/>
      <c r="J165" s="10"/>
      <c r="K165" s="10"/>
      <c r="L165" s="3" t="s">
        <v>5075</v>
      </c>
      <c r="M165" s="3" t="s">
        <v>5076</v>
      </c>
      <c r="N165" s="3" t="s">
        <v>5077</v>
      </c>
      <c r="O165" s="3"/>
      <c r="P165" s="3" t="s">
        <v>5078</v>
      </c>
      <c r="Q165" s="3"/>
      <c r="R165" s="3"/>
      <c r="S165" s="3" t="s">
        <v>5079</v>
      </c>
      <c r="T165" s="3" t="s">
        <v>119</v>
      </c>
      <c r="U165" s="11">
        <v>159</v>
      </c>
      <c r="V165" s="3" t="s">
        <v>5020</v>
      </c>
      <c r="W165" s="8" t="s">
        <v>7834</v>
      </c>
    </row>
    <row r="166" spans="1:23" x14ac:dyDescent="0.25">
      <c r="A166" s="2">
        <v>1228</v>
      </c>
      <c r="B166" s="3" t="s">
        <v>5020</v>
      </c>
      <c r="C166" s="3">
        <v>2024</v>
      </c>
      <c r="D166" s="3" t="s">
        <v>82</v>
      </c>
      <c r="E166" s="3" t="s">
        <v>496</v>
      </c>
      <c r="F166" s="1" t="s">
        <v>7834</v>
      </c>
      <c r="G166" s="10"/>
      <c r="H166" s="10"/>
      <c r="I166" s="10"/>
      <c r="J166" s="10"/>
      <c r="K166" s="10"/>
      <c r="L166" s="3" t="s">
        <v>5087</v>
      </c>
      <c r="M166" s="3" t="s">
        <v>5088</v>
      </c>
      <c r="N166" s="3" t="s">
        <v>5089</v>
      </c>
      <c r="O166" s="3"/>
      <c r="P166" s="3"/>
      <c r="Q166" s="3"/>
      <c r="R166" s="3" t="s">
        <v>5090</v>
      </c>
      <c r="S166" s="3" t="s">
        <v>5091</v>
      </c>
      <c r="T166" s="3" t="s">
        <v>119</v>
      </c>
      <c r="U166" s="11">
        <v>160</v>
      </c>
      <c r="V166" s="3" t="s">
        <v>5020</v>
      </c>
      <c r="W166" s="8" t="s">
        <v>7834</v>
      </c>
    </row>
    <row r="167" spans="1:23" x14ac:dyDescent="0.25">
      <c r="A167" s="2">
        <v>1229</v>
      </c>
      <c r="B167" s="3" t="s">
        <v>5020</v>
      </c>
      <c r="C167" s="3">
        <v>2024</v>
      </c>
      <c r="D167" s="3" t="s">
        <v>75</v>
      </c>
      <c r="E167" s="3" t="s">
        <v>496</v>
      </c>
      <c r="F167" s="1" t="s">
        <v>7834</v>
      </c>
      <c r="G167" s="10"/>
      <c r="H167" s="10"/>
      <c r="I167" s="10"/>
      <c r="J167" s="10"/>
      <c r="K167" s="10"/>
      <c r="L167" s="3" t="s">
        <v>5092</v>
      </c>
      <c r="M167" s="3" t="s">
        <v>1430</v>
      </c>
      <c r="N167" s="3" t="s">
        <v>5093</v>
      </c>
      <c r="O167" s="3"/>
      <c r="P167" s="3"/>
      <c r="Q167" s="3"/>
      <c r="R167" s="3"/>
      <c r="S167" s="3" t="s">
        <v>5094</v>
      </c>
      <c r="T167" s="3" t="s">
        <v>119</v>
      </c>
      <c r="U167" s="11">
        <v>161</v>
      </c>
      <c r="V167" s="3" t="s">
        <v>5020</v>
      </c>
      <c r="W167" s="8" t="s">
        <v>7834</v>
      </c>
    </row>
    <row r="168" spans="1:23" x14ac:dyDescent="0.25">
      <c r="A168" s="2">
        <v>1230</v>
      </c>
      <c r="B168" s="3" t="s">
        <v>5020</v>
      </c>
      <c r="C168" s="3">
        <v>2024</v>
      </c>
      <c r="D168" s="3" t="s">
        <v>5095</v>
      </c>
      <c r="E168" s="3" t="s">
        <v>496</v>
      </c>
      <c r="F168" s="1" t="s">
        <v>7834</v>
      </c>
      <c r="G168" s="10"/>
      <c r="H168" s="10"/>
      <c r="I168" s="10"/>
      <c r="J168" s="10"/>
      <c r="K168" s="10"/>
      <c r="L168" s="3" t="s">
        <v>5096</v>
      </c>
      <c r="M168" s="3" t="s">
        <v>5097</v>
      </c>
      <c r="N168" s="3" t="s">
        <v>4734</v>
      </c>
      <c r="O168" s="3"/>
      <c r="P168" s="3"/>
      <c r="Q168" s="3"/>
      <c r="R168" s="3"/>
      <c r="S168" s="3" t="s">
        <v>5098</v>
      </c>
      <c r="T168" s="3" t="s">
        <v>119</v>
      </c>
      <c r="U168" s="11">
        <v>162</v>
      </c>
      <c r="V168" s="3" t="s">
        <v>5020</v>
      </c>
      <c r="W168" s="8" t="s">
        <v>7834</v>
      </c>
    </row>
    <row r="169" spans="1:23" x14ac:dyDescent="0.25">
      <c r="A169" s="2">
        <v>1231</v>
      </c>
      <c r="B169" s="3" t="s">
        <v>5020</v>
      </c>
      <c r="C169" s="3">
        <v>2024</v>
      </c>
      <c r="D169" s="3" t="s">
        <v>401</v>
      </c>
      <c r="E169" s="3" t="s">
        <v>496</v>
      </c>
      <c r="F169" s="1" t="s">
        <v>7834</v>
      </c>
      <c r="G169" s="10"/>
      <c r="H169" s="10"/>
      <c r="I169" s="10"/>
      <c r="J169" s="10"/>
      <c r="K169" s="10"/>
      <c r="L169" s="3" t="s">
        <v>5099</v>
      </c>
      <c r="M169" s="3" t="s">
        <v>5100</v>
      </c>
      <c r="N169" s="3" t="s">
        <v>5101</v>
      </c>
      <c r="O169" s="3"/>
      <c r="P169" s="3"/>
      <c r="Q169" s="3"/>
      <c r="R169" s="3"/>
      <c r="S169" s="3" t="s">
        <v>5102</v>
      </c>
      <c r="T169" s="3" t="s">
        <v>119</v>
      </c>
      <c r="U169" s="11">
        <v>163</v>
      </c>
      <c r="V169" s="3" t="s">
        <v>5020</v>
      </c>
      <c r="W169" s="8" t="s">
        <v>7834</v>
      </c>
    </row>
    <row r="170" spans="1:23" x14ac:dyDescent="0.25">
      <c r="A170" s="2">
        <v>1234</v>
      </c>
      <c r="B170" s="3" t="s">
        <v>5020</v>
      </c>
      <c r="C170" s="3">
        <v>2024</v>
      </c>
      <c r="D170" s="3" t="s">
        <v>59</v>
      </c>
      <c r="E170" s="3" t="s">
        <v>496</v>
      </c>
      <c r="F170" s="1" t="s">
        <v>7834</v>
      </c>
      <c r="G170" s="10"/>
      <c r="H170" s="10"/>
      <c r="I170" s="10"/>
      <c r="J170" s="10"/>
      <c r="K170" s="10"/>
      <c r="L170" s="3" t="s">
        <v>5112</v>
      </c>
      <c r="M170" s="3" t="s">
        <v>5113</v>
      </c>
      <c r="N170" s="3" t="s">
        <v>5023</v>
      </c>
      <c r="O170" s="3"/>
      <c r="P170" s="3"/>
      <c r="Q170" s="3"/>
      <c r="R170" s="3" t="s">
        <v>5114</v>
      </c>
      <c r="S170" s="3" t="s">
        <v>5115</v>
      </c>
      <c r="T170" s="3" t="s">
        <v>119</v>
      </c>
      <c r="U170" s="11">
        <v>164</v>
      </c>
      <c r="V170" s="3" t="s">
        <v>5020</v>
      </c>
      <c r="W170" s="8" t="s">
        <v>7834</v>
      </c>
    </row>
    <row r="171" spans="1:23" x14ac:dyDescent="0.25">
      <c r="A171" s="2">
        <v>1248</v>
      </c>
      <c r="B171" s="3" t="s">
        <v>5020</v>
      </c>
      <c r="C171" s="3">
        <v>2024</v>
      </c>
      <c r="D171" s="3" t="s">
        <v>3276</v>
      </c>
      <c r="E171" s="3" t="s">
        <v>496</v>
      </c>
      <c r="F171" s="1" t="s">
        <v>7834</v>
      </c>
      <c r="G171" s="10"/>
      <c r="H171" s="10"/>
      <c r="I171" s="10"/>
      <c r="J171" s="10"/>
      <c r="K171" s="10"/>
      <c r="L171" s="3" t="s">
        <v>5168</v>
      </c>
      <c r="M171" s="3" t="s">
        <v>5169</v>
      </c>
      <c r="N171" s="3" t="s">
        <v>5023</v>
      </c>
      <c r="O171" s="3"/>
      <c r="P171" s="3"/>
      <c r="Q171" s="3"/>
      <c r="R171" s="3" t="s">
        <v>5028</v>
      </c>
      <c r="S171" s="3" t="s">
        <v>5025</v>
      </c>
      <c r="T171" s="3" t="s">
        <v>119</v>
      </c>
      <c r="U171" s="11">
        <v>165</v>
      </c>
      <c r="V171" s="3" t="s">
        <v>5020</v>
      </c>
      <c r="W171" s="8" t="s">
        <v>7834</v>
      </c>
    </row>
    <row r="172" spans="1:23" x14ac:dyDescent="0.25">
      <c r="A172" s="2">
        <v>1232</v>
      </c>
      <c r="B172" s="3" t="s">
        <v>5020</v>
      </c>
      <c r="C172" s="3">
        <v>2024</v>
      </c>
      <c r="D172" s="3" t="s">
        <v>3996</v>
      </c>
      <c r="E172" s="3" t="s">
        <v>114</v>
      </c>
      <c r="F172" s="1" t="s">
        <v>7834</v>
      </c>
      <c r="G172" s="10"/>
      <c r="H172" s="10"/>
      <c r="I172" s="10"/>
      <c r="J172" s="10"/>
      <c r="K172" s="10"/>
      <c r="L172" s="3" t="s">
        <v>5103</v>
      </c>
      <c r="M172" s="3" t="s">
        <v>5104</v>
      </c>
      <c r="N172" s="3" t="s">
        <v>5105</v>
      </c>
      <c r="O172" s="3">
        <v>22</v>
      </c>
      <c r="P172" s="3"/>
      <c r="Q172" s="3">
        <v>587</v>
      </c>
      <c r="R172" s="3"/>
      <c r="S172" s="3" t="s">
        <v>5106</v>
      </c>
      <c r="T172" s="3" t="s">
        <v>119</v>
      </c>
      <c r="U172" s="11">
        <v>166</v>
      </c>
      <c r="V172" s="3" t="s">
        <v>5020</v>
      </c>
      <c r="W172" s="8" t="s">
        <v>7834</v>
      </c>
    </row>
    <row r="173" spans="1:23" x14ac:dyDescent="0.25">
      <c r="A173" s="2">
        <v>1222</v>
      </c>
      <c r="B173" s="3" t="s">
        <v>5020</v>
      </c>
      <c r="C173" s="3">
        <v>2024</v>
      </c>
      <c r="D173" s="3" t="s">
        <v>2971</v>
      </c>
      <c r="E173" s="3" t="s">
        <v>730</v>
      </c>
      <c r="F173" s="1" t="s">
        <v>7834</v>
      </c>
      <c r="G173" s="10"/>
      <c r="H173" s="10"/>
      <c r="I173" s="10"/>
      <c r="J173" s="10"/>
      <c r="K173" s="10"/>
      <c r="L173" s="3" t="s">
        <v>5063</v>
      </c>
      <c r="M173" s="3" t="s">
        <v>5064</v>
      </c>
      <c r="N173" s="3" t="s">
        <v>5065</v>
      </c>
      <c r="O173" s="3">
        <v>33</v>
      </c>
      <c r="P173" s="3">
        <v>49</v>
      </c>
      <c r="Q173" s="3">
        <v>28</v>
      </c>
      <c r="R173" s="3" t="s">
        <v>5066</v>
      </c>
      <c r="S173" s="3" t="s">
        <v>5067</v>
      </c>
      <c r="T173" s="3" t="s">
        <v>119</v>
      </c>
      <c r="U173" s="11">
        <v>167</v>
      </c>
      <c r="V173" s="3" t="s">
        <v>5020</v>
      </c>
      <c r="W173" s="8" t="s">
        <v>7834</v>
      </c>
    </row>
    <row r="174" spans="1:23" x14ac:dyDescent="0.25">
      <c r="A174" s="2">
        <v>1260</v>
      </c>
      <c r="B174" s="3" t="s">
        <v>5020</v>
      </c>
      <c r="C174" s="3">
        <v>2024</v>
      </c>
      <c r="D174" s="3" t="s">
        <v>788</v>
      </c>
      <c r="E174" s="3" t="s">
        <v>730</v>
      </c>
      <c r="F174" s="1" t="s">
        <v>7834</v>
      </c>
      <c r="G174" s="10"/>
      <c r="H174" s="10"/>
      <c r="I174" s="10"/>
      <c r="J174" s="10">
        <v>3</v>
      </c>
      <c r="K174" s="10"/>
      <c r="L174" s="3" t="s">
        <v>5216</v>
      </c>
      <c r="M174" s="3" t="s">
        <v>5217</v>
      </c>
      <c r="N174" s="3" t="s">
        <v>5218</v>
      </c>
      <c r="O174" s="3"/>
      <c r="P174" s="3">
        <v>57</v>
      </c>
      <c r="Q174" s="3"/>
      <c r="R174" s="3" t="s">
        <v>5219</v>
      </c>
      <c r="S174" s="3" t="s">
        <v>5220</v>
      </c>
      <c r="T174" s="3" t="s">
        <v>119</v>
      </c>
      <c r="U174" s="11">
        <v>168</v>
      </c>
      <c r="V174" s="3" t="s">
        <v>5020</v>
      </c>
      <c r="W174" s="8" t="s">
        <v>7834</v>
      </c>
    </row>
    <row r="175" spans="1:23" x14ac:dyDescent="0.25">
      <c r="A175" s="2">
        <v>1236</v>
      </c>
      <c r="B175" s="3" t="s">
        <v>5020</v>
      </c>
      <c r="C175" s="3">
        <v>2024</v>
      </c>
      <c r="D175" s="3" t="s">
        <v>1793</v>
      </c>
      <c r="E175" s="3" t="s">
        <v>206</v>
      </c>
      <c r="F175" s="1" t="s">
        <v>7834</v>
      </c>
      <c r="G175" s="10"/>
      <c r="H175" s="10"/>
      <c r="I175" s="10"/>
      <c r="J175" s="10"/>
      <c r="K175" s="10"/>
      <c r="L175" s="3" t="s">
        <v>5120</v>
      </c>
      <c r="M175" s="3" t="s">
        <v>5121</v>
      </c>
      <c r="N175" s="3" t="s">
        <v>5122</v>
      </c>
      <c r="O175" s="3">
        <v>1</v>
      </c>
      <c r="P175" s="3"/>
      <c r="Q175" s="3"/>
      <c r="R175" s="5">
        <v>240811975</v>
      </c>
      <c r="S175" s="3" t="s">
        <v>1541</v>
      </c>
      <c r="T175" s="3" t="s">
        <v>119</v>
      </c>
      <c r="U175" s="11">
        <v>169</v>
      </c>
      <c r="V175" s="3" t="s">
        <v>5020</v>
      </c>
      <c r="W175" s="8" t="s">
        <v>7834</v>
      </c>
    </row>
    <row r="176" spans="1:23" x14ac:dyDescent="0.25">
      <c r="A176" s="2">
        <v>1237</v>
      </c>
      <c r="B176" s="3" t="s">
        <v>5020</v>
      </c>
      <c r="C176" s="3">
        <v>2024</v>
      </c>
      <c r="D176" s="3" t="s">
        <v>713</v>
      </c>
      <c r="E176" s="3" t="s">
        <v>206</v>
      </c>
      <c r="F176" s="1" t="s">
        <v>7834</v>
      </c>
      <c r="G176" s="10"/>
      <c r="H176" s="10"/>
      <c r="I176" s="10"/>
      <c r="J176" s="10"/>
      <c r="K176" s="10"/>
      <c r="L176" s="3" t="s">
        <v>5123</v>
      </c>
      <c r="M176" s="3" t="s">
        <v>5124</v>
      </c>
      <c r="N176" s="3" t="s">
        <v>5125</v>
      </c>
      <c r="O176" s="3">
        <v>12</v>
      </c>
      <c r="P176" s="3">
        <v>1</v>
      </c>
      <c r="Q176" s="3">
        <v>1</v>
      </c>
      <c r="R176" s="3" t="s">
        <v>5126</v>
      </c>
      <c r="S176" s="3" t="s">
        <v>5127</v>
      </c>
      <c r="T176" s="3" t="s">
        <v>119</v>
      </c>
      <c r="U176" s="11">
        <v>170</v>
      </c>
      <c r="V176" s="3" t="s">
        <v>5020</v>
      </c>
      <c r="W176" s="8" t="s">
        <v>7834</v>
      </c>
    </row>
    <row r="177" spans="1:23" x14ac:dyDescent="0.25">
      <c r="A177" s="2">
        <v>1304</v>
      </c>
      <c r="B177" s="3" t="s">
        <v>5237</v>
      </c>
      <c r="C177" s="3">
        <v>2024</v>
      </c>
      <c r="D177" s="3" t="s">
        <v>2689</v>
      </c>
      <c r="E177" s="3" t="s">
        <v>15</v>
      </c>
      <c r="F177" s="1" t="s">
        <v>7834</v>
      </c>
      <c r="G177" s="10"/>
      <c r="H177" s="10"/>
      <c r="I177" s="10"/>
      <c r="J177" s="10"/>
      <c r="K177" s="10"/>
      <c r="L177" s="3" t="s">
        <v>5395</v>
      </c>
      <c r="M177" s="3" t="s">
        <v>5396</v>
      </c>
      <c r="N177" s="3" t="s">
        <v>5397</v>
      </c>
      <c r="O177" s="3"/>
      <c r="P177" s="3"/>
      <c r="Q177" s="3"/>
      <c r="R177" s="3" t="s">
        <v>413</v>
      </c>
      <c r="S177" s="3" t="s">
        <v>5398</v>
      </c>
      <c r="T177" s="3" t="s">
        <v>119</v>
      </c>
      <c r="U177" s="11">
        <v>6</v>
      </c>
      <c r="V177" s="3" t="s">
        <v>5237</v>
      </c>
      <c r="W177" s="8" t="s">
        <v>7834</v>
      </c>
    </row>
    <row r="178" spans="1:23" x14ac:dyDescent="0.25">
      <c r="A178" s="2">
        <v>1279</v>
      </c>
      <c r="B178" s="3" t="s">
        <v>5237</v>
      </c>
      <c r="C178" s="3">
        <v>2024</v>
      </c>
      <c r="D178" s="3" t="s">
        <v>1283</v>
      </c>
      <c r="E178" s="3" t="s">
        <v>496</v>
      </c>
      <c r="F178" s="1" t="s">
        <v>7834</v>
      </c>
      <c r="G178" s="10"/>
      <c r="H178" s="10"/>
      <c r="I178" s="10"/>
      <c r="J178" s="10"/>
      <c r="K178" s="10"/>
      <c r="L178" s="3" t="s">
        <v>5296</v>
      </c>
      <c r="M178" s="3" t="s">
        <v>5297</v>
      </c>
      <c r="N178" s="3" t="s">
        <v>5298</v>
      </c>
      <c r="O178" s="3"/>
      <c r="P178" s="3"/>
      <c r="Q178" s="3">
        <v>863</v>
      </c>
      <c r="R178" s="3"/>
      <c r="S178" s="3" t="s">
        <v>5299</v>
      </c>
      <c r="T178" s="3" t="s">
        <v>119</v>
      </c>
      <c r="U178" s="11">
        <v>7</v>
      </c>
      <c r="V178" s="3" t="s">
        <v>5237</v>
      </c>
      <c r="W178" s="8" t="s">
        <v>7834</v>
      </c>
    </row>
    <row r="179" spans="1:23" x14ac:dyDescent="0.25">
      <c r="A179" s="2">
        <v>1280</v>
      </c>
      <c r="B179" s="3" t="s">
        <v>5237</v>
      </c>
      <c r="C179" s="3">
        <v>2024</v>
      </c>
      <c r="D179" s="3" t="s">
        <v>627</v>
      </c>
      <c r="E179" s="3" t="s">
        <v>496</v>
      </c>
      <c r="F179" s="1" t="s">
        <v>7834</v>
      </c>
      <c r="G179" s="10"/>
      <c r="H179" s="10"/>
      <c r="I179" s="10"/>
      <c r="J179" s="10"/>
      <c r="K179" s="10"/>
      <c r="L179" s="3" t="s">
        <v>5300</v>
      </c>
      <c r="M179" s="3" t="s">
        <v>5301</v>
      </c>
      <c r="N179" s="3" t="s">
        <v>5302</v>
      </c>
      <c r="O179" s="3"/>
      <c r="P179" s="3"/>
      <c r="Q179" s="3"/>
      <c r="R179" s="3"/>
      <c r="S179" s="3" t="s">
        <v>5303</v>
      </c>
      <c r="T179" s="3" t="s">
        <v>119</v>
      </c>
      <c r="U179" s="11">
        <v>8</v>
      </c>
      <c r="V179" s="3" t="s">
        <v>5237</v>
      </c>
      <c r="W179" s="8" t="s">
        <v>7834</v>
      </c>
    </row>
    <row r="180" spans="1:23" x14ac:dyDescent="0.25">
      <c r="A180" s="2">
        <v>1291</v>
      </c>
      <c r="B180" s="3" t="s">
        <v>5237</v>
      </c>
      <c r="C180" s="3">
        <v>2024</v>
      </c>
      <c r="D180" s="3" t="s">
        <v>2535</v>
      </c>
      <c r="E180" s="3" t="s">
        <v>496</v>
      </c>
      <c r="F180" s="1" t="s">
        <v>7834</v>
      </c>
      <c r="G180" s="10"/>
      <c r="H180" s="10"/>
      <c r="I180" s="10"/>
      <c r="J180" s="10"/>
      <c r="K180" s="10"/>
      <c r="L180" s="3" t="s">
        <v>5346</v>
      </c>
      <c r="M180" s="3" t="s">
        <v>5347</v>
      </c>
      <c r="N180" s="3" t="s">
        <v>5348</v>
      </c>
      <c r="O180" s="3"/>
      <c r="P180" s="3"/>
      <c r="Q180" s="3">
        <v>681</v>
      </c>
      <c r="R180" s="3" t="s">
        <v>5349</v>
      </c>
      <c r="S180" s="3" t="s">
        <v>5350</v>
      </c>
      <c r="T180" s="3" t="s">
        <v>119</v>
      </c>
      <c r="U180" s="11">
        <v>9</v>
      </c>
      <c r="V180" s="3" t="s">
        <v>5237</v>
      </c>
      <c r="W180" s="8" t="s">
        <v>7834</v>
      </c>
    </row>
    <row r="181" spans="1:23" x14ac:dyDescent="0.25">
      <c r="A181" s="2">
        <v>1311</v>
      </c>
      <c r="B181" s="3" t="s">
        <v>5237</v>
      </c>
      <c r="C181" s="3">
        <v>2024</v>
      </c>
      <c r="D181" s="3" t="s">
        <v>3688</v>
      </c>
      <c r="E181" s="3" t="s">
        <v>496</v>
      </c>
      <c r="F181" s="1" t="s">
        <v>7834</v>
      </c>
      <c r="G181" s="10"/>
      <c r="H181" s="10">
        <v>4</v>
      </c>
      <c r="I181" s="10"/>
      <c r="J181" s="10"/>
      <c r="K181" s="10"/>
      <c r="L181" s="3" t="s">
        <v>5415</v>
      </c>
      <c r="M181" s="3" t="s">
        <v>5416</v>
      </c>
      <c r="N181" s="3" t="s">
        <v>5417</v>
      </c>
      <c r="O181" s="3"/>
      <c r="P181" s="3"/>
      <c r="Q181" s="3"/>
      <c r="R181" s="3"/>
      <c r="S181" s="3" t="s">
        <v>5418</v>
      </c>
      <c r="T181" s="3" t="s">
        <v>119</v>
      </c>
      <c r="U181" s="11">
        <v>10</v>
      </c>
      <c r="V181" s="3" t="s">
        <v>5237</v>
      </c>
      <c r="W181" s="8" t="s">
        <v>7834</v>
      </c>
    </row>
    <row r="182" spans="1:23" x14ac:dyDescent="0.25">
      <c r="A182" s="2">
        <v>1276</v>
      </c>
      <c r="B182" s="3" t="s">
        <v>5237</v>
      </c>
      <c r="C182" s="3">
        <v>2024</v>
      </c>
      <c r="D182" s="3" t="s">
        <v>536</v>
      </c>
      <c r="E182" s="3" t="s">
        <v>114</v>
      </c>
      <c r="F182" s="1" t="s">
        <v>7834</v>
      </c>
      <c r="G182" s="10"/>
      <c r="H182" s="10"/>
      <c r="I182" s="10"/>
      <c r="J182" s="10"/>
      <c r="K182" s="10"/>
      <c r="L182" s="3" t="s">
        <v>5284</v>
      </c>
      <c r="M182" s="3" t="s">
        <v>5285</v>
      </c>
      <c r="N182" s="3" t="s">
        <v>5286</v>
      </c>
      <c r="O182" s="3"/>
      <c r="P182" s="3"/>
      <c r="Q182" s="3"/>
      <c r="R182" s="3"/>
      <c r="S182" s="3" t="s">
        <v>5287</v>
      </c>
      <c r="T182" s="3" t="s">
        <v>119</v>
      </c>
      <c r="U182" s="11">
        <v>11</v>
      </c>
      <c r="V182" s="3" t="s">
        <v>5237</v>
      </c>
      <c r="W182" s="8" t="s">
        <v>7834</v>
      </c>
    </row>
    <row r="183" spans="1:23" x14ac:dyDescent="0.25">
      <c r="A183" s="2">
        <v>1302</v>
      </c>
      <c r="B183" s="3" t="s">
        <v>5237</v>
      </c>
      <c r="C183" s="3">
        <v>2024</v>
      </c>
      <c r="D183" s="3" t="s">
        <v>1028</v>
      </c>
      <c r="E183" s="3" t="s">
        <v>114</v>
      </c>
      <c r="F183" s="1" t="s">
        <v>7834</v>
      </c>
      <c r="G183" s="10"/>
      <c r="H183" s="10"/>
      <c r="I183" s="10">
        <v>2</v>
      </c>
      <c r="J183" s="10"/>
      <c r="K183" s="10"/>
      <c r="L183" s="3" t="s">
        <v>5388</v>
      </c>
      <c r="M183" s="3" t="s">
        <v>5389</v>
      </c>
      <c r="N183" s="3" t="s">
        <v>5390</v>
      </c>
      <c r="O183" s="3"/>
      <c r="P183" s="3"/>
      <c r="Q183" s="3"/>
      <c r="R183" s="3"/>
      <c r="S183" s="3" t="s">
        <v>5391</v>
      </c>
      <c r="T183" s="3" t="s">
        <v>119</v>
      </c>
      <c r="U183" s="11">
        <v>12</v>
      </c>
      <c r="V183" s="3" t="s">
        <v>5237</v>
      </c>
      <c r="W183" s="8" t="s">
        <v>7834</v>
      </c>
    </row>
    <row r="184" spans="1:23" x14ac:dyDescent="0.25">
      <c r="A184" s="2">
        <v>1307</v>
      </c>
      <c r="B184" s="3" t="s">
        <v>5237</v>
      </c>
      <c r="C184" s="3">
        <v>2024</v>
      </c>
      <c r="D184" s="3" t="s">
        <v>807</v>
      </c>
      <c r="E184" s="3" t="s">
        <v>730</v>
      </c>
      <c r="F184" s="1" t="s">
        <v>7834</v>
      </c>
      <c r="G184" s="10"/>
      <c r="H184" s="10"/>
      <c r="I184" s="10"/>
      <c r="J184" s="10">
        <v>1</v>
      </c>
      <c r="K184" s="10"/>
      <c r="L184" s="3" t="s">
        <v>5405</v>
      </c>
      <c r="M184" s="3" t="s">
        <v>5406</v>
      </c>
      <c r="N184" s="3" t="s">
        <v>1561</v>
      </c>
      <c r="O184" s="3">
        <v>52</v>
      </c>
      <c r="P184" s="3"/>
      <c r="Q184" s="3"/>
      <c r="R184" s="3"/>
      <c r="S184" s="3" t="s">
        <v>5407</v>
      </c>
      <c r="T184" s="3" t="s">
        <v>119</v>
      </c>
      <c r="U184" s="11">
        <v>13</v>
      </c>
      <c r="V184" s="3" t="s">
        <v>5237</v>
      </c>
      <c r="W184" s="8" t="s">
        <v>7834</v>
      </c>
    </row>
    <row r="185" spans="1:23" x14ac:dyDescent="0.25">
      <c r="A185" s="2">
        <v>1374</v>
      </c>
      <c r="B185" s="3" t="s">
        <v>5596</v>
      </c>
      <c r="C185" s="3">
        <v>2024</v>
      </c>
      <c r="D185" s="3" t="s">
        <v>107</v>
      </c>
      <c r="E185" s="3" t="s">
        <v>496</v>
      </c>
      <c r="F185" s="1" t="s">
        <v>7834</v>
      </c>
      <c r="G185" s="10"/>
      <c r="H185" s="10">
        <v>1</v>
      </c>
      <c r="I185" s="10"/>
      <c r="J185" s="10"/>
      <c r="K185" s="10"/>
      <c r="L185" s="3" t="s">
        <v>5662</v>
      </c>
      <c r="M185" s="3" t="s">
        <v>5663</v>
      </c>
      <c r="N185" s="3" t="s">
        <v>5664</v>
      </c>
      <c r="O185" s="3"/>
      <c r="P185" s="3"/>
      <c r="Q185" s="3">
        <v>32</v>
      </c>
      <c r="R185" s="3"/>
      <c r="S185" s="3" t="s">
        <v>5665</v>
      </c>
      <c r="T185" s="3" t="s">
        <v>119</v>
      </c>
      <c r="U185" s="11">
        <v>14</v>
      </c>
      <c r="V185" s="3" t="s">
        <v>5596</v>
      </c>
      <c r="W185" s="8" t="s">
        <v>7834</v>
      </c>
    </row>
    <row r="186" spans="1:23" x14ac:dyDescent="0.25">
      <c r="A186" s="2">
        <v>1368</v>
      </c>
      <c r="B186" s="3" t="s">
        <v>5596</v>
      </c>
      <c r="C186" s="3">
        <v>2024</v>
      </c>
      <c r="D186" s="3" t="s">
        <v>2531</v>
      </c>
      <c r="E186" s="3" t="s">
        <v>114</v>
      </c>
      <c r="F186" s="1" t="s">
        <v>7834</v>
      </c>
      <c r="G186" s="10"/>
      <c r="H186" s="10"/>
      <c r="I186" s="10">
        <v>1</v>
      </c>
      <c r="J186" s="10"/>
      <c r="K186" s="10"/>
      <c r="L186" s="3" t="s">
        <v>5641</v>
      </c>
      <c r="M186" s="3" t="s">
        <v>5642</v>
      </c>
      <c r="N186" s="3" t="s">
        <v>5643</v>
      </c>
      <c r="O186" s="3">
        <v>174</v>
      </c>
      <c r="P186" s="3">
        <v>1</v>
      </c>
      <c r="Q186" s="3">
        <v>9</v>
      </c>
      <c r="R186" s="3" t="s">
        <v>5644</v>
      </c>
      <c r="S186" s="3" t="s">
        <v>5645</v>
      </c>
      <c r="T186" s="3" t="s">
        <v>119</v>
      </c>
      <c r="U186" s="11">
        <v>15</v>
      </c>
      <c r="V186" s="3" t="s">
        <v>5596</v>
      </c>
      <c r="W186" s="8" t="s">
        <v>7834</v>
      </c>
    </row>
    <row r="187" spans="1:23" x14ac:dyDescent="0.25">
      <c r="A187" s="2">
        <v>1386</v>
      </c>
      <c r="B187" s="3" t="s">
        <v>5671</v>
      </c>
      <c r="C187" s="3">
        <v>2024</v>
      </c>
      <c r="D187" s="3" t="s">
        <v>93</v>
      </c>
      <c r="E187" s="3" t="s">
        <v>114</v>
      </c>
      <c r="F187" s="1" t="s">
        <v>7834</v>
      </c>
      <c r="G187" s="10"/>
      <c r="H187" s="10"/>
      <c r="I187" s="10">
        <v>1</v>
      </c>
      <c r="J187" s="10"/>
      <c r="K187" s="10"/>
      <c r="L187" s="3" t="s">
        <v>5701</v>
      </c>
      <c r="M187" s="3" t="s">
        <v>5702</v>
      </c>
      <c r="N187" s="3" t="s">
        <v>5703</v>
      </c>
      <c r="O187" s="3"/>
      <c r="P187" s="3">
        <v>56</v>
      </c>
      <c r="Q187" s="3">
        <v>9</v>
      </c>
      <c r="R187" s="3" t="s">
        <v>5704</v>
      </c>
      <c r="S187" s="3" t="s">
        <v>5705</v>
      </c>
      <c r="T187" s="3" t="s">
        <v>119</v>
      </c>
      <c r="U187" s="11">
        <v>16</v>
      </c>
      <c r="V187" s="3" t="s">
        <v>5671</v>
      </c>
      <c r="W187" s="8" t="s">
        <v>7834</v>
      </c>
    </row>
    <row r="188" spans="1:23" x14ac:dyDescent="0.25">
      <c r="A188" s="2">
        <v>1399</v>
      </c>
      <c r="B188" s="3" t="s">
        <v>5716</v>
      </c>
      <c r="C188" s="3">
        <v>2024</v>
      </c>
      <c r="D188" s="3" t="s">
        <v>5095</v>
      </c>
      <c r="E188" s="3" t="s">
        <v>114</v>
      </c>
      <c r="F188" s="1" t="s">
        <v>7834</v>
      </c>
      <c r="G188" s="10"/>
      <c r="H188" s="10"/>
      <c r="I188" s="10">
        <v>1</v>
      </c>
      <c r="J188" s="10"/>
      <c r="K188" s="10"/>
      <c r="L188" s="3" t="s">
        <v>5760</v>
      </c>
      <c r="M188" s="3" t="s">
        <v>5761</v>
      </c>
      <c r="N188" s="3" t="s">
        <v>5760</v>
      </c>
      <c r="O188" s="3"/>
      <c r="P188" s="3"/>
      <c r="Q188" s="3"/>
      <c r="R188" s="3"/>
      <c r="S188" s="3" t="s">
        <v>5762</v>
      </c>
      <c r="T188" s="3" t="s">
        <v>119</v>
      </c>
      <c r="U188" s="11">
        <v>17</v>
      </c>
      <c r="V188" s="3" t="s">
        <v>5716</v>
      </c>
      <c r="W188" s="8" t="s">
        <v>7834</v>
      </c>
    </row>
    <row r="189" spans="1:23" x14ac:dyDescent="0.25">
      <c r="A189" s="2">
        <v>1415</v>
      </c>
      <c r="B189" s="3" t="s">
        <v>5763</v>
      </c>
      <c r="C189" s="3">
        <v>2024</v>
      </c>
      <c r="D189" s="3" t="s">
        <v>215</v>
      </c>
      <c r="E189" s="3" t="s">
        <v>15</v>
      </c>
      <c r="F189" s="1" t="s">
        <v>7834</v>
      </c>
      <c r="G189" s="10"/>
      <c r="H189" s="10"/>
      <c r="I189" s="10"/>
      <c r="J189" s="10"/>
      <c r="K189" s="10"/>
      <c r="L189" s="3" t="s">
        <v>5829</v>
      </c>
      <c r="M189" s="3" t="s">
        <v>5830</v>
      </c>
      <c r="N189" s="3" t="s">
        <v>5831</v>
      </c>
      <c r="O189" s="3"/>
      <c r="P189" s="3"/>
      <c r="Q189" s="3"/>
      <c r="R189" s="3" t="s">
        <v>5832</v>
      </c>
      <c r="S189" s="3" t="s">
        <v>5833</v>
      </c>
      <c r="T189" s="3" t="s">
        <v>119</v>
      </c>
      <c r="U189" s="11">
        <v>18</v>
      </c>
      <c r="V189" s="3" t="s">
        <v>5763</v>
      </c>
      <c r="W189" s="8" t="s">
        <v>7834</v>
      </c>
    </row>
    <row r="190" spans="1:23" x14ac:dyDescent="0.25">
      <c r="A190" s="2">
        <v>1402</v>
      </c>
      <c r="B190" s="3" t="s">
        <v>5763</v>
      </c>
      <c r="C190" s="3">
        <v>2024</v>
      </c>
      <c r="D190" s="3" t="s">
        <v>3660</v>
      </c>
      <c r="E190" s="3" t="s">
        <v>114</v>
      </c>
      <c r="F190" s="1" t="s">
        <v>7834</v>
      </c>
      <c r="G190" s="10"/>
      <c r="H190" s="10"/>
      <c r="I190" s="10"/>
      <c r="J190" s="10"/>
      <c r="K190" s="10"/>
      <c r="L190" s="3" t="s">
        <v>5772</v>
      </c>
      <c r="M190" s="3" t="s">
        <v>5773</v>
      </c>
      <c r="N190" s="3" t="s">
        <v>5774</v>
      </c>
      <c r="O190" s="3"/>
      <c r="P190" s="3"/>
      <c r="Q190" s="3"/>
      <c r="R190" s="3"/>
      <c r="S190" s="3" t="s">
        <v>5775</v>
      </c>
      <c r="T190" s="3" t="s">
        <v>119</v>
      </c>
      <c r="U190" s="11">
        <v>19</v>
      </c>
      <c r="V190" s="3" t="s">
        <v>5763</v>
      </c>
      <c r="W190" s="8" t="s">
        <v>7834</v>
      </c>
    </row>
    <row r="191" spans="1:23" x14ac:dyDescent="0.25">
      <c r="A191" s="2">
        <v>1403</v>
      </c>
      <c r="B191" s="3" t="s">
        <v>5763</v>
      </c>
      <c r="C191" s="3">
        <v>2024</v>
      </c>
      <c r="D191" s="3" t="s">
        <v>3636</v>
      </c>
      <c r="E191" s="3" t="s">
        <v>114</v>
      </c>
      <c r="F191" s="1" t="s">
        <v>7834</v>
      </c>
      <c r="G191" s="10"/>
      <c r="H191" s="10"/>
      <c r="I191" s="10"/>
      <c r="J191" s="10"/>
      <c r="K191" s="10"/>
      <c r="L191" s="3" t="s">
        <v>5776</v>
      </c>
      <c r="M191" s="3" t="s">
        <v>5777</v>
      </c>
      <c r="N191" s="3" t="s">
        <v>5778</v>
      </c>
      <c r="O191" s="3"/>
      <c r="P191" s="3"/>
      <c r="Q191" s="3"/>
      <c r="R191" s="3"/>
      <c r="S191" s="3" t="s">
        <v>5779</v>
      </c>
      <c r="T191" s="3" t="s">
        <v>119</v>
      </c>
      <c r="U191" s="11">
        <v>20</v>
      </c>
      <c r="V191" s="3" t="s">
        <v>5763</v>
      </c>
      <c r="W191" s="8" t="s">
        <v>7834</v>
      </c>
    </row>
    <row r="192" spans="1:23" x14ac:dyDescent="0.25">
      <c r="A192" s="2">
        <v>1408</v>
      </c>
      <c r="B192" s="3" t="s">
        <v>5763</v>
      </c>
      <c r="C192" s="3">
        <v>2024</v>
      </c>
      <c r="D192" s="3" t="s">
        <v>93</v>
      </c>
      <c r="E192" s="3" t="s">
        <v>114</v>
      </c>
      <c r="F192" s="1" t="s">
        <v>7834</v>
      </c>
      <c r="G192" s="10"/>
      <c r="H192" s="10"/>
      <c r="I192" s="10">
        <v>3</v>
      </c>
      <c r="J192" s="10"/>
      <c r="K192" s="10"/>
      <c r="L192" s="3" t="s">
        <v>5800</v>
      </c>
      <c r="M192" s="3" t="s">
        <v>5801</v>
      </c>
      <c r="N192" s="3" t="s">
        <v>5802</v>
      </c>
      <c r="O192" s="3"/>
      <c r="P192" s="3"/>
      <c r="Q192" s="3"/>
      <c r="R192" s="3"/>
      <c r="S192" s="3" t="s">
        <v>5803</v>
      </c>
      <c r="T192" s="3" t="s">
        <v>119</v>
      </c>
      <c r="U192" s="11">
        <v>21</v>
      </c>
      <c r="V192" s="3" t="s">
        <v>5763</v>
      </c>
      <c r="W192" s="8" t="s">
        <v>7834</v>
      </c>
    </row>
    <row r="193" spans="1:23" x14ac:dyDescent="0.25">
      <c r="A193" s="2">
        <v>1452</v>
      </c>
      <c r="B193" s="3" t="s">
        <v>5964</v>
      </c>
      <c r="C193" s="3">
        <v>2024</v>
      </c>
      <c r="D193" s="3" t="s">
        <v>107</v>
      </c>
      <c r="E193" s="3" t="s">
        <v>114</v>
      </c>
      <c r="F193" s="1" t="s">
        <v>7834</v>
      </c>
      <c r="G193" s="10"/>
      <c r="H193" s="10"/>
      <c r="I193" s="10">
        <v>1</v>
      </c>
      <c r="J193" s="10"/>
      <c r="K193" s="10"/>
      <c r="L193" s="3" t="s">
        <v>5970</v>
      </c>
      <c r="M193" s="3" t="s">
        <v>5971</v>
      </c>
      <c r="N193" s="3" t="s">
        <v>5972</v>
      </c>
      <c r="O193" s="3"/>
      <c r="P193" s="3">
        <v>28</v>
      </c>
      <c r="Q193" s="3">
        <v>1</v>
      </c>
      <c r="R193" s="3" t="s">
        <v>5973</v>
      </c>
      <c r="S193" s="3" t="s">
        <v>5974</v>
      </c>
      <c r="T193" s="3" t="s">
        <v>119</v>
      </c>
      <c r="U193" s="11">
        <v>22</v>
      </c>
      <c r="V193" s="3" t="s">
        <v>5964</v>
      </c>
      <c r="W193" s="8" t="s">
        <v>7834</v>
      </c>
    </row>
    <row r="194" spans="1:23" x14ac:dyDescent="0.25">
      <c r="A194" s="2">
        <v>1585</v>
      </c>
      <c r="B194" s="3" t="s">
        <v>6493</v>
      </c>
      <c r="C194" s="3">
        <v>2024</v>
      </c>
      <c r="D194" s="3" t="s">
        <v>3579</v>
      </c>
      <c r="E194" s="3" t="s">
        <v>496</v>
      </c>
      <c r="F194" s="1" t="s">
        <v>7834</v>
      </c>
      <c r="G194" s="10"/>
      <c r="H194" s="10"/>
      <c r="I194" s="10"/>
      <c r="J194" s="10"/>
      <c r="K194" s="10"/>
      <c r="L194" s="3" t="s">
        <v>6494</v>
      </c>
      <c r="M194" s="3" t="s">
        <v>4425</v>
      </c>
      <c r="N194" s="3" t="s">
        <v>4426</v>
      </c>
      <c r="O194" s="3"/>
      <c r="P194" s="3"/>
      <c r="Q194" s="3">
        <v>269</v>
      </c>
      <c r="R194" s="3" t="s">
        <v>4427</v>
      </c>
      <c r="S194" s="3" t="s">
        <v>6495</v>
      </c>
      <c r="T194" s="3" t="s">
        <v>119</v>
      </c>
      <c r="U194" s="11">
        <v>23</v>
      </c>
      <c r="V194" s="3" t="s">
        <v>6493</v>
      </c>
      <c r="W194" s="8" t="s">
        <v>7834</v>
      </c>
    </row>
    <row r="195" spans="1:23" x14ac:dyDescent="0.25">
      <c r="A195" s="2">
        <v>1587</v>
      </c>
      <c r="B195" s="3" t="s">
        <v>6493</v>
      </c>
      <c r="C195" s="3">
        <v>2024</v>
      </c>
      <c r="D195" s="3" t="s">
        <v>14</v>
      </c>
      <c r="E195" s="3" t="s">
        <v>496</v>
      </c>
      <c r="F195" s="1" t="s">
        <v>7834</v>
      </c>
      <c r="G195" s="10"/>
      <c r="H195" s="10"/>
      <c r="I195" s="10"/>
      <c r="J195" s="10"/>
      <c r="K195" s="10"/>
      <c r="L195" s="3" t="s">
        <v>6496</v>
      </c>
      <c r="M195" s="3" t="s">
        <v>4430</v>
      </c>
      <c r="N195" s="3" t="s">
        <v>4293</v>
      </c>
      <c r="O195" s="3"/>
      <c r="P195" s="3"/>
      <c r="Q195" s="3">
        <v>116</v>
      </c>
      <c r="R195" s="3" t="s">
        <v>4294</v>
      </c>
      <c r="S195" s="3" t="s">
        <v>4298</v>
      </c>
      <c r="T195" s="3" t="s">
        <v>119</v>
      </c>
      <c r="U195" s="11">
        <v>24</v>
      </c>
      <c r="V195" s="3" t="s">
        <v>6493</v>
      </c>
      <c r="W195" s="8" t="s">
        <v>7834</v>
      </c>
    </row>
    <row r="196" spans="1:23" x14ac:dyDescent="0.25">
      <c r="A196" s="2">
        <v>1592</v>
      </c>
      <c r="B196" s="3" t="s">
        <v>6493</v>
      </c>
      <c r="C196" s="3">
        <v>2024</v>
      </c>
      <c r="D196" s="3" t="s">
        <v>573</v>
      </c>
      <c r="E196" s="3" t="s">
        <v>496</v>
      </c>
      <c r="F196" s="1" t="s">
        <v>7834</v>
      </c>
      <c r="G196" s="10"/>
      <c r="H196" s="10"/>
      <c r="I196" s="10"/>
      <c r="J196" s="10"/>
      <c r="K196" s="10"/>
      <c r="L196" s="3" t="s">
        <v>6508</v>
      </c>
      <c r="M196" s="3" t="s">
        <v>6509</v>
      </c>
      <c r="N196" s="3" t="s">
        <v>6510</v>
      </c>
      <c r="O196" s="3"/>
      <c r="P196" s="3"/>
      <c r="Q196" s="3"/>
      <c r="R196" s="3">
        <v>9781032131849</v>
      </c>
      <c r="S196" s="3" t="s">
        <v>6511</v>
      </c>
      <c r="T196" s="3" t="s">
        <v>119</v>
      </c>
      <c r="U196" s="11">
        <v>25</v>
      </c>
      <c r="V196" s="3" t="s">
        <v>6493</v>
      </c>
      <c r="W196" s="8" t="s">
        <v>7834</v>
      </c>
    </row>
    <row r="197" spans="1:23" x14ac:dyDescent="0.25">
      <c r="A197" s="2">
        <v>1593</v>
      </c>
      <c r="B197" s="3" t="s">
        <v>6493</v>
      </c>
      <c r="C197" s="3">
        <v>2024</v>
      </c>
      <c r="D197" s="3" t="s">
        <v>31</v>
      </c>
      <c r="E197" s="3" t="s">
        <v>496</v>
      </c>
      <c r="F197" s="1" t="s">
        <v>7834</v>
      </c>
      <c r="G197" s="10"/>
      <c r="H197" s="10"/>
      <c r="I197" s="10"/>
      <c r="J197" s="10"/>
      <c r="K197" s="10"/>
      <c r="L197" s="3" t="s">
        <v>6512</v>
      </c>
      <c r="M197" s="3" t="s">
        <v>6513</v>
      </c>
      <c r="N197" s="3" t="s">
        <v>6514</v>
      </c>
      <c r="O197" s="3"/>
      <c r="P197" s="3"/>
      <c r="Q197" s="3"/>
      <c r="R197" s="3">
        <v>9781032316499</v>
      </c>
      <c r="S197" s="3" t="s">
        <v>6515</v>
      </c>
      <c r="T197" s="3" t="s">
        <v>119</v>
      </c>
      <c r="U197" s="11">
        <v>26</v>
      </c>
      <c r="V197" s="3" t="s">
        <v>6493</v>
      </c>
      <c r="W197" s="8" t="s">
        <v>7834</v>
      </c>
    </row>
    <row r="198" spans="1:23" x14ac:dyDescent="0.25">
      <c r="A198" s="2">
        <v>1596</v>
      </c>
      <c r="B198" s="3" t="s">
        <v>6493</v>
      </c>
      <c r="C198" s="3">
        <v>2024</v>
      </c>
      <c r="D198" s="3" t="s">
        <v>3534</v>
      </c>
      <c r="E198" s="3" t="s">
        <v>496</v>
      </c>
      <c r="F198" s="1" t="s">
        <v>7834</v>
      </c>
      <c r="G198" s="10"/>
      <c r="H198" s="10"/>
      <c r="I198" s="10"/>
      <c r="J198" s="10"/>
      <c r="K198" s="10"/>
      <c r="L198" s="3" t="s">
        <v>6527</v>
      </c>
      <c r="M198" s="3" t="s">
        <v>6528</v>
      </c>
      <c r="N198" s="3" t="s">
        <v>6529</v>
      </c>
      <c r="O198" s="3"/>
      <c r="P198" s="3"/>
      <c r="Q198" s="3"/>
      <c r="R198" s="3" t="s">
        <v>6530</v>
      </c>
      <c r="S198" s="3" t="s">
        <v>6531</v>
      </c>
      <c r="T198" s="3" t="s">
        <v>119</v>
      </c>
      <c r="U198" s="11">
        <v>27</v>
      </c>
      <c r="V198" s="3" t="s">
        <v>6493</v>
      </c>
      <c r="W198" s="8" t="s">
        <v>7834</v>
      </c>
    </row>
    <row r="199" spans="1:23" x14ac:dyDescent="0.25">
      <c r="A199" s="2">
        <v>1597</v>
      </c>
      <c r="B199" s="3" t="s">
        <v>6493</v>
      </c>
      <c r="C199" s="3">
        <v>2024</v>
      </c>
      <c r="D199" s="3" t="s">
        <v>86</v>
      </c>
      <c r="E199" s="3" t="s">
        <v>496</v>
      </c>
      <c r="F199" s="1" t="s">
        <v>7834</v>
      </c>
      <c r="G199" s="10"/>
      <c r="H199" s="10"/>
      <c r="I199" s="10"/>
      <c r="J199" s="10"/>
      <c r="K199" s="10"/>
      <c r="L199" s="3" t="s">
        <v>6532</v>
      </c>
      <c r="M199" s="3" t="s">
        <v>6533</v>
      </c>
      <c r="N199" s="3" t="s">
        <v>4181</v>
      </c>
      <c r="O199" s="3"/>
      <c r="P199" s="3"/>
      <c r="Q199" s="3"/>
      <c r="R199" s="3" t="s">
        <v>6534</v>
      </c>
      <c r="S199" s="3" t="s">
        <v>6535</v>
      </c>
      <c r="T199" s="3" t="s">
        <v>119</v>
      </c>
      <c r="U199" s="11">
        <v>28</v>
      </c>
      <c r="V199" s="3" t="s">
        <v>6493</v>
      </c>
      <c r="W199" s="8" t="s">
        <v>7834</v>
      </c>
    </row>
    <row r="200" spans="1:23" x14ac:dyDescent="0.25">
      <c r="A200" s="2">
        <v>1598</v>
      </c>
      <c r="B200" s="3" t="s">
        <v>6493</v>
      </c>
      <c r="C200" s="3">
        <v>2024</v>
      </c>
      <c r="D200" s="3" t="s">
        <v>86</v>
      </c>
      <c r="E200" s="3" t="s">
        <v>496</v>
      </c>
      <c r="F200" s="1" t="s">
        <v>7834</v>
      </c>
      <c r="G200" s="10"/>
      <c r="H200" s="10"/>
      <c r="I200" s="10"/>
      <c r="J200" s="10"/>
      <c r="K200" s="10"/>
      <c r="L200" s="3" t="s">
        <v>6536</v>
      </c>
      <c r="M200" s="3" t="s">
        <v>6537</v>
      </c>
      <c r="N200" s="3" t="s">
        <v>4181</v>
      </c>
      <c r="O200" s="3"/>
      <c r="P200" s="3"/>
      <c r="Q200" s="3"/>
      <c r="R200" s="3" t="s">
        <v>6534</v>
      </c>
      <c r="S200" s="3" t="s">
        <v>6535</v>
      </c>
      <c r="T200" s="3" t="s">
        <v>119</v>
      </c>
      <c r="U200" s="11">
        <v>29</v>
      </c>
      <c r="V200" s="3" t="s">
        <v>6493</v>
      </c>
      <c r="W200" s="8" t="s">
        <v>7834</v>
      </c>
    </row>
    <row r="201" spans="1:23" x14ac:dyDescent="0.25">
      <c r="A201" s="2">
        <v>1599</v>
      </c>
      <c r="B201" s="3" t="s">
        <v>6493</v>
      </c>
      <c r="C201" s="3">
        <v>2024</v>
      </c>
      <c r="D201" s="3" t="s">
        <v>86</v>
      </c>
      <c r="E201" s="3" t="s">
        <v>496</v>
      </c>
      <c r="F201" s="1" t="s">
        <v>7834</v>
      </c>
      <c r="G201" s="10"/>
      <c r="H201" s="10"/>
      <c r="I201" s="10"/>
      <c r="J201" s="10"/>
      <c r="K201" s="10"/>
      <c r="L201" s="3" t="s">
        <v>6538</v>
      </c>
      <c r="M201" s="3" t="s">
        <v>6539</v>
      </c>
      <c r="N201" s="3" t="s">
        <v>4181</v>
      </c>
      <c r="O201" s="3"/>
      <c r="P201" s="3"/>
      <c r="Q201" s="3"/>
      <c r="R201" s="3" t="s">
        <v>6534</v>
      </c>
      <c r="S201" s="3" t="s">
        <v>6535</v>
      </c>
      <c r="T201" s="3" t="s">
        <v>119</v>
      </c>
      <c r="U201" s="11">
        <v>30</v>
      </c>
      <c r="V201" s="3" t="s">
        <v>6493</v>
      </c>
      <c r="W201" s="8" t="s">
        <v>7834</v>
      </c>
    </row>
    <row r="202" spans="1:23" x14ac:dyDescent="0.25">
      <c r="A202" s="2">
        <v>1601</v>
      </c>
      <c r="B202" s="3" t="s">
        <v>6493</v>
      </c>
      <c r="C202" s="3">
        <v>2024</v>
      </c>
      <c r="D202" s="3" t="s">
        <v>86</v>
      </c>
      <c r="E202" s="3" t="s">
        <v>496</v>
      </c>
      <c r="F202" s="1" t="s">
        <v>7834</v>
      </c>
      <c r="G202" s="10"/>
      <c r="H202" s="10"/>
      <c r="I202" s="10"/>
      <c r="J202" s="10"/>
      <c r="K202" s="10"/>
      <c r="L202" s="3" t="s">
        <v>6543</v>
      </c>
      <c r="M202" s="3" t="s">
        <v>6544</v>
      </c>
      <c r="N202" s="3" t="s">
        <v>4181</v>
      </c>
      <c r="O202" s="3"/>
      <c r="P202" s="3"/>
      <c r="Q202" s="3"/>
      <c r="R202" s="3" t="s">
        <v>6534</v>
      </c>
      <c r="S202" s="3" t="s">
        <v>6535</v>
      </c>
      <c r="T202" s="3" t="s">
        <v>119</v>
      </c>
      <c r="U202" s="11">
        <v>31</v>
      </c>
      <c r="V202" s="3" t="s">
        <v>6493</v>
      </c>
      <c r="W202" s="8" t="s">
        <v>7834</v>
      </c>
    </row>
    <row r="203" spans="1:23" x14ac:dyDescent="0.25">
      <c r="A203" s="2">
        <v>1602</v>
      </c>
      <c r="B203" s="3" t="s">
        <v>6493</v>
      </c>
      <c r="C203" s="3">
        <v>2024</v>
      </c>
      <c r="D203" s="3" t="s">
        <v>86</v>
      </c>
      <c r="E203" s="3" t="s">
        <v>496</v>
      </c>
      <c r="F203" s="1" t="s">
        <v>7834</v>
      </c>
      <c r="G203" s="10"/>
      <c r="H203" s="10"/>
      <c r="I203" s="10"/>
      <c r="J203" s="10"/>
      <c r="K203" s="10"/>
      <c r="L203" s="3" t="s">
        <v>6545</v>
      </c>
      <c r="M203" s="3" t="s">
        <v>6546</v>
      </c>
      <c r="N203" s="3" t="s">
        <v>4181</v>
      </c>
      <c r="O203" s="3"/>
      <c r="P203" s="3"/>
      <c r="Q203" s="3"/>
      <c r="R203" s="3" t="s">
        <v>6534</v>
      </c>
      <c r="S203" s="3" t="s">
        <v>6535</v>
      </c>
      <c r="T203" s="3" t="s">
        <v>119</v>
      </c>
      <c r="U203" s="11">
        <v>32</v>
      </c>
      <c r="V203" s="3" t="s">
        <v>6493</v>
      </c>
      <c r="W203" s="8" t="s">
        <v>7834</v>
      </c>
    </row>
    <row r="204" spans="1:23" x14ac:dyDescent="0.25">
      <c r="A204" s="2">
        <v>1603</v>
      </c>
      <c r="B204" s="3" t="s">
        <v>6493</v>
      </c>
      <c r="C204" s="3">
        <v>2024</v>
      </c>
      <c r="D204" s="3" t="s">
        <v>86</v>
      </c>
      <c r="E204" s="3" t="s">
        <v>496</v>
      </c>
      <c r="F204" s="1" t="s">
        <v>7834</v>
      </c>
      <c r="G204" s="10"/>
      <c r="H204" s="10"/>
      <c r="I204" s="10"/>
      <c r="J204" s="10"/>
      <c r="K204" s="10"/>
      <c r="L204" s="3" t="s">
        <v>6547</v>
      </c>
      <c r="M204" s="3" t="s">
        <v>4178</v>
      </c>
      <c r="N204" s="3" t="s">
        <v>4181</v>
      </c>
      <c r="O204" s="3"/>
      <c r="P204" s="3"/>
      <c r="Q204" s="3"/>
      <c r="R204" s="3" t="s">
        <v>6534</v>
      </c>
      <c r="S204" s="3" t="s">
        <v>6535</v>
      </c>
      <c r="T204" s="3" t="s">
        <v>119</v>
      </c>
      <c r="U204" s="11">
        <v>33</v>
      </c>
      <c r="V204" s="3" t="s">
        <v>6493</v>
      </c>
      <c r="W204" s="8" t="s">
        <v>7834</v>
      </c>
    </row>
    <row r="205" spans="1:23" x14ac:dyDescent="0.25">
      <c r="A205" s="2">
        <v>1604</v>
      </c>
      <c r="B205" s="3" t="s">
        <v>6493</v>
      </c>
      <c r="C205" s="3">
        <v>2024</v>
      </c>
      <c r="D205" s="3" t="s">
        <v>86</v>
      </c>
      <c r="E205" s="3" t="s">
        <v>496</v>
      </c>
      <c r="F205" s="1" t="s">
        <v>7834</v>
      </c>
      <c r="G205" s="10"/>
      <c r="H205" s="10"/>
      <c r="I205" s="10"/>
      <c r="J205" s="10"/>
      <c r="K205" s="10"/>
      <c r="L205" s="3" t="s">
        <v>6548</v>
      </c>
      <c r="M205" s="3" t="s">
        <v>4168</v>
      </c>
      <c r="N205" s="3" t="s">
        <v>4181</v>
      </c>
      <c r="O205" s="3"/>
      <c r="P205" s="3"/>
      <c r="Q205" s="3"/>
      <c r="R205" s="3" t="s">
        <v>6534</v>
      </c>
      <c r="S205" s="3" t="s">
        <v>6535</v>
      </c>
      <c r="T205" s="3" t="s">
        <v>119</v>
      </c>
      <c r="U205" s="11">
        <v>34</v>
      </c>
      <c r="V205" s="3" t="s">
        <v>6493</v>
      </c>
      <c r="W205" s="8" t="s">
        <v>7834</v>
      </c>
    </row>
    <row r="206" spans="1:23" x14ac:dyDescent="0.25">
      <c r="A206" s="2">
        <v>1606</v>
      </c>
      <c r="B206" s="3" t="s">
        <v>6493</v>
      </c>
      <c r="C206" s="3">
        <v>2024</v>
      </c>
      <c r="D206" s="3" t="s">
        <v>86</v>
      </c>
      <c r="E206" s="3" t="s">
        <v>496</v>
      </c>
      <c r="F206" s="1" t="s">
        <v>7834</v>
      </c>
      <c r="G206" s="10"/>
      <c r="H206" s="10"/>
      <c r="I206" s="10"/>
      <c r="J206" s="10"/>
      <c r="K206" s="10"/>
      <c r="L206" s="3" t="s">
        <v>6552</v>
      </c>
      <c r="M206" s="3" t="s">
        <v>4180</v>
      </c>
      <c r="N206" s="3" t="s">
        <v>4181</v>
      </c>
      <c r="O206" s="3"/>
      <c r="P206" s="3"/>
      <c r="Q206" s="3"/>
      <c r="R206" s="3" t="s">
        <v>6534</v>
      </c>
      <c r="S206" s="3" t="s">
        <v>6535</v>
      </c>
      <c r="T206" s="3" t="s">
        <v>119</v>
      </c>
      <c r="U206" s="11">
        <v>35</v>
      </c>
      <c r="V206" s="3" t="s">
        <v>6493</v>
      </c>
      <c r="W206" s="8" t="s">
        <v>7834</v>
      </c>
    </row>
    <row r="207" spans="1:23" x14ac:dyDescent="0.25">
      <c r="A207" s="2">
        <v>1607</v>
      </c>
      <c r="B207" s="3" t="s">
        <v>6493</v>
      </c>
      <c r="C207" s="3">
        <v>2024</v>
      </c>
      <c r="D207" s="3" t="s">
        <v>86</v>
      </c>
      <c r="E207" s="3" t="s">
        <v>496</v>
      </c>
      <c r="F207" s="1" t="s">
        <v>7834</v>
      </c>
      <c r="G207" s="10"/>
      <c r="H207" s="10">
        <v>14</v>
      </c>
      <c r="I207" s="10"/>
      <c r="J207" s="10"/>
      <c r="K207" s="10"/>
      <c r="L207" s="3" t="s">
        <v>6553</v>
      </c>
      <c r="M207" s="3" t="s">
        <v>6554</v>
      </c>
      <c r="N207" s="3" t="s">
        <v>4181</v>
      </c>
      <c r="O207" s="3"/>
      <c r="P207" s="3"/>
      <c r="Q207" s="3"/>
      <c r="R207" s="3" t="s">
        <v>6534</v>
      </c>
      <c r="S207" s="3" t="s">
        <v>6535</v>
      </c>
      <c r="T207" s="3" t="s">
        <v>119</v>
      </c>
      <c r="U207" s="11">
        <v>36</v>
      </c>
      <c r="V207" s="3" t="s">
        <v>6493</v>
      </c>
      <c r="W207" s="8" t="s">
        <v>7834</v>
      </c>
    </row>
    <row r="208" spans="1:23" x14ac:dyDescent="0.25">
      <c r="A208" s="2">
        <v>1642</v>
      </c>
      <c r="B208" s="3" t="s">
        <v>6675</v>
      </c>
      <c r="C208" s="3">
        <v>2024</v>
      </c>
      <c r="D208" s="3" t="s">
        <v>59</v>
      </c>
      <c r="E208" s="3" t="s">
        <v>496</v>
      </c>
      <c r="F208" s="1" t="s">
        <v>7834</v>
      </c>
      <c r="G208" s="10"/>
      <c r="H208" s="10"/>
      <c r="I208" s="10"/>
      <c r="J208" s="10"/>
      <c r="K208" s="10"/>
      <c r="L208" s="3" t="s">
        <v>6686</v>
      </c>
      <c r="M208" s="3" t="s">
        <v>6687</v>
      </c>
      <c r="N208" s="3" t="s">
        <v>5089</v>
      </c>
      <c r="O208" s="3"/>
      <c r="P208" s="3"/>
      <c r="Q208" s="3"/>
      <c r="R208" s="3" t="s">
        <v>6688</v>
      </c>
      <c r="S208" s="3" t="s">
        <v>6689</v>
      </c>
      <c r="T208" s="3" t="s">
        <v>119</v>
      </c>
      <c r="U208" s="11">
        <v>37</v>
      </c>
      <c r="V208" s="3" t="s">
        <v>6675</v>
      </c>
      <c r="W208" s="8" t="s">
        <v>7834</v>
      </c>
    </row>
    <row r="209" spans="1:23" x14ac:dyDescent="0.25">
      <c r="A209" s="2">
        <v>1643</v>
      </c>
      <c r="B209" s="3" t="s">
        <v>6675</v>
      </c>
      <c r="C209" s="3">
        <v>2024</v>
      </c>
      <c r="D209" s="3" t="s">
        <v>316</v>
      </c>
      <c r="E209" s="3" t="s">
        <v>496</v>
      </c>
      <c r="F209" s="1" t="s">
        <v>7834</v>
      </c>
      <c r="G209" s="10"/>
      <c r="H209" s="10"/>
      <c r="I209" s="10"/>
      <c r="J209" s="10"/>
      <c r="K209" s="10"/>
      <c r="L209" s="3" t="s">
        <v>6690</v>
      </c>
      <c r="M209" s="3" t="s">
        <v>6691</v>
      </c>
      <c r="N209" s="3" t="s">
        <v>6692</v>
      </c>
      <c r="O209" s="3"/>
      <c r="P209" s="3"/>
      <c r="Q209" s="3"/>
      <c r="R209" s="3">
        <v>9788411835756</v>
      </c>
      <c r="S209" s="3" t="s">
        <v>6693</v>
      </c>
      <c r="T209" s="3" t="s">
        <v>119</v>
      </c>
      <c r="U209" s="11">
        <v>38</v>
      </c>
      <c r="V209" s="3" t="s">
        <v>6675</v>
      </c>
      <c r="W209" s="8" t="s">
        <v>7834</v>
      </c>
    </row>
    <row r="210" spans="1:23" x14ac:dyDescent="0.25">
      <c r="A210" s="2">
        <v>1647</v>
      </c>
      <c r="B210" s="3" t="s">
        <v>6675</v>
      </c>
      <c r="C210" s="3">
        <v>2024</v>
      </c>
      <c r="D210" s="3" t="s">
        <v>6707</v>
      </c>
      <c r="E210" s="3" t="s">
        <v>496</v>
      </c>
      <c r="F210" s="1" t="s">
        <v>7834</v>
      </c>
      <c r="G210" s="10"/>
      <c r="H210" s="10"/>
      <c r="I210" s="10"/>
      <c r="J210" s="10"/>
      <c r="K210" s="10"/>
      <c r="L210" s="3" t="s">
        <v>6708</v>
      </c>
      <c r="M210" s="3" t="s">
        <v>6709</v>
      </c>
      <c r="N210" s="3" t="s">
        <v>6710</v>
      </c>
      <c r="O210" s="3"/>
      <c r="P210" s="3"/>
      <c r="Q210" s="3"/>
      <c r="R210" s="3">
        <v>8410066645</v>
      </c>
      <c r="S210" s="3" t="s">
        <v>6711</v>
      </c>
      <c r="T210" s="3" t="s">
        <v>119</v>
      </c>
      <c r="U210" s="11">
        <v>39</v>
      </c>
      <c r="V210" s="3" t="s">
        <v>6675</v>
      </c>
      <c r="W210" s="8" t="s">
        <v>7834</v>
      </c>
    </row>
    <row r="211" spans="1:23" x14ac:dyDescent="0.25">
      <c r="A211" s="2">
        <v>1650</v>
      </c>
      <c r="B211" s="3" t="s">
        <v>6675</v>
      </c>
      <c r="C211" s="3">
        <v>2024</v>
      </c>
      <c r="D211" s="3" t="s">
        <v>3045</v>
      </c>
      <c r="E211" s="3" t="s">
        <v>496</v>
      </c>
      <c r="F211" s="1" t="s">
        <v>7834</v>
      </c>
      <c r="G211" s="10"/>
      <c r="H211" s="10">
        <v>4</v>
      </c>
      <c r="I211" s="10"/>
      <c r="J211" s="10"/>
      <c r="K211" s="10"/>
      <c r="L211" s="3" t="s">
        <v>6718</v>
      </c>
      <c r="M211" s="3" t="s">
        <v>6719</v>
      </c>
      <c r="N211" s="3" t="s">
        <v>6720</v>
      </c>
      <c r="O211" s="3"/>
      <c r="P211" s="3"/>
      <c r="Q211" s="3"/>
      <c r="R211" s="3" t="s">
        <v>6721</v>
      </c>
      <c r="S211" s="3" t="s">
        <v>6722</v>
      </c>
      <c r="T211" s="3" t="s">
        <v>119</v>
      </c>
      <c r="U211" s="11">
        <v>40</v>
      </c>
      <c r="V211" s="3" t="s">
        <v>6675</v>
      </c>
      <c r="W211" s="8" t="s">
        <v>7834</v>
      </c>
    </row>
    <row r="212" spans="1:23" x14ac:dyDescent="0.25">
      <c r="A212" s="2">
        <v>1653</v>
      </c>
      <c r="B212" s="3" t="s">
        <v>6675</v>
      </c>
      <c r="C212" s="3">
        <v>2024</v>
      </c>
      <c r="D212" s="3" t="s">
        <v>59</v>
      </c>
      <c r="E212" s="3" t="s">
        <v>114</v>
      </c>
      <c r="F212" s="1" t="s">
        <v>7834</v>
      </c>
      <c r="G212" s="10"/>
      <c r="H212" s="10"/>
      <c r="I212" s="10">
        <v>1</v>
      </c>
      <c r="J212" s="10"/>
      <c r="K212" s="10"/>
      <c r="L212" s="3" t="s">
        <v>6730</v>
      </c>
      <c r="M212" s="3" t="s">
        <v>6731</v>
      </c>
      <c r="N212" s="3" t="s">
        <v>6732</v>
      </c>
      <c r="O212" s="3">
        <v>15</v>
      </c>
      <c r="P212" s="3">
        <v>4</v>
      </c>
      <c r="Q212" s="3">
        <v>449</v>
      </c>
      <c r="R212" s="3"/>
      <c r="S212" s="3" t="s">
        <v>6733</v>
      </c>
      <c r="T212" s="3" t="s">
        <v>119</v>
      </c>
      <c r="U212" s="11">
        <v>41</v>
      </c>
      <c r="V212" s="3" t="s">
        <v>6675</v>
      </c>
      <c r="W212" s="8" t="s">
        <v>7834</v>
      </c>
    </row>
    <row r="213" spans="1:23" x14ac:dyDescent="0.25">
      <c r="A213" s="2">
        <v>1659</v>
      </c>
      <c r="B213" s="3" t="s">
        <v>7853</v>
      </c>
      <c r="C213" s="3">
        <v>2024</v>
      </c>
      <c r="D213" s="3" t="s">
        <v>785</v>
      </c>
      <c r="E213" s="3" t="s">
        <v>496</v>
      </c>
      <c r="F213" s="1" t="s">
        <v>7834</v>
      </c>
      <c r="G213" s="10"/>
      <c r="H213" s="10"/>
      <c r="I213" s="10"/>
      <c r="J213" s="10"/>
      <c r="K213" s="10"/>
      <c r="L213" s="3" t="s">
        <v>7854</v>
      </c>
      <c r="M213" s="3" t="s">
        <v>7855</v>
      </c>
      <c r="N213" s="3" t="s">
        <v>7856</v>
      </c>
      <c r="O213" s="3"/>
      <c r="P213" s="3"/>
      <c r="Q213" s="3"/>
      <c r="R213" s="3">
        <v>1</v>
      </c>
      <c r="S213" s="3" t="s">
        <v>7857</v>
      </c>
      <c r="T213" s="3" t="s">
        <v>119</v>
      </c>
      <c r="U213" s="11">
        <v>42</v>
      </c>
      <c r="V213" s="3" t="s">
        <v>7853</v>
      </c>
      <c r="W213" s="8" t="s">
        <v>7834</v>
      </c>
    </row>
    <row r="214" spans="1:23" x14ac:dyDescent="0.25">
      <c r="A214" s="2">
        <v>1660</v>
      </c>
      <c r="B214" s="3" t="s">
        <v>7853</v>
      </c>
      <c r="C214" s="3">
        <v>2024</v>
      </c>
      <c r="D214" s="3" t="s">
        <v>100</v>
      </c>
      <c r="E214" s="3" t="s">
        <v>496</v>
      </c>
      <c r="F214" s="1" t="s">
        <v>7834</v>
      </c>
      <c r="G214" s="10"/>
      <c r="H214" s="10">
        <v>2</v>
      </c>
      <c r="I214" s="10"/>
      <c r="J214" s="10"/>
      <c r="K214" s="10"/>
      <c r="L214" s="3" t="s">
        <v>7858</v>
      </c>
      <c r="M214" s="3" t="s">
        <v>7859</v>
      </c>
      <c r="N214" s="3" t="s">
        <v>7860</v>
      </c>
      <c r="O214" s="3"/>
      <c r="P214" s="3"/>
      <c r="Q214" s="3"/>
      <c r="R214" s="3" t="s">
        <v>7861</v>
      </c>
      <c r="S214" s="3" t="s">
        <v>7862</v>
      </c>
      <c r="T214" s="3" t="s">
        <v>119</v>
      </c>
      <c r="U214" s="11">
        <v>43</v>
      </c>
      <c r="V214" s="3" t="s">
        <v>7853</v>
      </c>
      <c r="W214" s="8" t="s">
        <v>7834</v>
      </c>
    </row>
    <row r="215" spans="1:23" x14ac:dyDescent="0.25">
      <c r="A215" s="2">
        <v>1705</v>
      </c>
      <c r="B215" s="3" t="s">
        <v>7950</v>
      </c>
      <c r="C215" s="3">
        <v>2024</v>
      </c>
      <c r="D215" s="3" t="s">
        <v>31</v>
      </c>
      <c r="E215" s="3" t="s">
        <v>114</v>
      </c>
      <c r="F215" s="1" t="s">
        <v>7834</v>
      </c>
      <c r="G215" s="10"/>
      <c r="H215" s="10"/>
      <c r="I215" s="10"/>
      <c r="J215" s="10"/>
      <c r="K215" s="10"/>
      <c r="L215" s="3" t="s">
        <v>8018</v>
      </c>
      <c r="M215" s="3" t="s">
        <v>7987</v>
      </c>
      <c r="N215" s="3" t="s">
        <v>8019</v>
      </c>
      <c r="O215" s="3">
        <v>3</v>
      </c>
      <c r="P215" s="3">
        <v>0</v>
      </c>
      <c r="Q215" s="3">
        <v>0</v>
      </c>
      <c r="R215" s="3" t="s">
        <v>8020</v>
      </c>
      <c r="S215" s="3" t="s">
        <v>8021</v>
      </c>
      <c r="T215" s="3" t="s">
        <v>119</v>
      </c>
      <c r="U215" s="11">
        <v>44</v>
      </c>
      <c r="V215" s="3" t="s">
        <v>7950</v>
      </c>
      <c r="W215" s="8" t="s">
        <v>7834</v>
      </c>
    </row>
    <row r="216" spans="1:23" x14ac:dyDescent="0.25">
      <c r="A216" s="2">
        <v>1706</v>
      </c>
      <c r="B216" s="3" t="s">
        <v>7950</v>
      </c>
      <c r="C216" s="3">
        <v>2024</v>
      </c>
      <c r="D216" s="3" t="s">
        <v>530</v>
      </c>
      <c r="E216" s="3" t="s">
        <v>730</v>
      </c>
      <c r="F216" s="1" t="s">
        <v>7834</v>
      </c>
      <c r="G216" s="10"/>
      <c r="H216" s="10"/>
      <c r="I216" s="10"/>
      <c r="J216" s="10">
        <v>2</v>
      </c>
      <c r="K216" s="10"/>
      <c r="L216" s="3" t="s">
        <v>8022</v>
      </c>
      <c r="M216" s="3" t="s">
        <v>8023</v>
      </c>
      <c r="N216" s="3" t="s">
        <v>8002</v>
      </c>
      <c r="O216" s="3"/>
      <c r="P216" s="3"/>
      <c r="Q216" s="3"/>
      <c r="R216" s="3"/>
      <c r="S216" s="3" t="s">
        <v>8003</v>
      </c>
      <c r="T216" s="3" t="s">
        <v>119</v>
      </c>
      <c r="U216" s="11">
        <v>45</v>
      </c>
      <c r="V216" s="3" t="s">
        <v>7950</v>
      </c>
      <c r="W216" s="8" t="s">
        <v>7834</v>
      </c>
    </row>
    <row r="217" spans="1:23" x14ac:dyDescent="0.25">
      <c r="A217" s="2">
        <v>1712</v>
      </c>
      <c r="B217" s="3" t="s">
        <v>6738</v>
      </c>
      <c r="C217" s="3">
        <v>2024</v>
      </c>
      <c r="D217" s="3" t="s">
        <v>14</v>
      </c>
      <c r="E217" s="3" t="s">
        <v>496</v>
      </c>
      <c r="F217" s="1" t="s">
        <v>7834</v>
      </c>
      <c r="G217" s="10"/>
      <c r="H217" s="10"/>
      <c r="I217" s="10"/>
      <c r="J217" s="10"/>
      <c r="K217" s="10"/>
      <c r="L217" s="3" t="s">
        <v>8047</v>
      </c>
      <c r="M217" s="3" t="s">
        <v>8048</v>
      </c>
      <c r="N217" s="3" t="s">
        <v>8049</v>
      </c>
      <c r="O217" s="3"/>
      <c r="P217" s="3"/>
      <c r="Q217" s="3" t="s">
        <v>8050</v>
      </c>
      <c r="R217" s="3" t="s">
        <v>8051</v>
      </c>
      <c r="S217" s="3" t="s">
        <v>8052</v>
      </c>
      <c r="T217" s="3" t="s">
        <v>119</v>
      </c>
      <c r="U217" s="11">
        <v>46</v>
      </c>
      <c r="V217" s="3" t="s">
        <v>6738</v>
      </c>
      <c r="W217" s="8" t="s">
        <v>7834</v>
      </c>
    </row>
    <row r="218" spans="1:23" x14ac:dyDescent="0.25">
      <c r="A218" s="2">
        <v>1716</v>
      </c>
      <c r="B218" s="3" t="s">
        <v>6738</v>
      </c>
      <c r="C218" s="3">
        <v>2024</v>
      </c>
      <c r="D218" s="3" t="s">
        <v>14</v>
      </c>
      <c r="E218" s="3" t="s">
        <v>496</v>
      </c>
      <c r="F218" s="1" t="s">
        <v>7834</v>
      </c>
      <c r="G218" s="10"/>
      <c r="H218" s="10"/>
      <c r="I218" s="10"/>
      <c r="J218" s="10"/>
      <c r="K218" s="10"/>
      <c r="L218" s="3" t="s">
        <v>8067</v>
      </c>
      <c r="M218" s="3" t="s">
        <v>8068</v>
      </c>
      <c r="N218" s="3" t="s">
        <v>8069</v>
      </c>
      <c r="O218" s="3"/>
      <c r="P218" s="3"/>
      <c r="Q218" s="3" t="s">
        <v>8070</v>
      </c>
      <c r="R218" s="3" t="s">
        <v>8071</v>
      </c>
      <c r="S218" s="3" t="s">
        <v>8072</v>
      </c>
      <c r="T218" s="3" t="s">
        <v>119</v>
      </c>
      <c r="U218" s="11">
        <v>47</v>
      </c>
      <c r="V218" s="3" t="s">
        <v>6738</v>
      </c>
      <c r="W218" s="8" t="s">
        <v>7834</v>
      </c>
    </row>
    <row r="219" spans="1:23" x14ac:dyDescent="0.25">
      <c r="A219" s="2">
        <v>1717</v>
      </c>
      <c r="B219" s="3" t="s">
        <v>6738</v>
      </c>
      <c r="C219" s="3">
        <v>2024</v>
      </c>
      <c r="D219" s="3" t="s">
        <v>871</v>
      </c>
      <c r="E219" s="3" t="s">
        <v>496</v>
      </c>
      <c r="F219" s="1" t="s">
        <v>7834</v>
      </c>
      <c r="G219" s="10"/>
      <c r="H219" s="10"/>
      <c r="I219" s="10"/>
      <c r="J219" s="10"/>
      <c r="K219" s="10"/>
      <c r="L219" s="3" t="s">
        <v>8073</v>
      </c>
      <c r="M219" s="3" t="s">
        <v>8074</v>
      </c>
      <c r="N219" s="3" t="s">
        <v>8075</v>
      </c>
      <c r="O219" s="3"/>
      <c r="P219" s="3"/>
      <c r="Q219" s="3"/>
      <c r="R219" s="3" t="s">
        <v>8051</v>
      </c>
      <c r="S219" s="3" t="s">
        <v>8072</v>
      </c>
      <c r="T219" s="3" t="s">
        <v>119</v>
      </c>
      <c r="U219" s="11">
        <v>48</v>
      </c>
      <c r="V219" s="3" t="s">
        <v>6738</v>
      </c>
      <c r="W219" s="8" t="s">
        <v>7834</v>
      </c>
    </row>
    <row r="220" spans="1:23" x14ac:dyDescent="0.25">
      <c r="A220" s="2">
        <v>1718</v>
      </c>
      <c r="B220" s="3" t="s">
        <v>6738</v>
      </c>
      <c r="C220" s="3">
        <v>2024</v>
      </c>
      <c r="D220" s="3" t="s">
        <v>14</v>
      </c>
      <c r="E220" s="3" t="s">
        <v>496</v>
      </c>
      <c r="F220" s="1" t="s">
        <v>7834</v>
      </c>
      <c r="G220" s="10"/>
      <c r="H220" s="10"/>
      <c r="I220" s="10"/>
      <c r="J220" s="10"/>
      <c r="K220" s="10"/>
      <c r="L220" s="3" t="s">
        <v>8076</v>
      </c>
      <c r="M220" s="3" t="s">
        <v>8077</v>
      </c>
      <c r="N220" s="3" t="s">
        <v>7879</v>
      </c>
      <c r="O220" s="3"/>
      <c r="P220" s="3"/>
      <c r="Q220" s="3"/>
      <c r="R220" s="3">
        <v>9781009427432</v>
      </c>
      <c r="S220" s="3" t="s">
        <v>8078</v>
      </c>
      <c r="T220" s="3" t="s">
        <v>119</v>
      </c>
      <c r="U220" s="11">
        <v>49</v>
      </c>
      <c r="V220" s="3" t="s">
        <v>6738</v>
      </c>
      <c r="W220" s="8" t="s">
        <v>7834</v>
      </c>
    </row>
    <row r="221" spans="1:23" x14ac:dyDescent="0.25">
      <c r="A221" s="2">
        <v>1719</v>
      </c>
      <c r="B221" s="3" t="s">
        <v>6738</v>
      </c>
      <c r="C221" s="3">
        <v>2024</v>
      </c>
      <c r="D221" s="3" t="s">
        <v>14</v>
      </c>
      <c r="E221" s="3" t="s">
        <v>496</v>
      </c>
      <c r="F221" s="1" t="s">
        <v>7834</v>
      </c>
      <c r="G221" s="10"/>
      <c r="H221" s="10"/>
      <c r="I221" s="10"/>
      <c r="J221" s="10"/>
      <c r="K221" s="10"/>
      <c r="L221" s="3" t="s">
        <v>8079</v>
      </c>
      <c r="M221" s="3" t="s">
        <v>8080</v>
      </c>
      <c r="N221" s="3" t="s">
        <v>8081</v>
      </c>
      <c r="O221" s="3"/>
      <c r="P221" s="3"/>
      <c r="Q221" s="3"/>
      <c r="R221" s="3">
        <v>9798216339144</v>
      </c>
      <c r="S221" s="3" t="s">
        <v>8052</v>
      </c>
      <c r="T221" s="3" t="s">
        <v>119</v>
      </c>
      <c r="U221" s="11">
        <v>50</v>
      </c>
      <c r="V221" s="3" t="s">
        <v>6738</v>
      </c>
      <c r="W221" s="8" t="s">
        <v>7834</v>
      </c>
    </row>
    <row r="222" spans="1:23" x14ac:dyDescent="0.25">
      <c r="A222" s="2">
        <v>1721</v>
      </c>
      <c r="B222" s="3" t="s">
        <v>6738</v>
      </c>
      <c r="C222" s="3">
        <v>2024</v>
      </c>
      <c r="D222" s="3" t="s">
        <v>14</v>
      </c>
      <c r="E222" s="3" t="s">
        <v>496</v>
      </c>
      <c r="F222" s="1" t="s">
        <v>7834</v>
      </c>
      <c r="G222" s="10"/>
      <c r="H222" s="10"/>
      <c r="I222" s="10"/>
      <c r="J222" s="10"/>
      <c r="K222" s="10"/>
      <c r="L222" s="3" t="s">
        <v>8085</v>
      </c>
      <c r="M222" s="3" t="s">
        <v>8086</v>
      </c>
      <c r="N222" s="3" t="s">
        <v>8087</v>
      </c>
      <c r="O222" s="3"/>
      <c r="P222" s="3"/>
      <c r="Q222" s="3" t="s">
        <v>8088</v>
      </c>
      <c r="R222" s="3">
        <v>9788411836081</v>
      </c>
      <c r="S222" s="3" t="s">
        <v>8072</v>
      </c>
      <c r="T222" s="3" t="s">
        <v>119</v>
      </c>
      <c r="U222" s="11">
        <v>51</v>
      </c>
      <c r="V222" s="3" t="s">
        <v>6738</v>
      </c>
      <c r="W222" s="8" t="s">
        <v>7834</v>
      </c>
    </row>
    <row r="223" spans="1:23" x14ac:dyDescent="0.25">
      <c r="A223" s="2">
        <v>1722</v>
      </c>
      <c r="B223" s="3" t="s">
        <v>6738</v>
      </c>
      <c r="C223" s="3">
        <v>2024</v>
      </c>
      <c r="D223" s="3" t="s">
        <v>14</v>
      </c>
      <c r="E223" s="3" t="s">
        <v>496</v>
      </c>
      <c r="F223" s="1" t="s">
        <v>7834</v>
      </c>
      <c r="G223" s="10"/>
      <c r="H223" s="10"/>
      <c r="I223" s="10"/>
      <c r="J223" s="10"/>
      <c r="K223" s="10"/>
      <c r="L223" s="3" t="s">
        <v>8089</v>
      </c>
      <c r="M223" s="3" t="s">
        <v>8090</v>
      </c>
      <c r="N223" s="3" t="s">
        <v>5077</v>
      </c>
      <c r="O223" s="3"/>
      <c r="P223" s="3"/>
      <c r="Q223" s="3"/>
      <c r="R223" s="3">
        <v>9781003388937</v>
      </c>
      <c r="S223" s="3" t="s">
        <v>1307</v>
      </c>
      <c r="T223" s="3" t="s">
        <v>119</v>
      </c>
      <c r="U223" s="11">
        <v>52</v>
      </c>
      <c r="V223" s="3" t="s">
        <v>6738</v>
      </c>
      <c r="W223" s="8" t="s">
        <v>7834</v>
      </c>
    </row>
    <row r="224" spans="1:23" x14ac:dyDescent="0.25">
      <c r="A224" s="2">
        <v>1723</v>
      </c>
      <c r="B224" s="3" t="s">
        <v>6738</v>
      </c>
      <c r="C224" s="3">
        <v>2024</v>
      </c>
      <c r="D224" s="3" t="s">
        <v>14</v>
      </c>
      <c r="E224" s="3" t="s">
        <v>496</v>
      </c>
      <c r="F224" s="1" t="s">
        <v>7834</v>
      </c>
      <c r="G224" s="10"/>
      <c r="H224" s="10"/>
      <c r="I224" s="10"/>
      <c r="J224" s="10"/>
      <c r="K224" s="10"/>
      <c r="L224" s="3" t="s">
        <v>8091</v>
      </c>
      <c r="M224" s="3" t="s">
        <v>8092</v>
      </c>
      <c r="N224" s="3" t="s">
        <v>5077</v>
      </c>
      <c r="O224" s="3"/>
      <c r="P224" s="3"/>
      <c r="Q224" s="3"/>
      <c r="R224" s="3">
        <v>9781003256878</v>
      </c>
      <c r="S224" s="3" t="s">
        <v>8093</v>
      </c>
      <c r="T224" s="3" t="s">
        <v>119</v>
      </c>
      <c r="U224" s="11">
        <v>53</v>
      </c>
      <c r="V224" s="3" t="s">
        <v>6738</v>
      </c>
      <c r="W224" s="8" t="s">
        <v>7834</v>
      </c>
    </row>
    <row r="225" spans="1:23" x14ac:dyDescent="0.25">
      <c r="A225" s="2">
        <v>1724</v>
      </c>
      <c r="B225" s="3" t="s">
        <v>6738</v>
      </c>
      <c r="C225" s="3">
        <v>2024</v>
      </c>
      <c r="D225" s="3" t="s">
        <v>8094</v>
      </c>
      <c r="E225" s="3" t="s">
        <v>496</v>
      </c>
      <c r="F225" s="1" t="s">
        <v>7834</v>
      </c>
      <c r="G225" s="10"/>
      <c r="H225" s="10">
        <v>9</v>
      </c>
      <c r="I225" s="10"/>
      <c r="J225" s="10"/>
      <c r="K225" s="10"/>
      <c r="L225" s="3" t="s">
        <v>8095</v>
      </c>
      <c r="M225" s="3" t="s">
        <v>8096</v>
      </c>
      <c r="N225" s="3" t="s">
        <v>8097</v>
      </c>
      <c r="O225" s="3"/>
      <c r="P225" s="3"/>
      <c r="Q225" s="3" t="s">
        <v>8098</v>
      </c>
      <c r="R225" s="3" t="s">
        <v>8099</v>
      </c>
      <c r="S225" s="3" t="s">
        <v>8100</v>
      </c>
      <c r="T225" s="3" t="s">
        <v>119</v>
      </c>
      <c r="U225" s="11">
        <v>54</v>
      </c>
      <c r="V225" s="3" t="s">
        <v>6738</v>
      </c>
      <c r="W225" s="8" t="s">
        <v>7834</v>
      </c>
    </row>
    <row r="226" spans="1:23" x14ac:dyDescent="0.25">
      <c r="A226" s="2">
        <v>1741</v>
      </c>
      <c r="B226" s="3" t="s">
        <v>6738</v>
      </c>
      <c r="C226" s="3">
        <v>2024</v>
      </c>
      <c r="D226" s="3" t="s">
        <v>1113</v>
      </c>
      <c r="E226" s="3" t="s">
        <v>114</v>
      </c>
      <c r="F226" s="1" t="s">
        <v>7834</v>
      </c>
      <c r="G226" s="10"/>
      <c r="H226" s="10"/>
      <c r="I226" s="10"/>
      <c r="J226" s="10"/>
      <c r="K226" s="10"/>
      <c r="L226" s="3" t="s">
        <v>6751</v>
      </c>
      <c r="M226" s="3" t="s">
        <v>6752</v>
      </c>
      <c r="N226" s="3" t="s">
        <v>6753</v>
      </c>
      <c r="O226" s="3">
        <v>13</v>
      </c>
      <c r="P226" s="3"/>
      <c r="Q226" s="4">
        <v>11324</v>
      </c>
      <c r="R226" s="3" t="s">
        <v>6754</v>
      </c>
      <c r="S226" s="3" t="s">
        <v>6755</v>
      </c>
      <c r="T226" s="3" t="s">
        <v>119</v>
      </c>
      <c r="U226" s="11">
        <v>55</v>
      </c>
      <c r="V226" s="3" t="s">
        <v>6738</v>
      </c>
      <c r="W226" s="8" t="s">
        <v>7834</v>
      </c>
    </row>
    <row r="227" spans="1:23" x14ac:dyDescent="0.25">
      <c r="A227" s="2">
        <v>1750</v>
      </c>
      <c r="B227" s="3" t="s">
        <v>6738</v>
      </c>
      <c r="C227" s="3">
        <v>2024</v>
      </c>
      <c r="D227" s="3" t="s">
        <v>788</v>
      </c>
      <c r="E227" s="3" t="s">
        <v>114</v>
      </c>
      <c r="F227" s="1" t="s">
        <v>7834</v>
      </c>
      <c r="G227" s="10"/>
      <c r="H227" s="10"/>
      <c r="I227" s="10">
        <v>2</v>
      </c>
      <c r="J227" s="10"/>
      <c r="K227" s="10"/>
      <c r="L227" s="3" t="s">
        <v>6800</v>
      </c>
      <c r="M227" s="3" t="s">
        <v>6801</v>
      </c>
      <c r="N227" s="3" t="s">
        <v>5643</v>
      </c>
      <c r="O227" s="3"/>
      <c r="P227" s="3">
        <v>175</v>
      </c>
      <c r="Q227" s="4">
        <v>13394</v>
      </c>
      <c r="R227" s="3" t="s">
        <v>5644</v>
      </c>
      <c r="S227" s="3" t="s">
        <v>6802</v>
      </c>
      <c r="T227" s="3" t="s">
        <v>119</v>
      </c>
      <c r="U227" s="11">
        <v>56</v>
      </c>
      <c r="V227" s="3" t="s">
        <v>6738</v>
      </c>
      <c r="W227" s="8" t="s">
        <v>7834</v>
      </c>
    </row>
    <row r="228" spans="1:23" x14ac:dyDescent="0.25">
      <c r="A228" s="2">
        <v>1726</v>
      </c>
      <c r="B228" s="3" t="s">
        <v>6738</v>
      </c>
      <c r="C228" s="3">
        <v>2024</v>
      </c>
      <c r="D228" s="3" t="s">
        <v>1757</v>
      </c>
      <c r="E228" s="3" t="s">
        <v>730</v>
      </c>
      <c r="F228" s="1" t="s">
        <v>7834</v>
      </c>
      <c r="G228" s="10"/>
      <c r="H228" s="10"/>
      <c r="I228" s="10"/>
      <c r="J228" s="10"/>
      <c r="K228" s="10"/>
      <c r="L228" s="3" t="s">
        <v>8104</v>
      </c>
      <c r="M228" s="3" t="s">
        <v>8105</v>
      </c>
      <c r="N228" s="3" t="s">
        <v>8106</v>
      </c>
      <c r="O228" s="3"/>
      <c r="P228" s="3"/>
      <c r="Q228" s="3"/>
      <c r="R228" s="3"/>
      <c r="S228" s="3" t="s">
        <v>8084</v>
      </c>
      <c r="T228" s="3" t="s">
        <v>119</v>
      </c>
      <c r="U228" s="11">
        <v>57</v>
      </c>
      <c r="V228" s="3" t="s">
        <v>6738</v>
      </c>
      <c r="W228" s="8" t="s">
        <v>7834</v>
      </c>
    </row>
    <row r="229" spans="1:23" x14ac:dyDescent="0.25">
      <c r="A229" s="2">
        <v>1729</v>
      </c>
      <c r="B229" s="3" t="s">
        <v>6738</v>
      </c>
      <c r="C229" s="3">
        <v>2024</v>
      </c>
      <c r="D229" s="3" t="s">
        <v>871</v>
      </c>
      <c r="E229" s="3" t="s">
        <v>730</v>
      </c>
      <c r="F229" s="1" t="s">
        <v>7834</v>
      </c>
      <c r="G229" s="10"/>
      <c r="H229" s="10"/>
      <c r="I229" s="10"/>
      <c r="J229" s="10">
        <v>2</v>
      </c>
      <c r="K229" s="10"/>
      <c r="L229" s="3" t="s">
        <v>8115</v>
      </c>
      <c r="M229" s="3" t="s">
        <v>8116</v>
      </c>
      <c r="N229" s="3" t="s">
        <v>8117</v>
      </c>
      <c r="O229" s="3"/>
      <c r="P229" s="3"/>
      <c r="Q229" s="3"/>
      <c r="R229" s="3"/>
      <c r="S229" s="3" t="s">
        <v>8118</v>
      </c>
      <c r="T229" s="3" t="s">
        <v>119</v>
      </c>
      <c r="U229" s="11">
        <v>58</v>
      </c>
      <c r="V229" s="3" t="s">
        <v>6738</v>
      </c>
      <c r="W229" s="8" t="s">
        <v>7834</v>
      </c>
    </row>
    <row r="230" spans="1:23" x14ac:dyDescent="0.25">
      <c r="A230" s="2">
        <v>1730</v>
      </c>
      <c r="B230" s="3" t="s">
        <v>6738</v>
      </c>
      <c r="C230" s="3">
        <v>2024</v>
      </c>
      <c r="D230" s="3" t="s">
        <v>2844</v>
      </c>
      <c r="E230" s="3" t="s">
        <v>206</v>
      </c>
      <c r="F230" s="1" t="s">
        <v>7834</v>
      </c>
      <c r="G230" s="10"/>
      <c r="H230" s="10"/>
      <c r="I230" s="10"/>
      <c r="J230" s="10"/>
      <c r="K230" s="10"/>
      <c r="L230" s="3" t="s">
        <v>8119</v>
      </c>
      <c r="M230" s="3" t="s">
        <v>8120</v>
      </c>
      <c r="N230" s="3" t="s">
        <v>8121</v>
      </c>
      <c r="O230" s="3"/>
      <c r="P230" s="3"/>
      <c r="Q230" s="3"/>
      <c r="R230" s="3"/>
      <c r="S230" s="3" t="s">
        <v>8122</v>
      </c>
      <c r="T230" s="3" t="s">
        <v>119</v>
      </c>
      <c r="U230" s="11">
        <v>59</v>
      </c>
      <c r="V230" s="3" t="s">
        <v>6738</v>
      </c>
      <c r="W230" s="8" t="s">
        <v>7834</v>
      </c>
    </row>
    <row r="231" spans="1:23" x14ac:dyDescent="0.25">
      <c r="A231" s="2">
        <v>1734</v>
      </c>
      <c r="B231" s="3" t="s">
        <v>6738</v>
      </c>
      <c r="C231" s="3">
        <v>2024</v>
      </c>
      <c r="D231" s="3" t="s">
        <v>2907</v>
      </c>
      <c r="E231" s="3" t="s">
        <v>206</v>
      </c>
      <c r="F231" s="1" t="s">
        <v>7834</v>
      </c>
      <c r="G231" s="10"/>
      <c r="H231" s="10"/>
      <c r="I231" s="10"/>
      <c r="J231" s="10"/>
      <c r="K231" s="10"/>
      <c r="L231" s="3" t="s">
        <v>8137</v>
      </c>
      <c r="M231" s="3" t="s">
        <v>8138</v>
      </c>
      <c r="N231" s="3" t="s">
        <v>8139</v>
      </c>
      <c r="O231" s="3"/>
      <c r="P231" s="3"/>
      <c r="Q231" s="3"/>
      <c r="R231" s="3"/>
      <c r="S231" s="3" t="s">
        <v>6946</v>
      </c>
      <c r="T231" s="3" t="s">
        <v>119</v>
      </c>
      <c r="U231" s="11">
        <v>60</v>
      </c>
      <c r="V231" s="3" t="s">
        <v>6738</v>
      </c>
      <c r="W231" s="8" t="s">
        <v>7834</v>
      </c>
    </row>
    <row r="232" spans="1:23" x14ac:dyDescent="0.25">
      <c r="A232" s="2">
        <v>1745</v>
      </c>
      <c r="B232" s="3" t="s">
        <v>6738</v>
      </c>
      <c r="C232" s="3">
        <v>2024</v>
      </c>
      <c r="D232" s="3" t="s">
        <v>6773</v>
      </c>
      <c r="E232" s="3" t="s">
        <v>206</v>
      </c>
      <c r="F232" s="1" t="s">
        <v>7834</v>
      </c>
      <c r="G232" s="10"/>
      <c r="H232" s="10"/>
      <c r="I232" s="10"/>
      <c r="J232" s="10"/>
      <c r="K232" s="10"/>
      <c r="L232" s="3" t="s">
        <v>6774</v>
      </c>
      <c r="M232" s="3" t="s">
        <v>6775</v>
      </c>
      <c r="N232" s="3" t="s">
        <v>6776</v>
      </c>
      <c r="O232" s="3"/>
      <c r="P232" s="3"/>
      <c r="Q232" s="3"/>
      <c r="R232" s="3"/>
      <c r="S232" s="3" t="s">
        <v>6777</v>
      </c>
      <c r="T232" s="3" t="s">
        <v>119</v>
      </c>
      <c r="U232" s="11">
        <v>61</v>
      </c>
      <c r="V232" s="3" t="s">
        <v>6738</v>
      </c>
      <c r="W232" s="8" t="s">
        <v>7834</v>
      </c>
    </row>
    <row r="233" spans="1:23" x14ac:dyDescent="0.25">
      <c r="A233" s="2">
        <v>1746</v>
      </c>
      <c r="B233" s="3" t="s">
        <v>6738</v>
      </c>
      <c r="C233" s="3">
        <v>2024</v>
      </c>
      <c r="D233" s="3" t="s">
        <v>14</v>
      </c>
      <c r="E233" s="3" t="s">
        <v>206</v>
      </c>
      <c r="F233" s="1" t="s">
        <v>7834</v>
      </c>
      <c r="G233" s="10"/>
      <c r="H233" s="10"/>
      <c r="I233" s="10"/>
      <c r="J233" s="10"/>
      <c r="K233" s="10"/>
      <c r="L233" s="3" t="s">
        <v>6778</v>
      </c>
      <c r="M233" s="3" t="s">
        <v>6779</v>
      </c>
      <c r="N233" s="3" t="s">
        <v>6780</v>
      </c>
      <c r="O233" s="3"/>
      <c r="P233" s="3"/>
      <c r="Q233" s="3"/>
      <c r="R233" s="3" t="s">
        <v>6781</v>
      </c>
      <c r="S233" s="3" t="s">
        <v>6782</v>
      </c>
      <c r="T233" s="3" t="s">
        <v>119</v>
      </c>
      <c r="U233" s="11">
        <v>62</v>
      </c>
      <c r="V233" s="3" t="s">
        <v>6738</v>
      </c>
      <c r="W233" s="8" t="s">
        <v>7834</v>
      </c>
    </row>
    <row r="234" spans="1:23" x14ac:dyDescent="0.25">
      <c r="A234" s="2">
        <v>1748</v>
      </c>
      <c r="B234" s="3" t="s">
        <v>6738</v>
      </c>
      <c r="C234" s="3">
        <v>2024</v>
      </c>
      <c r="D234" s="3" t="s">
        <v>811</v>
      </c>
      <c r="E234" s="3" t="s">
        <v>206</v>
      </c>
      <c r="F234" s="1" t="s">
        <v>7834</v>
      </c>
      <c r="G234" s="10"/>
      <c r="H234" s="10"/>
      <c r="I234" s="10"/>
      <c r="J234" s="10"/>
      <c r="K234" s="10"/>
      <c r="L234" s="3" t="s">
        <v>6788</v>
      </c>
      <c r="M234" s="3" t="s">
        <v>6789</v>
      </c>
      <c r="N234" s="3" t="s">
        <v>6790</v>
      </c>
      <c r="O234" s="3">
        <v>13</v>
      </c>
      <c r="P234" s="3">
        <v>2</v>
      </c>
      <c r="Q234" s="3" t="s">
        <v>6791</v>
      </c>
      <c r="R234" s="3" t="s">
        <v>6792</v>
      </c>
      <c r="S234" s="3" t="s">
        <v>6793</v>
      </c>
      <c r="T234" s="3" t="s">
        <v>119</v>
      </c>
      <c r="U234" s="11">
        <v>63</v>
      </c>
      <c r="V234" s="3" t="s">
        <v>6738</v>
      </c>
      <c r="W234" s="8" t="s">
        <v>7834</v>
      </c>
    </row>
    <row r="235" spans="1:23" x14ac:dyDescent="0.25">
      <c r="A235" s="2">
        <v>1757</v>
      </c>
      <c r="B235" s="3" t="s">
        <v>6738</v>
      </c>
      <c r="C235" s="3">
        <v>2024</v>
      </c>
      <c r="D235" s="3" t="s">
        <v>2247</v>
      </c>
      <c r="E235" s="3" t="s">
        <v>206</v>
      </c>
      <c r="F235" s="1" t="s">
        <v>7834</v>
      </c>
      <c r="G235" s="10"/>
      <c r="H235" s="10"/>
      <c r="I235" s="10"/>
      <c r="J235" s="10"/>
      <c r="K235" s="10"/>
      <c r="L235" s="3" t="s">
        <v>6834</v>
      </c>
      <c r="M235" s="3" t="s">
        <v>6835</v>
      </c>
      <c r="N235" s="3" t="s">
        <v>6814</v>
      </c>
      <c r="O235" s="3">
        <v>60</v>
      </c>
      <c r="P235" s="3">
        <v>3</v>
      </c>
      <c r="Q235" s="3" t="s">
        <v>6836</v>
      </c>
      <c r="R235" s="3" t="s">
        <v>6837</v>
      </c>
      <c r="S235" s="3" t="s">
        <v>6838</v>
      </c>
      <c r="T235" s="3" t="s">
        <v>119</v>
      </c>
      <c r="U235" s="11">
        <v>64</v>
      </c>
      <c r="V235" s="3" t="s">
        <v>6738</v>
      </c>
      <c r="W235" s="8" t="s">
        <v>7834</v>
      </c>
    </row>
    <row r="236" spans="1:23" x14ac:dyDescent="0.25">
      <c r="A236" s="2">
        <v>1760</v>
      </c>
      <c r="B236" s="3" t="s">
        <v>6738</v>
      </c>
      <c r="C236" s="3">
        <v>2024</v>
      </c>
      <c r="D236" s="3" t="s">
        <v>14</v>
      </c>
      <c r="E236" s="3" t="s">
        <v>206</v>
      </c>
      <c r="F236" s="1" t="s">
        <v>7834</v>
      </c>
      <c r="G236" s="10"/>
      <c r="H236" s="10"/>
      <c r="I236" s="10"/>
      <c r="J236" s="10"/>
      <c r="K236" s="10"/>
      <c r="L236" s="3" t="s">
        <v>6850</v>
      </c>
      <c r="M236" s="3" t="s">
        <v>6851</v>
      </c>
      <c r="N236" s="3" t="s">
        <v>6852</v>
      </c>
      <c r="O236" s="3"/>
      <c r="P236" s="3"/>
      <c r="Q236" s="4">
        <v>10959</v>
      </c>
      <c r="R236" s="3" t="s">
        <v>6853</v>
      </c>
      <c r="S236" s="3" t="s">
        <v>6854</v>
      </c>
      <c r="T236" s="3" t="s">
        <v>119</v>
      </c>
      <c r="U236" s="11">
        <v>65</v>
      </c>
      <c r="V236" s="3" t="s">
        <v>6738</v>
      </c>
      <c r="W236" s="8" t="s">
        <v>7834</v>
      </c>
    </row>
    <row r="237" spans="1:23" x14ac:dyDescent="0.25">
      <c r="A237" s="2">
        <v>1761</v>
      </c>
      <c r="B237" s="3" t="s">
        <v>6738</v>
      </c>
      <c r="C237" s="3">
        <v>2024</v>
      </c>
      <c r="D237" s="3" t="s">
        <v>75</v>
      </c>
      <c r="E237" s="3" t="s">
        <v>206</v>
      </c>
      <c r="F237" s="1" t="s">
        <v>7834</v>
      </c>
      <c r="G237" s="10"/>
      <c r="H237" s="10"/>
      <c r="I237" s="10"/>
      <c r="J237" s="10"/>
      <c r="K237" s="10">
        <v>13</v>
      </c>
      <c r="L237" s="3" t="s">
        <v>6855</v>
      </c>
      <c r="M237" s="3" t="s">
        <v>6856</v>
      </c>
      <c r="N237" s="3" t="s">
        <v>6857</v>
      </c>
      <c r="O237" s="3">
        <v>16</v>
      </c>
      <c r="P237" s="3">
        <v>2</v>
      </c>
      <c r="Q237" s="3" t="s">
        <v>6858</v>
      </c>
      <c r="R237" s="3" t="s">
        <v>6859</v>
      </c>
      <c r="S237" s="3" t="s">
        <v>6860</v>
      </c>
      <c r="T237" s="3" t="s">
        <v>119</v>
      </c>
      <c r="U237" s="11">
        <v>66</v>
      </c>
      <c r="V237" s="3" t="s">
        <v>6738</v>
      </c>
      <c r="W237" s="8" t="s">
        <v>7834</v>
      </c>
    </row>
    <row r="238" spans="1:23" x14ac:dyDescent="0.25">
      <c r="A238" s="2">
        <v>1769</v>
      </c>
      <c r="B238" s="3" t="s">
        <v>6869</v>
      </c>
      <c r="C238" s="3">
        <v>2024</v>
      </c>
      <c r="D238" s="3" t="s">
        <v>5487</v>
      </c>
      <c r="E238" s="3" t="s">
        <v>114</v>
      </c>
      <c r="F238" s="1" t="s">
        <v>7834</v>
      </c>
      <c r="G238" s="10"/>
      <c r="H238" s="10"/>
      <c r="I238" s="10"/>
      <c r="J238" s="10"/>
      <c r="K238" s="10"/>
      <c r="L238" s="3" t="s">
        <v>6889</v>
      </c>
      <c r="M238" s="3" t="s">
        <v>6890</v>
      </c>
      <c r="N238" s="3" t="s">
        <v>6891</v>
      </c>
      <c r="O238" s="3"/>
      <c r="P238" s="3"/>
      <c r="Q238" s="3"/>
      <c r="R238" s="3"/>
      <c r="S238" s="3" t="s">
        <v>6892</v>
      </c>
      <c r="T238" s="3" t="s">
        <v>119</v>
      </c>
      <c r="U238" s="11">
        <v>67</v>
      </c>
      <c r="V238" s="3" t="s">
        <v>6869</v>
      </c>
      <c r="W238" s="8" t="s">
        <v>7834</v>
      </c>
    </row>
    <row r="239" spans="1:23" x14ac:dyDescent="0.25">
      <c r="A239" s="2">
        <v>1825</v>
      </c>
      <c r="B239" s="3" t="s">
        <v>6982</v>
      </c>
      <c r="C239" s="3">
        <v>2024</v>
      </c>
      <c r="D239" s="3" t="s">
        <v>848</v>
      </c>
      <c r="E239" s="3" t="s">
        <v>730</v>
      </c>
      <c r="F239" s="1" t="s">
        <v>7834</v>
      </c>
      <c r="G239" s="10"/>
      <c r="H239" s="10"/>
      <c r="I239" s="10"/>
      <c r="J239" s="10">
        <v>1</v>
      </c>
      <c r="K239" s="10"/>
      <c r="L239" s="3" t="s">
        <v>7108</v>
      </c>
      <c r="M239" s="3" t="s">
        <v>7109</v>
      </c>
      <c r="N239" s="3" t="s">
        <v>7110</v>
      </c>
      <c r="O239" s="3">
        <v>60</v>
      </c>
      <c r="P239" s="3"/>
      <c r="Q239" s="3"/>
      <c r="R239" s="3"/>
      <c r="S239" s="3" t="s">
        <v>7111</v>
      </c>
      <c r="T239" s="3" t="s">
        <v>119</v>
      </c>
      <c r="U239" s="11">
        <v>68</v>
      </c>
      <c r="V239" s="3" t="s">
        <v>6982</v>
      </c>
      <c r="W239" s="8" t="s">
        <v>7834</v>
      </c>
    </row>
    <row r="240" spans="1:23" x14ac:dyDescent="0.25">
      <c r="A240" s="2">
        <v>1849</v>
      </c>
      <c r="B240" s="3" t="s">
        <v>7220</v>
      </c>
      <c r="C240" s="3">
        <v>2024</v>
      </c>
      <c r="D240" s="3" t="s">
        <v>1751</v>
      </c>
      <c r="E240" s="3" t="s">
        <v>496</v>
      </c>
      <c r="F240" s="1" t="s">
        <v>7834</v>
      </c>
      <c r="G240" s="10"/>
      <c r="H240" s="10"/>
      <c r="I240" s="10"/>
      <c r="J240" s="10"/>
      <c r="K240" s="10"/>
      <c r="L240" s="3" t="s">
        <v>7221</v>
      </c>
      <c r="M240" s="3" t="s">
        <v>7222</v>
      </c>
      <c r="N240" s="3" t="s">
        <v>7223</v>
      </c>
      <c r="O240" s="3">
        <v>1</v>
      </c>
      <c r="P240" s="3">
        <v>1</v>
      </c>
      <c r="Q240" s="3">
        <v>416</v>
      </c>
      <c r="R240" s="3" t="s">
        <v>4116</v>
      </c>
      <c r="S240" s="3" t="s">
        <v>7224</v>
      </c>
      <c r="T240" s="3" t="s">
        <v>119</v>
      </c>
      <c r="U240" s="11">
        <v>69</v>
      </c>
      <c r="V240" s="3" t="s">
        <v>7220</v>
      </c>
      <c r="W240" s="8" t="s">
        <v>7834</v>
      </c>
    </row>
    <row r="241" spans="1:23" x14ac:dyDescent="0.25">
      <c r="A241" s="2">
        <v>1859</v>
      </c>
      <c r="B241" s="3" t="s">
        <v>7220</v>
      </c>
      <c r="C241" s="3">
        <v>2024</v>
      </c>
      <c r="D241" s="3" t="s">
        <v>7263</v>
      </c>
      <c r="E241" s="3" t="s">
        <v>496</v>
      </c>
      <c r="F241" s="1" t="s">
        <v>7834</v>
      </c>
      <c r="G241" s="10"/>
      <c r="H241" s="10"/>
      <c r="I241" s="10"/>
      <c r="J241" s="10"/>
      <c r="K241" s="10"/>
      <c r="L241" s="3" t="s">
        <v>7264</v>
      </c>
      <c r="M241" s="3" t="s">
        <v>7265</v>
      </c>
      <c r="N241" s="3" t="s">
        <v>7266</v>
      </c>
      <c r="O241" s="3"/>
      <c r="P241" s="3"/>
      <c r="Q241" s="3"/>
      <c r="R241" s="3" t="s">
        <v>7267</v>
      </c>
      <c r="S241" s="3" t="s">
        <v>7268</v>
      </c>
      <c r="T241" s="3" t="s">
        <v>119</v>
      </c>
      <c r="U241" s="11">
        <v>70</v>
      </c>
      <c r="V241" s="3" t="s">
        <v>7220</v>
      </c>
      <c r="W241" s="8" t="s">
        <v>7834</v>
      </c>
    </row>
    <row r="242" spans="1:23" x14ac:dyDescent="0.25">
      <c r="A242" s="2">
        <v>1871</v>
      </c>
      <c r="B242" s="3" t="s">
        <v>7220</v>
      </c>
      <c r="C242" s="3">
        <v>2024</v>
      </c>
      <c r="D242" s="3" t="s">
        <v>3352</v>
      </c>
      <c r="E242" s="3" t="s">
        <v>496</v>
      </c>
      <c r="F242" s="1" t="s">
        <v>7834</v>
      </c>
      <c r="G242" s="10"/>
      <c r="H242" s="10">
        <v>3</v>
      </c>
      <c r="I242" s="10"/>
      <c r="J242" s="10"/>
      <c r="K242" s="10"/>
      <c r="L242" s="3" t="s">
        <v>4161</v>
      </c>
      <c r="M242" s="3" t="s">
        <v>7308</v>
      </c>
      <c r="N242" s="3" t="s">
        <v>7309</v>
      </c>
      <c r="O242" s="3" t="s">
        <v>7310</v>
      </c>
      <c r="P242" s="3"/>
      <c r="Q242" s="3">
        <v>125</v>
      </c>
      <c r="R242" s="3"/>
      <c r="S242" s="3" t="s">
        <v>4165</v>
      </c>
      <c r="T242" s="3" t="s">
        <v>119</v>
      </c>
      <c r="U242" s="11">
        <v>71</v>
      </c>
      <c r="V242" s="3" t="s">
        <v>7220</v>
      </c>
      <c r="W242" s="8" t="s">
        <v>7834</v>
      </c>
    </row>
    <row r="243" spans="1:23" x14ac:dyDescent="0.25">
      <c r="A243" s="2">
        <v>1853</v>
      </c>
      <c r="B243" s="3" t="s">
        <v>7220</v>
      </c>
      <c r="C243" s="3">
        <v>2024</v>
      </c>
      <c r="D243" s="3" t="s">
        <v>1757</v>
      </c>
      <c r="E243" s="3" t="s">
        <v>114</v>
      </c>
      <c r="F243" s="1" t="s">
        <v>7834</v>
      </c>
      <c r="G243" s="10"/>
      <c r="H243" s="10"/>
      <c r="I243" s="10"/>
      <c r="J243" s="10"/>
      <c r="K243" s="10"/>
      <c r="L243" s="3" t="s">
        <v>7237</v>
      </c>
      <c r="M243" s="3" t="s">
        <v>7238</v>
      </c>
      <c r="N243" s="3" t="s">
        <v>5390</v>
      </c>
      <c r="O243" s="3"/>
      <c r="P243" s="3"/>
      <c r="Q243" s="3"/>
      <c r="R243" s="3"/>
      <c r="S243" s="3" t="s">
        <v>7239</v>
      </c>
      <c r="T243" s="3" t="s">
        <v>119</v>
      </c>
      <c r="U243" s="11">
        <v>72</v>
      </c>
      <c r="V243" s="3" t="s">
        <v>7220</v>
      </c>
      <c r="W243" s="8" t="s">
        <v>7834</v>
      </c>
    </row>
    <row r="244" spans="1:23" x14ac:dyDescent="0.25">
      <c r="A244" s="2">
        <v>1856</v>
      </c>
      <c r="B244" s="3" t="s">
        <v>7220</v>
      </c>
      <c r="C244" s="3">
        <v>2024</v>
      </c>
      <c r="D244" s="3" t="s">
        <v>401</v>
      </c>
      <c r="E244" s="3" t="s">
        <v>114</v>
      </c>
      <c r="F244" s="1" t="s">
        <v>7834</v>
      </c>
      <c r="G244" s="10"/>
      <c r="H244" s="10"/>
      <c r="I244" s="10"/>
      <c r="J244" s="10"/>
      <c r="K244" s="10"/>
      <c r="L244" s="3" t="s">
        <v>7250</v>
      </c>
      <c r="M244" s="3" t="s">
        <v>7251</v>
      </c>
      <c r="N244" s="3" t="s">
        <v>7252</v>
      </c>
      <c r="O244" s="3"/>
      <c r="P244" s="3"/>
      <c r="Q244" s="3"/>
      <c r="R244" s="3"/>
      <c r="S244" s="3" t="s">
        <v>7253</v>
      </c>
      <c r="T244" s="3" t="s">
        <v>119</v>
      </c>
      <c r="U244" s="11">
        <v>73</v>
      </c>
      <c r="V244" s="3" t="s">
        <v>7220</v>
      </c>
      <c r="W244" s="8" t="s">
        <v>7834</v>
      </c>
    </row>
    <row r="245" spans="1:23" x14ac:dyDescent="0.25">
      <c r="A245" s="2">
        <v>1866</v>
      </c>
      <c r="B245" s="3" t="s">
        <v>7220</v>
      </c>
      <c r="C245" s="3">
        <v>2024</v>
      </c>
      <c r="D245" s="3" t="s">
        <v>226</v>
      </c>
      <c r="E245" s="3" t="s">
        <v>114</v>
      </c>
      <c r="F245" s="1" t="s">
        <v>7834</v>
      </c>
      <c r="G245" s="10"/>
      <c r="H245" s="10"/>
      <c r="I245" s="10">
        <v>3</v>
      </c>
      <c r="J245" s="10"/>
      <c r="K245" s="10"/>
      <c r="L245" s="3" t="s">
        <v>7288</v>
      </c>
      <c r="M245" s="3" t="s">
        <v>7289</v>
      </c>
      <c r="N245" s="3" t="s">
        <v>7290</v>
      </c>
      <c r="O245" s="3"/>
      <c r="P245" s="3"/>
      <c r="Q245" s="3"/>
      <c r="R245" s="3" t="s">
        <v>7291</v>
      </c>
      <c r="S245" s="3" t="s">
        <v>7292</v>
      </c>
      <c r="T245" s="3" t="s">
        <v>119</v>
      </c>
      <c r="U245" s="11">
        <v>74</v>
      </c>
      <c r="V245" s="3" t="s">
        <v>7220</v>
      </c>
      <c r="W245" s="8" t="s">
        <v>7834</v>
      </c>
    </row>
    <row r="246" spans="1:23" x14ac:dyDescent="0.25">
      <c r="A246" s="2">
        <v>1881</v>
      </c>
      <c r="B246" s="3" t="s">
        <v>7220</v>
      </c>
      <c r="C246" s="3">
        <v>2024</v>
      </c>
      <c r="D246" s="3" t="s">
        <v>3352</v>
      </c>
      <c r="E246" s="3" t="s">
        <v>206</v>
      </c>
      <c r="F246" s="1" t="s">
        <v>7834</v>
      </c>
      <c r="G246" s="10"/>
      <c r="H246" s="10"/>
      <c r="I246" s="10"/>
      <c r="J246" s="10"/>
      <c r="K246" s="10">
        <v>1</v>
      </c>
      <c r="L246" s="3" t="s">
        <v>4125</v>
      </c>
      <c r="M246" s="3" t="s">
        <v>7335</v>
      </c>
      <c r="N246" s="3" t="s">
        <v>4127</v>
      </c>
      <c r="O246" s="3" t="s">
        <v>7336</v>
      </c>
      <c r="P246" s="3" t="s">
        <v>4128</v>
      </c>
      <c r="Q246" s="3"/>
      <c r="R246" s="3" t="s">
        <v>7337</v>
      </c>
      <c r="S246" s="3" t="s">
        <v>4130</v>
      </c>
      <c r="T246" s="3" t="s">
        <v>119</v>
      </c>
      <c r="U246" s="11">
        <v>75</v>
      </c>
      <c r="V246" s="3" t="s">
        <v>7220</v>
      </c>
      <c r="W246" s="8" t="s">
        <v>7834</v>
      </c>
    </row>
    <row r="247" spans="1:23" x14ac:dyDescent="0.25">
      <c r="A247" s="2">
        <v>1885</v>
      </c>
      <c r="B247" s="3" t="s">
        <v>7342</v>
      </c>
      <c r="C247" s="3">
        <v>2024</v>
      </c>
      <c r="D247" s="3" t="s">
        <v>2641</v>
      </c>
      <c r="E247" s="3" t="s">
        <v>496</v>
      </c>
      <c r="F247" s="1" t="s">
        <v>7834</v>
      </c>
      <c r="G247" s="10"/>
      <c r="H247" s="10"/>
      <c r="I247" s="10"/>
      <c r="J247" s="10"/>
      <c r="K247" s="10"/>
      <c r="L247" s="3" t="s">
        <v>7347</v>
      </c>
      <c r="M247" s="3" t="s">
        <v>7348</v>
      </c>
      <c r="N247" s="3" t="s">
        <v>7349</v>
      </c>
      <c r="O247" s="3"/>
      <c r="P247" s="3"/>
      <c r="Q247" s="3"/>
      <c r="R247" s="3"/>
      <c r="S247" s="3" t="s">
        <v>7350</v>
      </c>
      <c r="T247" s="3" t="s">
        <v>119</v>
      </c>
      <c r="U247" s="11">
        <v>76</v>
      </c>
      <c r="V247" s="3" t="s">
        <v>7342</v>
      </c>
      <c r="W247" s="8" t="s">
        <v>7834</v>
      </c>
    </row>
    <row r="248" spans="1:23" x14ac:dyDescent="0.25">
      <c r="A248" s="2">
        <v>1886</v>
      </c>
      <c r="B248" s="3" t="s">
        <v>7342</v>
      </c>
      <c r="C248" s="3">
        <v>2024</v>
      </c>
      <c r="D248" s="3" t="s">
        <v>31</v>
      </c>
      <c r="E248" s="3" t="s">
        <v>496</v>
      </c>
      <c r="F248" s="1" t="s">
        <v>7834</v>
      </c>
      <c r="G248" s="10"/>
      <c r="H248" s="10">
        <v>2</v>
      </c>
      <c r="I248" s="10"/>
      <c r="J248" s="10"/>
      <c r="K248" s="10"/>
      <c r="L248" s="3" t="s">
        <v>7351</v>
      </c>
      <c r="M248" s="3" t="s">
        <v>7352</v>
      </c>
      <c r="N248" s="3" t="s">
        <v>7353</v>
      </c>
      <c r="O248" s="3"/>
      <c r="P248" s="3"/>
      <c r="Q248" s="3"/>
      <c r="R248" s="3"/>
      <c r="S248" s="3" t="s">
        <v>7354</v>
      </c>
      <c r="T248" s="3" t="s">
        <v>119</v>
      </c>
      <c r="U248" s="11">
        <v>77</v>
      </c>
      <c r="V248" s="3" t="s">
        <v>7342</v>
      </c>
      <c r="W248" s="8" t="s">
        <v>7834</v>
      </c>
    </row>
    <row r="249" spans="1:23" x14ac:dyDescent="0.25">
      <c r="A249" s="2">
        <v>1926</v>
      </c>
      <c r="B249" s="3" t="s">
        <v>7399</v>
      </c>
      <c r="C249" s="3">
        <v>2024</v>
      </c>
      <c r="D249" s="3" t="s">
        <v>2363</v>
      </c>
      <c r="E249" s="3" t="s">
        <v>15</v>
      </c>
      <c r="F249" s="1" t="s">
        <v>7834</v>
      </c>
      <c r="G249" s="10"/>
      <c r="H249" s="10"/>
      <c r="I249" s="10"/>
      <c r="J249" s="10"/>
      <c r="K249" s="10"/>
      <c r="L249" s="3" t="s">
        <v>4327</v>
      </c>
      <c r="M249" s="3" t="s">
        <v>7513</v>
      </c>
      <c r="N249" s="3" t="s">
        <v>4329</v>
      </c>
      <c r="O249" s="3">
        <v>11</v>
      </c>
      <c r="P249" s="3"/>
      <c r="Q249" s="3">
        <v>1</v>
      </c>
      <c r="R249" s="3" t="s">
        <v>4331</v>
      </c>
      <c r="S249" s="3" t="s">
        <v>4332</v>
      </c>
      <c r="T249" s="3" t="s">
        <v>119</v>
      </c>
      <c r="U249" s="11">
        <v>78</v>
      </c>
      <c r="V249" s="3" t="s">
        <v>7399</v>
      </c>
      <c r="W249" s="8" t="s">
        <v>7834</v>
      </c>
    </row>
    <row r="250" spans="1:23" x14ac:dyDescent="0.25">
      <c r="A250" s="2">
        <v>1900</v>
      </c>
      <c r="B250" s="3" t="s">
        <v>7399</v>
      </c>
      <c r="C250" s="3">
        <v>2024</v>
      </c>
      <c r="D250" s="3" t="s">
        <v>866</v>
      </c>
      <c r="E250" s="3" t="s">
        <v>496</v>
      </c>
      <c r="F250" s="1" t="s">
        <v>7834</v>
      </c>
      <c r="G250" s="10"/>
      <c r="H250" s="10"/>
      <c r="I250" s="10"/>
      <c r="J250" s="10"/>
      <c r="K250" s="10"/>
      <c r="L250" s="3" t="s">
        <v>7405</v>
      </c>
      <c r="M250" s="3" t="s">
        <v>7406</v>
      </c>
      <c r="N250" s="3" t="s">
        <v>7407</v>
      </c>
      <c r="O250" s="3"/>
      <c r="P250" s="3"/>
      <c r="Q250" s="3">
        <v>469</v>
      </c>
      <c r="R250" s="3" t="s">
        <v>7408</v>
      </c>
      <c r="S250" s="3" t="s">
        <v>7409</v>
      </c>
      <c r="T250" s="3" t="s">
        <v>119</v>
      </c>
      <c r="U250" s="11">
        <v>79</v>
      </c>
      <c r="V250" s="3" t="s">
        <v>7399</v>
      </c>
      <c r="W250" s="8" t="s">
        <v>7834</v>
      </c>
    </row>
    <row r="251" spans="1:23" x14ac:dyDescent="0.25">
      <c r="A251" s="2">
        <v>1920</v>
      </c>
      <c r="B251" s="3" t="s">
        <v>7399</v>
      </c>
      <c r="C251" s="3">
        <v>2024</v>
      </c>
      <c r="D251" s="3" t="s">
        <v>3491</v>
      </c>
      <c r="E251" s="3" t="s">
        <v>496</v>
      </c>
      <c r="F251" s="1" t="s">
        <v>7834</v>
      </c>
      <c r="G251" s="10"/>
      <c r="H251" s="10"/>
      <c r="I251" s="10"/>
      <c r="J251" s="10"/>
      <c r="K251" s="10"/>
      <c r="L251" s="3" t="s">
        <v>7488</v>
      </c>
      <c r="M251" s="3" t="s">
        <v>7489</v>
      </c>
      <c r="N251" s="3" t="s">
        <v>7407</v>
      </c>
      <c r="O251" s="3">
        <v>15369</v>
      </c>
      <c r="P251" s="3"/>
      <c r="Q251" s="3">
        <v>233</v>
      </c>
      <c r="R251" s="3" t="s">
        <v>3495</v>
      </c>
      <c r="S251" s="3" t="s">
        <v>7490</v>
      </c>
      <c r="T251" s="3" t="s">
        <v>119</v>
      </c>
      <c r="U251" s="11">
        <v>80</v>
      </c>
      <c r="V251" s="3" t="s">
        <v>7399</v>
      </c>
      <c r="W251" s="8" t="s">
        <v>7834</v>
      </c>
    </row>
    <row r="252" spans="1:23" x14ac:dyDescent="0.25">
      <c r="A252" s="2">
        <v>1923</v>
      </c>
      <c r="B252" s="3" t="s">
        <v>7399</v>
      </c>
      <c r="C252" s="3">
        <v>2024</v>
      </c>
      <c r="D252" s="3" t="s">
        <v>3456</v>
      </c>
      <c r="E252" s="3" t="s">
        <v>496</v>
      </c>
      <c r="F252" s="1" t="s">
        <v>7834</v>
      </c>
      <c r="G252" s="10"/>
      <c r="H252" s="10">
        <v>3</v>
      </c>
      <c r="I252" s="10"/>
      <c r="J252" s="10"/>
      <c r="K252" s="10"/>
      <c r="L252" s="3" t="s">
        <v>7500</v>
      </c>
      <c r="M252" s="3" t="s">
        <v>7501</v>
      </c>
      <c r="N252" s="3" t="s">
        <v>7502</v>
      </c>
      <c r="O252" s="3"/>
      <c r="P252" s="3"/>
      <c r="Q252" s="3">
        <v>169</v>
      </c>
      <c r="R252" s="3" t="s">
        <v>7503</v>
      </c>
      <c r="S252" s="3" t="s">
        <v>7504</v>
      </c>
      <c r="T252" s="3" t="s">
        <v>119</v>
      </c>
      <c r="U252" s="11">
        <v>81</v>
      </c>
      <c r="V252" s="3" t="s">
        <v>7399</v>
      </c>
      <c r="W252" s="8" t="s">
        <v>7834</v>
      </c>
    </row>
    <row r="253" spans="1:23" x14ac:dyDescent="0.25">
      <c r="A253" s="2">
        <v>1904</v>
      </c>
      <c r="B253" s="3" t="s">
        <v>7399</v>
      </c>
      <c r="C253" s="3">
        <v>2024</v>
      </c>
      <c r="D253" s="3" t="s">
        <v>1071</v>
      </c>
      <c r="E253" s="3" t="s">
        <v>114</v>
      </c>
      <c r="F253" s="1" t="s">
        <v>7834</v>
      </c>
      <c r="G253" s="10"/>
      <c r="H253" s="10"/>
      <c r="I253" s="10"/>
      <c r="J253" s="10"/>
      <c r="K253" s="10"/>
      <c r="L253" s="3" t="s">
        <v>7420</v>
      </c>
      <c r="M253" s="3" t="s">
        <v>7421</v>
      </c>
      <c r="N253" s="3" t="s">
        <v>7422</v>
      </c>
      <c r="O253" s="3">
        <v>34</v>
      </c>
      <c r="P253" s="3">
        <v>3</v>
      </c>
      <c r="Q253" s="3">
        <v>10</v>
      </c>
      <c r="R253" s="3" t="s">
        <v>7423</v>
      </c>
      <c r="S253" s="3" t="s">
        <v>7424</v>
      </c>
      <c r="T253" s="3" t="s">
        <v>119</v>
      </c>
      <c r="U253" s="11">
        <v>82</v>
      </c>
      <c r="V253" s="3" t="s">
        <v>7399</v>
      </c>
      <c r="W253" s="8" t="s">
        <v>7834</v>
      </c>
    </row>
    <row r="254" spans="1:23" x14ac:dyDescent="0.25">
      <c r="A254" s="2">
        <v>1910</v>
      </c>
      <c r="B254" s="3" t="s">
        <v>7399</v>
      </c>
      <c r="C254" s="3">
        <v>2024</v>
      </c>
      <c r="D254" s="3" t="s">
        <v>2967</v>
      </c>
      <c r="E254" s="3" t="s">
        <v>114</v>
      </c>
      <c r="F254" s="1" t="s">
        <v>7834</v>
      </c>
      <c r="G254" s="10"/>
      <c r="H254" s="10"/>
      <c r="I254" s="10"/>
      <c r="J254" s="10"/>
      <c r="K254" s="10"/>
      <c r="L254" s="3" t="s">
        <v>7446</v>
      </c>
      <c r="M254" s="3" t="s">
        <v>7447</v>
      </c>
      <c r="N254" s="3" t="s">
        <v>7422</v>
      </c>
      <c r="O254" s="3">
        <v>35</v>
      </c>
      <c r="P254" s="3">
        <v>1</v>
      </c>
      <c r="Q254" s="3">
        <v>12</v>
      </c>
      <c r="R254" s="3" t="s">
        <v>7423</v>
      </c>
      <c r="S254" s="3" t="s">
        <v>7448</v>
      </c>
      <c r="T254" s="3" t="s">
        <v>119</v>
      </c>
      <c r="U254" s="11">
        <v>83</v>
      </c>
      <c r="V254" s="3" t="s">
        <v>7399</v>
      </c>
      <c r="W254" s="8" t="s">
        <v>7834</v>
      </c>
    </row>
    <row r="255" spans="1:23" x14ac:dyDescent="0.25">
      <c r="A255" s="2">
        <v>1915</v>
      </c>
      <c r="B255" s="3" t="s">
        <v>7399</v>
      </c>
      <c r="C255" s="3">
        <v>2024</v>
      </c>
      <c r="D255" s="3" t="s">
        <v>1196</v>
      </c>
      <c r="E255" s="3" t="s">
        <v>114</v>
      </c>
      <c r="F255" s="1" t="s">
        <v>7834</v>
      </c>
      <c r="G255" s="10"/>
      <c r="H255" s="10"/>
      <c r="I255" s="10"/>
      <c r="J255" s="10"/>
      <c r="K255" s="10"/>
      <c r="L255" s="3" t="s">
        <v>7470</v>
      </c>
      <c r="M255" s="3" t="s">
        <v>7471</v>
      </c>
      <c r="N255" s="3" t="s">
        <v>4967</v>
      </c>
      <c r="O255" s="3">
        <v>1</v>
      </c>
      <c r="P255" s="3">
        <v>2</v>
      </c>
      <c r="Q255" s="3">
        <v>10</v>
      </c>
      <c r="R255" s="3" t="s">
        <v>7472</v>
      </c>
      <c r="S255" s="3" t="s">
        <v>7473</v>
      </c>
      <c r="T255" s="3" t="s">
        <v>119</v>
      </c>
      <c r="U255" s="11">
        <v>84</v>
      </c>
      <c r="V255" s="3" t="s">
        <v>7399</v>
      </c>
      <c r="W255" s="8" t="s">
        <v>7834</v>
      </c>
    </row>
    <row r="256" spans="1:23" x14ac:dyDescent="0.25">
      <c r="A256" s="2">
        <v>1917</v>
      </c>
      <c r="B256" s="3" t="s">
        <v>7399</v>
      </c>
      <c r="C256" s="3">
        <v>2024</v>
      </c>
      <c r="D256" s="3" t="s">
        <v>2363</v>
      </c>
      <c r="E256" s="3" t="s">
        <v>114</v>
      </c>
      <c r="F256" s="1" t="s">
        <v>7834</v>
      </c>
      <c r="G256" s="10"/>
      <c r="H256" s="10"/>
      <c r="I256" s="10"/>
      <c r="J256" s="10"/>
      <c r="K256" s="10"/>
      <c r="L256" s="3" t="s">
        <v>7479</v>
      </c>
      <c r="M256" s="3" t="s">
        <v>7480</v>
      </c>
      <c r="N256" s="3" t="s">
        <v>636</v>
      </c>
      <c r="O256" s="3">
        <v>24</v>
      </c>
      <c r="P256" s="3">
        <v>40</v>
      </c>
      <c r="Q256" s="3">
        <v>1</v>
      </c>
      <c r="R256" s="3" t="s">
        <v>4621</v>
      </c>
      <c r="S256" s="3" t="s">
        <v>7481</v>
      </c>
      <c r="T256" s="3" t="s">
        <v>119</v>
      </c>
      <c r="U256" s="11">
        <v>85</v>
      </c>
      <c r="V256" s="3" t="s">
        <v>7399</v>
      </c>
      <c r="W256" s="8" t="s">
        <v>7834</v>
      </c>
    </row>
    <row r="257" spans="1:23" x14ac:dyDescent="0.25">
      <c r="A257" s="2">
        <v>1918</v>
      </c>
      <c r="B257" s="3" t="s">
        <v>7399</v>
      </c>
      <c r="C257" s="3">
        <v>2024</v>
      </c>
      <c r="D257" s="3" t="s">
        <v>1071</v>
      </c>
      <c r="E257" s="3" t="s">
        <v>114</v>
      </c>
      <c r="F257" s="1" t="s">
        <v>7834</v>
      </c>
      <c r="G257" s="10"/>
      <c r="H257" s="10"/>
      <c r="I257" s="10">
        <v>5</v>
      </c>
      <c r="J257" s="10"/>
      <c r="K257" s="10"/>
      <c r="L257" s="3" t="s">
        <v>7482</v>
      </c>
      <c r="M257" s="3" t="s">
        <v>7483</v>
      </c>
      <c r="N257" s="3" t="s">
        <v>7422</v>
      </c>
      <c r="O257" s="3">
        <v>34</v>
      </c>
      <c r="P257" s="3">
        <v>3</v>
      </c>
      <c r="Q257" s="3">
        <v>50</v>
      </c>
      <c r="R257" s="3" t="s">
        <v>7423</v>
      </c>
      <c r="S257" s="3" t="s">
        <v>7424</v>
      </c>
      <c r="T257" s="3" t="s">
        <v>119</v>
      </c>
      <c r="U257" s="11">
        <v>86</v>
      </c>
      <c r="V257" s="3" t="s">
        <v>7399</v>
      </c>
      <c r="W257" s="8" t="s">
        <v>7834</v>
      </c>
    </row>
    <row r="258" spans="1:23" x14ac:dyDescent="0.25">
      <c r="A258" s="2">
        <v>1925</v>
      </c>
      <c r="B258" s="3" t="s">
        <v>7399</v>
      </c>
      <c r="C258" s="3">
        <v>2024</v>
      </c>
      <c r="D258" s="3" t="s">
        <v>2971</v>
      </c>
      <c r="E258" s="3" t="s">
        <v>730</v>
      </c>
      <c r="F258" s="1" t="s">
        <v>7834</v>
      </c>
      <c r="G258" s="10"/>
      <c r="H258" s="10"/>
      <c r="I258" s="10"/>
      <c r="J258" s="10"/>
      <c r="K258" s="10"/>
      <c r="L258" s="3" t="s">
        <v>7508</v>
      </c>
      <c r="M258" s="3" t="s">
        <v>7509</v>
      </c>
      <c r="N258" s="3" t="s">
        <v>7510</v>
      </c>
      <c r="O258" s="3">
        <v>32</v>
      </c>
      <c r="P258" s="3">
        <v>62</v>
      </c>
      <c r="Q258" s="3">
        <v>247</v>
      </c>
      <c r="R258" s="3" t="s">
        <v>7511</v>
      </c>
      <c r="S258" s="3" t="s">
        <v>7512</v>
      </c>
      <c r="T258" s="3" t="s">
        <v>119</v>
      </c>
      <c r="U258" s="11">
        <v>87</v>
      </c>
      <c r="V258" s="3" t="s">
        <v>7399</v>
      </c>
      <c r="W258" s="8" t="s">
        <v>7834</v>
      </c>
    </row>
    <row r="259" spans="1:23" x14ac:dyDescent="0.25">
      <c r="A259" s="2">
        <v>1931</v>
      </c>
      <c r="B259" s="3" t="s">
        <v>7399</v>
      </c>
      <c r="C259" s="3">
        <v>2024</v>
      </c>
      <c r="D259" s="3" t="s">
        <v>1701</v>
      </c>
      <c r="E259" s="3" t="s">
        <v>730</v>
      </c>
      <c r="F259" s="1" t="s">
        <v>7834</v>
      </c>
      <c r="G259" s="10"/>
      <c r="H259" s="10"/>
      <c r="I259" s="10"/>
      <c r="J259" s="10">
        <v>2</v>
      </c>
      <c r="K259" s="10"/>
      <c r="L259" s="3" t="s">
        <v>7527</v>
      </c>
      <c r="M259" s="3" t="s">
        <v>7528</v>
      </c>
      <c r="N259" s="3" t="s">
        <v>7529</v>
      </c>
      <c r="O259" s="3">
        <v>26</v>
      </c>
      <c r="P259" s="3">
        <v>2</v>
      </c>
      <c r="Q259" s="3">
        <v>41</v>
      </c>
      <c r="R259" s="3" t="s">
        <v>7530</v>
      </c>
      <c r="S259" s="3" t="s">
        <v>7531</v>
      </c>
      <c r="T259" s="3" t="s">
        <v>119</v>
      </c>
      <c r="U259" s="11">
        <v>88</v>
      </c>
      <c r="V259" s="3" t="s">
        <v>7399</v>
      </c>
      <c r="W259" s="8" t="s">
        <v>7834</v>
      </c>
    </row>
    <row r="260" spans="1:23" x14ac:dyDescent="0.25">
      <c r="A260" s="2">
        <v>1899</v>
      </c>
      <c r="B260" s="3" t="s">
        <v>7399</v>
      </c>
      <c r="C260" s="3">
        <v>2024</v>
      </c>
      <c r="D260" s="3" t="s">
        <v>1533</v>
      </c>
      <c r="E260" s="3" t="s">
        <v>206</v>
      </c>
      <c r="F260" s="1" t="s">
        <v>7834</v>
      </c>
      <c r="G260" s="10"/>
      <c r="H260" s="10"/>
      <c r="I260" s="10"/>
      <c r="J260" s="10"/>
      <c r="K260" s="10"/>
      <c r="L260" s="3" t="s">
        <v>7400</v>
      </c>
      <c r="M260" s="3" t="s">
        <v>7401</v>
      </c>
      <c r="N260" s="3" t="s">
        <v>7402</v>
      </c>
      <c r="O260" s="3">
        <v>53</v>
      </c>
      <c r="P260" s="3">
        <v>4</v>
      </c>
      <c r="Q260" s="3">
        <v>471</v>
      </c>
      <c r="R260" s="3" t="s">
        <v>7403</v>
      </c>
      <c r="S260" s="3" t="s">
        <v>7404</v>
      </c>
      <c r="T260" s="3" t="s">
        <v>119</v>
      </c>
      <c r="U260" s="11">
        <v>89</v>
      </c>
      <c r="V260" s="3" t="s">
        <v>7399</v>
      </c>
      <c r="W260" s="8" t="s">
        <v>7834</v>
      </c>
    </row>
    <row r="261" spans="1:23" x14ac:dyDescent="0.25">
      <c r="A261" s="2">
        <v>1911</v>
      </c>
      <c r="B261" s="3" t="s">
        <v>7399</v>
      </c>
      <c r="C261" s="3">
        <v>2024</v>
      </c>
      <c r="D261" s="3" t="s">
        <v>2744</v>
      </c>
      <c r="E261" s="3" t="s">
        <v>206</v>
      </c>
      <c r="F261" s="1" t="s">
        <v>7834</v>
      </c>
      <c r="G261" s="10"/>
      <c r="H261" s="10"/>
      <c r="I261" s="10"/>
      <c r="J261" s="10"/>
      <c r="K261" s="10"/>
      <c r="L261" s="3" t="s">
        <v>7449</v>
      </c>
      <c r="M261" s="3" t="s">
        <v>7450</v>
      </c>
      <c r="N261" s="3" t="s">
        <v>7451</v>
      </c>
      <c r="O261" s="3"/>
      <c r="P261" s="3"/>
      <c r="Q261" s="3"/>
      <c r="R261" s="3" t="s">
        <v>7452</v>
      </c>
      <c r="S261" s="3" t="s">
        <v>7453</v>
      </c>
      <c r="T261" s="3" t="s">
        <v>119</v>
      </c>
      <c r="U261" s="11">
        <v>90</v>
      </c>
      <c r="V261" s="3" t="s">
        <v>7399</v>
      </c>
      <c r="W261" s="8" t="s">
        <v>7834</v>
      </c>
    </row>
    <row r="262" spans="1:23" x14ac:dyDescent="0.25">
      <c r="A262" s="2">
        <v>1913</v>
      </c>
      <c r="B262" s="3" t="s">
        <v>7399</v>
      </c>
      <c r="C262" s="3">
        <v>2024</v>
      </c>
      <c r="D262" s="3" t="s">
        <v>7459</v>
      </c>
      <c r="E262" s="3" t="s">
        <v>206</v>
      </c>
      <c r="F262" s="1" t="s">
        <v>7834</v>
      </c>
      <c r="G262" s="10"/>
      <c r="H262" s="10"/>
      <c r="I262" s="10"/>
      <c r="J262" s="10"/>
      <c r="K262" s="10">
        <v>3</v>
      </c>
      <c r="L262" s="3" t="s">
        <v>7460</v>
      </c>
      <c r="M262" s="3" t="s">
        <v>7461</v>
      </c>
      <c r="N262" s="3" t="s">
        <v>7462</v>
      </c>
      <c r="O262" s="3">
        <v>16</v>
      </c>
      <c r="P262" s="3"/>
      <c r="Q262" s="3"/>
      <c r="R262" s="3" t="s">
        <v>7463</v>
      </c>
      <c r="S262" s="3" t="s">
        <v>7464</v>
      </c>
      <c r="T262" s="3" t="s">
        <v>119</v>
      </c>
      <c r="U262" s="11">
        <v>91</v>
      </c>
      <c r="V262" s="3" t="s">
        <v>7399</v>
      </c>
      <c r="W262" s="8" t="s">
        <v>7834</v>
      </c>
    </row>
    <row r="263" spans="1:23" x14ac:dyDescent="0.25">
      <c r="A263" s="2">
        <v>1937</v>
      </c>
      <c r="B263" s="3" t="s">
        <v>7541</v>
      </c>
      <c r="C263" s="3">
        <v>2024</v>
      </c>
      <c r="D263" s="3" t="s">
        <v>2657</v>
      </c>
      <c r="E263" s="3" t="s">
        <v>496</v>
      </c>
      <c r="F263" s="1" t="s">
        <v>7834</v>
      </c>
      <c r="G263" s="10"/>
      <c r="H263" s="10"/>
      <c r="I263" s="10"/>
      <c r="J263" s="10"/>
      <c r="K263" s="10"/>
      <c r="L263" s="3" t="s">
        <v>7550</v>
      </c>
      <c r="M263" s="3" t="s">
        <v>7551</v>
      </c>
      <c r="N263" s="3" t="s">
        <v>7552</v>
      </c>
      <c r="O263" s="3"/>
      <c r="P263" s="3"/>
      <c r="Q263" s="3">
        <v>57</v>
      </c>
      <c r="R263" s="3" t="s">
        <v>7553</v>
      </c>
      <c r="S263" s="3">
        <v>0</v>
      </c>
      <c r="T263" s="3" t="s">
        <v>119</v>
      </c>
      <c r="U263" s="11">
        <v>92</v>
      </c>
      <c r="V263" s="3" t="s">
        <v>7541</v>
      </c>
      <c r="W263" s="8" t="s">
        <v>7834</v>
      </c>
    </row>
    <row r="264" spans="1:23" x14ac:dyDescent="0.25">
      <c r="A264" s="2">
        <v>1941</v>
      </c>
      <c r="B264" s="3" t="s">
        <v>7541</v>
      </c>
      <c r="C264" s="3">
        <v>2024</v>
      </c>
      <c r="D264" s="3" t="s">
        <v>1395</v>
      </c>
      <c r="E264" s="3" t="s">
        <v>496</v>
      </c>
      <c r="F264" s="1" t="s">
        <v>7834</v>
      </c>
      <c r="G264" s="10"/>
      <c r="H264" s="10"/>
      <c r="I264" s="10"/>
      <c r="J264" s="10"/>
      <c r="K264" s="10"/>
      <c r="L264" s="3" t="s">
        <v>7567</v>
      </c>
      <c r="M264" s="3" t="s">
        <v>7568</v>
      </c>
      <c r="N264" s="3" t="s">
        <v>7569</v>
      </c>
      <c r="O264" s="3"/>
      <c r="P264" s="3"/>
      <c r="Q264" s="3">
        <v>123</v>
      </c>
      <c r="R264" s="3" t="s">
        <v>7570</v>
      </c>
      <c r="S264" s="3">
        <v>0</v>
      </c>
      <c r="T264" s="3" t="s">
        <v>119</v>
      </c>
      <c r="U264" s="11">
        <v>93</v>
      </c>
      <c r="V264" s="3" t="s">
        <v>7541</v>
      </c>
      <c r="W264" s="8" t="s">
        <v>7834</v>
      </c>
    </row>
    <row r="265" spans="1:23" x14ac:dyDescent="0.25">
      <c r="A265" s="2">
        <v>1943</v>
      </c>
      <c r="B265" s="3" t="s">
        <v>7541</v>
      </c>
      <c r="C265" s="3">
        <v>2024</v>
      </c>
      <c r="D265" s="3" t="s">
        <v>1395</v>
      </c>
      <c r="E265" s="3" t="s">
        <v>496</v>
      </c>
      <c r="F265" s="1" t="s">
        <v>7834</v>
      </c>
      <c r="G265" s="10"/>
      <c r="H265" s="10"/>
      <c r="I265" s="10"/>
      <c r="J265" s="10"/>
      <c r="K265" s="10"/>
      <c r="L265" s="3" t="s">
        <v>7574</v>
      </c>
      <c r="M265" s="3" t="s">
        <v>7575</v>
      </c>
      <c r="N265" s="3" t="s">
        <v>7576</v>
      </c>
      <c r="O265" s="3"/>
      <c r="P265" s="3"/>
      <c r="Q265" s="3"/>
      <c r="R265" s="3" t="s">
        <v>7570</v>
      </c>
      <c r="S265" s="3">
        <v>0</v>
      </c>
      <c r="T265" s="3" t="s">
        <v>119</v>
      </c>
      <c r="U265" s="11">
        <v>94</v>
      </c>
      <c r="V265" s="3" t="s">
        <v>7541</v>
      </c>
      <c r="W265" s="8" t="s">
        <v>7834</v>
      </c>
    </row>
    <row r="266" spans="1:23" x14ac:dyDescent="0.25">
      <c r="A266" s="2">
        <v>1944</v>
      </c>
      <c r="B266" s="3" t="s">
        <v>7541</v>
      </c>
      <c r="C266" s="3">
        <v>2024</v>
      </c>
      <c r="D266" s="3" t="s">
        <v>107</v>
      </c>
      <c r="E266" s="3" t="s">
        <v>496</v>
      </c>
      <c r="F266" s="1" t="s">
        <v>7834</v>
      </c>
      <c r="G266" s="10"/>
      <c r="H266" s="10">
        <v>4</v>
      </c>
      <c r="I266" s="10"/>
      <c r="J266" s="10"/>
      <c r="K266" s="10"/>
      <c r="L266" s="3" t="s">
        <v>7577</v>
      </c>
      <c r="M266" s="3" t="s">
        <v>7555</v>
      </c>
      <c r="N266" s="3" t="s">
        <v>5089</v>
      </c>
      <c r="O266" s="3"/>
      <c r="P266" s="3"/>
      <c r="Q266" s="3"/>
      <c r="R266" s="3">
        <v>0</v>
      </c>
      <c r="S266" s="3">
        <v>0</v>
      </c>
      <c r="T266" s="3" t="s">
        <v>119</v>
      </c>
      <c r="U266" s="11">
        <v>95</v>
      </c>
      <c r="V266" s="3" t="s">
        <v>7541</v>
      </c>
      <c r="W266" s="8" t="s">
        <v>7834</v>
      </c>
    </row>
    <row r="267" spans="1:23" x14ac:dyDescent="0.25">
      <c r="A267" s="2">
        <v>1951</v>
      </c>
      <c r="B267" s="3" t="s">
        <v>7578</v>
      </c>
      <c r="C267" s="3">
        <v>2024</v>
      </c>
      <c r="D267" s="3" t="s">
        <v>86</v>
      </c>
      <c r="E267" s="3" t="s">
        <v>496</v>
      </c>
      <c r="F267" s="1" t="s">
        <v>7834</v>
      </c>
      <c r="G267" s="10"/>
      <c r="H267" s="10"/>
      <c r="I267" s="10"/>
      <c r="J267" s="10"/>
      <c r="K267" s="10"/>
      <c r="L267" s="3" t="s">
        <v>7607</v>
      </c>
      <c r="M267" s="3" t="s">
        <v>7608</v>
      </c>
      <c r="N267" s="3" t="s">
        <v>5077</v>
      </c>
      <c r="O267" s="3"/>
      <c r="P267" s="3"/>
      <c r="Q267" s="3"/>
      <c r="R267" s="3"/>
      <c r="S267" s="3" t="s">
        <v>7609</v>
      </c>
      <c r="T267" s="3" t="s">
        <v>119</v>
      </c>
      <c r="U267" s="11">
        <v>96</v>
      </c>
      <c r="V267" s="3" t="s">
        <v>7578</v>
      </c>
      <c r="W267" s="8" t="s">
        <v>7834</v>
      </c>
    </row>
    <row r="268" spans="1:23" x14ac:dyDescent="0.25">
      <c r="A268" s="2">
        <v>1953</v>
      </c>
      <c r="B268" s="3" t="s">
        <v>7578</v>
      </c>
      <c r="C268" s="3">
        <v>2024</v>
      </c>
      <c r="D268" s="3" t="s">
        <v>63</v>
      </c>
      <c r="E268" s="3" t="s">
        <v>496</v>
      </c>
      <c r="F268" s="1" t="s">
        <v>7834</v>
      </c>
      <c r="G268" s="10"/>
      <c r="H268" s="10"/>
      <c r="I268" s="10"/>
      <c r="J268" s="10"/>
      <c r="K268" s="10"/>
      <c r="L268" s="3" t="s">
        <v>7614</v>
      </c>
      <c r="M268" s="3" t="s">
        <v>7615</v>
      </c>
      <c r="N268" s="3" t="s">
        <v>7616</v>
      </c>
      <c r="O268" s="3"/>
      <c r="P268" s="3"/>
      <c r="Q268" s="3">
        <v>49</v>
      </c>
      <c r="R268" s="3"/>
      <c r="S268" s="3" t="s">
        <v>7617</v>
      </c>
      <c r="T268" s="3" t="s">
        <v>119</v>
      </c>
      <c r="U268" s="11">
        <v>97</v>
      </c>
      <c r="V268" s="3" t="s">
        <v>7578</v>
      </c>
      <c r="W268" s="8" t="s">
        <v>7834</v>
      </c>
    </row>
    <row r="269" spans="1:23" x14ac:dyDescent="0.25">
      <c r="A269" s="2">
        <v>1959</v>
      </c>
      <c r="B269" s="3" t="s">
        <v>7578</v>
      </c>
      <c r="C269" s="3">
        <v>2024</v>
      </c>
      <c r="D269" s="3" t="s">
        <v>2554</v>
      </c>
      <c r="E269" s="3" t="s">
        <v>496</v>
      </c>
      <c r="F269" s="1" t="s">
        <v>7834</v>
      </c>
      <c r="G269" s="10"/>
      <c r="H269" s="10">
        <v>4</v>
      </c>
      <c r="I269" s="10"/>
      <c r="J269" s="10"/>
      <c r="K269" s="10"/>
      <c r="L269" s="3" t="s">
        <v>7636</v>
      </c>
      <c r="M269" s="3" t="s">
        <v>7637</v>
      </c>
      <c r="N269" s="3" t="s">
        <v>7638</v>
      </c>
      <c r="O269" s="3"/>
      <c r="P269" s="3"/>
      <c r="Q269" s="3">
        <v>133</v>
      </c>
      <c r="R269" s="3"/>
      <c r="S269" s="3" t="s">
        <v>7639</v>
      </c>
      <c r="T269" s="3" t="s">
        <v>119</v>
      </c>
      <c r="U269" s="11">
        <v>98</v>
      </c>
      <c r="V269" s="3" t="s">
        <v>7578</v>
      </c>
      <c r="W269" s="8" t="s">
        <v>7834</v>
      </c>
    </row>
    <row r="270" spans="1:23" x14ac:dyDescent="0.25">
      <c r="A270" s="2">
        <v>23</v>
      </c>
      <c r="B270" s="3" t="s">
        <v>13</v>
      </c>
      <c r="C270" s="3">
        <v>2024</v>
      </c>
      <c r="D270" s="3" t="s">
        <v>100</v>
      </c>
      <c r="E270" s="3" t="s">
        <v>15</v>
      </c>
      <c r="F270" s="1" t="s">
        <v>7834</v>
      </c>
      <c r="G270" s="10"/>
      <c r="H270" s="10"/>
      <c r="I270" s="10"/>
      <c r="J270" s="10"/>
      <c r="K270" s="10"/>
      <c r="L270" s="3" t="s">
        <v>101</v>
      </c>
      <c r="M270" s="3" t="s">
        <v>102</v>
      </c>
      <c r="N270" s="3" t="s">
        <v>103</v>
      </c>
      <c r="O270" s="3">
        <v>45</v>
      </c>
      <c r="P270" s="3">
        <v>4</v>
      </c>
      <c r="Q270" s="3"/>
      <c r="R270" s="3" t="s">
        <v>104</v>
      </c>
      <c r="S270" s="3" t="s">
        <v>105</v>
      </c>
      <c r="T270" s="3" t="s">
        <v>106</v>
      </c>
      <c r="U270" s="11">
        <v>1</v>
      </c>
      <c r="V270" s="3" t="s">
        <v>13</v>
      </c>
      <c r="W270" s="8" t="s">
        <v>7834</v>
      </c>
    </row>
    <row r="271" spans="1:23" x14ac:dyDescent="0.25">
      <c r="A271" s="2">
        <v>67</v>
      </c>
      <c r="B271" s="3" t="s">
        <v>155</v>
      </c>
      <c r="C271" s="3">
        <v>2024</v>
      </c>
      <c r="D271" s="3" t="s">
        <v>215</v>
      </c>
      <c r="E271" s="3" t="s">
        <v>114</v>
      </c>
      <c r="F271" s="1" t="s">
        <v>7834</v>
      </c>
      <c r="G271" s="10"/>
      <c r="H271" s="10"/>
      <c r="I271" s="10"/>
      <c r="J271" s="10"/>
      <c r="K271" s="10"/>
      <c r="L271" s="3" t="s">
        <v>286</v>
      </c>
      <c r="M271" s="3" t="s">
        <v>287</v>
      </c>
      <c r="N271" s="3" t="s">
        <v>288</v>
      </c>
      <c r="O271" s="3">
        <v>382</v>
      </c>
      <c r="P271" s="3"/>
      <c r="Q271" s="3">
        <v>30</v>
      </c>
      <c r="R271" s="3" t="s">
        <v>289</v>
      </c>
      <c r="S271" s="3" t="s">
        <v>290</v>
      </c>
      <c r="T271" s="3" t="s">
        <v>106</v>
      </c>
      <c r="U271" s="11">
        <v>1</v>
      </c>
      <c r="V271" s="3" t="s">
        <v>155</v>
      </c>
      <c r="W271" s="8" t="s">
        <v>7834</v>
      </c>
    </row>
    <row r="272" spans="1:23" x14ac:dyDescent="0.25">
      <c r="A272" s="2">
        <v>68</v>
      </c>
      <c r="B272" s="3" t="s">
        <v>155</v>
      </c>
      <c r="C272" s="3">
        <v>2024</v>
      </c>
      <c r="D272" s="3" t="s">
        <v>215</v>
      </c>
      <c r="E272" s="3" t="s">
        <v>114</v>
      </c>
      <c r="F272" s="1" t="s">
        <v>7834</v>
      </c>
      <c r="G272" s="10"/>
      <c r="H272" s="10"/>
      <c r="I272" s="10">
        <v>2</v>
      </c>
      <c r="J272" s="10"/>
      <c r="K272" s="10"/>
      <c r="L272" s="3" t="s">
        <v>291</v>
      </c>
      <c r="M272" s="3" t="s">
        <v>292</v>
      </c>
      <c r="N272" s="3" t="s">
        <v>288</v>
      </c>
      <c r="O272" s="3">
        <v>382</v>
      </c>
      <c r="P272" s="3"/>
      <c r="Q272" s="3">
        <v>66</v>
      </c>
      <c r="R272" s="3" t="s">
        <v>289</v>
      </c>
      <c r="S272" s="3" t="s">
        <v>293</v>
      </c>
      <c r="T272" s="3" t="s">
        <v>106</v>
      </c>
      <c r="U272" s="11">
        <v>2</v>
      </c>
      <c r="V272" s="3" t="s">
        <v>155</v>
      </c>
      <c r="W272" s="8" t="s">
        <v>7834</v>
      </c>
    </row>
    <row r="273" spans="1:23" x14ac:dyDescent="0.25">
      <c r="A273" s="2">
        <v>104</v>
      </c>
      <c r="B273" s="3" t="s">
        <v>408</v>
      </c>
      <c r="C273" s="3">
        <v>2024</v>
      </c>
      <c r="D273" s="3" t="s">
        <v>495</v>
      </c>
      <c r="E273" s="3" t="s">
        <v>496</v>
      </c>
      <c r="F273" s="1" t="s">
        <v>7834</v>
      </c>
      <c r="G273" s="10"/>
      <c r="H273" s="10">
        <v>1</v>
      </c>
      <c r="I273" s="10"/>
      <c r="J273" s="10"/>
      <c r="K273" s="10"/>
      <c r="L273" s="3" t="s">
        <v>497</v>
      </c>
      <c r="M273" s="3" t="s">
        <v>498</v>
      </c>
      <c r="N273" s="3" t="s">
        <v>499</v>
      </c>
      <c r="O273" s="3"/>
      <c r="P273" s="3"/>
      <c r="Q273" s="3"/>
      <c r="R273" s="3" t="s">
        <v>413</v>
      </c>
      <c r="S273" s="3" t="s">
        <v>500</v>
      </c>
      <c r="T273" s="3" t="s">
        <v>106</v>
      </c>
      <c r="U273" s="11">
        <v>3</v>
      </c>
      <c r="V273" s="3" t="s">
        <v>408</v>
      </c>
      <c r="W273" s="8" t="s">
        <v>7834</v>
      </c>
    </row>
    <row r="274" spans="1:23" x14ac:dyDescent="0.25">
      <c r="A274" s="2">
        <v>110</v>
      </c>
      <c r="B274" s="3" t="s">
        <v>501</v>
      </c>
      <c r="C274" s="3">
        <v>2024</v>
      </c>
      <c r="D274" s="3" t="s">
        <v>530</v>
      </c>
      <c r="E274" s="3" t="s">
        <v>15</v>
      </c>
      <c r="F274" s="1" t="s">
        <v>7834</v>
      </c>
      <c r="G274" s="10"/>
      <c r="H274" s="10"/>
      <c r="I274" s="10"/>
      <c r="J274" s="10"/>
      <c r="K274" s="10"/>
      <c r="L274" s="3" t="s">
        <v>531</v>
      </c>
      <c r="M274" s="3" t="s">
        <v>532</v>
      </c>
      <c r="N274" s="3" t="s">
        <v>533</v>
      </c>
      <c r="O274" s="3">
        <v>31</v>
      </c>
      <c r="P274" s="3">
        <v>2</v>
      </c>
      <c r="Q274" s="3">
        <v>286</v>
      </c>
      <c r="R274" s="3" t="s">
        <v>534</v>
      </c>
      <c r="S274" s="3" t="s">
        <v>535</v>
      </c>
      <c r="T274" s="3" t="s">
        <v>106</v>
      </c>
      <c r="U274" s="11">
        <v>4</v>
      </c>
      <c r="V274" s="3" t="s">
        <v>501</v>
      </c>
      <c r="W274" s="8" t="s">
        <v>7834</v>
      </c>
    </row>
    <row r="275" spans="1:23" x14ac:dyDescent="0.25">
      <c r="A275" s="2">
        <v>127</v>
      </c>
      <c r="B275" s="3" t="s">
        <v>501</v>
      </c>
      <c r="C275" s="3">
        <v>2024</v>
      </c>
      <c r="D275" s="3" t="s">
        <v>82</v>
      </c>
      <c r="E275" s="3" t="s">
        <v>15</v>
      </c>
      <c r="F275" s="1" t="s">
        <v>7834</v>
      </c>
      <c r="G275" s="10"/>
      <c r="H275" s="10"/>
      <c r="I275" s="10"/>
      <c r="J275" s="10"/>
      <c r="K275" s="10"/>
      <c r="L275" s="3" t="s">
        <v>622</v>
      </c>
      <c r="M275" s="3" t="s">
        <v>623</v>
      </c>
      <c r="N275" s="3" t="s">
        <v>624</v>
      </c>
      <c r="O275" s="3">
        <v>35</v>
      </c>
      <c r="P275" s="3">
        <v>5</v>
      </c>
      <c r="Q275" s="3">
        <v>528</v>
      </c>
      <c r="R275" s="3" t="s">
        <v>625</v>
      </c>
      <c r="S275" s="3" t="s">
        <v>626</v>
      </c>
      <c r="T275" s="3" t="s">
        <v>106</v>
      </c>
      <c r="U275" s="11">
        <v>5</v>
      </c>
      <c r="V275" s="3" t="s">
        <v>501</v>
      </c>
      <c r="W275" s="8" t="s">
        <v>7834</v>
      </c>
    </row>
    <row r="276" spans="1:23" x14ac:dyDescent="0.25">
      <c r="A276" s="2">
        <v>153</v>
      </c>
      <c r="B276" s="3" t="s">
        <v>501</v>
      </c>
      <c r="C276" s="3">
        <v>2024</v>
      </c>
      <c r="D276" s="3" t="s">
        <v>265</v>
      </c>
      <c r="E276" s="3" t="s">
        <v>15</v>
      </c>
      <c r="F276" s="1" t="s">
        <v>7834</v>
      </c>
      <c r="G276" s="10"/>
      <c r="H276" s="10"/>
      <c r="I276" s="10"/>
      <c r="J276" s="10"/>
      <c r="K276" s="10"/>
      <c r="L276" s="3" t="s">
        <v>764</v>
      </c>
      <c r="M276" s="3" t="s">
        <v>765</v>
      </c>
      <c r="N276" s="3" t="s">
        <v>766</v>
      </c>
      <c r="O276" s="3"/>
      <c r="P276" s="3"/>
      <c r="Q276" s="3"/>
      <c r="R276" s="3" t="s">
        <v>767</v>
      </c>
      <c r="S276" s="3" t="s">
        <v>768</v>
      </c>
      <c r="T276" s="3" t="s">
        <v>106</v>
      </c>
      <c r="U276" s="11">
        <v>6</v>
      </c>
      <c r="V276" s="3" t="s">
        <v>501</v>
      </c>
      <c r="W276" s="8" t="s">
        <v>7834</v>
      </c>
    </row>
    <row r="277" spans="1:23" x14ac:dyDescent="0.25">
      <c r="A277" s="2">
        <v>221</v>
      </c>
      <c r="B277" s="3" t="s">
        <v>774</v>
      </c>
      <c r="C277" s="3">
        <v>2024</v>
      </c>
      <c r="D277" s="3" t="s">
        <v>1059</v>
      </c>
      <c r="E277" s="3" t="s">
        <v>114</v>
      </c>
      <c r="F277" s="1" t="s">
        <v>7834</v>
      </c>
      <c r="G277" s="10"/>
      <c r="H277" s="10"/>
      <c r="I277" s="10"/>
      <c r="J277" s="10"/>
      <c r="K277" s="10"/>
      <c r="L277" s="3" t="s">
        <v>1060</v>
      </c>
      <c r="M277" s="3" t="s">
        <v>1061</v>
      </c>
      <c r="N277" s="3" t="s">
        <v>1055</v>
      </c>
      <c r="O277" s="3"/>
      <c r="P277" s="3"/>
      <c r="Q277" s="3"/>
      <c r="R277" s="3"/>
      <c r="S277" s="3" t="s">
        <v>1062</v>
      </c>
      <c r="T277" s="3" t="s">
        <v>106</v>
      </c>
      <c r="U277" s="11">
        <v>7</v>
      </c>
      <c r="V277" s="3" t="s">
        <v>774</v>
      </c>
      <c r="W277" s="8" t="s">
        <v>7834</v>
      </c>
    </row>
    <row r="278" spans="1:23" x14ac:dyDescent="0.25">
      <c r="A278" s="2">
        <v>222</v>
      </c>
      <c r="B278" s="3" t="s">
        <v>774</v>
      </c>
      <c r="C278" s="3">
        <v>2024</v>
      </c>
      <c r="D278" s="3" t="s">
        <v>1063</v>
      </c>
      <c r="E278" s="3" t="s">
        <v>114</v>
      </c>
      <c r="F278" s="1" t="s">
        <v>7834</v>
      </c>
      <c r="G278" s="10"/>
      <c r="H278" s="10"/>
      <c r="I278" s="10"/>
      <c r="J278" s="10"/>
      <c r="K278" s="10"/>
      <c r="L278" s="3" t="s">
        <v>1064</v>
      </c>
      <c r="M278" s="3" t="s">
        <v>1065</v>
      </c>
      <c r="N278" s="3" t="s">
        <v>1055</v>
      </c>
      <c r="O278" s="3"/>
      <c r="P278" s="3"/>
      <c r="Q278" s="3"/>
      <c r="R278" s="3"/>
      <c r="S278" s="3" t="s">
        <v>1066</v>
      </c>
      <c r="T278" s="3" t="s">
        <v>106</v>
      </c>
      <c r="U278" s="11">
        <v>8</v>
      </c>
      <c r="V278" s="3" t="s">
        <v>774</v>
      </c>
      <c r="W278" s="8" t="s">
        <v>7834</v>
      </c>
    </row>
    <row r="279" spans="1:23" x14ac:dyDescent="0.25">
      <c r="A279" s="2">
        <v>237</v>
      </c>
      <c r="B279" s="3" t="s">
        <v>1126</v>
      </c>
      <c r="C279" s="3">
        <v>2024</v>
      </c>
      <c r="D279" s="3" t="s">
        <v>573</v>
      </c>
      <c r="E279" s="3" t="s">
        <v>15</v>
      </c>
      <c r="F279" s="1" t="s">
        <v>7834</v>
      </c>
      <c r="G279" s="10"/>
      <c r="H279" s="10"/>
      <c r="I279" s="10"/>
      <c r="J279" s="10"/>
      <c r="K279" s="10"/>
      <c r="L279" s="3" t="s">
        <v>1127</v>
      </c>
      <c r="M279" s="3" t="s">
        <v>1128</v>
      </c>
      <c r="N279" s="3" t="s">
        <v>1129</v>
      </c>
      <c r="O279" s="3">
        <v>14579</v>
      </c>
      <c r="P279" s="3"/>
      <c r="Q279" s="3">
        <v>114</v>
      </c>
      <c r="R279" s="3" t="s">
        <v>1130</v>
      </c>
      <c r="S279" s="3" t="s">
        <v>1131</v>
      </c>
      <c r="T279" s="3" t="s">
        <v>106</v>
      </c>
      <c r="U279" s="11">
        <v>9</v>
      </c>
      <c r="V279" s="3" t="s">
        <v>1126</v>
      </c>
      <c r="W279" s="8" t="s">
        <v>7834</v>
      </c>
    </row>
    <row r="280" spans="1:23" x14ac:dyDescent="0.25">
      <c r="A280" s="2">
        <v>248</v>
      </c>
      <c r="B280" s="3" t="s">
        <v>1126</v>
      </c>
      <c r="C280" s="3">
        <v>2024</v>
      </c>
      <c r="D280" s="3" t="s">
        <v>1177</v>
      </c>
      <c r="E280" s="3" t="s">
        <v>15</v>
      </c>
      <c r="F280" s="1" t="s">
        <v>7834</v>
      </c>
      <c r="G280" s="10"/>
      <c r="H280" s="10"/>
      <c r="I280" s="10"/>
      <c r="J280" s="10"/>
      <c r="K280" s="10"/>
      <c r="L280" s="3" t="s">
        <v>1178</v>
      </c>
      <c r="M280" s="3" t="s">
        <v>1179</v>
      </c>
      <c r="N280" s="3" t="s">
        <v>1180</v>
      </c>
      <c r="O280" s="3">
        <v>19</v>
      </c>
      <c r="P280" s="3">
        <v>2</v>
      </c>
      <c r="Q280" s="3">
        <v>262</v>
      </c>
      <c r="R280" s="3" t="s">
        <v>1181</v>
      </c>
      <c r="S280" s="3" t="s">
        <v>1182</v>
      </c>
      <c r="T280" s="3" t="s">
        <v>106</v>
      </c>
      <c r="U280" s="11">
        <v>10</v>
      </c>
      <c r="V280" s="3" t="s">
        <v>1126</v>
      </c>
      <c r="W280" s="8" t="s">
        <v>7834</v>
      </c>
    </row>
    <row r="281" spans="1:23" x14ac:dyDescent="0.25">
      <c r="A281" s="2">
        <v>273</v>
      </c>
      <c r="B281" s="3" t="s">
        <v>1126</v>
      </c>
      <c r="C281" s="3">
        <v>2024</v>
      </c>
      <c r="D281" s="3" t="s">
        <v>627</v>
      </c>
      <c r="E281" s="3" t="s">
        <v>15</v>
      </c>
      <c r="F281" s="1" t="s">
        <v>7834</v>
      </c>
      <c r="G281" s="10"/>
      <c r="H281" s="10"/>
      <c r="I281" s="10"/>
      <c r="J281" s="10"/>
      <c r="K281" s="10"/>
      <c r="L281" s="3" t="s">
        <v>1300</v>
      </c>
      <c r="M281" s="3" t="s">
        <v>1301</v>
      </c>
      <c r="N281" s="3" t="s">
        <v>1302</v>
      </c>
      <c r="O281" s="3">
        <v>14899</v>
      </c>
      <c r="P281" s="3"/>
      <c r="Q281" s="3">
        <v>204</v>
      </c>
      <c r="R281" s="3" t="s">
        <v>1130</v>
      </c>
      <c r="S281" s="3" t="s">
        <v>1303</v>
      </c>
      <c r="T281" s="3" t="s">
        <v>106</v>
      </c>
      <c r="U281" s="11">
        <v>11</v>
      </c>
      <c r="V281" s="3" t="s">
        <v>1126</v>
      </c>
      <c r="W281" s="8" t="s">
        <v>7834</v>
      </c>
    </row>
    <row r="282" spans="1:23" x14ac:dyDescent="0.25">
      <c r="A282" s="2">
        <v>283</v>
      </c>
      <c r="B282" s="3" t="s">
        <v>1126</v>
      </c>
      <c r="C282" s="3">
        <v>2024</v>
      </c>
      <c r="D282" s="3" t="s">
        <v>639</v>
      </c>
      <c r="E282" s="3" t="s">
        <v>15</v>
      </c>
      <c r="F282" s="1" t="s">
        <v>7834</v>
      </c>
      <c r="G282" s="10"/>
      <c r="H282" s="10"/>
      <c r="I282" s="10"/>
      <c r="J282" s="10"/>
      <c r="K282" s="10"/>
      <c r="L282" s="3" t="s">
        <v>1339</v>
      </c>
      <c r="M282" s="3" t="s">
        <v>1340</v>
      </c>
      <c r="N282" s="3" t="s">
        <v>1341</v>
      </c>
      <c r="O282" s="3">
        <v>33</v>
      </c>
      <c r="P282" s="3">
        <v>49</v>
      </c>
      <c r="Q282" s="3">
        <v>186</v>
      </c>
      <c r="R282" s="3" t="s">
        <v>1342</v>
      </c>
      <c r="S282" s="3" t="s">
        <v>1343</v>
      </c>
      <c r="T282" s="3" t="s">
        <v>106</v>
      </c>
      <c r="U282" s="11">
        <v>12</v>
      </c>
      <c r="V282" s="3" t="s">
        <v>1126</v>
      </c>
      <c r="W282" s="8" t="s">
        <v>7834</v>
      </c>
    </row>
    <row r="283" spans="1:23" x14ac:dyDescent="0.25">
      <c r="A283" s="2">
        <v>306</v>
      </c>
      <c r="B283" s="3" t="s">
        <v>1126</v>
      </c>
      <c r="C283" s="3">
        <v>2024</v>
      </c>
      <c r="D283" s="3" t="s">
        <v>1445</v>
      </c>
      <c r="E283" s="3" t="s">
        <v>15</v>
      </c>
      <c r="F283" s="1" t="s">
        <v>7834</v>
      </c>
      <c r="G283" s="10"/>
      <c r="H283" s="10"/>
      <c r="I283" s="10"/>
      <c r="J283" s="10"/>
      <c r="K283" s="10"/>
      <c r="L283" s="3" t="s">
        <v>1446</v>
      </c>
      <c r="M283" s="3" t="s">
        <v>1447</v>
      </c>
      <c r="N283" s="3" t="s">
        <v>1448</v>
      </c>
      <c r="O283" s="3">
        <v>14610</v>
      </c>
      <c r="P283" s="3"/>
      <c r="Q283" s="3">
        <v>486</v>
      </c>
      <c r="R283" s="3">
        <v>3029743</v>
      </c>
      <c r="S283" s="3" t="s">
        <v>1449</v>
      </c>
      <c r="T283" s="3" t="s">
        <v>106</v>
      </c>
      <c r="U283" s="11">
        <v>13</v>
      </c>
      <c r="V283" s="3" t="s">
        <v>1126</v>
      </c>
      <c r="W283" s="8" t="s">
        <v>7834</v>
      </c>
    </row>
    <row r="284" spans="1:23" x14ac:dyDescent="0.25">
      <c r="A284" s="2">
        <v>325</v>
      </c>
      <c r="B284" s="3" t="s">
        <v>1126</v>
      </c>
      <c r="C284" s="3">
        <v>2024</v>
      </c>
      <c r="D284" s="3" t="s">
        <v>627</v>
      </c>
      <c r="E284" s="3" t="s">
        <v>15</v>
      </c>
      <c r="F284" s="1" t="s">
        <v>7834</v>
      </c>
      <c r="G284" s="10">
        <v>60</v>
      </c>
      <c r="H284" s="10"/>
      <c r="I284" s="10"/>
      <c r="J284" s="10"/>
      <c r="K284" s="10"/>
      <c r="L284" s="3" t="s">
        <v>1530</v>
      </c>
      <c r="M284" s="3" t="s">
        <v>1531</v>
      </c>
      <c r="N284" s="3" t="s">
        <v>1302</v>
      </c>
      <c r="O284" s="3">
        <v>14899</v>
      </c>
      <c r="P284" s="3"/>
      <c r="Q284" s="3">
        <v>218</v>
      </c>
      <c r="R284" s="3" t="s">
        <v>1130</v>
      </c>
      <c r="S284" s="3" t="s">
        <v>1532</v>
      </c>
      <c r="T284" s="3" t="s">
        <v>106</v>
      </c>
      <c r="U284" s="11">
        <v>14</v>
      </c>
      <c r="V284" s="3" t="s">
        <v>1126</v>
      </c>
      <c r="W284" s="8" t="s">
        <v>7834</v>
      </c>
    </row>
    <row r="285" spans="1:23" x14ac:dyDescent="0.25">
      <c r="A285" s="2">
        <v>365</v>
      </c>
      <c r="B285" s="3" t="s">
        <v>1547</v>
      </c>
      <c r="C285" s="3">
        <v>2024</v>
      </c>
      <c r="D285" s="3" t="s">
        <v>1669</v>
      </c>
      <c r="E285" s="3" t="s">
        <v>15</v>
      </c>
      <c r="F285" s="1" t="s">
        <v>7834</v>
      </c>
      <c r="G285" s="10"/>
      <c r="H285" s="10"/>
      <c r="I285" s="10"/>
      <c r="J285" s="10"/>
      <c r="K285" s="10"/>
      <c r="L285" s="3" t="s">
        <v>1718</v>
      </c>
      <c r="M285" s="3" t="s">
        <v>1719</v>
      </c>
      <c r="N285" s="3" t="s">
        <v>1720</v>
      </c>
      <c r="O285" s="3">
        <v>47</v>
      </c>
      <c r="P285" s="3">
        <v>4</v>
      </c>
      <c r="Q285" s="3"/>
      <c r="R285" s="3" t="s">
        <v>1721</v>
      </c>
      <c r="S285" s="3" t="s">
        <v>1722</v>
      </c>
      <c r="T285" s="3" t="s">
        <v>106</v>
      </c>
      <c r="U285" s="11">
        <v>15</v>
      </c>
      <c r="V285" s="3" t="s">
        <v>1547</v>
      </c>
      <c r="W285" s="8" t="s">
        <v>7834</v>
      </c>
    </row>
    <row r="286" spans="1:23" x14ac:dyDescent="0.25">
      <c r="A286" s="2">
        <v>410</v>
      </c>
      <c r="B286" s="3" t="s">
        <v>1904</v>
      </c>
      <c r="C286" s="3">
        <v>2024</v>
      </c>
      <c r="D286" s="3" t="s">
        <v>999</v>
      </c>
      <c r="E286" s="3" t="s">
        <v>15</v>
      </c>
      <c r="F286" s="1" t="s">
        <v>7834</v>
      </c>
      <c r="G286" s="10"/>
      <c r="H286" s="10"/>
      <c r="I286" s="10"/>
      <c r="J286" s="10"/>
      <c r="K286" s="10"/>
      <c r="L286" s="3" t="s">
        <v>1924</v>
      </c>
      <c r="M286" s="3" t="s">
        <v>1925</v>
      </c>
      <c r="N286" s="3" t="s">
        <v>1926</v>
      </c>
      <c r="O286" s="3">
        <v>54</v>
      </c>
      <c r="P286" s="3">
        <v>2</v>
      </c>
      <c r="Q286" s="3">
        <v>249</v>
      </c>
      <c r="R286" s="3" t="s">
        <v>1927</v>
      </c>
      <c r="S286" s="3" t="s">
        <v>1928</v>
      </c>
      <c r="T286" s="3" t="s">
        <v>106</v>
      </c>
      <c r="U286" s="11">
        <v>16</v>
      </c>
      <c r="V286" s="3" t="s">
        <v>1904</v>
      </c>
      <c r="W286" s="8" t="s">
        <v>7834</v>
      </c>
    </row>
    <row r="287" spans="1:23" x14ac:dyDescent="0.25">
      <c r="A287" s="2">
        <v>740</v>
      </c>
      <c r="B287" s="3" t="s">
        <v>3027</v>
      </c>
      <c r="C287" s="3">
        <v>2024</v>
      </c>
      <c r="D287" s="3" t="s">
        <v>736</v>
      </c>
      <c r="E287" s="3" t="s">
        <v>206</v>
      </c>
      <c r="F287" s="1" t="s">
        <v>7834</v>
      </c>
      <c r="G287" s="10"/>
      <c r="H287" s="10"/>
      <c r="I287" s="10"/>
      <c r="J287" s="10"/>
      <c r="K287" s="10">
        <v>3</v>
      </c>
      <c r="L287" s="3" t="s">
        <v>3096</v>
      </c>
      <c r="M287" s="3" t="s">
        <v>3097</v>
      </c>
      <c r="N287" s="3" t="s">
        <v>3098</v>
      </c>
      <c r="O287" s="3"/>
      <c r="P287" s="3"/>
      <c r="Q287" s="3"/>
      <c r="R287" s="3" t="s">
        <v>3090</v>
      </c>
      <c r="S287" s="3" t="s">
        <v>3099</v>
      </c>
      <c r="T287" s="3" t="s">
        <v>106</v>
      </c>
      <c r="U287" s="11">
        <v>17</v>
      </c>
      <c r="V287" s="3" t="s">
        <v>3027</v>
      </c>
      <c r="W287" s="8" t="s">
        <v>7834</v>
      </c>
    </row>
    <row r="288" spans="1:23" x14ac:dyDescent="0.25">
      <c r="A288" s="2">
        <v>764</v>
      </c>
      <c r="B288" s="3" t="s">
        <v>3154</v>
      </c>
      <c r="C288" s="3">
        <v>2024</v>
      </c>
      <c r="D288" s="3" t="s">
        <v>409</v>
      </c>
      <c r="E288" s="3" t="s">
        <v>114</v>
      </c>
      <c r="F288" s="1" t="s">
        <v>7834</v>
      </c>
      <c r="G288" s="10"/>
      <c r="H288" s="10"/>
      <c r="I288" s="10"/>
      <c r="J288" s="10"/>
      <c r="K288" s="10"/>
      <c r="L288" s="3" t="s">
        <v>3191</v>
      </c>
      <c r="M288" s="3" t="s">
        <v>3192</v>
      </c>
      <c r="N288" s="3" t="s">
        <v>3193</v>
      </c>
      <c r="O288" s="3">
        <v>0</v>
      </c>
      <c r="P288" s="3">
        <v>0</v>
      </c>
      <c r="Q288" s="6">
        <v>45809</v>
      </c>
      <c r="R288" s="3">
        <v>0</v>
      </c>
      <c r="S288" s="3" t="s">
        <v>3194</v>
      </c>
      <c r="T288" s="3" t="s">
        <v>106</v>
      </c>
      <c r="U288" s="11">
        <v>18</v>
      </c>
      <c r="V288" s="3" t="s">
        <v>3154</v>
      </c>
      <c r="W288" s="8" t="s">
        <v>7834</v>
      </c>
    </row>
    <row r="289" spans="1:23" x14ac:dyDescent="0.25">
      <c r="A289" s="2">
        <v>767</v>
      </c>
      <c r="B289" s="3" t="s">
        <v>3154</v>
      </c>
      <c r="C289" s="3">
        <v>2024</v>
      </c>
      <c r="D289" s="3" t="s">
        <v>409</v>
      </c>
      <c r="E289" s="3" t="s">
        <v>114</v>
      </c>
      <c r="F289" s="1" t="s">
        <v>7834</v>
      </c>
      <c r="G289" s="10"/>
      <c r="H289" s="10"/>
      <c r="I289" s="10"/>
      <c r="J289" s="10"/>
      <c r="K289" s="10"/>
      <c r="L289" s="3" t="s">
        <v>3205</v>
      </c>
      <c r="M289" s="3" t="s">
        <v>3206</v>
      </c>
      <c r="N289" s="3" t="s">
        <v>3193</v>
      </c>
      <c r="O289" s="3">
        <v>0</v>
      </c>
      <c r="P289" s="3">
        <v>0</v>
      </c>
      <c r="Q289" s="6">
        <v>45809</v>
      </c>
      <c r="R289" s="3">
        <v>0</v>
      </c>
      <c r="S289" s="3" t="s">
        <v>3207</v>
      </c>
      <c r="T289" s="3" t="s">
        <v>106</v>
      </c>
      <c r="U289" s="11">
        <v>19</v>
      </c>
      <c r="V289" s="3" t="s">
        <v>3154</v>
      </c>
      <c r="W289" s="8" t="s">
        <v>7834</v>
      </c>
    </row>
    <row r="290" spans="1:23" x14ac:dyDescent="0.25">
      <c r="A290" s="2">
        <v>772</v>
      </c>
      <c r="B290" s="3" t="s">
        <v>3154</v>
      </c>
      <c r="C290" s="3">
        <v>2024</v>
      </c>
      <c r="D290" s="3" t="s">
        <v>1695</v>
      </c>
      <c r="E290" s="3" t="s">
        <v>114</v>
      </c>
      <c r="F290" s="1" t="s">
        <v>7834</v>
      </c>
      <c r="G290" s="10"/>
      <c r="H290" s="10"/>
      <c r="I290" s="10"/>
      <c r="J290" s="10"/>
      <c r="K290" s="10"/>
      <c r="L290" s="3" t="s">
        <v>3227</v>
      </c>
      <c r="M290" s="3" t="s">
        <v>3228</v>
      </c>
      <c r="N290" s="3" t="s">
        <v>3229</v>
      </c>
      <c r="O290" s="3">
        <v>3</v>
      </c>
      <c r="P290" s="3">
        <v>1</v>
      </c>
      <c r="Q290" s="3">
        <v>14502</v>
      </c>
      <c r="R290" s="3" t="s">
        <v>3230</v>
      </c>
      <c r="S290" s="3" t="s">
        <v>3231</v>
      </c>
      <c r="T290" s="3" t="s">
        <v>106</v>
      </c>
      <c r="U290" s="11">
        <v>20</v>
      </c>
      <c r="V290" s="3" t="s">
        <v>3154</v>
      </c>
      <c r="W290" s="8" t="s">
        <v>7834</v>
      </c>
    </row>
    <row r="291" spans="1:23" x14ac:dyDescent="0.25">
      <c r="A291" s="2">
        <v>777</v>
      </c>
      <c r="B291" s="3" t="s">
        <v>3154</v>
      </c>
      <c r="C291" s="3">
        <v>2024</v>
      </c>
      <c r="D291" s="3" t="s">
        <v>409</v>
      </c>
      <c r="E291" s="3" t="s">
        <v>114</v>
      </c>
      <c r="F291" s="1" t="s">
        <v>7834</v>
      </c>
      <c r="G291" s="10"/>
      <c r="H291" s="10"/>
      <c r="I291" s="10">
        <v>4</v>
      </c>
      <c r="J291" s="10"/>
      <c r="K291" s="10"/>
      <c r="L291" s="3" t="s">
        <v>3251</v>
      </c>
      <c r="M291" s="3" t="s">
        <v>3252</v>
      </c>
      <c r="N291" s="3" t="s">
        <v>3193</v>
      </c>
      <c r="O291" s="3">
        <v>0</v>
      </c>
      <c r="P291" s="3">
        <v>0</v>
      </c>
      <c r="Q291" s="6">
        <v>45809</v>
      </c>
      <c r="R291" s="3">
        <v>0</v>
      </c>
      <c r="S291" s="3" t="s">
        <v>3253</v>
      </c>
      <c r="T291" s="3" t="s">
        <v>106</v>
      </c>
      <c r="U291" s="11">
        <v>21</v>
      </c>
      <c r="V291" s="3" t="s">
        <v>3154</v>
      </c>
      <c r="W291" s="8" t="s">
        <v>7834</v>
      </c>
    </row>
    <row r="292" spans="1:23" x14ac:dyDescent="0.25">
      <c r="A292" s="2">
        <v>788</v>
      </c>
      <c r="B292" s="3" t="s">
        <v>3295</v>
      </c>
      <c r="C292" s="3">
        <v>2024</v>
      </c>
      <c r="D292" s="3" t="s">
        <v>265</v>
      </c>
      <c r="E292" s="3" t="s">
        <v>114</v>
      </c>
      <c r="F292" s="1" t="s">
        <v>7834</v>
      </c>
      <c r="G292" s="10"/>
      <c r="H292" s="10"/>
      <c r="I292" s="10">
        <v>1</v>
      </c>
      <c r="J292" s="10"/>
      <c r="K292" s="10"/>
      <c r="L292" s="3" t="s">
        <v>3307</v>
      </c>
      <c r="M292" s="3" t="s">
        <v>3308</v>
      </c>
      <c r="N292" s="3" t="s">
        <v>3309</v>
      </c>
      <c r="O292" s="3"/>
      <c r="P292" s="3"/>
      <c r="Q292" s="3"/>
      <c r="R292" s="3"/>
      <c r="S292" s="3" t="s">
        <v>3310</v>
      </c>
      <c r="T292" s="3" t="s">
        <v>106</v>
      </c>
      <c r="U292" s="11">
        <v>22</v>
      </c>
      <c r="V292" s="3" t="s">
        <v>3295</v>
      </c>
      <c r="W292" s="8" t="s">
        <v>7834</v>
      </c>
    </row>
    <row r="293" spans="1:23" x14ac:dyDescent="0.25">
      <c r="A293" s="2">
        <v>813</v>
      </c>
      <c r="B293" s="3" t="s">
        <v>3295</v>
      </c>
      <c r="C293" s="3">
        <v>2024</v>
      </c>
      <c r="D293" s="3" t="s">
        <v>215</v>
      </c>
      <c r="E293" s="3" t="s">
        <v>730</v>
      </c>
      <c r="F293" s="1" t="s">
        <v>7834</v>
      </c>
      <c r="G293" s="10"/>
      <c r="H293" s="10"/>
      <c r="I293" s="10"/>
      <c r="J293" s="10">
        <v>1</v>
      </c>
      <c r="K293" s="10"/>
      <c r="L293" s="3" t="s">
        <v>3414</v>
      </c>
      <c r="M293" s="3" t="s">
        <v>3415</v>
      </c>
      <c r="N293" s="3" t="s">
        <v>3416</v>
      </c>
      <c r="O293" s="3"/>
      <c r="P293" s="3"/>
      <c r="Q293" s="3"/>
      <c r="R293" s="3" t="s">
        <v>3417</v>
      </c>
      <c r="S293" s="3" t="s">
        <v>3418</v>
      </c>
      <c r="T293" s="3" t="s">
        <v>106</v>
      </c>
      <c r="U293" s="11">
        <v>23</v>
      </c>
      <c r="V293" s="3" t="s">
        <v>3295</v>
      </c>
      <c r="W293" s="8" t="s">
        <v>7834</v>
      </c>
    </row>
    <row r="294" spans="1:23" x14ac:dyDescent="0.25">
      <c r="A294" s="2">
        <v>866</v>
      </c>
      <c r="B294" s="3" t="s">
        <v>3552</v>
      </c>
      <c r="C294" s="3">
        <v>2024</v>
      </c>
      <c r="D294" s="3" t="s">
        <v>3645</v>
      </c>
      <c r="E294" s="3" t="s">
        <v>15</v>
      </c>
      <c r="F294" s="1" t="s">
        <v>7834</v>
      </c>
      <c r="G294" s="10"/>
      <c r="H294" s="10"/>
      <c r="I294" s="10"/>
      <c r="J294" s="10"/>
      <c r="K294" s="10"/>
      <c r="L294" s="3" t="s">
        <v>3646</v>
      </c>
      <c r="M294" s="3" t="s">
        <v>3647</v>
      </c>
      <c r="N294" s="3" t="s">
        <v>3648</v>
      </c>
      <c r="O294" s="3"/>
      <c r="P294" s="3"/>
      <c r="Q294" s="3"/>
      <c r="R294" s="3" t="s">
        <v>3649</v>
      </c>
      <c r="S294" s="3" t="s">
        <v>3650</v>
      </c>
      <c r="T294" s="3" t="s">
        <v>106</v>
      </c>
      <c r="U294" s="11">
        <v>24</v>
      </c>
      <c r="V294" s="3" t="s">
        <v>3552</v>
      </c>
      <c r="W294" s="8" t="s">
        <v>7834</v>
      </c>
    </row>
    <row r="295" spans="1:23" x14ac:dyDescent="0.25">
      <c r="A295" s="2">
        <v>867</v>
      </c>
      <c r="B295" s="3" t="s">
        <v>3552</v>
      </c>
      <c r="C295" s="3">
        <v>2024</v>
      </c>
      <c r="D295" s="3" t="s">
        <v>2701</v>
      </c>
      <c r="E295" s="3" t="s">
        <v>15</v>
      </c>
      <c r="F295" s="1" t="s">
        <v>7834</v>
      </c>
      <c r="G295" s="10"/>
      <c r="H295" s="10"/>
      <c r="I295" s="10"/>
      <c r="J295" s="10"/>
      <c r="K295" s="10"/>
      <c r="L295" s="3" t="s">
        <v>3651</v>
      </c>
      <c r="M295" s="3" t="s">
        <v>3652</v>
      </c>
      <c r="N295" s="3" t="s">
        <v>3653</v>
      </c>
      <c r="O295" s="3"/>
      <c r="P295" s="3"/>
      <c r="Q295" s="3"/>
      <c r="R295" s="3" t="s">
        <v>3654</v>
      </c>
      <c r="S295" s="3" t="s">
        <v>3655</v>
      </c>
      <c r="T295" s="3" t="s">
        <v>106</v>
      </c>
      <c r="U295" s="11">
        <v>25</v>
      </c>
      <c r="V295" s="3" t="s">
        <v>3552</v>
      </c>
      <c r="W295" s="8" t="s">
        <v>7834</v>
      </c>
    </row>
    <row r="296" spans="1:23" x14ac:dyDescent="0.25">
      <c r="A296" s="2">
        <v>976</v>
      </c>
      <c r="B296" s="3" t="s">
        <v>3826</v>
      </c>
      <c r="C296" s="3">
        <v>2024</v>
      </c>
      <c r="D296" s="3" t="s">
        <v>2374</v>
      </c>
      <c r="E296" s="3" t="s">
        <v>15</v>
      </c>
      <c r="F296" s="1" t="s">
        <v>7834</v>
      </c>
      <c r="G296" s="10"/>
      <c r="H296" s="10"/>
      <c r="I296" s="10"/>
      <c r="J296" s="10"/>
      <c r="K296" s="10"/>
      <c r="L296" s="3" t="s">
        <v>4125</v>
      </c>
      <c r="M296" s="3" t="s">
        <v>4126</v>
      </c>
      <c r="N296" s="3" t="s">
        <v>4127</v>
      </c>
      <c r="O296" s="3">
        <v>4</v>
      </c>
      <c r="P296" s="3" t="s">
        <v>4128</v>
      </c>
      <c r="Q296" s="3"/>
      <c r="R296" s="3" t="s">
        <v>4129</v>
      </c>
      <c r="S296" s="3" t="s">
        <v>4130</v>
      </c>
      <c r="T296" s="3" t="s">
        <v>106</v>
      </c>
      <c r="U296" s="11">
        <v>26</v>
      </c>
      <c r="V296" s="3" t="s">
        <v>3826</v>
      </c>
      <c r="W296" s="8" t="s">
        <v>7834</v>
      </c>
    </row>
    <row r="297" spans="1:23" x14ac:dyDescent="0.25">
      <c r="A297" s="2">
        <v>924</v>
      </c>
      <c r="B297" s="3" t="s">
        <v>3826</v>
      </c>
      <c r="C297" s="3">
        <v>2024</v>
      </c>
      <c r="D297" s="3" t="s">
        <v>3688</v>
      </c>
      <c r="E297" s="3" t="s">
        <v>496</v>
      </c>
      <c r="F297" s="1" t="s">
        <v>7834</v>
      </c>
      <c r="G297" s="10"/>
      <c r="H297" s="10"/>
      <c r="I297" s="10"/>
      <c r="J297" s="10"/>
      <c r="K297" s="10"/>
      <c r="L297" s="3" t="s">
        <v>3905</v>
      </c>
      <c r="M297" s="3" t="s">
        <v>3906</v>
      </c>
      <c r="N297" s="3" t="s">
        <v>3907</v>
      </c>
      <c r="O297" s="3">
        <v>19</v>
      </c>
      <c r="P297" s="3"/>
      <c r="Q297" s="3">
        <v>3</v>
      </c>
      <c r="R297" s="3" t="s">
        <v>3908</v>
      </c>
      <c r="S297" s="3" t="s">
        <v>3909</v>
      </c>
      <c r="T297" s="3" t="s">
        <v>106</v>
      </c>
      <c r="U297" s="11">
        <v>27</v>
      </c>
      <c r="V297" s="3" t="s">
        <v>3826</v>
      </c>
      <c r="W297" s="8" t="s">
        <v>7834</v>
      </c>
    </row>
    <row r="298" spans="1:23" x14ac:dyDescent="0.25">
      <c r="A298" s="2">
        <v>925</v>
      </c>
      <c r="B298" s="3" t="s">
        <v>3826</v>
      </c>
      <c r="C298" s="3">
        <v>2024</v>
      </c>
      <c r="D298" s="3" t="s">
        <v>3688</v>
      </c>
      <c r="E298" s="3" t="s">
        <v>496</v>
      </c>
      <c r="F298" s="1" t="s">
        <v>7834</v>
      </c>
      <c r="G298" s="10"/>
      <c r="H298" s="10"/>
      <c r="I298" s="10"/>
      <c r="J298" s="10"/>
      <c r="K298" s="10"/>
      <c r="L298" s="3" t="s">
        <v>3910</v>
      </c>
      <c r="M298" s="3" t="s">
        <v>3911</v>
      </c>
      <c r="N298" s="3" t="s">
        <v>3907</v>
      </c>
      <c r="O298" s="3">
        <v>19</v>
      </c>
      <c r="P298" s="3"/>
      <c r="Q298" s="3">
        <v>69</v>
      </c>
      <c r="R298" s="3" t="s">
        <v>3908</v>
      </c>
      <c r="S298" s="3" t="s">
        <v>3912</v>
      </c>
      <c r="T298" s="3" t="s">
        <v>106</v>
      </c>
      <c r="U298" s="11">
        <v>28</v>
      </c>
      <c r="V298" s="3" t="s">
        <v>3826</v>
      </c>
      <c r="W298" s="8" t="s">
        <v>7834</v>
      </c>
    </row>
    <row r="299" spans="1:23" x14ac:dyDescent="0.25">
      <c r="A299" s="2">
        <v>950</v>
      </c>
      <c r="B299" s="3" t="s">
        <v>3826</v>
      </c>
      <c r="C299" s="3">
        <v>2024</v>
      </c>
      <c r="D299" s="3" t="s">
        <v>3688</v>
      </c>
      <c r="E299" s="3" t="s">
        <v>496</v>
      </c>
      <c r="F299" s="1" t="s">
        <v>7834</v>
      </c>
      <c r="G299" s="10"/>
      <c r="H299" s="10"/>
      <c r="I299" s="10"/>
      <c r="J299" s="10"/>
      <c r="K299" s="10"/>
      <c r="L299" s="3" t="s">
        <v>4015</v>
      </c>
      <c r="M299" s="3" t="s">
        <v>4016</v>
      </c>
      <c r="N299" s="3" t="s">
        <v>3907</v>
      </c>
      <c r="O299" s="3">
        <v>19</v>
      </c>
      <c r="P299" s="3"/>
      <c r="Q299" s="3">
        <v>445</v>
      </c>
      <c r="R299" s="3" t="s">
        <v>3908</v>
      </c>
      <c r="S299" s="3" t="s">
        <v>4017</v>
      </c>
      <c r="T299" s="3" t="s">
        <v>106</v>
      </c>
      <c r="U299" s="11">
        <v>29</v>
      </c>
      <c r="V299" s="3" t="s">
        <v>3826</v>
      </c>
      <c r="W299" s="8" t="s">
        <v>7834</v>
      </c>
    </row>
    <row r="300" spans="1:23" x14ac:dyDescent="0.25">
      <c r="A300" s="2">
        <v>973</v>
      </c>
      <c r="B300" s="3" t="s">
        <v>3826</v>
      </c>
      <c r="C300" s="3">
        <v>2024</v>
      </c>
      <c r="D300" s="3" t="s">
        <v>1713</v>
      </c>
      <c r="E300" s="3" t="s">
        <v>496</v>
      </c>
      <c r="F300" s="1" t="s">
        <v>7834</v>
      </c>
      <c r="G300" s="10"/>
      <c r="H300" s="10"/>
      <c r="I300" s="10"/>
      <c r="J300" s="10"/>
      <c r="K300" s="10"/>
      <c r="L300" s="3" t="s">
        <v>4113</v>
      </c>
      <c r="M300" s="3" t="s">
        <v>4114</v>
      </c>
      <c r="N300" s="3" t="s">
        <v>4115</v>
      </c>
      <c r="O300" s="3"/>
      <c r="P300" s="3"/>
      <c r="Q300" s="3"/>
      <c r="R300" s="3" t="s">
        <v>4116</v>
      </c>
      <c r="S300" s="3" t="s">
        <v>4117</v>
      </c>
      <c r="T300" s="3" t="s">
        <v>106</v>
      </c>
      <c r="U300" s="11">
        <v>30</v>
      </c>
      <c r="V300" s="3" t="s">
        <v>3826</v>
      </c>
      <c r="W300" s="8" t="s">
        <v>7834</v>
      </c>
    </row>
    <row r="301" spans="1:23" x14ac:dyDescent="0.25">
      <c r="A301" s="2">
        <v>983</v>
      </c>
      <c r="B301" s="3" t="s">
        <v>3826</v>
      </c>
      <c r="C301" s="3">
        <v>2024</v>
      </c>
      <c r="D301" s="3" t="s">
        <v>415</v>
      </c>
      <c r="E301" s="3" t="s">
        <v>496</v>
      </c>
      <c r="F301" s="1" t="s">
        <v>7834</v>
      </c>
      <c r="G301" s="10"/>
      <c r="H301" s="10"/>
      <c r="I301" s="10"/>
      <c r="J301" s="10"/>
      <c r="K301" s="10"/>
      <c r="L301" s="3" t="s">
        <v>4156</v>
      </c>
      <c r="M301" s="3" t="s">
        <v>4157</v>
      </c>
      <c r="N301" s="3" t="s">
        <v>4158</v>
      </c>
      <c r="O301" s="3">
        <v>1</v>
      </c>
      <c r="P301" s="3"/>
      <c r="Q301" s="3"/>
      <c r="R301" s="3" t="s">
        <v>4159</v>
      </c>
      <c r="S301" s="3" t="s">
        <v>4160</v>
      </c>
      <c r="T301" s="3" t="s">
        <v>106</v>
      </c>
      <c r="U301" s="11">
        <v>31</v>
      </c>
      <c r="V301" s="3" t="s">
        <v>3826</v>
      </c>
      <c r="W301" s="8" t="s">
        <v>7834</v>
      </c>
    </row>
    <row r="302" spans="1:23" x14ac:dyDescent="0.25">
      <c r="A302" s="2">
        <v>984</v>
      </c>
      <c r="B302" s="3" t="s">
        <v>3826</v>
      </c>
      <c r="C302" s="3">
        <v>2024</v>
      </c>
      <c r="D302" s="3" t="s">
        <v>3352</v>
      </c>
      <c r="E302" s="3" t="s">
        <v>496</v>
      </c>
      <c r="F302" s="1" t="s">
        <v>7834</v>
      </c>
      <c r="G302" s="10"/>
      <c r="H302" s="10">
        <v>6</v>
      </c>
      <c r="I302" s="10"/>
      <c r="J302" s="10"/>
      <c r="K302" s="10"/>
      <c r="L302" s="3" t="s">
        <v>4161</v>
      </c>
      <c r="M302" s="3" t="s">
        <v>4162</v>
      </c>
      <c r="N302" s="3" t="s">
        <v>4163</v>
      </c>
      <c r="O302" s="3"/>
      <c r="P302" s="3"/>
      <c r="Q302" s="3">
        <v>125</v>
      </c>
      <c r="R302" s="3" t="s">
        <v>4164</v>
      </c>
      <c r="S302" s="3" t="s">
        <v>4165</v>
      </c>
      <c r="T302" s="3" t="s">
        <v>106</v>
      </c>
      <c r="U302" s="11">
        <v>32</v>
      </c>
      <c r="V302" s="3" t="s">
        <v>3826</v>
      </c>
      <c r="W302" s="8" t="s">
        <v>7834</v>
      </c>
    </row>
    <row r="303" spans="1:23" x14ac:dyDescent="0.25">
      <c r="A303" s="2">
        <v>916</v>
      </c>
      <c r="B303" s="3" t="s">
        <v>3826</v>
      </c>
      <c r="C303" s="3">
        <v>2024</v>
      </c>
      <c r="D303" s="3" t="s">
        <v>2431</v>
      </c>
      <c r="E303" s="3" t="s">
        <v>114</v>
      </c>
      <c r="F303" s="1" t="s">
        <v>7834</v>
      </c>
      <c r="G303" s="10"/>
      <c r="H303" s="10"/>
      <c r="I303" s="10"/>
      <c r="J303" s="10"/>
      <c r="K303" s="10"/>
      <c r="L303" s="3" t="s">
        <v>3871</v>
      </c>
      <c r="M303" s="3" t="s">
        <v>3872</v>
      </c>
      <c r="N303" s="3" t="s">
        <v>3873</v>
      </c>
      <c r="O303" s="3"/>
      <c r="P303" s="3"/>
      <c r="Q303" s="3"/>
      <c r="R303" s="3"/>
      <c r="S303" s="3" t="s">
        <v>3874</v>
      </c>
      <c r="T303" s="3" t="s">
        <v>106</v>
      </c>
      <c r="U303" s="11">
        <v>33</v>
      </c>
      <c r="V303" s="3" t="s">
        <v>3826</v>
      </c>
      <c r="W303" s="8" t="s">
        <v>7834</v>
      </c>
    </row>
    <row r="304" spans="1:23" x14ac:dyDescent="0.25">
      <c r="A304" s="2">
        <v>917</v>
      </c>
      <c r="B304" s="3" t="s">
        <v>3826</v>
      </c>
      <c r="C304" s="3">
        <v>2024</v>
      </c>
      <c r="D304" s="3" t="s">
        <v>3034</v>
      </c>
      <c r="E304" s="3" t="s">
        <v>114</v>
      </c>
      <c r="F304" s="1" t="s">
        <v>7834</v>
      </c>
      <c r="G304" s="10"/>
      <c r="H304" s="10"/>
      <c r="I304" s="10"/>
      <c r="J304" s="10"/>
      <c r="K304" s="10"/>
      <c r="L304" s="3" t="s">
        <v>3875</v>
      </c>
      <c r="M304" s="3" t="s">
        <v>3876</v>
      </c>
      <c r="N304" s="3" t="s">
        <v>3873</v>
      </c>
      <c r="O304" s="3"/>
      <c r="P304" s="3"/>
      <c r="Q304" s="3"/>
      <c r="R304" s="3"/>
      <c r="S304" s="3" t="s">
        <v>3877</v>
      </c>
      <c r="T304" s="3" t="s">
        <v>106</v>
      </c>
      <c r="U304" s="11">
        <v>34</v>
      </c>
      <c r="V304" s="3" t="s">
        <v>3826</v>
      </c>
      <c r="W304" s="8" t="s">
        <v>7834</v>
      </c>
    </row>
    <row r="305" spans="1:23" x14ac:dyDescent="0.25">
      <c r="A305" s="2">
        <v>934</v>
      </c>
      <c r="B305" s="3" t="s">
        <v>3826</v>
      </c>
      <c r="C305" s="3">
        <v>2024</v>
      </c>
      <c r="D305" s="3" t="s">
        <v>1177</v>
      </c>
      <c r="E305" s="3" t="s">
        <v>114</v>
      </c>
      <c r="F305" s="1" t="s">
        <v>7834</v>
      </c>
      <c r="G305" s="10"/>
      <c r="H305" s="10"/>
      <c r="I305" s="10"/>
      <c r="J305" s="10"/>
      <c r="K305" s="10"/>
      <c r="L305" s="3" t="s">
        <v>3949</v>
      </c>
      <c r="M305" s="3" t="s">
        <v>3950</v>
      </c>
      <c r="N305" s="3" t="s">
        <v>3951</v>
      </c>
      <c r="O305" s="3">
        <v>2</v>
      </c>
      <c r="P305" s="3">
        <v>3</v>
      </c>
      <c r="Q305" s="3"/>
      <c r="R305" s="3" t="s">
        <v>3952</v>
      </c>
      <c r="S305" s="3" t="s">
        <v>3953</v>
      </c>
      <c r="T305" s="3" t="s">
        <v>106</v>
      </c>
      <c r="U305" s="11">
        <v>35</v>
      </c>
      <c r="V305" s="3" t="s">
        <v>3826</v>
      </c>
      <c r="W305" s="8" t="s">
        <v>7834</v>
      </c>
    </row>
    <row r="306" spans="1:23" x14ac:dyDescent="0.25">
      <c r="A306" s="2">
        <v>979</v>
      </c>
      <c r="B306" s="3" t="s">
        <v>3826</v>
      </c>
      <c r="C306" s="3">
        <v>2024</v>
      </c>
      <c r="D306" s="3" t="s">
        <v>59</v>
      </c>
      <c r="E306" s="3" t="s">
        <v>114</v>
      </c>
      <c r="F306" s="1" t="s">
        <v>7834</v>
      </c>
      <c r="G306" s="10"/>
      <c r="H306" s="10"/>
      <c r="I306" s="10"/>
      <c r="J306" s="10"/>
      <c r="K306" s="10"/>
      <c r="L306" s="3" t="s">
        <v>4139</v>
      </c>
      <c r="M306" s="3" t="s">
        <v>4140</v>
      </c>
      <c r="N306" s="3" t="s">
        <v>4141</v>
      </c>
      <c r="O306" s="3"/>
      <c r="P306" s="3"/>
      <c r="Q306" s="3"/>
      <c r="R306" s="3"/>
      <c r="S306" s="3" t="s">
        <v>4142</v>
      </c>
      <c r="T306" s="3" t="s">
        <v>106</v>
      </c>
      <c r="U306" s="11">
        <v>36</v>
      </c>
      <c r="V306" s="3" t="s">
        <v>3826</v>
      </c>
      <c r="W306" s="8" t="s">
        <v>7834</v>
      </c>
    </row>
    <row r="307" spans="1:23" x14ac:dyDescent="0.25">
      <c r="A307" s="2">
        <v>980</v>
      </c>
      <c r="B307" s="3" t="s">
        <v>3826</v>
      </c>
      <c r="C307" s="3">
        <v>2024</v>
      </c>
      <c r="D307" s="3" t="s">
        <v>38</v>
      </c>
      <c r="E307" s="3" t="s">
        <v>114</v>
      </c>
      <c r="F307" s="1" t="s">
        <v>7834</v>
      </c>
      <c r="G307" s="10"/>
      <c r="H307" s="10"/>
      <c r="I307" s="10">
        <v>5</v>
      </c>
      <c r="J307" s="10"/>
      <c r="K307" s="10"/>
      <c r="L307" s="3" t="s">
        <v>4143</v>
      </c>
      <c r="M307" s="3" t="s">
        <v>4140</v>
      </c>
      <c r="N307" s="3" t="s">
        <v>4141</v>
      </c>
      <c r="O307" s="3"/>
      <c r="P307" s="3"/>
      <c r="Q307" s="3"/>
      <c r="R307" s="3"/>
      <c r="S307" s="3" t="s">
        <v>4144</v>
      </c>
      <c r="T307" s="3" t="s">
        <v>106</v>
      </c>
      <c r="U307" s="11">
        <v>37</v>
      </c>
      <c r="V307" s="3" t="s">
        <v>3826</v>
      </c>
      <c r="W307" s="8" t="s">
        <v>7834</v>
      </c>
    </row>
    <row r="308" spans="1:23" x14ac:dyDescent="0.25">
      <c r="A308" s="2">
        <v>910</v>
      </c>
      <c r="B308" s="3" t="s">
        <v>3826</v>
      </c>
      <c r="C308" s="3">
        <v>2024</v>
      </c>
      <c r="D308" s="3" t="s">
        <v>3688</v>
      </c>
      <c r="E308" s="3" t="s">
        <v>206</v>
      </c>
      <c r="F308" s="1" t="s">
        <v>7834</v>
      </c>
      <c r="G308" s="10"/>
      <c r="H308" s="10"/>
      <c r="I308" s="10"/>
      <c r="J308" s="10"/>
      <c r="K308" s="10"/>
      <c r="L308" s="3" t="s">
        <v>3843</v>
      </c>
      <c r="M308" s="3" t="s">
        <v>3844</v>
      </c>
      <c r="N308" s="3" t="s">
        <v>3845</v>
      </c>
      <c r="O308" s="3">
        <v>3</v>
      </c>
      <c r="P308" s="3">
        <v>1</v>
      </c>
      <c r="Q308" s="3"/>
      <c r="R308" s="3" t="s">
        <v>3846</v>
      </c>
      <c r="S308" s="3" t="s">
        <v>3847</v>
      </c>
      <c r="T308" s="3" t="s">
        <v>106</v>
      </c>
      <c r="U308" s="11">
        <v>38</v>
      </c>
      <c r="V308" s="3" t="s">
        <v>3826</v>
      </c>
      <c r="W308" s="8" t="s">
        <v>7834</v>
      </c>
    </row>
    <row r="309" spans="1:23" x14ac:dyDescent="0.25">
      <c r="A309" s="2">
        <v>911</v>
      </c>
      <c r="B309" s="3" t="s">
        <v>3826</v>
      </c>
      <c r="C309" s="3">
        <v>2024</v>
      </c>
      <c r="D309" s="3" t="s">
        <v>1593</v>
      </c>
      <c r="E309" s="3" t="s">
        <v>206</v>
      </c>
      <c r="F309" s="1" t="s">
        <v>7834</v>
      </c>
      <c r="G309" s="10"/>
      <c r="H309" s="10"/>
      <c r="I309" s="10"/>
      <c r="J309" s="10"/>
      <c r="K309" s="10"/>
      <c r="L309" s="3" t="s">
        <v>3848</v>
      </c>
      <c r="M309" s="3" t="s">
        <v>3849</v>
      </c>
      <c r="N309" s="3" t="s">
        <v>3845</v>
      </c>
      <c r="O309" s="3">
        <v>3</v>
      </c>
      <c r="P309" s="3">
        <v>7</v>
      </c>
      <c r="Q309" s="3"/>
      <c r="R309" s="3" t="s">
        <v>3846</v>
      </c>
      <c r="S309" s="3" t="s">
        <v>3850</v>
      </c>
      <c r="T309" s="3" t="s">
        <v>106</v>
      </c>
      <c r="U309" s="11">
        <v>39</v>
      </c>
      <c r="V309" s="3" t="s">
        <v>3826</v>
      </c>
      <c r="W309" s="8" t="s">
        <v>7834</v>
      </c>
    </row>
    <row r="310" spans="1:23" x14ac:dyDescent="0.25">
      <c r="A310" s="2">
        <v>948</v>
      </c>
      <c r="B310" s="3" t="s">
        <v>3826</v>
      </c>
      <c r="C310" s="3">
        <v>2024</v>
      </c>
      <c r="D310" s="3" t="s">
        <v>568</v>
      </c>
      <c r="E310" s="3" t="s">
        <v>206</v>
      </c>
      <c r="F310" s="1" t="s">
        <v>7834</v>
      </c>
      <c r="G310" s="10"/>
      <c r="H310" s="10"/>
      <c r="I310" s="10"/>
      <c r="J310" s="10"/>
      <c r="K310" s="10">
        <v>3</v>
      </c>
      <c r="L310" s="3" t="s">
        <v>4006</v>
      </c>
      <c r="M310" s="3" t="s">
        <v>4007</v>
      </c>
      <c r="N310" s="3" t="s">
        <v>4008</v>
      </c>
      <c r="O310" s="3">
        <v>34</v>
      </c>
      <c r="P310" s="3">
        <v>2</v>
      </c>
      <c r="Q310" s="3">
        <v>203</v>
      </c>
      <c r="R310" s="3"/>
      <c r="S310" s="3" t="s">
        <v>4009</v>
      </c>
      <c r="T310" s="3" t="s">
        <v>106</v>
      </c>
      <c r="U310" s="11">
        <v>40</v>
      </c>
      <c r="V310" s="3" t="s">
        <v>3826</v>
      </c>
      <c r="W310" s="8" t="s">
        <v>7834</v>
      </c>
    </row>
    <row r="311" spans="1:23" x14ac:dyDescent="0.25">
      <c r="A311" s="2">
        <v>997</v>
      </c>
      <c r="B311" s="3" t="s">
        <v>4166</v>
      </c>
      <c r="C311" s="3">
        <v>2024</v>
      </c>
      <c r="D311" s="3" t="s">
        <v>4217</v>
      </c>
      <c r="E311" s="3" t="s">
        <v>15</v>
      </c>
      <c r="F311" s="1" t="s">
        <v>7834</v>
      </c>
      <c r="G311" s="10"/>
      <c r="H311" s="10"/>
      <c r="I311" s="10"/>
      <c r="J311" s="10"/>
      <c r="K311" s="10"/>
      <c r="L311" s="3" t="s">
        <v>4218</v>
      </c>
      <c r="M311" s="3" t="s">
        <v>4219</v>
      </c>
      <c r="N311" s="3" t="s">
        <v>4220</v>
      </c>
      <c r="O311" s="3">
        <v>49</v>
      </c>
      <c r="P311" s="3"/>
      <c r="Q311" s="3">
        <v>530</v>
      </c>
      <c r="R311" s="3" t="s">
        <v>4221</v>
      </c>
      <c r="S311" s="3" t="s">
        <v>4222</v>
      </c>
      <c r="T311" s="3" t="s">
        <v>106</v>
      </c>
      <c r="U311" s="11">
        <v>41</v>
      </c>
      <c r="V311" s="3" t="s">
        <v>4166</v>
      </c>
      <c r="W311" s="8" t="s">
        <v>7834</v>
      </c>
    </row>
    <row r="312" spans="1:23" x14ac:dyDescent="0.25">
      <c r="A312" s="2">
        <v>1022</v>
      </c>
      <c r="B312" s="3" t="s">
        <v>4166</v>
      </c>
      <c r="C312" s="3">
        <v>2024</v>
      </c>
      <c r="D312" s="3" t="s">
        <v>22</v>
      </c>
      <c r="E312" s="3" t="s">
        <v>15</v>
      </c>
      <c r="F312" s="1" t="s">
        <v>7834</v>
      </c>
      <c r="G312" s="10"/>
      <c r="H312" s="10"/>
      <c r="I312" s="10"/>
      <c r="J312" s="10"/>
      <c r="K312" s="10"/>
      <c r="L312" s="3" t="s">
        <v>4338</v>
      </c>
      <c r="M312" s="3" t="s">
        <v>4339</v>
      </c>
      <c r="N312" s="3" t="s">
        <v>4340</v>
      </c>
      <c r="O312" s="3">
        <v>50</v>
      </c>
      <c r="P312" s="3">
        <v>2</v>
      </c>
      <c r="Q312" s="3">
        <v>43</v>
      </c>
      <c r="R312" s="3" t="s">
        <v>4341</v>
      </c>
      <c r="S312" s="3" t="s">
        <v>4342</v>
      </c>
      <c r="T312" s="3" t="s">
        <v>106</v>
      </c>
      <c r="U312" s="11">
        <v>42</v>
      </c>
      <c r="V312" s="3" t="s">
        <v>4166</v>
      </c>
      <c r="W312" s="8" t="s">
        <v>7834</v>
      </c>
    </row>
    <row r="313" spans="1:23" x14ac:dyDescent="0.25">
      <c r="A313" s="2">
        <v>1023</v>
      </c>
      <c r="B313" s="3" t="s">
        <v>4166</v>
      </c>
      <c r="C313" s="3">
        <v>2024</v>
      </c>
      <c r="D313" s="3" t="s">
        <v>1757</v>
      </c>
      <c r="E313" s="3" t="s">
        <v>15</v>
      </c>
      <c r="F313" s="1" t="s">
        <v>7834</v>
      </c>
      <c r="G313" s="10"/>
      <c r="H313" s="10"/>
      <c r="I313" s="10"/>
      <c r="J313" s="10"/>
      <c r="K313" s="10"/>
      <c r="L313" s="3" t="s">
        <v>4343</v>
      </c>
      <c r="M313" s="3" t="s">
        <v>4344</v>
      </c>
      <c r="N313" s="3" t="s">
        <v>4345</v>
      </c>
      <c r="O313" s="3">
        <v>95</v>
      </c>
      <c r="P313" s="3">
        <v>1</v>
      </c>
      <c r="Q313" s="3">
        <v>91</v>
      </c>
      <c r="R313" s="3" t="s">
        <v>4346</v>
      </c>
      <c r="S313" s="3" t="s">
        <v>4347</v>
      </c>
      <c r="T313" s="3" t="s">
        <v>106</v>
      </c>
      <c r="U313" s="11">
        <v>43</v>
      </c>
      <c r="V313" s="3" t="s">
        <v>4166</v>
      </c>
      <c r="W313" s="8" t="s">
        <v>7834</v>
      </c>
    </row>
    <row r="314" spans="1:23" x14ac:dyDescent="0.25">
      <c r="A314" s="2">
        <v>1035</v>
      </c>
      <c r="B314" s="3" t="s">
        <v>4166</v>
      </c>
      <c r="C314" s="3">
        <v>2024</v>
      </c>
      <c r="D314" s="3" t="s">
        <v>14</v>
      </c>
      <c r="E314" s="3" t="s">
        <v>15</v>
      </c>
      <c r="F314" s="1" t="s">
        <v>7834</v>
      </c>
      <c r="G314" s="10"/>
      <c r="H314" s="10"/>
      <c r="I314" s="10"/>
      <c r="J314" s="10"/>
      <c r="K314" s="10"/>
      <c r="L314" s="3" t="s">
        <v>4390</v>
      </c>
      <c r="M314" s="3" t="s">
        <v>4391</v>
      </c>
      <c r="N314" s="3" t="s">
        <v>4340</v>
      </c>
      <c r="O314" s="3">
        <v>50</v>
      </c>
      <c r="P314" s="3">
        <v>1</v>
      </c>
      <c r="Q314" s="3">
        <v>15</v>
      </c>
      <c r="R314" s="3" t="s">
        <v>4341</v>
      </c>
      <c r="S314" s="3" t="s">
        <v>4392</v>
      </c>
      <c r="T314" s="3" t="s">
        <v>106</v>
      </c>
      <c r="U314" s="11">
        <v>44</v>
      </c>
      <c r="V314" s="3" t="s">
        <v>4166</v>
      </c>
      <c r="W314" s="8" t="s">
        <v>7834</v>
      </c>
    </row>
    <row r="315" spans="1:23" x14ac:dyDescent="0.25">
      <c r="A315" s="2">
        <v>1050</v>
      </c>
      <c r="B315" s="3" t="s">
        <v>4166</v>
      </c>
      <c r="C315" s="3">
        <v>2024</v>
      </c>
      <c r="D315" s="3" t="s">
        <v>14</v>
      </c>
      <c r="E315" s="3" t="s">
        <v>15</v>
      </c>
      <c r="F315" s="1" t="s">
        <v>7834</v>
      </c>
      <c r="G315" s="10"/>
      <c r="H315" s="10"/>
      <c r="I315" s="10"/>
      <c r="J315" s="10"/>
      <c r="K315" s="10"/>
      <c r="L315" s="3" t="s">
        <v>4458</v>
      </c>
      <c r="M315" s="3" t="s">
        <v>4459</v>
      </c>
      <c r="N315" s="3" t="s">
        <v>4460</v>
      </c>
      <c r="O315" s="3">
        <v>32</v>
      </c>
      <c r="P315" s="3">
        <v>63</v>
      </c>
      <c r="Q315" s="3">
        <v>1</v>
      </c>
      <c r="R315" s="3" t="s">
        <v>4461</v>
      </c>
      <c r="S315" s="3" t="s">
        <v>4462</v>
      </c>
      <c r="T315" s="3" t="s">
        <v>106</v>
      </c>
      <c r="U315" s="11">
        <v>45</v>
      </c>
      <c r="V315" s="3" t="s">
        <v>4166</v>
      </c>
      <c r="W315" s="8" t="s">
        <v>7834</v>
      </c>
    </row>
    <row r="316" spans="1:23" x14ac:dyDescent="0.25">
      <c r="A316" s="2">
        <v>989</v>
      </c>
      <c r="B316" s="3" t="s">
        <v>4166</v>
      </c>
      <c r="C316" s="3">
        <v>2024</v>
      </c>
      <c r="D316" s="3" t="s">
        <v>4183</v>
      </c>
      <c r="E316" s="3" t="s">
        <v>114</v>
      </c>
      <c r="F316" s="1" t="s">
        <v>7834</v>
      </c>
      <c r="G316" s="10"/>
      <c r="H316" s="10"/>
      <c r="I316" s="10"/>
      <c r="J316" s="10"/>
      <c r="K316" s="10"/>
      <c r="L316" s="3" t="s">
        <v>4184</v>
      </c>
      <c r="M316" s="3" t="s">
        <v>4185</v>
      </c>
      <c r="N316" s="3" t="s">
        <v>4186</v>
      </c>
      <c r="O316" s="3">
        <v>44</v>
      </c>
      <c r="P316" s="3">
        <v>1</v>
      </c>
      <c r="Q316" s="3">
        <v>1</v>
      </c>
      <c r="R316" s="3" t="s">
        <v>4187</v>
      </c>
      <c r="S316" s="3" t="s">
        <v>4188</v>
      </c>
      <c r="T316" s="3" t="s">
        <v>106</v>
      </c>
      <c r="U316" s="11">
        <v>46</v>
      </c>
      <c r="V316" s="3" t="s">
        <v>4166</v>
      </c>
      <c r="W316" s="8" t="s">
        <v>7834</v>
      </c>
    </row>
    <row r="317" spans="1:23" x14ac:dyDescent="0.25">
      <c r="A317" s="2">
        <v>1015</v>
      </c>
      <c r="B317" s="3" t="s">
        <v>4166</v>
      </c>
      <c r="C317" s="3">
        <v>2024</v>
      </c>
      <c r="D317" s="3" t="s">
        <v>323</v>
      </c>
      <c r="E317" s="3" t="s">
        <v>114</v>
      </c>
      <c r="F317" s="1" t="s">
        <v>7834</v>
      </c>
      <c r="G317" s="10"/>
      <c r="H317" s="10"/>
      <c r="I317" s="10"/>
      <c r="J317" s="10"/>
      <c r="K317" s="10"/>
      <c r="L317" s="3" t="s">
        <v>4304</v>
      </c>
      <c r="M317" s="3" t="s">
        <v>4305</v>
      </c>
      <c r="N317" s="3" t="s">
        <v>4306</v>
      </c>
      <c r="O317" s="3"/>
      <c r="P317" s="3">
        <v>39</v>
      </c>
      <c r="Q317" s="3" t="s">
        <v>4307</v>
      </c>
      <c r="R317" s="3" t="s">
        <v>4308</v>
      </c>
      <c r="S317" s="3" t="s">
        <v>4309</v>
      </c>
      <c r="T317" s="3" t="s">
        <v>106</v>
      </c>
      <c r="U317" s="11">
        <v>47</v>
      </c>
      <c r="V317" s="3" t="s">
        <v>4166</v>
      </c>
      <c r="W317" s="8" t="s">
        <v>7834</v>
      </c>
    </row>
    <row r="318" spans="1:23" x14ac:dyDescent="0.25">
      <c r="A318" s="2">
        <v>1024</v>
      </c>
      <c r="B318" s="3" t="s">
        <v>4166</v>
      </c>
      <c r="C318" s="3">
        <v>2024</v>
      </c>
      <c r="D318" s="3" t="s">
        <v>63</v>
      </c>
      <c r="E318" s="3" t="s">
        <v>114</v>
      </c>
      <c r="F318" s="1" t="s">
        <v>7834</v>
      </c>
      <c r="G318" s="10"/>
      <c r="H318" s="10"/>
      <c r="I318" s="10"/>
      <c r="J318" s="10"/>
      <c r="K318" s="10"/>
      <c r="L318" s="3" t="s">
        <v>4348</v>
      </c>
      <c r="M318" s="3" t="s">
        <v>4349</v>
      </c>
      <c r="N318" s="3" t="s">
        <v>4350</v>
      </c>
      <c r="O318" s="3"/>
      <c r="P318" s="3">
        <v>3</v>
      </c>
      <c r="Q318" s="3">
        <v>108</v>
      </c>
      <c r="R318" s="3" t="s">
        <v>4351</v>
      </c>
      <c r="S318" s="3" t="s">
        <v>4352</v>
      </c>
      <c r="T318" s="3" t="s">
        <v>106</v>
      </c>
      <c r="U318" s="11">
        <v>48</v>
      </c>
      <c r="V318" s="3" t="s">
        <v>4166</v>
      </c>
      <c r="W318" s="8" t="s">
        <v>7834</v>
      </c>
    </row>
    <row r="319" spans="1:23" x14ac:dyDescent="0.25">
      <c r="A319" s="2">
        <v>1032</v>
      </c>
      <c r="B319" s="3" t="s">
        <v>4166</v>
      </c>
      <c r="C319" s="3">
        <v>2024</v>
      </c>
      <c r="D319" s="3" t="s">
        <v>2547</v>
      </c>
      <c r="E319" s="3" t="s">
        <v>114</v>
      </c>
      <c r="F319" s="1" t="s">
        <v>7834</v>
      </c>
      <c r="G319" s="10"/>
      <c r="H319" s="10"/>
      <c r="I319" s="10"/>
      <c r="J319" s="10"/>
      <c r="K319" s="10"/>
      <c r="L319" s="3" t="s">
        <v>4379</v>
      </c>
      <c r="M319" s="3" t="s">
        <v>4380</v>
      </c>
      <c r="N319" s="3" t="s">
        <v>4381</v>
      </c>
      <c r="O319" s="3">
        <v>13</v>
      </c>
      <c r="P319" s="3">
        <v>1</v>
      </c>
      <c r="Q319" s="3">
        <v>1</v>
      </c>
      <c r="R319" s="3" t="s">
        <v>4382</v>
      </c>
      <c r="S319" s="3" t="s">
        <v>4383</v>
      </c>
      <c r="T319" s="3" t="s">
        <v>106</v>
      </c>
      <c r="U319" s="11">
        <v>49</v>
      </c>
      <c r="V319" s="3" t="s">
        <v>4166</v>
      </c>
      <c r="W319" s="8" t="s">
        <v>7834</v>
      </c>
    </row>
    <row r="320" spans="1:23" x14ac:dyDescent="0.25">
      <c r="A320" s="2">
        <v>1057</v>
      </c>
      <c r="B320" s="3" t="s">
        <v>4166</v>
      </c>
      <c r="C320" s="3">
        <v>2024</v>
      </c>
      <c r="D320" s="3" t="s">
        <v>3276</v>
      </c>
      <c r="E320" s="3" t="s">
        <v>206</v>
      </c>
      <c r="F320" s="1" t="s">
        <v>7834</v>
      </c>
      <c r="G320" s="10"/>
      <c r="H320" s="10"/>
      <c r="I320" s="10"/>
      <c r="J320" s="10"/>
      <c r="K320" s="10">
        <v>16</v>
      </c>
      <c r="L320" s="3" t="s">
        <v>4493</v>
      </c>
      <c r="M320" s="3" t="s">
        <v>4494</v>
      </c>
      <c r="N320" s="3" t="s">
        <v>4495</v>
      </c>
      <c r="O320" s="3">
        <v>35</v>
      </c>
      <c r="P320" s="3">
        <v>3</v>
      </c>
      <c r="Q320" s="3">
        <v>1081</v>
      </c>
      <c r="R320" s="3" t="s">
        <v>4496</v>
      </c>
      <c r="S320" s="3" t="s">
        <v>4497</v>
      </c>
      <c r="T320" s="3" t="s">
        <v>106</v>
      </c>
      <c r="U320" s="11">
        <v>50</v>
      </c>
      <c r="V320" s="3" t="s">
        <v>4166</v>
      </c>
      <c r="W320" s="8" t="s">
        <v>7834</v>
      </c>
    </row>
    <row r="321" spans="1:23" x14ac:dyDescent="0.25">
      <c r="A321" s="2">
        <v>1074</v>
      </c>
      <c r="B321" s="3" t="s">
        <v>4536</v>
      </c>
      <c r="C321" s="3">
        <v>2024</v>
      </c>
      <c r="D321" s="3" t="s">
        <v>63</v>
      </c>
      <c r="E321" s="3" t="s">
        <v>15</v>
      </c>
      <c r="F321" s="1" t="s">
        <v>7834</v>
      </c>
      <c r="G321" s="10"/>
      <c r="H321" s="10"/>
      <c r="I321" s="10"/>
      <c r="J321" s="10"/>
      <c r="K321" s="10"/>
      <c r="L321" s="3" t="s">
        <v>4559</v>
      </c>
      <c r="M321" s="3" t="s">
        <v>4560</v>
      </c>
      <c r="N321" s="3" t="s">
        <v>4561</v>
      </c>
      <c r="O321" s="3">
        <v>35</v>
      </c>
      <c r="P321" s="3">
        <v>127</v>
      </c>
      <c r="Q321" s="3">
        <v>97</v>
      </c>
      <c r="R321" s="3" t="s">
        <v>4562</v>
      </c>
      <c r="S321" s="3" t="s">
        <v>4563</v>
      </c>
      <c r="T321" s="3" t="s">
        <v>106</v>
      </c>
      <c r="U321" s="11">
        <v>51</v>
      </c>
      <c r="V321" s="3" t="s">
        <v>4536</v>
      </c>
      <c r="W321" s="8" t="s">
        <v>7834</v>
      </c>
    </row>
    <row r="322" spans="1:23" x14ac:dyDescent="0.25">
      <c r="A322" s="2">
        <v>1079</v>
      </c>
      <c r="B322" s="3" t="s">
        <v>4536</v>
      </c>
      <c r="C322" s="3">
        <v>2024</v>
      </c>
      <c r="D322" s="3" t="s">
        <v>265</v>
      </c>
      <c r="E322" s="3" t="s">
        <v>15</v>
      </c>
      <c r="F322" s="1" t="s">
        <v>7834</v>
      </c>
      <c r="G322" s="10"/>
      <c r="H322" s="10"/>
      <c r="I322" s="10"/>
      <c r="J322" s="10"/>
      <c r="K322" s="10"/>
      <c r="L322" s="3" t="s">
        <v>764</v>
      </c>
      <c r="M322" s="3" t="s">
        <v>4580</v>
      </c>
      <c r="N322" s="3" t="s">
        <v>4581</v>
      </c>
      <c r="O322" s="3"/>
      <c r="P322" s="3"/>
      <c r="Q322" s="3"/>
      <c r="R322" s="3" t="s">
        <v>767</v>
      </c>
      <c r="S322" s="3" t="s">
        <v>4582</v>
      </c>
      <c r="T322" s="3" t="s">
        <v>106</v>
      </c>
      <c r="U322" s="11">
        <v>52</v>
      </c>
      <c r="V322" s="3" t="s">
        <v>4536</v>
      </c>
      <c r="W322" s="8" t="s">
        <v>7834</v>
      </c>
    </row>
    <row r="323" spans="1:23" x14ac:dyDescent="0.25">
      <c r="A323" s="2">
        <v>1082</v>
      </c>
      <c r="B323" s="3" t="s">
        <v>4536</v>
      </c>
      <c r="C323" s="3">
        <v>2024</v>
      </c>
      <c r="D323" s="3" t="s">
        <v>2932</v>
      </c>
      <c r="E323" s="3" t="s">
        <v>15</v>
      </c>
      <c r="F323" s="1" t="s">
        <v>7834</v>
      </c>
      <c r="G323" s="10"/>
      <c r="H323" s="10"/>
      <c r="I323" s="10"/>
      <c r="J323" s="10"/>
      <c r="K323" s="10"/>
      <c r="L323" s="3" t="s">
        <v>4592</v>
      </c>
      <c r="M323" s="3" t="s">
        <v>4593</v>
      </c>
      <c r="N323" s="3" t="s">
        <v>4594</v>
      </c>
      <c r="O323" s="3">
        <v>21</v>
      </c>
      <c r="P323" s="3">
        <v>54</v>
      </c>
      <c r="Q323" s="3"/>
      <c r="R323" s="3" t="s">
        <v>4595</v>
      </c>
      <c r="S323" s="3" t="s">
        <v>4596</v>
      </c>
      <c r="T323" s="3" t="s">
        <v>106</v>
      </c>
      <c r="U323" s="11">
        <v>53</v>
      </c>
      <c r="V323" s="3" t="s">
        <v>4536</v>
      </c>
      <c r="W323" s="8" t="s">
        <v>7834</v>
      </c>
    </row>
    <row r="324" spans="1:23" x14ac:dyDescent="0.25">
      <c r="A324" s="2">
        <v>1100</v>
      </c>
      <c r="B324" s="3" t="s">
        <v>4536</v>
      </c>
      <c r="C324" s="3">
        <v>2024</v>
      </c>
      <c r="D324" s="3" t="s">
        <v>14</v>
      </c>
      <c r="E324" s="3" t="s">
        <v>15</v>
      </c>
      <c r="F324" s="1" t="s">
        <v>7834</v>
      </c>
      <c r="G324" s="10"/>
      <c r="H324" s="10"/>
      <c r="I324" s="10"/>
      <c r="J324" s="10"/>
      <c r="K324" s="10"/>
      <c r="L324" s="3" t="s">
        <v>4667</v>
      </c>
      <c r="M324" s="3" t="s">
        <v>4668</v>
      </c>
      <c r="N324" s="3" t="s">
        <v>4669</v>
      </c>
      <c r="O324" s="3">
        <v>41</v>
      </c>
      <c r="P324" s="3">
        <v>3</v>
      </c>
      <c r="Q324" s="3">
        <v>379</v>
      </c>
      <c r="R324" s="3" t="s">
        <v>4670</v>
      </c>
      <c r="S324" s="3" t="s">
        <v>4671</v>
      </c>
      <c r="T324" s="3" t="s">
        <v>106</v>
      </c>
      <c r="U324" s="11">
        <v>54</v>
      </c>
      <c r="V324" s="3" t="s">
        <v>4536</v>
      </c>
      <c r="W324" s="8" t="s">
        <v>7834</v>
      </c>
    </row>
    <row r="325" spans="1:23" x14ac:dyDescent="0.25">
      <c r="A325" s="2">
        <v>1151</v>
      </c>
      <c r="B325" s="3" t="s">
        <v>4536</v>
      </c>
      <c r="C325" s="3">
        <v>2024</v>
      </c>
      <c r="D325" s="3" t="s">
        <v>63</v>
      </c>
      <c r="E325" s="3" t="s">
        <v>15</v>
      </c>
      <c r="F325" s="1" t="s">
        <v>7834</v>
      </c>
      <c r="G325" s="10"/>
      <c r="H325" s="10"/>
      <c r="I325" s="10"/>
      <c r="J325" s="10"/>
      <c r="K325" s="10"/>
      <c r="L325" s="3" t="s">
        <v>4836</v>
      </c>
      <c r="M325" s="3" t="s">
        <v>4837</v>
      </c>
      <c r="N325" s="3" t="s">
        <v>4838</v>
      </c>
      <c r="O325" s="3">
        <v>35</v>
      </c>
      <c r="P325" s="3">
        <v>127</v>
      </c>
      <c r="Q325" s="3">
        <v>65</v>
      </c>
      <c r="R325" s="3" t="s">
        <v>4839</v>
      </c>
      <c r="S325" s="3" t="s">
        <v>4840</v>
      </c>
      <c r="T325" s="3" t="s">
        <v>106</v>
      </c>
      <c r="U325" s="11">
        <v>55</v>
      </c>
      <c r="V325" s="3" t="s">
        <v>4536</v>
      </c>
      <c r="W325" s="8" t="s">
        <v>7834</v>
      </c>
    </row>
    <row r="326" spans="1:23" x14ac:dyDescent="0.25">
      <c r="A326" s="2">
        <v>1158</v>
      </c>
      <c r="B326" s="3" t="s">
        <v>4536</v>
      </c>
      <c r="C326" s="3">
        <v>2024</v>
      </c>
      <c r="D326" s="3" t="s">
        <v>530</v>
      </c>
      <c r="E326" s="3" t="s">
        <v>15</v>
      </c>
      <c r="F326" s="1" t="s">
        <v>7834</v>
      </c>
      <c r="G326" s="10"/>
      <c r="H326" s="10"/>
      <c r="I326" s="10"/>
      <c r="J326" s="10"/>
      <c r="K326" s="10"/>
      <c r="L326" s="3" t="s">
        <v>4863</v>
      </c>
      <c r="M326" s="3" t="s">
        <v>4864</v>
      </c>
      <c r="N326" s="3" t="s">
        <v>533</v>
      </c>
      <c r="O326" s="3">
        <v>31</v>
      </c>
      <c r="P326" s="3">
        <v>2</v>
      </c>
      <c r="Q326" s="3">
        <v>286</v>
      </c>
      <c r="R326" s="3" t="s">
        <v>4865</v>
      </c>
      <c r="S326" s="3" t="s">
        <v>535</v>
      </c>
      <c r="T326" s="3" t="s">
        <v>106</v>
      </c>
      <c r="U326" s="11">
        <v>56</v>
      </c>
      <c r="V326" s="3" t="s">
        <v>4536</v>
      </c>
      <c r="W326" s="8" t="s">
        <v>7834</v>
      </c>
    </row>
    <row r="327" spans="1:23" x14ac:dyDescent="0.25">
      <c r="A327" s="2">
        <v>1077</v>
      </c>
      <c r="B327" s="3" t="s">
        <v>4536</v>
      </c>
      <c r="C327" s="3">
        <v>2024</v>
      </c>
      <c r="D327" s="3" t="s">
        <v>82</v>
      </c>
      <c r="E327" s="3" t="s">
        <v>206</v>
      </c>
      <c r="F327" s="1" t="s">
        <v>7834</v>
      </c>
      <c r="G327" s="10"/>
      <c r="H327" s="10"/>
      <c r="I327" s="10"/>
      <c r="J327" s="10"/>
      <c r="K327" s="10"/>
      <c r="L327" s="3" t="s">
        <v>4574</v>
      </c>
      <c r="M327" s="3" t="s">
        <v>623</v>
      </c>
      <c r="N327" s="3" t="s">
        <v>4575</v>
      </c>
      <c r="O327" s="3">
        <v>35</v>
      </c>
      <c r="P327" s="6">
        <v>45813</v>
      </c>
      <c r="Q327" s="3">
        <v>528</v>
      </c>
      <c r="R327" s="3" t="s">
        <v>625</v>
      </c>
      <c r="S327" s="3" t="s">
        <v>4576</v>
      </c>
      <c r="T327" s="3" t="s">
        <v>106</v>
      </c>
      <c r="U327" s="11">
        <v>57</v>
      </c>
      <c r="V327" s="3" t="s">
        <v>4536</v>
      </c>
      <c r="W327" s="8" t="s">
        <v>7834</v>
      </c>
    </row>
    <row r="328" spans="1:23" x14ac:dyDescent="0.25">
      <c r="A328" s="2">
        <v>1089</v>
      </c>
      <c r="B328" s="3" t="s">
        <v>4536</v>
      </c>
      <c r="C328" s="3">
        <v>2024</v>
      </c>
      <c r="D328" s="3" t="s">
        <v>14</v>
      </c>
      <c r="E328" s="3" t="s">
        <v>206</v>
      </c>
      <c r="F328" s="1" t="s">
        <v>7834</v>
      </c>
      <c r="G328" s="10"/>
      <c r="H328" s="10"/>
      <c r="I328" s="10"/>
      <c r="J328" s="10"/>
      <c r="K328" s="10"/>
      <c r="L328" s="3" t="s">
        <v>4623</v>
      </c>
      <c r="M328" s="3" t="s">
        <v>4624</v>
      </c>
      <c r="N328" s="3" t="s">
        <v>4625</v>
      </c>
      <c r="O328" s="3">
        <v>17</v>
      </c>
      <c r="P328" s="3">
        <v>1</v>
      </c>
      <c r="Q328" s="3">
        <v>147</v>
      </c>
      <c r="R328" s="3" t="s">
        <v>4626</v>
      </c>
      <c r="S328" s="3" t="s">
        <v>4627</v>
      </c>
      <c r="T328" s="3" t="s">
        <v>106</v>
      </c>
      <c r="U328" s="11">
        <v>58</v>
      </c>
      <c r="V328" s="3" t="s">
        <v>4536</v>
      </c>
      <c r="W328" s="8" t="s">
        <v>7834</v>
      </c>
    </row>
    <row r="329" spans="1:23" x14ac:dyDescent="0.25">
      <c r="A329" s="2">
        <v>1093</v>
      </c>
      <c r="B329" s="3" t="s">
        <v>4536</v>
      </c>
      <c r="C329" s="3">
        <v>2024</v>
      </c>
      <c r="D329" s="3" t="s">
        <v>14</v>
      </c>
      <c r="E329" s="3" t="s">
        <v>206</v>
      </c>
      <c r="F329" s="1" t="s">
        <v>7834</v>
      </c>
      <c r="G329" s="10"/>
      <c r="H329" s="10"/>
      <c r="I329" s="10"/>
      <c r="J329" s="10"/>
      <c r="K329" s="10"/>
      <c r="L329" s="3" t="s">
        <v>4641</v>
      </c>
      <c r="M329" s="3" t="s">
        <v>4642</v>
      </c>
      <c r="N329" s="3" t="s">
        <v>4643</v>
      </c>
      <c r="O329" s="3">
        <v>62</v>
      </c>
      <c r="P329" s="3">
        <v>1</v>
      </c>
      <c r="Q329" s="3">
        <v>54</v>
      </c>
      <c r="R329" s="3" t="s">
        <v>4644</v>
      </c>
      <c r="S329" s="3" t="s">
        <v>4645</v>
      </c>
      <c r="T329" s="3" t="s">
        <v>106</v>
      </c>
      <c r="U329" s="11">
        <v>59</v>
      </c>
      <c r="V329" s="3" t="s">
        <v>4536</v>
      </c>
      <c r="W329" s="8" t="s">
        <v>7834</v>
      </c>
    </row>
    <row r="330" spans="1:23" x14ac:dyDescent="0.25">
      <c r="A330" s="2">
        <v>1113</v>
      </c>
      <c r="B330" s="3" t="s">
        <v>4536</v>
      </c>
      <c r="C330" s="3">
        <v>2024</v>
      </c>
      <c r="D330" s="3" t="s">
        <v>14</v>
      </c>
      <c r="E330" s="3" t="s">
        <v>206</v>
      </c>
      <c r="F330" s="1" t="s">
        <v>7834</v>
      </c>
      <c r="G330" s="10"/>
      <c r="H330" s="10"/>
      <c r="I330" s="10"/>
      <c r="J330" s="10"/>
      <c r="K330" s="10"/>
      <c r="L330" s="3" t="s">
        <v>4708</v>
      </c>
      <c r="M330" s="3" t="s">
        <v>4709</v>
      </c>
      <c r="N330" s="3" t="s">
        <v>4710</v>
      </c>
      <c r="O330" s="3">
        <v>42</v>
      </c>
      <c r="P330" s="3">
        <v>2</v>
      </c>
      <c r="Q330" s="3">
        <v>900</v>
      </c>
      <c r="R330" s="3" t="s">
        <v>4711</v>
      </c>
      <c r="S330" s="3" t="s">
        <v>4712</v>
      </c>
      <c r="T330" s="3" t="s">
        <v>106</v>
      </c>
      <c r="U330" s="11">
        <v>60</v>
      </c>
      <c r="V330" s="3" t="s">
        <v>4536</v>
      </c>
      <c r="W330" s="8" t="s">
        <v>7834</v>
      </c>
    </row>
    <row r="331" spans="1:23" x14ac:dyDescent="0.25">
      <c r="A331" s="2">
        <v>1157</v>
      </c>
      <c r="B331" s="3" t="s">
        <v>4536</v>
      </c>
      <c r="C331" s="3">
        <v>2024</v>
      </c>
      <c r="D331" s="3" t="s">
        <v>1267</v>
      </c>
      <c r="E331" s="3" t="s">
        <v>206</v>
      </c>
      <c r="F331" s="1" t="s">
        <v>7834</v>
      </c>
      <c r="G331" s="10"/>
      <c r="H331" s="10"/>
      <c r="I331" s="10"/>
      <c r="J331" s="10"/>
      <c r="K331" s="10"/>
      <c r="L331" s="3" t="s">
        <v>4859</v>
      </c>
      <c r="M331" s="3" t="s">
        <v>4860</v>
      </c>
      <c r="N331" s="3" t="s">
        <v>4861</v>
      </c>
      <c r="O331" s="3">
        <v>151</v>
      </c>
      <c r="P331" s="3">
        <v>10</v>
      </c>
      <c r="Q331" s="3">
        <v>1309</v>
      </c>
      <c r="R331" s="3" t="s">
        <v>4326</v>
      </c>
      <c r="S331" s="3" t="s">
        <v>4862</v>
      </c>
      <c r="T331" s="3" t="s">
        <v>106</v>
      </c>
      <c r="U331" s="11">
        <v>61</v>
      </c>
      <c r="V331" s="3" t="s">
        <v>4536</v>
      </c>
      <c r="W331" s="8" t="s">
        <v>7834</v>
      </c>
    </row>
    <row r="332" spans="1:23" x14ac:dyDescent="0.25">
      <c r="A332" s="2">
        <v>1160</v>
      </c>
      <c r="B332" s="3" t="s">
        <v>4536</v>
      </c>
      <c r="C332" s="3">
        <v>2024</v>
      </c>
      <c r="D332" s="3" t="s">
        <v>59</v>
      </c>
      <c r="E332" s="3" t="s">
        <v>206</v>
      </c>
      <c r="F332" s="1" t="s">
        <v>7834</v>
      </c>
      <c r="G332" s="10"/>
      <c r="H332" s="10"/>
      <c r="I332" s="10"/>
      <c r="J332" s="10"/>
      <c r="K332" s="10"/>
      <c r="L332" s="3" t="s">
        <v>4872</v>
      </c>
      <c r="M332" s="3" t="s">
        <v>4873</v>
      </c>
      <c r="N332" s="3" t="s">
        <v>4861</v>
      </c>
      <c r="O332" s="3">
        <v>152</v>
      </c>
      <c r="P332" s="3">
        <v>4</v>
      </c>
      <c r="Q332" s="3">
        <v>476</v>
      </c>
      <c r="R332" s="3" t="s">
        <v>4326</v>
      </c>
      <c r="S332" s="3" t="s">
        <v>4874</v>
      </c>
      <c r="T332" s="3" t="s">
        <v>106</v>
      </c>
      <c r="U332" s="11">
        <v>62</v>
      </c>
      <c r="V332" s="3" t="s">
        <v>4536</v>
      </c>
      <c r="W332" s="8" t="s">
        <v>7834</v>
      </c>
    </row>
    <row r="333" spans="1:23" x14ac:dyDescent="0.25">
      <c r="A333" s="2">
        <v>1246</v>
      </c>
      <c r="B333" s="3" t="s">
        <v>5020</v>
      </c>
      <c r="C333" s="3">
        <v>2024</v>
      </c>
      <c r="D333" s="3" t="s">
        <v>5160</v>
      </c>
      <c r="E333" s="3" t="s">
        <v>15</v>
      </c>
      <c r="F333" s="1" t="s">
        <v>7834</v>
      </c>
      <c r="G333" s="10"/>
      <c r="H333" s="10"/>
      <c r="I333" s="10"/>
      <c r="J333" s="10"/>
      <c r="K333" s="10"/>
      <c r="L333" s="3" t="s">
        <v>5161</v>
      </c>
      <c r="M333" s="3" t="s">
        <v>5162</v>
      </c>
      <c r="N333" s="3" t="s">
        <v>5163</v>
      </c>
      <c r="O333" s="3">
        <v>13</v>
      </c>
      <c r="P333" s="3">
        <v>3</v>
      </c>
      <c r="Q333" s="3">
        <v>781</v>
      </c>
      <c r="R333" s="3" t="s">
        <v>5164</v>
      </c>
      <c r="S333" s="3" t="s">
        <v>5165</v>
      </c>
      <c r="T333" s="3" t="s">
        <v>106</v>
      </c>
      <c r="U333" s="11">
        <v>63</v>
      </c>
      <c r="V333" s="3" t="s">
        <v>5020</v>
      </c>
      <c r="W333" s="8" t="s">
        <v>7834</v>
      </c>
    </row>
    <row r="334" spans="1:23" x14ac:dyDescent="0.25">
      <c r="A334" s="2">
        <v>1239</v>
      </c>
      <c r="B334" s="3" t="s">
        <v>5020</v>
      </c>
      <c r="C334" s="3">
        <v>2024</v>
      </c>
      <c r="D334" s="3" t="s">
        <v>38</v>
      </c>
      <c r="E334" s="3" t="s">
        <v>496</v>
      </c>
      <c r="F334" s="1" t="s">
        <v>7834</v>
      </c>
      <c r="G334" s="10"/>
      <c r="H334" s="10"/>
      <c r="I334" s="10"/>
      <c r="J334" s="10"/>
      <c r="K334" s="10"/>
      <c r="L334" s="3" t="s">
        <v>5133</v>
      </c>
      <c r="M334" s="3" t="s">
        <v>5027</v>
      </c>
      <c r="N334" s="3" t="s">
        <v>5134</v>
      </c>
      <c r="O334" s="3"/>
      <c r="P334" s="3"/>
      <c r="Q334" s="3">
        <v>859</v>
      </c>
      <c r="R334" s="3" t="s">
        <v>5135</v>
      </c>
      <c r="S334" s="3" t="s">
        <v>5136</v>
      </c>
      <c r="T334" s="3" t="s">
        <v>106</v>
      </c>
      <c r="U334" s="11">
        <v>64</v>
      </c>
      <c r="V334" s="3" t="s">
        <v>5020</v>
      </c>
      <c r="W334" s="8" t="s">
        <v>7834</v>
      </c>
    </row>
    <row r="335" spans="1:23" x14ac:dyDescent="0.25">
      <c r="A335" s="2">
        <v>1253</v>
      </c>
      <c r="B335" s="3" t="s">
        <v>5020</v>
      </c>
      <c r="C335" s="3">
        <v>2024</v>
      </c>
      <c r="D335" s="3" t="s">
        <v>22</v>
      </c>
      <c r="E335" s="3" t="s">
        <v>496</v>
      </c>
      <c r="F335" s="1" t="s">
        <v>7834</v>
      </c>
      <c r="G335" s="10"/>
      <c r="H335" s="10"/>
      <c r="I335" s="10"/>
      <c r="J335" s="10"/>
      <c r="K335" s="10"/>
      <c r="L335" s="3" t="s">
        <v>5186</v>
      </c>
      <c r="M335" s="3" t="s">
        <v>5187</v>
      </c>
      <c r="N335" s="3" t="s">
        <v>5188</v>
      </c>
      <c r="O335" s="3"/>
      <c r="P335" s="3"/>
      <c r="Q335" s="3"/>
      <c r="R335" s="3" t="s">
        <v>5189</v>
      </c>
      <c r="S335" s="3" t="s">
        <v>5190</v>
      </c>
      <c r="T335" s="3" t="s">
        <v>106</v>
      </c>
      <c r="U335" s="11">
        <v>65</v>
      </c>
      <c r="V335" s="3" t="s">
        <v>5020</v>
      </c>
      <c r="W335" s="8" t="s">
        <v>7834</v>
      </c>
    </row>
    <row r="336" spans="1:23" x14ac:dyDescent="0.25">
      <c r="A336" s="2">
        <v>1254</v>
      </c>
      <c r="B336" s="3" t="s">
        <v>5020</v>
      </c>
      <c r="C336" s="3">
        <v>2024</v>
      </c>
      <c r="D336" s="3" t="s">
        <v>38</v>
      </c>
      <c r="E336" s="3" t="s">
        <v>496</v>
      </c>
      <c r="F336" s="1" t="s">
        <v>7834</v>
      </c>
      <c r="G336" s="10"/>
      <c r="H336" s="10"/>
      <c r="I336" s="10"/>
      <c r="J336" s="10"/>
      <c r="K336" s="10"/>
      <c r="L336" s="3" t="s">
        <v>5191</v>
      </c>
      <c r="M336" s="3" t="s">
        <v>5192</v>
      </c>
      <c r="N336" s="3" t="s">
        <v>5193</v>
      </c>
      <c r="O336" s="3"/>
      <c r="P336" s="3"/>
      <c r="Q336" s="3"/>
      <c r="R336" s="3">
        <v>9781531506384</v>
      </c>
      <c r="S336" s="3" t="s">
        <v>5194</v>
      </c>
      <c r="T336" s="3" t="s">
        <v>106</v>
      </c>
      <c r="U336" s="11">
        <v>66</v>
      </c>
      <c r="V336" s="3" t="s">
        <v>5020</v>
      </c>
      <c r="W336" s="8" t="s">
        <v>7834</v>
      </c>
    </row>
    <row r="337" spans="1:23" x14ac:dyDescent="0.25">
      <c r="A337" s="2">
        <v>1255</v>
      </c>
      <c r="B337" s="3" t="s">
        <v>5020</v>
      </c>
      <c r="C337" s="3">
        <v>2024</v>
      </c>
      <c r="D337" s="3" t="s">
        <v>22</v>
      </c>
      <c r="E337" s="3" t="s">
        <v>496</v>
      </c>
      <c r="F337" s="1" t="s">
        <v>7834</v>
      </c>
      <c r="G337" s="10"/>
      <c r="H337" s="10"/>
      <c r="I337" s="10"/>
      <c r="J337" s="10"/>
      <c r="K337" s="10"/>
      <c r="L337" s="3" t="s">
        <v>5195</v>
      </c>
      <c r="M337" s="3" t="s">
        <v>5196</v>
      </c>
      <c r="N337" s="3" t="s">
        <v>5197</v>
      </c>
      <c r="O337" s="3"/>
      <c r="P337" s="3"/>
      <c r="Q337" s="3"/>
      <c r="R337" s="3">
        <v>9781839109645</v>
      </c>
      <c r="S337" s="3" t="s">
        <v>5198</v>
      </c>
      <c r="T337" s="3" t="s">
        <v>106</v>
      </c>
      <c r="U337" s="11">
        <v>67</v>
      </c>
      <c r="V337" s="3" t="s">
        <v>5020</v>
      </c>
      <c r="W337" s="8" t="s">
        <v>7834</v>
      </c>
    </row>
    <row r="338" spans="1:23" x14ac:dyDescent="0.25">
      <c r="A338" s="2">
        <v>1256</v>
      </c>
      <c r="B338" s="3" t="s">
        <v>5020</v>
      </c>
      <c r="C338" s="3">
        <v>2024</v>
      </c>
      <c r="D338" s="3" t="s">
        <v>93</v>
      </c>
      <c r="E338" s="3" t="s">
        <v>496</v>
      </c>
      <c r="F338" s="1" t="s">
        <v>7834</v>
      </c>
      <c r="G338" s="10"/>
      <c r="H338" s="10">
        <v>17</v>
      </c>
      <c r="I338" s="10"/>
      <c r="J338" s="10"/>
      <c r="K338" s="10"/>
      <c r="L338" s="3" t="s">
        <v>5199</v>
      </c>
      <c r="M338" s="3" t="s">
        <v>5192</v>
      </c>
      <c r="N338" s="3" t="s">
        <v>5200</v>
      </c>
      <c r="O338" s="3"/>
      <c r="P338" s="3"/>
      <c r="Q338" s="3"/>
      <c r="R338" s="3" t="s">
        <v>5201</v>
      </c>
      <c r="S338" s="3" t="s">
        <v>5202</v>
      </c>
      <c r="T338" s="3" t="s">
        <v>106</v>
      </c>
      <c r="U338" s="11">
        <v>68</v>
      </c>
      <c r="V338" s="3" t="s">
        <v>5020</v>
      </c>
      <c r="W338" s="8" t="s">
        <v>7834</v>
      </c>
    </row>
    <row r="339" spans="1:23" x14ac:dyDescent="0.25">
      <c r="A339" s="2">
        <v>1364</v>
      </c>
      <c r="B339" s="3" t="s">
        <v>5596</v>
      </c>
      <c r="C339" s="3">
        <v>2024</v>
      </c>
      <c r="D339" s="3" t="s">
        <v>1137</v>
      </c>
      <c r="E339" s="3" t="s">
        <v>206</v>
      </c>
      <c r="F339" s="1" t="s">
        <v>7834</v>
      </c>
      <c r="G339" s="10"/>
      <c r="H339" s="10"/>
      <c r="I339" s="10"/>
      <c r="J339" s="10"/>
      <c r="K339" s="10"/>
      <c r="L339" s="3" t="s">
        <v>5621</v>
      </c>
      <c r="M339" s="3" t="s">
        <v>5622</v>
      </c>
      <c r="N339" s="3" t="s">
        <v>5623</v>
      </c>
      <c r="O339" s="3">
        <v>13</v>
      </c>
      <c r="P339" s="3">
        <v>1</v>
      </c>
      <c r="Q339" s="3">
        <v>53</v>
      </c>
      <c r="R339" s="3" t="s">
        <v>5624</v>
      </c>
      <c r="S339" s="3" t="s">
        <v>5625</v>
      </c>
      <c r="T339" s="3" t="s">
        <v>106</v>
      </c>
      <c r="U339" s="11">
        <v>2</v>
      </c>
      <c r="V339" s="3" t="s">
        <v>5596</v>
      </c>
      <c r="W339" s="8" t="s">
        <v>7834</v>
      </c>
    </row>
    <row r="340" spans="1:23" x14ac:dyDescent="0.25">
      <c r="A340" s="2">
        <v>1384</v>
      </c>
      <c r="B340" s="3" t="s">
        <v>5671</v>
      </c>
      <c r="C340" s="3">
        <v>2024</v>
      </c>
      <c r="D340" s="3" t="s">
        <v>1137</v>
      </c>
      <c r="E340" s="3" t="s">
        <v>206</v>
      </c>
      <c r="F340" s="1" t="s">
        <v>7834</v>
      </c>
      <c r="G340" s="10"/>
      <c r="H340" s="10"/>
      <c r="I340" s="10"/>
      <c r="J340" s="10"/>
      <c r="K340" s="10"/>
      <c r="L340" s="3" t="s">
        <v>5693</v>
      </c>
      <c r="M340" s="3" t="s">
        <v>5694</v>
      </c>
      <c r="N340" s="3" t="s">
        <v>5695</v>
      </c>
      <c r="O340" s="3">
        <v>59</v>
      </c>
      <c r="P340" s="3">
        <v>2</v>
      </c>
      <c r="Q340" s="3">
        <v>181</v>
      </c>
      <c r="R340" s="3" t="s">
        <v>5696</v>
      </c>
      <c r="S340" s="3" t="s">
        <v>5697</v>
      </c>
      <c r="T340" s="3" t="s">
        <v>106</v>
      </c>
      <c r="U340" s="11">
        <v>3</v>
      </c>
      <c r="V340" s="3" t="s">
        <v>5671</v>
      </c>
      <c r="W340" s="8" t="s">
        <v>7834</v>
      </c>
    </row>
    <row r="341" spans="1:23" x14ac:dyDescent="0.25">
      <c r="A341" s="2">
        <v>1421</v>
      </c>
      <c r="B341" s="3" t="s">
        <v>5763</v>
      </c>
      <c r="C341" s="3">
        <v>2024</v>
      </c>
      <c r="D341" s="3" t="s">
        <v>3055</v>
      </c>
      <c r="E341" s="3" t="s">
        <v>15</v>
      </c>
      <c r="F341" s="1" t="s">
        <v>7834</v>
      </c>
      <c r="G341" s="10"/>
      <c r="H341" s="10"/>
      <c r="I341" s="10"/>
      <c r="J341" s="10"/>
      <c r="K341" s="10"/>
      <c r="L341" s="3" t="s">
        <v>5856</v>
      </c>
      <c r="M341" s="3" t="s">
        <v>5857</v>
      </c>
      <c r="N341" s="3" t="s">
        <v>5858</v>
      </c>
      <c r="O341" s="3"/>
      <c r="P341" s="3"/>
      <c r="Q341" s="3"/>
      <c r="R341" s="3" t="s">
        <v>5859</v>
      </c>
      <c r="S341" s="3" t="s">
        <v>5860</v>
      </c>
      <c r="T341" s="3" t="s">
        <v>106</v>
      </c>
      <c r="U341" s="11">
        <v>4</v>
      </c>
      <c r="V341" s="3" t="s">
        <v>5763</v>
      </c>
      <c r="W341" s="8" t="s">
        <v>7834</v>
      </c>
    </row>
    <row r="342" spans="1:23" x14ac:dyDescent="0.25">
      <c r="A342" s="2">
        <v>1423</v>
      </c>
      <c r="B342" s="3" t="s">
        <v>5763</v>
      </c>
      <c r="C342" s="3">
        <v>2024</v>
      </c>
      <c r="D342" s="3" t="s">
        <v>5866</v>
      </c>
      <c r="E342" s="3" t="s">
        <v>15</v>
      </c>
      <c r="F342" s="1" t="s">
        <v>7834</v>
      </c>
      <c r="G342" s="10"/>
      <c r="H342" s="10"/>
      <c r="I342" s="10"/>
      <c r="J342" s="10"/>
      <c r="K342" s="10"/>
      <c r="L342" s="3" t="s">
        <v>5867</v>
      </c>
      <c r="M342" s="3" t="s">
        <v>5868</v>
      </c>
      <c r="N342" s="3" t="s">
        <v>5858</v>
      </c>
      <c r="O342" s="3"/>
      <c r="P342" s="3"/>
      <c r="Q342" s="3"/>
      <c r="R342" s="3" t="s">
        <v>5859</v>
      </c>
      <c r="S342" s="3" t="s">
        <v>5869</v>
      </c>
      <c r="T342" s="3" t="s">
        <v>106</v>
      </c>
      <c r="U342" s="11">
        <v>5</v>
      </c>
      <c r="V342" s="3" t="s">
        <v>5763</v>
      </c>
      <c r="W342" s="8" t="s">
        <v>7834</v>
      </c>
    </row>
    <row r="343" spans="1:23" x14ac:dyDescent="0.25">
      <c r="A343" s="2">
        <v>1454</v>
      </c>
      <c r="B343" s="3" t="s">
        <v>5964</v>
      </c>
      <c r="C343" s="3">
        <v>2024</v>
      </c>
      <c r="D343" s="3" t="s">
        <v>4080</v>
      </c>
      <c r="E343" s="3" t="s">
        <v>496</v>
      </c>
      <c r="F343" s="1" t="s">
        <v>7834</v>
      </c>
      <c r="G343" s="10"/>
      <c r="H343" s="10"/>
      <c r="I343" s="10"/>
      <c r="J343" s="10"/>
      <c r="K343" s="10"/>
      <c r="L343" s="3" t="s">
        <v>5980</v>
      </c>
      <c r="M343" s="3" t="s">
        <v>5981</v>
      </c>
      <c r="N343" s="3" t="s">
        <v>5982</v>
      </c>
      <c r="O343" s="3"/>
      <c r="P343" s="3"/>
      <c r="Q343" s="3">
        <v>9</v>
      </c>
      <c r="R343" s="3" t="s">
        <v>5983</v>
      </c>
      <c r="S343" s="3" t="s">
        <v>5984</v>
      </c>
      <c r="T343" s="3" t="s">
        <v>106</v>
      </c>
      <c r="U343" s="11">
        <v>6</v>
      </c>
      <c r="V343" s="3" t="s">
        <v>5964</v>
      </c>
      <c r="W343" s="8" t="s">
        <v>7834</v>
      </c>
    </row>
    <row r="344" spans="1:23" x14ac:dyDescent="0.25">
      <c r="A344" s="2">
        <v>1455</v>
      </c>
      <c r="B344" s="3" t="s">
        <v>5964</v>
      </c>
      <c r="C344" s="3">
        <v>2024</v>
      </c>
      <c r="D344" s="3" t="s">
        <v>4080</v>
      </c>
      <c r="E344" s="3" t="s">
        <v>496</v>
      </c>
      <c r="F344" s="1" t="s">
        <v>7834</v>
      </c>
      <c r="G344" s="10"/>
      <c r="H344" s="10"/>
      <c r="I344" s="10"/>
      <c r="J344" s="10"/>
      <c r="K344" s="10"/>
      <c r="L344" s="3" t="s">
        <v>5985</v>
      </c>
      <c r="M344" s="3" t="s">
        <v>5986</v>
      </c>
      <c r="N344" s="3" t="s">
        <v>5982</v>
      </c>
      <c r="O344" s="3"/>
      <c r="P344" s="3"/>
      <c r="Q344" s="3">
        <v>141</v>
      </c>
      <c r="R344" s="3" t="s">
        <v>5983</v>
      </c>
      <c r="S344" s="3" t="s">
        <v>5984</v>
      </c>
      <c r="T344" s="3" t="s">
        <v>106</v>
      </c>
      <c r="U344" s="11">
        <v>7</v>
      </c>
      <c r="V344" s="3" t="s">
        <v>5964</v>
      </c>
      <c r="W344" s="8" t="s">
        <v>7834</v>
      </c>
    </row>
    <row r="345" spans="1:23" x14ac:dyDescent="0.25">
      <c r="A345" s="2">
        <v>1456</v>
      </c>
      <c r="B345" s="3" t="s">
        <v>5964</v>
      </c>
      <c r="C345" s="3">
        <v>2024</v>
      </c>
      <c r="D345" s="3" t="s">
        <v>4080</v>
      </c>
      <c r="E345" s="3" t="s">
        <v>496</v>
      </c>
      <c r="F345" s="1" t="s">
        <v>7834</v>
      </c>
      <c r="G345" s="10"/>
      <c r="H345" s="10"/>
      <c r="I345" s="10"/>
      <c r="J345" s="10"/>
      <c r="K345" s="10"/>
      <c r="L345" s="3" t="s">
        <v>5987</v>
      </c>
      <c r="M345" s="3" t="s">
        <v>5988</v>
      </c>
      <c r="N345" s="3" t="s">
        <v>5982</v>
      </c>
      <c r="O345" s="3"/>
      <c r="P345" s="3"/>
      <c r="Q345" s="3"/>
      <c r="R345" s="3" t="s">
        <v>5983</v>
      </c>
      <c r="S345" s="3" t="s">
        <v>5984</v>
      </c>
      <c r="T345" s="3" t="s">
        <v>106</v>
      </c>
      <c r="U345" s="11">
        <v>8</v>
      </c>
      <c r="V345" s="3" t="s">
        <v>5964</v>
      </c>
      <c r="W345" s="8" t="s">
        <v>7834</v>
      </c>
    </row>
    <row r="346" spans="1:23" x14ac:dyDescent="0.25">
      <c r="A346" s="2">
        <v>1457</v>
      </c>
      <c r="B346" s="3" t="s">
        <v>5964</v>
      </c>
      <c r="C346" s="3">
        <v>2024</v>
      </c>
      <c r="D346" s="3" t="s">
        <v>4080</v>
      </c>
      <c r="E346" s="3" t="s">
        <v>496</v>
      </c>
      <c r="F346" s="1" t="s">
        <v>7834</v>
      </c>
      <c r="G346" s="10"/>
      <c r="H346" s="10"/>
      <c r="I346" s="10"/>
      <c r="J346" s="10"/>
      <c r="K346" s="10"/>
      <c r="L346" s="3" t="s">
        <v>5989</v>
      </c>
      <c r="M346" s="3" t="s">
        <v>5990</v>
      </c>
      <c r="N346" s="3" t="s">
        <v>5982</v>
      </c>
      <c r="O346" s="3"/>
      <c r="P346" s="3"/>
      <c r="Q346" s="3">
        <v>111</v>
      </c>
      <c r="R346" s="3" t="s">
        <v>5983</v>
      </c>
      <c r="S346" s="3">
        <v>0</v>
      </c>
      <c r="T346" s="3" t="s">
        <v>106</v>
      </c>
      <c r="U346" s="11">
        <v>9</v>
      </c>
      <c r="V346" s="3" t="s">
        <v>5964</v>
      </c>
      <c r="W346" s="8" t="s">
        <v>7834</v>
      </c>
    </row>
    <row r="347" spans="1:23" x14ac:dyDescent="0.25">
      <c r="A347" s="2">
        <v>1458</v>
      </c>
      <c r="B347" s="3" t="s">
        <v>5964</v>
      </c>
      <c r="C347" s="3">
        <v>2024</v>
      </c>
      <c r="D347" s="3" t="s">
        <v>75</v>
      </c>
      <c r="E347" s="3" t="s">
        <v>496</v>
      </c>
      <c r="F347" s="1" t="s">
        <v>7834</v>
      </c>
      <c r="G347" s="10"/>
      <c r="H347" s="10"/>
      <c r="I347" s="10"/>
      <c r="J347" s="10"/>
      <c r="K347" s="10"/>
      <c r="L347" s="3" t="s">
        <v>5991</v>
      </c>
      <c r="M347" s="3" t="s">
        <v>5992</v>
      </c>
      <c r="N347" s="3" t="s">
        <v>5993</v>
      </c>
      <c r="O347" s="3"/>
      <c r="P347" s="3"/>
      <c r="Q347" s="3"/>
      <c r="R347" s="3">
        <v>9789978676820</v>
      </c>
      <c r="S347" s="3" t="s">
        <v>5994</v>
      </c>
      <c r="T347" s="3" t="s">
        <v>106</v>
      </c>
      <c r="U347" s="11">
        <v>10</v>
      </c>
      <c r="V347" s="3" t="s">
        <v>5964</v>
      </c>
      <c r="W347" s="8" t="s">
        <v>7834</v>
      </c>
    </row>
    <row r="348" spans="1:23" x14ac:dyDescent="0.25">
      <c r="A348" s="2">
        <v>1459</v>
      </c>
      <c r="B348" s="3" t="s">
        <v>5964</v>
      </c>
      <c r="C348" s="3">
        <v>2024</v>
      </c>
      <c r="D348" s="3" t="s">
        <v>215</v>
      </c>
      <c r="E348" s="3" t="s">
        <v>496</v>
      </c>
      <c r="F348" s="1" t="s">
        <v>7834</v>
      </c>
      <c r="G348" s="10"/>
      <c r="H348" s="10"/>
      <c r="I348" s="10"/>
      <c r="J348" s="10"/>
      <c r="K348" s="10"/>
      <c r="L348" s="3" t="s">
        <v>5995</v>
      </c>
      <c r="M348" s="3" t="s">
        <v>5996</v>
      </c>
      <c r="N348" s="3" t="s">
        <v>5997</v>
      </c>
      <c r="O348" s="3"/>
      <c r="P348" s="3"/>
      <c r="Q348" s="3"/>
      <c r="R348" s="3" t="s">
        <v>5998</v>
      </c>
      <c r="S348" s="3" t="s">
        <v>5999</v>
      </c>
      <c r="T348" s="3" t="s">
        <v>106</v>
      </c>
      <c r="U348" s="11">
        <v>11</v>
      </c>
      <c r="V348" s="3" t="s">
        <v>5964</v>
      </c>
      <c r="W348" s="8" t="s">
        <v>7834</v>
      </c>
    </row>
    <row r="349" spans="1:23" x14ac:dyDescent="0.25">
      <c r="A349" s="2">
        <v>1460</v>
      </c>
      <c r="B349" s="3" t="s">
        <v>5964</v>
      </c>
      <c r="C349" s="3">
        <v>2024</v>
      </c>
      <c r="D349" s="3" t="s">
        <v>63</v>
      </c>
      <c r="E349" s="3" t="s">
        <v>496</v>
      </c>
      <c r="F349" s="1" t="s">
        <v>7834</v>
      </c>
      <c r="G349" s="10"/>
      <c r="H349" s="10"/>
      <c r="I349" s="10"/>
      <c r="J349" s="10"/>
      <c r="K349" s="10"/>
      <c r="L349" s="3" t="s">
        <v>6000</v>
      </c>
      <c r="M349" s="3" t="s">
        <v>6001</v>
      </c>
      <c r="N349" s="3" t="s">
        <v>6002</v>
      </c>
      <c r="O349" s="3"/>
      <c r="P349" s="3"/>
      <c r="Q349" s="3">
        <v>36</v>
      </c>
      <c r="R349" s="3" t="s">
        <v>6003</v>
      </c>
      <c r="S349" s="3" t="s">
        <v>6004</v>
      </c>
      <c r="T349" s="3" t="s">
        <v>106</v>
      </c>
      <c r="U349" s="11">
        <v>12</v>
      </c>
      <c r="V349" s="3" t="s">
        <v>5964</v>
      </c>
      <c r="W349" s="8" t="s">
        <v>7834</v>
      </c>
    </row>
    <row r="350" spans="1:23" x14ac:dyDescent="0.25">
      <c r="A350" s="2">
        <v>1473</v>
      </c>
      <c r="B350" s="3" t="s">
        <v>5964</v>
      </c>
      <c r="C350" s="3">
        <v>2024</v>
      </c>
      <c r="D350" s="3" t="s">
        <v>1477</v>
      </c>
      <c r="E350" s="3" t="s">
        <v>496</v>
      </c>
      <c r="F350" s="1" t="s">
        <v>7834</v>
      </c>
      <c r="G350" s="10"/>
      <c r="H350" s="10"/>
      <c r="I350" s="10"/>
      <c r="J350" s="10"/>
      <c r="K350" s="10"/>
      <c r="L350" s="3" t="s">
        <v>6058</v>
      </c>
      <c r="M350" s="3" t="s">
        <v>6059</v>
      </c>
      <c r="N350" s="3" t="s">
        <v>6060</v>
      </c>
      <c r="O350" s="3"/>
      <c r="P350" s="3"/>
      <c r="Q350" s="3">
        <v>17</v>
      </c>
      <c r="R350" s="3" t="s">
        <v>4159</v>
      </c>
      <c r="S350" s="3" t="s">
        <v>6061</v>
      </c>
      <c r="T350" s="3" t="s">
        <v>106</v>
      </c>
      <c r="U350" s="11">
        <v>13</v>
      </c>
      <c r="V350" s="3" t="s">
        <v>5964</v>
      </c>
      <c r="W350" s="8" t="s">
        <v>7834</v>
      </c>
    </row>
    <row r="351" spans="1:23" x14ac:dyDescent="0.25">
      <c r="A351" s="2">
        <v>1476</v>
      </c>
      <c r="B351" s="3" t="s">
        <v>5964</v>
      </c>
      <c r="C351" s="3">
        <v>2024</v>
      </c>
      <c r="D351" s="3" t="s">
        <v>75</v>
      </c>
      <c r="E351" s="3" t="s">
        <v>496</v>
      </c>
      <c r="F351" s="1" t="s">
        <v>7834</v>
      </c>
      <c r="G351" s="10"/>
      <c r="H351" s="10"/>
      <c r="I351" s="10"/>
      <c r="J351" s="10"/>
      <c r="K351" s="10"/>
      <c r="L351" s="3" t="s">
        <v>6070</v>
      </c>
      <c r="M351" s="3" t="s">
        <v>6071</v>
      </c>
      <c r="N351" s="3" t="s">
        <v>6072</v>
      </c>
      <c r="O351" s="3">
        <v>2</v>
      </c>
      <c r="P351" s="3"/>
      <c r="Q351" s="3"/>
      <c r="R351" s="3" t="s">
        <v>6073</v>
      </c>
      <c r="S351" s="3" t="s">
        <v>6074</v>
      </c>
      <c r="T351" s="3" t="s">
        <v>106</v>
      </c>
      <c r="U351" s="11">
        <v>14</v>
      </c>
      <c r="V351" s="3" t="s">
        <v>5964</v>
      </c>
      <c r="W351" s="8" t="s">
        <v>7834</v>
      </c>
    </row>
    <row r="352" spans="1:23" x14ac:dyDescent="0.25">
      <c r="A352" s="2">
        <v>1477</v>
      </c>
      <c r="B352" s="3" t="s">
        <v>5964</v>
      </c>
      <c r="C352" s="3">
        <v>2024</v>
      </c>
      <c r="D352" s="3" t="s">
        <v>75</v>
      </c>
      <c r="E352" s="3" t="s">
        <v>496</v>
      </c>
      <c r="F352" s="1" t="s">
        <v>7834</v>
      </c>
      <c r="G352" s="10"/>
      <c r="H352" s="10"/>
      <c r="I352" s="10"/>
      <c r="J352" s="10"/>
      <c r="K352" s="10"/>
      <c r="L352" s="3" t="s">
        <v>6075</v>
      </c>
      <c r="M352" s="3" t="s">
        <v>6076</v>
      </c>
      <c r="N352" s="3" t="s">
        <v>6077</v>
      </c>
      <c r="O352" s="3"/>
      <c r="P352" s="3"/>
      <c r="Q352" s="3"/>
      <c r="R352" s="3" t="s">
        <v>6078</v>
      </c>
      <c r="S352" s="3" t="s">
        <v>6079</v>
      </c>
      <c r="T352" s="3" t="s">
        <v>106</v>
      </c>
      <c r="U352" s="11">
        <v>15</v>
      </c>
      <c r="V352" s="3" t="s">
        <v>5964</v>
      </c>
      <c r="W352" s="8" t="s">
        <v>7834</v>
      </c>
    </row>
    <row r="353" spans="1:23" x14ac:dyDescent="0.25">
      <c r="A353" s="2">
        <v>1479</v>
      </c>
      <c r="B353" s="3" t="s">
        <v>5964</v>
      </c>
      <c r="C353" s="3">
        <v>2024</v>
      </c>
      <c r="D353" s="3" t="s">
        <v>1283</v>
      </c>
      <c r="E353" s="3" t="s">
        <v>496</v>
      </c>
      <c r="F353" s="1" t="s">
        <v>7834</v>
      </c>
      <c r="G353" s="10"/>
      <c r="H353" s="10"/>
      <c r="I353" s="10"/>
      <c r="J353" s="10"/>
      <c r="K353" s="10"/>
      <c r="L353" s="3" t="s">
        <v>6084</v>
      </c>
      <c r="M353" s="3" t="s">
        <v>6085</v>
      </c>
      <c r="N353" s="3" t="s">
        <v>6086</v>
      </c>
      <c r="O353" s="3"/>
      <c r="P353" s="3"/>
      <c r="Q353" s="3"/>
      <c r="R353" s="3" t="s">
        <v>6087</v>
      </c>
      <c r="S353" s="3" t="s">
        <v>6088</v>
      </c>
      <c r="T353" s="3" t="s">
        <v>106</v>
      </c>
      <c r="U353" s="11">
        <v>16</v>
      </c>
      <c r="V353" s="3" t="s">
        <v>5964</v>
      </c>
      <c r="W353" s="8" t="s">
        <v>7834</v>
      </c>
    </row>
    <row r="354" spans="1:23" x14ac:dyDescent="0.25">
      <c r="A354" s="2">
        <v>1482</v>
      </c>
      <c r="B354" s="3" t="s">
        <v>5964</v>
      </c>
      <c r="C354" s="3">
        <v>2024</v>
      </c>
      <c r="D354" s="3" t="s">
        <v>75</v>
      </c>
      <c r="E354" s="3" t="s">
        <v>496</v>
      </c>
      <c r="F354" s="1" t="s">
        <v>7834</v>
      </c>
      <c r="G354" s="10"/>
      <c r="H354" s="10">
        <v>12</v>
      </c>
      <c r="I354" s="10"/>
      <c r="J354" s="10"/>
      <c r="K354" s="10"/>
      <c r="L354" s="3" t="s">
        <v>6096</v>
      </c>
      <c r="M354" s="3" t="s">
        <v>5988</v>
      </c>
      <c r="N354" s="3" t="s">
        <v>6097</v>
      </c>
      <c r="O354" s="3"/>
      <c r="P354" s="3"/>
      <c r="Q354" s="3"/>
      <c r="R354" s="3" t="s">
        <v>6098</v>
      </c>
      <c r="S354" s="3" t="s">
        <v>6099</v>
      </c>
      <c r="T354" s="3" t="s">
        <v>106</v>
      </c>
      <c r="U354" s="11">
        <v>17</v>
      </c>
      <c r="V354" s="3" t="s">
        <v>5964</v>
      </c>
      <c r="W354" s="8" t="s">
        <v>7834</v>
      </c>
    </row>
    <row r="355" spans="1:23" x14ac:dyDescent="0.25">
      <c r="A355" s="2">
        <v>1461</v>
      </c>
      <c r="B355" s="3" t="s">
        <v>5964</v>
      </c>
      <c r="C355" s="3">
        <v>2024</v>
      </c>
      <c r="D355" s="3" t="s">
        <v>840</v>
      </c>
      <c r="E355" s="3" t="s">
        <v>730</v>
      </c>
      <c r="F355" s="1" t="s">
        <v>7834</v>
      </c>
      <c r="G355" s="10"/>
      <c r="H355" s="10"/>
      <c r="I355" s="10"/>
      <c r="J355" s="10"/>
      <c r="K355" s="10"/>
      <c r="L355" s="3" t="s">
        <v>6005</v>
      </c>
      <c r="M355" s="3" t="s">
        <v>6006</v>
      </c>
      <c r="N355" s="3" t="s">
        <v>6007</v>
      </c>
      <c r="O355" s="3"/>
      <c r="P355" s="3">
        <v>2</v>
      </c>
      <c r="Q355" s="3">
        <v>10</v>
      </c>
      <c r="R355" s="3" t="s">
        <v>6008</v>
      </c>
      <c r="S355" s="3" t="s">
        <v>6009</v>
      </c>
      <c r="T355" s="3" t="s">
        <v>106</v>
      </c>
      <c r="U355" s="11">
        <v>18</v>
      </c>
      <c r="V355" s="3" t="s">
        <v>5964</v>
      </c>
      <c r="W355" s="8" t="s">
        <v>7834</v>
      </c>
    </row>
    <row r="356" spans="1:23" x14ac:dyDescent="0.25">
      <c r="A356" s="2">
        <v>1466</v>
      </c>
      <c r="B356" s="3" t="s">
        <v>5964</v>
      </c>
      <c r="C356" s="3">
        <v>2024</v>
      </c>
      <c r="D356" s="3" t="s">
        <v>120</v>
      </c>
      <c r="E356" s="3" t="s">
        <v>730</v>
      </c>
      <c r="F356" s="1" t="s">
        <v>7834</v>
      </c>
      <c r="G356" s="10"/>
      <c r="H356" s="10"/>
      <c r="I356" s="10"/>
      <c r="J356" s="10"/>
      <c r="K356" s="10"/>
      <c r="L356" s="3" t="s">
        <v>6029</v>
      </c>
      <c r="M356" s="3" t="s">
        <v>6030</v>
      </c>
      <c r="N356" s="3" t="s">
        <v>6031</v>
      </c>
      <c r="O356" s="3">
        <v>1</v>
      </c>
      <c r="P356" s="3"/>
      <c r="Q356" s="3"/>
      <c r="R356" s="3" t="s">
        <v>6008</v>
      </c>
      <c r="S356" s="3" t="s">
        <v>6032</v>
      </c>
      <c r="T356" s="3" t="s">
        <v>106</v>
      </c>
      <c r="U356" s="11">
        <v>19</v>
      </c>
      <c r="V356" s="3" t="s">
        <v>5964</v>
      </c>
      <c r="W356" s="8" t="s">
        <v>7834</v>
      </c>
    </row>
    <row r="357" spans="1:23" x14ac:dyDescent="0.25">
      <c r="A357" s="2">
        <v>1478</v>
      </c>
      <c r="B357" s="3" t="s">
        <v>5964</v>
      </c>
      <c r="C357" s="3">
        <v>2024</v>
      </c>
      <c r="D357" s="3" t="s">
        <v>1622</v>
      </c>
      <c r="E357" s="3" t="s">
        <v>730</v>
      </c>
      <c r="F357" s="1" t="s">
        <v>7834</v>
      </c>
      <c r="G357" s="10"/>
      <c r="H357" s="10"/>
      <c r="I357" s="10"/>
      <c r="J357" s="10"/>
      <c r="K357" s="10"/>
      <c r="L357" s="3" t="s">
        <v>6080</v>
      </c>
      <c r="M357" s="3" t="s">
        <v>6076</v>
      </c>
      <c r="N357" s="3" t="s">
        <v>6081</v>
      </c>
      <c r="O357" s="3">
        <v>6</v>
      </c>
      <c r="P357" s="3">
        <v>2</v>
      </c>
      <c r="Q357" s="3">
        <v>26</v>
      </c>
      <c r="R357" s="3" t="s">
        <v>6082</v>
      </c>
      <c r="S357" s="3" t="s">
        <v>6083</v>
      </c>
      <c r="T357" s="3" t="s">
        <v>106</v>
      </c>
      <c r="U357" s="11">
        <v>20</v>
      </c>
      <c r="V357" s="3" t="s">
        <v>5964</v>
      </c>
      <c r="W357" s="8" t="s">
        <v>7834</v>
      </c>
    </row>
    <row r="358" spans="1:23" x14ac:dyDescent="0.25">
      <c r="A358" s="2">
        <v>1480</v>
      </c>
      <c r="B358" s="3" t="s">
        <v>5964</v>
      </c>
      <c r="C358" s="3">
        <v>2024</v>
      </c>
      <c r="D358" s="3" t="s">
        <v>1622</v>
      </c>
      <c r="E358" s="3" t="s">
        <v>730</v>
      </c>
      <c r="F358" s="1" t="s">
        <v>7834</v>
      </c>
      <c r="G358" s="10"/>
      <c r="H358" s="10"/>
      <c r="I358" s="10"/>
      <c r="J358" s="10">
        <v>4</v>
      </c>
      <c r="K358" s="10"/>
      <c r="L358" s="3" t="s">
        <v>6089</v>
      </c>
      <c r="M358" s="3" t="s">
        <v>6090</v>
      </c>
      <c r="N358" s="3" t="s">
        <v>6081</v>
      </c>
      <c r="O358" s="3">
        <v>6</v>
      </c>
      <c r="P358" s="3">
        <v>2</v>
      </c>
      <c r="Q358" s="3">
        <v>4</v>
      </c>
      <c r="R358" s="3" t="s">
        <v>6082</v>
      </c>
      <c r="S358" s="3" t="s">
        <v>6091</v>
      </c>
      <c r="T358" s="3" t="s">
        <v>106</v>
      </c>
      <c r="U358" s="11">
        <v>21</v>
      </c>
      <c r="V358" s="3" t="s">
        <v>5964</v>
      </c>
      <c r="W358" s="8" t="s">
        <v>7834</v>
      </c>
    </row>
    <row r="359" spans="1:23" x14ac:dyDescent="0.25">
      <c r="A359" s="2">
        <v>1468</v>
      </c>
      <c r="B359" s="3" t="s">
        <v>5964</v>
      </c>
      <c r="C359" s="3">
        <v>2024</v>
      </c>
      <c r="D359" s="3" t="s">
        <v>1196</v>
      </c>
      <c r="E359" s="3" t="s">
        <v>206</v>
      </c>
      <c r="F359" s="1" t="s">
        <v>7834</v>
      </c>
      <c r="G359" s="10"/>
      <c r="H359" s="10"/>
      <c r="I359" s="10"/>
      <c r="J359" s="10"/>
      <c r="K359" s="10"/>
      <c r="L359" s="3" t="s">
        <v>6037</v>
      </c>
      <c r="M359" s="3" t="s">
        <v>6038</v>
      </c>
      <c r="N359" s="3" t="s">
        <v>6039</v>
      </c>
      <c r="O359" s="3"/>
      <c r="P359" s="3">
        <v>47</v>
      </c>
      <c r="Q359" s="4">
        <v>42736</v>
      </c>
      <c r="R359" s="3" t="s">
        <v>6040</v>
      </c>
      <c r="S359" s="3" t="s">
        <v>6041</v>
      </c>
      <c r="T359" s="3" t="s">
        <v>106</v>
      </c>
      <c r="U359" s="11">
        <v>22</v>
      </c>
      <c r="V359" s="3" t="s">
        <v>5964</v>
      </c>
      <c r="W359" s="8" t="s">
        <v>7834</v>
      </c>
    </row>
    <row r="360" spans="1:23" x14ac:dyDescent="0.25">
      <c r="A360" s="2">
        <v>1570</v>
      </c>
      <c r="B360" s="3" t="s">
        <v>6419</v>
      </c>
      <c r="C360" s="3">
        <v>2024</v>
      </c>
      <c r="D360" s="3" t="s">
        <v>1113</v>
      </c>
      <c r="E360" s="3" t="s">
        <v>15</v>
      </c>
      <c r="F360" s="1" t="s">
        <v>7834</v>
      </c>
      <c r="G360" s="10"/>
      <c r="H360" s="10"/>
      <c r="I360" s="10"/>
      <c r="J360" s="10"/>
      <c r="K360" s="10"/>
      <c r="L360" s="3" t="s">
        <v>6425</v>
      </c>
      <c r="M360" s="3" t="s">
        <v>6426</v>
      </c>
      <c r="N360" s="3" t="s">
        <v>6427</v>
      </c>
      <c r="O360" s="3"/>
      <c r="P360" s="3"/>
      <c r="Q360" s="3"/>
      <c r="R360" s="3" t="s">
        <v>6428</v>
      </c>
      <c r="S360" s="3" t="s">
        <v>6429</v>
      </c>
      <c r="T360" s="3" t="s">
        <v>106</v>
      </c>
      <c r="U360" s="11">
        <v>23</v>
      </c>
      <c r="V360" s="3" t="s">
        <v>6419</v>
      </c>
      <c r="W360" s="8" t="s">
        <v>7834</v>
      </c>
    </row>
    <row r="361" spans="1:23" x14ac:dyDescent="0.25">
      <c r="A361" s="2">
        <v>1579</v>
      </c>
      <c r="B361" s="3" t="s">
        <v>6419</v>
      </c>
      <c r="C361" s="3">
        <v>2024</v>
      </c>
      <c r="D361" s="3" t="s">
        <v>75</v>
      </c>
      <c r="E361" s="3" t="s">
        <v>496</v>
      </c>
      <c r="F361" s="1" t="s">
        <v>7834</v>
      </c>
      <c r="G361" s="10"/>
      <c r="H361" s="10">
        <v>1</v>
      </c>
      <c r="I361" s="10"/>
      <c r="J361" s="10"/>
      <c r="K361" s="10"/>
      <c r="L361" s="3" t="s">
        <v>6464</v>
      </c>
      <c r="M361" s="3" t="s">
        <v>6465</v>
      </c>
      <c r="N361" s="3" t="s">
        <v>6466</v>
      </c>
      <c r="O361" s="3"/>
      <c r="P361" s="3"/>
      <c r="Q361" s="3"/>
      <c r="R361" s="3"/>
      <c r="S361" s="3" t="s">
        <v>6467</v>
      </c>
      <c r="T361" s="3" t="s">
        <v>106</v>
      </c>
      <c r="U361" s="11">
        <v>24</v>
      </c>
      <c r="V361" s="3" t="s">
        <v>6419</v>
      </c>
      <c r="W361" s="8" t="s">
        <v>7834</v>
      </c>
    </row>
    <row r="362" spans="1:23" x14ac:dyDescent="0.25">
      <c r="A362" s="2">
        <v>1577</v>
      </c>
      <c r="B362" s="3" t="s">
        <v>6419</v>
      </c>
      <c r="C362" s="3">
        <v>2024</v>
      </c>
      <c r="D362" s="3" t="s">
        <v>2531</v>
      </c>
      <c r="E362" s="3" t="s">
        <v>114</v>
      </c>
      <c r="F362" s="1" t="s">
        <v>7834</v>
      </c>
      <c r="G362" s="10"/>
      <c r="H362" s="10"/>
      <c r="I362" s="10">
        <v>1</v>
      </c>
      <c r="J362" s="10"/>
      <c r="K362" s="10"/>
      <c r="L362" s="3" t="s">
        <v>6457</v>
      </c>
      <c r="M362" s="3" t="s">
        <v>6458</v>
      </c>
      <c r="N362" s="3" t="s">
        <v>6459</v>
      </c>
      <c r="O362" s="3">
        <v>23</v>
      </c>
      <c r="P362" s="3">
        <v>1</v>
      </c>
      <c r="Q362" s="3">
        <v>46</v>
      </c>
      <c r="R362" s="3"/>
      <c r="S362" s="3" t="s">
        <v>6460</v>
      </c>
      <c r="T362" s="3" t="s">
        <v>106</v>
      </c>
      <c r="U362" s="11">
        <v>25</v>
      </c>
      <c r="V362" s="3" t="s">
        <v>6419</v>
      </c>
      <c r="W362" s="8" t="s">
        <v>7834</v>
      </c>
    </row>
    <row r="363" spans="1:23" x14ac:dyDescent="0.25">
      <c r="A363" s="2">
        <v>1591</v>
      </c>
      <c r="B363" s="3" t="s">
        <v>6493</v>
      </c>
      <c r="C363" s="3">
        <v>2024</v>
      </c>
      <c r="D363" s="3" t="s">
        <v>31</v>
      </c>
      <c r="E363" s="3" t="s">
        <v>206</v>
      </c>
      <c r="F363" s="1" t="s">
        <v>7834</v>
      </c>
      <c r="G363" s="10"/>
      <c r="H363" s="10"/>
      <c r="I363" s="10"/>
      <c r="J363" s="10"/>
      <c r="K363" s="10">
        <v>3</v>
      </c>
      <c r="L363" s="3" t="s">
        <v>6503</v>
      </c>
      <c r="M363" s="3" t="s">
        <v>6504</v>
      </c>
      <c r="N363" s="3" t="s">
        <v>6505</v>
      </c>
      <c r="O363" s="3">
        <v>31</v>
      </c>
      <c r="P363" s="3">
        <v>1</v>
      </c>
      <c r="Q363" s="3"/>
      <c r="R363" s="3" t="s">
        <v>6506</v>
      </c>
      <c r="S363" s="3" t="s">
        <v>6507</v>
      </c>
      <c r="T363" s="3" t="s">
        <v>106</v>
      </c>
      <c r="U363" s="11">
        <v>26</v>
      </c>
      <c r="V363" s="3" t="s">
        <v>6493</v>
      </c>
      <c r="W363" s="8" t="s">
        <v>7834</v>
      </c>
    </row>
    <row r="364" spans="1:23" x14ac:dyDescent="0.25">
      <c r="A364" s="2">
        <v>1627</v>
      </c>
      <c r="B364" s="3" t="s">
        <v>6614</v>
      </c>
      <c r="C364" s="3">
        <v>2024</v>
      </c>
      <c r="D364" s="3" t="s">
        <v>2629</v>
      </c>
      <c r="E364" s="3" t="s">
        <v>496</v>
      </c>
      <c r="F364" s="1" t="s">
        <v>7834</v>
      </c>
      <c r="G364" s="10"/>
      <c r="H364" s="10">
        <v>1</v>
      </c>
      <c r="I364" s="10"/>
      <c r="J364" s="10"/>
      <c r="K364" s="10"/>
      <c r="L364" s="3" t="s">
        <v>6625</v>
      </c>
      <c r="M364" s="3" t="s">
        <v>6626</v>
      </c>
      <c r="N364" s="3" t="s">
        <v>6627</v>
      </c>
      <c r="O364" s="3"/>
      <c r="P364" s="3"/>
      <c r="Q364" s="3"/>
      <c r="R364" s="3">
        <v>9789561432970</v>
      </c>
      <c r="S364" s="3" t="s">
        <v>6628</v>
      </c>
      <c r="T364" s="3" t="s">
        <v>106</v>
      </c>
      <c r="U364" s="11">
        <v>27</v>
      </c>
      <c r="V364" s="3" t="s">
        <v>6614</v>
      </c>
      <c r="W364" s="8" t="s">
        <v>7834</v>
      </c>
    </row>
    <row r="365" spans="1:23" x14ac:dyDescent="0.25">
      <c r="A365" s="2">
        <v>1628</v>
      </c>
      <c r="B365" s="3" t="s">
        <v>6614</v>
      </c>
      <c r="C365" s="3">
        <v>2024</v>
      </c>
      <c r="D365" s="3" t="s">
        <v>1788</v>
      </c>
      <c r="E365" s="3" t="s">
        <v>114</v>
      </c>
      <c r="F365" s="1" t="s">
        <v>7834</v>
      </c>
      <c r="G365" s="10"/>
      <c r="H365" s="10"/>
      <c r="I365" s="10"/>
      <c r="J365" s="10"/>
      <c r="K365" s="10"/>
      <c r="L365" s="3" t="s">
        <v>6629</v>
      </c>
      <c r="M365" s="3" t="s">
        <v>6630</v>
      </c>
      <c r="N365" s="3" t="s">
        <v>6631</v>
      </c>
      <c r="O365" s="3"/>
      <c r="P365" s="3"/>
      <c r="Q365" s="3"/>
      <c r="R365" s="3"/>
      <c r="S365" s="3" t="s">
        <v>6632</v>
      </c>
      <c r="T365" s="3" t="s">
        <v>106</v>
      </c>
      <c r="U365" s="11">
        <v>28</v>
      </c>
      <c r="V365" s="3" t="s">
        <v>6614</v>
      </c>
      <c r="W365" s="8" t="s">
        <v>7834</v>
      </c>
    </row>
    <row r="366" spans="1:23" x14ac:dyDescent="0.25">
      <c r="A366" s="2">
        <v>1636</v>
      </c>
      <c r="B366" s="3" t="s">
        <v>6614</v>
      </c>
      <c r="C366" s="3">
        <v>2024</v>
      </c>
      <c r="D366" s="3" t="s">
        <v>1872</v>
      </c>
      <c r="E366" s="3" t="s">
        <v>114</v>
      </c>
      <c r="F366" s="1" t="s">
        <v>7834</v>
      </c>
      <c r="G366" s="10"/>
      <c r="H366" s="10"/>
      <c r="I366" s="10">
        <v>2</v>
      </c>
      <c r="J366" s="10"/>
      <c r="K366" s="10"/>
      <c r="L366" s="3" t="s">
        <v>6660</v>
      </c>
      <c r="M366" s="3" t="s">
        <v>6661</v>
      </c>
      <c r="N366" s="3" t="s">
        <v>6662</v>
      </c>
      <c r="O366" s="3">
        <v>11</v>
      </c>
      <c r="P366" s="3">
        <v>1</v>
      </c>
      <c r="Q366" s="3">
        <v>38</v>
      </c>
      <c r="R366" s="3"/>
      <c r="S366" s="3" t="s">
        <v>6663</v>
      </c>
      <c r="T366" s="3" t="s">
        <v>106</v>
      </c>
      <c r="U366" s="11">
        <v>29</v>
      </c>
      <c r="V366" s="3" t="s">
        <v>6614</v>
      </c>
      <c r="W366" s="8" t="s">
        <v>7834</v>
      </c>
    </row>
    <row r="367" spans="1:23" x14ac:dyDescent="0.25">
      <c r="A367" s="2">
        <v>1743</v>
      </c>
      <c r="B367" s="3" t="s">
        <v>6738</v>
      </c>
      <c r="C367" s="3">
        <v>2024</v>
      </c>
      <c r="D367" s="3" t="s">
        <v>2744</v>
      </c>
      <c r="E367" s="3" t="s">
        <v>15</v>
      </c>
      <c r="F367" s="1" t="s">
        <v>7834</v>
      </c>
      <c r="G367" s="10"/>
      <c r="H367" s="10"/>
      <c r="I367" s="10"/>
      <c r="J367" s="10"/>
      <c r="K367" s="10"/>
      <c r="L367" s="3" t="s">
        <v>6762</v>
      </c>
      <c r="M367" s="3" t="s">
        <v>6763</v>
      </c>
      <c r="N367" s="3" t="s">
        <v>6764</v>
      </c>
      <c r="O367" s="3"/>
      <c r="P367" s="3"/>
      <c r="Q367" s="3"/>
      <c r="R367" s="3" t="s">
        <v>6765</v>
      </c>
      <c r="S367" s="3" t="s">
        <v>6766</v>
      </c>
      <c r="T367" s="3" t="s">
        <v>106</v>
      </c>
      <c r="U367" s="11">
        <v>30</v>
      </c>
      <c r="V367" s="3" t="s">
        <v>6738</v>
      </c>
      <c r="W367" s="8" t="s">
        <v>7834</v>
      </c>
    </row>
    <row r="368" spans="1:23" x14ac:dyDescent="0.25">
      <c r="A368" s="2">
        <v>1773</v>
      </c>
      <c r="B368" s="3" t="s">
        <v>6869</v>
      </c>
      <c r="C368" s="3">
        <v>2024</v>
      </c>
      <c r="D368" s="3" t="s">
        <v>530</v>
      </c>
      <c r="E368" s="3" t="s">
        <v>496</v>
      </c>
      <c r="F368" s="1" t="s">
        <v>7834</v>
      </c>
      <c r="G368" s="10"/>
      <c r="H368" s="10"/>
      <c r="I368" s="10"/>
      <c r="J368" s="10"/>
      <c r="K368" s="10"/>
      <c r="L368" s="3" t="s">
        <v>6904</v>
      </c>
      <c r="M368" s="3" t="s">
        <v>6905</v>
      </c>
      <c r="N368" s="3" t="s">
        <v>6906</v>
      </c>
      <c r="O368" s="3"/>
      <c r="P368" s="3"/>
      <c r="Q368" s="3"/>
      <c r="R368" s="3"/>
      <c r="S368" s="3" t="s">
        <v>6907</v>
      </c>
      <c r="T368" s="3" t="s">
        <v>106</v>
      </c>
      <c r="U368" s="11">
        <v>31</v>
      </c>
      <c r="V368" s="3" t="s">
        <v>6869</v>
      </c>
      <c r="W368" s="8" t="s">
        <v>7834</v>
      </c>
    </row>
    <row r="369" spans="1:23" x14ac:dyDescent="0.25">
      <c r="A369" s="2">
        <v>1776</v>
      </c>
      <c r="B369" s="3" t="s">
        <v>6869</v>
      </c>
      <c r="C369" s="3">
        <v>2024</v>
      </c>
      <c r="D369" s="3" t="s">
        <v>31</v>
      </c>
      <c r="E369" s="3" t="s">
        <v>496</v>
      </c>
      <c r="F369" s="1" t="s">
        <v>7834</v>
      </c>
      <c r="G369" s="10"/>
      <c r="H369" s="10"/>
      <c r="I369" s="10"/>
      <c r="J369" s="10"/>
      <c r="K369" s="10"/>
      <c r="L369" s="3" t="s">
        <v>6915</v>
      </c>
      <c r="M369" s="3" t="s">
        <v>6916</v>
      </c>
      <c r="N369" s="3" t="s">
        <v>6917</v>
      </c>
      <c r="O369" s="3"/>
      <c r="P369" s="3"/>
      <c r="Q369" s="3"/>
      <c r="R369" s="3"/>
      <c r="S369" s="3" t="s">
        <v>6918</v>
      </c>
      <c r="T369" s="3" t="s">
        <v>106</v>
      </c>
      <c r="U369" s="11">
        <v>32</v>
      </c>
      <c r="V369" s="3" t="s">
        <v>6869</v>
      </c>
      <c r="W369" s="8" t="s">
        <v>7834</v>
      </c>
    </row>
    <row r="370" spans="1:23" x14ac:dyDescent="0.25">
      <c r="A370" s="2">
        <v>1777</v>
      </c>
      <c r="B370" s="3" t="s">
        <v>6869</v>
      </c>
      <c r="C370" s="3">
        <v>2024</v>
      </c>
      <c r="D370" s="3" t="s">
        <v>3352</v>
      </c>
      <c r="E370" s="3" t="s">
        <v>496</v>
      </c>
      <c r="F370" s="1" t="s">
        <v>7834</v>
      </c>
      <c r="G370" s="10"/>
      <c r="H370" s="10"/>
      <c r="I370" s="10"/>
      <c r="J370" s="10"/>
      <c r="K370" s="10"/>
      <c r="L370" s="3" t="s">
        <v>6919</v>
      </c>
      <c r="M370" s="3" t="s">
        <v>6920</v>
      </c>
      <c r="N370" s="3" t="s">
        <v>6921</v>
      </c>
      <c r="O370" s="3"/>
      <c r="P370" s="3"/>
      <c r="Q370" s="3"/>
      <c r="R370" s="3"/>
      <c r="S370" s="3" t="s">
        <v>6922</v>
      </c>
      <c r="T370" s="3" t="s">
        <v>106</v>
      </c>
      <c r="U370" s="11">
        <v>33</v>
      </c>
      <c r="V370" s="3" t="s">
        <v>6869</v>
      </c>
      <c r="W370" s="8" t="s">
        <v>7834</v>
      </c>
    </row>
    <row r="371" spans="1:23" x14ac:dyDescent="0.25">
      <c r="A371" s="2">
        <v>1779</v>
      </c>
      <c r="B371" s="3" t="s">
        <v>6869</v>
      </c>
      <c r="C371" s="3">
        <v>2024</v>
      </c>
      <c r="D371" s="3" t="s">
        <v>2247</v>
      </c>
      <c r="E371" s="3" t="s">
        <v>496</v>
      </c>
      <c r="F371" s="1" t="s">
        <v>7834</v>
      </c>
      <c r="G371" s="10"/>
      <c r="H371" s="10"/>
      <c r="I371" s="10"/>
      <c r="J371" s="10"/>
      <c r="K371" s="10"/>
      <c r="L371" s="3" t="s">
        <v>6924</v>
      </c>
      <c r="M371" s="3" t="s">
        <v>6925</v>
      </c>
      <c r="N371" s="3" t="s">
        <v>6926</v>
      </c>
      <c r="O371" s="3"/>
      <c r="P371" s="3"/>
      <c r="Q371" s="3"/>
      <c r="R371" s="3"/>
      <c r="S371" s="3" t="s">
        <v>6927</v>
      </c>
      <c r="T371" s="3" t="s">
        <v>106</v>
      </c>
      <c r="U371" s="11">
        <v>34</v>
      </c>
      <c r="V371" s="3" t="s">
        <v>6869</v>
      </c>
      <c r="W371" s="8" t="s">
        <v>7834</v>
      </c>
    </row>
    <row r="372" spans="1:23" x14ac:dyDescent="0.25">
      <c r="A372" s="2">
        <v>1790</v>
      </c>
      <c r="B372" s="3" t="s">
        <v>6869</v>
      </c>
      <c r="C372" s="3">
        <v>2024</v>
      </c>
      <c r="D372" s="3" t="s">
        <v>31</v>
      </c>
      <c r="E372" s="3" t="s">
        <v>496</v>
      </c>
      <c r="F372" s="1" t="s">
        <v>7834</v>
      </c>
      <c r="G372" s="10"/>
      <c r="H372" s="10"/>
      <c r="I372" s="10"/>
      <c r="J372" s="10"/>
      <c r="K372" s="10"/>
      <c r="L372" s="3" t="s">
        <v>6963</v>
      </c>
      <c r="M372" s="3" t="s">
        <v>6964</v>
      </c>
      <c r="N372" s="3" t="s">
        <v>6917</v>
      </c>
      <c r="O372" s="3"/>
      <c r="P372" s="3"/>
      <c r="Q372" s="3"/>
      <c r="R372" s="3"/>
      <c r="S372" s="3" t="s">
        <v>6965</v>
      </c>
      <c r="T372" s="3" t="s">
        <v>106</v>
      </c>
      <c r="U372" s="11">
        <v>35</v>
      </c>
      <c r="V372" s="3" t="s">
        <v>6869</v>
      </c>
      <c r="W372" s="8" t="s">
        <v>7834</v>
      </c>
    </row>
    <row r="373" spans="1:23" x14ac:dyDescent="0.25">
      <c r="A373" s="2">
        <v>1791</v>
      </c>
      <c r="B373" s="3" t="s">
        <v>6869</v>
      </c>
      <c r="C373" s="3">
        <v>2024</v>
      </c>
      <c r="D373" s="3" t="s">
        <v>86</v>
      </c>
      <c r="E373" s="3" t="s">
        <v>496</v>
      </c>
      <c r="F373" s="1" t="s">
        <v>7834</v>
      </c>
      <c r="G373" s="10"/>
      <c r="H373" s="10"/>
      <c r="I373" s="10"/>
      <c r="J373" s="10"/>
      <c r="K373" s="10"/>
      <c r="L373" s="3" t="s">
        <v>6966</v>
      </c>
      <c r="M373" s="3" t="s">
        <v>6967</v>
      </c>
      <c r="N373" s="3" t="s">
        <v>6968</v>
      </c>
      <c r="O373" s="3"/>
      <c r="P373" s="3"/>
      <c r="Q373" s="3"/>
      <c r="R373" s="3"/>
      <c r="S373" s="3" t="s">
        <v>6969</v>
      </c>
      <c r="T373" s="3" t="s">
        <v>106</v>
      </c>
      <c r="U373" s="11">
        <v>36</v>
      </c>
      <c r="V373" s="3" t="s">
        <v>6869</v>
      </c>
      <c r="W373" s="8" t="s">
        <v>7834</v>
      </c>
    </row>
    <row r="374" spans="1:23" x14ac:dyDescent="0.25">
      <c r="A374" s="2">
        <v>1792</v>
      </c>
      <c r="B374" s="3" t="s">
        <v>6869</v>
      </c>
      <c r="C374" s="3">
        <v>2024</v>
      </c>
      <c r="D374" s="3" t="s">
        <v>2932</v>
      </c>
      <c r="E374" s="3" t="s">
        <v>496</v>
      </c>
      <c r="F374" s="1" t="s">
        <v>7834</v>
      </c>
      <c r="G374" s="10"/>
      <c r="H374" s="10">
        <v>9</v>
      </c>
      <c r="I374" s="10"/>
      <c r="J374" s="10"/>
      <c r="K374" s="10"/>
      <c r="L374" s="3" t="s">
        <v>6970</v>
      </c>
      <c r="M374" s="3" t="s">
        <v>6971</v>
      </c>
      <c r="N374" s="3" t="s">
        <v>6972</v>
      </c>
      <c r="O374" s="3"/>
      <c r="P374" s="3"/>
      <c r="Q374" s="3"/>
      <c r="R374" s="3"/>
      <c r="S374" s="3" t="s">
        <v>6973</v>
      </c>
      <c r="T374" s="3" t="s">
        <v>106</v>
      </c>
      <c r="U374" s="11">
        <v>37</v>
      </c>
      <c r="V374" s="3" t="s">
        <v>6869</v>
      </c>
      <c r="W374" s="8" t="s">
        <v>7834</v>
      </c>
    </row>
    <row r="375" spans="1:23" x14ac:dyDescent="0.25">
      <c r="A375" s="2">
        <v>1765</v>
      </c>
      <c r="B375" s="3" t="s">
        <v>6869</v>
      </c>
      <c r="C375" s="3">
        <v>2024</v>
      </c>
      <c r="D375" s="3" t="s">
        <v>14</v>
      </c>
      <c r="E375" s="3" t="s">
        <v>114</v>
      </c>
      <c r="F375" s="1" t="s">
        <v>7834</v>
      </c>
      <c r="G375" s="10"/>
      <c r="H375" s="10"/>
      <c r="I375" s="10"/>
      <c r="J375" s="10"/>
      <c r="K375" s="10"/>
      <c r="L375" s="3" t="s">
        <v>6874</v>
      </c>
      <c r="M375" s="3" t="s">
        <v>6875</v>
      </c>
      <c r="N375" s="3" t="s">
        <v>6876</v>
      </c>
      <c r="O375" s="3"/>
      <c r="P375" s="3"/>
      <c r="Q375" s="3"/>
      <c r="R375" s="3"/>
      <c r="S375" s="3" t="s">
        <v>6877</v>
      </c>
      <c r="T375" s="3" t="s">
        <v>106</v>
      </c>
      <c r="U375" s="11">
        <v>38</v>
      </c>
      <c r="V375" s="3" t="s">
        <v>6869</v>
      </c>
      <c r="W375" s="8" t="s">
        <v>7834</v>
      </c>
    </row>
    <row r="376" spans="1:23" x14ac:dyDescent="0.25">
      <c r="A376" s="2">
        <v>1771</v>
      </c>
      <c r="B376" s="3" t="s">
        <v>6869</v>
      </c>
      <c r="C376" s="3">
        <v>2024</v>
      </c>
      <c r="D376" s="3" t="s">
        <v>2629</v>
      </c>
      <c r="E376" s="3" t="s">
        <v>114</v>
      </c>
      <c r="F376" s="1" t="s">
        <v>7834</v>
      </c>
      <c r="G376" s="10"/>
      <c r="H376" s="10"/>
      <c r="I376" s="10"/>
      <c r="J376" s="10"/>
      <c r="K376" s="10"/>
      <c r="L376" s="3" t="s">
        <v>6896</v>
      </c>
      <c r="M376" s="3" t="s">
        <v>6897</v>
      </c>
      <c r="N376" s="3" t="s">
        <v>6898</v>
      </c>
      <c r="O376" s="3"/>
      <c r="P376" s="3"/>
      <c r="Q376" s="3"/>
      <c r="R376" s="3"/>
      <c r="S376" s="3" t="s">
        <v>6899</v>
      </c>
      <c r="T376" s="3" t="s">
        <v>106</v>
      </c>
      <c r="U376" s="11">
        <v>39</v>
      </c>
      <c r="V376" s="3" t="s">
        <v>6869</v>
      </c>
      <c r="W376" s="8" t="s">
        <v>7834</v>
      </c>
    </row>
    <row r="377" spans="1:23" x14ac:dyDescent="0.25">
      <c r="A377" s="2">
        <v>1781</v>
      </c>
      <c r="B377" s="3" t="s">
        <v>6869</v>
      </c>
      <c r="C377" s="3">
        <v>2024</v>
      </c>
      <c r="D377" s="3" t="s">
        <v>240</v>
      </c>
      <c r="E377" s="3" t="s">
        <v>114</v>
      </c>
      <c r="F377" s="1" t="s">
        <v>7834</v>
      </c>
      <c r="G377" s="10"/>
      <c r="H377" s="10"/>
      <c r="I377" s="10"/>
      <c r="J377" s="10"/>
      <c r="K377" s="10"/>
      <c r="L377" s="3" t="s">
        <v>6932</v>
      </c>
      <c r="M377" s="3" t="s">
        <v>6933</v>
      </c>
      <c r="N377" s="3" t="s">
        <v>6898</v>
      </c>
      <c r="O377" s="3"/>
      <c r="P377" s="3"/>
      <c r="Q377" s="3"/>
      <c r="R377" s="3"/>
      <c r="S377" s="3" t="s">
        <v>6934</v>
      </c>
      <c r="T377" s="3" t="s">
        <v>106</v>
      </c>
      <c r="U377" s="11">
        <v>40</v>
      </c>
      <c r="V377" s="3" t="s">
        <v>6869</v>
      </c>
      <c r="W377" s="8" t="s">
        <v>7834</v>
      </c>
    </row>
    <row r="378" spans="1:23" x14ac:dyDescent="0.25">
      <c r="A378" s="2">
        <v>1785</v>
      </c>
      <c r="B378" s="3" t="s">
        <v>6869</v>
      </c>
      <c r="C378" s="3">
        <v>2024</v>
      </c>
      <c r="D378" s="3" t="s">
        <v>1810</v>
      </c>
      <c r="E378" s="3" t="s">
        <v>114</v>
      </c>
      <c r="F378" s="1" t="s">
        <v>7834</v>
      </c>
      <c r="G378" s="10"/>
      <c r="H378" s="10"/>
      <c r="I378" s="10"/>
      <c r="J378" s="10"/>
      <c r="K378" s="10"/>
      <c r="L378" s="3" t="s">
        <v>6947</v>
      </c>
      <c r="M378" s="3" t="s">
        <v>6948</v>
      </c>
      <c r="N378" s="3" t="s">
        <v>6949</v>
      </c>
      <c r="O378" s="3"/>
      <c r="P378" s="3"/>
      <c r="Q378" s="3"/>
      <c r="R378" s="3"/>
      <c r="S378" s="3" t="s">
        <v>6950</v>
      </c>
      <c r="T378" s="3" t="s">
        <v>106</v>
      </c>
      <c r="U378" s="11">
        <v>41</v>
      </c>
      <c r="V378" s="3" t="s">
        <v>6869</v>
      </c>
      <c r="W378" s="8" t="s">
        <v>7834</v>
      </c>
    </row>
    <row r="379" spans="1:23" x14ac:dyDescent="0.25">
      <c r="A379" s="2">
        <v>1788</v>
      </c>
      <c r="B379" s="3" t="s">
        <v>6869</v>
      </c>
      <c r="C379" s="3">
        <v>2024</v>
      </c>
      <c r="D379" s="3" t="s">
        <v>2047</v>
      </c>
      <c r="E379" s="3" t="s">
        <v>114</v>
      </c>
      <c r="F379" s="1" t="s">
        <v>7834</v>
      </c>
      <c r="G379" s="10"/>
      <c r="H379" s="10"/>
      <c r="I379" s="10">
        <v>8</v>
      </c>
      <c r="J379" s="10"/>
      <c r="K379" s="10"/>
      <c r="L379" s="3" t="s">
        <v>6956</v>
      </c>
      <c r="M379" s="3" t="s">
        <v>6957</v>
      </c>
      <c r="N379" s="3" t="s">
        <v>6898</v>
      </c>
      <c r="O379" s="3"/>
      <c r="P379" s="3"/>
      <c r="Q379" s="3"/>
      <c r="R379" s="3"/>
      <c r="S379" s="3" t="s">
        <v>6958</v>
      </c>
      <c r="T379" s="3" t="s">
        <v>106</v>
      </c>
      <c r="U379" s="11">
        <v>42</v>
      </c>
      <c r="V379" s="3" t="s">
        <v>6869</v>
      </c>
      <c r="W379" s="8" t="s">
        <v>7834</v>
      </c>
    </row>
    <row r="380" spans="1:23" x14ac:dyDescent="0.25">
      <c r="A380" s="2">
        <v>1789</v>
      </c>
      <c r="B380" s="3" t="s">
        <v>6869</v>
      </c>
      <c r="C380" s="3">
        <v>2024</v>
      </c>
      <c r="D380" s="3" t="s">
        <v>1395</v>
      </c>
      <c r="E380" s="3" t="s">
        <v>730</v>
      </c>
      <c r="F380" s="1" t="s">
        <v>7834</v>
      </c>
      <c r="G380" s="10"/>
      <c r="H380" s="10"/>
      <c r="I380" s="10"/>
      <c r="J380" s="10">
        <v>1</v>
      </c>
      <c r="K380" s="10"/>
      <c r="L380" s="3" t="s">
        <v>6959</v>
      </c>
      <c r="M380" s="3" t="s">
        <v>6960</v>
      </c>
      <c r="N380" s="3" t="s">
        <v>6961</v>
      </c>
      <c r="O380" s="3"/>
      <c r="P380" s="3"/>
      <c r="Q380" s="3"/>
      <c r="R380" s="3"/>
      <c r="S380" s="3" t="s">
        <v>6962</v>
      </c>
      <c r="T380" s="3" t="s">
        <v>106</v>
      </c>
      <c r="U380" s="11">
        <v>43</v>
      </c>
      <c r="V380" s="3" t="s">
        <v>6869</v>
      </c>
      <c r="W380" s="8" t="s">
        <v>7834</v>
      </c>
    </row>
    <row r="381" spans="1:23" x14ac:dyDescent="0.25">
      <c r="A381" s="2">
        <v>1784</v>
      </c>
      <c r="B381" s="3" t="s">
        <v>6869</v>
      </c>
      <c r="C381" s="3">
        <v>2024</v>
      </c>
      <c r="D381" s="3" t="s">
        <v>818</v>
      </c>
      <c r="E381" s="3" t="s">
        <v>206</v>
      </c>
      <c r="F381" s="1" t="s">
        <v>7834</v>
      </c>
      <c r="G381" s="10"/>
      <c r="H381" s="10"/>
      <c r="I381" s="10"/>
      <c r="J381" s="10"/>
      <c r="K381" s="10"/>
      <c r="L381" s="3" t="s">
        <v>6943</v>
      </c>
      <c r="M381" s="3" t="s">
        <v>6944</v>
      </c>
      <c r="N381" s="3" t="s">
        <v>6945</v>
      </c>
      <c r="O381" s="3"/>
      <c r="P381" s="3"/>
      <c r="Q381" s="3"/>
      <c r="R381" s="3"/>
      <c r="S381" s="3" t="s">
        <v>6946</v>
      </c>
      <c r="T381" s="3" t="s">
        <v>106</v>
      </c>
      <c r="U381" s="11">
        <v>44</v>
      </c>
      <c r="V381" s="3" t="s">
        <v>6869</v>
      </c>
      <c r="W381" s="8" t="s">
        <v>7834</v>
      </c>
    </row>
    <row r="382" spans="1:23" x14ac:dyDescent="0.25">
      <c r="A382" s="2">
        <v>1819</v>
      </c>
      <c r="B382" s="3" t="s">
        <v>6982</v>
      </c>
      <c r="C382" s="3">
        <v>2024</v>
      </c>
      <c r="D382" s="3" t="s">
        <v>1132</v>
      </c>
      <c r="E382" s="3" t="s">
        <v>15</v>
      </c>
      <c r="F382" s="1" t="s">
        <v>7834</v>
      </c>
      <c r="G382" s="10"/>
      <c r="H382" s="10"/>
      <c r="I382" s="10"/>
      <c r="J382" s="10"/>
      <c r="K382" s="10"/>
      <c r="L382" s="3" t="s">
        <v>7085</v>
      </c>
      <c r="M382" s="3" t="s">
        <v>7086</v>
      </c>
      <c r="N382" s="3" t="s">
        <v>7087</v>
      </c>
      <c r="O382" s="3"/>
      <c r="P382" s="3"/>
      <c r="Q382" s="3">
        <v>189</v>
      </c>
      <c r="R382" s="3" t="s">
        <v>7088</v>
      </c>
      <c r="S382" s="3" t="s">
        <v>7089</v>
      </c>
      <c r="T382" s="3" t="s">
        <v>106</v>
      </c>
      <c r="U382" s="11">
        <v>45</v>
      </c>
      <c r="V382" s="3" t="s">
        <v>6982</v>
      </c>
      <c r="W382" s="8" t="s">
        <v>7834</v>
      </c>
    </row>
    <row r="383" spans="1:23" x14ac:dyDescent="0.25">
      <c r="A383" s="2">
        <v>1823</v>
      </c>
      <c r="B383" s="3" t="s">
        <v>6982</v>
      </c>
      <c r="C383" s="3">
        <v>2024</v>
      </c>
      <c r="D383" s="3" t="s">
        <v>1558</v>
      </c>
      <c r="E383" s="3" t="s">
        <v>496</v>
      </c>
      <c r="F383" s="1" t="s">
        <v>7834</v>
      </c>
      <c r="G383" s="10"/>
      <c r="H383" s="10"/>
      <c r="I383" s="10"/>
      <c r="J383" s="10"/>
      <c r="K383" s="10"/>
      <c r="L383" s="3" t="s">
        <v>7100</v>
      </c>
      <c r="M383" s="3" t="s">
        <v>7101</v>
      </c>
      <c r="N383" s="3" t="s">
        <v>7102</v>
      </c>
      <c r="O383" s="3"/>
      <c r="P383" s="3"/>
      <c r="Q383" s="3">
        <v>269</v>
      </c>
      <c r="R383" s="3"/>
      <c r="S383" s="3" t="s">
        <v>7103</v>
      </c>
      <c r="T383" s="3" t="s">
        <v>106</v>
      </c>
      <c r="U383" s="11">
        <v>46</v>
      </c>
      <c r="V383" s="3" t="s">
        <v>6982</v>
      </c>
      <c r="W383" s="8" t="s">
        <v>7834</v>
      </c>
    </row>
    <row r="384" spans="1:23" x14ac:dyDescent="0.25">
      <c r="A384" s="2">
        <v>1827</v>
      </c>
      <c r="B384" s="3" t="s">
        <v>6982</v>
      </c>
      <c r="C384" s="3">
        <v>2024</v>
      </c>
      <c r="D384" s="3" t="s">
        <v>807</v>
      </c>
      <c r="E384" s="3" t="s">
        <v>496</v>
      </c>
      <c r="F384" s="1" t="s">
        <v>7834</v>
      </c>
      <c r="G384" s="10"/>
      <c r="H384" s="10">
        <v>2</v>
      </c>
      <c r="I384" s="10"/>
      <c r="J384" s="10"/>
      <c r="K384" s="10"/>
      <c r="L384" s="3" t="s">
        <v>7117</v>
      </c>
      <c r="M384" s="3" t="s">
        <v>7118</v>
      </c>
      <c r="N384" s="3" t="s">
        <v>7119</v>
      </c>
      <c r="O384" s="3">
        <v>24</v>
      </c>
      <c r="P384" s="3"/>
      <c r="Q384" s="3">
        <v>127</v>
      </c>
      <c r="R384" s="3"/>
      <c r="S384" s="3" t="s">
        <v>7120</v>
      </c>
      <c r="T384" s="3" t="s">
        <v>106</v>
      </c>
      <c r="U384" s="11">
        <v>47</v>
      </c>
      <c r="V384" s="3" t="s">
        <v>6982</v>
      </c>
      <c r="W384" s="8" t="s">
        <v>7834</v>
      </c>
    </row>
    <row r="385" spans="1:23" x14ac:dyDescent="0.25">
      <c r="A385" s="2">
        <v>1804</v>
      </c>
      <c r="B385" s="3" t="s">
        <v>6982</v>
      </c>
      <c r="C385" s="3">
        <v>2024</v>
      </c>
      <c r="D385" s="3" t="s">
        <v>100</v>
      </c>
      <c r="E385" s="3" t="s">
        <v>114</v>
      </c>
      <c r="F385" s="1" t="s">
        <v>7834</v>
      </c>
      <c r="G385" s="10"/>
      <c r="H385" s="10"/>
      <c r="I385" s="10"/>
      <c r="J385" s="10"/>
      <c r="K385" s="10"/>
      <c r="L385" s="3" t="s">
        <v>7021</v>
      </c>
      <c r="M385" s="3" t="s">
        <v>7022</v>
      </c>
      <c r="N385" s="3" t="s">
        <v>7023</v>
      </c>
      <c r="O385" s="3"/>
      <c r="P385" s="3"/>
      <c r="Q385" s="3"/>
      <c r="R385" s="3" t="s">
        <v>7024</v>
      </c>
      <c r="S385" s="3" t="s">
        <v>7025</v>
      </c>
      <c r="T385" s="3" t="s">
        <v>106</v>
      </c>
      <c r="U385" s="11">
        <v>48</v>
      </c>
      <c r="V385" s="3" t="s">
        <v>6982</v>
      </c>
      <c r="W385" s="8" t="s">
        <v>7834</v>
      </c>
    </row>
    <row r="386" spans="1:23" x14ac:dyDescent="0.25">
      <c r="A386" s="2">
        <v>1806</v>
      </c>
      <c r="B386" s="3" t="s">
        <v>6982</v>
      </c>
      <c r="C386" s="3">
        <v>2024</v>
      </c>
      <c r="D386" s="3" t="s">
        <v>2039</v>
      </c>
      <c r="E386" s="3" t="s">
        <v>114</v>
      </c>
      <c r="F386" s="1" t="s">
        <v>7834</v>
      </c>
      <c r="G386" s="10"/>
      <c r="H386" s="10"/>
      <c r="I386" s="10"/>
      <c r="J386" s="10"/>
      <c r="K386" s="10"/>
      <c r="L386" s="3" t="s">
        <v>7031</v>
      </c>
      <c r="M386" s="3" t="s">
        <v>7032</v>
      </c>
      <c r="N386" s="3" t="s">
        <v>7023</v>
      </c>
      <c r="O386" s="3"/>
      <c r="P386" s="3"/>
      <c r="Q386" s="3"/>
      <c r="R386" s="3"/>
      <c r="S386" s="3" t="s">
        <v>7033</v>
      </c>
      <c r="T386" s="3" t="s">
        <v>106</v>
      </c>
      <c r="U386" s="11">
        <v>49</v>
      </c>
      <c r="V386" s="3" t="s">
        <v>6982</v>
      </c>
      <c r="W386" s="8" t="s">
        <v>7834</v>
      </c>
    </row>
    <row r="387" spans="1:23" x14ac:dyDescent="0.25">
      <c r="A387" s="2">
        <v>1809</v>
      </c>
      <c r="B387" s="3" t="s">
        <v>6982</v>
      </c>
      <c r="C387" s="3">
        <v>2024</v>
      </c>
      <c r="D387" s="3" t="s">
        <v>2650</v>
      </c>
      <c r="E387" s="3" t="s">
        <v>114</v>
      </c>
      <c r="F387" s="1" t="s">
        <v>7834</v>
      </c>
      <c r="G387" s="10"/>
      <c r="H387" s="10"/>
      <c r="I387" s="10"/>
      <c r="J387" s="10"/>
      <c r="K387" s="10"/>
      <c r="L387" s="3" t="s">
        <v>7043</v>
      </c>
      <c r="M387" s="3" t="s">
        <v>7044</v>
      </c>
      <c r="N387" s="3" t="s">
        <v>7045</v>
      </c>
      <c r="O387" s="3">
        <v>19</v>
      </c>
      <c r="P387" s="3">
        <v>178</v>
      </c>
      <c r="Q387" s="3">
        <v>1</v>
      </c>
      <c r="R387" s="3"/>
      <c r="S387" s="3" t="s">
        <v>7046</v>
      </c>
      <c r="T387" s="3" t="s">
        <v>106</v>
      </c>
      <c r="U387" s="11">
        <v>50</v>
      </c>
      <c r="V387" s="3" t="s">
        <v>6982</v>
      </c>
      <c r="W387" s="8" t="s">
        <v>7834</v>
      </c>
    </row>
    <row r="388" spans="1:23" x14ac:dyDescent="0.25">
      <c r="A388" s="2">
        <v>1816</v>
      </c>
      <c r="B388" s="3" t="s">
        <v>6982</v>
      </c>
      <c r="C388" s="3">
        <v>2024</v>
      </c>
      <c r="D388" s="3" t="s">
        <v>502</v>
      </c>
      <c r="E388" s="3" t="s">
        <v>114</v>
      </c>
      <c r="F388" s="1" t="s">
        <v>7834</v>
      </c>
      <c r="G388" s="10"/>
      <c r="H388" s="10"/>
      <c r="I388" s="10"/>
      <c r="J388" s="10"/>
      <c r="K388" s="10"/>
      <c r="L388" s="3" t="s">
        <v>7076</v>
      </c>
      <c r="M388" s="3" t="s">
        <v>7077</v>
      </c>
      <c r="N388" s="3" t="s">
        <v>7023</v>
      </c>
      <c r="O388" s="3"/>
      <c r="P388" s="3"/>
      <c r="Q388" s="3"/>
      <c r="R388" s="3"/>
      <c r="S388" s="3" t="s">
        <v>7078</v>
      </c>
      <c r="T388" s="3" t="s">
        <v>106</v>
      </c>
      <c r="U388" s="11">
        <v>51</v>
      </c>
      <c r="V388" s="3" t="s">
        <v>6982</v>
      </c>
      <c r="W388" s="8" t="s">
        <v>7834</v>
      </c>
    </row>
    <row r="389" spans="1:23" x14ac:dyDescent="0.25">
      <c r="A389" s="2">
        <v>1817</v>
      </c>
      <c r="B389" s="3" t="s">
        <v>6982</v>
      </c>
      <c r="C389" s="3">
        <v>2024</v>
      </c>
      <c r="D389" s="3" t="s">
        <v>3610</v>
      </c>
      <c r="E389" s="3" t="s">
        <v>114</v>
      </c>
      <c r="F389" s="1" t="s">
        <v>7834</v>
      </c>
      <c r="G389" s="10"/>
      <c r="H389" s="10"/>
      <c r="I389" s="10"/>
      <c r="J389" s="10"/>
      <c r="K389" s="10"/>
      <c r="L389" s="3" t="s">
        <v>7079</v>
      </c>
      <c r="M389" s="3" t="s">
        <v>7080</v>
      </c>
      <c r="N389" s="3" t="s">
        <v>7023</v>
      </c>
      <c r="O389" s="3"/>
      <c r="P389" s="3"/>
      <c r="Q389" s="3"/>
      <c r="R389" s="3"/>
      <c r="S389" s="3" t="s">
        <v>7081</v>
      </c>
      <c r="T389" s="3" t="s">
        <v>106</v>
      </c>
      <c r="U389" s="11">
        <v>52</v>
      </c>
      <c r="V389" s="3" t="s">
        <v>6982</v>
      </c>
      <c r="W389" s="8" t="s">
        <v>7834</v>
      </c>
    </row>
    <row r="390" spans="1:23" x14ac:dyDescent="0.25">
      <c r="A390" s="2">
        <v>1818</v>
      </c>
      <c r="B390" s="3" t="s">
        <v>6982</v>
      </c>
      <c r="C390" s="3">
        <v>2024</v>
      </c>
      <c r="D390" s="3" t="s">
        <v>265</v>
      </c>
      <c r="E390" s="3" t="s">
        <v>114</v>
      </c>
      <c r="F390" s="1" t="s">
        <v>7834</v>
      </c>
      <c r="G390" s="10"/>
      <c r="H390" s="10"/>
      <c r="I390" s="10">
        <v>6</v>
      </c>
      <c r="J390" s="10"/>
      <c r="K390" s="10"/>
      <c r="L390" s="3" t="s">
        <v>7082</v>
      </c>
      <c r="M390" s="3" t="s">
        <v>7083</v>
      </c>
      <c r="N390" s="3" t="s">
        <v>7023</v>
      </c>
      <c r="O390" s="3"/>
      <c r="P390" s="3"/>
      <c r="Q390" s="3"/>
      <c r="R390" s="3"/>
      <c r="S390" s="3" t="s">
        <v>7084</v>
      </c>
      <c r="T390" s="3" t="s">
        <v>106</v>
      </c>
      <c r="U390" s="11">
        <v>53</v>
      </c>
      <c r="V390" s="3" t="s">
        <v>6982</v>
      </c>
      <c r="W390" s="8" t="s">
        <v>7834</v>
      </c>
    </row>
    <row r="391" spans="1:23" x14ac:dyDescent="0.25">
      <c r="A391" s="2">
        <v>1795</v>
      </c>
      <c r="B391" s="3" t="s">
        <v>6982</v>
      </c>
      <c r="C391" s="3">
        <v>2024</v>
      </c>
      <c r="D391" s="3" t="s">
        <v>1252</v>
      </c>
      <c r="E391" s="3" t="s">
        <v>206</v>
      </c>
      <c r="F391" s="1" t="s">
        <v>7834</v>
      </c>
      <c r="G391" s="10"/>
      <c r="H391" s="10"/>
      <c r="I391" s="10"/>
      <c r="J391" s="10"/>
      <c r="K391" s="10"/>
      <c r="L391" s="3" t="s">
        <v>6983</v>
      </c>
      <c r="M391" s="3" t="s">
        <v>6984</v>
      </c>
      <c r="N391" s="3" t="s">
        <v>6985</v>
      </c>
      <c r="O391" s="3">
        <v>46</v>
      </c>
      <c r="P391" s="3">
        <v>186</v>
      </c>
      <c r="Q391" s="3">
        <v>191</v>
      </c>
      <c r="R391" s="3"/>
      <c r="S391" s="3"/>
      <c r="T391" s="3" t="s">
        <v>106</v>
      </c>
      <c r="U391" s="11">
        <v>54</v>
      </c>
      <c r="V391" s="3" t="s">
        <v>6982</v>
      </c>
      <c r="W391" s="8" t="s">
        <v>7834</v>
      </c>
    </row>
    <row r="392" spans="1:23" x14ac:dyDescent="0.25">
      <c r="A392" s="2">
        <v>1826</v>
      </c>
      <c r="B392" s="3" t="s">
        <v>6982</v>
      </c>
      <c r="C392" s="3">
        <v>2024</v>
      </c>
      <c r="D392" s="3" t="s">
        <v>825</v>
      </c>
      <c r="E392" s="3" t="s">
        <v>206</v>
      </c>
      <c r="F392" s="1" t="s">
        <v>7834</v>
      </c>
      <c r="G392" s="10"/>
      <c r="H392" s="10"/>
      <c r="I392" s="10"/>
      <c r="J392" s="10"/>
      <c r="K392" s="10">
        <v>11</v>
      </c>
      <c r="L392" s="3" t="s">
        <v>7112</v>
      </c>
      <c r="M392" s="3" t="s">
        <v>7113</v>
      </c>
      <c r="N392" s="3" t="s">
        <v>7114</v>
      </c>
      <c r="O392" s="3">
        <v>3</v>
      </c>
      <c r="P392" s="3">
        <v>21</v>
      </c>
      <c r="Q392" s="3">
        <v>1</v>
      </c>
      <c r="R392" s="3" t="s">
        <v>7115</v>
      </c>
      <c r="S392" s="3" t="s">
        <v>7116</v>
      </c>
      <c r="T392" s="3" t="s">
        <v>106</v>
      </c>
      <c r="U392" s="11">
        <v>55</v>
      </c>
      <c r="V392" s="3" t="s">
        <v>6982</v>
      </c>
      <c r="W392" s="8" t="s">
        <v>7834</v>
      </c>
    </row>
    <row r="393" spans="1:23" x14ac:dyDescent="0.25">
      <c r="A393" s="2">
        <v>1833</v>
      </c>
      <c r="B393" s="3" t="s">
        <v>7121</v>
      </c>
      <c r="C393" s="3">
        <v>2024</v>
      </c>
      <c r="D393" s="3" t="s">
        <v>1386</v>
      </c>
      <c r="E393" s="3" t="s">
        <v>15</v>
      </c>
      <c r="F393" s="1" t="s">
        <v>7834</v>
      </c>
      <c r="G393" s="10"/>
      <c r="H393" s="10"/>
      <c r="I393" s="10"/>
      <c r="J393" s="10"/>
      <c r="K393" s="10"/>
      <c r="L393" s="3" t="s">
        <v>7145</v>
      </c>
      <c r="M393" s="3" t="s">
        <v>7146</v>
      </c>
      <c r="N393" s="3" t="s">
        <v>7147</v>
      </c>
      <c r="O393" s="3">
        <v>33</v>
      </c>
      <c r="P393" s="3">
        <v>1</v>
      </c>
      <c r="Q393" s="3">
        <v>30</v>
      </c>
      <c r="R393" s="3" t="s">
        <v>7148</v>
      </c>
      <c r="S393" s="3" t="s">
        <v>7149</v>
      </c>
      <c r="T393" s="3" t="s">
        <v>106</v>
      </c>
      <c r="U393" s="11">
        <v>56</v>
      </c>
      <c r="V393" s="3" t="s">
        <v>7121</v>
      </c>
      <c r="W393" s="8" t="s">
        <v>7834</v>
      </c>
    </row>
    <row r="394" spans="1:23" x14ac:dyDescent="0.25">
      <c r="A394" s="2">
        <v>1835</v>
      </c>
      <c r="B394" s="3" t="s">
        <v>7121</v>
      </c>
      <c r="C394" s="3">
        <v>2024</v>
      </c>
      <c r="D394" s="3" t="s">
        <v>1177</v>
      </c>
      <c r="E394" s="3" t="s">
        <v>15</v>
      </c>
      <c r="F394" s="1" t="s">
        <v>7834</v>
      </c>
      <c r="G394" s="10"/>
      <c r="H394" s="10"/>
      <c r="I394" s="10"/>
      <c r="J394" s="10"/>
      <c r="K394" s="10"/>
      <c r="L394" s="3" t="s">
        <v>7155</v>
      </c>
      <c r="M394" s="3" t="s">
        <v>7156</v>
      </c>
      <c r="N394" s="3" t="s">
        <v>7157</v>
      </c>
      <c r="O394" s="3">
        <v>22</v>
      </c>
      <c r="P394" s="3">
        <v>62</v>
      </c>
      <c r="Q394" s="3">
        <v>213</v>
      </c>
      <c r="R394" s="3" t="s">
        <v>7158</v>
      </c>
      <c r="S394" s="3" t="s">
        <v>7159</v>
      </c>
      <c r="T394" s="3" t="s">
        <v>106</v>
      </c>
      <c r="U394" s="11">
        <v>57</v>
      </c>
      <c r="V394" s="3" t="s">
        <v>7121</v>
      </c>
      <c r="W394" s="8" t="s">
        <v>7834</v>
      </c>
    </row>
    <row r="395" spans="1:23" x14ac:dyDescent="0.25">
      <c r="A395" s="2">
        <v>1842</v>
      </c>
      <c r="B395" s="3" t="s">
        <v>7121</v>
      </c>
      <c r="C395" s="3">
        <v>2024</v>
      </c>
      <c r="D395" s="3" t="s">
        <v>2781</v>
      </c>
      <c r="E395" s="3" t="s">
        <v>15</v>
      </c>
      <c r="F395" s="1" t="s">
        <v>7834</v>
      </c>
      <c r="G395" s="10"/>
      <c r="H395" s="10"/>
      <c r="I395" s="10"/>
      <c r="J395" s="10"/>
      <c r="K395" s="10"/>
      <c r="L395" s="3" t="s">
        <v>7184</v>
      </c>
      <c r="M395" s="3" t="s">
        <v>7185</v>
      </c>
      <c r="N395" s="3" t="s">
        <v>7186</v>
      </c>
      <c r="O395" s="3">
        <v>42</v>
      </c>
      <c r="P395" s="3">
        <v>2</v>
      </c>
      <c r="Q395" s="3">
        <v>225</v>
      </c>
      <c r="R395" s="3" t="s">
        <v>7187</v>
      </c>
      <c r="S395" s="3" t="s">
        <v>7188</v>
      </c>
      <c r="T395" s="3" t="s">
        <v>106</v>
      </c>
      <c r="U395" s="11">
        <v>58</v>
      </c>
      <c r="V395" s="3" t="s">
        <v>7121</v>
      </c>
      <c r="W395" s="8" t="s">
        <v>7834</v>
      </c>
    </row>
    <row r="396" spans="1:23" x14ac:dyDescent="0.25">
      <c r="A396" s="2">
        <v>1844</v>
      </c>
      <c r="B396" s="3" t="s">
        <v>7121</v>
      </c>
      <c r="C396" s="3">
        <v>2024</v>
      </c>
      <c r="D396" s="3" t="s">
        <v>999</v>
      </c>
      <c r="E396" s="3" t="s">
        <v>15</v>
      </c>
      <c r="F396" s="1" t="s">
        <v>7834</v>
      </c>
      <c r="G396" s="10"/>
      <c r="H396" s="10"/>
      <c r="I396" s="10"/>
      <c r="J396" s="10"/>
      <c r="K396" s="10"/>
      <c r="L396" s="3" t="s">
        <v>7194</v>
      </c>
      <c r="M396" s="3" t="s">
        <v>7195</v>
      </c>
      <c r="N396" s="3" t="s">
        <v>7196</v>
      </c>
      <c r="O396" s="3">
        <v>17</v>
      </c>
      <c r="P396" s="3">
        <v>1</v>
      </c>
      <c r="Q396" s="3"/>
      <c r="R396" s="3" t="s">
        <v>7197</v>
      </c>
      <c r="S396" s="3" t="s">
        <v>7198</v>
      </c>
      <c r="T396" s="3" t="s">
        <v>106</v>
      </c>
      <c r="U396" s="11">
        <v>59</v>
      </c>
      <c r="V396" s="3" t="s">
        <v>7121</v>
      </c>
      <c r="W396" s="8" t="s">
        <v>7834</v>
      </c>
    </row>
    <row r="397" spans="1:23" x14ac:dyDescent="0.25">
      <c r="A397" s="2">
        <v>1829</v>
      </c>
      <c r="B397" s="3" t="s">
        <v>7121</v>
      </c>
      <c r="C397" s="3">
        <v>2024</v>
      </c>
      <c r="D397" s="3" t="s">
        <v>2750</v>
      </c>
      <c r="E397" s="3" t="s">
        <v>206</v>
      </c>
      <c r="F397" s="1" t="s">
        <v>7834</v>
      </c>
      <c r="G397" s="10"/>
      <c r="H397" s="10"/>
      <c r="I397" s="10"/>
      <c r="J397" s="10"/>
      <c r="K397" s="10"/>
      <c r="L397" s="3" t="s">
        <v>7127</v>
      </c>
      <c r="M397" s="3" t="s">
        <v>7128</v>
      </c>
      <c r="N397" s="3" t="s">
        <v>7129</v>
      </c>
      <c r="O397" s="3"/>
      <c r="P397" s="3">
        <v>91</v>
      </c>
      <c r="Q397" s="3">
        <v>382</v>
      </c>
      <c r="R397" s="3" t="s">
        <v>7130</v>
      </c>
      <c r="S397" s="3" t="s">
        <v>7131</v>
      </c>
      <c r="T397" s="3" t="s">
        <v>106</v>
      </c>
      <c r="U397" s="11">
        <v>60</v>
      </c>
      <c r="V397" s="3" t="s">
        <v>7121</v>
      </c>
      <c r="W397" s="8" t="s">
        <v>7834</v>
      </c>
    </row>
    <row r="398" spans="1:23" x14ac:dyDescent="0.25">
      <c r="A398" s="2">
        <v>1919</v>
      </c>
      <c r="B398" s="3" t="s">
        <v>7399</v>
      </c>
      <c r="C398" s="3">
        <v>2024</v>
      </c>
      <c r="D398" s="3" t="s">
        <v>1071</v>
      </c>
      <c r="E398" s="3" t="s">
        <v>15</v>
      </c>
      <c r="F398" s="1" t="s">
        <v>7834</v>
      </c>
      <c r="G398" s="10"/>
      <c r="H398" s="10"/>
      <c r="I398" s="10"/>
      <c r="J398" s="10"/>
      <c r="K398" s="10"/>
      <c r="L398" s="3" t="s">
        <v>7484</v>
      </c>
      <c r="M398" s="3" t="s">
        <v>7485</v>
      </c>
      <c r="N398" s="3" t="s">
        <v>7486</v>
      </c>
      <c r="O398" s="3">
        <v>94</v>
      </c>
      <c r="P398" s="3">
        <v>6</v>
      </c>
      <c r="Q398" s="3">
        <v>681</v>
      </c>
      <c r="R398" s="3" t="s">
        <v>4346</v>
      </c>
      <c r="S398" s="3" t="s">
        <v>7487</v>
      </c>
      <c r="T398" s="3" t="s">
        <v>106</v>
      </c>
      <c r="U398" s="11">
        <v>61</v>
      </c>
      <c r="V398" s="3" t="s">
        <v>7399</v>
      </c>
      <c r="W398" s="8" t="s">
        <v>7834</v>
      </c>
    </row>
    <row r="399" spans="1:23" x14ac:dyDescent="0.25">
      <c r="A399" s="2">
        <v>1935</v>
      </c>
      <c r="B399" s="3" t="s">
        <v>7541</v>
      </c>
      <c r="C399" s="3">
        <v>2024</v>
      </c>
      <c r="D399" s="3" t="s">
        <v>844</v>
      </c>
      <c r="E399" s="3" t="s">
        <v>15</v>
      </c>
      <c r="F399" s="1" t="s">
        <v>7834</v>
      </c>
      <c r="G399" s="10"/>
      <c r="H399" s="10"/>
      <c r="I399" s="10"/>
      <c r="J399" s="10"/>
      <c r="K399" s="10"/>
      <c r="L399" s="3" t="s">
        <v>7542</v>
      </c>
      <c r="M399" s="3" t="s">
        <v>7543</v>
      </c>
      <c r="N399" s="3" t="s">
        <v>7544</v>
      </c>
      <c r="O399" s="3">
        <v>38</v>
      </c>
      <c r="P399" s="3">
        <v>1</v>
      </c>
      <c r="Q399" s="3">
        <v>66</v>
      </c>
      <c r="R399" s="3">
        <v>0</v>
      </c>
      <c r="S399" s="3" t="s">
        <v>7545</v>
      </c>
      <c r="T399" s="3" t="s">
        <v>106</v>
      </c>
      <c r="U399" s="11">
        <v>62</v>
      </c>
      <c r="V399" s="3" t="s">
        <v>7541</v>
      </c>
      <c r="W399" s="8" t="s">
        <v>7834</v>
      </c>
    </row>
    <row r="400" spans="1:23" x14ac:dyDescent="0.25">
      <c r="A400" s="2">
        <v>1945</v>
      </c>
      <c r="B400" s="3" t="s">
        <v>7578</v>
      </c>
      <c r="C400" s="3">
        <v>2024</v>
      </c>
      <c r="D400" s="3" t="s">
        <v>2554</v>
      </c>
      <c r="E400" s="3" t="s">
        <v>15</v>
      </c>
      <c r="F400" s="1" t="s">
        <v>7834</v>
      </c>
      <c r="G400" s="10"/>
      <c r="H400" s="10"/>
      <c r="I400" s="10"/>
      <c r="J400" s="10"/>
      <c r="K400" s="10"/>
      <c r="L400" s="3" t="s">
        <v>7579</v>
      </c>
      <c r="M400" s="3" t="s">
        <v>7580</v>
      </c>
      <c r="N400" s="3" t="s">
        <v>7581</v>
      </c>
      <c r="O400" s="3">
        <v>31</v>
      </c>
      <c r="P400" s="3"/>
      <c r="Q400" s="3">
        <v>5</v>
      </c>
      <c r="R400" s="3" t="s">
        <v>7582</v>
      </c>
      <c r="S400" s="3" t="s">
        <v>7583</v>
      </c>
      <c r="T400" s="3" t="s">
        <v>106</v>
      </c>
      <c r="U400" s="11">
        <v>63</v>
      </c>
      <c r="V400" s="3" t="s">
        <v>7578</v>
      </c>
      <c r="W400" s="8" t="s">
        <v>7834</v>
      </c>
    </row>
    <row r="401" spans="1:23" x14ac:dyDescent="0.25">
      <c r="A401" s="2">
        <v>1969</v>
      </c>
      <c r="B401" s="3" t="s">
        <v>7653</v>
      </c>
      <c r="C401" s="3">
        <v>2024</v>
      </c>
      <c r="D401" s="3" t="s">
        <v>7683</v>
      </c>
      <c r="E401" s="3" t="s">
        <v>206</v>
      </c>
      <c r="F401" s="1" t="s">
        <v>7834</v>
      </c>
      <c r="G401" s="10"/>
      <c r="H401" s="10"/>
      <c r="I401" s="10"/>
      <c r="J401" s="10"/>
      <c r="K401" s="10">
        <v>1</v>
      </c>
      <c r="L401" s="3" t="s">
        <v>7684</v>
      </c>
      <c r="M401" s="3" t="s">
        <v>7685</v>
      </c>
      <c r="N401" s="3" t="s">
        <v>7686</v>
      </c>
      <c r="O401" s="3">
        <v>35</v>
      </c>
      <c r="P401" s="3">
        <v>1</v>
      </c>
      <c r="Q401" s="3"/>
      <c r="R401" s="3" t="s">
        <v>7687</v>
      </c>
      <c r="S401" s="3" t="s">
        <v>7688</v>
      </c>
      <c r="T401" s="3" t="s">
        <v>106</v>
      </c>
      <c r="U401" s="11">
        <v>64</v>
      </c>
      <c r="V401" s="3" t="s">
        <v>7653</v>
      </c>
      <c r="W401" s="8" t="s">
        <v>7834</v>
      </c>
    </row>
    <row r="402" spans="1:23" x14ac:dyDescent="0.25">
      <c r="A402" s="2">
        <v>2003</v>
      </c>
      <c r="B402" s="3" t="s">
        <v>7699</v>
      </c>
      <c r="C402" s="3">
        <v>2024</v>
      </c>
      <c r="D402" s="3" t="s">
        <v>7815</v>
      </c>
      <c r="E402" s="3" t="s">
        <v>15</v>
      </c>
      <c r="F402" s="1" t="s">
        <v>7834</v>
      </c>
      <c r="G402" s="10"/>
      <c r="H402" s="10"/>
      <c r="I402" s="10"/>
      <c r="J402" s="10"/>
      <c r="K402" s="10"/>
      <c r="L402" s="3" t="s">
        <v>7816</v>
      </c>
      <c r="M402" s="3" t="s">
        <v>7817</v>
      </c>
      <c r="N402" s="3" t="s">
        <v>7818</v>
      </c>
      <c r="O402" s="3">
        <v>55</v>
      </c>
      <c r="P402" s="3">
        <v>3</v>
      </c>
      <c r="Q402" s="3">
        <v>785</v>
      </c>
      <c r="R402" s="3" t="s">
        <v>7819</v>
      </c>
      <c r="S402" s="3" t="s">
        <v>7820</v>
      </c>
      <c r="T402" s="3" t="s">
        <v>106</v>
      </c>
      <c r="U402" s="11">
        <v>65</v>
      </c>
      <c r="V402" s="3" t="s">
        <v>7699</v>
      </c>
      <c r="W402" s="8" t="s">
        <v>7834</v>
      </c>
    </row>
    <row r="403" spans="1:23" x14ac:dyDescent="0.25">
      <c r="A403" s="2">
        <v>1977</v>
      </c>
      <c r="B403" s="3" t="s">
        <v>7699</v>
      </c>
      <c r="C403" s="3">
        <v>2024</v>
      </c>
      <c r="D403" s="3" t="s">
        <v>825</v>
      </c>
      <c r="E403" s="3" t="s">
        <v>496</v>
      </c>
      <c r="F403" s="1" t="s">
        <v>7834</v>
      </c>
      <c r="G403" s="10"/>
      <c r="H403" s="10"/>
      <c r="I403" s="10"/>
      <c r="J403" s="10"/>
      <c r="K403" s="10"/>
      <c r="L403" s="3" t="s">
        <v>7718</v>
      </c>
      <c r="M403" s="3" t="s">
        <v>7719</v>
      </c>
      <c r="N403" s="3" t="s">
        <v>5089</v>
      </c>
      <c r="O403" s="3">
        <v>1</v>
      </c>
      <c r="P403" s="3">
        <v>1</v>
      </c>
      <c r="Q403" s="3">
        <v>1</v>
      </c>
      <c r="R403" s="3">
        <v>0</v>
      </c>
      <c r="S403" s="3" t="s">
        <v>7720</v>
      </c>
      <c r="T403" s="3" t="s">
        <v>106</v>
      </c>
      <c r="U403" s="11">
        <v>66</v>
      </c>
      <c r="V403" s="3" t="s">
        <v>7699</v>
      </c>
      <c r="W403" s="8" t="s">
        <v>7834</v>
      </c>
    </row>
    <row r="404" spans="1:23" x14ac:dyDescent="0.25">
      <c r="A404" s="2">
        <v>1979</v>
      </c>
      <c r="B404" s="3" t="s">
        <v>7699</v>
      </c>
      <c r="C404" s="3">
        <v>2024</v>
      </c>
      <c r="D404" s="3" t="s">
        <v>825</v>
      </c>
      <c r="E404" s="3" t="s">
        <v>496</v>
      </c>
      <c r="F404" s="1" t="s">
        <v>7834</v>
      </c>
      <c r="G404" s="10"/>
      <c r="H404" s="10"/>
      <c r="I404" s="10"/>
      <c r="J404" s="10"/>
      <c r="K404" s="10"/>
      <c r="L404" s="3" t="s">
        <v>7725</v>
      </c>
      <c r="M404" s="3" t="s">
        <v>7726</v>
      </c>
      <c r="N404" s="3" t="s">
        <v>5089</v>
      </c>
      <c r="O404" s="3">
        <v>1</v>
      </c>
      <c r="P404" s="3">
        <v>1</v>
      </c>
      <c r="Q404" s="3">
        <v>281</v>
      </c>
      <c r="R404" s="3">
        <v>0</v>
      </c>
      <c r="S404" s="3" t="s">
        <v>7720</v>
      </c>
      <c r="T404" s="3" t="s">
        <v>106</v>
      </c>
      <c r="U404" s="11">
        <v>67</v>
      </c>
      <c r="V404" s="3" t="s">
        <v>7699</v>
      </c>
      <c r="W404" s="8" t="s">
        <v>7834</v>
      </c>
    </row>
    <row r="405" spans="1:23" x14ac:dyDescent="0.25">
      <c r="A405" s="2">
        <v>1981</v>
      </c>
      <c r="B405" s="3" t="s">
        <v>7699</v>
      </c>
      <c r="C405" s="3">
        <v>2024</v>
      </c>
      <c r="D405" s="3" t="s">
        <v>1418</v>
      </c>
      <c r="E405" s="3" t="s">
        <v>496</v>
      </c>
      <c r="F405" s="1" t="s">
        <v>7834</v>
      </c>
      <c r="G405" s="10"/>
      <c r="H405" s="10"/>
      <c r="I405" s="10"/>
      <c r="J405" s="10"/>
      <c r="K405" s="10"/>
      <c r="L405" s="3" t="s">
        <v>7732</v>
      </c>
      <c r="M405" s="3" t="s">
        <v>7733</v>
      </c>
      <c r="N405" s="3" t="s">
        <v>7734</v>
      </c>
      <c r="O405" s="3">
        <v>0</v>
      </c>
      <c r="P405" s="3">
        <v>0</v>
      </c>
      <c r="Q405" s="3">
        <v>1</v>
      </c>
      <c r="R405" s="3" t="s">
        <v>7735</v>
      </c>
      <c r="S405" s="3" t="s">
        <v>7736</v>
      </c>
      <c r="T405" s="3" t="s">
        <v>106</v>
      </c>
      <c r="U405" s="11">
        <v>68</v>
      </c>
      <c r="V405" s="3" t="s">
        <v>7699</v>
      </c>
      <c r="W405" s="8" t="s">
        <v>7834</v>
      </c>
    </row>
    <row r="406" spans="1:23" x14ac:dyDescent="0.25">
      <c r="A406" s="2">
        <v>1985</v>
      </c>
      <c r="B406" s="3" t="s">
        <v>7699</v>
      </c>
      <c r="C406" s="3">
        <v>2024</v>
      </c>
      <c r="D406" s="3" t="s">
        <v>1965</v>
      </c>
      <c r="E406" s="3" t="s">
        <v>496</v>
      </c>
      <c r="F406" s="1" t="s">
        <v>7834</v>
      </c>
      <c r="G406" s="10"/>
      <c r="H406" s="10"/>
      <c r="I406" s="10"/>
      <c r="J406" s="10"/>
      <c r="K406" s="10"/>
      <c r="L406" s="3" t="s">
        <v>7751</v>
      </c>
      <c r="M406" s="3" t="s">
        <v>7752</v>
      </c>
      <c r="N406" s="3" t="s">
        <v>5077</v>
      </c>
      <c r="O406" s="3">
        <v>1</v>
      </c>
      <c r="P406" s="3">
        <v>1</v>
      </c>
      <c r="Q406" s="3">
        <v>1</v>
      </c>
      <c r="R406" s="3">
        <v>9781003447856</v>
      </c>
      <c r="S406" s="3" t="s">
        <v>7753</v>
      </c>
      <c r="T406" s="3" t="s">
        <v>106</v>
      </c>
      <c r="U406" s="11">
        <v>69</v>
      </c>
      <c r="V406" s="3" t="s">
        <v>7699</v>
      </c>
      <c r="W406" s="8" t="s">
        <v>7834</v>
      </c>
    </row>
    <row r="407" spans="1:23" x14ac:dyDescent="0.25">
      <c r="A407" s="2">
        <v>1994</v>
      </c>
      <c r="B407" s="3" t="s">
        <v>7699</v>
      </c>
      <c r="C407" s="3">
        <v>2024</v>
      </c>
      <c r="D407" s="3" t="s">
        <v>871</v>
      </c>
      <c r="E407" s="3" t="s">
        <v>496</v>
      </c>
      <c r="F407" s="1" t="s">
        <v>7834</v>
      </c>
      <c r="G407" s="10"/>
      <c r="H407" s="10"/>
      <c r="I407" s="10"/>
      <c r="J407" s="10"/>
      <c r="K407" s="10"/>
      <c r="L407" s="3" t="s">
        <v>7788</v>
      </c>
      <c r="M407" s="3" t="s">
        <v>7789</v>
      </c>
      <c r="N407" s="3" t="s">
        <v>7790</v>
      </c>
      <c r="O407" s="3">
        <v>1</v>
      </c>
      <c r="P407" s="3">
        <v>1</v>
      </c>
      <c r="Q407" s="3">
        <v>1</v>
      </c>
      <c r="R407" s="3">
        <v>9781003482550</v>
      </c>
      <c r="S407" s="3" t="s">
        <v>7791</v>
      </c>
      <c r="T407" s="3" t="s">
        <v>106</v>
      </c>
      <c r="U407" s="11">
        <v>70</v>
      </c>
      <c r="V407" s="3" t="s">
        <v>7699</v>
      </c>
      <c r="W407" s="8" t="s">
        <v>7834</v>
      </c>
    </row>
    <row r="408" spans="1:23" x14ac:dyDescent="0.25">
      <c r="A408" s="2">
        <v>1996</v>
      </c>
      <c r="B408" s="3" t="s">
        <v>7699</v>
      </c>
      <c r="C408" s="3">
        <v>2024</v>
      </c>
      <c r="D408" s="3" t="s">
        <v>871</v>
      </c>
      <c r="E408" s="3" t="s">
        <v>496</v>
      </c>
      <c r="F408" s="1" t="s">
        <v>7834</v>
      </c>
      <c r="G408" s="10"/>
      <c r="H408" s="10"/>
      <c r="I408" s="10"/>
      <c r="J408" s="10"/>
      <c r="K408" s="10"/>
      <c r="L408" s="3" t="s">
        <v>7795</v>
      </c>
      <c r="M408" s="3" t="s">
        <v>7789</v>
      </c>
      <c r="N408" s="3" t="s">
        <v>7790</v>
      </c>
      <c r="O408" s="3">
        <v>1</v>
      </c>
      <c r="P408" s="3">
        <v>1</v>
      </c>
      <c r="Q408" s="3">
        <v>1</v>
      </c>
      <c r="R408" s="3">
        <v>9781003482550</v>
      </c>
      <c r="S408" s="3" t="s">
        <v>7791</v>
      </c>
      <c r="T408" s="3" t="s">
        <v>106</v>
      </c>
      <c r="U408" s="11">
        <v>71</v>
      </c>
      <c r="V408" s="3" t="s">
        <v>7699</v>
      </c>
      <c r="W408" s="8" t="s">
        <v>7834</v>
      </c>
    </row>
    <row r="409" spans="1:23" x14ac:dyDescent="0.25">
      <c r="A409" s="2">
        <v>1997</v>
      </c>
      <c r="B409" s="3" t="s">
        <v>7699</v>
      </c>
      <c r="C409" s="3">
        <v>2024</v>
      </c>
      <c r="D409" s="3" t="s">
        <v>871</v>
      </c>
      <c r="E409" s="3" t="s">
        <v>496</v>
      </c>
      <c r="F409" s="1" t="s">
        <v>7834</v>
      </c>
      <c r="G409" s="10"/>
      <c r="H409" s="10"/>
      <c r="I409" s="10"/>
      <c r="J409" s="10"/>
      <c r="K409" s="10"/>
      <c r="L409" s="3" t="s">
        <v>7796</v>
      </c>
      <c r="M409" s="3" t="s">
        <v>7789</v>
      </c>
      <c r="N409" s="3" t="s">
        <v>7790</v>
      </c>
      <c r="O409" s="3">
        <v>1</v>
      </c>
      <c r="P409" s="3">
        <v>1</v>
      </c>
      <c r="Q409" s="3">
        <v>1</v>
      </c>
      <c r="R409" s="3">
        <v>9781003482550</v>
      </c>
      <c r="S409" s="3" t="s">
        <v>7791</v>
      </c>
      <c r="T409" s="3" t="s">
        <v>106</v>
      </c>
      <c r="U409" s="11">
        <v>72</v>
      </c>
      <c r="V409" s="3" t="s">
        <v>7699</v>
      </c>
      <c r="W409" s="8" t="s">
        <v>7834</v>
      </c>
    </row>
    <row r="410" spans="1:23" x14ac:dyDescent="0.25">
      <c r="A410" s="2">
        <v>2006</v>
      </c>
      <c r="B410" s="3" t="s">
        <v>7699</v>
      </c>
      <c r="C410" s="3">
        <v>2024</v>
      </c>
      <c r="D410" s="3" t="s">
        <v>2159</v>
      </c>
      <c r="E410" s="3" t="s">
        <v>496</v>
      </c>
      <c r="F410" s="1" t="s">
        <v>7834</v>
      </c>
      <c r="G410" s="10"/>
      <c r="H410" s="10">
        <v>8</v>
      </c>
      <c r="I410" s="10"/>
      <c r="J410" s="10"/>
      <c r="K410" s="10"/>
      <c r="L410" s="3" t="s">
        <v>7830</v>
      </c>
      <c r="M410" s="3" t="s">
        <v>7831</v>
      </c>
      <c r="N410" s="3" t="s">
        <v>7813</v>
      </c>
      <c r="O410" s="3">
        <v>0</v>
      </c>
      <c r="P410" s="3">
        <v>0</v>
      </c>
      <c r="Q410" s="3">
        <v>401</v>
      </c>
      <c r="R410" s="3">
        <v>0</v>
      </c>
      <c r="S410" s="3" t="s">
        <v>7832</v>
      </c>
      <c r="T410" s="3" t="s">
        <v>106</v>
      </c>
      <c r="U410" s="11">
        <v>73</v>
      </c>
      <c r="V410" s="3" t="s">
        <v>7699</v>
      </c>
      <c r="W410" s="8" t="s">
        <v>7834</v>
      </c>
    </row>
    <row r="411" spans="1:23" x14ac:dyDescent="0.25">
      <c r="A411" s="2">
        <v>1976</v>
      </c>
      <c r="B411" s="3" t="s">
        <v>7699</v>
      </c>
      <c r="C411" s="3">
        <v>2024</v>
      </c>
      <c r="D411" s="3" t="s">
        <v>38</v>
      </c>
      <c r="E411" s="3" t="s">
        <v>114</v>
      </c>
      <c r="F411" s="1" t="s">
        <v>7834</v>
      </c>
      <c r="G411" s="10"/>
      <c r="H411" s="10"/>
      <c r="I411" s="10"/>
      <c r="J411" s="10"/>
      <c r="K411" s="10"/>
      <c r="L411" s="3" t="s">
        <v>7715</v>
      </c>
      <c r="M411" s="3" t="s">
        <v>7711</v>
      </c>
      <c r="N411" s="3" t="s">
        <v>7716</v>
      </c>
      <c r="O411" s="3">
        <v>0</v>
      </c>
      <c r="P411" s="3">
        <v>116</v>
      </c>
      <c r="Q411" s="3">
        <v>15</v>
      </c>
      <c r="R411" s="3">
        <v>0</v>
      </c>
      <c r="S411" s="3" t="s">
        <v>7717</v>
      </c>
      <c r="T411" s="3" t="s">
        <v>106</v>
      </c>
      <c r="U411" s="11">
        <v>74</v>
      </c>
      <c r="V411" s="3" t="s">
        <v>7699</v>
      </c>
      <c r="W411" s="8" t="s">
        <v>7834</v>
      </c>
    </row>
    <row r="412" spans="1:23" x14ac:dyDescent="0.25">
      <c r="A412" s="2">
        <v>1987</v>
      </c>
      <c r="B412" s="3" t="s">
        <v>7699</v>
      </c>
      <c r="C412" s="3">
        <v>2024</v>
      </c>
      <c r="D412" s="3" t="s">
        <v>100</v>
      </c>
      <c r="E412" s="3" t="s">
        <v>114</v>
      </c>
      <c r="F412" s="1" t="s">
        <v>7834</v>
      </c>
      <c r="G412" s="10"/>
      <c r="H412" s="10"/>
      <c r="I412" s="10"/>
      <c r="J412" s="10"/>
      <c r="K412" s="10"/>
      <c r="L412" s="3" t="s">
        <v>7758</v>
      </c>
      <c r="M412" s="3" t="s">
        <v>7759</v>
      </c>
      <c r="N412" s="3" t="s">
        <v>7760</v>
      </c>
      <c r="O412" s="3">
        <v>0</v>
      </c>
      <c r="P412" s="3">
        <v>17</v>
      </c>
      <c r="Q412" s="3">
        <v>1</v>
      </c>
      <c r="R412" s="3">
        <v>0</v>
      </c>
      <c r="S412" s="3" t="s">
        <v>7761</v>
      </c>
      <c r="T412" s="3" t="s">
        <v>106</v>
      </c>
      <c r="U412" s="11">
        <v>75</v>
      </c>
      <c r="V412" s="3" t="s">
        <v>7699</v>
      </c>
      <c r="W412" s="8" t="s">
        <v>7834</v>
      </c>
    </row>
    <row r="413" spans="1:23" x14ac:dyDescent="0.25">
      <c r="A413" s="2">
        <v>1988</v>
      </c>
      <c r="B413" s="3" t="s">
        <v>7699</v>
      </c>
      <c r="C413" s="3">
        <v>2024</v>
      </c>
      <c r="D413" s="3" t="s">
        <v>2543</v>
      </c>
      <c r="E413" s="3" t="s">
        <v>114</v>
      </c>
      <c r="F413" s="1" t="s">
        <v>7834</v>
      </c>
      <c r="G413" s="10"/>
      <c r="H413" s="10"/>
      <c r="I413" s="10"/>
      <c r="J413" s="10"/>
      <c r="K413" s="10"/>
      <c r="L413" s="3" t="s">
        <v>7762</v>
      </c>
      <c r="M413" s="3" t="s">
        <v>7763</v>
      </c>
      <c r="N413" s="3" t="s">
        <v>7760</v>
      </c>
      <c r="O413" s="3">
        <v>0</v>
      </c>
      <c r="P413" s="3">
        <v>5</v>
      </c>
      <c r="Q413" s="3">
        <v>1</v>
      </c>
      <c r="R413" s="3">
        <v>0</v>
      </c>
      <c r="S413" s="3" t="s">
        <v>7764</v>
      </c>
      <c r="T413" s="3" t="s">
        <v>106</v>
      </c>
      <c r="U413" s="11">
        <v>76</v>
      </c>
      <c r="V413" s="3" t="s">
        <v>7699</v>
      </c>
      <c r="W413" s="8" t="s">
        <v>7834</v>
      </c>
    </row>
    <row r="414" spans="1:23" x14ac:dyDescent="0.25">
      <c r="A414" s="2">
        <v>1995</v>
      </c>
      <c r="B414" s="3" t="s">
        <v>7699</v>
      </c>
      <c r="C414" s="3">
        <v>2024</v>
      </c>
      <c r="D414" s="3" t="s">
        <v>4053</v>
      </c>
      <c r="E414" s="3" t="s">
        <v>114</v>
      </c>
      <c r="F414" s="1" t="s">
        <v>7834</v>
      </c>
      <c r="G414" s="10"/>
      <c r="H414" s="10"/>
      <c r="I414" s="10"/>
      <c r="J414" s="10"/>
      <c r="K414" s="10"/>
      <c r="L414" s="3" t="s">
        <v>7792</v>
      </c>
      <c r="M414" s="3" t="s">
        <v>7793</v>
      </c>
      <c r="N414" s="3" t="s">
        <v>7760</v>
      </c>
      <c r="O414" s="3">
        <v>0</v>
      </c>
      <c r="P414" s="3">
        <v>18</v>
      </c>
      <c r="Q414" s="3">
        <v>1</v>
      </c>
      <c r="R414" s="3">
        <v>0</v>
      </c>
      <c r="S414" s="3" t="s">
        <v>7794</v>
      </c>
      <c r="T414" s="3" t="s">
        <v>106</v>
      </c>
      <c r="U414" s="11">
        <v>77</v>
      </c>
      <c r="V414" s="3" t="s">
        <v>7699</v>
      </c>
      <c r="W414" s="8" t="s">
        <v>7834</v>
      </c>
    </row>
    <row r="415" spans="1:23" x14ac:dyDescent="0.25">
      <c r="A415" s="2">
        <v>2000</v>
      </c>
      <c r="B415" s="3" t="s">
        <v>7699</v>
      </c>
      <c r="C415" s="3">
        <v>2024</v>
      </c>
      <c r="D415" s="3" t="s">
        <v>107</v>
      </c>
      <c r="E415" s="3" t="s">
        <v>114</v>
      </c>
      <c r="F415" s="1" t="s">
        <v>7834</v>
      </c>
      <c r="G415" s="10"/>
      <c r="H415" s="10"/>
      <c r="I415" s="10"/>
      <c r="J415" s="10"/>
      <c r="K415" s="10"/>
      <c r="L415" s="3" t="s">
        <v>7805</v>
      </c>
      <c r="M415" s="3" t="s">
        <v>7806</v>
      </c>
      <c r="N415" s="3" t="s">
        <v>7760</v>
      </c>
      <c r="O415" s="3">
        <v>0</v>
      </c>
      <c r="P415" s="3">
        <v>0</v>
      </c>
      <c r="Q415" s="3">
        <v>1</v>
      </c>
      <c r="R415" s="3"/>
      <c r="S415" s="3" t="s">
        <v>7807</v>
      </c>
      <c r="T415" s="3" t="s">
        <v>106</v>
      </c>
      <c r="U415" s="11">
        <v>78</v>
      </c>
      <c r="V415" s="3" t="s">
        <v>7699</v>
      </c>
      <c r="W415" s="8" t="s">
        <v>7834</v>
      </c>
    </row>
    <row r="416" spans="1:23" x14ac:dyDescent="0.25">
      <c r="A416" s="2">
        <v>2001</v>
      </c>
      <c r="B416" s="3" t="s">
        <v>7699</v>
      </c>
      <c r="C416" s="3">
        <v>2024</v>
      </c>
      <c r="D416" s="3" t="s">
        <v>3276</v>
      </c>
      <c r="E416" s="3" t="s">
        <v>114</v>
      </c>
      <c r="F416" s="1" t="s">
        <v>7834</v>
      </c>
      <c r="G416" s="10"/>
      <c r="H416" s="10"/>
      <c r="I416" s="10">
        <v>6</v>
      </c>
      <c r="J416" s="10"/>
      <c r="K416" s="10"/>
      <c r="L416" s="3" t="s">
        <v>7808</v>
      </c>
      <c r="M416" s="3" t="s">
        <v>7809</v>
      </c>
      <c r="N416" s="3" t="s">
        <v>7760</v>
      </c>
      <c r="O416" s="3"/>
      <c r="P416" s="3"/>
      <c r="Q416" s="3"/>
      <c r="R416" s="3"/>
      <c r="S416" s="3" t="s">
        <v>7810</v>
      </c>
      <c r="T416" s="3" t="s">
        <v>106</v>
      </c>
      <c r="U416" s="11">
        <v>79</v>
      </c>
      <c r="V416" s="3" t="s">
        <v>7699</v>
      </c>
      <c r="W416" s="8" t="s">
        <v>7834</v>
      </c>
    </row>
    <row r="417" spans="1:23" x14ac:dyDescent="0.25">
      <c r="A417" s="2">
        <v>2002</v>
      </c>
      <c r="B417" s="3" t="s">
        <v>7699</v>
      </c>
      <c r="C417" s="3">
        <v>2024</v>
      </c>
      <c r="D417" s="3" t="s">
        <v>2159</v>
      </c>
      <c r="E417" s="3" t="s">
        <v>730</v>
      </c>
      <c r="F417" s="1" t="s">
        <v>7834</v>
      </c>
      <c r="G417" s="10"/>
      <c r="H417" s="10"/>
      <c r="I417" s="10"/>
      <c r="J417" s="10">
        <v>1</v>
      </c>
      <c r="K417" s="10"/>
      <c r="L417" s="3" t="s">
        <v>7811</v>
      </c>
      <c r="M417" s="3" t="s">
        <v>7812</v>
      </c>
      <c r="N417" s="3" t="s">
        <v>7813</v>
      </c>
      <c r="O417" s="3">
        <v>0</v>
      </c>
      <c r="P417" s="3">
        <v>0</v>
      </c>
      <c r="Q417" s="3">
        <v>478</v>
      </c>
      <c r="R417" s="3">
        <v>0</v>
      </c>
      <c r="S417" s="3" t="s">
        <v>7814</v>
      </c>
      <c r="T417" s="3" t="s">
        <v>106</v>
      </c>
      <c r="U417" s="11">
        <v>80</v>
      </c>
      <c r="V417" s="3" t="s">
        <v>7699</v>
      </c>
      <c r="W417" s="8" t="s">
        <v>7834</v>
      </c>
    </row>
    <row r="418" spans="1:23" x14ac:dyDescent="0.25">
      <c r="A418" s="2">
        <v>1978</v>
      </c>
      <c r="B418" s="3" t="s">
        <v>7699</v>
      </c>
      <c r="C418" s="3">
        <v>2024</v>
      </c>
      <c r="D418" s="3" t="s">
        <v>4990</v>
      </c>
      <c r="E418" s="3" t="s">
        <v>206</v>
      </c>
      <c r="F418" s="1" t="s">
        <v>7834</v>
      </c>
      <c r="G418" s="10"/>
      <c r="H418" s="10"/>
      <c r="I418" s="10"/>
      <c r="J418" s="10"/>
      <c r="K418" s="10"/>
      <c r="L418" s="3" t="s">
        <v>7721</v>
      </c>
      <c r="M418" s="3" t="s">
        <v>7722</v>
      </c>
      <c r="N418" s="3" t="s">
        <v>7723</v>
      </c>
      <c r="O418" s="3">
        <v>8</v>
      </c>
      <c r="P418" s="3">
        <v>0</v>
      </c>
      <c r="Q418" s="3">
        <v>537</v>
      </c>
      <c r="R418" s="3">
        <v>7198213</v>
      </c>
      <c r="S418" s="3" t="s">
        <v>7724</v>
      </c>
      <c r="T418" s="3" t="s">
        <v>106</v>
      </c>
      <c r="U418" s="11">
        <v>81</v>
      </c>
      <c r="V418" s="3" t="s">
        <v>7699</v>
      </c>
      <c r="W418" s="8" t="s">
        <v>7834</v>
      </c>
    </row>
    <row r="419" spans="1:23" x14ac:dyDescent="0.25">
      <c r="A419" s="2">
        <v>1989</v>
      </c>
      <c r="B419" s="3" t="s">
        <v>7699</v>
      </c>
      <c r="C419" s="3">
        <v>2024</v>
      </c>
      <c r="D419" s="3" t="s">
        <v>93</v>
      </c>
      <c r="E419" s="3" t="s">
        <v>206</v>
      </c>
      <c r="F419" s="1" t="s">
        <v>7834</v>
      </c>
      <c r="G419" s="10"/>
      <c r="H419" s="10"/>
      <c r="I419" s="10"/>
      <c r="J419" s="10"/>
      <c r="K419" s="10"/>
      <c r="L419" s="3" t="s">
        <v>7765</v>
      </c>
      <c r="M419" s="3" t="s">
        <v>7766</v>
      </c>
      <c r="N419" s="3" t="s">
        <v>7129</v>
      </c>
      <c r="O419" s="3">
        <v>0</v>
      </c>
      <c r="P419" s="3">
        <v>92</v>
      </c>
      <c r="Q419" s="3">
        <v>49</v>
      </c>
      <c r="R419" s="3">
        <v>1203916</v>
      </c>
      <c r="S419" s="3" t="s">
        <v>7767</v>
      </c>
      <c r="T419" s="3" t="s">
        <v>106</v>
      </c>
      <c r="U419" s="11">
        <v>82</v>
      </c>
      <c r="V419" s="3" t="s">
        <v>7699</v>
      </c>
      <c r="W419" s="8" t="s">
        <v>7834</v>
      </c>
    </row>
    <row r="420" spans="1:23" x14ac:dyDescent="0.25">
      <c r="A420" s="2">
        <v>101</v>
      </c>
      <c r="B420" s="3" t="s">
        <v>408</v>
      </c>
      <c r="C420" s="3">
        <v>2024</v>
      </c>
      <c r="D420" s="3" t="s">
        <v>31</v>
      </c>
      <c r="E420" s="3" t="s">
        <v>15</v>
      </c>
      <c r="F420" s="1" t="s">
        <v>7834</v>
      </c>
      <c r="G420" s="10"/>
      <c r="H420" s="10"/>
      <c r="I420" s="10"/>
      <c r="J420" s="10"/>
      <c r="K420" s="10"/>
      <c r="L420" s="3" t="s">
        <v>478</v>
      </c>
      <c r="M420" s="3" t="s">
        <v>479</v>
      </c>
      <c r="N420" s="3" t="s">
        <v>480</v>
      </c>
      <c r="O420" s="3"/>
      <c r="P420" s="3"/>
      <c r="Q420" s="3"/>
      <c r="R420" s="3" t="s">
        <v>481</v>
      </c>
      <c r="S420" s="3" t="s">
        <v>482</v>
      </c>
      <c r="T420" s="3" t="s">
        <v>483</v>
      </c>
      <c r="U420" s="11">
        <v>1</v>
      </c>
      <c r="V420" s="3" t="s">
        <v>408</v>
      </c>
      <c r="W420" s="8" t="s">
        <v>7834</v>
      </c>
    </row>
    <row r="421" spans="1:23" x14ac:dyDescent="0.25">
      <c r="A421" s="2">
        <v>109</v>
      </c>
      <c r="B421" s="3" t="s">
        <v>501</v>
      </c>
      <c r="C421" s="3">
        <v>2024</v>
      </c>
      <c r="D421" s="3" t="s">
        <v>82</v>
      </c>
      <c r="E421" s="3" t="s">
        <v>15</v>
      </c>
      <c r="F421" s="1" t="s">
        <v>7834</v>
      </c>
      <c r="G421" s="10"/>
      <c r="H421" s="10"/>
      <c r="I421" s="10"/>
      <c r="J421" s="10"/>
      <c r="K421" s="10"/>
      <c r="L421" s="3" t="s">
        <v>525</v>
      </c>
      <c r="M421" s="3" t="s">
        <v>526</v>
      </c>
      <c r="N421" s="3" t="s">
        <v>527</v>
      </c>
      <c r="O421" s="3"/>
      <c r="P421" s="3">
        <v>58</v>
      </c>
      <c r="Q421" s="3">
        <v>617</v>
      </c>
      <c r="R421" s="3" t="s">
        <v>528</v>
      </c>
      <c r="S421" s="3" t="s">
        <v>529</v>
      </c>
      <c r="T421" s="3" t="s">
        <v>483</v>
      </c>
      <c r="U421" s="11">
        <v>2</v>
      </c>
      <c r="V421" s="3" t="s">
        <v>501</v>
      </c>
      <c r="W421" s="8" t="s">
        <v>7834</v>
      </c>
    </row>
    <row r="422" spans="1:23" x14ac:dyDescent="0.25">
      <c r="A422" s="2">
        <v>115</v>
      </c>
      <c r="B422" s="3" t="s">
        <v>501</v>
      </c>
      <c r="C422" s="3">
        <v>2024</v>
      </c>
      <c r="D422" s="3" t="s">
        <v>557</v>
      </c>
      <c r="E422" s="3" t="s">
        <v>15</v>
      </c>
      <c r="F422" s="1" t="s">
        <v>7834</v>
      </c>
      <c r="G422" s="10"/>
      <c r="H422" s="10"/>
      <c r="I422" s="10"/>
      <c r="J422" s="10"/>
      <c r="K422" s="10"/>
      <c r="L422" s="3" t="s">
        <v>558</v>
      </c>
      <c r="M422" s="3" t="s">
        <v>559</v>
      </c>
      <c r="N422" s="3" t="s">
        <v>560</v>
      </c>
      <c r="O422" s="3">
        <v>45</v>
      </c>
      <c r="P422" s="3">
        <v>5</v>
      </c>
      <c r="Q422" s="3">
        <v>483</v>
      </c>
      <c r="R422" s="3" t="s">
        <v>561</v>
      </c>
      <c r="S422" s="3" t="s">
        <v>562</v>
      </c>
      <c r="T422" s="3" t="s">
        <v>483</v>
      </c>
      <c r="U422" s="11">
        <v>3</v>
      </c>
      <c r="V422" s="3" t="s">
        <v>501</v>
      </c>
      <c r="W422" s="8" t="s">
        <v>7834</v>
      </c>
    </row>
    <row r="423" spans="1:23" x14ac:dyDescent="0.25">
      <c r="A423" s="2">
        <v>116</v>
      </c>
      <c r="B423" s="3" t="s">
        <v>501</v>
      </c>
      <c r="C423" s="3">
        <v>2024</v>
      </c>
      <c r="D423" s="3" t="s">
        <v>557</v>
      </c>
      <c r="E423" s="3" t="s">
        <v>15</v>
      </c>
      <c r="F423" s="1" t="s">
        <v>7834</v>
      </c>
      <c r="G423" s="10"/>
      <c r="H423" s="10"/>
      <c r="I423" s="10"/>
      <c r="J423" s="10"/>
      <c r="K423" s="10"/>
      <c r="L423" s="3" t="s">
        <v>563</v>
      </c>
      <c r="M423" s="3" t="s">
        <v>564</v>
      </c>
      <c r="N423" s="3" t="s">
        <v>565</v>
      </c>
      <c r="O423" s="3">
        <v>8</v>
      </c>
      <c r="P423" s="3"/>
      <c r="Q423" s="3"/>
      <c r="R423" s="3" t="s">
        <v>566</v>
      </c>
      <c r="S423" s="3" t="s">
        <v>567</v>
      </c>
      <c r="T423" s="3" t="s">
        <v>483</v>
      </c>
      <c r="U423" s="11">
        <v>4</v>
      </c>
      <c r="V423" s="3" t="s">
        <v>501</v>
      </c>
      <c r="W423" s="8" t="s">
        <v>7834</v>
      </c>
    </row>
    <row r="424" spans="1:23" x14ac:dyDescent="0.25">
      <c r="A424" s="2">
        <v>117</v>
      </c>
      <c r="B424" s="3" t="s">
        <v>501</v>
      </c>
      <c r="C424" s="3">
        <v>2024</v>
      </c>
      <c r="D424" s="3" t="s">
        <v>568</v>
      </c>
      <c r="E424" s="3" t="s">
        <v>15</v>
      </c>
      <c r="F424" s="1" t="s">
        <v>7834</v>
      </c>
      <c r="G424" s="10"/>
      <c r="H424" s="10"/>
      <c r="I424" s="10"/>
      <c r="J424" s="10"/>
      <c r="K424" s="10"/>
      <c r="L424" s="3" t="s">
        <v>569</v>
      </c>
      <c r="M424" s="3" t="s">
        <v>570</v>
      </c>
      <c r="N424" s="3" t="s">
        <v>560</v>
      </c>
      <c r="O424" s="3">
        <v>45</v>
      </c>
      <c r="P424" s="3">
        <v>4</v>
      </c>
      <c r="Q424" s="3">
        <v>382</v>
      </c>
      <c r="R424" s="3" t="s">
        <v>571</v>
      </c>
      <c r="S424" s="3" t="s">
        <v>572</v>
      </c>
      <c r="T424" s="3" t="s">
        <v>483</v>
      </c>
      <c r="U424" s="11">
        <v>5</v>
      </c>
      <c r="V424" s="3" t="s">
        <v>501</v>
      </c>
      <c r="W424" s="8" t="s">
        <v>7834</v>
      </c>
    </row>
    <row r="425" spans="1:23" x14ac:dyDescent="0.25">
      <c r="A425" s="2">
        <v>128</v>
      </c>
      <c r="B425" s="3" t="s">
        <v>501</v>
      </c>
      <c r="C425" s="3">
        <v>2024</v>
      </c>
      <c r="D425" s="3" t="s">
        <v>627</v>
      </c>
      <c r="E425" s="3" t="s">
        <v>15</v>
      </c>
      <c r="F425" s="1" t="s">
        <v>7834</v>
      </c>
      <c r="G425" s="10"/>
      <c r="H425" s="10"/>
      <c r="I425" s="10"/>
      <c r="J425" s="10"/>
      <c r="K425" s="10"/>
      <c r="L425" s="3" t="s">
        <v>628</v>
      </c>
      <c r="M425" s="3" t="s">
        <v>629</v>
      </c>
      <c r="N425" s="3" t="s">
        <v>630</v>
      </c>
      <c r="O425" s="3"/>
      <c r="P425" s="3"/>
      <c r="Q425" s="3"/>
      <c r="R425" s="3" t="s">
        <v>631</v>
      </c>
      <c r="S425" s="3" t="s">
        <v>632</v>
      </c>
      <c r="T425" s="3" t="s">
        <v>483</v>
      </c>
      <c r="U425" s="11">
        <v>6</v>
      </c>
      <c r="V425" s="3" t="s">
        <v>501</v>
      </c>
      <c r="W425" s="8" t="s">
        <v>7834</v>
      </c>
    </row>
    <row r="426" spans="1:23" x14ac:dyDescent="0.25">
      <c r="A426" s="2">
        <v>133</v>
      </c>
      <c r="B426" s="3" t="s">
        <v>501</v>
      </c>
      <c r="C426" s="3">
        <v>2024</v>
      </c>
      <c r="D426" s="3" t="s">
        <v>31</v>
      </c>
      <c r="E426" s="3" t="s">
        <v>15</v>
      </c>
      <c r="F426" s="1" t="s">
        <v>7834</v>
      </c>
      <c r="G426" s="10"/>
      <c r="H426" s="10"/>
      <c r="I426" s="10"/>
      <c r="J426" s="10"/>
      <c r="K426" s="10"/>
      <c r="L426" s="3" t="s">
        <v>655</v>
      </c>
      <c r="M426" s="3" t="s">
        <v>656</v>
      </c>
      <c r="N426" s="3" t="s">
        <v>657</v>
      </c>
      <c r="O426" s="3">
        <v>24</v>
      </c>
      <c r="P426" s="3">
        <v>2</v>
      </c>
      <c r="Q426" s="3">
        <v>782</v>
      </c>
      <c r="R426" s="3" t="s">
        <v>658</v>
      </c>
      <c r="S426" s="3" t="s">
        <v>659</v>
      </c>
      <c r="T426" s="3" t="s">
        <v>483</v>
      </c>
      <c r="U426" s="11">
        <v>7</v>
      </c>
      <c r="V426" s="3" t="s">
        <v>501</v>
      </c>
      <c r="W426" s="8" t="s">
        <v>7834</v>
      </c>
    </row>
    <row r="427" spans="1:23" x14ac:dyDescent="0.25">
      <c r="A427" s="2">
        <v>140</v>
      </c>
      <c r="B427" s="3" t="s">
        <v>501</v>
      </c>
      <c r="C427" s="3">
        <v>2024</v>
      </c>
      <c r="D427" s="3" t="s">
        <v>691</v>
      </c>
      <c r="E427" s="3" t="s">
        <v>15</v>
      </c>
      <c r="F427" s="1" t="s">
        <v>7834</v>
      </c>
      <c r="G427" s="10"/>
      <c r="H427" s="10"/>
      <c r="I427" s="10"/>
      <c r="J427" s="10"/>
      <c r="K427" s="10"/>
      <c r="L427" s="3" t="s">
        <v>692</v>
      </c>
      <c r="M427" s="3" t="s">
        <v>693</v>
      </c>
      <c r="N427" s="3" t="s">
        <v>694</v>
      </c>
      <c r="O427" s="3"/>
      <c r="P427" s="3">
        <v>61</v>
      </c>
      <c r="Q427" s="3"/>
      <c r="R427" s="3" t="s">
        <v>695</v>
      </c>
      <c r="S427" s="3" t="s">
        <v>696</v>
      </c>
      <c r="T427" s="3" t="s">
        <v>483</v>
      </c>
      <c r="U427" s="11">
        <v>8</v>
      </c>
      <c r="V427" s="3" t="s">
        <v>501</v>
      </c>
      <c r="W427" s="8" t="s">
        <v>7834</v>
      </c>
    </row>
    <row r="428" spans="1:23" x14ac:dyDescent="0.25">
      <c r="A428" s="2">
        <v>141</v>
      </c>
      <c r="B428" s="3" t="s">
        <v>501</v>
      </c>
      <c r="C428" s="3">
        <v>2024</v>
      </c>
      <c r="D428" s="3" t="s">
        <v>82</v>
      </c>
      <c r="E428" s="3" t="s">
        <v>15</v>
      </c>
      <c r="F428" s="1" t="s">
        <v>7834</v>
      </c>
      <c r="G428" s="10"/>
      <c r="H428" s="10"/>
      <c r="I428" s="10"/>
      <c r="J428" s="10"/>
      <c r="K428" s="10"/>
      <c r="L428" s="3" t="s">
        <v>697</v>
      </c>
      <c r="M428" s="3" t="s">
        <v>698</v>
      </c>
      <c r="N428" s="3" t="s">
        <v>699</v>
      </c>
      <c r="O428" s="3">
        <v>95</v>
      </c>
      <c r="P428" s="3">
        <v>5</v>
      </c>
      <c r="Q428" s="3">
        <v>497</v>
      </c>
      <c r="R428" s="3" t="s">
        <v>700</v>
      </c>
      <c r="S428" s="3" t="s">
        <v>701</v>
      </c>
      <c r="T428" s="3" t="s">
        <v>483</v>
      </c>
      <c r="U428" s="11">
        <v>9</v>
      </c>
      <c r="V428" s="3" t="s">
        <v>501</v>
      </c>
      <c r="W428" s="8" t="s">
        <v>7834</v>
      </c>
    </row>
    <row r="429" spans="1:23" x14ac:dyDescent="0.25">
      <c r="A429" s="2">
        <v>149</v>
      </c>
      <c r="B429" s="3" t="s">
        <v>501</v>
      </c>
      <c r="C429" s="3">
        <v>2024</v>
      </c>
      <c r="D429" s="3" t="s">
        <v>742</v>
      </c>
      <c r="E429" s="3" t="s">
        <v>15</v>
      </c>
      <c r="F429" s="1" t="s">
        <v>7834</v>
      </c>
      <c r="G429" s="10"/>
      <c r="H429" s="10"/>
      <c r="I429" s="10"/>
      <c r="J429" s="10"/>
      <c r="K429" s="10"/>
      <c r="L429" s="3" t="s">
        <v>743</v>
      </c>
      <c r="M429" s="3" t="s">
        <v>744</v>
      </c>
      <c r="N429" s="3" t="s">
        <v>745</v>
      </c>
      <c r="O429" s="3"/>
      <c r="P429" s="3"/>
      <c r="Q429" s="3"/>
      <c r="R429" s="3" t="s">
        <v>746</v>
      </c>
      <c r="S429" s="3" t="s">
        <v>747</v>
      </c>
      <c r="T429" s="3" t="s">
        <v>483</v>
      </c>
      <c r="U429" s="11">
        <v>10</v>
      </c>
      <c r="V429" s="3" t="s">
        <v>501</v>
      </c>
      <c r="W429" s="8" t="s">
        <v>7834</v>
      </c>
    </row>
    <row r="430" spans="1:23" x14ac:dyDescent="0.25">
      <c r="A430" s="2">
        <v>152</v>
      </c>
      <c r="B430" s="3" t="s">
        <v>501</v>
      </c>
      <c r="C430" s="3">
        <v>2024</v>
      </c>
      <c r="D430" s="3" t="s">
        <v>759</v>
      </c>
      <c r="E430" s="3" t="s">
        <v>15</v>
      </c>
      <c r="F430" s="1" t="s">
        <v>7834</v>
      </c>
      <c r="G430" s="10"/>
      <c r="H430" s="10"/>
      <c r="I430" s="10"/>
      <c r="J430" s="10"/>
      <c r="K430" s="10"/>
      <c r="L430" s="3" t="s">
        <v>760</v>
      </c>
      <c r="M430" s="3" t="s">
        <v>761</v>
      </c>
      <c r="N430" s="3" t="s">
        <v>762</v>
      </c>
      <c r="O430" s="3"/>
      <c r="P430" s="3"/>
      <c r="Q430" s="3">
        <v>1</v>
      </c>
      <c r="R430" s="3" t="s">
        <v>561</v>
      </c>
      <c r="S430" s="3" t="s">
        <v>763</v>
      </c>
      <c r="T430" s="3" t="s">
        <v>483</v>
      </c>
      <c r="U430" s="11">
        <v>11</v>
      </c>
      <c r="V430" s="3" t="s">
        <v>501</v>
      </c>
      <c r="W430" s="8" t="s">
        <v>7834</v>
      </c>
    </row>
    <row r="431" spans="1:23" x14ac:dyDescent="0.25">
      <c r="A431" s="2">
        <v>121</v>
      </c>
      <c r="B431" s="3" t="s">
        <v>501</v>
      </c>
      <c r="C431" s="3">
        <v>2024</v>
      </c>
      <c r="D431" s="3" t="s">
        <v>590</v>
      </c>
      <c r="E431" s="3" t="s">
        <v>206</v>
      </c>
      <c r="F431" s="1" t="s">
        <v>7834</v>
      </c>
      <c r="G431" s="10"/>
      <c r="H431" s="10"/>
      <c r="I431" s="10"/>
      <c r="J431" s="10"/>
      <c r="K431" s="10"/>
      <c r="L431" s="3" t="s">
        <v>591</v>
      </c>
      <c r="M431" s="3" t="s">
        <v>592</v>
      </c>
      <c r="N431" s="3" t="s">
        <v>593</v>
      </c>
      <c r="O431" s="3"/>
      <c r="P431" s="3"/>
      <c r="Q431" s="3"/>
      <c r="R431" s="3" t="s">
        <v>594</v>
      </c>
      <c r="S431" s="3" t="s">
        <v>595</v>
      </c>
      <c r="T431" s="3" t="s">
        <v>483</v>
      </c>
      <c r="U431" s="11">
        <v>12</v>
      </c>
      <c r="V431" s="3" t="s">
        <v>501</v>
      </c>
      <c r="W431" s="8" t="s">
        <v>7834</v>
      </c>
    </row>
    <row r="432" spans="1:23" x14ac:dyDescent="0.25">
      <c r="A432" s="2">
        <v>131</v>
      </c>
      <c r="B432" s="3" t="s">
        <v>501</v>
      </c>
      <c r="C432" s="3">
        <v>2024</v>
      </c>
      <c r="D432" s="3" t="s">
        <v>573</v>
      </c>
      <c r="E432" s="3" t="s">
        <v>206</v>
      </c>
      <c r="F432" s="1" t="s">
        <v>7834</v>
      </c>
      <c r="G432" s="10"/>
      <c r="H432" s="10"/>
      <c r="I432" s="10"/>
      <c r="J432" s="10"/>
      <c r="K432" s="10"/>
      <c r="L432" s="3" t="s">
        <v>645</v>
      </c>
      <c r="M432" s="3" t="s">
        <v>646</v>
      </c>
      <c r="N432" s="3" t="s">
        <v>647</v>
      </c>
      <c r="O432" s="3">
        <v>24</v>
      </c>
      <c r="P432" s="3">
        <v>5</v>
      </c>
      <c r="Q432" s="3">
        <v>1048</v>
      </c>
      <c r="R432" s="3" t="s">
        <v>648</v>
      </c>
      <c r="S432" s="3" t="s">
        <v>649</v>
      </c>
      <c r="T432" s="3" t="s">
        <v>483</v>
      </c>
      <c r="U432" s="11">
        <v>13</v>
      </c>
      <c r="V432" s="3" t="s">
        <v>501</v>
      </c>
      <c r="W432" s="8" t="s">
        <v>7834</v>
      </c>
    </row>
    <row r="433" spans="1:23" x14ac:dyDescent="0.25">
      <c r="A433" s="2">
        <v>144</v>
      </c>
      <c r="B433" s="3" t="s">
        <v>501</v>
      </c>
      <c r="C433" s="3">
        <v>2024</v>
      </c>
      <c r="D433" s="3" t="s">
        <v>713</v>
      </c>
      <c r="E433" s="3" t="s">
        <v>206</v>
      </c>
      <c r="F433" s="1" t="s">
        <v>7834</v>
      </c>
      <c r="G433" s="10"/>
      <c r="H433" s="10"/>
      <c r="I433" s="10"/>
      <c r="J433" s="10"/>
      <c r="K433" s="10"/>
      <c r="L433" s="3" t="s">
        <v>714</v>
      </c>
      <c r="M433" s="3" t="s">
        <v>715</v>
      </c>
      <c r="N433" s="3" t="s">
        <v>716</v>
      </c>
      <c r="O433" s="3">
        <v>56</v>
      </c>
      <c r="P433" s="3">
        <v>167</v>
      </c>
      <c r="Q433" s="3">
        <v>157</v>
      </c>
      <c r="R433" s="3" t="s">
        <v>717</v>
      </c>
      <c r="S433" s="3" t="s">
        <v>718</v>
      </c>
      <c r="T433" s="3" t="s">
        <v>483</v>
      </c>
      <c r="U433" s="11">
        <v>14</v>
      </c>
      <c r="V433" s="3" t="s">
        <v>501</v>
      </c>
      <c r="W433" s="8" t="s">
        <v>7834</v>
      </c>
    </row>
    <row r="434" spans="1:23" x14ac:dyDescent="0.25">
      <c r="A434" s="2">
        <v>148</v>
      </c>
      <c r="B434" s="3" t="s">
        <v>501</v>
      </c>
      <c r="C434" s="3">
        <v>2024</v>
      </c>
      <c r="D434" s="3" t="s">
        <v>736</v>
      </c>
      <c r="E434" s="3" t="s">
        <v>206</v>
      </c>
      <c r="F434" s="1" t="s">
        <v>7834</v>
      </c>
      <c r="G434" s="10"/>
      <c r="H434" s="10"/>
      <c r="I434" s="10"/>
      <c r="J434" s="10"/>
      <c r="K434" s="10"/>
      <c r="L434" s="3" t="s">
        <v>737</v>
      </c>
      <c r="M434" s="3" t="s">
        <v>738</v>
      </c>
      <c r="N434" s="3" t="s">
        <v>739</v>
      </c>
      <c r="O434" s="3">
        <v>55</v>
      </c>
      <c r="P434" s="3">
        <v>3</v>
      </c>
      <c r="Q434" s="3">
        <v>71</v>
      </c>
      <c r="R434" s="3" t="s">
        <v>740</v>
      </c>
      <c r="S434" s="3" t="s">
        <v>741</v>
      </c>
      <c r="T434" s="3" t="s">
        <v>483</v>
      </c>
      <c r="U434" s="11">
        <v>15</v>
      </c>
      <c r="V434" s="3" t="s">
        <v>501</v>
      </c>
      <c r="W434" s="8" t="s">
        <v>7834</v>
      </c>
    </row>
    <row r="435" spans="1:23" x14ac:dyDescent="0.25">
      <c r="A435" s="2">
        <v>150</v>
      </c>
      <c r="B435" s="3" t="s">
        <v>501</v>
      </c>
      <c r="C435" s="3">
        <v>2024</v>
      </c>
      <c r="D435" s="3" t="s">
        <v>748</v>
      </c>
      <c r="E435" s="3" t="s">
        <v>206</v>
      </c>
      <c r="F435" s="1" t="s">
        <v>7834</v>
      </c>
      <c r="G435" s="10"/>
      <c r="H435" s="10"/>
      <c r="I435" s="10"/>
      <c r="J435" s="10"/>
      <c r="K435" s="10">
        <v>6</v>
      </c>
      <c r="L435" s="3" t="s">
        <v>749</v>
      </c>
      <c r="M435" s="3" t="s">
        <v>750</v>
      </c>
      <c r="N435" s="3" t="s">
        <v>751</v>
      </c>
      <c r="O435" s="3">
        <v>23</v>
      </c>
      <c r="P435" s="3">
        <v>2</v>
      </c>
      <c r="Q435" s="3">
        <v>168</v>
      </c>
      <c r="R435" s="3" t="s">
        <v>752</v>
      </c>
      <c r="S435" s="3" t="s">
        <v>753</v>
      </c>
      <c r="T435" s="3" t="s">
        <v>483</v>
      </c>
      <c r="U435" s="11">
        <v>16</v>
      </c>
      <c r="V435" s="3" t="s">
        <v>501</v>
      </c>
      <c r="W435" s="8" t="s">
        <v>7834</v>
      </c>
    </row>
    <row r="436" spans="1:23" x14ac:dyDescent="0.25">
      <c r="A436" s="2">
        <v>211</v>
      </c>
      <c r="B436" s="3" t="s">
        <v>774</v>
      </c>
      <c r="C436" s="3">
        <v>2024</v>
      </c>
      <c r="D436" s="3" t="s">
        <v>780</v>
      </c>
      <c r="E436" s="3" t="s">
        <v>15</v>
      </c>
      <c r="F436" s="1" t="s">
        <v>7834</v>
      </c>
      <c r="G436" s="10"/>
      <c r="H436" s="10"/>
      <c r="I436" s="10"/>
      <c r="J436" s="10"/>
      <c r="K436" s="10"/>
      <c r="L436" s="3" t="s">
        <v>1017</v>
      </c>
      <c r="M436" s="3" t="s">
        <v>1018</v>
      </c>
      <c r="N436" s="3" t="s">
        <v>1019</v>
      </c>
      <c r="O436" s="3"/>
      <c r="P436" s="3"/>
      <c r="Q436" s="3"/>
      <c r="R436" s="3" t="s">
        <v>1020</v>
      </c>
      <c r="S436" s="3" t="s">
        <v>1021</v>
      </c>
      <c r="T436" s="3" t="s">
        <v>483</v>
      </c>
      <c r="U436" s="11">
        <v>17</v>
      </c>
      <c r="V436" s="3" t="s">
        <v>774</v>
      </c>
      <c r="W436" s="8" t="s">
        <v>7834</v>
      </c>
    </row>
    <row r="437" spans="1:23" x14ac:dyDescent="0.25">
      <c r="A437" s="2">
        <v>224</v>
      </c>
      <c r="B437" s="3" t="s">
        <v>774</v>
      </c>
      <c r="C437" s="3">
        <v>2024</v>
      </c>
      <c r="D437" s="3" t="s">
        <v>1071</v>
      </c>
      <c r="E437" s="3" t="s">
        <v>15</v>
      </c>
      <c r="F437" s="1" t="s">
        <v>7834</v>
      </c>
      <c r="G437" s="10"/>
      <c r="H437" s="10"/>
      <c r="I437" s="10"/>
      <c r="J437" s="10"/>
      <c r="K437" s="10"/>
      <c r="L437" s="3" t="s">
        <v>1072</v>
      </c>
      <c r="M437" s="3" t="s">
        <v>1073</v>
      </c>
      <c r="N437" s="3" t="s">
        <v>1074</v>
      </c>
      <c r="O437" s="3"/>
      <c r="P437" s="3"/>
      <c r="Q437" s="3"/>
      <c r="R437" s="3" t="s">
        <v>1075</v>
      </c>
      <c r="S437" s="3" t="s">
        <v>1076</v>
      </c>
      <c r="T437" s="3" t="s">
        <v>483</v>
      </c>
      <c r="U437" s="11">
        <v>18</v>
      </c>
      <c r="V437" s="3" t="s">
        <v>774</v>
      </c>
      <c r="W437" s="8" t="s">
        <v>7834</v>
      </c>
    </row>
    <row r="438" spans="1:23" x14ac:dyDescent="0.25">
      <c r="A438" s="2">
        <v>210</v>
      </c>
      <c r="B438" s="3" t="s">
        <v>774</v>
      </c>
      <c r="C438" s="3">
        <v>2024</v>
      </c>
      <c r="D438" s="3" t="s">
        <v>240</v>
      </c>
      <c r="E438" s="3" t="s">
        <v>496</v>
      </c>
      <c r="F438" s="1" t="s">
        <v>7834</v>
      </c>
      <c r="G438" s="10"/>
      <c r="H438" s="10"/>
      <c r="I438" s="10"/>
      <c r="J438" s="10"/>
      <c r="K438" s="10"/>
      <c r="L438" s="3" t="s">
        <v>1013</v>
      </c>
      <c r="M438" s="3" t="s">
        <v>1014</v>
      </c>
      <c r="N438" s="3" t="s">
        <v>1015</v>
      </c>
      <c r="O438" s="3"/>
      <c r="P438" s="3"/>
      <c r="Q438" s="3"/>
      <c r="R438" s="3">
        <v>4</v>
      </c>
      <c r="S438" s="3" t="s">
        <v>1016</v>
      </c>
      <c r="T438" s="3" t="s">
        <v>483</v>
      </c>
      <c r="U438" s="11">
        <v>19</v>
      </c>
      <c r="V438" s="3" t="s">
        <v>774</v>
      </c>
      <c r="W438" s="8" t="s">
        <v>7834</v>
      </c>
    </row>
    <row r="439" spans="1:23" x14ac:dyDescent="0.25">
      <c r="A439" s="2">
        <v>257</v>
      </c>
      <c r="B439" s="3" t="s">
        <v>1126</v>
      </c>
      <c r="C439" s="3">
        <v>2024</v>
      </c>
      <c r="D439" s="3" t="s">
        <v>226</v>
      </c>
      <c r="E439" s="3" t="s">
        <v>15</v>
      </c>
      <c r="F439" s="1" t="s">
        <v>7834</v>
      </c>
      <c r="G439" s="10"/>
      <c r="H439" s="10"/>
      <c r="I439" s="10"/>
      <c r="J439" s="10"/>
      <c r="K439" s="10"/>
      <c r="L439" s="3" t="s">
        <v>1222</v>
      </c>
      <c r="M439" s="3" t="s">
        <v>1223</v>
      </c>
      <c r="N439" s="3" t="s">
        <v>1224</v>
      </c>
      <c r="O439" s="3"/>
      <c r="P439" s="3"/>
      <c r="Q439" s="3"/>
      <c r="R439" s="3" t="s">
        <v>1225</v>
      </c>
      <c r="S439" s="3" t="s">
        <v>1226</v>
      </c>
      <c r="T439" s="3" t="s">
        <v>483</v>
      </c>
      <c r="U439" s="11">
        <v>20</v>
      </c>
      <c r="V439" s="3" t="s">
        <v>1126</v>
      </c>
      <c r="W439" s="8" t="s">
        <v>7834</v>
      </c>
    </row>
    <row r="440" spans="1:23" x14ac:dyDescent="0.25">
      <c r="A440" s="2">
        <v>261</v>
      </c>
      <c r="B440" s="3" t="s">
        <v>1126</v>
      </c>
      <c r="C440" s="3">
        <v>2024</v>
      </c>
      <c r="D440" s="3" t="s">
        <v>415</v>
      </c>
      <c r="E440" s="3" t="s">
        <v>15</v>
      </c>
      <c r="F440" s="1" t="s">
        <v>7834</v>
      </c>
      <c r="G440" s="10"/>
      <c r="H440" s="10"/>
      <c r="I440" s="10"/>
      <c r="J440" s="10"/>
      <c r="K440" s="10"/>
      <c r="L440" s="3" t="s">
        <v>1241</v>
      </c>
      <c r="M440" s="3" t="s">
        <v>1242</v>
      </c>
      <c r="N440" s="3" t="s">
        <v>1224</v>
      </c>
      <c r="O440" s="3"/>
      <c r="P440" s="3"/>
      <c r="Q440" s="3"/>
      <c r="R440" s="3" t="s">
        <v>1225</v>
      </c>
      <c r="S440" s="3" t="s">
        <v>1243</v>
      </c>
      <c r="T440" s="3" t="s">
        <v>483</v>
      </c>
      <c r="U440" s="11">
        <v>21</v>
      </c>
      <c r="V440" s="3" t="s">
        <v>1126</v>
      </c>
      <c r="W440" s="8" t="s">
        <v>7834</v>
      </c>
    </row>
    <row r="441" spans="1:23" x14ac:dyDescent="0.25">
      <c r="A441" s="2">
        <v>312</v>
      </c>
      <c r="B441" s="3" t="s">
        <v>1126</v>
      </c>
      <c r="C441" s="3">
        <v>2024</v>
      </c>
      <c r="D441" s="3" t="s">
        <v>660</v>
      </c>
      <c r="E441" s="3" t="s">
        <v>15</v>
      </c>
      <c r="F441" s="1" t="s">
        <v>7834</v>
      </c>
      <c r="G441" s="10"/>
      <c r="H441" s="10"/>
      <c r="I441" s="10"/>
      <c r="J441" s="10"/>
      <c r="K441" s="10"/>
      <c r="L441" s="3" t="s">
        <v>1474</v>
      </c>
      <c r="M441" s="3" t="s">
        <v>1475</v>
      </c>
      <c r="N441" s="3" t="s">
        <v>1214</v>
      </c>
      <c r="O441" s="3">
        <v>49</v>
      </c>
      <c r="P441" s="3">
        <v>2</v>
      </c>
      <c r="Q441" s="3">
        <v>1</v>
      </c>
      <c r="R441" s="3" t="s">
        <v>1215</v>
      </c>
      <c r="S441" s="3" t="s">
        <v>1476</v>
      </c>
      <c r="T441" s="3" t="s">
        <v>483</v>
      </c>
      <c r="U441" s="11">
        <v>22</v>
      </c>
      <c r="V441" s="3" t="s">
        <v>1126</v>
      </c>
      <c r="W441" s="8" t="s">
        <v>7834</v>
      </c>
    </row>
    <row r="442" spans="1:23" x14ac:dyDescent="0.25">
      <c r="A442" s="2">
        <v>338</v>
      </c>
      <c r="B442" s="3" t="s">
        <v>1547</v>
      </c>
      <c r="C442" s="3">
        <v>2024</v>
      </c>
      <c r="D442" s="3" t="s">
        <v>1593</v>
      </c>
      <c r="E442" s="3" t="s">
        <v>15</v>
      </c>
      <c r="F442" s="1" t="s">
        <v>7834</v>
      </c>
      <c r="G442" s="10"/>
      <c r="H442" s="10"/>
      <c r="I442" s="10"/>
      <c r="J442" s="10"/>
      <c r="K442" s="10"/>
      <c r="L442" s="3" t="s">
        <v>1594</v>
      </c>
      <c r="M442" s="3" t="s">
        <v>1595</v>
      </c>
      <c r="N442" s="3" t="s">
        <v>1596</v>
      </c>
      <c r="O442" s="3"/>
      <c r="P442" s="3"/>
      <c r="Q442" s="3"/>
      <c r="R442" s="3" t="s">
        <v>1597</v>
      </c>
      <c r="S442" s="3" t="s">
        <v>1598</v>
      </c>
      <c r="T442" s="3" t="s">
        <v>483</v>
      </c>
      <c r="U442" s="11">
        <v>23</v>
      </c>
      <c r="V442" s="3" t="s">
        <v>1547</v>
      </c>
      <c r="W442" s="8" t="s">
        <v>7834</v>
      </c>
    </row>
    <row r="443" spans="1:23" x14ac:dyDescent="0.25">
      <c r="A443" s="2">
        <v>376</v>
      </c>
      <c r="B443" s="3" t="s">
        <v>1547</v>
      </c>
      <c r="C443" s="3">
        <v>2024</v>
      </c>
      <c r="D443" s="3" t="s">
        <v>495</v>
      </c>
      <c r="E443" s="3" t="s">
        <v>15</v>
      </c>
      <c r="F443" s="1" t="s">
        <v>7834</v>
      </c>
      <c r="G443" s="10"/>
      <c r="H443" s="10"/>
      <c r="I443" s="10"/>
      <c r="J443" s="10"/>
      <c r="K443" s="10"/>
      <c r="L443" s="3" t="s">
        <v>1772</v>
      </c>
      <c r="M443" s="3" t="s">
        <v>1773</v>
      </c>
      <c r="N443" s="3" t="s">
        <v>1774</v>
      </c>
      <c r="O443" s="3">
        <v>107</v>
      </c>
      <c r="P443" s="3"/>
      <c r="Q443" s="3"/>
      <c r="R443" s="3" t="s">
        <v>1775</v>
      </c>
      <c r="S443" s="3" t="s">
        <v>1776</v>
      </c>
      <c r="T443" s="3" t="s">
        <v>483</v>
      </c>
      <c r="U443" s="11">
        <v>24</v>
      </c>
      <c r="V443" s="3" t="s">
        <v>1547</v>
      </c>
      <c r="W443" s="8" t="s">
        <v>7834</v>
      </c>
    </row>
    <row r="444" spans="1:23" x14ac:dyDescent="0.25">
      <c r="A444" s="2">
        <v>380</v>
      </c>
      <c r="B444" s="3" t="s">
        <v>1547</v>
      </c>
      <c r="C444" s="3">
        <v>2024</v>
      </c>
      <c r="D444" s="3" t="s">
        <v>1788</v>
      </c>
      <c r="E444" s="3" t="s">
        <v>15</v>
      </c>
      <c r="F444" s="1" t="s">
        <v>7834</v>
      </c>
      <c r="G444" s="10"/>
      <c r="H444" s="10"/>
      <c r="I444" s="10"/>
      <c r="J444" s="10"/>
      <c r="K444" s="10"/>
      <c r="L444" s="3" t="s">
        <v>1789</v>
      </c>
      <c r="M444" s="3" t="s">
        <v>1790</v>
      </c>
      <c r="N444" s="3" t="s">
        <v>1791</v>
      </c>
      <c r="O444" s="3">
        <v>47</v>
      </c>
      <c r="P444" s="3"/>
      <c r="Q444" s="3"/>
      <c r="R444" s="3" t="s">
        <v>1792</v>
      </c>
      <c r="S444" s="3" t="s">
        <v>1722</v>
      </c>
      <c r="T444" s="3" t="s">
        <v>483</v>
      </c>
      <c r="U444" s="11">
        <v>25</v>
      </c>
      <c r="V444" s="3" t="s">
        <v>1547</v>
      </c>
      <c r="W444" s="8" t="s">
        <v>7834</v>
      </c>
    </row>
    <row r="445" spans="1:23" x14ac:dyDescent="0.25">
      <c r="A445" s="2">
        <v>400</v>
      </c>
      <c r="B445" s="3" t="s">
        <v>1547</v>
      </c>
      <c r="C445" s="3">
        <v>2024</v>
      </c>
      <c r="D445" s="3" t="s">
        <v>14</v>
      </c>
      <c r="E445" s="3" t="s">
        <v>15</v>
      </c>
      <c r="F445" s="1" t="s">
        <v>7834</v>
      </c>
      <c r="G445" s="10"/>
      <c r="H445" s="10"/>
      <c r="I445" s="10"/>
      <c r="J445" s="10"/>
      <c r="K445" s="10"/>
      <c r="L445" s="3" t="s">
        <v>1884</v>
      </c>
      <c r="M445" s="3" t="s">
        <v>1885</v>
      </c>
      <c r="N445" s="3" t="s">
        <v>1886</v>
      </c>
      <c r="O445" s="3">
        <v>41</v>
      </c>
      <c r="P445" s="3"/>
      <c r="Q445" s="3"/>
      <c r="R445" s="3" t="s">
        <v>1887</v>
      </c>
      <c r="S445" s="3" t="s">
        <v>1888</v>
      </c>
      <c r="T445" s="3" t="s">
        <v>483</v>
      </c>
      <c r="U445" s="11">
        <v>26</v>
      </c>
      <c r="V445" s="3" t="s">
        <v>1547</v>
      </c>
      <c r="W445" s="8" t="s">
        <v>7834</v>
      </c>
    </row>
    <row r="446" spans="1:23" x14ac:dyDescent="0.25">
      <c r="A446" s="2">
        <v>351</v>
      </c>
      <c r="B446" s="3" t="s">
        <v>1547</v>
      </c>
      <c r="C446" s="3">
        <v>2024</v>
      </c>
      <c r="D446" s="3" t="s">
        <v>22</v>
      </c>
      <c r="E446" s="3" t="s">
        <v>206</v>
      </c>
      <c r="F446" s="1" t="s">
        <v>7834</v>
      </c>
      <c r="G446" s="10"/>
      <c r="H446" s="10"/>
      <c r="I446" s="10"/>
      <c r="J446" s="10"/>
      <c r="K446" s="10"/>
      <c r="L446" s="3" t="s">
        <v>959</v>
      </c>
      <c r="M446" s="3" t="s">
        <v>1652</v>
      </c>
      <c r="N446" s="3" t="s">
        <v>961</v>
      </c>
      <c r="O446" s="3">
        <v>12</v>
      </c>
      <c r="P446" s="3"/>
      <c r="Q446" s="3"/>
      <c r="R446" s="3" t="s">
        <v>1653</v>
      </c>
      <c r="S446" s="3" t="s">
        <v>1654</v>
      </c>
      <c r="T446" s="3" t="s">
        <v>483</v>
      </c>
      <c r="U446" s="11">
        <v>27</v>
      </c>
      <c r="V446" s="3" t="s">
        <v>1547</v>
      </c>
      <c r="W446" s="8" t="s">
        <v>7834</v>
      </c>
    </row>
    <row r="447" spans="1:23" x14ac:dyDescent="0.25">
      <c r="A447" s="2">
        <v>504</v>
      </c>
      <c r="B447" s="3" t="s">
        <v>2234</v>
      </c>
      <c r="C447" s="3">
        <v>2024</v>
      </c>
      <c r="D447" s="3" t="s">
        <v>82</v>
      </c>
      <c r="E447" s="3" t="s">
        <v>15</v>
      </c>
      <c r="F447" s="1" t="s">
        <v>7834</v>
      </c>
      <c r="G447" s="10"/>
      <c r="H447" s="10"/>
      <c r="I447" s="10"/>
      <c r="J447" s="10"/>
      <c r="K447" s="10"/>
      <c r="L447" s="3" t="s">
        <v>2282</v>
      </c>
      <c r="M447" s="3" t="s">
        <v>2283</v>
      </c>
      <c r="N447" s="3" t="s">
        <v>2284</v>
      </c>
      <c r="O447" s="3">
        <v>598</v>
      </c>
      <c r="P447" s="3">
        <v>18</v>
      </c>
      <c r="Q447" s="3">
        <v>2225</v>
      </c>
      <c r="R447" s="3" t="s">
        <v>2285</v>
      </c>
      <c r="S447" s="3" t="s">
        <v>2286</v>
      </c>
      <c r="T447" s="3" t="s">
        <v>483</v>
      </c>
      <c r="U447" s="11">
        <v>28</v>
      </c>
      <c r="V447" s="3" t="s">
        <v>2234</v>
      </c>
      <c r="W447" s="8" t="s">
        <v>7834</v>
      </c>
    </row>
    <row r="448" spans="1:23" x14ac:dyDescent="0.25">
      <c r="A448" s="2">
        <v>508</v>
      </c>
      <c r="B448" s="3" t="s">
        <v>2234</v>
      </c>
      <c r="C448" s="3">
        <v>2024</v>
      </c>
      <c r="D448" s="3" t="s">
        <v>702</v>
      </c>
      <c r="E448" s="3" t="s">
        <v>15</v>
      </c>
      <c r="F448" s="1" t="s">
        <v>7834</v>
      </c>
      <c r="G448" s="10"/>
      <c r="H448" s="10"/>
      <c r="I448" s="10"/>
      <c r="J448" s="10"/>
      <c r="K448" s="10"/>
      <c r="L448" s="3" t="s">
        <v>2303</v>
      </c>
      <c r="M448" s="3" t="s">
        <v>2304</v>
      </c>
      <c r="N448" s="3" t="s">
        <v>2305</v>
      </c>
      <c r="O448" s="3">
        <v>63</v>
      </c>
      <c r="P448" s="3"/>
      <c r="Q448" s="3"/>
      <c r="R448" s="3" t="s">
        <v>2306</v>
      </c>
      <c r="S448" s="3" t="s">
        <v>2307</v>
      </c>
      <c r="T448" s="3" t="s">
        <v>483</v>
      </c>
      <c r="U448" s="11">
        <v>29</v>
      </c>
      <c r="V448" s="3" t="s">
        <v>2234</v>
      </c>
      <c r="W448" s="8" t="s">
        <v>7834</v>
      </c>
    </row>
    <row r="449" spans="1:23" x14ac:dyDescent="0.25">
      <c r="A449" s="2">
        <v>741</v>
      </c>
      <c r="B449" s="3" t="s">
        <v>3027</v>
      </c>
      <c r="C449" s="3">
        <v>2024</v>
      </c>
      <c r="D449" s="3" t="s">
        <v>75</v>
      </c>
      <c r="E449" s="3" t="s">
        <v>15</v>
      </c>
      <c r="F449" s="1" t="s">
        <v>7834</v>
      </c>
      <c r="G449" s="10"/>
      <c r="H449" s="10"/>
      <c r="I449" s="10"/>
      <c r="J449" s="10"/>
      <c r="K449" s="10"/>
      <c r="L449" s="3" t="s">
        <v>3100</v>
      </c>
      <c r="M449" s="3" t="s">
        <v>3101</v>
      </c>
      <c r="N449" s="3" t="s">
        <v>3102</v>
      </c>
      <c r="O449" s="3"/>
      <c r="P449" s="3"/>
      <c r="Q449" s="3"/>
      <c r="R449" s="3" t="s">
        <v>3103</v>
      </c>
      <c r="S449" s="3" t="s">
        <v>3104</v>
      </c>
      <c r="T449" s="3" t="s">
        <v>483</v>
      </c>
      <c r="U449" s="11">
        <v>30</v>
      </c>
      <c r="V449" s="3" t="s">
        <v>3027</v>
      </c>
      <c r="W449" s="8" t="s">
        <v>7834</v>
      </c>
    </row>
    <row r="450" spans="1:23" x14ac:dyDescent="0.25">
      <c r="A450" s="2">
        <v>751</v>
      </c>
      <c r="B450" s="3" t="s">
        <v>3131</v>
      </c>
      <c r="C450" s="3">
        <v>2024</v>
      </c>
      <c r="D450" s="3" t="s">
        <v>1395</v>
      </c>
      <c r="E450" s="3" t="s">
        <v>15</v>
      </c>
      <c r="F450" s="1" t="s">
        <v>7834</v>
      </c>
      <c r="G450" s="10"/>
      <c r="H450" s="10"/>
      <c r="I450" s="10"/>
      <c r="J450" s="10"/>
      <c r="K450" s="10"/>
      <c r="L450" s="3" t="s">
        <v>3139</v>
      </c>
      <c r="M450" s="3" t="s">
        <v>3140</v>
      </c>
      <c r="N450" s="3" t="s">
        <v>3141</v>
      </c>
      <c r="O450" s="3">
        <v>52</v>
      </c>
      <c r="P450" s="3">
        <v>2</v>
      </c>
      <c r="Q450" s="3">
        <v>220</v>
      </c>
      <c r="R450" s="3" t="s">
        <v>3142</v>
      </c>
      <c r="S450" s="3" t="s">
        <v>3143</v>
      </c>
      <c r="T450" s="3" t="s">
        <v>483</v>
      </c>
      <c r="U450" s="11">
        <v>31</v>
      </c>
      <c r="V450" s="3" t="s">
        <v>3131</v>
      </c>
      <c r="W450" s="8" t="s">
        <v>7834</v>
      </c>
    </row>
    <row r="451" spans="1:23" x14ac:dyDescent="0.25">
      <c r="A451" s="2">
        <v>793</v>
      </c>
      <c r="B451" s="3" t="s">
        <v>3295</v>
      </c>
      <c r="C451" s="3">
        <v>2024</v>
      </c>
      <c r="D451" s="3" t="s">
        <v>3213</v>
      </c>
      <c r="E451" s="3" t="s">
        <v>15</v>
      </c>
      <c r="F451" s="1" t="s">
        <v>7834</v>
      </c>
      <c r="G451" s="10"/>
      <c r="H451" s="10"/>
      <c r="I451" s="10"/>
      <c r="J451" s="10"/>
      <c r="K451" s="10"/>
      <c r="L451" s="3" t="s">
        <v>3328</v>
      </c>
      <c r="M451" s="3" t="s">
        <v>3329</v>
      </c>
      <c r="N451" s="3" t="s">
        <v>3330</v>
      </c>
      <c r="O451" s="3"/>
      <c r="P451" s="3"/>
      <c r="Q451" s="3"/>
      <c r="R451" s="3" t="s">
        <v>3331</v>
      </c>
      <c r="S451" s="3" t="s">
        <v>3331</v>
      </c>
      <c r="T451" s="3" t="s">
        <v>483</v>
      </c>
      <c r="U451" s="11">
        <v>32</v>
      </c>
      <c r="V451" s="3" t="s">
        <v>3295</v>
      </c>
      <c r="W451" s="8" t="s">
        <v>7834</v>
      </c>
    </row>
    <row r="452" spans="1:23" x14ac:dyDescent="0.25">
      <c r="A452" s="2">
        <v>821</v>
      </c>
      <c r="B452" s="3" t="s">
        <v>3295</v>
      </c>
      <c r="C452" s="3">
        <v>2024</v>
      </c>
      <c r="D452" s="3" t="s">
        <v>1067</v>
      </c>
      <c r="E452" s="3" t="s">
        <v>15</v>
      </c>
      <c r="F452" s="1" t="s">
        <v>7834</v>
      </c>
      <c r="G452" s="10"/>
      <c r="H452" s="10"/>
      <c r="I452" s="10"/>
      <c r="J452" s="10"/>
      <c r="K452" s="10"/>
      <c r="L452" s="3" t="s">
        <v>3445</v>
      </c>
      <c r="M452" s="3" t="s">
        <v>3446</v>
      </c>
      <c r="N452" s="3" t="s">
        <v>3447</v>
      </c>
      <c r="O452" s="3"/>
      <c r="P452" s="3"/>
      <c r="Q452" s="3"/>
      <c r="R452" s="3" t="s">
        <v>3448</v>
      </c>
      <c r="S452" s="3" t="s">
        <v>3449</v>
      </c>
      <c r="T452" s="3" t="s">
        <v>483</v>
      </c>
      <c r="U452" s="11">
        <v>33</v>
      </c>
      <c r="V452" s="3" t="s">
        <v>3295</v>
      </c>
      <c r="W452" s="8" t="s">
        <v>7834</v>
      </c>
    </row>
    <row r="453" spans="1:23" x14ac:dyDescent="0.25">
      <c r="A453" s="2">
        <v>822</v>
      </c>
      <c r="B453" s="3" t="s">
        <v>3295</v>
      </c>
      <c r="C453" s="3">
        <v>2024</v>
      </c>
      <c r="D453" s="3" t="s">
        <v>3450</v>
      </c>
      <c r="E453" s="3" t="s">
        <v>15</v>
      </c>
      <c r="F453" s="1" t="s">
        <v>7834</v>
      </c>
      <c r="G453" s="10"/>
      <c r="H453" s="10"/>
      <c r="I453" s="10"/>
      <c r="J453" s="10"/>
      <c r="K453" s="10"/>
      <c r="L453" s="3" t="s">
        <v>3451</v>
      </c>
      <c r="M453" s="3" t="s">
        <v>3452</v>
      </c>
      <c r="N453" s="3" t="s">
        <v>3453</v>
      </c>
      <c r="O453" s="3"/>
      <c r="P453" s="3"/>
      <c r="Q453" s="3"/>
      <c r="R453" s="3" t="s">
        <v>3454</v>
      </c>
      <c r="S453" s="3" t="s">
        <v>3455</v>
      </c>
      <c r="T453" s="3" t="s">
        <v>483</v>
      </c>
      <c r="U453" s="11">
        <v>34</v>
      </c>
      <c r="V453" s="3" t="s">
        <v>3295</v>
      </c>
      <c r="W453" s="8" t="s">
        <v>7834</v>
      </c>
    </row>
    <row r="454" spans="1:23" x14ac:dyDescent="0.25">
      <c r="A454" s="2">
        <v>828</v>
      </c>
      <c r="B454" s="3" t="s">
        <v>3295</v>
      </c>
      <c r="C454" s="3">
        <v>2024</v>
      </c>
      <c r="D454" s="3" t="s">
        <v>742</v>
      </c>
      <c r="E454" s="3" t="s">
        <v>15</v>
      </c>
      <c r="F454" s="1" t="s">
        <v>7834</v>
      </c>
      <c r="G454" s="10"/>
      <c r="H454" s="10"/>
      <c r="I454" s="10"/>
      <c r="J454" s="10"/>
      <c r="K454" s="10"/>
      <c r="L454" s="3" t="s">
        <v>3478</v>
      </c>
      <c r="M454" s="3" t="s">
        <v>3479</v>
      </c>
      <c r="N454" s="3" t="s">
        <v>3480</v>
      </c>
      <c r="O454" s="3"/>
      <c r="P454" s="3"/>
      <c r="Q454" s="3"/>
      <c r="R454" s="3" t="s">
        <v>3481</v>
      </c>
      <c r="S454" s="3" t="s">
        <v>3482</v>
      </c>
      <c r="T454" s="3" t="s">
        <v>483</v>
      </c>
      <c r="U454" s="11">
        <v>35</v>
      </c>
      <c r="V454" s="3" t="s">
        <v>3295</v>
      </c>
      <c r="W454" s="8" t="s">
        <v>7834</v>
      </c>
    </row>
    <row r="455" spans="1:23" x14ac:dyDescent="0.25">
      <c r="A455" s="2">
        <v>853</v>
      </c>
      <c r="B455" s="3" t="s">
        <v>3552</v>
      </c>
      <c r="C455" s="3">
        <v>2024</v>
      </c>
      <c r="D455" s="3" t="s">
        <v>38</v>
      </c>
      <c r="E455" s="3" t="s">
        <v>15</v>
      </c>
      <c r="F455" s="1" t="s">
        <v>7834</v>
      </c>
      <c r="G455" s="10"/>
      <c r="H455" s="10"/>
      <c r="I455" s="10"/>
      <c r="J455" s="10"/>
      <c r="K455" s="10"/>
      <c r="L455" s="3" t="s">
        <v>3585</v>
      </c>
      <c r="M455" s="3" t="s">
        <v>3586</v>
      </c>
      <c r="N455" s="3" t="s">
        <v>3587</v>
      </c>
      <c r="O455" s="3"/>
      <c r="P455" s="3"/>
      <c r="Q455" s="3"/>
      <c r="R455" s="3" t="s">
        <v>3588</v>
      </c>
      <c r="S455" s="3" t="s">
        <v>3589</v>
      </c>
      <c r="T455" s="3" t="s">
        <v>483</v>
      </c>
      <c r="U455" s="11">
        <v>36</v>
      </c>
      <c r="V455" s="3" t="s">
        <v>3552</v>
      </c>
      <c r="W455" s="8" t="s">
        <v>7834</v>
      </c>
    </row>
    <row r="456" spans="1:23" x14ac:dyDescent="0.25">
      <c r="A456" s="2">
        <v>873</v>
      </c>
      <c r="B456" s="3" t="s">
        <v>3552</v>
      </c>
      <c r="C456" s="3">
        <v>2024</v>
      </c>
      <c r="D456" s="3" t="s">
        <v>3680</v>
      </c>
      <c r="E456" s="3" t="s">
        <v>15</v>
      </c>
      <c r="F456" s="1" t="s">
        <v>7834</v>
      </c>
      <c r="G456" s="10"/>
      <c r="H456" s="10"/>
      <c r="I456" s="10"/>
      <c r="J456" s="10"/>
      <c r="K456" s="10"/>
      <c r="L456" s="3" t="s">
        <v>3681</v>
      </c>
      <c r="M456" s="3" t="s">
        <v>3682</v>
      </c>
      <c r="N456" s="3" t="s">
        <v>3480</v>
      </c>
      <c r="O456" s="3"/>
      <c r="P456" s="3"/>
      <c r="Q456" s="3"/>
      <c r="R456" s="3" t="s">
        <v>3481</v>
      </c>
      <c r="S456" s="3" t="s">
        <v>3683</v>
      </c>
      <c r="T456" s="3" t="s">
        <v>483</v>
      </c>
      <c r="U456" s="11">
        <v>37</v>
      </c>
      <c r="V456" s="3" t="s">
        <v>3552</v>
      </c>
      <c r="W456" s="8" t="s">
        <v>7834</v>
      </c>
    </row>
    <row r="457" spans="1:23" x14ac:dyDescent="0.25">
      <c r="A457" s="2">
        <v>879</v>
      </c>
      <c r="B457" s="3" t="s">
        <v>3552</v>
      </c>
      <c r="C457" s="3">
        <v>2024</v>
      </c>
      <c r="D457" s="3" t="s">
        <v>1945</v>
      </c>
      <c r="E457" s="3" t="s">
        <v>15</v>
      </c>
      <c r="F457" s="1" t="s">
        <v>7834</v>
      </c>
      <c r="G457" s="10"/>
      <c r="H457" s="10"/>
      <c r="I457" s="10"/>
      <c r="J457" s="10"/>
      <c r="K457" s="10"/>
      <c r="L457" s="3" t="s">
        <v>3707</v>
      </c>
      <c r="M457" s="3" t="s">
        <v>3708</v>
      </c>
      <c r="N457" s="3" t="s">
        <v>3709</v>
      </c>
      <c r="O457" s="3"/>
      <c r="P457" s="3"/>
      <c r="Q457" s="3"/>
      <c r="R457" s="3" t="s">
        <v>3710</v>
      </c>
      <c r="S457" s="3" t="s">
        <v>3711</v>
      </c>
      <c r="T457" s="3" t="s">
        <v>483</v>
      </c>
      <c r="U457" s="11">
        <v>38</v>
      </c>
      <c r="V457" s="3" t="s">
        <v>3552</v>
      </c>
      <c r="W457" s="8" t="s">
        <v>7834</v>
      </c>
    </row>
    <row r="458" spans="1:23" x14ac:dyDescent="0.25">
      <c r="A458" s="2">
        <v>923</v>
      </c>
      <c r="B458" s="3" t="s">
        <v>3826</v>
      </c>
      <c r="C458" s="3">
        <v>2024</v>
      </c>
      <c r="D458" s="3" t="s">
        <v>3724</v>
      </c>
      <c r="E458" s="3" t="s">
        <v>15</v>
      </c>
      <c r="F458" s="1" t="s">
        <v>7834</v>
      </c>
      <c r="G458" s="10"/>
      <c r="H458" s="10"/>
      <c r="I458" s="10"/>
      <c r="J458" s="10"/>
      <c r="K458" s="10"/>
      <c r="L458" s="3" t="s">
        <v>3900</v>
      </c>
      <c r="M458" s="3" t="s">
        <v>3901</v>
      </c>
      <c r="N458" s="3" t="s">
        <v>3902</v>
      </c>
      <c r="O458" s="3">
        <v>52</v>
      </c>
      <c r="P458" s="3"/>
      <c r="Q458" s="3">
        <v>473</v>
      </c>
      <c r="R458" s="3" t="s">
        <v>3903</v>
      </c>
      <c r="S458" s="3" t="s">
        <v>3904</v>
      </c>
      <c r="T458" s="3" t="s">
        <v>483</v>
      </c>
      <c r="U458" s="11">
        <v>39</v>
      </c>
      <c r="V458" s="3" t="s">
        <v>3826</v>
      </c>
      <c r="W458" s="8" t="s">
        <v>7834</v>
      </c>
    </row>
    <row r="459" spans="1:23" x14ac:dyDescent="0.25">
      <c r="A459" s="2">
        <v>998</v>
      </c>
      <c r="B459" s="3" t="s">
        <v>4166</v>
      </c>
      <c r="C459" s="3">
        <v>2024</v>
      </c>
      <c r="D459" s="3" t="s">
        <v>557</v>
      </c>
      <c r="E459" s="3" t="s">
        <v>15</v>
      </c>
      <c r="F459" s="1" t="s">
        <v>7834</v>
      </c>
      <c r="G459" s="10"/>
      <c r="H459" s="10"/>
      <c r="I459" s="10"/>
      <c r="J459" s="10"/>
      <c r="K459" s="10"/>
      <c r="L459" s="3" t="s">
        <v>4223</v>
      </c>
      <c r="M459" s="3" t="s">
        <v>4224</v>
      </c>
      <c r="N459" s="3" t="s">
        <v>4225</v>
      </c>
      <c r="O459" s="3">
        <v>0</v>
      </c>
      <c r="P459" s="3">
        <v>0</v>
      </c>
      <c r="Q459" s="3">
        <v>1</v>
      </c>
      <c r="R459" s="3" t="s">
        <v>4226</v>
      </c>
      <c r="S459" s="3" t="s">
        <v>4227</v>
      </c>
      <c r="T459" s="3" t="s">
        <v>483</v>
      </c>
      <c r="U459" s="11">
        <v>40</v>
      </c>
      <c r="V459" s="3" t="s">
        <v>4166</v>
      </c>
      <c r="W459" s="8" t="s">
        <v>7834</v>
      </c>
    </row>
    <row r="460" spans="1:23" x14ac:dyDescent="0.25">
      <c r="A460" s="2">
        <v>1001</v>
      </c>
      <c r="B460" s="3" t="s">
        <v>4166</v>
      </c>
      <c r="C460" s="3">
        <v>2024</v>
      </c>
      <c r="D460" s="3" t="s">
        <v>2287</v>
      </c>
      <c r="E460" s="3" t="s">
        <v>15</v>
      </c>
      <c r="F460" s="1" t="s">
        <v>7834</v>
      </c>
      <c r="G460" s="10"/>
      <c r="H460" s="10"/>
      <c r="I460" s="10"/>
      <c r="J460" s="10"/>
      <c r="K460" s="10"/>
      <c r="L460" s="3" t="s">
        <v>4239</v>
      </c>
      <c r="M460" s="3" t="s">
        <v>4240</v>
      </c>
      <c r="N460" s="3" t="s">
        <v>4241</v>
      </c>
      <c r="O460" s="3"/>
      <c r="P460" s="3"/>
      <c r="Q460" s="3">
        <v>1305</v>
      </c>
      <c r="R460" s="3" t="s">
        <v>4242</v>
      </c>
      <c r="S460" s="3" t="s">
        <v>4243</v>
      </c>
      <c r="T460" s="3" t="s">
        <v>483</v>
      </c>
      <c r="U460" s="11">
        <v>41</v>
      </c>
      <c r="V460" s="3" t="s">
        <v>4166</v>
      </c>
      <c r="W460" s="8" t="s">
        <v>7834</v>
      </c>
    </row>
    <row r="461" spans="1:23" x14ac:dyDescent="0.25">
      <c r="A461" s="2">
        <v>1004</v>
      </c>
      <c r="B461" s="3" t="s">
        <v>4166</v>
      </c>
      <c r="C461" s="3">
        <v>2024</v>
      </c>
      <c r="D461" s="3" t="s">
        <v>2626</v>
      </c>
      <c r="E461" s="3" t="s">
        <v>15</v>
      </c>
      <c r="F461" s="1" t="s">
        <v>7834</v>
      </c>
      <c r="G461" s="10"/>
      <c r="H461" s="10"/>
      <c r="I461" s="10"/>
      <c r="J461" s="10"/>
      <c r="K461" s="10"/>
      <c r="L461" s="3" t="s">
        <v>4253</v>
      </c>
      <c r="M461" s="3" t="s">
        <v>4254</v>
      </c>
      <c r="N461" s="3" t="s">
        <v>4225</v>
      </c>
      <c r="O461" s="3"/>
      <c r="P461" s="3"/>
      <c r="Q461" s="3">
        <v>1</v>
      </c>
      <c r="R461" s="3" t="s">
        <v>4226</v>
      </c>
      <c r="S461" s="3" t="s">
        <v>4255</v>
      </c>
      <c r="T461" s="3" t="s">
        <v>483</v>
      </c>
      <c r="U461" s="11">
        <v>42</v>
      </c>
      <c r="V461" s="3" t="s">
        <v>4166</v>
      </c>
      <c r="W461" s="8" t="s">
        <v>7834</v>
      </c>
    </row>
    <row r="462" spans="1:23" x14ac:dyDescent="0.25">
      <c r="A462" s="2">
        <v>1018</v>
      </c>
      <c r="B462" s="3" t="s">
        <v>4166</v>
      </c>
      <c r="C462" s="3">
        <v>2024</v>
      </c>
      <c r="D462" s="3" t="s">
        <v>822</v>
      </c>
      <c r="E462" s="3" t="s">
        <v>15</v>
      </c>
      <c r="F462" s="1" t="s">
        <v>7834</v>
      </c>
      <c r="G462" s="10"/>
      <c r="H462" s="10"/>
      <c r="I462" s="10"/>
      <c r="J462" s="10"/>
      <c r="K462" s="10"/>
      <c r="L462" s="3" t="s">
        <v>4320</v>
      </c>
      <c r="M462" s="3" t="s">
        <v>4321</v>
      </c>
      <c r="N462" s="3" t="s">
        <v>4322</v>
      </c>
      <c r="O462" s="3">
        <v>151</v>
      </c>
      <c r="P462" s="3">
        <v>11</v>
      </c>
      <c r="Q462" s="3">
        <v>1506</v>
      </c>
      <c r="R462" s="3" t="s">
        <v>4323</v>
      </c>
      <c r="S462" s="3">
        <v>0</v>
      </c>
      <c r="T462" s="3" t="s">
        <v>483</v>
      </c>
      <c r="U462" s="11">
        <v>43</v>
      </c>
      <c r="V462" s="3" t="s">
        <v>4166</v>
      </c>
      <c r="W462" s="8" t="s">
        <v>7834</v>
      </c>
    </row>
    <row r="463" spans="1:23" x14ac:dyDescent="0.25">
      <c r="A463" s="2">
        <v>1019</v>
      </c>
      <c r="B463" s="3" t="s">
        <v>4166</v>
      </c>
      <c r="C463" s="3">
        <v>2024</v>
      </c>
      <c r="D463" s="3" t="s">
        <v>2051</v>
      </c>
      <c r="E463" s="3" t="s">
        <v>15</v>
      </c>
      <c r="F463" s="1" t="s">
        <v>7834</v>
      </c>
      <c r="G463" s="10"/>
      <c r="H463" s="10"/>
      <c r="I463" s="10"/>
      <c r="J463" s="10"/>
      <c r="K463" s="10"/>
      <c r="L463" s="3" t="s">
        <v>4324</v>
      </c>
      <c r="M463" s="3" t="s">
        <v>4325</v>
      </c>
      <c r="N463" s="3" t="s">
        <v>4322</v>
      </c>
      <c r="O463" s="3">
        <v>151</v>
      </c>
      <c r="P463" s="3">
        <v>8</v>
      </c>
      <c r="Q463" s="3">
        <v>1028</v>
      </c>
      <c r="R463" s="3" t="s">
        <v>4326</v>
      </c>
      <c r="S463" s="3">
        <v>0</v>
      </c>
      <c r="T463" s="3" t="s">
        <v>483</v>
      </c>
      <c r="U463" s="11">
        <v>44</v>
      </c>
      <c r="V463" s="3" t="s">
        <v>4166</v>
      </c>
      <c r="W463" s="8" t="s">
        <v>7834</v>
      </c>
    </row>
    <row r="464" spans="1:23" x14ac:dyDescent="0.25">
      <c r="A464" s="2">
        <v>1029</v>
      </c>
      <c r="B464" s="3" t="s">
        <v>4166</v>
      </c>
      <c r="C464" s="3">
        <v>2024</v>
      </c>
      <c r="D464" s="3" t="s">
        <v>2004</v>
      </c>
      <c r="E464" s="3" t="s">
        <v>15</v>
      </c>
      <c r="F464" s="1" t="s">
        <v>7834</v>
      </c>
      <c r="G464" s="10"/>
      <c r="H464" s="10"/>
      <c r="I464" s="10"/>
      <c r="J464" s="10"/>
      <c r="K464" s="10"/>
      <c r="L464" s="3" t="s">
        <v>4366</v>
      </c>
      <c r="M464" s="3" t="s">
        <v>4367</v>
      </c>
      <c r="N464" s="3" t="s">
        <v>4368</v>
      </c>
      <c r="O464" s="3">
        <v>31</v>
      </c>
      <c r="P464" s="3">
        <v>3</v>
      </c>
      <c r="Q464" s="3">
        <v>1</v>
      </c>
      <c r="R464" s="3" t="s">
        <v>4369</v>
      </c>
      <c r="S464" s="3" t="s">
        <v>4370</v>
      </c>
      <c r="T464" s="3" t="s">
        <v>483</v>
      </c>
      <c r="U464" s="11">
        <v>45</v>
      </c>
      <c r="V464" s="3" t="s">
        <v>4166</v>
      </c>
      <c r="W464" s="8" t="s">
        <v>7834</v>
      </c>
    </row>
    <row r="465" spans="1:23" x14ac:dyDescent="0.25">
      <c r="A465" s="2">
        <v>1030</v>
      </c>
      <c r="B465" s="3" t="s">
        <v>4166</v>
      </c>
      <c r="C465" s="3">
        <v>2024</v>
      </c>
      <c r="D465" s="3" t="s">
        <v>660</v>
      </c>
      <c r="E465" s="3" t="s">
        <v>15</v>
      </c>
      <c r="F465" s="1" t="s">
        <v>7834</v>
      </c>
      <c r="G465" s="10"/>
      <c r="H465" s="10"/>
      <c r="I465" s="10"/>
      <c r="J465" s="10"/>
      <c r="K465" s="10"/>
      <c r="L465" s="3" t="s">
        <v>4371</v>
      </c>
      <c r="M465" s="3" t="s">
        <v>4372</v>
      </c>
      <c r="N465" s="3" t="s">
        <v>4373</v>
      </c>
      <c r="O465" s="3">
        <v>21</v>
      </c>
      <c r="P465" s="3">
        <v>2</v>
      </c>
      <c r="Q465" s="3" t="s">
        <v>4374</v>
      </c>
      <c r="R465" s="3" t="s">
        <v>4375</v>
      </c>
      <c r="S465" s="3" t="s">
        <v>4376</v>
      </c>
      <c r="T465" s="3" t="s">
        <v>483</v>
      </c>
      <c r="U465" s="11">
        <v>46</v>
      </c>
      <c r="V465" s="3" t="s">
        <v>4166</v>
      </c>
      <c r="W465" s="8" t="s">
        <v>7834</v>
      </c>
    </row>
    <row r="466" spans="1:23" x14ac:dyDescent="0.25">
      <c r="A466" s="2">
        <v>1031</v>
      </c>
      <c r="B466" s="3" t="s">
        <v>4166</v>
      </c>
      <c r="C466" s="3">
        <v>2024</v>
      </c>
      <c r="D466" s="3" t="s">
        <v>3114</v>
      </c>
      <c r="E466" s="3" t="s">
        <v>15</v>
      </c>
      <c r="F466" s="1" t="s">
        <v>7834</v>
      </c>
      <c r="G466" s="10"/>
      <c r="H466" s="10"/>
      <c r="I466" s="10"/>
      <c r="J466" s="10"/>
      <c r="K466" s="10"/>
      <c r="L466" s="3" t="s">
        <v>4377</v>
      </c>
      <c r="M466" s="3" t="s">
        <v>4378</v>
      </c>
      <c r="N466" s="3" t="s">
        <v>4322</v>
      </c>
      <c r="O466" s="3">
        <v>152</v>
      </c>
      <c r="P466" s="3">
        <v>1</v>
      </c>
      <c r="Q466" s="3">
        <v>99</v>
      </c>
      <c r="R466" s="3" t="s">
        <v>4323</v>
      </c>
      <c r="S466" s="3">
        <v>0</v>
      </c>
      <c r="T466" s="3" t="s">
        <v>483</v>
      </c>
      <c r="U466" s="11">
        <v>47</v>
      </c>
      <c r="V466" s="3" t="s">
        <v>4166</v>
      </c>
      <c r="W466" s="8" t="s">
        <v>7834</v>
      </c>
    </row>
    <row r="467" spans="1:23" x14ac:dyDescent="0.25">
      <c r="A467" s="2">
        <v>1033</v>
      </c>
      <c r="B467" s="3" t="s">
        <v>4166</v>
      </c>
      <c r="C467" s="3">
        <v>2024</v>
      </c>
      <c r="D467" s="3" t="s">
        <v>691</v>
      </c>
      <c r="E467" s="3" t="s">
        <v>15</v>
      </c>
      <c r="F467" s="1" t="s">
        <v>7834</v>
      </c>
      <c r="G467" s="10"/>
      <c r="H467" s="10"/>
      <c r="I467" s="10"/>
      <c r="J467" s="10"/>
      <c r="K467" s="10"/>
      <c r="L467" s="3" t="s">
        <v>692</v>
      </c>
      <c r="M467" s="3" t="s">
        <v>4384</v>
      </c>
      <c r="N467" s="3" t="s">
        <v>694</v>
      </c>
      <c r="O467" s="3">
        <v>61</v>
      </c>
      <c r="P467" s="3"/>
      <c r="Q467" s="3">
        <v>1</v>
      </c>
      <c r="R467" s="3" t="s">
        <v>695</v>
      </c>
      <c r="S467" s="3" t="s">
        <v>696</v>
      </c>
      <c r="T467" s="3" t="s">
        <v>483</v>
      </c>
      <c r="U467" s="11">
        <v>48</v>
      </c>
      <c r="V467" s="3" t="s">
        <v>4166</v>
      </c>
      <c r="W467" s="8" t="s">
        <v>7834</v>
      </c>
    </row>
    <row r="468" spans="1:23" x14ac:dyDescent="0.25">
      <c r="A468" s="2">
        <v>1052</v>
      </c>
      <c r="B468" s="3" t="s">
        <v>4166</v>
      </c>
      <c r="C468" s="3">
        <v>2024</v>
      </c>
      <c r="D468" s="3" t="s">
        <v>4468</v>
      </c>
      <c r="E468" s="3" t="s">
        <v>15</v>
      </c>
      <c r="F468" s="1" t="s">
        <v>7834</v>
      </c>
      <c r="G468" s="10"/>
      <c r="H468" s="10"/>
      <c r="I468" s="10"/>
      <c r="J468" s="10"/>
      <c r="K468" s="10"/>
      <c r="L468" s="3" t="s">
        <v>4469</v>
      </c>
      <c r="M468" s="3" t="s">
        <v>4470</v>
      </c>
      <c r="N468" s="3" t="s">
        <v>4471</v>
      </c>
      <c r="O468" s="3"/>
      <c r="P468" s="3"/>
      <c r="Q468" s="3">
        <v>1</v>
      </c>
      <c r="R468" s="3" t="s">
        <v>4472</v>
      </c>
      <c r="S468" s="3" t="s">
        <v>4473</v>
      </c>
      <c r="T468" s="3" t="s">
        <v>483</v>
      </c>
      <c r="U468" s="11">
        <v>49</v>
      </c>
      <c r="V468" s="3" t="s">
        <v>4166</v>
      </c>
      <c r="W468" s="8" t="s">
        <v>7834</v>
      </c>
    </row>
    <row r="469" spans="1:23" x14ac:dyDescent="0.25">
      <c r="A469" s="2">
        <v>1060</v>
      </c>
      <c r="B469" s="3" t="s">
        <v>4166</v>
      </c>
      <c r="C469" s="3">
        <v>2024</v>
      </c>
      <c r="D469" s="3" t="s">
        <v>3028</v>
      </c>
      <c r="E469" s="3" t="s">
        <v>15</v>
      </c>
      <c r="F469" s="1" t="s">
        <v>7834</v>
      </c>
      <c r="G469" s="10"/>
      <c r="H469" s="10"/>
      <c r="I469" s="10"/>
      <c r="J469" s="10"/>
      <c r="K469" s="10"/>
      <c r="L469" s="3" t="s">
        <v>4508</v>
      </c>
      <c r="M469" s="3" t="s">
        <v>4509</v>
      </c>
      <c r="N469" s="3" t="s">
        <v>4510</v>
      </c>
      <c r="O469" s="3"/>
      <c r="P469" s="3">
        <v>54</v>
      </c>
      <c r="Q469" s="3">
        <v>214</v>
      </c>
      <c r="R469" s="3" t="s">
        <v>4511</v>
      </c>
      <c r="S469" s="3" t="s">
        <v>4512</v>
      </c>
      <c r="T469" s="3" t="s">
        <v>483</v>
      </c>
      <c r="U469" s="11">
        <v>50</v>
      </c>
      <c r="V469" s="3" t="s">
        <v>4166</v>
      </c>
      <c r="W469" s="8" t="s">
        <v>7834</v>
      </c>
    </row>
    <row r="470" spans="1:23" x14ac:dyDescent="0.25">
      <c r="A470" s="2">
        <v>991</v>
      </c>
      <c r="B470" s="3" t="s">
        <v>4166</v>
      </c>
      <c r="C470" s="3">
        <v>2024</v>
      </c>
      <c r="D470" s="3" t="s">
        <v>1252</v>
      </c>
      <c r="E470" s="3" t="s">
        <v>206</v>
      </c>
      <c r="F470" s="1" t="s">
        <v>7834</v>
      </c>
      <c r="G470" s="10"/>
      <c r="H470" s="10"/>
      <c r="I470" s="10"/>
      <c r="J470" s="10"/>
      <c r="K470" s="10"/>
      <c r="L470" s="3" t="s">
        <v>4193</v>
      </c>
      <c r="M470" s="3" t="s">
        <v>4194</v>
      </c>
      <c r="N470" s="3" t="s">
        <v>4195</v>
      </c>
      <c r="O470" s="3">
        <v>33</v>
      </c>
      <c r="P470" s="3">
        <v>2</v>
      </c>
      <c r="Q470" s="3">
        <v>1</v>
      </c>
      <c r="R470" s="3" t="s">
        <v>4196</v>
      </c>
      <c r="S470" s="3" t="s">
        <v>4197</v>
      </c>
      <c r="T470" s="3" t="s">
        <v>483</v>
      </c>
      <c r="U470" s="11">
        <v>51</v>
      </c>
      <c r="V470" s="3" t="s">
        <v>4166</v>
      </c>
      <c r="W470" s="8" t="s">
        <v>7834</v>
      </c>
    </row>
    <row r="471" spans="1:23" x14ac:dyDescent="0.25">
      <c r="A471" s="2">
        <v>992</v>
      </c>
      <c r="B471" s="3" t="s">
        <v>4166</v>
      </c>
      <c r="C471" s="3">
        <v>2024</v>
      </c>
      <c r="D471" s="3" t="s">
        <v>2374</v>
      </c>
      <c r="E471" s="3" t="s">
        <v>206</v>
      </c>
      <c r="F471" s="1" t="s">
        <v>7834</v>
      </c>
      <c r="G471" s="10"/>
      <c r="H471" s="10"/>
      <c r="I471" s="10"/>
      <c r="J471" s="10"/>
      <c r="K471" s="10"/>
      <c r="L471" s="3" t="s">
        <v>4198</v>
      </c>
      <c r="M471" s="3" t="s">
        <v>4199</v>
      </c>
      <c r="N471" s="3" t="s">
        <v>4195</v>
      </c>
      <c r="O471" s="3">
        <v>33</v>
      </c>
      <c r="P471" s="3">
        <v>2</v>
      </c>
      <c r="Q471" s="3">
        <v>1</v>
      </c>
      <c r="R471" s="3" t="s">
        <v>4196</v>
      </c>
      <c r="S471" s="3" t="s">
        <v>4200</v>
      </c>
      <c r="T471" s="3" t="s">
        <v>483</v>
      </c>
      <c r="U471" s="11">
        <v>52</v>
      </c>
      <c r="V471" s="3" t="s">
        <v>4166</v>
      </c>
      <c r="W471" s="8" t="s">
        <v>7834</v>
      </c>
    </row>
    <row r="472" spans="1:23" x14ac:dyDescent="0.25">
      <c r="A472" s="2">
        <v>994</v>
      </c>
      <c r="B472" s="3" t="s">
        <v>4166</v>
      </c>
      <c r="C472" s="3">
        <v>2024</v>
      </c>
      <c r="D472" s="3" t="s">
        <v>1252</v>
      </c>
      <c r="E472" s="3" t="s">
        <v>206</v>
      </c>
      <c r="F472" s="1" t="s">
        <v>7834</v>
      </c>
      <c r="G472" s="10"/>
      <c r="H472" s="10"/>
      <c r="I472" s="10"/>
      <c r="J472" s="10"/>
      <c r="K472" s="10"/>
      <c r="L472" s="3" t="s">
        <v>4206</v>
      </c>
      <c r="M472" s="3" t="s">
        <v>4207</v>
      </c>
      <c r="N472" s="3" t="s">
        <v>4195</v>
      </c>
      <c r="O472" s="3">
        <v>33</v>
      </c>
      <c r="P472" s="3">
        <v>2</v>
      </c>
      <c r="Q472" s="3">
        <v>1</v>
      </c>
      <c r="R472" s="3" t="s">
        <v>4196</v>
      </c>
      <c r="S472" s="3" t="s">
        <v>4208</v>
      </c>
      <c r="T472" s="3" t="s">
        <v>483</v>
      </c>
      <c r="U472" s="11">
        <v>53</v>
      </c>
      <c r="V472" s="3" t="s">
        <v>4166</v>
      </c>
      <c r="W472" s="8" t="s">
        <v>7834</v>
      </c>
    </row>
    <row r="473" spans="1:23" x14ac:dyDescent="0.25">
      <c r="A473" s="2">
        <v>995</v>
      </c>
      <c r="B473" s="3" t="s">
        <v>4166</v>
      </c>
      <c r="C473" s="3">
        <v>2024</v>
      </c>
      <c r="D473" s="3" t="s">
        <v>1622</v>
      </c>
      <c r="E473" s="3" t="s">
        <v>206</v>
      </c>
      <c r="F473" s="1" t="s">
        <v>7834</v>
      </c>
      <c r="G473" s="10"/>
      <c r="H473" s="10"/>
      <c r="I473" s="10"/>
      <c r="J473" s="10"/>
      <c r="K473" s="10"/>
      <c r="L473" s="3" t="s">
        <v>4209</v>
      </c>
      <c r="M473" s="3" t="s">
        <v>4210</v>
      </c>
      <c r="N473" s="3" t="s">
        <v>4195</v>
      </c>
      <c r="O473" s="3">
        <v>33</v>
      </c>
      <c r="P473" s="3">
        <v>2</v>
      </c>
      <c r="Q473" s="3">
        <v>1</v>
      </c>
      <c r="R473" s="3" t="s">
        <v>4196</v>
      </c>
      <c r="S473" s="3" t="s">
        <v>4211</v>
      </c>
      <c r="T473" s="3" t="s">
        <v>483</v>
      </c>
      <c r="U473" s="11">
        <v>54</v>
      </c>
      <c r="V473" s="3" t="s">
        <v>4166</v>
      </c>
      <c r="W473" s="8" t="s">
        <v>7834</v>
      </c>
    </row>
    <row r="474" spans="1:23" x14ac:dyDescent="0.25">
      <c r="A474" s="2">
        <v>999</v>
      </c>
      <c r="B474" s="3" t="s">
        <v>4166</v>
      </c>
      <c r="C474" s="3">
        <v>2024</v>
      </c>
      <c r="D474" s="3" t="s">
        <v>4228</v>
      </c>
      <c r="E474" s="3" t="s">
        <v>206</v>
      </c>
      <c r="F474" s="1" t="s">
        <v>7834</v>
      </c>
      <c r="G474" s="10"/>
      <c r="H474" s="10"/>
      <c r="I474" s="10"/>
      <c r="J474" s="10"/>
      <c r="K474" s="10"/>
      <c r="L474" s="3" t="s">
        <v>4229</v>
      </c>
      <c r="M474" s="3" t="s">
        <v>4230</v>
      </c>
      <c r="N474" s="3" t="s">
        <v>4231</v>
      </c>
      <c r="O474" s="3">
        <v>18</v>
      </c>
      <c r="P474" s="3"/>
      <c r="Q474" s="3">
        <v>1</v>
      </c>
      <c r="R474" s="3" t="s">
        <v>4232</v>
      </c>
      <c r="S474" s="3" t="s">
        <v>4233</v>
      </c>
      <c r="T474" s="3" t="s">
        <v>483</v>
      </c>
      <c r="U474" s="11">
        <v>55</v>
      </c>
      <c r="V474" s="3" t="s">
        <v>4166</v>
      </c>
      <c r="W474" s="8" t="s">
        <v>7834</v>
      </c>
    </row>
    <row r="475" spans="1:23" x14ac:dyDescent="0.25">
      <c r="A475" s="2">
        <v>1000</v>
      </c>
      <c r="B475" s="3" t="s">
        <v>4166</v>
      </c>
      <c r="C475" s="3">
        <v>2024</v>
      </c>
      <c r="D475" s="3" t="s">
        <v>736</v>
      </c>
      <c r="E475" s="3" t="s">
        <v>206</v>
      </c>
      <c r="F475" s="1" t="s">
        <v>7834</v>
      </c>
      <c r="G475" s="10"/>
      <c r="H475" s="10"/>
      <c r="I475" s="10"/>
      <c r="J475" s="10"/>
      <c r="K475" s="10"/>
      <c r="L475" s="3" t="s">
        <v>4234</v>
      </c>
      <c r="M475" s="3" t="s">
        <v>4235</v>
      </c>
      <c r="N475" s="3" t="s">
        <v>4236</v>
      </c>
      <c r="O475" s="3">
        <v>55</v>
      </c>
      <c r="P475" s="3">
        <v>3</v>
      </c>
      <c r="Q475" s="3">
        <v>71</v>
      </c>
      <c r="R475" s="3" t="s">
        <v>4237</v>
      </c>
      <c r="S475" s="3" t="s">
        <v>4238</v>
      </c>
      <c r="T475" s="3" t="s">
        <v>483</v>
      </c>
      <c r="U475" s="11">
        <v>56</v>
      </c>
      <c r="V475" s="3" t="s">
        <v>4166</v>
      </c>
      <c r="W475" s="8" t="s">
        <v>7834</v>
      </c>
    </row>
    <row r="476" spans="1:23" x14ac:dyDescent="0.25">
      <c r="A476" s="2">
        <v>1002</v>
      </c>
      <c r="B476" s="3" t="s">
        <v>4166</v>
      </c>
      <c r="C476" s="3">
        <v>2024</v>
      </c>
      <c r="D476" s="3" t="s">
        <v>729</v>
      </c>
      <c r="E476" s="3" t="s">
        <v>206</v>
      </c>
      <c r="F476" s="1" t="s">
        <v>7834</v>
      </c>
      <c r="G476" s="10"/>
      <c r="H476" s="10"/>
      <c r="I476" s="10"/>
      <c r="J476" s="10"/>
      <c r="K476" s="10"/>
      <c r="L476" s="3" t="s">
        <v>4244</v>
      </c>
      <c r="M476" s="3" t="s">
        <v>4245</v>
      </c>
      <c r="N476" s="3" t="s">
        <v>4246</v>
      </c>
      <c r="O476" s="3">
        <v>41</v>
      </c>
      <c r="P476" s="3">
        <v>2</v>
      </c>
      <c r="Q476" s="3">
        <v>1</v>
      </c>
      <c r="R476" s="3" t="s">
        <v>4247</v>
      </c>
      <c r="S476" s="3" t="s">
        <v>4248</v>
      </c>
      <c r="T476" s="3" t="s">
        <v>483</v>
      </c>
      <c r="U476" s="11">
        <v>57</v>
      </c>
      <c r="V476" s="3" t="s">
        <v>4166</v>
      </c>
      <c r="W476" s="8" t="s">
        <v>7834</v>
      </c>
    </row>
    <row r="477" spans="1:23" x14ac:dyDescent="0.25">
      <c r="A477" s="2">
        <v>1010</v>
      </c>
      <c r="B477" s="3" t="s">
        <v>4166</v>
      </c>
      <c r="C477" s="3">
        <v>2024</v>
      </c>
      <c r="D477" s="3" t="s">
        <v>75</v>
      </c>
      <c r="E477" s="3" t="s">
        <v>206</v>
      </c>
      <c r="F477" s="1" t="s">
        <v>7834</v>
      </c>
      <c r="G477" s="10"/>
      <c r="H477" s="10"/>
      <c r="I477" s="10"/>
      <c r="J477" s="10"/>
      <c r="K477" s="10"/>
      <c r="L477" s="3" t="s">
        <v>4281</v>
      </c>
      <c r="M477" s="3" t="s">
        <v>4282</v>
      </c>
      <c r="N477" s="3" t="s">
        <v>4283</v>
      </c>
      <c r="O477" s="3">
        <v>36</v>
      </c>
      <c r="P477" s="3">
        <v>1</v>
      </c>
      <c r="Q477" s="3">
        <v>1</v>
      </c>
      <c r="R477" s="3" t="s">
        <v>4284</v>
      </c>
      <c r="S477" s="3" t="s">
        <v>4285</v>
      </c>
      <c r="T477" s="3" t="s">
        <v>483</v>
      </c>
      <c r="U477" s="11">
        <v>58</v>
      </c>
      <c r="V477" s="3" t="s">
        <v>4166</v>
      </c>
      <c r="W477" s="8" t="s">
        <v>7834</v>
      </c>
    </row>
    <row r="478" spans="1:23" x14ac:dyDescent="0.25">
      <c r="A478" s="2">
        <v>1013</v>
      </c>
      <c r="B478" s="3" t="s">
        <v>4166</v>
      </c>
      <c r="C478" s="3">
        <v>2024</v>
      </c>
      <c r="D478" s="3" t="s">
        <v>2035</v>
      </c>
      <c r="E478" s="3" t="s">
        <v>206</v>
      </c>
      <c r="F478" s="1" t="s">
        <v>7834</v>
      </c>
      <c r="G478" s="10"/>
      <c r="H478" s="10"/>
      <c r="I478" s="10"/>
      <c r="J478" s="10"/>
      <c r="K478" s="10"/>
      <c r="L478" s="3" t="s">
        <v>4296</v>
      </c>
      <c r="M478" s="3" t="s">
        <v>4297</v>
      </c>
      <c r="N478" s="3" t="s">
        <v>4195</v>
      </c>
      <c r="O478" s="3">
        <v>33</v>
      </c>
      <c r="P478" s="3">
        <v>1</v>
      </c>
      <c r="Q478" s="3">
        <v>1</v>
      </c>
      <c r="R478" s="3" t="s">
        <v>4196</v>
      </c>
      <c r="S478" s="3" t="s">
        <v>4298</v>
      </c>
      <c r="T478" s="3" t="s">
        <v>483</v>
      </c>
      <c r="U478" s="11">
        <v>59</v>
      </c>
      <c r="V478" s="3" t="s">
        <v>4166</v>
      </c>
      <c r="W478" s="8" t="s">
        <v>7834</v>
      </c>
    </row>
    <row r="479" spans="1:23" x14ac:dyDescent="0.25">
      <c r="A479" s="2">
        <v>1026</v>
      </c>
      <c r="B479" s="3" t="s">
        <v>4166</v>
      </c>
      <c r="C479" s="3">
        <v>2024</v>
      </c>
      <c r="D479" s="3" t="s">
        <v>2035</v>
      </c>
      <c r="E479" s="3" t="s">
        <v>206</v>
      </c>
      <c r="F479" s="1" t="s">
        <v>7834</v>
      </c>
      <c r="G479" s="10"/>
      <c r="H479" s="10"/>
      <c r="I479" s="10"/>
      <c r="J479" s="10"/>
      <c r="K479" s="10"/>
      <c r="L479" s="3" t="s">
        <v>4357</v>
      </c>
      <c r="M479" s="3" t="s">
        <v>4358</v>
      </c>
      <c r="N479" s="3" t="s">
        <v>4195</v>
      </c>
      <c r="O479" s="3">
        <v>33</v>
      </c>
      <c r="P479" s="3">
        <v>1</v>
      </c>
      <c r="Q479" s="3">
        <v>1</v>
      </c>
      <c r="R479" s="3" t="s">
        <v>4196</v>
      </c>
      <c r="S479" s="3" t="s">
        <v>4359</v>
      </c>
      <c r="T479" s="3" t="s">
        <v>483</v>
      </c>
      <c r="U479" s="11">
        <v>60</v>
      </c>
      <c r="V479" s="3" t="s">
        <v>4166</v>
      </c>
      <c r="W479" s="8" t="s">
        <v>7834</v>
      </c>
    </row>
    <row r="480" spans="1:23" x14ac:dyDescent="0.25">
      <c r="A480" s="2">
        <v>1027</v>
      </c>
      <c r="B480" s="3" t="s">
        <v>4166</v>
      </c>
      <c r="C480" s="3">
        <v>2024</v>
      </c>
      <c r="D480" s="3" t="s">
        <v>2035</v>
      </c>
      <c r="E480" s="3" t="s">
        <v>206</v>
      </c>
      <c r="F480" s="1" t="s">
        <v>7834</v>
      </c>
      <c r="G480" s="10"/>
      <c r="H480" s="10"/>
      <c r="I480" s="10"/>
      <c r="J480" s="10"/>
      <c r="K480" s="10"/>
      <c r="L480" s="3" t="s">
        <v>4360</v>
      </c>
      <c r="M480" s="3" t="s">
        <v>4361</v>
      </c>
      <c r="N480" s="3" t="s">
        <v>4195</v>
      </c>
      <c r="O480" s="3">
        <v>33</v>
      </c>
      <c r="P480" s="3">
        <v>1</v>
      </c>
      <c r="Q480" s="3">
        <v>1</v>
      </c>
      <c r="R480" s="3" t="s">
        <v>4196</v>
      </c>
      <c r="S480" s="3" t="s">
        <v>4362</v>
      </c>
      <c r="T480" s="3" t="s">
        <v>483</v>
      </c>
      <c r="U480" s="11">
        <v>61</v>
      </c>
      <c r="V480" s="3" t="s">
        <v>4166</v>
      </c>
      <c r="W480" s="8" t="s">
        <v>7834</v>
      </c>
    </row>
    <row r="481" spans="1:23" x14ac:dyDescent="0.25">
      <c r="A481" s="2">
        <v>1028</v>
      </c>
      <c r="B481" s="3" t="s">
        <v>4166</v>
      </c>
      <c r="C481" s="3">
        <v>2024</v>
      </c>
      <c r="D481" s="3" t="s">
        <v>2035</v>
      </c>
      <c r="E481" s="3" t="s">
        <v>206</v>
      </c>
      <c r="F481" s="1" t="s">
        <v>7834</v>
      </c>
      <c r="G481" s="10"/>
      <c r="H481" s="10"/>
      <c r="I481" s="10"/>
      <c r="J481" s="10"/>
      <c r="K481" s="10"/>
      <c r="L481" s="3" t="s">
        <v>4363</v>
      </c>
      <c r="M481" s="3" t="s">
        <v>4364</v>
      </c>
      <c r="N481" s="3" t="s">
        <v>4195</v>
      </c>
      <c r="O481" s="3">
        <v>33</v>
      </c>
      <c r="P481" s="3">
        <v>1</v>
      </c>
      <c r="Q481" s="3">
        <v>1</v>
      </c>
      <c r="R481" s="3" t="s">
        <v>4196</v>
      </c>
      <c r="S481" s="3" t="s">
        <v>4365</v>
      </c>
      <c r="T481" s="3" t="s">
        <v>483</v>
      </c>
      <c r="U481" s="11">
        <v>62</v>
      </c>
      <c r="V481" s="3" t="s">
        <v>4166</v>
      </c>
      <c r="W481" s="8" t="s">
        <v>7834</v>
      </c>
    </row>
    <row r="482" spans="1:23" x14ac:dyDescent="0.25">
      <c r="A482" s="2">
        <v>1046</v>
      </c>
      <c r="B482" s="3" t="s">
        <v>4166</v>
      </c>
      <c r="C482" s="3">
        <v>2024</v>
      </c>
      <c r="D482" s="3" t="s">
        <v>3296</v>
      </c>
      <c r="E482" s="3" t="s">
        <v>206</v>
      </c>
      <c r="F482" s="1" t="s">
        <v>7834</v>
      </c>
      <c r="G482" s="10"/>
      <c r="H482" s="10"/>
      <c r="I482" s="10"/>
      <c r="J482" s="10"/>
      <c r="K482" s="10"/>
      <c r="L482" s="3" t="s">
        <v>4440</v>
      </c>
      <c r="M482" s="3" t="s">
        <v>4441</v>
      </c>
      <c r="N482" s="3" t="s">
        <v>4195</v>
      </c>
      <c r="O482" s="3">
        <v>32</v>
      </c>
      <c r="P482" s="3">
        <v>1</v>
      </c>
      <c r="Q482" s="3">
        <v>1</v>
      </c>
      <c r="R482" s="3" t="s">
        <v>4196</v>
      </c>
      <c r="S482" s="3" t="s">
        <v>4442</v>
      </c>
      <c r="T482" s="3" t="s">
        <v>483</v>
      </c>
      <c r="U482" s="11">
        <v>63</v>
      </c>
      <c r="V482" s="3" t="s">
        <v>4166</v>
      </c>
      <c r="W482" s="8" t="s">
        <v>7834</v>
      </c>
    </row>
    <row r="483" spans="1:23" x14ac:dyDescent="0.25">
      <c r="A483" s="2">
        <v>1069</v>
      </c>
      <c r="B483" s="3" t="s">
        <v>4536</v>
      </c>
      <c r="C483" s="3">
        <v>2024</v>
      </c>
      <c r="D483" s="3" t="s">
        <v>14</v>
      </c>
      <c r="E483" s="3" t="s">
        <v>15</v>
      </c>
      <c r="F483" s="1" t="s">
        <v>7834</v>
      </c>
      <c r="G483" s="10"/>
      <c r="H483" s="10"/>
      <c r="I483" s="10"/>
      <c r="J483" s="10"/>
      <c r="K483" s="10"/>
      <c r="L483" s="3" t="s">
        <v>4541</v>
      </c>
      <c r="M483" s="3" t="s">
        <v>4542</v>
      </c>
      <c r="N483" s="3" t="s">
        <v>4543</v>
      </c>
      <c r="O483" s="3"/>
      <c r="P483" s="3"/>
      <c r="Q483" s="3">
        <v>1</v>
      </c>
      <c r="R483" s="3" t="s">
        <v>4544</v>
      </c>
      <c r="S483" s="3" t="s">
        <v>4545</v>
      </c>
      <c r="T483" s="3" t="s">
        <v>483</v>
      </c>
      <c r="U483" s="11">
        <v>64</v>
      </c>
      <c r="V483" s="3" t="s">
        <v>4536</v>
      </c>
      <c r="W483" s="8" t="s">
        <v>7834</v>
      </c>
    </row>
    <row r="484" spans="1:23" x14ac:dyDescent="0.25">
      <c r="A484" s="2">
        <v>1078</v>
      </c>
      <c r="B484" s="3" t="s">
        <v>4536</v>
      </c>
      <c r="C484" s="3">
        <v>2024</v>
      </c>
      <c r="D484" s="3" t="s">
        <v>742</v>
      </c>
      <c r="E484" s="3" t="s">
        <v>15</v>
      </c>
      <c r="F484" s="1" t="s">
        <v>7834</v>
      </c>
      <c r="G484" s="10"/>
      <c r="H484" s="10"/>
      <c r="I484" s="10"/>
      <c r="J484" s="10"/>
      <c r="K484" s="10"/>
      <c r="L484" s="3" t="s">
        <v>4577</v>
      </c>
      <c r="M484" s="3" t="s">
        <v>744</v>
      </c>
      <c r="N484" s="3" t="s">
        <v>4578</v>
      </c>
      <c r="O484" s="3"/>
      <c r="P484" s="3"/>
      <c r="Q484" s="3"/>
      <c r="R484" s="3" t="s">
        <v>746</v>
      </c>
      <c r="S484" s="3" t="s">
        <v>4579</v>
      </c>
      <c r="T484" s="3" t="s">
        <v>483</v>
      </c>
      <c r="U484" s="11">
        <v>65</v>
      </c>
      <c r="V484" s="3" t="s">
        <v>4536</v>
      </c>
      <c r="W484" s="8" t="s">
        <v>7834</v>
      </c>
    </row>
    <row r="485" spans="1:23" x14ac:dyDescent="0.25">
      <c r="A485" s="2">
        <v>1086</v>
      </c>
      <c r="B485" s="3" t="s">
        <v>4536</v>
      </c>
      <c r="C485" s="3">
        <v>2024</v>
      </c>
      <c r="D485" s="3" t="s">
        <v>14</v>
      </c>
      <c r="E485" s="3" t="s">
        <v>15</v>
      </c>
      <c r="F485" s="1" t="s">
        <v>7834</v>
      </c>
      <c r="G485" s="10"/>
      <c r="H485" s="10"/>
      <c r="I485" s="10"/>
      <c r="J485" s="10"/>
      <c r="K485" s="10"/>
      <c r="L485" s="3" t="s">
        <v>4610</v>
      </c>
      <c r="M485" s="3" t="s">
        <v>4611</v>
      </c>
      <c r="N485" s="3" t="s">
        <v>4612</v>
      </c>
      <c r="O485" s="3">
        <v>51</v>
      </c>
      <c r="P485" s="3"/>
      <c r="Q485" s="3">
        <v>674</v>
      </c>
      <c r="R485" s="3" t="s">
        <v>4613</v>
      </c>
      <c r="S485" s="3" t="s">
        <v>4614</v>
      </c>
      <c r="T485" s="3" t="s">
        <v>483</v>
      </c>
      <c r="U485" s="11">
        <v>66</v>
      </c>
      <c r="V485" s="3" t="s">
        <v>4536</v>
      </c>
      <c r="W485" s="8" t="s">
        <v>7834</v>
      </c>
    </row>
    <row r="486" spans="1:23" x14ac:dyDescent="0.25">
      <c r="A486" s="2">
        <v>1087</v>
      </c>
      <c r="B486" s="3" t="s">
        <v>4536</v>
      </c>
      <c r="C486" s="3">
        <v>2024</v>
      </c>
      <c r="D486" s="3" t="s">
        <v>759</v>
      </c>
      <c r="E486" s="3" t="s">
        <v>15</v>
      </c>
      <c r="F486" s="1" t="s">
        <v>7834</v>
      </c>
      <c r="G486" s="10"/>
      <c r="H486" s="10"/>
      <c r="I486" s="10"/>
      <c r="J486" s="10"/>
      <c r="K486" s="10"/>
      <c r="L486" s="3" t="s">
        <v>4615</v>
      </c>
      <c r="M486" s="3" t="s">
        <v>4616</v>
      </c>
      <c r="N486" s="3" t="s">
        <v>560</v>
      </c>
      <c r="O486" s="3"/>
      <c r="P486" s="3"/>
      <c r="Q486" s="3">
        <v>1</v>
      </c>
      <c r="R486" s="3" t="s">
        <v>4617</v>
      </c>
      <c r="S486" s="3" t="s">
        <v>4618</v>
      </c>
      <c r="T486" s="3" t="s">
        <v>483</v>
      </c>
      <c r="U486" s="11">
        <v>67</v>
      </c>
      <c r="V486" s="3" t="s">
        <v>4536</v>
      </c>
      <c r="W486" s="8" t="s">
        <v>7834</v>
      </c>
    </row>
    <row r="487" spans="1:23" x14ac:dyDescent="0.25">
      <c r="A487" s="2">
        <v>1110</v>
      </c>
      <c r="B487" s="3" t="s">
        <v>4536</v>
      </c>
      <c r="C487" s="3">
        <v>2024</v>
      </c>
      <c r="D487" s="3" t="s">
        <v>557</v>
      </c>
      <c r="E487" s="3" t="s">
        <v>15</v>
      </c>
      <c r="F487" s="1" t="s">
        <v>7834</v>
      </c>
      <c r="G487" s="10"/>
      <c r="H487" s="10"/>
      <c r="I487" s="10"/>
      <c r="J487" s="10"/>
      <c r="K487" s="10"/>
      <c r="L487" s="3" t="s">
        <v>4699</v>
      </c>
      <c r="M487" s="3" t="s">
        <v>4700</v>
      </c>
      <c r="N487" s="3" t="s">
        <v>560</v>
      </c>
      <c r="O487" s="3">
        <v>45</v>
      </c>
      <c r="P487" s="3">
        <v>5</v>
      </c>
      <c r="Q487" s="3">
        <v>483</v>
      </c>
      <c r="R487" s="3" t="s">
        <v>4617</v>
      </c>
      <c r="S487" s="3" t="s">
        <v>562</v>
      </c>
      <c r="T487" s="3" t="s">
        <v>483</v>
      </c>
      <c r="U487" s="11">
        <v>68</v>
      </c>
      <c r="V487" s="3" t="s">
        <v>4536</v>
      </c>
      <c r="W487" s="8" t="s">
        <v>7834</v>
      </c>
    </row>
    <row r="488" spans="1:23" x14ac:dyDescent="0.25">
      <c r="A488" s="2">
        <v>1115</v>
      </c>
      <c r="B488" s="3" t="s">
        <v>4536</v>
      </c>
      <c r="C488" s="3">
        <v>2024</v>
      </c>
      <c r="D488" s="3" t="s">
        <v>557</v>
      </c>
      <c r="E488" s="3" t="s">
        <v>15</v>
      </c>
      <c r="F488" s="1" t="s">
        <v>7834</v>
      </c>
      <c r="G488" s="10"/>
      <c r="H488" s="10"/>
      <c r="I488" s="10"/>
      <c r="J488" s="10"/>
      <c r="K488" s="10"/>
      <c r="L488" s="3" t="s">
        <v>4718</v>
      </c>
      <c r="M488" s="3" t="s">
        <v>4719</v>
      </c>
      <c r="N488" s="3" t="s">
        <v>565</v>
      </c>
      <c r="O488" s="3">
        <v>8</v>
      </c>
      <c r="P488" s="3"/>
      <c r="Q488" s="3"/>
      <c r="R488" s="3" t="s">
        <v>566</v>
      </c>
      <c r="S488" s="3" t="s">
        <v>4720</v>
      </c>
      <c r="T488" s="3" t="s">
        <v>483</v>
      </c>
      <c r="U488" s="11">
        <v>69</v>
      </c>
      <c r="V488" s="3" t="s">
        <v>4536</v>
      </c>
      <c r="W488" s="8" t="s">
        <v>7834</v>
      </c>
    </row>
    <row r="489" spans="1:23" x14ac:dyDescent="0.25">
      <c r="A489" s="2">
        <v>1116</v>
      </c>
      <c r="B489" s="3" t="s">
        <v>4536</v>
      </c>
      <c r="C489" s="3">
        <v>2024</v>
      </c>
      <c r="D489" s="3" t="s">
        <v>568</v>
      </c>
      <c r="E489" s="3" t="s">
        <v>15</v>
      </c>
      <c r="F489" s="1" t="s">
        <v>7834</v>
      </c>
      <c r="G489" s="10"/>
      <c r="H489" s="10"/>
      <c r="I489" s="10"/>
      <c r="J489" s="10"/>
      <c r="K489" s="10"/>
      <c r="L489" s="3" t="s">
        <v>4721</v>
      </c>
      <c r="M489" s="3" t="s">
        <v>4722</v>
      </c>
      <c r="N489" s="3" t="s">
        <v>560</v>
      </c>
      <c r="O489" s="3">
        <v>45</v>
      </c>
      <c r="P489" s="3">
        <v>4</v>
      </c>
      <c r="Q489" s="3">
        <v>382</v>
      </c>
      <c r="R489" s="3" t="s">
        <v>4617</v>
      </c>
      <c r="S489" s="3" t="s">
        <v>572</v>
      </c>
      <c r="T489" s="3" t="s">
        <v>483</v>
      </c>
      <c r="U489" s="11">
        <v>70</v>
      </c>
      <c r="V489" s="3" t="s">
        <v>4536</v>
      </c>
      <c r="W489" s="8" t="s">
        <v>7834</v>
      </c>
    </row>
    <row r="490" spans="1:23" x14ac:dyDescent="0.25">
      <c r="A490" s="2">
        <v>1127</v>
      </c>
      <c r="B490" s="3" t="s">
        <v>4536</v>
      </c>
      <c r="C490" s="3">
        <v>2024</v>
      </c>
      <c r="D490" s="3" t="s">
        <v>627</v>
      </c>
      <c r="E490" s="3" t="s">
        <v>15</v>
      </c>
      <c r="F490" s="1" t="s">
        <v>7834</v>
      </c>
      <c r="G490" s="10"/>
      <c r="H490" s="10"/>
      <c r="I490" s="10"/>
      <c r="J490" s="10"/>
      <c r="K490" s="10"/>
      <c r="L490" s="3" t="s">
        <v>4754</v>
      </c>
      <c r="M490" s="3" t="s">
        <v>4755</v>
      </c>
      <c r="N490" s="3" t="s">
        <v>630</v>
      </c>
      <c r="O490" s="3"/>
      <c r="P490" s="3"/>
      <c r="Q490" s="3"/>
      <c r="R490" s="3" t="s">
        <v>631</v>
      </c>
      <c r="S490" s="3" t="s">
        <v>4756</v>
      </c>
      <c r="T490" s="3" t="s">
        <v>483</v>
      </c>
      <c r="U490" s="11">
        <v>71</v>
      </c>
      <c r="V490" s="3" t="s">
        <v>4536</v>
      </c>
      <c r="W490" s="8" t="s">
        <v>7834</v>
      </c>
    </row>
    <row r="491" spans="1:23" x14ac:dyDescent="0.25">
      <c r="A491" s="2">
        <v>1128</v>
      </c>
      <c r="B491" s="3" t="s">
        <v>4536</v>
      </c>
      <c r="C491" s="3">
        <v>2024</v>
      </c>
      <c r="D491" s="3" t="s">
        <v>31</v>
      </c>
      <c r="E491" s="3" t="s">
        <v>15</v>
      </c>
      <c r="F491" s="1" t="s">
        <v>7834</v>
      </c>
      <c r="G491" s="10"/>
      <c r="H491" s="10"/>
      <c r="I491" s="10"/>
      <c r="J491" s="10"/>
      <c r="K491" s="10"/>
      <c r="L491" s="3" t="s">
        <v>4757</v>
      </c>
      <c r="M491" s="3" t="s">
        <v>4758</v>
      </c>
      <c r="N491" s="3" t="s">
        <v>657</v>
      </c>
      <c r="O491" s="3">
        <v>24</v>
      </c>
      <c r="P491" s="3">
        <v>2</v>
      </c>
      <c r="Q491" s="3">
        <v>782</v>
      </c>
      <c r="R491" s="3" t="s">
        <v>4759</v>
      </c>
      <c r="S491" s="3" t="s">
        <v>4760</v>
      </c>
      <c r="T491" s="3" t="s">
        <v>483</v>
      </c>
      <c r="U491" s="11">
        <v>72</v>
      </c>
      <c r="V491" s="3" t="s">
        <v>4536</v>
      </c>
      <c r="W491" s="8" t="s">
        <v>7834</v>
      </c>
    </row>
    <row r="492" spans="1:23" x14ac:dyDescent="0.25">
      <c r="A492" s="2">
        <v>1135</v>
      </c>
      <c r="B492" s="3" t="s">
        <v>4536</v>
      </c>
      <c r="C492" s="3">
        <v>2024</v>
      </c>
      <c r="D492" s="3" t="s">
        <v>691</v>
      </c>
      <c r="E492" s="3" t="s">
        <v>15</v>
      </c>
      <c r="F492" s="1" t="s">
        <v>7834</v>
      </c>
      <c r="G492" s="10"/>
      <c r="H492" s="10"/>
      <c r="I492" s="10"/>
      <c r="J492" s="10"/>
      <c r="K492" s="10"/>
      <c r="L492" s="3" t="s">
        <v>4782</v>
      </c>
      <c r="M492" s="3" t="s">
        <v>4783</v>
      </c>
      <c r="N492" s="3" t="s">
        <v>694</v>
      </c>
      <c r="O492" s="3"/>
      <c r="P492" s="3">
        <v>61</v>
      </c>
      <c r="Q492" s="3"/>
      <c r="R492" s="3" t="s">
        <v>4784</v>
      </c>
      <c r="S492" s="3" t="s">
        <v>696</v>
      </c>
      <c r="T492" s="3" t="s">
        <v>483</v>
      </c>
      <c r="U492" s="11">
        <v>73</v>
      </c>
      <c r="V492" s="3" t="s">
        <v>4536</v>
      </c>
      <c r="W492" s="8" t="s">
        <v>7834</v>
      </c>
    </row>
    <row r="493" spans="1:23" x14ac:dyDescent="0.25">
      <c r="A493" s="2">
        <v>1136</v>
      </c>
      <c r="B493" s="3" t="s">
        <v>4536</v>
      </c>
      <c r="C493" s="3">
        <v>2024</v>
      </c>
      <c r="D493" s="3" t="s">
        <v>2748</v>
      </c>
      <c r="E493" s="3" t="s">
        <v>15</v>
      </c>
      <c r="F493" s="1" t="s">
        <v>7834</v>
      </c>
      <c r="G493" s="10"/>
      <c r="H493" s="10"/>
      <c r="I493" s="10"/>
      <c r="J493" s="10"/>
      <c r="K493" s="10"/>
      <c r="L493" s="3" t="s">
        <v>4785</v>
      </c>
      <c r="M493" s="3" t="s">
        <v>4786</v>
      </c>
      <c r="N493" s="3" t="s">
        <v>4368</v>
      </c>
      <c r="O493" s="3"/>
      <c r="P493" s="3"/>
      <c r="Q493" s="3"/>
      <c r="R493" s="3" t="s">
        <v>4787</v>
      </c>
      <c r="S493" s="3" t="s">
        <v>4370</v>
      </c>
      <c r="T493" s="3" t="s">
        <v>483</v>
      </c>
      <c r="U493" s="11">
        <v>74</v>
      </c>
      <c r="V493" s="3" t="s">
        <v>4536</v>
      </c>
      <c r="W493" s="8" t="s">
        <v>7834</v>
      </c>
    </row>
    <row r="494" spans="1:23" x14ac:dyDescent="0.25">
      <c r="A494" s="2">
        <v>1143</v>
      </c>
      <c r="B494" s="3" t="s">
        <v>4536</v>
      </c>
      <c r="C494" s="3">
        <v>2024</v>
      </c>
      <c r="D494" s="3" t="s">
        <v>14</v>
      </c>
      <c r="E494" s="3" t="s">
        <v>15</v>
      </c>
      <c r="F494" s="1" t="s">
        <v>7834</v>
      </c>
      <c r="G494" s="10"/>
      <c r="H494" s="10"/>
      <c r="I494" s="10"/>
      <c r="J494" s="10"/>
      <c r="K494" s="10"/>
      <c r="L494" s="3" t="s">
        <v>4810</v>
      </c>
      <c r="M494" s="3" t="s">
        <v>4811</v>
      </c>
      <c r="N494" s="3" t="s">
        <v>4812</v>
      </c>
      <c r="O494" s="3">
        <v>44</v>
      </c>
      <c r="P494" s="3">
        <v>4</v>
      </c>
      <c r="Q494" s="3">
        <v>225</v>
      </c>
      <c r="R494" s="3" t="s">
        <v>4813</v>
      </c>
      <c r="S494" s="3" t="s">
        <v>4814</v>
      </c>
      <c r="T494" s="3" t="s">
        <v>483</v>
      </c>
      <c r="U494" s="11">
        <v>75</v>
      </c>
      <c r="V494" s="3" t="s">
        <v>4536</v>
      </c>
      <c r="W494" s="8" t="s">
        <v>7834</v>
      </c>
    </row>
    <row r="495" spans="1:23" x14ac:dyDescent="0.25">
      <c r="A495" s="2">
        <v>1156</v>
      </c>
      <c r="B495" s="3" t="s">
        <v>4536</v>
      </c>
      <c r="C495" s="3">
        <v>2024</v>
      </c>
      <c r="D495" s="3" t="s">
        <v>14</v>
      </c>
      <c r="E495" s="3" t="s">
        <v>15</v>
      </c>
      <c r="F495" s="1" t="s">
        <v>7834</v>
      </c>
      <c r="G495" s="10"/>
      <c r="H495" s="10"/>
      <c r="I495" s="10"/>
      <c r="J495" s="10"/>
      <c r="K495" s="10"/>
      <c r="L495" s="3" t="s">
        <v>4854</v>
      </c>
      <c r="M495" s="3" t="s">
        <v>4855</v>
      </c>
      <c r="N495" s="3" t="s">
        <v>4856</v>
      </c>
      <c r="O495" s="3">
        <v>34</v>
      </c>
      <c r="P495" s="3">
        <v>3</v>
      </c>
      <c r="Q495" s="3">
        <v>265</v>
      </c>
      <c r="R495" s="3" t="s">
        <v>4857</v>
      </c>
      <c r="S495" s="3" t="s">
        <v>4858</v>
      </c>
      <c r="T495" s="3" t="s">
        <v>483</v>
      </c>
      <c r="U495" s="11">
        <v>76</v>
      </c>
      <c r="V495" s="3" t="s">
        <v>4536</v>
      </c>
      <c r="W495" s="8" t="s">
        <v>7834</v>
      </c>
    </row>
    <row r="496" spans="1:23" x14ac:dyDescent="0.25">
      <c r="A496" s="2">
        <v>1168</v>
      </c>
      <c r="B496" s="3" t="s">
        <v>4536</v>
      </c>
      <c r="C496" s="3">
        <v>2024</v>
      </c>
      <c r="D496" s="3" t="s">
        <v>82</v>
      </c>
      <c r="E496" s="3" t="s">
        <v>15</v>
      </c>
      <c r="F496" s="1" t="s">
        <v>7834</v>
      </c>
      <c r="G496" s="10"/>
      <c r="H496" s="10"/>
      <c r="I496" s="10"/>
      <c r="J496" s="10"/>
      <c r="K496" s="10"/>
      <c r="L496" s="3" t="s">
        <v>525</v>
      </c>
      <c r="M496" s="3" t="s">
        <v>4901</v>
      </c>
      <c r="N496" s="3" t="s">
        <v>527</v>
      </c>
      <c r="O496" s="3"/>
      <c r="P496" s="3">
        <v>58</v>
      </c>
      <c r="Q496" s="3">
        <v>617</v>
      </c>
      <c r="R496" s="3" t="s">
        <v>4902</v>
      </c>
      <c r="S496" s="3" t="s">
        <v>529</v>
      </c>
      <c r="T496" s="3" t="s">
        <v>483</v>
      </c>
      <c r="U496" s="11">
        <v>77</v>
      </c>
      <c r="V496" s="3" t="s">
        <v>4536</v>
      </c>
      <c r="W496" s="8" t="s">
        <v>7834</v>
      </c>
    </row>
    <row r="497" spans="1:23" x14ac:dyDescent="0.25">
      <c r="A497" s="2">
        <v>1182</v>
      </c>
      <c r="B497" s="3" t="s">
        <v>4536</v>
      </c>
      <c r="C497" s="3">
        <v>2024</v>
      </c>
      <c r="D497" s="3" t="s">
        <v>1142</v>
      </c>
      <c r="E497" s="3" t="s">
        <v>15</v>
      </c>
      <c r="F497" s="1" t="s">
        <v>7834</v>
      </c>
      <c r="G497" s="10"/>
      <c r="H497" s="10"/>
      <c r="I497" s="10"/>
      <c r="J497" s="10"/>
      <c r="K497" s="10"/>
      <c r="L497" s="3" t="s">
        <v>4953</v>
      </c>
      <c r="M497" s="3" t="s">
        <v>4954</v>
      </c>
      <c r="N497" s="3" t="s">
        <v>4955</v>
      </c>
      <c r="O497" s="3">
        <v>33</v>
      </c>
      <c r="P497" s="3">
        <v>1</v>
      </c>
      <c r="Q497" s="3">
        <v>3</v>
      </c>
      <c r="R497" s="3" t="s">
        <v>4956</v>
      </c>
      <c r="S497" s="3" t="s">
        <v>4957</v>
      </c>
      <c r="T497" s="3" t="s">
        <v>483</v>
      </c>
      <c r="U497" s="11">
        <v>78</v>
      </c>
      <c r="V497" s="3" t="s">
        <v>4536</v>
      </c>
      <c r="W497" s="8" t="s">
        <v>7834</v>
      </c>
    </row>
    <row r="498" spans="1:23" x14ac:dyDescent="0.25">
      <c r="A498" s="2">
        <v>1183</v>
      </c>
      <c r="B498" s="3" t="s">
        <v>4536</v>
      </c>
      <c r="C498" s="3">
        <v>2024</v>
      </c>
      <c r="D498" s="3" t="s">
        <v>38</v>
      </c>
      <c r="E498" s="3" t="s">
        <v>15</v>
      </c>
      <c r="F498" s="1" t="s">
        <v>7834</v>
      </c>
      <c r="G498" s="10"/>
      <c r="H498" s="10"/>
      <c r="I498" s="10"/>
      <c r="J498" s="10"/>
      <c r="K498" s="10"/>
      <c r="L498" s="3" t="s">
        <v>4958</v>
      </c>
      <c r="M498" s="3" t="s">
        <v>4959</v>
      </c>
      <c r="N498" s="3" t="s">
        <v>4612</v>
      </c>
      <c r="O498" s="3"/>
      <c r="P498" s="3">
        <v>51</v>
      </c>
      <c r="Q498" s="3">
        <v>358</v>
      </c>
      <c r="R498" s="3" t="s">
        <v>4613</v>
      </c>
      <c r="S498" s="3" t="s">
        <v>4960</v>
      </c>
      <c r="T498" s="3" t="s">
        <v>483</v>
      </c>
      <c r="U498" s="11">
        <v>79</v>
      </c>
      <c r="V498" s="3" t="s">
        <v>4536</v>
      </c>
      <c r="W498" s="8" t="s">
        <v>7834</v>
      </c>
    </row>
    <row r="499" spans="1:23" x14ac:dyDescent="0.25">
      <c r="A499" s="2">
        <v>1072</v>
      </c>
      <c r="B499" s="3" t="s">
        <v>4536</v>
      </c>
      <c r="C499" s="3">
        <v>2024</v>
      </c>
      <c r="D499" s="3" t="s">
        <v>736</v>
      </c>
      <c r="E499" s="3" t="s">
        <v>206</v>
      </c>
      <c r="F499" s="1" t="s">
        <v>7834</v>
      </c>
      <c r="G499" s="10"/>
      <c r="H499" s="10"/>
      <c r="I499" s="10"/>
      <c r="J499" s="10"/>
      <c r="K499" s="10"/>
      <c r="L499" s="3" t="s">
        <v>737</v>
      </c>
      <c r="M499" s="3" t="s">
        <v>4552</v>
      </c>
      <c r="N499" s="3" t="s">
        <v>4236</v>
      </c>
      <c r="O499" s="3">
        <v>55</v>
      </c>
      <c r="P499" s="3">
        <v>3</v>
      </c>
      <c r="Q499" s="3">
        <v>71</v>
      </c>
      <c r="R499" s="3" t="s">
        <v>4553</v>
      </c>
      <c r="S499" s="3" t="s">
        <v>4238</v>
      </c>
      <c r="T499" s="3" t="s">
        <v>483</v>
      </c>
      <c r="U499" s="11">
        <v>80</v>
      </c>
      <c r="V499" s="3" t="s">
        <v>4536</v>
      </c>
      <c r="W499" s="8" t="s">
        <v>7834</v>
      </c>
    </row>
    <row r="500" spans="1:23" x14ac:dyDescent="0.25">
      <c r="A500" s="2">
        <v>1080</v>
      </c>
      <c r="B500" s="3" t="s">
        <v>4536</v>
      </c>
      <c r="C500" s="3">
        <v>2024</v>
      </c>
      <c r="D500" s="3" t="s">
        <v>748</v>
      </c>
      <c r="E500" s="3" t="s">
        <v>206</v>
      </c>
      <c r="F500" s="1" t="s">
        <v>7834</v>
      </c>
      <c r="G500" s="10"/>
      <c r="H500" s="10"/>
      <c r="I500" s="10"/>
      <c r="J500" s="10"/>
      <c r="K500" s="10"/>
      <c r="L500" s="3" t="s">
        <v>749</v>
      </c>
      <c r="M500" s="3" t="s">
        <v>4583</v>
      </c>
      <c r="N500" s="3" t="s">
        <v>4584</v>
      </c>
      <c r="O500" s="3">
        <v>23</v>
      </c>
      <c r="P500" s="3">
        <v>2</v>
      </c>
      <c r="Q500" s="3">
        <v>168</v>
      </c>
      <c r="R500" s="3" t="s">
        <v>4585</v>
      </c>
      <c r="S500" s="3" t="s">
        <v>4586</v>
      </c>
      <c r="T500" s="3" t="s">
        <v>483</v>
      </c>
      <c r="U500" s="11">
        <v>81</v>
      </c>
      <c r="V500" s="3" t="s">
        <v>4536</v>
      </c>
      <c r="W500" s="8" t="s">
        <v>7834</v>
      </c>
    </row>
    <row r="501" spans="1:23" x14ac:dyDescent="0.25">
      <c r="A501" s="2">
        <v>1095</v>
      </c>
      <c r="B501" s="3" t="s">
        <v>4536</v>
      </c>
      <c r="C501" s="3">
        <v>2024</v>
      </c>
      <c r="D501" s="3" t="s">
        <v>4647</v>
      </c>
      <c r="E501" s="3" t="s">
        <v>206</v>
      </c>
      <c r="F501" s="1" t="s">
        <v>7834</v>
      </c>
      <c r="G501" s="10"/>
      <c r="H501" s="10"/>
      <c r="I501" s="10"/>
      <c r="J501" s="10"/>
      <c r="K501" s="10"/>
      <c r="L501" s="3" t="s">
        <v>4648</v>
      </c>
      <c r="M501" s="3" t="s">
        <v>4649</v>
      </c>
      <c r="N501" s="3" t="s">
        <v>4650</v>
      </c>
      <c r="O501" s="3">
        <v>16</v>
      </c>
      <c r="P501" s="3">
        <v>1</v>
      </c>
      <c r="Q501" s="3">
        <v>39</v>
      </c>
      <c r="R501" s="3" t="s">
        <v>4651</v>
      </c>
      <c r="S501" s="3" t="s">
        <v>4652</v>
      </c>
      <c r="T501" s="3" t="s">
        <v>483</v>
      </c>
      <c r="U501" s="11">
        <v>82</v>
      </c>
      <c r="V501" s="3" t="s">
        <v>4536</v>
      </c>
      <c r="W501" s="8" t="s">
        <v>7834</v>
      </c>
    </row>
    <row r="502" spans="1:23" x14ac:dyDescent="0.25">
      <c r="A502" s="2">
        <v>1117</v>
      </c>
      <c r="B502" s="3" t="s">
        <v>4536</v>
      </c>
      <c r="C502" s="3">
        <v>2024</v>
      </c>
      <c r="D502" s="3" t="s">
        <v>2531</v>
      </c>
      <c r="E502" s="3" t="s">
        <v>206</v>
      </c>
      <c r="F502" s="1" t="s">
        <v>7834</v>
      </c>
      <c r="G502" s="10"/>
      <c r="H502" s="10"/>
      <c r="I502" s="10"/>
      <c r="J502" s="10"/>
      <c r="K502" s="10"/>
      <c r="L502" s="3" t="s">
        <v>4723</v>
      </c>
      <c r="M502" s="3" t="s">
        <v>4724</v>
      </c>
      <c r="N502" s="3" t="s">
        <v>4584</v>
      </c>
      <c r="O502" s="3">
        <v>23</v>
      </c>
      <c r="P502" s="3">
        <v>1</v>
      </c>
      <c r="Q502" s="3">
        <v>20</v>
      </c>
      <c r="R502" s="3" t="s">
        <v>4585</v>
      </c>
      <c r="S502" s="3" t="s">
        <v>4725</v>
      </c>
      <c r="T502" s="3" t="s">
        <v>483</v>
      </c>
      <c r="U502" s="11">
        <v>83</v>
      </c>
      <c r="V502" s="3" t="s">
        <v>4536</v>
      </c>
      <c r="W502" s="8" t="s">
        <v>7834</v>
      </c>
    </row>
    <row r="503" spans="1:23" x14ac:dyDescent="0.25">
      <c r="A503" s="2">
        <v>1131</v>
      </c>
      <c r="B503" s="3" t="s">
        <v>4536</v>
      </c>
      <c r="C503" s="3">
        <v>2024</v>
      </c>
      <c r="D503" s="3" t="s">
        <v>573</v>
      </c>
      <c r="E503" s="3" t="s">
        <v>206</v>
      </c>
      <c r="F503" s="1" t="s">
        <v>7834</v>
      </c>
      <c r="G503" s="10"/>
      <c r="H503" s="10"/>
      <c r="I503" s="10"/>
      <c r="J503" s="10"/>
      <c r="K503" s="10"/>
      <c r="L503" s="3" t="s">
        <v>4770</v>
      </c>
      <c r="M503" s="3" t="s">
        <v>4771</v>
      </c>
      <c r="N503" s="3" t="s">
        <v>647</v>
      </c>
      <c r="O503" s="3">
        <v>24</v>
      </c>
      <c r="P503" s="3">
        <v>5</v>
      </c>
      <c r="Q503" s="3">
        <v>1048</v>
      </c>
      <c r="R503" s="3" t="s">
        <v>4772</v>
      </c>
      <c r="S503" s="3" t="s">
        <v>4773</v>
      </c>
      <c r="T503" s="3" t="s">
        <v>483</v>
      </c>
      <c r="U503" s="11">
        <v>84</v>
      </c>
      <c r="V503" s="3" t="s">
        <v>4536</v>
      </c>
      <c r="W503" s="8" t="s">
        <v>7834</v>
      </c>
    </row>
    <row r="504" spans="1:23" x14ac:dyDescent="0.25">
      <c r="A504" s="2">
        <v>1133</v>
      </c>
      <c r="B504" s="3" t="s">
        <v>4536</v>
      </c>
      <c r="C504" s="3">
        <v>2024</v>
      </c>
      <c r="D504" s="3" t="s">
        <v>82</v>
      </c>
      <c r="E504" s="3" t="s">
        <v>206</v>
      </c>
      <c r="F504" s="1" t="s">
        <v>7834</v>
      </c>
      <c r="G504" s="10"/>
      <c r="H504" s="10"/>
      <c r="I504" s="10"/>
      <c r="J504" s="10"/>
      <c r="K504" s="10"/>
      <c r="L504" s="3" t="s">
        <v>4776</v>
      </c>
      <c r="M504" s="3" t="s">
        <v>4777</v>
      </c>
      <c r="N504" s="3" t="s">
        <v>699</v>
      </c>
      <c r="O504" s="3">
        <v>95</v>
      </c>
      <c r="P504" s="3">
        <v>5</v>
      </c>
      <c r="Q504" s="3">
        <v>497</v>
      </c>
      <c r="R504" s="3" t="s">
        <v>4778</v>
      </c>
      <c r="S504" s="3" t="s">
        <v>701</v>
      </c>
      <c r="T504" s="3" t="s">
        <v>483</v>
      </c>
      <c r="U504" s="11">
        <v>85</v>
      </c>
      <c r="V504" s="3" t="s">
        <v>4536</v>
      </c>
      <c r="W504" s="8" t="s">
        <v>7834</v>
      </c>
    </row>
    <row r="505" spans="1:23" x14ac:dyDescent="0.25">
      <c r="A505" s="2">
        <v>1167</v>
      </c>
      <c r="B505" s="3" t="s">
        <v>4536</v>
      </c>
      <c r="C505" s="3">
        <v>2024</v>
      </c>
      <c r="D505" s="3" t="s">
        <v>14</v>
      </c>
      <c r="E505" s="3" t="s">
        <v>206</v>
      </c>
      <c r="F505" s="1" t="s">
        <v>7834</v>
      </c>
      <c r="G505" s="10"/>
      <c r="H505" s="10"/>
      <c r="I505" s="10"/>
      <c r="J505" s="10"/>
      <c r="K505" s="10"/>
      <c r="L505" s="3" t="s">
        <v>4897</v>
      </c>
      <c r="M505" s="3" t="s">
        <v>4898</v>
      </c>
      <c r="N505" s="3" t="s">
        <v>4195</v>
      </c>
      <c r="O505" s="3">
        <v>33</v>
      </c>
      <c r="P505" s="3">
        <v>2</v>
      </c>
      <c r="Q505" s="3">
        <v>1</v>
      </c>
      <c r="R505" s="3" t="s">
        <v>4899</v>
      </c>
      <c r="S505" s="3" t="s">
        <v>4900</v>
      </c>
      <c r="T505" s="3" t="s">
        <v>483</v>
      </c>
      <c r="U505" s="11">
        <v>86</v>
      </c>
      <c r="V505" s="3" t="s">
        <v>4536</v>
      </c>
      <c r="W505" s="8" t="s">
        <v>7834</v>
      </c>
    </row>
    <row r="506" spans="1:23" x14ac:dyDescent="0.25">
      <c r="A506" s="2">
        <v>1173</v>
      </c>
      <c r="B506" s="3" t="s">
        <v>4536</v>
      </c>
      <c r="C506" s="3">
        <v>2024</v>
      </c>
      <c r="D506" s="3" t="s">
        <v>590</v>
      </c>
      <c r="E506" s="3" t="s">
        <v>206</v>
      </c>
      <c r="F506" s="1" t="s">
        <v>7834</v>
      </c>
      <c r="G506" s="10"/>
      <c r="H506" s="10"/>
      <c r="I506" s="10"/>
      <c r="J506" s="10"/>
      <c r="K506" s="10"/>
      <c r="L506" s="3" t="s">
        <v>4917</v>
      </c>
      <c r="M506" s="3" t="s">
        <v>592</v>
      </c>
      <c r="N506" s="3" t="s">
        <v>4918</v>
      </c>
      <c r="O506" s="3"/>
      <c r="P506" s="3"/>
      <c r="Q506" s="3"/>
      <c r="R506" s="3" t="s">
        <v>594</v>
      </c>
      <c r="S506" s="3" t="s">
        <v>4919</v>
      </c>
      <c r="T506" s="3" t="s">
        <v>483</v>
      </c>
      <c r="U506" s="11">
        <v>87</v>
      </c>
      <c r="V506" s="3" t="s">
        <v>4536</v>
      </c>
      <c r="W506" s="8" t="s">
        <v>7834</v>
      </c>
    </row>
    <row r="507" spans="1:23" x14ac:dyDescent="0.25">
      <c r="A507" s="2">
        <v>1178</v>
      </c>
      <c r="B507" s="3" t="s">
        <v>4536</v>
      </c>
      <c r="C507" s="3">
        <v>2024</v>
      </c>
      <c r="D507" s="3" t="s">
        <v>713</v>
      </c>
      <c r="E507" s="3" t="s">
        <v>206</v>
      </c>
      <c r="F507" s="1" t="s">
        <v>7834</v>
      </c>
      <c r="G507" s="10"/>
      <c r="H507" s="10"/>
      <c r="I507" s="10"/>
      <c r="J507" s="10"/>
      <c r="K507" s="10"/>
      <c r="L507" s="3" t="s">
        <v>4935</v>
      </c>
      <c r="M507" s="3" t="s">
        <v>715</v>
      </c>
      <c r="N507" s="3" t="s">
        <v>4936</v>
      </c>
      <c r="O507" s="3">
        <v>56</v>
      </c>
      <c r="P507" s="3">
        <v>167</v>
      </c>
      <c r="Q507" s="3">
        <v>157</v>
      </c>
      <c r="R507" s="3" t="s">
        <v>4937</v>
      </c>
      <c r="S507" s="3" t="s">
        <v>4938</v>
      </c>
      <c r="T507" s="3" t="s">
        <v>483</v>
      </c>
      <c r="U507" s="11">
        <v>88</v>
      </c>
      <c r="V507" s="3" t="s">
        <v>4536</v>
      </c>
      <c r="W507" s="8" t="s">
        <v>7834</v>
      </c>
    </row>
    <row r="508" spans="1:23" x14ac:dyDescent="0.25">
      <c r="A508" s="2">
        <v>1180</v>
      </c>
      <c r="B508" s="3" t="s">
        <v>4536</v>
      </c>
      <c r="C508" s="3">
        <v>2024</v>
      </c>
      <c r="D508" s="3" t="s">
        <v>14</v>
      </c>
      <c r="E508" s="3" t="s">
        <v>206</v>
      </c>
      <c r="F508" s="1" t="s">
        <v>7834</v>
      </c>
      <c r="G508" s="10"/>
      <c r="H508" s="10"/>
      <c r="I508" s="10"/>
      <c r="J508" s="10"/>
      <c r="K508" s="10"/>
      <c r="L508" s="3" t="s">
        <v>4945</v>
      </c>
      <c r="M508" s="3" t="s">
        <v>4946</v>
      </c>
      <c r="N508" s="3" t="s">
        <v>4947</v>
      </c>
      <c r="O508" s="3">
        <v>6</v>
      </c>
      <c r="P508" s="3">
        <v>2</v>
      </c>
      <c r="Q508" s="3">
        <v>189</v>
      </c>
      <c r="R508" s="3" t="s">
        <v>4948</v>
      </c>
      <c r="S508" s="3" t="s">
        <v>4949</v>
      </c>
      <c r="T508" s="3" t="s">
        <v>483</v>
      </c>
      <c r="U508" s="11">
        <v>89</v>
      </c>
      <c r="V508" s="3" t="s">
        <v>4536</v>
      </c>
      <c r="W508" s="8" t="s">
        <v>7834</v>
      </c>
    </row>
    <row r="509" spans="1:23" x14ac:dyDescent="0.25">
      <c r="A509" s="2">
        <v>1209</v>
      </c>
      <c r="B509" s="3" t="s">
        <v>4986</v>
      </c>
      <c r="C509" s="3">
        <v>2024</v>
      </c>
      <c r="D509" s="3" t="s">
        <v>31</v>
      </c>
      <c r="E509" s="3" t="s">
        <v>15</v>
      </c>
      <c r="F509" s="1" t="s">
        <v>7834</v>
      </c>
      <c r="G509" s="10"/>
      <c r="H509" s="10"/>
      <c r="I509" s="10"/>
      <c r="J509" s="10"/>
      <c r="K509" s="10"/>
      <c r="L509" s="3" t="s">
        <v>478</v>
      </c>
      <c r="M509" s="3" t="s">
        <v>480</v>
      </c>
      <c r="N509" s="3" t="s">
        <v>479</v>
      </c>
      <c r="O509" s="3"/>
      <c r="P509" s="3"/>
      <c r="Q509" s="3"/>
      <c r="R509" s="3" t="s">
        <v>481</v>
      </c>
      <c r="S509" s="3" t="s">
        <v>482</v>
      </c>
      <c r="T509" s="3" t="s">
        <v>483</v>
      </c>
      <c r="U509" s="11">
        <v>90</v>
      </c>
      <c r="V509" s="3" t="s">
        <v>4986</v>
      </c>
      <c r="W509" s="8" t="s">
        <v>7834</v>
      </c>
    </row>
    <row r="510" spans="1:23" x14ac:dyDescent="0.25">
      <c r="A510" s="2">
        <v>1220</v>
      </c>
      <c r="B510" s="3" t="s">
        <v>5020</v>
      </c>
      <c r="C510" s="3">
        <v>2024</v>
      </c>
      <c r="D510" s="3" t="s">
        <v>82</v>
      </c>
      <c r="E510" s="3" t="s">
        <v>15</v>
      </c>
      <c r="F510" s="1" t="s">
        <v>7834</v>
      </c>
      <c r="G510" s="10"/>
      <c r="H510" s="10"/>
      <c r="I510" s="10"/>
      <c r="J510" s="10"/>
      <c r="K510" s="10"/>
      <c r="L510" s="3" t="s">
        <v>5051</v>
      </c>
      <c r="M510" s="3" t="s">
        <v>5052</v>
      </c>
      <c r="N510" s="3" t="s">
        <v>5053</v>
      </c>
      <c r="O510" s="3" t="s">
        <v>5054</v>
      </c>
      <c r="P510" s="3" t="s">
        <v>5054</v>
      </c>
      <c r="Q510" s="3" t="s">
        <v>5054</v>
      </c>
      <c r="R510" s="3" t="s">
        <v>5055</v>
      </c>
      <c r="S510" s="3" t="s">
        <v>5056</v>
      </c>
      <c r="T510" s="3" t="s">
        <v>483</v>
      </c>
      <c r="U510" s="11">
        <v>91</v>
      </c>
      <c r="V510" s="3" t="s">
        <v>5020</v>
      </c>
      <c r="W510" s="8" t="s">
        <v>7834</v>
      </c>
    </row>
    <row r="511" spans="1:23" x14ac:dyDescent="0.25">
      <c r="A511" s="2">
        <v>1251</v>
      </c>
      <c r="B511" s="3" t="s">
        <v>5020</v>
      </c>
      <c r="C511" s="3">
        <v>2024</v>
      </c>
      <c r="D511" s="3" t="s">
        <v>63</v>
      </c>
      <c r="E511" s="3" t="s">
        <v>15</v>
      </c>
      <c r="F511" s="1" t="s">
        <v>7834</v>
      </c>
      <c r="G511" s="10"/>
      <c r="H511" s="10"/>
      <c r="I511" s="10"/>
      <c r="J511" s="10"/>
      <c r="K511" s="10"/>
      <c r="L511" s="3" t="s">
        <v>5180</v>
      </c>
      <c r="M511" s="3" t="s">
        <v>5181</v>
      </c>
      <c r="N511" s="3" t="s">
        <v>5182</v>
      </c>
      <c r="O511" s="3"/>
      <c r="P511" s="3">
        <v>528</v>
      </c>
      <c r="Q511" s="3">
        <v>237</v>
      </c>
      <c r="R511" s="3" t="s">
        <v>5110</v>
      </c>
      <c r="S511" s="3" t="s">
        <v>5183</v>
      </c>
      <c r="T511" s="3" t="s">
        <v>483</v>
      </c>
      <c r="U511" s="11">
        <v>92</v>
      </c>
      <c r="V511" s="3" t="s">
        <v>5020</v>
      </c>
      <c r="W511" s="8" t="s">
        <v>7834</v>
      </c>
    </row>
    <row r="512" spans="1:23" x14ac:dyDescent="0.25">
      <c r="A512" s="2">
        <v>1252</v>
      </c>
      <c r="B512" s="3" t="s">
        <v>5020</v>
      </c>
      <c r="C512" s="3">
        <v>2024</v>
      </c>
      <c r="D512" s="3" t="s">
        <v>63</v>
      </c>
      <c r="E512" s="3" t="s">
        <v>15</v>
      </c>
      <c r="F512" s="1" t="s">
        <v>7834</v>
      </c>
      <c r="G512" s="10"/>
      <c r="H512" s="10"/>
      <c r="I512" s="10"/>
      <c r="J512" s="10"/>
      <c r="K512" s="10"/>
      <c r="L512" s="3" t="s">
        <v>5184</v>
      </c>
      <c r="M512" s="3" t="s">
        <v>5181</v>
      </c>
      <c r="N512" s="3" t="s">
        <v>5182</v>
      </c>
      <c r="O512" s="3"/>
      <c r="P512" s="3">
        <v>528</v>
      </c>
      <c r="Q512" s="3">
        <v>283</v>
      </c>
      <c r="R512" s="3" t="s">
        <v>5110</v>
      </c>
      <c r="S512" s="3" t="s">
        <v>5185</v>
      </c>
      <c r="T512" s="3" t="s">
        <v>483</v>
      </c>
      <c r="U512" s="11">
        <v>93</v>
      </c>
      <c r="V512" s="3" t="s">
        <v>5020</v>
      </c>
      <c r="W512" s="8" t="s">
        <v>7834</v>
      </c>
    </row>
    <row r="513" spans="1:23" x14ac:dyDescent="0.25">
      <c r="A513" s="2">
        <v>1263</v>
      </c>
      <c r="B513" s="3" t="s">
        <v>5020</v>
      </c>
      <c r="C513" s="3">
        <v>2024</v>
      </c>
      <c r="D513" s="3" t="s">
        <v>215</v>
      </c>
      <c r="E513" s="3" t="s">
        <v>114</v>
      </c>
      <c r="F513" s="1" t="s">
        <v>7834</v>
      </c>
      <c r="G513" s="10"/>
      <c r="H513" s="10"/>
      <c r="I513" s="10">
        <v>2</v>
      </c>
      <c r="J513" s="10"/>
      <c r="K513" s="10"/>
      <c r="L513" s="3" t="s">
        <v>5229</v>
      </c>
      <c r="M513" s="3" t="s">
        <v>5230</v>
      </c>
      <c r="N513" s="3" t="s">
        <v>5231</v>
      </c>
      <c r="O513" s="3"/>
      <c r="P513" s="3"/>
      <c r="Q513" s="3">
        <v>1</v>
      </c>
      <c r="R513" s="3"/>
      <c r="S513" s="3" t="s">
        <v>5232</v>
      </c>
      <c r="T513" s="3" t="s">
        <v>483</v>
      </c>
      <c r="U513" s="11">
        <v>94</v>
      </c>
      <c r="V513" s="3" t="s">
        <v>5020</v>
      </c>
      <c r="W513" s="8" t="s">
        <v>7834</v>
      </c>
    </row>
    <row r="514" spans="1:23" x14ac:dyDescent="0.25">
      <c r="A514" s="2">
        <v>1223</v>
      </c>
      <c r="B514" s="3" t="s">
        <v>5020</v>
      </c>
      <c r="C514" s="3">
        <v>2024</v>
      </c>
      <c r="D514" s="3" t="s">
        <v>1363</v>
      </c>
      <c r="E514" s="3" t="s">
        <v>206</v>
      </c>
      <c r="F514" s="1" t="s">
        <v>7834</v>
      </c>
      <c r="G514" s="10"/>
      <c r="H514" s="10"/>
      <c r="I514" s="10"/>
      <c r="J514" s="10"/>
      <c r="K514" s="10"/>
      <c r="L514" s="3" t="s">
        <v>5068</v>
      </c>
      <c r="M514" s="3" t="s">
        <v>5069</v>
      </c>
      <c r="N514" s="3" t="s">
        <v>5070</v>
      </c>
      <c r="O514" s="3">
        <v>56</v>
      </c>
      <c r="P514" s="3">
        <v>4</v>
      </c>
      <c r="Q514" s="3" t="s">
        <v>5071</v>
      </c>
      <c r="R514" s="3"/>
      <c r="S514" s="3" t="s">
        <v>5072</v>
      </c>
      <c r="T514" s="3" t="s">
        <v>483</v>
      </c>
      <c r="U514" s="11">
        <v>95</v>
      </c>
      <c r="V514" s="3" t="s">
        <v>5020</v>
      </c>
      <c r="W514" s="8" t="s">
        <v>7834</v>
      </c>
    </row>
    <row r="515" spans="1:23" x14ac:dyDescent="0.25">
      <c r="A515" s="2">
        <v>1233</v>
      </c>
      <c r="B515" s="3" t="s">
        <v>5020</v>
      </c>
      <c r="C515" s="3">
        <v>2024</v>
      </c>
      <c r="D515" s="3" t="s">
        <v>1701</v>
      </c>
      <c r="E515" s="3" t="s">
        <v>206</v>
      </c>
      <c r="F515" s="1" t="s">
        <v>7834</v>
      </c>
      <c r="G515" s="10"/>
      <c r="H515" s="10"/>
      <c r="I515" s="10"/>
      <c r="J515" s="10"/>
      <c r="K515" s="10"/>
      <c r="L515" s="3" t="s">
        <v>5107</v>
      </c>
      <c r="M515" s="3" t="s">
        <v>5108</v>
      </c>
      <c r="N515" s="3" t="s">
        <v>5109</v>
      </c>
      <c r="O515" s="3"/>
      <c r="P515" s="3">
        <v>528</v>
      </c>
      <c r="Q515" s="3">
        <v>267</v>
      </c>
      <c r="R515" s="3" t="s">
        <v>5110</v>
      </c>
      <c r="S515" s="3" t="s">
        <v>5111</v>
      </c>
      <c r="T515" s="3" t="s">
        <v>483</v>
      </c>
      <c r="U515" s="11">
        <v>96</v>
      </c>
      <c r="V515" s="3" t="s">
        <v>5020</v>
      </c>
      <c r="W515" s="8" t="s">
        <v>7834</v>
      </c>
    </row>
    <row r="516" spans="1:23" x14ac:dyDescent="0.25">
      <c r="A516" s="2">
        <v>1240</v>
      </c>
      <c r="B516" s="3" t="s">
        <v>5020</v>
      </c>
      <c r="C516" s="3">
        <v>2024</v>
      </c>
      <c r="D516" s="3" t="s">
        <v>2606</v>
      </c>
      <c r="E516" s="3" t="s">
        <v>206</v>
      </c>
      <c r="F516" s="1" t="s">
        <v>7834</v>
      </c>
      <c r="G516" s="10"/>
      <c r="H516" s="10"/>
      <c r="I516" s="10"/>
      <c r="J516" s="10"/>
      <c r="K516" s="10"/>
      <c r="L516" s="3" t="s">
        <v>5137</v>
      </c>
      <c r="M516" s="3" t="s">
        <v>5138</v>
      </c>
      <c r="N516" s="3" t="s">
        <v>5139</v>
      </c>
      <c r="O516" s="3">
        <v>56</v>
      </c>
      <c r="P516" s="3">
        <v>4</v>
      </c>
      <c r="Q516" s="3">
        <v>346</v>
      </c>
      <c r="R516" s="3"/>
      <c r="S516" s="3" t="s">
        <v>5140</v>
      </c>
      <c r="T516" s="3" t="s">
        <v>483</v>
      </c>
      <c r="U516" s="11">
        <v>97</v>
      </c>
      <c r="V516" s="3" t="s">
        <v>5020</v>
      </c>
      <c r="W516" s="8" t="s">
        <v>7834</v>
      </c>
    </row>
    <row r="517" spans="1:23" x14ac:dyDescent="0.25">
      <c r="A517" s="2">
        <v>1257</v>
      </c>
      <c r="B517" s="3" t="s">
        <v>5020</v>
      </c>
      <c r="C517" s="3">
        <v>2024</v>
      </c>
      <c r="D517" s="3" t="s">
        <v>86</v>
      </c>
      <c r="E517" s="3" t="s">
        <v>206</v>
      </c>
      <c r="F517" s="1" t="s">
        <v>7834</v>
      </c>
      <c r="G517" s="10"/>
      <c r="H517" s="10"/>
      <c r="I517" s="10"/>
      <c r="J517" s="10"/>
      <c r="K517" s="10"/>
      <c r="L517" s="3" t="s">
        <v>5203</v>
      </c>
      <c r="M517" s="3" t="s">
        <v>5204</v>
      </c>
      <c r="N517" s="3" t="s">
        <v>5205</v>
      </c>
      <c r="O517" s="3">
        <v>12</v>
      </c>
      <c r="P517" s="3"/>
      <c r="Q517" s="3">
        <v>19</v>
      </c>
      <c r="R517" s="3" t="s">
        <v>5206</v>
      </c>
      <c r="S517" s="3" t="s">
        <v>5207</v>
      </c>
      <c r="T517" s="3" t="s">
        <v>483</v>
      </c>
      <c r="U517" s="11">
        <v>98</v>
      </c>
      <c r="V517" s="3" t="s">
        <v>5020</v>
      </c>
      <c r="W517" s="8" t="s">
        <v>7834</v>
      </c>
    </row>
    <row r="518" spans="1:23" x14ac:dyDescent="0.25">
      <c r="A518" s="2">
        <v>1258</v>
      </c>
      <c r="B518" s="3" t="s">
        <v>5020</v>
      </c>
      <c r="C518" s="3">
        <v>2024</v>
      </c>
      <c r="D518" s="3" t="s">
        <v>86</v>
      </c>
      <c r="E518" s="3" t="s">
        <v>206</v>
      </c>
      <c r="F518" s="1" t="s">
        <v>7834</v>
      </c>
      <c r="G518" s="10"/>
      <c r="H518" s="10"/>
      <c r="I518" s="10"/>
      <c r="J518" s="10"/>
      <c r="K518" s="10"/>
      <c r="L518" s="3" t="s">
        <v>5208</v>
      </c>
      <c r="M518" s="3" t="s">
        <v>5209</v>
      </c>
      <c r="N518" s="3" t="s">
        <v>5210</v>
      </c>
      <c r="O518" s="3">
        <v>23</v>
      </c>
      <c r="P518" s="3">
        <v>3</v>
      </c>
      <c r="Q518" s="3"/>
      <c r="R518" s="3"/>
      <c r="S518" s="3" t="s">
        <v>5211</v>
      </c>
      <c r="T518" s="3" t="s">
        <v>483</v>
      </c>
      <c r="U518" s="11">
        <v>99</v>
      </c>
      <c r="V518" s="3" t="s">
        <v>5020</v>
      </c>
      <c r="W518" s="8" t="s">
        <v>7834</v>
      </c>
    </row>
    <row r="519" spans="1:23" x14ac:dyDescent="0.25">
      <c r="A519" s="2">
        <v>1267</v>
      </c>
      <c r="B519" s="3" t="s">
        <v>5237</v>
      </c>
      <c r="C519" s="3">
        <v>2024</v>
      </c>
      <c r="D519" s="3" t="s">
        <v>508</v>
      </c>
      <c r="E519" s="3" t="s">
        <v>15</v>
      </c>
      <c r="F519" s="1" t="s">
        <v>7834</v>
      </c>
      <c r="G519" s="10"/>
      <c r="H519" s="10"/>
      <c r="I519" s="10"/>
      <c r="J519" s="10"/>
      <c r="K519" s="10"/>
      <c r="L519" s="3" t="s">
        <v>5248</v>
      </c>
      <c r="M519" s="3" t="s">
        <v>5249</v>
      </c>
      <c r="N519" s="3" t="s">
        <v>1015</v>
      </c>
      <c r="O519" s="3">
        <v>50</v>
      </c>
      <c r="P519" s="3">
        <v>4</v>
      </c>
      <c r="Q519" s="3">
        <v>332</v>
      </c>
      <c r="R519" s="3" t="s">
        <v>5250</v>
      </c>
      <c r="S519" s="3" t="s">
        <v>1016</v>
      </c>
      <c r="T519" s="3" t="s">
        <v>483</v>
      </c>
      <c r="U519" s="11">
        <v>1</v>
      </c>
      <c r="V519" s="3" t="s">
        <v>5237</v>
      </c>
      <c r="W519" s="8" t="s">
        <v>7834</v>
      </c>
    </row>
    <row r="520" spans="1:23" x14ac:dyDescent="0.25">
      <c r="A520" s="2">
        <v>1275</v>
      </c>
      <c r="B520" s="3" t="s">
        <v>5237</v>
      </c>
      <c r="C520" s="3">
        <v>2024</v>
      </c>
      <c r="D520" s="3" t="s">
        <v>4726</v>
      </c>
      <c r="E520" s="3" t="s">
        <v>15</v>
      </c>
      <c r="F520" s="1" t="s">
        <v>7834</v>
      </c>
      <c r="G520" s="10"/>
      <c r="H520" s="10"/>
      <c r="I520" s="10"/>
      <c r="J520" s="10"/>
      <c r="K520" s="10"/>
      <c r="L520" s="3" t="s">
        <v>5280</v>
      </c>
      <c r="M520" s="3" t="s">
        <v>5281</v>
      </c>
      <c r="N520" s="3" t="s">
        <v>5282</v>
      </c>
      <c r="O520" s="3">
        <v>52</v>
      </c>
      <c r="P520" s="3">
        <v>27</v>
      </c>
      <c r="Q520" s="3"/>
      <c r="R520" s="3">
        <v>10183337</v>
      </c>
      <c r="S520" s="3" t="s">
        <v>5283</v>
      </c>
      <c r="T520" s="3" t="s">
        <v>483</v>
      </c>
      <c r="U520" s="11">
        <v>2</v>
      </c>
      <c r="V520" s="3" t="s">
        <v>5237</v>
      </c>
      <c r="W520" s="8" t="s">
        <v>7834</v>
      </c>
    </row>
    <row r="521" spans="1:23" x14ac:dyDescent="0.25">
      <c r="A521" s="2">
        <v>1285</v>
      </c>
      <c r="B521" s="3" t="s">
        <v>5237</v>
      </c>
      <c r="C521" s="3">
        <v>2024</v>
      </c>
      <c r="D521" s="3" t="s">
        <v>1542</v>
      </c>
      <c r="E521" s="3" t="s">
        <v>15</v>
      </c>
      <c r="F521" s="1" t="s">
        <v>7834</v>
      </c>
      <c r="G521" s="10"/>
      <c r="H521" s="10"/>
      <c r="I521" s="10"/>
      <c r="J521" s="10"/>
      <c r="K521" s="10"/>
      <c r="L521" s="3" t="s">
        <v>5320</v>
      </c>
      <c r="M521" s="3" t="s">
        <v>5321</v>
      </c>
      <c r="N521" s="3" t="s">
        <v>5322</v>
      </c>
      <c r="O521" s="3"/>
      <c r="P521" s="3"/>
      <c r="Q521" s="3">
        <v>1</v>
      </c>
      <c r="R521" s="3" t="s">
        <v>5323</v>
      </c>
      <c r="S521" s="3" t="s">
        <v>5324</v>
      </c>
      <c r="T521" s="3" t="s">
        <v>483</v>
      </c>
      <c r="U521" s="11">
        <v>3</v>
      </c>
      <c r="V521" s="3" t="s">
        <v>5237</v>
      </c>
      <c r="W521" s="8" t="s">
        <v>7834</v>
      </c>
    </row>
    <row r="522" spans="1:23" x14ac:dyDescent="0.25">
      <c r="A522" s="2">
        <v>1371</v>
      </c>
      <c r="B522" s="3" t="s">
        <v>5596</v>
      </c>
      <c r="C522" s="3">
        <v>2024</v>
      </c>
      <c r="D522" s="3" t="s">
        <v>2498</v>
      </c>
      <c r="E522" s="3" t="s">
        <v>206</v>
      </c>
      <c r="F522" s="1" t="s">
        <v>7834</v>
      </c>
      <c r="G522" s="10"/>
      <c r="H522" s="10"/>
      <c r="I522" s="10"/>
      <c r="J522" s="10"/>
      <c r="K522" s="10"/>
      <c r="L522" s="3" t="s">
        <v>5652</v>
      </c>
      <c r="M522" s="3" t="s">
        <v>5653</v>
      </c>
      <c r="N522" s="3" t="s">
        <v>5654</v>
      </c>
      <c r="O522" s="3">
        <v>65</v>
      </c>
      <c r="P522" s="3"/>
      <c r="Q522" s="3">
        <v>113</v>
      </c>
      <c r="R522" s="3" t="s">
        <v>5655</v>
      </c>
      <c r="S522" s="3" t="s">
        <v>5656</v>
      </c>
      <c r="T522" s="3" t="s">
        <v>483</v>
      </c>
      <c r="U522" s="11">
        <v>4</v>
      </c>
      <c r="V522" s="3" t="s">
        <v>5596</v>
      </c>
      <c r="W522" s="8" t="s">
        <v>7834</v>
      </c>
    </row>
    <row r="523" spans="1:23" x14ac:dyDescent="0.25">
      <c r="A523" s="2">
        <v>1375</v>
      </c>
      <c r="B523" s="3" t="s">
        <v>5596</v>
      </c>
      <c r="C523" s="3">
        <v>2024</v>
      </c>
      <c r="D523" s="3" t="s">
        <v>82</v>
      </c>
      <c r="E523" s="3" t="s">
        <v>206</v>
      </c>
      <c r="F523" s="1" t="s">
        <v>7834</v>
      </c>
      <c r="G523" s="10"/>
      <c r="H523" s="10"/>
      <c r="I523" s="10"/>
      <c r="J523" s="10"/>
      <c r="K523" s="10">
        <v>5</v>
      </c>
      <c r="L523" s="3" t="s">
        <v>5666</v>
      </c>
      <c r="M523" s="3" t="s">
        <v>5667</v>
      </c>
      <c r="N523" s="3" t="s">
        <v>5668</v>
      </c>
      <c r="O523" s="3">
        <v>59</v>
      </c>
      <c r="P523" s="3"/>
      <c r="Q523" s="3"/>
      <c r="R523" s="3" t="s">
        <v>5669</v>
      </c>
      <c r="S523" s="3" t="s">
        <v>5670</v>
      </c>
      <c r="T523" s="3" t="s">
        <v>483</v>
      </c>
      <c r="U523" s="11">
        <v>5</v>
      </c>
      <c r="V523" s="3" t="s">
        <v>5596</v>
      </c>
      <c r="W523" s="8" t="s">
        <v>7834</v>
      </c>
    </row>
    <row r="524" spans="1:23" x14ac:dyDescent="0.25">
      <c r="A524" s="2">
        <v>1387</v>
      </c>
      <c r="B524" s="3" t="s">
        <v>5671</v>
      </c>
      <c r="C524" s="3">
        <v>2024</v>
      </c>
      <c r="D524" s="3" t="s">
        <v>1227</v>
      </c>
      <c r="E524" s="3" t="s">
        <v>15</v>
      </c>
      <c r="F524" s="1" t="s">
        <v>7834</v>
      </c>
      <c r="G524" s="10"/>
      <c r="H524" s="10"/>
      <c r="I524" s="10"/>
      <c r="J524" s="10"/>
      <c r="K524" s="10"/>
      <c r="L524" s="3" t="s">
        <v>5706</v>
      </c>
      <c r="M524" s="3" t="s">
        <v>5707</v>
      </c>
      <c r="N524" s="3" t="s">
        <v>5708</v>
      </c>
      <c r="O524" s="3">
        <v>88</v>
      </c>
      <c r="P524" s="6">
        <v>45748</v>
      </c>
      <c r="Q524" s="3">
        <v>1</v>
      </c>
      <c r="R524" s="3" t="s">
        <v>5709</v>
      </c>
      <c r="S524" s="3" t="s">
        <v>5710</v>
      </c>
      <c r="T524" s="3" t="s">
        <v>483</v>
      </c>
      <c r="U524" s="11">
        <v>6</v>
      </c>
      <c r="V524" s="3" t="s">
        <v>5671</v>
      </c>
      <c r="W524" s="8" t="s">
        <v>7834</v>
      </c>
    </row>
    <row r="525" spans="1:23" x14ac:dyDescent="0.25">
      <c r="A525" s="2">
        <v>1388</v>
      </c>
      <c r="B525" s="3" t="s">
        <v>5671</v>
      </c>
      <c r="C525" s="3">
        <v>2024</v>
      </c>
      <c r="D525" s="3" t="s">
        <v>3086</v>
      </c>
      <c r="E525" s="3" t="s">
        <v>15</v>
      </c>
      <c r="F525" s="1" t="s">
        <v>7834</v>
      </c>
      <c r="G525" s="10">
        <v>9</v>
      </c>
      <c r="H525" s="10"/>
      <c r="I525" s="10"/>
      <c r="J525" s="10"/>
      <c r="K525" s="10"/>
      <c r="L525" s="3" t="s">
        <v>5711</v>
      </c>
      <c r="M525" s="3" t="s">
        <v>5712</v>
      </c>
      <c r="N525" s="3" t="s">
        <v>5713</v>
      </c>
      <c r="O525" s="3">
        <v>68</v>
      </c>
      <c r="P525" s="3">
        <v>2</v>
      </c>
      <c r="Q525" s="3"/>
      <c r="R525" s="3" t="s">
        <v>5714</v>
      </c>
      <c r="S525" s="3" t="s">
        <v>5715</v>
      </c>
      <c r="T525" s="3" t="s">
        <v>483</v>
      </c>
      <c r="U525" s="11">
        <v>7</v>
      </c>
      <c r="V525" s="3" t="s">
        <v>5671</v>
      </c>
      <c r="W525" s="8" t="s">
        <v>7834</v>
      </c>
    </row>
    <row r="526" spans="1:23" x14ac:dyDescent="0.25">
      <c r="A526" s="2">
        <v>1411</v>
      </c>
      <c r="B526" s="3" t="s">
        <v>5763</v>
      </c>
      <c r="C526" s="3">
        <v>2024</v>
      </c>
      <c r="D526" s="3" t="s">
        <v>1262</v>
      </c>
      <c r="E526" s="3" t="s">
        <v>15</v>
      </c>
      <c r="F526" s="1" t="s">
        <v>7834</v>
      </c>
      <c r="G526" s="10"/>
      <c r="H526" s="10"/>
      <c r="I526" s="10"/>
      <c r="J526" s="10"/>
      <c r="K526" s="10"/>
      <c r="L526" s="3" t="s">
        <v>5812</v>
      </c>
      <c r="M526" s="3" t="s">
        <v>5813</v>
      </c>
      <c r="N526" s="3" t="s">
        <v>5814</v>
      </c>
      <c r="O526" s="3"/>
      <c r="P526" s="3"/>
      <c r="Q526" s="3"/>
      <c r="R526" s="3" t="s">
        <v>5815</v>
      </c>
      <c r="S526" s="3" t="s">
        <v>5816</v>
      </c>
      <c r="T526" s="3" t="s">
        <v>483</v>
      </c>
      <c r="U526" s="11">
        <v>8</v>
      </c>
      <c r="V526" s="3" t="s">
        <v>5763</v>
      </c>
      <c r="W526" s="8" t="s">
        <v>7834</v>
      </c>
    </row>
    <row r="527" spans="1:23" x14ac:dyDescent="0.25">
      <c r="A527" s="2">
        <v>1404</v>
      </c>
      <c r="B527" s="3" t="s">
        <v>5763</v>
      </c>
      <c r="C527" s="3">
        <v>2024</v>
      </c>
      <c r="D527" s="3" t="s">
        <v>508</v>
      </c>
      <c r="E527" s="3" t="s">
        <v>206</v>
      </c>
      <c r="F527" s="1" t="s">
        <v>7834</v>
      </c>
      <c r="G527" s="10"/>
      <c r="H527" s="10"/>
      <c r="I527" s="10"/>
      <c r="J527" s="10"/>
      <c r="K527" s="10"/>
      <c r="L527" s="3" t="s">
        <v>5780</v>
      </c>
      <c r="M527" s="3" t="s">
        <v>5781</v>
      </c>
      <c r="N527" s="3" t="s">
        <v>5782</v>
      </c>
      <c r="O527" s="3"/>
      <c r="P527" s="3"/>
      <c r="Q527" s="3"/>
      <c r="R527" s="3"/>
      <c r="S527" s="3" t="s">
        <v>5783</v>
      </c>
      <c r="T527" s="3" t="s">
        <v>483</v>
      </c>
      <c r="U527" s="11">
        <v>9</v>
      </c>
      <c r="V527" s="3" t="s">
        <v>5763</v>
      </c>
      <c r="W527" s="8" t="s">
        <v>7834</v>
      </c>
    </row>
    <row r="528" spans="1:23" x14ac:dyDescent="0.25">
      <c r="A528" s="2">
        <v>1425</v>
      </c>
      <c r="B528" s="3" t="s">
        <v>5873</v>
      </c>
      <c r="C528" s="3">
        <v>2024</v>
      </c>
      <c r="D528" s="3" t="s">
        <v>2567</v>
      </c>
      <c r="E528" s="3" t="s">
        <v>15</v>
      </c>
      <c r="F528" s="1" t="s">
        <v>7834</v>
      </c>
      <c r="G528" s="10"/>
      <c r="H528" s="10"/>
      <c r="I528" s="10"/>
      <c r="J528" s="10"/>
      <c r="K528" s="10"/>
      <c r="L528" s="3" t="s">
        <v>5874</v>
      </c>
      <c r="M528" s="3" t="s">
        <v>5875</v>
      </c>
      <c r="N528" s="3" t="s">
        <v>5876</v>
      </c>
      <c r="O528" s="3">
        <v>74</v>
      </c>
      <c r="P528" s="3">
        <v>2</v>
      </c>
      <c r="Q528" s="3"/>
      <c r="R528" s="3" t="s">
        <v>5877</v>
      </c>
      <c r="S528" s="3" t="s">
        <v>5878</v>
      </c>
      <c r="T528" s="3" t="s">
        <v>483</v>
      </c>
      <c r="U528" s="11">
        <v>10</v>
      </c>
      <c r="V528" s="3" t="s">
        <v>5873</v>
      </c>
      <c r="W528" s="8" t="s">
        <v>7834</v>
      </c>
    </row>
    <row r="529" spans="1:23" x14ac:dyDescent="0.25">
      <c r="A529" s="2">
        <v>1426</v>
      </c>
      <c r="B529" s="3" t="s">
        <v>5873</v>
      </c>
      <c r="C529" s="3">
        <v>2024</v>
      </c>
      <c r="D529" s="3" t="s">
        <v>5673</v>
      </c>
      <c r="E529" s="3" t="s">
        <v>15</v>
      </c>
      <c r="F529" s="1" t="s">
        <v>7834</v>
      </c>
      <c r="G529" s="10"/>
      <c r="H529" s="10"/>
      <c r="I529" s="10"/>
      <c r="J529" s="10"/>
      <c r="K529" s="10"/>
      <c r="L529" s="3" t="s">
        <v>2235</v>
      </c>
      <c r="M529" s="3" t="s">
        <v>5879</v>
      </c>
      <c r="N529" s="3" t="s">
        <v>5675</v>
      </c>
      <c r="O529" s="3">
        <v>41</v>
      </c>
      <c r="P529" s="6">
        <v>45689</v>
      </c>
      <c r="Q529" s="3">
        <v>52</v>
      </c>
      <c r="R529" s="3" t="s">
        <v>1887</v>
      </c>
      <c r="S529" s="3" t="s">
        <v>1888</v>
      </c>
      <c r="T529" s="3" t="s">
        <v>483</v>
      </c>
      <c r="U529" s="11">
        <v>11</v>
      </c>
      <c r="V529" s="3" t="s">
        <v>5873</v>
      </c>
      <c r="W529" s="8" t="s">
        <v>7834</v>
      </c>
    </row>
    <row r="530" spans="1:23" x14ac:dyDescent="0.25">
      <c r="A530" s="2">
        <v>1432</v>
      </c>
      <c r="B530" s="3" t="s">
        <v>5873</v>
      </c>
      <c r="C530" s="3">
        <v>2024</v>
      </c>
      <c r="D530" s="3" t="s">
        <v>1863</v>
      </c>
      <c r="E530" s="3" t="s">
        <v>15</v>
      </c>
      <c r="F530" s="1" t="s">
        <v>7834</v>
      </c>
      <c r="G530" s="10"/>
      <c r="H530" s="10"/>
      <c r="I530" s="10"/>
      <c r="J530" s="10"/>
      <c r="K530" s="10"/>
      <c r="L530" s="3" t="s">
        <v>5896</v>
      </c>
      <c r="M530" s="3" t="s">
        <v>5897</v>
      </c>
      <c r="N530" s="3" t="s">
        <v>5898</v>
      </c>
      <c r="O530" s="3">
        <v>123</v>
      </c>
      <c r="P530" s="3"/>
      <c r="Q530" s="3">
        <v>254</v>
      </c>
      <c r="R530" s="3" t="s">
        <v>5899</v>
      </c>
      <c r="S530" s="3" t="s">
        <v>5900</v>
      </c>
      <c r="T530" s="3" t="s">
        <v>483</v>
      </c>
      <c r="U530" s="11">
        <v>12</v>
      </c>
      <c r="V530" s="3" t="s">
        <v>5873</v>
      </c>
      <c r="W530" s="8" t="s">
        <v>7834</v>
      </c>
    </row>
    <row r="531" spans="1:23" x14ac:dyDescent="0.25">
      <c r="A531" s="2">
        <v>1445</v>
      </c>
      <c r="B531" s="3" t="s">
        <v>5873</v>
      </c>
      <c r="C531" s="3">
        <v>2024</v>
      </c>
      <c r="D531" s="3" t="s">
        <v>22</v>
      </c>
      <c r="E531" s="3" t="s">
        <v>15</v>
      </c>
      <c r="F531" s="1" t="s">
        <v>7834</v>
      </c>
      <c r="G531" s="10"/>
      <c r="H531" s="10"/>
      <c r="I531" s="10"/>
      <c r="J531" s="10"/>
      <c r="K531" s="10"/>
      <c r="L531" s="3" t="s">
        <v>959</v>
      </c>
      <c r="M531" s="3" t="s">
        <v>5939</v>
      </c>
      <c r="N531" s="3" t="s">
        <v>961</v>
      </c>
      <c r="O531" s="3">
        <v>12</v>
      </c>
      <c r="P531" s="3"/>
      <c r="Q531" s="3" t="s">
        <v>5940</v>
      </c>
      <c r="R531" s="3" t="s">
        <v>5941</v>
      </c>
      <c r="S531" s="3" t="s">
        <v>963</v>
      </c>
      <c r="T531" s="3" t="s">
        <v>483</v>
      </c>
      <c r="U531" s="11">
        <v>13</v>
      </c>
      <c r="V531" s="3" t="s">
        <v>5873</v>
      </c>
      <c r="W531" s="8" t="s">
        <v>7834</v>
      </c>
    </row>
    <row r="532" spans="1:23" x14ac:dyDescent="0.25">
      <c r="A532" s="2">
        <v>1475</v>
      </c>
      <c r="B532" s="3" t="s">
        <v>5964</v>
      </c>
      <c r="C532" s="3">
        <v>2024</v>
      </c>
      <c r="D532" s="3" t="s">
        <v>1440</v>
      </c>
      <c r="E532" s="3" t="s">
        <v>15</v>
      </c>
      <c r="F532" s="1" t="s">
        <v>7834</v>
      </c>
      <c r="G532" s="10"/>
      <c r="H532" s="10"/>
      <c r="I532" s="10"/>
      <c r="J532" s="10"/>
      <c r="K532" s="10"/>
      <c r="L532" s="3" t="s">
        <v>6065</v>
      </c>
      <c r="M532" s="3" t="s">
        <v>6066</v>
      </c>
      <c r="N532" s="3" t="s">
        <v>6067</v>
      </c>
      <c r="O532" s="3">
        <v>12</v>
      </c>
      <c r="P532" s="3">
        <v>2</v>
      </c>
      <c r="Q532" s="3">
        <v>85</v>
      </c>
      <c r="R532" s="3" t="s">
        <v>6068</v>
      </c>
      <c r="S532" s="3" t="s">
        <v>6069</v>
      </c>
      <c r="T532" s="3" t="s">
        <v>483</v>
      </c>
      <c r="U532" s="11">
        <v>14</v>
      </c>
      <c r="V532" s="3" t="s">
        <v>5964</v>
      </c>
      <c r="W532" s="8" t="s">
        <v>7834</v>
      </c>
    </row>
    <row r="533" spans="1:23" x14ac:dyDescent="0.25">
      <c r="A533" s="2">
        <v>1481</v>
      </c>
      <c r="B533" s="3" t="s">
        <v>5964</v>
      </c>
      <c r="C533" s="3">
        <v>2024</v>
      </c>
      <c r="D533" s="3" t="s">
        <v>4990</v>
      </c>
      <c r="E533" s="3" t="s">
        <v>15</v>
      </c>
      <c r="F533" s="1" t="s">
        <v>7834</v>
      </c>
      <c r="G533" s="10">
        <v>9</v>
      </c>
      <c r="H533" s="10"/>
      <c r="I533" s="10"/>
      <c r="J533" s="10"/>
      <c r="K533" s="10"/>
      <c r="L533" s="3" t="s">
        <v>6092</v>
      </c>
      <c r="M533" s="3" t="s">
        <v>6093</v>
      </c>
      <c r="N533" s="3" t="s">
        <v>6094</v>
      </c>
      <c r="O533" s="3">
        <v>49</v>
      </c>
      <c r="P533" s="3">
        <v>10</v>
      </c>
      <c r="Q533" s="3">
        <v>563</v>
      </c>
      <c r="R533" s="3" t="s">
        <v>6095</v>
      </c>
      <c r="S533" s="3">
        <v>0</v>
      </c>
      <c r="T533" s="3" t="s">
        <v>483</v>
      </c>
      <c r="U533" s="11">
        <v>15</v>
      </c>
      <c r="V533" s="3" t="s">
        <v>5964</v>
      </c>
      <c r="W533" s="8" t="s">
        <v>7834</v>
      </c>
    </row>
    <row r="534" spans="1:23" x14ac:dyDescent="0.25">
      <c r="A534" s="2">
        <v>1474</v>
      </c>
      <c r="B534" s="3" t="s">
        <v>5964</v>
      </c>
      <c r="C534" s="3">
        <v>2024</v>
      </c>
      <c r="D534" s="3" t="s">
        <v>308</v>
      </c>
      <c r="E534" s="3" t="s">
        <v>206</v>
      </c>
      <c r="F534" s="1" t="s">
        <v>7834</v>
      </c>
      <c r="G534" s="10"/>
      <c r="H534" s="10"/>
      <c r="I534" s="10"/>
      <c r="J534" s="10"/>
      <c r="K534" s="10">
        <v>6</v>
      </c>
      <c r="L534" s="3" t="s">
        <v>6062</v>
      </c>
      <c r="M534" s="3" t="s">
        <v>6020</v>
      </c>
      <c r="N534" s="3" t="s">
        <v>6063</v>
      </c>
      <c r="O534" s="3"/>
      <c r="P534" s="3"/>
      <c r="Q534" s="3">
        <v>1</v>
      </c>
      <c r="R534" s="3"/>
      <c r="S534" s="3" t="s">
        <v>6064</v>
      </c>
      <c r="T534" s="3" t="s">
        <v>483</v>
      </c>
      <c r="U534" s="11">
        <v>16</v>
      </c>
      <c r="V534" s="3" t="s">
        <v>5964</v>
      </c>
      <c r="W534" s="8" t="s">
        <v>7834</v>
      </c>
    </row>
    <row r="535" spans="1:23" x14ac:dyDescent="0.25">
      <c r="A535" s="2">
        <v>1483</v>
      </c>
      <c r="B535" s="3" t="s">
        <v>6100</v>
      </c>
      <c r="C535" s="3">
        <v>2024</v>
      </c>
      <c r="D535" s="3" t="s">
        <v>1418</v>
      </c>
      <c r="E535" s="3" t="s">
        <v>15</v>
      </c>
      <c r="F535" s="1" t="s">
        <v>7834</v>
      </c>
      <c r="G535" s="10"/>
      <c r="H535" s="10"/>
      <c r="I535" s="10"/>
      <c r="J535" s="10"/>
      <c r="K535" s="10"/>
      <c r="L535" s="3" t="s">
        <v>6101</v>
      </c>
      <c r="M535" s="3" t="s">
        <v>6102</v>
      </c>
      <c r="N535" s="3" t="s">
        <v>480</v>
      </c>
      <c r="O535" s="3">
        <v>45</v>
      </c>
      <c r="P535" s="3"/>
      <c r="Q535" s="3">
        <v>203</v>
      </c>
      <c r="R535" s="3" t="s">
        <v>481</v>
      </c>
      <c r="S535" s="3" t="s">
        <v>482</v>
      </c>
      <c r="T535" s="3" t="s">
        <v>483</v>
      </c>
      <c r="U535" s="11">
        <v>17</v>
      </c>
      <c r="V535" s="3" t="s">
        <v>6100</v>
      </c>
      <c r="W535" s="8" t="s">
        <v>7834</v>
      </c>
    </row>
    <row r="536" spans="1:23" x14ac:dyDescent="0.25">
      <c r="A536" s="2">
        <v>1571</v>
      </c>
      <c r="B536" s="3" t="s">
        <v>6419</v>
      </c>
      <c r="C536" s="3">
        <v>2024</v>
      </c>
      <c r="D536" s="3" t="s">
        <v>3050</v>
      </c>
      <c r="E536" s="3" t="s">
        <v>15</v>
      </c>
      <c r="F536" s="1" t="s">
        <v>7834</v>
      </c>
      <c r="G536" s="10"/>
      <c r="H536" s="10"/>
      <c r="I536" s="10"/>
      <c r="J536" s="10"/>
      <c r="K536" s="10"/>
      <c r="L536" s="3" t="s">
        <v>6430</v>
      </c>
      <c r="M536" s="3" t="s">
        <v>6431</v>
      </c>
      <c r="N536" s="3" t="s">
        <v>6432</v>
      </c>
      <c r="O536" s="3"/>
      <c r="P536" s="3"/>
      <c r="Q536" s="3"/>
      <c r="R536" s="3" t="s">
        <v>6433</v>
      </c>
      <c r="S536" s="3" t="s">
        <v>3054</v>
      </c>
      <c r="T536" s="3" t="s">
        <v>483</v>
      </c>
      <c r="U536" s="11">
        <v>18</v>
      </c>
      <c r="V536" s="3" t="s">
        <v>6419</v>
      </c>
      <c r="W536" s="8" t="s">
        <v>7834</v>
      </c>
    </row>
    <row r="537" spans="1:23" x14ac:dyDescent="0.25">
      <c r="A537" s="2">
        <v>1575</v>
      </c>
      <c r="B537" s="3" t="s">
        <v>6419</v>
      </c>
      <c r="C537" s="3">
        <v>2024</v>
      </c>
      <c r="D537" s="3" t="s">
        <v>2431</v>
      </c>
      <c r="E537" s="3" t="s">
        <v>15</v>
      </c>
      <c r="F537" s="1" t="s">
        <v>7834</v>
      </c>
      <c r="G537" s="10"/>
      <c r="H537" s="10"/>
      <c r="I537" s="10"/>
      <c r="J537" s="10"/>
      <c r="K537" s="10"/>
      <c r="L537" s="3" t="s">
        <v>6447</v>
      </c>
      <c r="M537" s="3" t="s">
        <v>6448</v>
      </c>
      <c r="N537" s="3" t="s">
        <v>6449</v>
      </c>
      <c r="O537" s="3"/>
      <c r="P537" s="3"/>
      <c r="Q537" s="3"/>
      <c r="R537" s="3" t="s">
        <v>6450</v>
      </c>
      <c r="S537" s="3" t="s">
        <v>6451</v>
      </c>
      <c r="T537" s="3" t="s">
        <v>483</v>
      </c>
      <c r="U537" s="11">
        <v>19</v>
      </c>
      <c r="V537" s="3" t="s">
        <v>6419</v>
      </c>
      <c r="W537" s="8" t="s">
        <v>7834</v>
      </c>
    </row>
    <row r="538" spans="1:23" x14ac:dyDescent="0.25">
      <c r="A538" s="2">
        <v>1580</v>
      </c>
      <c r="B538" s="3" t="s">
        <v>6419</v>
      </c>
      <c r="C538" s="3">
        <v>2024</v>
      </c>
      <c r="D538" s="3" t="s">
        <v>6468</v>
      </c>
      <c r="E538" s="3" t="s">
        <v>15</v>
      </c>
      <c r="F538" s="1" t="s">
        <v>7834</v>
      </c>
      <c r="G538" s="10"/>
      <c r="H538" s="10"/>
      <c r="I538" s="10"/>
      <c r="J538" s="10"/>
      <c r="K538" s="10"/>
      <c r="L538" s="3" t="s">
        <v>6469</v>
      </c>
      <c r="M538" s="3" t="s">
        <v>6470</v>
      </c>
      <c r="N538" s="3" t="s">
        <v>6471</v>
      </c>
      <c r="O538" s="3"/>
      <c r="P538" s="3"/>
      <c r="Q538" s="3"/>
      <c r="R538" s="3" t="s">
        <v>6472</v>
      </c>
      <c r="S538" s="3" t="s">
        <v>6473</v>
      </c>
      <c r="T538" s="3" t="s">
        <v>483</v>
      </c>
      <c r="U538" s="11">
        <v>20</v>
      </c>
      <c r="V538" s="3" t="s">
        <v>6419</v>
      </c>
      <c r="W538" s="8" t="s">
        <v>7834</v>
      </c>
    </row>
    <row r="539" spans="1:23" x14ac:dyDescent="0.25">
      <c r="A539" s="2">
        <v>1584</v>
      </c>
      <c r="B539" s="3" t="s">
        <v>6419</v>
      </c>
      <c r="C539" s="3">
        <v>2024</v>
      </c>
      <c r="D539" s="3" t="s">
        <v>1470</v>
      </c>
      <c r="E539" s="3" t="s">
        <v>15</v>
      </c>
      <c r="F539" s="1" t="s">
        <v>7834</v>
      </c>
      <c r="G539" s="10">
        <v>13</v>
      </c>
      <c r="H539" s="10"/>
      <c r="I539" s="10"/>
      <c r="J539" s="10"/>
      <c r="K539" s="10"/>
      <c r="L539" s="3" t="s">
        <v>6488</v>
      </c>
      <c r="M539" s="3" t="s">
        <v>6489</v>
      </c>
      <c r="N539" s="3" t="s">
        <v>6490</v>
      </c>
      <c r="O539" s="3"/>
      <c r="P539" s="3"/>
      <c r="Q539" s="3"/>
      <c r="R539" s="3" t="s">
        <v>6491</v>
      </c>
      <c r="S539" s="3" t="s">
        <v>6492</v>
      </c>
      <c r="T539" s="3" t="s">
        <v>483</v>
      </c>
      <c r="U539" s="11">
        <v>21</v>
      </c>
      <c r="V539" s="3" t="s">
        <v>6419</v>
      </c>
      <c r="W539" s="8" t="s">
        <v>7834</v>
      </c>
    </row>
    <row r="540" spans="1:23" x14ac:dyDescent="0.25">
      <c r="A540" s="2">
        <v>1633</v>
      </c>
      <c r="B540" s="3" t="s">
        <v>6614</v>
      </c>
      <c r="C540" s="3">
        <v>2024</v>
      </c>
      <c r="D540" s="3" t="s">
        <v>409</v>
      </c>
      <c r="E540" s="3" t="s">
        <v>206</v>
      </c>
      <c r="F540" s="1" t="s">
        <v>7834</v>
      </c>
      <c r="G540" s="10"/>
      <c r="H540" s="10"/>
      <c r="I540" s="10"/>
      <c r="J540" s="10"/>
      <c r="K540" s="10"/>
      <c r="L540" s="3" t="s">
        <v>6648</v>
      </c>
      <c r="M540" s="3" t="s">
        <v>6649</v>
      </c>
      <c r="N540" s="3" t="s">
        <v>6650</v>
      </c>
      <c r="O540" s="3"/>
      <c r="P540" s="3"/>
      <c r="Q540" s="3"/>
      <c r="R540" s="3"/>
      <c r="S540" s="3" t="s">
        <v>6651</v>
      </c>
      <c r="T540" s="3" t="s">
        <v>483</v>
      </c>
      <c r="U540" s="11">
        <v>22</v>
      </c>
      <c r="V540" s="3" t="s">
        <v>6614</v>
      </c>
      <c r="W540" s="8" t="s">
        <v>7834</v>
      </c>
    </row>
    <row r="541" spans="1:23" x14ac:dyDescent="0.25">
      <c r="A541" s="2">
        <v>1644</v>
      </c>
      <c r="B541" s="3" t="s">
        <v>6675</v>
      </c>
      <c r="C541" s="3">
        <v>2024</v>
      </c>
      <c r="D541" s="3" t="s">
        <v>530</v>
      </c>
      <c r="E541" s="3" t="s">
        <v>206</v>
      </c>
      <c r="F541" s="1" t="s">
        <v>7834</v>
      </c>
      <c r="G541" s="10"/>
      <c r="H541" s="10"/>
      <c r="I541" s="10"/>
      <c r="J541" s="10"/>
      <c r="K541" s="10"/>
      <c r="L541" s="3" t="s">
        <v>6694</v>
      </c>
      <c r="M541" s="3" t="s">
        <v>6695</v>
      </c>
      <c r="N541" s="3" t="s">
        <v>6696</v>
      </c>
      <c r="O541" s="3">
        <v>31</v>
      </c>
      <c r="P541" s="3">
        <v>2</v>
      </c>
      <c r="Q541" s="3">
        <v>286</v>
      </c>
      <c r="R541" s="3" t="s">
        <v>534</v>
      </c>
      <c r="S541" s="3" t="s">
        <v>535</v>
      </c>
      <c r="T541" s="3" t="s">
        <v>483</v>
      </c>
      <c r="U541" s="11">
        <v>23</v>
      </c>
      <c r="V541" s="3" t="s">
        <v>6675</v>
      </c>
      <c r="W541" s="8" t="s">
        <v>7834</v>
      </c>
    </row>
    <row r="542" spans="1:23" x14ac:dyDescent="0.25">
      <c r="A542" s="2">
        <v>1648</v>
      </c>
      <c r="B542" s="3" t="s">
        <v>6675</v>
      </c>
      <c r="C542" s="3">
        <v>2024</v>
      </c>
      <c r="D542" s="3" t="s">
        <v>6712</v>
      </c>
      <c r="E542" s="3" t="s">
        <v>206</v>
      </c>
      <c r="F542" s="1" t="s">
        <v>7834</v>
      </c>
      <c r="G542" s="10"/>
      <c r="H542" s="10"/>
      <c r="I542" s="10"/>
      <c r="J542" s="10"/>
      <c r="K542" s="10">
        <v>2</v>
      </c>
      <c r="L542" s="3" t="s">
        <v>6713</v>
      </c>
      <c r="M542" s="3" t="s">
        <v>6714</v>
      </c>
      <c r="N542" s="3" t="s">
        <v>4195</v>
      </c>
      <c r="O542" s="3">
        <v>33</v>
      </c>
      <c r="P542" s="3">
        <v>2</v>
      </c>
      <c r="Q542" s="3"/>
      <c r="R542" s="3" t="s">
        <v>4196</v>
      </c>
      <c r="S542" s="3" t="s">
        <v>4900</v>
      </c>
      <c r="T542" s="3" t="s">
        <v>483</v>
      </c>
      <c r="U542" s="11">
        <v>24</v>
      </c>
      <c r="V542" s="3" t="s">
        <v>6675</v>
      </c>
      <c r="W542" s="8" t="s">
        <v>7834</v>
      </c>
    </row>
    <row r="543" spans="1:23" x14ac:dyDescent="0.25">
      <c r="A543" s="2">
        <v>1688</v>
      </c>
      <c r="B543" s="3" t="s">
        <v>7881</v>
      </c>
      <c r="C543" s="3">
        <v>2024</v>
      </c>
      <c r="D543" s="3" t="s">
        <v>2998</v>
      </c>
      <c r="E543" s="3" t="s">
        <v>15</v>
      </c>
      <c r="F543" s="1" t="s">
        <v>7834</v>
      </c>
      <c r="G543" s="10"/>
      <c r="H543" s="10"/>
      <c r="I543" s="10"/>
      <c r="J543" s="10"/>
      <c r="K543" s="10"/>
      <c r="L543" s="3" t="s">
        <v>7940</v>
      </c>
      <c r="M543" s="3" t="s">
        <v>7941</v>
      </c>
      <c r="N543" s="3" t="s">
        <v>7942</v>
      </c>
      <c r="O543" s="3"/>
      <c r="P543" s="3"/>
      <c r="Q543" s="3">
        <v>110664</v>
      </c>
      <c r="R543" s="3" t="s">
        <v>7943</v>
      </c>
      <c r="S543" s="3" t="s">
        <v>7944</v>
      </c>
      <c r="T543" s="3" t="s">
        <v>483</v>
      </c>
      <c r="U543" s="11">
        <v>25</v>
      </c>
      <c r="V543" s="3" t="s">
        <v>7881</v>
      </c>
      <c r="W543" s="8" t="s">
        <v>7834</v>
      </c>
    </row>
    <row r="544" spans="1:23" x14ac:dyDescent="0.25">
      <c r="A544" s="2">
        <v>1692</v>
      </c>
      <c r="B544" s="3" t="s">
        <v>7950</v>
      </c>
      <c r="C544" s="3">
        <v>2024</v>
      </c>
      <c r="D544" s="3" t="s">
        <v>5095</v>
      </c>
      <c r="E544" s="3" t="s">
        <v>15</v>
      </c>
      <c r="F544" s="1" t="s">
        <v>7834</v>
      </c>
      <c r="G544" s="10"/>
      <c r="H544" s="10"/>
      <c r="I544" s="10"/>
      <c r="J544" s="10"/>
      <c r="K544" s="10"/>
      <c r="L544" s="3" t="s">
        <v>7954</v>
      </c>
      <c r="M544" s="3" t="s">
        <v>7955</v>
      </c>
      <c r="N544" s="3" t="s">
        <v>7956</v>
      </c>
      <c r="O544" s="3"/>
      <c r="P544" s="3"/>
      <c r="Q544" s="3"/>
      <c r="R544" s="3" t="s">
        <v>7957</v>
      </c>
      <c r="S544" s="3" t="s">
        <v>7958</v>
      </c>
      <c r="T544" s="3" t="s">
        <v>483</v>
      </c>
      <c r="U544" s="11">
        <v>26</v>
      </c>
      <c r="V544" s="3" t="s">
        <v>7950</v>
      </c>
      <c r="W544" s="8" t="s">
        <v>7834</v>
      </c>
    </row>
    <row r="545" spans="1:23" x14ac:dyDescent="0.25">
      <c r="A545" s="2">
        <v>1704</v>
      </c>
      <c r="B545" s="3" t="s">
        <v>7950</v>
      </c>
      <c r="C545" s="3">
        <v>2024</v>
      </c>
      <c r="D545" s="3" t="s">
        <v>1459</v>
      </c>
      <c r="E545" s="3" t="s">
        <v>15</v>
      </c>
      <c r="F545" s="1" t="s">
        <v>7834</v>
      </c>
      <c r="G545" s="10"/>
      <c r="H545" s="10"/>
      <c r="I545" s="10"/>
      <c r="J545" s="10"/>
      <c r="K545" s="10"/>
      <c r="L545" s="3" t="s">
        <v>8013</v>
      </c>
      <c r="M545" s="3" t="s">
        <v>8014</v>
      </c>
      <c r="N545" s="3" t="s">
        <v>8015</v>
      </c>
      <c r="O545" s="3"/>
      <c r="P545" s="3"/>
      <c r="Q545" s="3"/>
      <c r="R545" s="3" t="s">
        <v>8016</v>
      </c>
      <c r="S545" s="3" t="s">
        <v>8017</v>
      </c>
      <c r="T545" s="3" t="s">
        <v>483</v>
      </c>
      <c r="U545" s="11">
        <v>27</v>
      </c>
      <c r="V545" s="3" t="s">
        <v>7950</v>
      </c>
      <c r="W545" s="8" t="s">
        <v>7834</v>
      </c>
    </row>
    <row r="546" spans="1:23" x14ac:dyDescent="0.25">
      <c r="A546" s="2">
        <v>1693</v>
      </c>
      <c r="B546" s="3" t="s">
        <v>7950</v>
      </c>
      <c r="C546" s="3">
        <v>2024</v>
      </c>
      <c r="D546" s="3" t="s">
        <v>120</v>
      </c>
      <c r="E546" s="3" t="s">
        <v>114</v>
      </c>
      <c r="F546" s="1" t="s">
        <v>7834</v>
      </c>
      <c r="G546" s="10"/>
      <c r="H546" s="10"/>
      <c r="I546" s="10"/>
      <c r="J546" s="10"/>
      <c r="K546" s="10"/>
      <c r="L546" s="3" t="s">
        <v>7959</v>
      </c>
      <c r="M546" s="3" t="s">
        <v>7960</v>
      </c>
      <c r="N546" s="3" t="s">
        <v>7961</v>
      </c>
      <c r="O546" s="3">
        <v>18</v>
      </c>
      <c r="P546" s="3">
        <v>2</v>
      </c>
      <c r="Q546" s="3" t="s">
        <v>7962</v>
      </c>
      <c r="R546" s="3" t="s">
        <v>7963</v>
      </c>
      <c r="S546" s="3" t="s">
        <v>7964</v>
      </c>
      <c r="T546" s="3" t="s">
        <v>483</v>
      </c>
      <c r="U546" s="11">
        <v>28</v>
      </c>
      <c r="V546" s="3" t="s">
        <v>7950</v>
      </c>
      <c r="W546" s="8" t="s">
        <v>7834</v>
      </c>
    </row>
    <row r="547" spans="1:23" x14ac:dyDescent="0.25">
      <c r="A547" s="2">
        <v>1710</v>
      </c>
      <c r="B547" s="3" t="s">
        <v>7950</v>
      </c>
      <c r="C547" s="3">
        <v>2024</v>
      </c>
      <c r="D547" s="3" t="s">
        <v>120</v>
      </c>
      <c r="E547" s="3" t="s">
        <v>114</v>
      </c>
      <c r="F547" s="1" t="s">
        <v>7834</v>
      </c>
      <c r="G547" s="10"/>
      <c r="H547" s="10">
        <v>3</v>
      </c>
      <c r="I547" s="10"/>
      <c r="J547" s="10"/>
      <c r="K547" s="10"/>
      <c r="L547" s="3" t="s">
        <v>8038</v>
      </c>
      <c r="M547" s="3" t="s">
        <v>8039</v>
      </c>
      <c r="N547" s="3" t="s">
        <v>7961</v>
      </c>
      <c r="O547" s="3">
        <v>18</v>
      </c>
      <c r="P547" s="3">
        <v>1</v>
      </c>
      <c r="Q547" s="3" t="s">
        <v>8040</v>
      </c>
      <c r="R547" s="3"/>
      <c r="S547" s="3" t="s">
        <v>8041</v>
      </c>
      <c r="T547" s="3" t="s">
        <v>483</v>
      </c>
      <c r="U547" s="11">
        <v>29</v>
      </c>
      <c r="V547" s="3" t="s">
        <v>7950</v>
      </c>
      <c r="W547" s="8" t="s">
        <v>7834</v>
      </c>
    </row>
    <row r="548" spans="1:23" x14ac:dyDescent="0.25">
      <c r="A548" s="2">
        <v>1715</v>
      </c>
      <c r="B548" s="3" t="s">
        <v>6738</v>
      </c>
      <c r="C548" s="3">
        <v>2024</v>
      </c>
      <c r="D548" s="3" t="s">
        <v>2844</v>
      </c>
      <c r="E548" s="3" t="s">
        <v>15</v>
      </c>
      <c r="F548" s="1" t="s">
        <v>7834</v>
      </c>
      <c r="G548" s="10"/>
      <c r="H548" s="10"/>
      <c r="I548" s="10"/>
      <c r="J548" s="10"/>
      <c r="K548" s="10"/>
      <c r="L548" s="3" t="s">
        <v>8062</v>
      </c>
      <c r="M548" s="3" t="s">
        <v>8063</v>
      </c>
      <c r="N548" s="3" t="s">
        <v>8064</v>
      </c>
      <c r="O548" s="3">
        <v>28</v>
      </c>
      <c r="P548" s="3">
        <v>3</v>
      </c>
      <c r="Q548" s="3">
        <v>188</v>
      </c>
      <c r="R548" s="3" t="s">
        <v>8065</v>
      </c>
      <c r="S548" s="3" t="s">
        <v>8066</v>
      </c>
      <c r="T548" s="3" t="s">
        <v>483</v>
      </c>
      <c r="U548" s="11">
        <v>30</v>
      </c>
      <c r="V548" s="3" t="s">
        <v>6738</v>
      </c>
      <c r="W548" s="8" t="s">
        <v>7834</v>
      </c>
    </row>
    <row r="549" spans="1:23" x14ac:dyDescent="0.25">
      <c r="A549" s="2">
        <v>1735</v>
      </c>
      <c r="B549" s="3" t="s">
        <v>6738</v>
      </c>
      <c r="C549" s="3">
        <v>2024</v>
      </c>
      <c r="D549" s="3" t="s">
        <v>93</v>
      </c>
      <c r="E549" s="3" t="s">
        <v>15</v>
      </c>
      <c r="F549" s="1" t="s">
        <v>7834</v>
      </c>
      <c r="G549" s="10"/>
      <c r="H549" s="10"/>
      <c r="I549" s="10"/>
      <c r="J549" s="10"/>
      <c r="K549" s="10"/>
      <c r="L549" s="3" t="s">
        <v>8140</v>
      </c>
      <c r="M549" s="3" t="s">
        <v>8141</v>
      </c>
      <c r="N549" s="3" t="s">
        <v>8142</v>
      </c>
      <c r="O549" s="3">
        <v>205</v>
      </c>
      <c r="P549" s="3"/>
      <c r="Q549" s="3" t="s">
        <v>8143</v>
      </c>
      <c r="R549" s="3" t="s">
        <v>8144</v>
      </c>
      <c r="S549" s="3" t="s">
        <v>8145</v>
      </c>
      <c r="T549" s="3" t="s">
        <v>483</v>
      </c>
      <c r="U549" s="11">
        <v>31</v>
      </c>
      <c r="V549" s="3" t="s">
        <v>6738</v>
      </c>
      <c r="W549" s="8" t="s">
        <v>7834</v>
      </c>
    </row>
    <row r="550" spans="1:23" x14ac:dyDescent="0.25">
      <c r="A550" s="2">
        <v>1766</v>
      </c>
      <c r="B550" s="3" t="s">
        <v>6869</v>
      </c>
      <c r="C550" s="3">
        <v>2024</v>
      </c>
      <c r="D550" s="3" t="s">
        <v>495</v>
      </c>
      <c r="E550" s="3" t="s">
        <v>114</v>
      </c>
      <c r="F550" s="1" t="s">
        <v>7834</v>
      </c>
      <c r="G550" s="10"/>
      <c r="H550" s="10"/>
      <c r="I550" s="10"/>
      <c r="J550" s="10"/>
      <c r="K550" s="10"/>
      <c r="L550" s="3" t="s">
        <v>6878</v>
      </c>
      <c r="M550" s="3" t="s">
        <v>6879</v>
      </c>
      <c r="N550" s="3" t="s">
        <v>6880</v>
      </c>
      <c r="O550" s="3"/>
      <c r="P550" s="3"/>
      <c r="Q550" s="3"/>
      <c r="R550" s="3"/>
      <c r="S550" s="3" t="s">
        <v>6881</v>
      </c>
      <c r="T550" s="3" t="s">
        <v>483</v>
      </c>
      <c r="U550" s="11">
        <v>32</v>
      </c>
      <c r="V550" s="3" t="s">
        <v>6869</v>
      </c>
      <c r="W550" s="8" t="s">
        <v>7834</v>
      </c>
    </row>
    <row r="551" spans="1:23" x14ac:dyDescent="0.25">
      <c r="A551" s="2">
        <v>1794</v>
      </c>
      <c r="B551" s="3" t="s">
        <v>6869</v>
      </c>
      <c r="C551" s="3">
        <v>2024</v>
      </c>
      <c r="D551" s="3" t="s">
        <v>2513</v>
      </c>
      <c r="E551" s="3" t="s">
        <v>206</v>
      </c>
      <c r="F551" s="1" t="s">
        <v>7834</v>
      </c>
      <c r="G551" s="10"/>
      <c r="H551" s="10"/>
      <c r="I551" s="10"/>
      <c r="J551" s="10"/>
      <c r="K551" s="10">
        <v>12</v>
      </c>
      <c r="L551" s="3" t="s">
        <v>6978</v>
      </c>
      <c r="M551" s="3" t="s">
        <v>6979</v>
      </c>
      <c r="N551" s="3" t="s">
        <v>6980</v>
      </c>
      <c r="O551" s="3"/>
      <c r="P551" s="3"/>
      <c r="Q551" s="3"/>
      <c r="R551" s="3"/>
      <c r="S551" s="3" t="s">
        <v>6981</v>
      </c>
      <c r="T551" s="3" t="s">
        <v>483</v>
      </c>
      <c r="U551" s="11">
        <v>33</v>
      </c>
      <c r="V551" s="3" t="s">
        <v>6869</v>
      </c>
      <c r="W551" s="8" t="s">
        <v>7834</v>
      </c>
    </row>
    <row r="552" spans="1:23" x14ac:dyDescent="0.25">
      <c r="A552" s="2">
        <v>1814</v>
      </c>
      <c r="B552" s="3" t="s">
        <v>6982</v>
      </c>
      <c r="C552" s="3">
        <v>2024</v>
      </c>
      <c r="D552" s="3" t="s">
        <v>1386</v>
      </c>
      <c r="E552" s="3" t="s">
        <v>15</v>
      </c>
      <c r="F552" s="1" t="s">
        <v>7834</v>
      </c>
      <c r="G552" s="10"/>
      <c r="H552" s="10"/>
      <c r="I552" s="10"/>
      <c r="J552" s="10"/>
      <c r="K552" s="10"/>
      <c r="L552" s="3" t="s">
        <v>7068</v>
      </c>
      <c r="M552" s="3" t="s">
        <v>7069</v>
      </c>
      <c r="N552" s="3" t="s">
        <v>7070</v>
      </c>
      <c r="O552" s="3"/>
      <c r="P552" s="3"/>
      <c r="Q552" s="3" t="s">
        <v>7071</v>
      </c>
      <c r="R552" s="3" t="s">
        <v>413</v>
      </c>
      <c r="S552" s="3" t="s">
        <v>7072</v>
      </c>
      <c r="T552" s="3" t="s">
        <v>483</v>
      </c>
      <c r="U552" s="11">
        <v>34</v>
      </c>
      <c r="V552" s="3" t="s">
        <v>6982</v>
      </c>
      <c r="W552" s="8" t="s">
        <v>7834</v>
      </c>
    </row>
    <row r="553" spans="1:23" x14ac:dyDescent="0.25">
      <c r="A553" s="2">
        <v>1798</v>
      </c>
      <c r="B553" s="3" t="s">
        <v>6982</v>
      </c>
      <c r="C553" s="3">
        <v>2024</v>
      </c>
      <c r="D553" s="3" t="s">
        <v>3597</v>
      </c>
      <c r="E553" s="3" t="s">
        <v>206</v>
      </c>
      <c r="F553" s="1" t="s">
        <v>7834</v>
      </c>
      <c r="G553" s="10"/>
      <c r="H553" s="10"/>
      <c r="I553" s="10"/>
      <c r="J553" s="10"/>
      <c r="K553" s="10"/>
      <c r="L553" s="3" t="s">
        <v>6994</v>
      </c>
      <c r="M553" s="3" t="s">
        <v>6995</v>
      </c>
      <c r="N553" s="3" t="s">
        <v>6996</v>
      </c>
      <c r="O553" s="3">
        <v>12</v>
      </c>
      <c r="P553" s="3">
        <v>2</v>
      </c>
      <c r="Q553" s="3" t="s">
        <v>6997</v>
      </c>
      <c r="R553" s="3"/>
      <c r="S553" s="3" t="s">
        <v>6998</v>
      </c>
      <c r="T553" s="3" t="s">
        <v>483</v>
      </c>
      <c r="U553" s="11">
        <v>35</v>
      </c>
      <c r="V553" s="3" t="s">
        <v>6982</v>
      </c>
      <c r="W553" s="8" t="s">
        <v>7834</v>
      </c>
    </row>
    <row r="554" spans="1:23" x14ac:dyDescent="0.25">
      <c r="A554" s="2">
        <v>1802</v>
      </c>
      <c r="B554" s="3" t="s">
        <v>6982</v>
      </c>
      <c r="C554" s="3">
        <v>2024</v>
      </c>
      <c r="D554" s="3" t="s">
        <v>2039</v>
      </c>
      <c r="E554" s="3" t="s">
        <v>206</v>
      </c>
      <c r="F554" s="1" t="s">
        <v>7834</v>
      </c>
      <c r="G554" s="10"/>
      <c r="H554" s="10"/>
      <c r="I554" s="10"/>
      <c r="J554" s="10"/>
      <c r="K554" s="10"/>
      <c r="L554" s="3" t="s">
        <v>7010</v>
      </c>
      <c r="M554" s="3" t="s">
        <v>7011</v>
      </c>
      <c r="N554" s="3" t="s">
        <v>7012</v>
      </c>
      <c r="O554" s="3">
        <v>36</v>
      </c>
      <c r="P554" s="3">
        <v>1</v>
      </c>
      <c r="Q554" s="3" t="s">
        <v>7013</v>
      </c>
      <c r="R554" s="3"/>
      <c r="S554" s="3" t="s">
        <v>7014</v>
      </c>
      <c r="T554" s="3" t="s">
        <v>483</v>
      </c>
      <c r="U554" s="11">
        <v>36</v>
      </c>
      <c r="V554" s="3" t="s">
        <v>6982</v>
      </c>
      <c r="W554" s="8" t="s">
        <v>7834</v>
      </c>
    </row>
    <row r="555" spans="1:23" x14ac:dyDescent="0.25">
      <c r="A555" s="2">
        <v>1815</v>
      </c>
      <c r="B555" s="3" t="s">
        <v>6982</v>
      </c>
      <c r="C555" s="3">
        <v>2024</v>
      </c>
      <c r="D555" s="3" t="s">
        <v>856</v>
      </c>
      <c r="E555" s="3" t="s">
        <v>206</v>
      </c>
      <c r="F555" s="1" t="s">
        <v>7834</v>
      </c>
      <c r="G555" s="10"/>
      <c r="H555" s="10"/>
      <c r="I555" s="10"/>
      <c r="J555" s="10"/>
      <c r="K555" s="10"/>
      <c r="L555" s="3" t="s">
        <v>7073</v>
      </c>
      <c r="M555" s="3" t="s">
        <v>7074</v>
      </c>
      <c r="N555" s="3" t="s">
        <v>4195</v>
      </c>
      <c r="O555" s="3">
        <v>32</v>
      </c>
      <c r="P555" s="3">
        <v>1</v>
      </c>
      <c r="Q555" s="3"/>
      <c r="R555" s="3" t="s">
        <v>4196</v>
      </c>
      <c r="S555" s="3" t="s">
        <v>7075</v>
      </c>
      <c r="T555" s="3" t="s">
        <v>483</v>
      </c>
      <c r="U555" s="11">
        <v>37</v>
      </c>
      <c r="V555" s="3" t="s">
        <v>6982</v>
      </c>
      <c r="W555" s="8" t="s">
        <v>7834</v>
      </c>
    </row>
    <row r="556" spans="1:23" x14ac:dyDescent="0.25">
      <c r="A556" s="2">
        <v>1843</v>
      </c>
      <c r="B556" s="3" t="s">
        <v>7121</v>
      </c>
      <c r="C556" s="3">
        <v>2024</v>
      </c>
      <c r="D556" s="3" t="s">
        <v>2513</v>
      </c>
      <c r="E556" s="3" t="s">
        <v>15</v>
      </c>
      <c r="F556" s="1" t="s">
        <v>7834</v>
      </c>
      <c r="G556" s="10"/>
      <c r="H556" s="10"/>
      <c r="I556" s="10"/>
      <c r="J556" s="10"/>
      <c r="K556" s="10"/>
      <c r="L556" s="3" t="s">
        <v>7189</v>
      </c>
      <c r="M556" s="3" t="s">
        <v>7190</v>
      </c>
      <c r="N556" s="3" t="s">
        <v>7191</v>
      </c>
      <c r="O556" s="3">
        <v>82</v>
      </c>
      <c r="P556" s="3">
        <v>288</v>
      </c>
      <c r="Q556" s="3">
        <v>359</v>
      </c>
      <c r="R556" s="3" t="s">
        <v>7192</v>
      </c>
      <c r="S556" s="3" t="s">
        <v>7193</v>
      </c>
      <c r="T556" s="3" t="s">
        <v>483</v>
      </c>
      <c r="U556" s="11">
        <v>38</v>
      </c>
      <c r="V556" s="3" t="s">
        <v>7121</v>
      </c>
      <c r="W556" s="8" t="s">
        <v>7834</v>
      </c>
    </row>
    <row r="557" spans="1:23" x14ac:dyDescent="0.25">
      <c r="A557" s="2">
        <v>1845</v>
      </c>
      <c r="B557" s="3" t="s">
        <v>7121</v>
      </c>
      <c r="C557" s="3">
        <v>2024</v>
      </c>
      <c r="D557" s="3" t="s">
        <v>6861</v>
      </c>
      <c r="E557" s="3" t="s">
        <v>15</v>
      </c>
      <c r="F557" s="1" t="s">
        <v>7834</v>
      </c>
      <c r="G557" s="10"/>
      <c r="H557" s="10"/>
      <c r="I557" s="10"/>
      <c r="J557" s="10"/>
      <c r="K557" s="10"/>
      <c r="L557" s="3" t="s">
        <v>7199</v>
      </c>
      <c r="M557" s="3" t="s">
        <v>7200</v>
      </c>
      <c r="N557" s="3" t="s">
        <v>7201</v>
      </c>
      <c r="O557" s="3">
        <v>15</v>
      </c>
      <c r="P557" s="3">
        <v>1</v>
      </c>
      <c r="Q557" s="3">
        <v>1</v>
      </c>
      <c r="R557" s="3" t="s">
        <v>7202</v>
      </c>
      <c r="S557" s="3" t="s">
        <v>7203</v>
      </c>
      <c r="T557" s="3" t="s">
        <v>483</v>
      </c>
      <c r="U557" s="11">
        <v>39</v>
      </c>
      <c r="V557" s="3" t="s">
        <v>7121</v>
      </c>
      <c r="W557" s="8" t="s">
        <v>7834</v>
      </c>
    </row>
    <row r="558" spans="1:23" x14ac:dyDescent="0.25">
      <c r="A558" s="2">
        <v>1846</v>
      </c>
      <c r="B558" s="3" t="s">
        <v>7121</v>
      </c>
      <c r="C558" s="3">
        <v>2024</v>
      </c>
      <c r="D558" s="3" t="s">
        <v>86</v>
      </c>
      <c r="E558" s="3" t="s">
        <v>15</v>
      </c>
      <c r="F558" s="1" t="s">
        <v>7834</v>
      </c>
      <c r="G558" s="10"/>
      <c r="H558" s="10"/>
      <c r="I558" s="10"/>
      <c r="J558" s="10"/>
      <c r="K558" s="10"/>
      <c r="L558" s="3" t="s">
        <v>7204</v>
      </c>
      <c r="M558" s="3" t="s">
        <v>7205</v>
      </c>
      <c r="N558" s="3" t="s">
        <v>7206</v>
      </c>
      <c r="O558" s="3">
        <v>44</v>
      </c>
      <c r="P558" s="3">
        <v>4</v>
      </c>
      <c r="Q558" s="3">
        <v>1</v>
      </c>
      <c r="R558" s="3" t="s">
        <v>7207</v>
      </c>
      <c r="S558" s="3" t="s">
        <v>7208</v>
      </c>
      <c r="T558" s="3" t="s">
        <v>483</v>
      </c>
      <c r="U558" s="11">
        <v>40</v>
      </c>
      <c r="V558" s="3" t="s">
        <v>7121</v>
      </c>
      <c r="W558" s="8" t="s">
        <v>7834</v>
      </c>
    </row>
    <row r="559" spans="1:23" x14ac:dyDescent="0.25">
      <c r="A559" s="2">
        <v>1847</v>
      </c>
      <c r="B559" s="3" t="s">
        <v>7121</v>
      </c>
      <c r="C559" s="3">
        <v>2024</v>
      </c>
      <c r="D559" s="3" t="s">
        <v>1395</v>
      </c>
      <c r="E559" s="3" t="s">
        <v>15</v>
      </c>
      <c r="F559" s="1" t="s">
        <v>7834</v>
      </c>
      <c r="G559" s="10">
        <v>18</v>
      </c>
      <c r="H559" s="10"/>
      <c r="I559" s="10"/>
      <c r="J559" s="10"/>
      <c r="K559" s="10"/>
      <c r="L559" s="3" t="s">
        <v>7209</v>
      </c>
      <c r="M559" s="3" t="s">
        <v>7210</v>
      </c>
      <c r="N559" s="3" t="s">
        <v>7211</v>
      </c>
      <c r="O559" s="3">
        <v>99</v>
      </c>
      <c r="P559" s="3" t="s">
        <v>7212</v>
      </c>
      <c r="Q559" s="3">
        <v>1</v>
      </c>
      <c r="R559" s="3" t="s">
        <v>7213</v>
      </c>
      <c r="S559" s="3" t="s">
        <v>7214</v>
      </c>
      <c r="T559" s="3" t="s">
        <v>483</v>
      </c>
      <c r="U559" s="11">
        <v>41</v>
      </c>
      <c r="V559" s="3" t="s">
        <v>7121</v>
      </c>
      <c r="W559" s="8" t="s">
        <v>7834</v>
      </c>
    </row>
    <row r="560" spans="1:23" x14ac:dyDescent="0.25">
      <c r="A560" s="2">
        <v>1898</v>
      </c>
      <c r="B560" s="3" t="s">
        <v>7342</v>
      </c>
      <c r="C560" s="3">
        <v>2024</v>
      </c>
      <c r="D560" s="3" t="s">
        <v>7395</v>
      </c>
      <c r="E560" s="3" t="s">
        <v>15</v>
      </c>
      <c r="F560" s="1" t="s">
        <v>7834</v>
      </c>
      <c r="G560" s="10">
        <v>10</v>
      </c>
      <c r="H560" s="10"/>
      <c r="I560" s="10"/>
      <c r="J560" s="10"/>
      <c r="K560" s="10"/>
      <c r="L560" s="3" t="s">
        <v>7396</v>
      </c>
      <c r="M560" s="3" t="s">
        <v>7397</v>
      </c>
      <c r="N560" s="3" t="s">
        <v>4368</v>
      </c>
      <c r="O560" s="3"/>
      <c r="P560" s="3"/>
      <c r="Q560" s="3"/>
      <c r="R560" s="3" t="s">
        <v>4369</v>
      </c>
      <c r="S560" s="3" t="s">
        <v>7398</v>
      </c>
      <c r="T560" s="3" t="s">
        <v>483</v>
      </c>
      <c r="U560" s="11">
        <v>42</v>
      </c>
      <c r="V560" s="3" t="s">
        <v>7342</v>
      </c>
      <c r="W560" s="8" t="s">
        <v>7834</v>
      </c>
    </row>
    <row r="561" spans="1:23" x14ac:dyDescent="0.25">
      <c r="A561" s="2">
        <v>1903</v>
      </c>
      <c r="B561" s="3" t="s">
        <v>7399</v>
      </c>
      <c r="C561" s="3">
        <v>2024</v>
      </c>
      <c r="D561" s="3" t="s">
        <v>519</v>
      </c>
      <c r="E561" s="3" t="s">
        <v>15</v>
      </c>
      <c r="F561" s="1" t="s">
        <v>7834</v>
      </c>
      <c r="G561" s="10"/>
      <c r="H561" s="10"/>
      <c r="I561" s="10"/>
      <c r="J561" s="10"/>
      <c r="K561" s="10"/>
      <c r="L561" s="3" t="s">
        <v>7417</v>
      </c>
      <c r="M561" s="3" t="s">
        <v>7418</v>
      </c>
      <c r="N561" s="3" t="s">
        <v>565</v>
      </c>
      <c r="O561" s="3">
        <v>8</v>
      </c>
      <c r="P561" s="3"/>
      <c r="Q561" s="3"/>
      <c r="R561" s="3" t="s">
        <v>7419</v>
      </c>
      <c r="S561" s="3" t="s">
        <v>524</v>
      </c>
      <c r="T561" s="3" t="s">
        <v>483</v>
      </c>
      <c r="U561" s="11">
        <v>43</v>
      </c>
      <c r="V561" s="3" t="s">
        <v>7399</v>
      </c>
      <c r="W561" s="8" t="s">
        <v>7834</v>
      </c>
    </row>
    <row r="562" spans="1:23" x14ac:dyDescent="0.25">
      <c r="A562" s="2">
        <v>1922</v>
      </c>
      <c r="B562" s="3" t="s">
        <v>7399</v>
      </c>
      <c r="C562" s="3">
        <v>2024</v>
      </c>
      <c r="D562" s="3" t="s">
        <v>1028</v>
      </c>
      <c r="E562" s="3" t="s">
        <v>15</v>
      </c>
      <c r="F562" s="1" t="s">
        <v>7834</v>
      </c>
      <c r="G562" s="10"/>
      <c r="H562" s="10"/>
      <c r="I562" s="10"/>
      <c r="J562" s="10"/>
      <c r="K562" s="10"/>
      <c r="L562" s="3" t="s">
        <v>7496</v>
      </c>
      <c r="M562" s="3" t="s">
        <v>7497</v>
      </c>
      <c r="N562" s="3" t="s">
        <v>7498</v>
      </c>
      <c r="O562" s="3">
        <v>41</v>
      </c>
      <c r="P562" s="3">
        <v>2</v>
      </c>
      <c r="Q562" s="3"/>
      <c r="R562" s="3" t="s">
        <v>4247</v>
      </c>
      <c r="S562" s="3" t="s">
        <v>7499</v>
      </c>
      <c r="T562" s="3" t="s">
        <v>483</v>
      </c>
      <c r="U562" s="11">
        <v>44</v>
      </c>
      <c r="V562" s="3" t="s">
        <v>7399</v>
      </c>
      <c r="W562" s="8" t="s">
        <v>7834</v>
      </c>
    </row>
    <row r="563" spans="1:23" x14ac:dyDescent="0.25">
      <c r="A563" s="2">
        <v>1942</v>
      </c>
      <c r="B563" s="3" t="s">
        <v>7541</v>
      </c>
      <c r="C563" s="3">
        <v>2024</v>
      </c>
      <c r="D563" s="3" t="s">
        <v>59</v>
      </c>
      <c r="E563" s="3" t="s">
        <v>206</v>
      </c>
      <c r="F563" s="1" t="s">
        <v>7834</v>
      </c>
      <c r="G563" s="10"/>
      <c r="H563" s="10"/>
      <c r="I563" s="10"/>
      <c r="J563" s="10"/>
      <c r="K563" s="10">
        <v>1</v>
      </c>
      <c r="L563" s="3" t="s">
        <v>7571</v>
      </c>
      <c r="M563" s="3" t="s">
        <v>7572</v>
      </c>
      <c r="N563" s="3" t="s">
        <v>4195</v>
      </c>
      <c r="O563" s="3">
        <v>33</v>
      </c>
      <c r="P563" s="3">
        <v>1</v>
      </c>
      <c r="Q563" s="3">
        <v>1</v>
      </c>
      <c r="R563" s="3">
        <v>0</v>
      </c>
      <c r="S563" s="3" t="s">
        <v>7573</v>
      </c>
      <c r="T563" s="3" t="s">
        <v>483</v>
      </c>
      <c r="U563" s="11">
        <v>45</v>
      </c>
      <c r="V563" s="3" t="s">
        <v>7541</v>
      </c>
      <c r="W563" s="8" t="s">
        <v>7834</v>
      </c>
    </row>
    <row r="564" spans="1:23" x14ac:dyDescent="0.25">
      <c r="A564" s="2">
        <v>1946</v>
      </c>
      <c r="B564" s="3" t="s">
        <v>7578</v>
      </c>
      <c r="C564" s="3">
        <v>2024</v>
      </c>
      <c r="D564" s="3" t="s">
        <v>438</v>
      </c>
      <c r="E564" s="3" t="s">
        <v>15</v>
      </c>
      <c r="F564" s="1" t="s">
        <v>7834</v>
      </c>
      <c r="G564" s="10"/>
      <c r="H564" s="10"/>
      <c r="I564" s="10"/>
      <c r="J564" s="10"/>
      <c r="K564" s="10"/>
      <c r="L564" s="3" t="s">
        <v>7584</v>
      </c>
      <c r="M564" s="3" t="s">
        <v>7585</v>
      </c>
      <c r="N564" s="3" t="s">
        <v>7586</v>
      </c>
      <c r="O564" s="3">
        <v>12</v>
      </c>
      <c r="P564" s="3">
        <v>2</v>
      </c>
      <c r="Q564" s="3"/>
      <c r="R564" s="3">
        <v>23266899</v>
      </c>
      <c r="S564" s="3" t="s">
        <v>7587</v>
      </c>
      <c r="T564" s="3" t="s">
        <v>483</v>
      </c>
      <c r="U564" s="11">
        <v>46</v>
      </c>
      <c r="V564" s="3" t="s">
        <v>7578</v>
      </c>
      <c r="W564" s="8" t="s">
        <v>7834</v>
      </c>
    </row>
    <row r="565" spans="1:23" x14ac:dyDescent="0.25">
      <c r="A565" s="2">
        <v>1975</v>
      </c>
      <c r="B565" s="3" t="s">
        <v>7699</v>
      </c>
      <c r="C565" s="3">
        <v>2024</v>
      </c>
      <c r="D565" s="3" t="s">
        <v>3155</v>
      </c>
      <c r="E565" s="3" t="s">
        <v>15</v>
      </c>
      <c r="F565" s="1" t="s">
        <v>7834</v>
      </c>
      <c r="G565" s="10"/>
      <c r="H565" s="10"/>
      <c r="I565" s="10"/>
      <c r="J565" s="10"/>
      <c r="K565" s="10"/>
      <c r="L565" s="3" t="s">
        <v>7710</v>
      </c>
      <c r="M565" s="3" t="s">
        <v>7711</v>
      </c>
      <c r="N565" s="3" t="s">
        <v>7712</v>
      </c>
      <c r="O565" s="3">
        <v>0</v>
      </c>
      <c r="P565" s="3">
        <v>0</v>
      </c>
      <c r="Q565" s="6">
        <v>45992</v>
      </c>
      <c r="R565" s="3" t="s">
        <v>7713</v>
      </c>
      <c r="S565" s="3" t="s">
        <v>7714</v>
      </c>
      <c r="T565" s="3" t="s">
        <v>483</v>
      </c>
      <c r="U565" s="11">
        <v>47</v>
      </c>
      <c r="V565" s="3" t="s">
        <v>7699</v>
      </c>
      <c r="W565" s="8" t="s">
        <v>7834</v>
      </c>
    </row>
    <row r="566" spans="1:23" x14ac:dyDescent="0.25">
      <c r="A566" s="2">
        <v>1986</v>
      </c>
      <c r="B566" s="3" t="s">
        <v>7699</v>
      </c>
      <c r="C566" s="3">
        <v>2024</v>
      </c>
      <c r="D566" s="3" t="s">
        <v>1960</v>
      </c>
      <c r="E566" s="3" t="s">
        <v>206</v>
      </c>
      <c r="F566" s="1" t="s">
        <v>7834</v>
      </c>
      <c r="G566" s="10"/>
      <c r="H566" s="10"/>
      <c r="I566" s="10"/>
      <c r="J566" s="10"/>
      <c r="K566" s="10"/>
      <c r="L566" s="3" t="s">
        <v>7754</v>
      </c>
      <c r="M566" s="3" t="s">
        <v>7755</v>
      </c>
      <c r="N566" s="3" t="s">
        <v>7756</v>
      </c>
      <c r="O566" s="3">
        <v>17</v>
      </c>
      <c r="P566" s="3">
        <v>2</v>
      </c>
      <c r="Q566" s="3">
        <v>1</v>
      </c>
      <c r="R566" s="3">
        <v>26379112</v>
      </c>
      <c r="S566" s="3" t="s">
        <v>7757</v>
      </c>
      <c r="T566" s="3" t="s">
        <v>483</v>
      </c>
      <c r="U566" s="11">
        <v>48</v>
      </c>
      <c r="V566" s="3" t="s">
        <v>7699</v>
      </c>
      <c r="W566" s="8" t="s">
        <v>7834</v>
      </c>
    </row>
    <row r="567" spans="1:23" x14ac:dyDescent="0.25">
      <c r="A567" s="2">
        <v>1999</v>
      </c>
      <c r="B567" s="3" t="s">
        <v>7699</v>
      </c>
      <c r="C567" s="3">
        <v>2024</v>
      </c>
      <c r="D567" s="3" t="s">
        <v>7800</v>
      </c>
      <c r="E567" s="3" t="s">
        <v>206</v>
      </c>
      <c r="F567" s="1" t="s">
        <v>7834</v>
      </c>
      <c r="G567" s="10"/>
      <c r="H567" s="10"/>
      <c r="I567" s="10"/>
      <c r="J567" s="10"/>
      <c r="K567" s="10"/>
      <c r="L567" s="3" t="s">
        <v>7801</v>
      </c>
      <c r="M567" s="3" t="s">
        <v>7802</v>
      </c>
      <c r="N567" s="3" t="s">
        <v>7803</v>
      </c>
      <c r="O567" s="3">
        <v>61</v>
      </c>
      <c r="P567" s="3">
        <v>1</v>
      </c>
      <c r="Q567" s="3">
        <v>1</v>
      </c>
      <c r="R567" s="3">
        <v>7171013</v>
      </c>
      <c r="S567" s="3" t="s">
        <v>7804</v>
      </c>
      <c r="T567" s="3" t="s">
        <v>483</v>
      </c>
      <c r="U567" s="11">
        <v>49</v>
      </c>
      <c r="V567" s="3" t="s">
        <v>7699</v>
      </c>
      <c r="W567" s="8" t="s">
        <v>7834</v>
      </c>
    </row>
    <row r="568" spans="1:23" x14ac:dyDescent="0.25">
      <c r="A568" s="2">
        <v>24</v>
      </c>
      <c r="B568" s="3" t="s">
        <v>13</v>
      </c>
      <c r="C568" s="3">
        <v>2024</v>
      </c>
      <c r="D568" s="3" t="s">
        <v>107</v>
      </c>
      <c r="E568" s="3" t="s">
        <v>15</v>
      </c>
      <c r="F568" s="1" t="s">
        <v>7834</v>
      </c>
      <c r="G568" s="10"/>
      <c r="H568" s="10"/>
      <c r="I568" s="10"/>
      <c r="J568" s="10"/>
      <c r="K568" s="10"/>
      <c r="L568" s="3" t="s">
        <v>108</v>
      </c>
      <c r="M568" s="3" t="s">
        <v>109</v>
      </c>
      <c r="N568" s="3" t="s">
        <v>110</v>
      </c>
      <c r="O568" s="3"/>
      <c r="P568" s="3"/>
      <c r="Q568" s="3"/>
      <c r="R568" s="3" t="s">
        <v>111</v>
      </c>
      <c r="S568" s="3" t="s">
        <v>112</v>
      </c>
      <c r="T568" s="3" t="s">
        <v>113</v>
      </c>
      <c r="U568" s="11">
        <v>1</v>
      </c>
      <c r="V568" s="3" t="s">
        <v>13</v>
      </c>
      <c r="W568" s="8" t="s">
        <v>7834</v>
      </c>
    </row>
    <row r="569" spans="1:23" x14ac:dyDescent="0.25">
      <c r="A569" s="2">
        <v>37</v>
      </c>
      <c r="B569" s="3" t="s">
        <v>155</v>
      </c>
      <c r="C569" s="3">
        <v>2024</v>
      </c>
      <c r="D569" s="3" t="s">
        <v>161</v>
      </c>
      <c r="E569" s="3" t="s">
        <v>15</v>
      </c>
      <c r="F569" s="1" t="s">
        <v>7834</v>
      </c>
      <c r="G569" s="10"/>
      <c r="H569" s="10"/>
      <c r="I569" s="10"/>
      <c r="J569" s="10"/>
      <c r="K569" s="10"/>
      <c r="L569" s="3" t="s">
        <v>162</v>
      </c>
      <c r="M569" s="3" t="s">
        <v>163</v>
      </c>
      <c r="N569" s="3" t="s">
        <v>164</v>
      </c>
      <c r="O569" s="3"/>
      <c r="P569" s="3"/>
      <c r="Q569" s="3">
        <v>1</v>
      </c>
      <c r="R569" s="3" t="s">
        <v>165</v>
      </c>
      <c r="S569" s="3" t="s">
        <v>166</v>
      </c>
      <c r="T569" s="3" t="s">
        <v>113</v>
      </c>
      <c r="U569" s="11">
        <v>1</v>
      </c>
      <c r="V569" s="3" t="s">
        <v>155</v>
      </c>
      <c r="W569" s="8" t="s">
        <v>7834</v>
      </c>
    </row>
    <row r="570" spans="1:23" x14ac:dyDescent="0.25">
      <c r="A570" s="2">
        <v>44</v>
      </c>
      <c r="B570" s="3" t="s">
        <v>155</v>
      </c>
      <c r="C570" s="3">
        <v>2024</v>
      </c>
      <c r="D570" s="3" t="s">
        <v>192</v>
      </c>
      <c r="E570" s="3" t="s">
        <v>15</v>
      </c>
      <c r="F570" s="1" t="s">
        <v>7834</v>
      </c>
      <c r="G570" s="10"/>
      <c r="H570" s="10"/>
      <c r="I570" s="10"/>
      <c r="J570" s="10"/>
      <c r="K570" s="10"/>
      <c r="L570" s="3" t="s">
        <v>193</v>
      </c>
      <c r="M570" s="3" t="s">
        <v>194</v>
      </c>
      <c r="N570" s="3" t="s">
        <v>195</v>
      </c>
      <c r="O570" s="3">
        <v>24</v>
      </c>
      <c r="P570" s="3">
        <v>7</v>
      </c>
      <c r="Q570" s="3">
        <v>75001</v>
      </c>
      <c r="R570" s="3" t="s">
        <v>196</v>
      </c>
      <c r="S570" s="3" t="s">
        <v>197</v>
      </c>
      <c r="T570" s="3" t="s">
        <v>113</v>
      </c>
      <c r="U570" s="11">
        <v>2</v>
      </c>
      <c r="V570" s="3" t="s">
        <v>155</v>
      </c>
      <c r="W570" s="8" t="s">
        <v>7834</v>
      </c>
    </row>
    <row r="571" spans="1:23" x14ac:dyDescent="0.25">
      <c r="A571" s="2">
        <v>69</v>
      </c>
      <c r="B571" s="3" t="s">
        <v>294</v>
      </c>
      <c r="C571" s="3">
        <v>2024</v>
      </c>
      <c r="D571" s="3" t="s">
        <v>295</v>
      </c>
      <c r="E571" s="3" t="s">
        <v>15</v>
      </c>
      <c r="F571" s="1" t="s">
        <v>7834</v>
      </c>
      <c r="G571" s="10"/>
      <c r="H571" s="10"/>
      <c r="I571" s="10"/>
      <c r="J571" s="10"/>
      <c r="K571" s="10"/>
      <c r="L571" s="3" t="s">
        <v>296</v>
      </c>
      <c r="M571" s="3" t="s">
        <v>297</v>
      </c>
      <c r="N571" s="3" t="s">
        <v>298</v>
      </c>
      <c r="O571" s="3" t="s">
        <v>299</v>
      </c>
      <c r="P571" s="3">
        <v>2416430</v>
      </c>
      <c r="Q571" s="4">
        <v>46753</v>
      </c>
      <c r="R571" s="3" t="s">
        <v>300</v>
      </c>
      <c r="S571" s="3" t="s">
        <v>301</v>
      </c>
      <c r="T571" s="3" t="s">
        <v>113</v>
      </c>
      <c r="U571" s="11">
        <v>3</v>
      </c>
      <c r="V571" s="3" t="s">
        <v>294</v>
      </c>
      <c r="W571" s="8" t="s">
        <v>7834</v>
      </c>
    </row>
    <row r="572" spans="1:23" x14ac:dyDescent="0.25">
      <c r="A572" s="2">
        <v>70</v>
      </c>
      <c r="B572" s="3" t="s">
        <v>294</v>
      </c>
      <c r="C572" s="3">
        <v>2024</v>
      </c>
      <c r="D572" s="3" t="s">
        <v>302</v>
      </c>
      <c r="E572" s="3" t="s">
        <v>15</v>
      </c>
      <c r="F572" s="1" t="s">
        <v>7834</v>
      </c>
      <c r="G572" s="10"/>
      <c r="H572" s="10"/>
      <c r="I572" s="10"/>
      <c r="J572" s="10"/>
      <c r="K572" s="10"/>
      <c r="L572" s="3" t="s">
        <v>303</v>
      </c>
      <c r="M572" s="3" t="s">
        <v>304</v>
      </c>
      <c r="N572" s="3" t="s">
        <v>305</v>
      </c>
      <c r="O572" s="3">
        <v>16</v>
      </c>
      <c r="P572" s="3">
        <v>10</v>
      </c>
      <c r="Q572" s="3">
        <v>636</v>
      </c>
      <c r="R572" s="3" t="s">
        <v>306</v>
      </c>
      <c r="S572" s="3" t="s">
        <v>307</v>
      </c>
      <c r="T572" s="3" t="s">
        <v>113</v>
      </c>
      <c r="U572" s="11">
        <v>4</v>
      </c>
      <c r="V572" s="3" t="s">
        <v>294</v>
      </c>
      <c r="W572" s="8" t="s">
        <v>7834</v>
      </c>
    </row>
    <row r="573" spans="1:23" x14ac:dyDescent="0.25">
      <c r="A573" s="2">
        <v>80</v>
      </c>
      <c r="B573" s="3" t="s">
        <v>294</v>
      </c>
      <c r="C573" s="3">
        <v>2024</v>
      </c>
      <c r="D573" s="3" t="s">
        <v>86</v>
      </c>
      <c r="E573" s="3" t="s">
        <v>15</v>
      </c>
      <c r="F573" s="1" t="s">
        <v>7834</v>
      </c>
      <c r="G573" s="10"/>
      <c r="H573" s="10"/>
      <c r="I573" s="10"/>
      <c r="J573" s="10"/>
      <c r="K573" s="10"/>
      <c r="L573" s="3" t="s">
        <v>344</v>
      </c>
      <c r="M573" s="3" t="s">
        <v>369</v>
      </c>
      <c r="N573" s="3" t="s">
        <v>346</v>
      </c>
      <c r="O573" s="3">
        <v>202</v>
      </c>
      <c r="P573" s="3">
        <v>106727</v>
      </c>
      <c r="Q573" s="3"/>
      <c r="R573" s="3" t="s">
        <v>347</v>
      </c>
      <c r="S573" s="3" t="s">
        <v>348</v>
      </c>
      <c r="T573" s="3" t="s">
        <v>113</v>
      </c>
      <c r="U573" s="11">
        <v>5</v>
      </c>
      <c r="V573" s="3" t="s">
        <v>294</v>
      </c>
      <c r="W573" s="8" t="s">
        <v>7834</v>
      </c>
    </row>
    <row r="574" spans="1:23" x14ac:dyDescent="0.25">
      <c r="A574" s="2">
        <v>118</v>
      </c>
      <c r="B574" s="3" t="s">
        <v>501</v>
      </c>
      <c r="C574" s="3">
        <v>2024</v>
      </c>
      <c r="D574" s="3" t="s">
        <v>573</v>
      </c>
      <c r="E574" s="3" t="s">
        <v>15</v>
      </c>
      <c r="F574" s="1" t="s">
        <v>7834</v>
      </c>
      <c r="G574" s="10"/>
      <c r="H574" s="10"/>
      <c r="I574" s="10"/>
      <c r="J574" s="10"/>
      <c r="K574" s="10"/>
      <c r="L574" s="3" t="s">
        <v>574</v>
      </c>
      <c r="M574" s="3" t="s">
        <v>575</v>
      </c>
      <c r="N574" s="3" t="s">
        <v>576</v>
      </c>
      <c r="O574" s="3">
        <v>15</v>
      </c>
      <c r="P574" s="3"/>
      <c r="Q574" s="3"/>
      <c r="R574" s="3" t="s">
        <v>577</v>
      </c>
      <c r="S574" s="3" t="s">
        <v>578</v>
      </c>
      <c r="T574" s="3" t="s">
        <v>113</v>
      </c>
      <c r="U574" s="11">
        <v>6</v>
      </c>
      <c r="V574" s="3" t="s">
        <v>501</v>
      </c>
      <c r="W574" s="8" t="s">
        <v>7834</v>
      </c>
    </row>
    <row r="575" spans="1:23" x14ac:dyDescent="0.25">
      <c r="A575" s="2">
        <v>123</v>
      </c>
      <c r="B575" s="3" t="s">
        <v>501</v>
      </c>
      <c r="C575" s="3">
        <v>2024</v>
      </c>
      <c r="D575" s="3" t="s">
        <v>602</v>
      </c>
      <c r="E575" s="3" t="s">
        <v>15</v>
      </c>
      <c r="F575" s="1" t="s">
        <v>7834</v>
      </c>
      <c r="G575" s="10"/>
      <c r="H575" s="10"/>
      <c r="I575" s="10"/>
      <c r="J575" s="10"/>
      <c r="K575" s="10"/>
      <c r="L575" s="3" t="s">
        <v>603</v>
      </c>
      <c r="M575" s="3" t="s">
        <v>604</v>
      </c>
      <c r="N575" s="3" t="s">
        <v>605</v>
      </c>
      <c r="O575" s="3">
        <v>37</v>
      </c>
      <c r="P575" s="3">
        <v>7</v>
      </c>
      <c r="Q575" s="3">
        <v>1579</v>
      </c>
      <c r="R575" s="3" t="s">
        <v>606</v>
      </c>
      <c r="S575" s="3" t="s">
        <v>607</v>
      </c>
      <c r="T575" s="3" t="s">
        <v>113</v>
      </c>
      <c r="U575" s="11">
        <v>7</v>
      </c>
      <c r="V575" s="3" t="s">
        <v>501</v>
      </c>
      <c r="W575" s="8" t="s">
        <v>7834</v>
      </c>
    </row>
    <row r="576" spans="1:23" x14ac:dyDescent="0.25">
      <c r="A576" s="2">
        <v>130</v>
      </c>
      <c r="B576" s="3" t="s">
        <v>501</v>
      </c>
      <c r="C576" s="3">
        <v>2024</v>
      </c>
      <c r="D576" s="3" t="s">
        <v>639</v>
      </c>
      <c r="E576" s="3" t="s">
        <v>15</v>
      </c>
      <c r="F576" s="1" t="s">
        <v>7834</v>
      </c>
      <c r="G576" s="10"/>
      <c r="H576" s="10"/>
      <c r="I576" s="10"/>
      <c r="J576" s="10"/>
      <c r="K576" s="10"/>
      <c r="L576" s="3" t="s">
        <v>640</v>
      </c>
      <c r="M576" s="3" t="s">
        <v>641</v>
      </c>
      <c r="N576" s="3" t="s">
        <v>642</v>
      </c>
      <c r="O576" s="3">
        <v>25</v>
      </c>
      <c r="P576" s="3">
        <v>5</v>
      </c>
      <c r="Q576" s="3">
        <v>628</v>
      </c>
      <c r="R576" s="3" t="s">
        <v>643</v>
      </c>
      <c r="S576" s="3" t="s">
        <v>644</v>
      </c>
      <c r="T576" s="3" t="s">
        <v>113</v>
      </c>
      <c r="U576" s="11">
        <v>8</v>
      </c>
      <c r="V576" s="3" t="s">
        <v>501</v>
      </c>
      <c r="W576" s="8" t="s">
        <v>7834</v>
      </c>
    </row>
    <row r="577" spans="1:23" x14ac:dyDescent="0.25">
      <c r="A577" s="2">
        <v>134</v>
      </c>
      <c r="B577" s="3" t="s">
        <v>501</v>
      </c>
      <c r="C577" s="3">
        <v>2024</v>
      </c>
      <c r="D577" s="3" t="s">
        <v>660</v>
      </c>
      <c r="E577" s="3" t="s">
        <v>15</v>
      </c>
      <c r="F577" s="1" t="s">
        <v>7834</v>
      </c>
      <c r="G577" s="10"/>
      <c r="H577" s="10"/>
      <c r="I577" s="10"/>
      <c r="J577" s="10"/>
      <c r="K577" s="10"/>
      <c r="L577" s="3" t="s">
        <v>661</v>
      </c>
      <c r="M577" s="3" t="s">
        <v>662</v>
      </c>
      <c r="N577" s="3" t="s">
        <v>663</v>
      </c>
      <c r="O577" s="3">
        <v>397</v>
      </c>
      <c r="P577" s="3">
        <v>11</v>
      </c>
      <c r="Q577" s="3">
        <v>8259</v>
      </c>
      <c r="R577" s="3" t="s">
        <v>664</v>
      </c>
      <c r="S577" s="3" t="s">
        <v>665</v>
      </c>
      <c r="T577" s="3" t="s">
        <v>113</v>
      </c>
      <c r="U577" s="11">
        <v>9</v>
      </c>
      <c r="V577" s="3" t="s">
        <v>501</v>
      </c>
      <c r="W577" s="8" t="s">
        <v>7834</v>
      </c>
    </row>
    <row r="578" spans="1:23" x14ac:dyDescent="0.25">
      <c r="A578" s="2">
        <v>137</v>
      </c>
      <c r="B578" s="3" t="s">
        <v>501</v>
      </c>
      <c r="C578" s="3">
        <v>2024</v>
      </c>
      <c r="D578" s="3" t="s">
        <v>120</v>
      </c>
      <c r="E578" s="3" t="s">
        <v>15</v>
      </c>
      <c r="F578" s="1" t="s">
        <v>7834</v>
      </c>
      <c r="G578" s="10"/>
      <c r="H578" s="10"/>
      <c r="I578" s="10"/>
      <c r="J578" s="10"/>
      <c r="K578" s="10"/>
      <c r="L578" s="3" t="s">
        <v>676</v>
      </c>
      <c r="M578" s="3" t="s">
        <v>677</v>
      </c>
      <c r="N578" s="3" t="s">
        <v>678</v>
      </c>
      <c r="O578" s="3">
        <v>10</v>
      </c>
      <c r="P578" s="3"/>
      <c r="Q578" s="3"/>
      <c r="R578" s="3" t="s">
        <v>679</v>
      </c>
      <c r="S578" s="3" t="s">
        <v>680</v>
      </c>
      <c r="T578" s="3" t="s">
        <v>113</v>
      </c>
      <c r="U578" s="11">
        <v>10</v>
      </c>
      <c r="V578" s="3" t="s">
        <v>501</v>
      </c>
      <c r="W578" s="8" t="s">
        <v>7834</v>
      </c>
    </row>
    <row r="579" spans="1:23" x14ac:dyDescent="0.25">
      <c r="A579" s="2">
        <v>151</v>
      </c>
      <c r="B579" s="3" t="s">
        <v>501</v>
      </c>
      <c r="C579" s="3">
        <v>2024</v>
      </c>
      <c r="D579" s="3" t="s">
        <v>215</v>
      </c>
      <c r="E579" s="3" t="s">
        <v>15</v>
      </c>
      <c r="F579" s="1" t="s">
        <v>7834</v>
      </c>
      <c r="G579" s="10"/>
      <c r="H579" s="10"/>
      <c r="I579" s="10"/>
      <c r="J579" s="10"/>
      <c r="K579" s="10"/>
      <c r="L579" s="3" t="s">
        <v>754</v>
      </c>
      <c r="M579" s="3" t="s">
        <v>755</v>
      </c>
      <c r="N579" s="3" t="s">
        <v>756</v>
      </c>
      <c r="O579" s="3">
        <v>75</v>
      </c>
      <c r="P579" s="3"/>
      <c r="Q579" s="3"/>
      <c r="R579" s="3" t="s">
        <v>757</v>
      </c>
      <c r="S579" s="3" t="s">
        <v>758</v>
      </c>
      <c r="T579" s="3" t="s">
        <v>113</v>
      </c>
      <c r="U579" s="11">
        <v>11</v>
      </c>
      <c r="V579" s="3" t="s">
        <v>501</v>
      </c>
      <c r="W579" s="8" t="s">
        <v>7834</v>
      </c>
    </row>
    <row r="580" spans="1:23" x14ac:dyDescent="0.25">
      <c r="A580" s="2">
        <v>154</v>
      </c>
      <c r="B580" s="3" t="s">
        <v>501</v>
      </c>
      <c r="C580" s="3">
        <v>2024</v>
      </c>
      <c r="D580" s="3" t="s">
        <v>702</v>
      </c>
      <c r="E580" s="3" t="s">
        <v>15</v>
      </c>
      <c r="F580" s="1" t="s">
        <v>7834</v>
      </c>
      <c r="G580" s="10">
        <v>35</v>
      </c>
      <c r="H580" s="10"/>
      <c r="I580" s="10"/>
      <c r="J580" s="10"/>
      <c r="K580" s="10"/>
      <c r="L580" s="3" t="s">
        <v>769</v>
      </c>
      <c r="M580" s="3" t="s">
        <v>770</v>
      </c>
      <c r="N580" s="3" t="s">
        <v>771</v>
      </c>
      <c r="O580" s="3"/>
      <c r="P580" s="3"/>
      <c r="Q580" s="3"/>
      <c r="R580" s="3" t="s">
        <v>772</v>
      </c>
      <c r="S580" s="3" t="s">
        <v>773</v>
      </c>
      <c r="T580" s="3" t="s">
        <v>113</v>
      </c>
      <c r="U580" s="11">
        <v>12</v>
      </c>
      <c r="V580" s="3" t="s">
        <v>501</v>
      </c>
      <c r="W580" s="8" t="s">
        <v>7834</v>
      </c>
    </row>
    <row r="581" spans="1:23" x14ac:dyDescent="0.25">
      <c r="A581" s="2">
        <v>122</v>
      </c>
      <c r="B581" s="3" t="s">
        <v>501</v>
      </c>
      <c r="C581" s="3">
        <v>2024</v>
      </c>
      <c r="D581" s="3" t="s">
        <v>596</v>
      </c>
      <c r="E581" s="3" t="s">
        <v>206</v>
      </c>
      <c r="F581" s="1" t="s">
        <v>7834</v>
      </c>
      <c r="G581" s="10"/>
      <c r="H581" s="10"/>
      <c r="I581" s="10"/>
      <c r="J581" s="10"/>
      <c r="K581" s="10"/>
      <c r="L581" s="3" t="s">
        <v>597</v>
      </c>
      <c r="M581" s="3" t="s">
        <v>598</v>
      </c>
      <c r="N581" s="3" t="s">
        <v>599</v>
      </c>
      <c r="O581" s="3"/>
      <c r="P581" s="3"/>
      <c r="Q581" s="3"/>
      <c r="R581" s="3" t="s">
        <v>600</v>
      </c>
      <c r="S581" s="3" t="s">
        <v>601</v>
      </c>
      <c r="T581" s="3" t="s">
        <v>113</v>
      </c>
      <c r="U581" s="11">
        <v>13</v>
      </c>
      <c r="V581" s="3" t="s">
        <v>501</v>
      </c>
      <c r="W581" s="8" t="s">
        <v>7834</v>
      </c>
    </row>
    <row r="582" spans="1:23" x14ac:dyDescent="0.25">
      <c r="A582" s="2">
        <v>156</v>
      </c>
      <c r="B582" s="3" t="s">
        <v>774</v>
      </c>
      <c r="C582" s="3">
        <v>2024</v>
      </c>
      <c r="D582" s="3" t="s">
        <v>780</v>
      </c>
      <c r="E582" s="3" t="s">
        <v>15</v>
      </c>
      <c r="F582" s="1" t="s">
        <v>7834</v>
      </c>
      <c r="G582" s="10"/>
      <c r="H582" s="10"/>
      <c r="I582" s="10"/>
      <c r="J582" s="10"/>
      <c r="K582" s="10"/>
      <c r="L582" s="3" t="s">
        <v>781</v>
      </c>
      <c r="M582" s="3" t="s">
        <v>782</v>
      </c>
      <c r="N582" s="3" t="s">
        <v>783</v>
      </c>
      <c r="O582" s="3"/>
      <c r="P582" s="3"/>
      <c r="Q582" s="3"/>
      <c r="R582" s="3">
        <v>2345678</v>
      </c>
      <c r="S582" s="3" t="s">
        <v>784</v>
      </c>
      <c r="T582" s="3" t="s">
        <v>113</v>
      </c>
      <c r="U582" s="11">
        <v>14</v>
      </c>
      <c r="V582" s="3" t="s">
        <v>774</v>
      </c>
      <c r="W582" s="8" t="s">
        <v>7834</v>
      </c>
    </row>
    <row r="583" spans="1:23" x14ac:dyDescent="0.25">
      <c r="A583" s="2">
        <v>170</v>
      </c>
      <c r="B583" s="3" t="s">
        <v>774</v>
      </c>
      <c r="C583" s="3">
        <v>2024</v>
      </c>
      <c r="D583" s="3" t="s">
        <v>835</v>
      </c>
      <c r="E583" s="3" t="s">
        <v>15</v>
      </c>
      <c r="F583" s="1" t="s">
        <v>7834</v>
      </c>
      <c r="G583" s="10"/>
      <c r="H583" s="10"/>
      <c r="I583" s="10"/>
      <c r="J583" s="10"/>
      <c r="K583" s="10"/>
      <c r="L583" s="3" t="s">
        <v>836</v>
      </c>
      <c r="M583" s="3" t="s">
        <v>837</v>
      </c>
      <c r="N583" s="3" t="s">
        <v>838</v>
      </c>
      <c r="O583" s="3"/>
      <c r="P583" s="3"/>
      <c r="Q583" s="3"/>
      <c r="R583" s="3">
        <v>1234567</v>
      </c>
      <c r="S583" s="3" t="s">
        <v>839</v>
      </c>
      <c r="T583" s="3" t="s">
        <v>113</v>
      </c>
      <c r="U583" s="11">
        <v>15</v>
      </c>
      <c r="V583" s="3" t="s">
        <v>774</v>
      </c>
      <c r="W583" s="8" t="s">
        <v>7834</v>
      </c>
    </row>
    <row r="584" spans="1:23" x14ac:dyDescent="0.25">
      <c r="A584" s="2">
        <v>181</v>
      </c>
      <c r="B584" s="3" t="s">
        <v>774</v>
      </c>
      <c r="C584" s="3">
        <v>2024</v>
      </c>
      <c r="D584" s="3" t="s">
        <v>800</v>
      </c>
      <c r="E584" s="3" t="s">
        <v>15</v>
      </c>
      <c r="F584" s="1" t="s">
        <v>7834</v>
      </c>
      <c r="G584" s="10"/>
      <c r="H584" s="10"/>
      <c r="I584" s="10"/>
      <c r="J584" s="10"/>
      <c r="K584" s="10"/>
      <c r="L584" s="3" t="s">
        <v>885</v>
      </c>
      <c r="M584" s="3" t="s">
        <v>886</v>
      </c>
      <c r="N584" s="3" t="s">
        <v>887</v>
      </c>
      <c r="O584" s="3"/>
      <c r="P584" s="3"/>
      <c r="Q584" s="3"/>
      <c r="R584" s="3" t="s">
        <v>888</v>
      </c>
      <c r="S584" s="3" t="s">
        <v>889</v>
      </c>
      <c r="T584" s="3" t="s">
        <v>113</v>
      </c>
      <c r="U584" s="11">
        <v>16</v>
      </c>
      <c r="V584" s="3" t="s">
        <v>774</v>
      </c>
      <c r="W584" s="8" t="s">
        <v>7834</v>
      </c>
    </row>
    <row r="585" spans="1:23" x14ac:dyDescent="0.25">
      <c r="A585" s="2">
        <v>197</v>
      </c>
      <c r="B585" s="3" t="s">
        <v>774</v>
      </c>
      <c r="C585" s="3">
        <v>2024</v>
      </c>
      <c r="D585" s="3" t="s">
        <v>796</v>
      </c>
      <c r="E585" s="3" t="s">
        <v>15</v>
      </c>
      <c r="F585" s="1" t="s">
        <v>7834</v>
      </c>
      <c r="G585" s="10"/>
      <c r="H585" s="10"/>
      <c r="I585" s="10"/>
      <c r="J585" s="10"/>
      <c r="K585" s="10"/>
      <c r="L585" s="3" t="s">
        <v>955</v>
      </c>
      <c r="M585" s="3" t="s">
        <v>956</v>
      </c>
      <c r="N585" s="3" t="s">
        <v>957</v>
      </c>
      <c r="O585" s="3"/>
      <c r="P585" s="3"/>
      <c r="Q585" s="3"/>
      <c r="R585" s="3">
        <v>122024</v>
      </c>
      <c r="S585" s="3" t="s">
        <v>958</v>
      </c>
      <c r="T585" s="3" t="s">
        <v>113</v>
      </c>
      <c r="U585" s="11">
        <v>17</v>
      </c>
      <c r="V585" s="3" t="s">
        <v>774</v>
      </c>
      <c r="W585" s="8" t="s">
        <v>7834</v>
      </c>
    </row>
    <row r="586" spans="1:23" x14ac:dyDescent="0.25">
      <c r="A586" s="2">
        <v>198</v>
      </c>
      <c r="B586" s="3" t="s">
        <v>774</v>
      </c>
      <c r="C586" s="3">
        <v>2024</v>
      </c>
      <c r="D586" s="3" t="s">
        <v>22</v>
      </c>
      <c r="E586" s="3" t="s">
        <v>15</v>
      </c>
      <c r="F586" s="1" t="s">
        <v>7834</v>
      </c>
      <c r="G586" s="10"/>
      <c r="H586" s="10"/>
      <c r="I586" s="10"/>
      <c r="J586" s="10"/>
      <c r="K586" s="10"/>
      <c r="L586" s="3" t="s">
        <v>959</v>
      </c>
      <c r="M586" s="3" t="s">
        <v>960</v>
      </c>
      <c r="N586" s="3" t="s">
        <v>961</v>
      </c>
      <c r="O586" s="3"/>
      <c r="P586" s="3"/>
      <c r="Q586" s="3"/>
      <c r="R586" s="3" t="s">
        <v>962</v>
      </c>
      <c r="S586" s="3" t="s">
        <v>963</v>
      </c>
      <c r="T586" s="3" t="s">
        <v>113</v>
      </c>
      <c r="U586" s="11">
        <v>18</v>
      </c>
      <c r="V586" s="3" t="s">
        <v>774</v>
      </c>
      <c r="W586" s="8" t="s">
        <v>7834</v>
      </c>
    </row>
    <row r="587" spans="1:23" x14ac:dyDescent="0.25">
      <c r="A587" s="2">
        <v>208</v>
      </c>
      <c r="B587" s="3" t="s">
        <v>774</v>
      </c>
      <c r="C587" s="3">
        <v>2024</v>
      </c>
      <c r="D587" s="3" t="s">
        <v>14</v>
      </c>
      <c r="E587" s="3" t="s">
        <v>15</v>
      </c>
      <c r="F587" s="1" t="s">
        <v>7834</v>
      </c>
      <c r="G587" s="10"/>
      <c r="H587" s="10"/>
      <c r="I587" s="10"/>
      <c r="J587" s="10"/>
      <c r="K587" s="10"/>
      <c r="L587" s="3" t="s">
        <v>1004</v>
      </c>
      <c r="M587" s="3" t="s">
        <v>1005</v>
      </c>
      <c r="N587" s="3" t="s">
        <v>1006</v>
      </c>
      <c r="O587" s="3"/>
      <c r="P587" s="3"/>
      <c r="Q587" s="3"/>
      <c r="R587" s="3">
        <v>101071</v>
      </c>
      <c r="S587" s="3" t="s">
        <v>1007</v>
      </c>
      <c r="T587" s="3" t="s">
        <v>113</v>
      </c>
      <c r="U587" s="11">
        <v>19</v>
      </c>
      <c r="V587" s="3" t="s">
        <v>774</v>
      </c>
      <c r="W587" s="8" t="s">
        <v>7834</v>
      </c>
    </row>
    <row r="588" spans="1:23" x14ac:dyDescent="0.25">
      <c r="A588" s="2">
        <v>213</v>
      </c>
      <c r="B588" s="3" t="s">
        <v>774</v>
      </c>
      <c r="C588" s="3">
        <v>2024</v>
      </c>
      <c r="D588" s="3" t="s">
        <v>1028</v>
      </c>
      <c r="E588" s="3" t="s">
        <v>15</v>
      </c>
      <c r="F588" s="1" t="s">
        <v>7834</v>
      </c>
      <c r="G588" s="10"/>
      <c r="H588" s="10"/>
      <c r="I588" s="10"/>
      <c r="J588" s="10"/>
      <c r="K588" s="10"/>
      <c r="L588" s="3" t="s">
        <v>1029</v>
      </c>
      <c r="M588" s="3" t="s">
        <v>1030</v>
      </c>
      <c r="N588" s="3" t="s">
        <v>1031</v>
      </c>
      <c r="O588" s="3"/>
      <c r="P588" s="3"/>
      <c r="Q588" s="3"/>
      <c r="R588" s="3" t="s">
        <v>1032</v>
      </c>
      <c r="S588" s="3" t="s">
        <v>1033</v>
      </c>
      <c r="T588" s="3" t="s">
        <v>113</v>
      </c>
      <c r="U588" s="11">
        <v>20</v>
      </c>
      <c r="V588" s="3" t="s">
        <v>774</v>
      </c>
      <c r="W588" s="8" t="s">
        <v>7834</v>
      </c>
    </row>
    <row r="589" spans="1:23" x14ac:dyDescent="0.25">
      <c r="A589" s="2">
        <v>234</v>
      </c>
      <c r="B589" s="3" t="s">
        <v>774</v>
      </c>
      <c r="C589" s="3">
        <v>2024</v>
      </c>
      <c r="D589" s="3" t="s">
        <v>1113</v>
      </c>
      <c r="E589" s="3" t="s">
        <v>15</v>
      </c>
      <c r="F589" s="1" t="s">
        <v>7834</v>
      </c>
      <c r="G589" s="10"/>
      <c r="H589" s="10"/>
      <c r="I589" s="10"/>
      <c r="J589" s="10"/>
      <c r="K589" s="10"/>
      <c r="L589" s="3" t="s">
        <v>1114</v>
      </c>
      <c r="M589" s="3" t="s">
        <v>1115</v>
      </c>
      <c r="N589" s="3" t="s">
        <v>1116</v>
      </c>
      <c r="O589" s="3"/>
      <c r="P589" s="3"/>
      <c r="Q589" s="3"/>
      <c r="R589" s="3" t="s">
        <v>1117</v>
      </c>
      <c r="S589" s="3" t="s">
        <v>1118</v>
      </c>
      <c r="T589" s="3" t="s">
        <v>113</v>
      </c>
      <c r="U589" s="11">
        <v>21</v>
      </c>
      <c r="V589" s="3" t="s">
        <v>774</v>
      </c>
      <c r="W589" s="8" t="s">
        <v>7834</v>
      </c>
    </row>
    <row r="590" spans="1:23" x14ac:dyDescent="0.25">
      <c r="A590" s="2">
        <v>246</v>
      </c>
      <c r="B590" s="3" t="s">
        <v>1126</v>
      </c>
      <c r="C590" s="3">
        <v>2024</v>
      </c>
      <c r="D590" s="3" t="s">
        <v>835</v>
      </c>
      <c r="E590" s="3" t="s">
        <v>15</v>
      </c>
      <c r="F590" s="1" t="s">
        <v>7834</v>
      </c>
      <c r="G590" s="10"/>
      <c r="H590" s="10"/>
      <c r="I590" s="10"/>
      <c r="J590" s="10"/>
      <c r="K590" s="10"/>
      <c r="L590" s="3" t="s">
        <v>1169</v>
      </c>
      <c r="M590" s="3" t="s">
        <v>1170</v>
      </c>
      <c r="N590" s="3" t="s">
        <v>1171</v>
      </c>
      <c r="O590" s="3">
        <v>34</v>
      </c>
      <c r="P590" s="3">
        <v>1</v>
      </c>
      <c r="Q590" s="3">
        <v>2</v>
      </c>
      <c r="R590" s="3" t="s">
        <v>1172</v>
      </c>
      <c r="S590" s="3" t="s">
        <v>1173</v>
      </c>
      <c r="T590" s="3" t="s">
        <v>113</v>
      </c>
      <c r="U590" s="11">
        <v>22</v>
      </c>
      <c r="V590" s="3" t="s">
        <v>1126</v>
      </c>
      <c r="W590" s="8" t="s">
        <v>7834</v>
      </c>
    </row>
    <row r="591" spans="1:23" x14ac:dyDescent="0.25">
      <c r="A591" s="2">
        <v>252</v>
      </c>
      <c r="B591" s="3" t="s">
        <v>1126</v>
      </c>
      <c r="C591" s="3">
        <v>2024</v>
      </c>
      <c r="D591" s="3" t="s">
        <v>1196</v>
      </c>
      <c r="E591" s="3" t="s">
        <v>15</v>
      </c>
      <c r="F591" s="1" t="s">
        <v>7834</v>
      </c>
      <c r="G591" s="10"/>
      <c r="H591" s="10"/>
      <c r="I591" s="10"/>
      <c r="J591" s="10"/>
      <c r="K591" s="10"/>
      <c r="L591" s="3" t="s">
        <v>1197</v>
      </c>
      <c r="M591" s="3" t="s">
        <v>1198</v>
      </c>
      <c r="N591" s="3" t="s">
        <v>1199</v>
      </c>
      <c r="O591" s="3">
        <v>24</v>
      </c>
      <c r="P591" s="3">
        <v>1</v>
      </c>
      <c r="Q591" s="3"/>
      <c r="R591" s="3" t="s">
        <v>1200</v>
      </c>
      <c r="S591" s="3" t="s">
        <v>1201</v>
      </c>
      <c r="T591" s="3" t="s">
        <v>113</v>
      </c>
      <c r="U591" s="11">
        <v>23</v>
      </c>
      <c r="V591" s="3" t="s">
        <v>1126</v>
      </c>
      <c r="W591" s="8" t="s">
        <v>7834</v>
      </c>
    </row>
    <row r="592" spans="1:23" x14ac:dyDescent="0.25">
      <c r="A592" s="2">
        <v>253</v>
      </c>
      <c r="B592" s="3" t="s">
        <v>1126</v>
      </c>
      <c r="C592" s="3">
        <v>2024</v>
      </c>
      <c r="D592" s="3" t="s">
        <v>627</v>
      </c>
      <c r="E592" s="3" t="s">
        <v>15</v>
      </c>
      <c r="F592" s="1" t="s">
        <v>7834</v>
      </c>
      <c r="G592" s="10"/>
      <c r="H592" s="10"/>
      <c r="I592" s="10"/>
      <c r="J592" s="10"/>
      <c r="K592" s="10"/>
      <c r="L592" s="3" t="s">
        <v>1202</v>
      </c>
      <c r="M592" s="3" t="s">
        <v>1203</v>
      </c>
      <c r="N592" s="3" t="s">
        <v>1204</v>
      </c>
      <c r="O592" s="3">
        <v>8</v>
      </c>
      <c r="P592" s="3"/>
      <c r="Q592" s="3"/>
      <c r="R592" s="3" t="s">
        <v>1205</v>
      </c>
      <c r="S592" s="3" t="s">
        <v>1206</v>
      </c>
      <c r="T592" s="3" t="s">
        <v>113</v>
      </c>
      <c r="U592" s="11">
        <v>24</v>
      </c>
      <c r="V592" s="3" t="s">
        <v>1126</v>
      </c>
      <c r="W592" s="8" t="s">
        <v>7834</v>
      </c>
    </row>
    <row r="593" spans="1:23" x14ac:dyDescent="0.25">
      <c r="A593" s="2">
        <v>255</v>
      </c>
      <c r="B593" s="3" t="s">
        <v>1126</v>
      </c>
      <c r="C593" s="3">
        <v>2024</v>
      </c>
      <c r="D593" s="3" t="s">
        <v>265</v>
      </c>
      <c r="E593" s="3" t="s">
        <v>15</v>
      </c>
      <c r="F593" s="1" t="s">
        <v>7834</v>
      </c>
      <c r="G593" s="10"/>
      <c r="H593" s="10"/>
      <c r="I593" s="10"/>
      <c r="J593" s="10"/>
      <c r="K593" s="10"/>
      <c r="L593" s="3" t="s">
        <v>1212</v>
      </c>
      <c r="M593" s="3" t="s">
        <v>1213</v>
      </c>
      <c r="N593" s="3" t="s">
        <v>1214</v>
      </c>
      <c r="O593" s="3">
        <v>49</v>
      </c>
      <c r="P593" s="3">
        <v>3</v>
      </c>
      <c r="Q593" s="3">
        <v>1</v>
      </c>
      <c r="R593" s="3" t="s">
        <v>1215</v>
      </c>
      <c r="S593" s="3" t="s">
        <v>1216</v>
      </c>
      <c r="T593" s="3" t="s">
        <v>113</v>
      </c>
      <c r="U593" s="11">
        <v>25</v>
      </c>
      <c r="V593" s="3" t="s">
        <v>1126</v>
      </c>
      <c r="W593" s="8" t="s">
        <v>7834</v>
      </c>
    </row>
    <row r="594" spans="1:23" x14ac:dyDescent="0.25">
      <c r="A594" s="2">
        <v>259</v>
      </c>
      <c r="B594" s="3" t="s">
        <v>1126</v>
      </c>
      <c r="C594" s="3">
        <v>2024</v>
      </c>
      <c r="D594" s="3" t="s">
        <v>120</v>
      </c>
      <c r="E594" s="3" t="s">
        <v>15</v>
      </c>
      <c r="F594" s="1" t="s">
        <v>7834</v>
      </c>
      <c r="G594" s="10"/>
      <c r="H594" s="10"/>
      <c r="I594" s="10"/>
      <c r="J594" s="10"/>
      <c r="K594" s="10"/>
      <c r="L594" s="3" t="s">
        <v>1233</v>
      </c>
      <c r="M594" s="3" t="s">
        <v>1234</v>
      </c>
      <c r="N594" s="3" t="s">
        <v>1204</v>
      </c>
      <c r="O594" s="3">
        <v>8</v>
      </c>
      <c r="P594" s="3"/>
      <c r="Q594" s="3"/>
      <c r="R594" s="3" t="s">
        <v>1205</v>
      </c>
      <c r="S594" s="3" t="s">
        <v>1235</v>
      </c>
      <c r="T594" s="3" t="s">
        <v>113</v>
      </c>
      <c r="U594" s="11">
        <v>26</v>
      </c>
      <c r="V594" s="3" t="s">
        <v>1126</v>
      </c>
      <c r="W594" s="8" t="s">
        <v>7834</v>
      </c>
    </row>
    <row r="595" spans="1:23" x14ac:dyDescent="0.25">
      <c r="A595" s="2">
        <v>267</v>
      </c>
      <c r="B595" s="3" t="s">
        <v>1126</v>
      </c>
      <c r="C595" s="3">
        <v>2024</v>
      </c>
      <c r="D595" s="3" t="s">
        <v>1267</v>
      </c>
      <c r="E595" s="3" t="s">
        <v>15</v>
      </c>
      <c r="F595" s="1" t="s">
        <v>7834</v>
      </c>
      <c r="G595" s="10"/>
      <c r="H595" s="10"/>
      <c r="I595" s="10"/>
      <c r="J595" s="10"/>
      <c r="K595" s="10"/>
      <c r="L595" s="3" t="s">
        <v>1268</v>
      </c>
      <c r="M595" s="3" t="s">
        <v>1269</v>
      </c>
      <c r="N595" s="3" t="s">
        <v>1270</v>
      </c>
      <c r="O595" s="3">
        <v>15</v>
      </c>
      <c r="P595" s="3">
        <v>3</v>
      </c>
      <c r="Q595" s="3">
        <v>745</v>
      </c>
      <c r="R595" s="3" t="s">
        <v>1271</v>
      </c>
      <c r="S595" s="3" t="s">
        <v>1272</v>
      </c>
      <c r="T595" s="3" t="s">
        <v>113</v>
      </c>
      <c r="U595" s="11">
        <v>27</v>
      </c>
      <c r="V595" s="3" t="s">
        <v>1126</v>
      </c>
      <c r="W595" s="8" t="s">
        <v>7834</v>
      </c>
    </row>
    <row r="596" spans="1:23" x14ac:dyDescent="0.25">
      <c r="A596" s="2">
        <v>271</v>
      </c>
      <c r="B596" s="3" t="s">
        <v>1126</v>
      </c>
      <c r="C596" s="3">
        <v>2024</v>
      </c>
      <c r="D596" s="3" t="s">
        <v>1288</v>
      </c>
      <c r="E596" s="3" t="s">
        <v>15</v>
      </c>
      <c r="F596" s="1" t="s">
        <v>7834</v>
      </c>
      <c r="G596" s="10"/>
      <c r="H596" s="10"/>
      <c r="I596" s="10"/>
      <c r="J596" s="10"/>
      <c r="K596" s="10"/>
      <c r="L596" s="3" t="s">
        <v>1289</v>
      </c>
      <c r="M596" s="3" t="s">
        <v>1290</v>
      </c>
      <c r="N596" s="3" t="s">
        <v>1291</v>
      </c>
      <c r="O596" s="3"/>
      <c r="P596" s="3"/>
      <c r="Q596" s="3"/>
      <c r="R596" s="3" t="s">
        <v>1292</v>
      </c>
      <c r="S596" s="3" t="s">
        <v>1293</v>
      </c>
      <c r="T596" s="3" t="s">
        <v>113</v>
      </c>
      <c r="U596" s="11">
        <v>28</v>
      </c>
      <c r="V596" s="3" t="s">
        <v>1126</v>
      </c>
      <c r="W596" s="8" t="s">
        <v>7834</v>
      </c>
    </row>
    <row r="597" spans="1:23" x14ac:dyDescent="0.25">
      <c r="A597" s="2">
        <v>284</v>
      </c>
      <c r="B597" s="3" t="s">
        <v>1126</v>
      </c>
      <c r="C597" s="3">
        <v>2024</v>
      </c>
      <c r="D597" s="3" t="s">
        <v>596</v>
      </c>
      <c r="E597" s="3" t="s">
        <v>15</v>
      </c>
      <c r="F597" s="1" t="s">
        <v>7834</v>
      </c>
      <c r="G597" s="10"/>
      <c r="H597" s="10"/>
      <c r="I597" s="10"/>
      <c r="J597" s="10"/>
      <c r="K597" s="10"/>
      <c r="L597" s="3" t="s">
        <v>1344</v>
      </c>
      <c r="M597" s="3" t="s">
        <v>1345</v>
      </c>
      <c r="N597" s="3" t="s">
        <v>1346</v>
      </c>
      <c r="O597" s="3">
        <v>33</v>
      </c>
      <c r="P597" s="3">
        <v>19</v>
      </c>
      <c r="Q597" s="3">
        <v>1660</v>
      </c>
      <c r="R597" s="3" t="s">
        <v>1347</v>
      </c>
      <c r="S597" s="3" t="s">
        <v>1348</v>
      </c>
      <c r="T597" s="3" t="s">
        <v>113</v>
      </c>
      <c r="U597" s="11">
        <v>29</v>
      </c>
      <c r="V597" s="3" t="s">
        <v>1126</v>
      </c>
      <c r="W597" s="8" t="s">
        <v>7834</v>
      </c>
    </row>
    <row r="598" spans="1:23" x14ac:dyDescent="0.25">
      <c r="A598" s="2">
        <v>288</v>
      </c>
      <c r="B598" s="3" t="s">
        <v>1126</v>
      </c>
      <c r="C598" s="3">
        <v>2024</v>
      </c>
      <c r="D598" s="3" t="s">
        <v>1363</v>
      </c>
      <c r="E598" s="3" t="s">
        <v>15</v>
      </c>
      <c r="F598" s="1" t="s">
        <v>7834</v>
      </c>
      <c r="G598" s="10"/>
      <c r="H598" s="10"/>
      <c r="I598" s="10"/>
      <c r="J598" s="10"/>
      <c r="K598" s="10"/>
      <c r="L598" s="3" t="s">
        <v>1364</v>
      </c>
      <c r="M598" s="3" t="s">
        <v>1365</v>
      </c>
      <c r="N598" s="3" t="s">
        <v>1366</v>
      </c>
      <c r="O598" s="3">
        <v>28</v>
      </c>
      <c r="P598" s="3"/>
      <c r="Q598" s="3"/>
      <c r="R598" s="3" t="s">
        <v>1367</v>
      </c>
      <c r="S598" s="3" t="s">
        <v>1368</v>
      </c>
      <c r="T598" s="3" t="s">
        <v>113</v>
      </c>
      <c r="U598" s="11">
        <v>30</v>
      </c>
      <c r="V598" s="3" t="s">
        <v>1126</v>
      </c>
      <c r="W598" s="8" t="s">
        <v>7834</v>
      </c>
    </row>
    <row r="599" spans="1:23" x14ac:dyDescent="0.25">
      <c r="A599" s="2">
        <v>289</v>
      </c>
      <c r="B599" s="3" t="s">
        <v>1126</v>
      </c>
      <c r="C599" s="3">
        <v>2024</v>
      </c>
      <c r="D599" s="3" t="s">
        <v>63</v>
      </c>
      <c r="E599" s="3" t="s">
        <v>15</v>
      </c>
      <c r="F599" s="1" t="s">
        <v>7834</v>
      </c>
      <c r="G599" s="10"/>
      <c r="H599" s="10"/>
      <c r="I599" s="10"/>
      <c r="J599" s="10"/>
      <c r="K599" s="10"/>
      <c r="L599" s="3" t="s">
        <v>1369</v>
      </c>
      <c r="M599" s="3" t="s">
        <v>1370</v>
      </c>
      <c r="N599" s="3" t="s">
        <v>1171</v>
      </c>
      <c r="O599" s="3">
        <v>33</v>
      </c>
      <c r="P599" s="3">
        <v>2</v>
      </c>
      <c r="Q599" s="3">
        <v>349</v>
      </c>
      <c r="R599" s="3" t="s">
        <v>1172</v>
      </c>
      <c r="S599" s="3" t="s">
        <v>1371</v>
      </c>
      <c r="T599" s="3" t="s">
        <v>113</v>
      </c>
      <c r="U599" s="11">
        <v>31</v>
      </c>
      <c r="V599" s="3" t="s">
        <v>1126</v>
      </c>
      <c r="W599" s="8" t="s">
        <v>7834</v>
      </c>
    </row>
    <row r="600" spans="1:23" x14ac:dyDescent="0.25">
      <c r="A600" s="2">
        <v>291</v>
      </c>
      <c r="B600" s="3" t="s">
        <v>1126</v>
      </c>
      <c r="C600" s="3">
        <v>2024</v>
      </c>
      <c r="D600" s="3" t="s">
        <v>63</v>
      </c>
      <c r="E600" s="3" t="s">
        <v>15</v>
      </c>
      <c r="F600" s="1" t="s">
        <v>7834</v>
      </c>
      <c r="G600" s="10"/>
      <c r="H600" s="10"/>
      <c r="I600" s="10"/>
      <c r="J600" s="10"/>
      <c r="K600" s="10"/>
      <c r="L600" s="3" t="s">
        <v>1376</v>
      </c>
      <c r="M600" s="3" t="s">
        <v>1377</v>
      </c>
      <c r="N600" s="3" t="s">
        <v>1378</v>
      </c>
      <c r="O600" s="3">
        <v>40</v>
      </c>
      <c r="P600" s="3">
        <v>3</v>
      </c>
      <c r="Q600" s="3">
        <v>1601</v>
      </c>
      <c r="R600" s="3" t="s">
        <v>1379</v>
      </c>
      <c r="S600" s="3" t="s">
        <v>1380</v>
      </c>
      <c r="T600" s="3" t="s">
        <v>113</v>
      </c>
      <c r="U600" s="11">
        <v>32</v>
      </c>
      <c r="V600" s="3" t="s">
        <v>1126</v>
      </c>
      <c r="W600" s="8" t="s">
        <v>7834</v>
      </c>
    </row>
    <row r="601" spans="1:23" x14ac:dyDescent="0.25">
      <c r="A601" s="2">
        <v>293</v>
      </c>
      <c r="B601" s="3" t="s">
        <v>1126</v>
      </c>
      <c r="C601" s="3">
        <v>2024</v>
      </c>
      <c r="D601" s="3" t="s">
        <v>1386</v>
      </c>
      <c r="E601" s="3" t="s">
        <v>15</v>
      </c>
      <c r="F601" s="1" t="s">
        <v>7834</v>
      </c>
      <c r="G601" s="10"/>
      <c r="H601" s="10"/>
      <c r="I601" s="10"/>
      <c r="J601" s="10"/>
      <c r="K601" s="10"/>
      <c r="L601" s="3" t="s">
        <v>1387</v>
      </c>
      <c r="M601" s="3" t="s">
        <v>1388</v>
      </c>
      <c r="N601" s="3" t="s">
        <v>1389</v>
      </c>
      <c r="O601" s="3"/>
      <c r="P601" s="3"/>
      <c r="Q601" s="3"/>
      <c r="R601" s="3" t="s">
        <v>1390</v>
      </c>
      <c r="S601" s="3" t="s">
        <v>1391</v>
      </c>
      <c r="T601" s="3" t="s">
        <v>113</v>
      </c>
      <c r="U601" s="11">
        <v>33</v>
      </c>
      <c r="V601" s="3" t="s">
        <v>1126</v>
      </c>
      <c r="W601" s="8" t="s">
        <v>7834</v>
      </c>
    </row>
    <row r="602" spans="1:23" x14ac:dyDescent="0.25">
      <c r="A602" s="2">
        <v>294</v>
      </c>
      <c r="B602" s="3" t="s">
        <v>1126</v>
      </c>
      <c r="C602" s="3">
        <v>2024</v>
      </c>
      <c r="D602" s="3" t="s">
        <v>14</v>
      </c>
      <c r="E602" s="3" t="s">
        <v>15</v>
      </c>
      <c r="F602" s="1" t="s">
        <v>7834</v>
      </c>
      <c r="G602" s="10"/>
      <c r="H602" s="10"/>
      <c r="I602" s="10"/>
      <c r="J602" s="10"/>
      <c r="K602" s="10"/>
      <c r="L602" s="3" t="s">
        <v>1392</v>
      </c>
      <c r="M602" s="3" t="s">
        <v>1393</v>
      </c>
      <c r="N602" s="3" t="s">
        <v>1270</v>
      </c>
      <c r="O602" s="3">
        <v>15</v>
      </c>
      <c r="P602" s="3">
        <v>1</v>
      </c>
      <c r="Q602" s="3">
        <v>167</v>
      </c>
      <c r="R602" s="3" t="s">
        <v>1271</v>
      </c>
      <c r="S602" s="3" t="s">
        <v>1394</v>
      </c>
      <c r="T602" s="3" t="s">
        <v>113</v>
      </c>
      <c r="U602" s="11">
        <v>34</v>
      </c>
      <c r="V602" s="3" t="s">
        <v>1126</v>
      </c>
      <c r="W602" s="8" t="s">
        <v>7834</v>
      </c>
    </row>
    <row r="603" spans="1:23" x14ac:dyDescent="0.25">
      <c r="A603" s="2">
        <v>300</v>
      </c>
      <c r="B603" s="3" t="s">
        <v>1126</v>
      </c>
      <c r="C603" s="3">
        <v>2024</v>
      </c>
      <c r="D603" s="3" t="s">
        <v>660</v>
      </c>
      <c r="E603" s="3" t="s">
        <v>15</v>
      </c>
      <c r="F603" s="1" t="s">
        <v>7834</v>
      </c>
      <c r="G603" s="10"/>
      <c r="H603" s="10"/>
      <c r="I603" s="10"/>
      <c r="J603" s="10"/>
      <c r="K603" s="10"/>
      <c r="L603" s="3" t="s">
        <v>1415</v>
      </c>
      <c r="M603" s="3" t="s">
        <v>1416</v>
      </c>
      <c r="N603" s="3" t="s">
        <v>1366</v>
      </c>
      <c r="O603" s="3">
        <v>26</v>
      </c>
      <c r="P603" s="3"/>
      <c r="Q603" s="3">
        <v>101739</v>
      </c>
      <c r="R603" s="3" t="s">
        <v>1367</v>
      </c>
      <c r="S603" s="3" t="s">
        <v>1417</v>
      </c>
      <c r="T603" s="3" t="s">
        <v>113</v>
      </c>
      <c r="U603" s="11">
        <v>35</v>
      </c>
      <c r="V603" s="3" t="s">
        <v>1126</v>
      </c>
      <c r="W603" s="8" t="s">
        <v>7834</v>
      </c>
    </row>
    <row r="604" spans="1:23" x14ac:dyDescent="0.25">
      <c r="A604" s="2">
        <v>302</v>
      </c>
      <c r="B604" s="3" t="s">
        <v>1126</v>
      </c>
      <c r="C604" s="3">
        <v>2024</v>
      </c>
      <c r="D604" s="3" t="s">
        <v>1395</v>
      </c>
      <c r="E604" s="3" t="s">
        <v>15</v>
      </c>
      <c r="F604" s="1" t="s">
        <v>7834</v>
      </c>
      <c r="G604" s="10"/>
      <c r="H604" s="10"/>
      <c r="I604" s="10"/>
      <c r="J604" s="10"/>
      <c r="K604" s="10"/>
      <c r="L604" s="3" t="s">
        <v>1424</v>
      </c>
      <c r="M604" s="3" t="s">
        <v>1425</v>
      </c>
      <c r="N604" s="3" t="s">
        <v>1426</v>
      </c>
      <c r="O604" s="3">
        <v>35</v>
      </c>
      <c r="P604" s="3"/>
      <c r="Q604" s="3"/>
      <c r="R604" s="3" t="s">
        <v>1427</v>
      </c>
      <c r="S604" s="3" t="s">
        <v>1428</v>
      </c>
      <c r="T604" s="3" t="s">
        <v>113</v>
      </c>
      <c r="U604" s="11">
        <v>36</v>
      </c>
      <c r="V604" s="3" t="s">
        <v>1126</v>
      </c>
      <c r="W604" s="8" t="s">
        <v>7834</v>
      </c>
    </row>
    <row r="605" spans="1:23" x14ac:dyDescent="0.25">
      <c r="A605" s="2">
        <v>303</v>
      </c>
      <c r="B605" s="3" t="s">
        <v>1126</v>
      </c>
      <c r="C605" s="3">
        <v>2024</v>
      </c>
      <c r="D605" s="3" t="s">
        <v>38</v>
      </c>
      <c r="E605" s="3" t="s">
        <v>15</v>
      </c>
      <c r="F605" s="1" t="s">
        <v>7834</v>
      </c>
      <c r="G605" s="10"/>
      <c r="H605" s="10"/>
      <c r="I605" s="10"/>
      <c r="J605" s="10"/>
      <c r="K605" s="10"/>
      <c r="L605" s="3" t="s">
        <v>1429</v>
      </c>
      <c r="M605" s="3" t="s">
        <v>1430</v>
      </c>
      <c r="N605" s="3" t="s">
        <v>1431</v>
      </c>
      <c r="O605" s="3">
        <v>66</v>
      </c>
      <c r="P605" s="3">
        <v>2</v>
      </c>
      <c r="Q605" s="3">
        <v>72</v>
      </c>
      <c r="R605" s="3" t="s">
        <v>1432</v>
      </c>
      <c r="S605" s="3" t="s">
        <v>1433</v>
      </c>
      <c r="T605" s="3" t="s">
        <v>113</v>
      </c>
      <c r="U605" s="11">
        <v>37</v>
      </c>
      <c r="V605" s="3" t="s">
        <v>1126</v>
      </c>
      <c r="W605" s="8" t="s">
        <v>7834</v>
      </c>
    </row>
    <row r="606" spans="1:23" x14ac:dyDescent="0.25">
      <c r="A606" s="2">
        <v>307</v>
      </c>
      <c r="B606" s="3" t="s">
        <v>1126</v>
      </c>
      <c r="C606" s="3">
        <v>2024</v>
      </c>
      <c r="D606" s="3" t="s">
        <v>1450</v>
      </c>
      <c r="E606" s="3" t="s">
        <v>15</v>
      </c>
      <c r="F606" s="1" t="s">
        <v>7834</v>
      </c>
      <c r="G606" s="10"/>
      <c r="H606" s="10"/>
      <c r="I606" s="10"/>
      <c r="J606" s="10"/>
      <c r="K606" s="10"/>
      <c r="L606" s="3" t="s">
        <v>1451</v>
      </c>
      <c r="M606" s="3" t="s">
        <v>1452</v>
      </c>
      <c r="N606" s="3" t="s">
        <v>1453</v>
      </c>
      <c r="O606" s="3">
        <v>17</v>
      </c>
      <c r="P606" s="3"/>
      <c r="Q606" s="3">
        <v>1639</v>
      </c>
      <c r="R606" s="3">
        <v>19391382</v>
      </c>
      <c r="S606" s="3" t="s">
        <v>1454</v>
      </c>
      <c r="T606" s="3" t="s">
        <v>113</v>
      </c>
      <c r="U606" s="11">
        <v>38</v>
      </c>
      <c r="V606" s="3" t="s">
        <v>1126</v>
      </c>
      <c r="W606" s="8" t="s">
        <v>7834</v>
      </c>
    </row>
    <row r="607" spans="1:23" x14ac:dyDescent="0.25">
      <c r="A607" s="2">
        <v>308</v>
      </c>
      <c r="B607" s="3" t="s">
        <v>1126</v>
      </c>
      <c r="C607" s="3">
        <v>2024</v>
      </c>
      <c r="D607" s="3" t="s">
        <v>729</v>
      </c>
      <c r="E607" s="3" t="s">
        <v>15</v>
      </c>
      <c r="F607" s="1" t="s">
        <v>7834</v>
      </c>
      <c r="G607" s="10"/>
      <c r="H607" s="10"/>
      <c r="I607" s="10"/>
      <c r="J607" s="10"/>
      <c r="K607" s="10"/>
      <c r="L607" s="3" t="s">
        <v>1455</v>
      </c>
      <c r="M607" s="3" t="s">
        <v>1456</v>
      </c>
      <c r="N607" s="3" t="s">
        <v>1457</v>
      </c>
      <c r="O607" s="3">
        <v>44</v>
      </c>
      <c r="P607" s="3">
        <v>2</v>
      </c>
      <c r="Q607" s="3">
        <v>219</v>
      </c>
      <c r="R607" s="3">
        <v>7161417</v>
      </c>
      <c r="S607" s="3" t="s">
        <v>1458</v>
      </c>
      <c r="T607" s="3" t="s">
        <v>113</v>
      </c>
      <c r="U607" s="11">
        <v>39</v>
      </c>
      <c r="V607" s="3" t="s">
        <v>1126</v>
      </c>
      <c r="W607" s="8" t="s">
        <v>7834</v>
      </c>
    </row>
    <row r="608" spans="1:23" x14ac:dyDescent="0.25">
      <c r="A608" s="2">
        <v>309</v>
      </c>
      <c r="B608" s="3" t="s">
        <v>1126</v>
      </c>
      <c r="C608" s="3">
        <v>2024</v>
      </c>
      <c r="D608" s="3" t="s">
        <v>1459</v>
      </c>
      <c r="E608" s="3" t="s">
        <v>15</v>
      </c>
      <c r="F608" s="1" t="s">
        <v>7834</v>
      </c>
      <c r="G608" s="10"/>
      <c r="H608" s="10"/>
      <c r="I608" s="10"/>
      <c r="J608" s="10"/>
      <c r="K608" s="10"/>
      <c r="L608" s="3" t="s">
        <v>1460</v>
      </c>
      <c r="M608" s="3" t="s">
        <v>1461</v>
      </c>
      <c r="N608" s="3" t="s">
        <v>1462</v>
      </c>
      <c r="O608" s="3">
        <v>36</v>
      </c>
      <c r="P608" s="3">
        <v>3</v>
      </c>
      <c r="Q608" s="3"/>
      <c r="R608" s="3">
        <v>9542892</v>
      </c>
      <c r="S608" s="3" t="s">
        <v>1463</v>
      </c>
      <c r="T608" s="3" t="s">
        <v>113</v>
      </c>
      <c r="U608" s="11">
        <v>40</v>
      </c>
      <c r="V608" s="3" t="s">
        <v>1126</v>
      </c>
      <c r="W608" s="8" t="s">
        <v>7834</v>
      </c>
    </row>
    <row r="609" spans="1:23" x14ac:dyDescent="0.25">
      <c r="A609" s="2">
        <v>314</v>
      </c>
      <c r="B609" s="3" t="s">
        <v>1126</v>
      </c>
      <c r="C609" s="3">
        <v>2024</v>
      </c>
      <c r="D609" s="3" t="s">
        <v>1482</v>
      </c>
      <c r="E609" s="3" t="s">
        <v>15</v>
      </c>
      <c r="F609" s="1" t="s">
        <v>7834</v>
      </c>
      <c r="G609" s="10"/>
      <c r="H609" s="10"/>
      <c r="I609" s="10"/>
      <c r="J609" s="10"/>
      <c r="K609" s="10"/>
      <c r="L609" s="3" t="s">
        <v>1483</v>
      </c>
      <c r="M609" s="3" t="s">
        <v>1484</v>
      </c>
      <c r="N609" s="3" t="s">
        <v>1270</v>
      </c>
      <c r="O609" s="3">
        <v>15</v>
      </c>
      <c r="P609" s="3">
        <v>5</v>
      </c>
      <c r="Q609" s="3">
        <v>1701</v>
      </c>
      <c r="R609" s="3" t="s">
        <v>1271</v>
      </c>
      <c r="S609" s="3" t="s">
        <v>1485</v>
      </c>
      <c r="T609" s="3" t="s">
        <v>113</v>
      </c>
      <c r="U609" s="11">
        <v>41</v>
      </c>
      <c r="V609" s="3" t="s">
        <v>1126</v>
      </c>
      <c r="W609" s="8" t="s">
        <v>7834</v>
      </c>
    </row>
    <row r="610" spans="1:23" x14ac:dyDescent="0.25">
      <c r="A610" s="2">
        <v>315</v>
      </c>
      <c r="B610" s="3" t="s">
        <v>1126</v>
      </c>
      <c r="C610" s="3">
        <v>2024</v>
      </c>
      <c r="D610" s="3" t="s">
        <v>811</v>
      </c>
      <c r="E610" s="3" t="s">
        <v>15</v>
      </c>
      <c r="F610" s="1" t="s">
        <v>7834</v>
      </c>
      <c r="G610" s="10"/>
      <c r="H610" s="10"/>
      <c r="I610" s="10"/>
      <c r="J610" s="10"/>
      <c r="K610" s="10"/>
      <c r="L610" s="3" t="s">
        <v>1486</v>
      </c>
      <c r="M610" s="3" t="s">
        <v>1487</v>
      </c>
      <c r="N610" s="3" t="s">
        <v>1488</v>
      </c>
      <c r="O610" s="3">
        <v>8</v>
      </c>
      <c r="P610" s="3" t="s">
        <v>1489</v>
      </c>
      <c r="Q610" s="3">
        <v>2226</v>
      </c>
      <c r="R610" s="3" t="s">
        <v>1490</v>
      </c>
      <c r="S610" s="3" t="s">
        <v>1491</v>
      </c>
      <c r="T610" s="3" t="s">
        <v>113</v>
      </c>
      <c r="U610" s="11">
        <v>42</v>
      </c>
      <c r="V610" s="3" t="s">
        <v>1126</v>
      </c>
      <c r="W610" s="8" t="s">
        <v>7834</v>
      </c>
    </row>
    <row r="611" spans="1:23" x14ac:dyDescent="0.25">
      <c r="A611" s="2">
        <v>322</v>
      </c>
      <c r="B611" s="3" t="s">
        <v>1126</v>
      </c>
      <c r="C611" s="3">
        <v>2024</v>
      </c>
      <c r="D611" s="3" t="s">
        <v>1262</v>
      </c>
      <c r="E611" s="3" t="s">
        <v>15</v>
      </c>
      <c r="F611" s="1" t="s">
        <v>7834</v>
      </c>
      <c r="G611" s="10"/>
      <c r="H611" s="10"/>
      <c r="I611" s="10"/>
      <c r="J611" s="10"/>
      <c r="K611" s="10"/>
      <c r="L611" s="3" t="s">
        <v>1517</v>
      </c>
      <c r="M611" s="3" t="s">
        <v>1518</v>
      </c>
      <c r="N611" s="3" t="s">
        <v>1291</v>
      </c>
      <c r="O611" s="3">
        <v>67</v>
      </c>
      <c r="P611" s="3">
        <v>10</v>
      </c>
      <c r="Q611" s="3">
        <v>2984</v>
      </c>
      <c r="R611" s="3" t="s">
        <v>1292</v>
      </c>
      <c r="S611" s="3" t="s">
        <v>1519</v>
      </c>
      <c r="T611" s="3" t="s">
        <v>113</v>
      </c>
      <c r="U611" s="11">
        <v>43</v>
      </c>
      <c r="V611" s="3" t="s">
        <v>1126</v>
      </c>
      <c r="W611" s="8" t="s">
        <v>7834</v>
      </c>
    </row>
    <row r="612" spans="1:23" x14ac:dyDescent="0.25">
      <c r="A612" s="2">
        <v>323</v>
      </c>
      <c r="B612" s="3" t="s">
        <v>1126</v>
      </c>
      <c r="C612" s="3">
        <v>2024</v>
      </c>
      <c r="D612" s="3" t="s">
        <v>1520</v>
      </c>
      <c r="E612" s="3" t="s">
        <v>15</v>
      </c>
      <c r="F612" s="1" t="s">
        <v>7834</v>
      </c>
      <c r="G612" s="10"/>
      <c r="H612" s="10"/>
      <c r="I612" s="10"/>
      <c r="J612" s="10"/>
      <c r="K612" s="10"/>
      <c r="L612" s="3" t="s">
        <v>1521</v>
      </c>
      <c r="M612" s="3" t="s">
        <v>1522</v>
      </c>
      <c r="N612" s="3" t="s">
        <v>1523</v>
      </c>
      <c r="O612" s="3">
        <v>105</v>
      </c>
      <c r="P612" s="3">
        <v>5</v>
      </c>
      <c r="Q612" s="3">
        <v>1587</v>
      </c>
      <c r="R612" s="3" t="s">
        <v>1524</v>
      </c>
      <c r="S612" s="3" t="s">
        <v>1525</v>
      </c>
      <c r="T612" s="3" t="s">
        <v>113</v>
      </c>
      <c r="U612" s="11">
        <v>44</v>
      </c>
      <c r="V612" s="3" t="s">
        <v>1126</v>
      </c>
      <c r="W612" s="8" t="s">
        <v>7834</v>
      </c>
    </row>
    <row r="613" spans="1:23" x14ac:dyDescent="0.25">
      <c r="A613" s="2">
        <v>324</v>
      </c>
      <c r="B613" s="3" t="s">
        <v>1126</v>
      </c>
      <c r="C613" s="3">
        <v>2024</v>
      </c>
      <c r="D613" s="3" t="s">
        <v>818</v>
      </c>
      <c r="E613" s="3" t="s">
        <v>15</v>
      </c>
      <c r="F613" s="1" t="s">
        <v>7834</v>
      </c>
      <c r="G613" s="10"/>
      <c r="H613" s="10"/>
      <c r="I613" s="10"/>
      <c r="J613" s="10"/>
      <c r="K613" s="10"/>
      <c r="L613" s="3" t="s">
        <v>1526</v>
      </c>
      <c r="M613" s="3" t="s">
        <v>1527</v>
      </c>
      <c r="N613" s="3" t="s">
        <v>1488</v>
      </c>
      <c r="O613" s="3">
        <v>8</v>
      </c>
      <c r="P613" s="3" t="s">
        <v>1528</v>
      </c>
      <c r="Q613" s="3"/>
      <c r="R613" s="3" t="s">
        <v>1490</v>
      </c>
      <c r="S613" s="3" t="s">
        <v>1529</v>
      </c>
      <c r="T613" s="3" t="s">
        <v>113</v>
      </c>
      <c r="U613" s="11">
        <v>45</v>
      </c>
      <c r="V613" s="3" t="s">
        <v>1126</v>
      </c>
      <c r="W613" s="8" t="s">
        <v>7834</v>
      </c>
    </row>
    <row r="614" spans="1:23" x14ac:dyDescent="0.25">
      <c r="A614" s="2">
        <v>333</v>
      </c>
      <c r="B614" s="3" t="s">
        <v>1547</v>
      </c>
      <c r="C614" s="3">
        <v>2024</v>
      </c>
      <c r="D614" s="3" t="s">
        <v>1569</v>
      </c>
      <c r="E614" s="3" t="s">
        <v>15</v>
      </c>
      <c r="F614" s="1" t="s">
        <v>7834</v>
      </c>
      <c r="G614" s="10"/>
      <c r="H614" s="10"/>
      <c r="I614" s="10"/>
      <c r="J614" s="10"/>
      <c r="K614" s="10"/>
      <c r="L614" s="3" t="s">
        <v>1570</v>
      </c>
      <c r="M614" s="3" t="s">
        <v>1571</v>
      </c>
      <c r="N614" s="3" t="s">
        <v>1572</v>
      </c>
      <c r="O614" s="3"/>
      <c r="P614" s="3"/>
      <c r="Q614" s="3"/>
      <c r="R614" s="3" t="s">
        <v>1573</v>
      </c>
      <c r="S614" s="3" t="s">
        <v>1574</v>
      </c>
      <c r="T614" s="3" t="s">
        <v>113</v>
      </c>
      <c r="U614" s="11">
        <v>46</v>
      </c>
      <c r="V614" s="3" t="s">
        <v>1547</v>
      </c>
      <c r="W614" s="8" t="s">
        <v>7834</v>
      </c>
    </row>
    <row r="615" spans="1:23" x14ac:dyDescent="0.25">
      <c r="A615" s="2">
        <v>334</v>
      </c>
      <c r="B615" s="3" t="s">
        <v>1547</v>
      </c>
      <c r="C615" s="3">
        <v>2024</v>
      </c>
      <c r="D615" s="3" t="s">
        <v>633</v>
      </c>
      <c r="E615" s="3" t="s">
        <v>15</v>
      </c>
      <c r="F615" s="1" t="s">
        <v>7834</v>
      </c>
      <c r="G615" s="10"/>
      <c r="H615" s="10"/>
      <c r="I615" s="10"/>
      <c r="J615" s="10"/>
      <c r="K615" s="10"/>
      <c r="L615" s="3" t="s">
        <v>1575</v>
      </c>
      <c r="M615" s="3" t="s">
        <v>1576</v>
      </c>
      <c r="N615" s="3" t="s">
        <v>1577</v>
      </c>
      <c r="O615" s="3"/>
      <c r="P615" s="3"/>
      <c r="Q615" s="3"/>
      <c r="R615" s="3" t="s">
        <v>1578</v>
      </c>
      <c r="S615" s="3" t="s">
        <v>1579</v>
      </c>
      <c r="T615" s="3" t="s">
        <v>113</v>
      </c>
      <c r="U615" s="11">
        <v>47</v>
      </c>
      <c r="V615" s="3" t="s">
        <v>1547</v>
      </c>
      <c r="W615" s="8" t="s">
        <v>7834</v>
      </c>
    </row>
    <row r="616" spans="1:23" x14ac:dyDescent="0.25">
      <c r="A616" s="2">
        <v>336</v>
      </c>
      <c r="B616" s="3" t="s">
        <v>1547</v>
      </c>
      <c r="C616" s="3">
        <v>2024</v>
      </c>
      <c r="D616" s="3" t="s">
        <v>856</v>
      </c>
      <c r="E616" s="3" t="s">
        <v>15</v>
      </c>
      <c r="F616" s="1" t="s">
        <v>7834</v>
      </c>
      <c r="G616" s="10"/>
      <c r="H616" s="10"/>
      <c r="I616" s="10"/>
      <c r="J616" s="10"/>
      <c r="K616" s="10"/>
      <c r="L616" s="3" t="s">
        <v>1583</v>
      </c>
      <c r="M616" s="3" t="s">
        <v>1584</v>
      </c>
      <c r="N616" s="3" t="s">
        <v>1585</v>
      </c>
      <c r="O616" s="3"/>
      <c r="P616" s="3"/>
      <c r="Q616" s="3"/>
      <c r="R616" s="3" t="s">
        <v>1586</v>
      </c>
      <c r="S616" s="3" t="s">
        <v>1587</v>
      </c>
      <c r="T616" s="3" t="s">
        <v>113</v>
      </c>
      <c r="U616" s="11">
        <v>48</v>
      </c>
      <c r="V616" s="3" t="s">
        <v>1547</v>
      </c>
      <c r="W616" s="8" t="s">
        <v>7834</v>
      </c>
    </row>
    <row r="617" spans="1:23" x14ac:dyDescent="0.25">
      <c r="A617" s="2">
        <v>343</v>
      </c>
      <c r="B617" s="3" t="s">
        <v>1547</v>
      </c>
      <c r="C617" s="3">
        <v>2024</v>
      </c>
      <c r="D617" s="3" t="s">
        <v>1283</v>
      </c>
      <c r="E617" s="3" t="s">
        <v>15</v>
      </c>
      <c r="F617" s="1" t="s">
        <v>7834</v>
      </c>
      <c r="G617" s="10"/>
      <c r="H617" s="10"/>
      <c r="I617" s="10"/>
      <c r="J617" s="10"/>
      <c r="K617" s="10"/>
      <c r="L617" s="3" t="s">
        <v>1617</v>
      </c>
      <c r="M617" s="3" t="s">
        <v>1618</v>
      </c>
      <c r="N617" s="3" t="s">
        <v>1619</v>
      </c>
      <c r="O617" s="3"/>
      <c r="P617" s="3"/>
      <c r="Q617" s="3"/>
      <c r="R617" s="3" t="s">
        <v>1620</v>
      </c>
      <c r="S617" s="3" t="s">
        <v>1621</v>
      </c>
      <c r="T617" s="3" t="s">
        <v>113</v>
      </c>
      <c r="U617" s="11">
        <v>49</v>
      </c>
      <c r="V617" s="3" t="s">
        <v>1547</v>
      </c>
      <c r="W617" s="8" t="s">
        <v>7834</v>
      </c>
    </row>
    <row r="618" spans="1:23" x14ac:dyDescent="0.25">
      <c r="A618" s="2">
        <v>344</v>
      </c>
      <c r="B618" s="3" t="s">
        <v>1547</v>
      </c>
      <c r="C618" s="3">
        <v>2024</v>
      </c>
      <c r="D618" s="3" t="s">
        <v>1622</v>
      </c>
      <c r="E618" s="3" t="s">
        <v>15</v>
      </c>
      <c r="F618" s="1" t="s">
        <v>7834</v>
      </c>
      <c r="G618" s="10"/>
      <c r="H618" s="10"/>
      <c r="I618" s="10"/>
      <c r="J618" s="10"/>
      <c r="K618" s="10"/>
      <c r="L618" s="3" t="s">
        <v>1623</v>
      </c>
      <c r="M618" s="3" t="s">
        <v>1624</v>
      </c>
      <c r="N618" s="3" t="s">
        <v>1625</v>
      </c>
      <c r="O618" s="3"/>
      <c r="P618" s="3"/>
      <c r="Q618" s="3"/>
      <c r="R618" s="3" t="s">
        <v>1626</v>
      </c>
      <c r="S618" s="3" t="s">
        <v>1627</v>
      </c>
      <c r="T618" s="3" t="s">
        <v>113</v>
      </c>
      <c r="U618" s="11">
        <v>50</v>
      </c>
      <c r="V618" s="3" t="s">
        <v>1547</v>
      </c>
      <c r="W618" s="8" t="s">
        <v>7834</v>
      </c>
    </row>
    <row r="619" spans="1:23" x14ac:dyDescent="0.25">
      <c r="A619" s="2">
        <v>346</v>
      </c>
      <c r="B619" s="3" t="s">
        <v>1547</v>
      </c>
      <c r="C619" s="3">
        <v>2024</v>
      </c>
      <c r="D619" s="3" t="s">
        <v>1151</v>
      </c>
      <c r="E619" s="3" t="s">
        <v>15</v>
      </c>
      <c r="F619" s="1" t="s">
        <v>7834</v>
      </c>
      <c r="G619" s="10"/>
      <c r="H619" s="10"/>
      <c r="I619" s="10"/>
      <c r="J619" s="10"/>
      <c r="K619" s="10"/>
      <c r="L619" s="3" t="s">
        <v>1632</v>
      </c>
      <c r="M619" s="3" t="s">
        <v>1633</v>
      </c>
      <c r="N619" s="3" t="s">
        <v>1634</v>
      </c>
      <c r="O619" s="3">
        <v>52</v>
      </c>
      <c r="P619" s="3">
        <v>1</v>
      </c>
      <c r="Q619" s="3"/>
      <c r="R619" s="3" t="s">
        <v>1635</v>
      </c>
      <c r="S619" s="3" t="s">
        <v>1636</v>
      </c>
      <c r="T619" s="3" t="s">
        <v>113</v>
      </c>
      <c r="U619" s="11">
        <v>51</v>
      </c>
      <c r="V619" s="3" t="s">
        <v>1547</v>
      </c>
      <c r="W619" s="8" t="s">
        <v>7834</v>
      </c>
    </row>
    <row r="620" spans="1:23" x14ac:dyDescent="0.25">
      <c r="A620" s="2">
        <v>348</v>
      </c>
      <c r="B620" s="3" t="s">
        <v>1547</v>
      </c>
      <c r="C620" s="3">
        <v>2024</v>
      </c>
      <c r="D620" s="3" t="s">
        <v>156</v>
      </c>
      <c r="E620" s="3" t="s">
        <v>15</v>
      </c>
      <c r="F620" s="1" t="s">
        <v>7834</v>
      </c>
      <c r="G620" s="10"/>
      <c r="H620" s="10"/>
      <c r="I620" s="10"/>
      <c r="J620" s="10"/>
      <c r="K620" s="10"/>
      <c r="L620" s="3" t="s">
        <v>1641</v>
      </c>
      <c r="M620" s="3" t="s">
        <v>1642</v>
      </c>
      <c r="N620" s="3" t="s">
        <v>1643</v>
      </c>
      <c r="O620" s="3"/>
      <c r="P620" s="3"/>
      <c r="Q620" s="3"/>
      <c r="R620" s="3" t="s">
        <v>1032</v>
      </c>
      <c r="S620" s="3" t="s">
        <v>1644</v>
      </c>
      <c r="T620" s="3" t="s">
        <v>113</v>
      </c>
      <c r="U620" s="11">
        <v>52</v>
      </c>
      <c r="V620" s="3" t="s">
        <v>1547</v>
      </c>
      <c r="W620" s="8" t="s">
        <v>7834</v>
      </c>
    </row>
    <row r="621" spans="1:23" x14ac:dyDescent="0.25">
      <c r="A621" s="2">
        <v>349</v>
      </c>
      <c r="B621" s="3" t="s">
        <v>1547</v>
      </c>
      <c r="C621" s="3">
        <v>2024</v>
      </c>
      <c r="D621" s="3" t="s">
        <v>811</v>
      </c>
      <c r="E621" s="3" t="s">
        <v>15</v>
      </c>
      <c r="F621" s="1" t="s">
        <v>7834</v>
      </c>
      <c r="G621" s="10"/>
      <c r="H621" s="10"/>
      <c r="I621" s="10"/>
      <c r="J621" s="10"/>
      <c r="K621" s="10"/>
      <c r="L621" s="3" t="s">
        <v>1088</v>
      </c>
      <c r="M621" s="3" t="s">
        <v>1645</v>
      </c>
      <c r="N621" s="3" t="s">
        <v>1090</v>
      </c>
      <c r="O621" s="3">
        <v>16</v>
      </c>
      <c r="P621" s="3">
        <v>5</v>
      </c>
      <c r="Q621" s="3"/>
      <c r="R621" s="3" t="s">
        <v>1646</v>
      </c>
      <c r="S621" s="3" t="s">
        <v>1091</v>
      </c>
      <c r="T621" s="3" t="s">
        <v>113</v>
      </c>
      <c r="U621" s="11">
        <v>53</v>
      </c>
      <c r="V621" s="3" t="s">
        <v>1547</v>
      </c>
      <c r="W621" s="8" t="s">
        <v>7834</v>
      </c>
    </row>
    <row r="622" spans="1:23" x14ac:dyDescent="0.25">
      <c r="A622" s="2">
        <v>350</v>
      </c>
      <c r="B622" s="3" t="s">
        <v>1547</v>
      </c>
      <c r="C622" s="3">
        <v>2024</v>
      </c>
      <c r="D622" s="3" t="s">
        <v>894</v>
      </c>
      <c r="E622" s="3" t="s">
        <v>15</v>
      </c>
      <c r="F622" s="1" t="s">
        <v>7834</v>
      </c>
      <c r="G622" s="10"/>
      <c r="H622" s="10"/>
      <c r="I622" s="10"/>
      <c r="J622" s="10"/>
      <c r="K622" s="10"/>
      <c r="L622" s="3" t="s">
        <v>1647</v>
      </c>
      <c r="M622" s="3" t="s">
        <v>1648</v>
      </c>
      <c r="N622" s="3" t="s">
        <v>1649</v>
      </c>
      <c r="O622" s="3">
        <v>25</v>
      </c>
      <c r="P622" s="3">
        <v>4</v>
      </c>
      <c r="Q622" s="3"/>
      <c r="R622" s="3" t="s">
        <v>1650</v>
      </c>
      <c r="S622" s="3" t="s">
        <v>1651</v>
      </c>
      <c r="T622" s="3" t="s">
        <v>113</v>
      </c>
      <c r="U622" s="11">
        <v>54</v>
      </c>
      <c r="V622" s="3" t="s">
        <v>1547</v>
      </c>
      <c r="W622" s="8" t="s">
        <v>7834</v>
      </c>
    </row>
    <row r="623" spans="1:23" x14ac:dyDescent="0.25">
      <c r="A623" s="2">
        <v>353</v>
      </c>
      <c r="B623" s="3" t="s">
        <v>1547</v>
      </c>
      <c r="C623" s="3">
        <v>2024</v>
      </c>
      <c r="D623" s="3" t="s">
        <v>1660</v>
      </c>
      <c r="E623" s="3" t="s">
        <v>15</v>
      </c>
      <c r="F623" s="1" t="s">
        <v>7834</v>
      </c>
      <c r="G623" s="10"/>
      <c r="H623" s="10"/>
      <c r="I623" s="10"/>
      <c r="J623" s="10"/>
      <c r="K623" s="10"/>
      <c r="L623" s="3" t="s">
        <v>1661</v>
      </c>
      <c r="M623" s="3" t="s">
        <v>1662</v>
      </c>
      <c r="N623" s="3" t="s">
        <v>976</v>
      </c>
      <c r="O623" s="3"/>
      <c r="P623" s="3"/>
      <c r="Q623" s="3"/>
      <c r="R623" s="3" t="s">
        <v>880</v>
      </c>
      <c r="S623" s="3" t="s">
        <v>1663</v>
      </c>
      <c r="T623" s="3" t="s">
        <v>113</v>
      </c>
      <c r="U623" s="11">
        <v>55</v>
      </c>
      <c r="V623" s="3" t="s">
        <v>1547</v>
      </c>
      <c r="W623" s="8" t="s">
        <v>7834</v>
      </c>
    </row>
    <row r="624" spans="1:23" x14ac:dyDescent="0.25">
      <c r="A624" s="2">
        <v>357</v>
      </c>
      <c r="B624" s="3" t="s">
        <v>1547</v>
      </c>
      <c r="C624" s="3">
        <v>2024</v>
      </c>
      <c r="D624" s="3" t="s">
        <v>14</v>
      </c>
      <c r="E624" s="3" t="s">
        <v>15</v>
      </c>
      <c r="F624" s="1" t="s">
        <v>7834</v>
      </c>
      <c r="G624" s="10"/>
      <c r="H624" s="10"/>
      <c r="I624" s="10"/>
      <c r="J624" s="10"/>
      <c r="K624" s="10"/>
      <c r="L624" s="3" t="s">
        <v>1680</v>
      </c>
      <c r="M624" s="3" t="s">
        <v>1681</v>
      </c>
      <c r="N624" s="3" t="s">
        <v>1682</v>
      </c>
      <c r="O624" s="3">
        <v>241</v>
      </c>
      <c r="P624" s="3"/>
      <c r="Q624" s="3"/>
      <c r="R624" s="3" t="s">
        <v>1683</v>
      </c>
      <c r="S624" s="3" t="s">
        <v>1684</v>
      </c>
      <c r="T624" s="3" t="s">
        <v>113</v>
      </c>
      <c r="U624" s="11">
        <v>56</v>
      </c>
      <c r="V624" s="3" t="s">
        <v>1547</v>
      </c>
      <c r="W624" s="8" t="s">
        <v>7834</v>
      </c>
    </row>
    <row r="625" spans="1:23" x14ac:dyDescent="0.25">
      <c r="A625" s="2">
        <v>358</v>
      </c>
      <c r="B625" s="3" t="s">
        <v>1547</v>
      </c>
      <c r="C625" s="3">
        <v>2024</v>
      </c>
      <c r="D625" s="3" t="s">
        <v>840</v>
      </c>
      <c r="E625" s="3" t="s">
        <v>15</v>
      </c>
      <c r="F625" s="1" t="s">
        <v>7834</v>
      </c>
      <c r="G625" s="10"/>
      <c r="H625" s="10"/>
      <c r="I625" s="10"/>
      <c r="J625" s="10"/>
      <c r="K625" s="10"/>
      <c r="L625" s="3" t="s">
        <v>1685</v>
      </c>
      <c r="M625" s="3" t="s">
        <v>1686</v>
      </c>
      <c r="N625" s="3" t="s">
        <v>1687</v>
      </c>
      <c r="O625" s="3"/>
      <c r="P625" s="3"/>
      <c r="Q625" s="3"/>
      <c r="R625" s="3" t="s">
        <v>1688</v>
      </c>
      <c r="S625" s="3" t="s">
        <v>1689</v>
      </c>
      <c r="T625" s="3" t="s">
        <v>113</v>
      </c>
      <c r="U625" s="11">
        <v>57</v>
      </c>
      <c r="V625" s="3" t="s">
        <v>1547</v>
      </c>
      <c r="W625" s="8" t="s">
        <v>7834</v>
      </c>
    </row>
    <row r="626" spans="1:23" x14ac:dyDescent="0.25">
      <c r="A626" s="2">
        <v>359</v>
      </c>
      <c r="B626" s="3" t="s">
        <v>1547</v>
      </c>
      <c r="C626" s="3">
        <v>2024</v>
      </c>
      <c r="D626" s="3" t="s">
        <v>1177</v>
      </c>
      <c r="E626" s="3" t="s">
        <v>15</v>
      </c>
      <c r="F626" s="1" t="s">
        <v>7834</v>
      </c>
      <c r="G626" s="10"/>
      <c r="H626" s="10"/>
      <c r="I626" s="10"/>
      <c r="J626" s="10"/>
      <c r="K626" s="10"/>
      <c r="L626" s="3" t="s">
        <v>1690</v>
      </c>
      <c r="M626" s="3" t="s">
        <v>1691</v>
      </c>
      <c r="N626" s="3" t="s">
        <v>1692</v>
      </c>
      <c r="O626" s="3">
        <v>15</v>
      </c>
      <c r="P626" s="3"/>
      <c r="Q626" s="3"/>
      <c r="R626" s="3" t="s">
        <v>1693</v>
      </c>
      <c r="S626" s="3" t="s">
        <v>1694</v>
      </c>
      <c r="T626" s="3" t="s">
        <v>113</v>
      </c>
      <c r="U626" s="11">
        <v>58</v>
      </c>
      <c r="V626" s="3" t="s">
        <v>1547</v>
      </c>
      <c r="W626" s="8" t="s">
        <v>7834</v>
      </c>
    </row>
    <row r="627" spans="1:23" x14ac:dyDescent="0.25">
      <c r="A627" s="2">
        <v>360</v>
      </c>
      <c r="B627" s="3" t="s">
        <v>1547</v>
      </c>
      <c r="C627" s="3">
        <v>2024</v>
      </c>
      <c r="D627" s="3" t="s">
        <v>1695</v>
      </c>
      <c r="E627" s="3" t="s">
        <v>15</v>
      </c>
      <c r="F627" s="1" t="s">
        <v>7834</v>
      </c>
      <c r="G627" s="10"/>
      <c r="H627" s="10"/>
      <c r="I627" s="10"/>
      <c r="J627" s="10"/>
      <c r="K627" s="10"/>
      <c r="L627" s="3" t="s">
        <v>1696</v>
      </c>
      <c r="M627" s="3" t="s">
        <v>1697</v>
      </c>
      <c r="N627" s="3" t="s">
        <v>1698</v>
      </c>
      <c r="O627" s="3">
        <v>249</v>
      </c>
      <c r="P627" s="3"/>
      <c r="Q627" s="3"/>
      <c r="R627" s="3" t="s">
        <v>1699</v>
      </c>
      <c r="S627" s="3" t="s">
        <v>1700</v>
      </c>
      <c r="T627" s="3" t="s">
        <v>113</v>
      </c>
      <c r="U627" s="11">
        <v>59</v>
      </c>
      <c r="V627" s="3" t="s">
        <v>1547</v>
      </c>
      <c r="W627" s="8" t="s">
        <v>7834</v>
      </c>
    </row>
    <row r="628" spans="1:23" x14ac:dyDescent="0.25">
      <c r="A628" s="2">
        <v>362</v>
      </c>
      <c r="B628" s="3" t="s">
        <v>1547</v>
      </c>
      <c r="C628" s="3">
        <v>2024</v>
      </c>
      <c r="D628" s="3" t="s">
        <v>495</v>
      </c>
      <c r="E628" s="3" t="s">
        <v>15</v>
      </c>
      <c r="F628" s="1" t="s">
        <v>7834</v>
      </c>
      <c r="G628" s="10"/>
      <c r="H628" s="10"/>
      <c r="I628" s="10"/>
      <c r="J628" s="10"/>
      <c r="K628" s="10"/>
      <c r="L628" s="3" t="s">
        <v>1705</v>
      </c>
      <c r="M628" s="3" t="s">
        <v>1706</v>
      </c>
      <c r="N628" s="3" t="s">
        <v>1707</v>
      </c>
      <c r="O628" s="3">
        <v>25</v>
      </c>
      <c r="P628" s="3">
        <v>614</v>
      </c>
      <c r="Q628" s="3"/>
      <c r="R628" s="3" t="s">
        <v>1708</v>
      </c>
      <c r="S628" s="3" t="s">
        <v>1709</v>
      </c>
      <c r="T628" s="3" t="s">
        <v>113</v>
      </c>
      <c r="U628" s="11">
        <v>60</v>
      </c>
      <c r="V628" s="3" t="s">
        <v>1547</v>
      </c>
      <c r="W628" s="8" t="s">
        <v>7834</v>
      </c>
    </row>
    <row r="629" spans="1:23" x14ac:dyDescent="0.25">
      <c r="A629" s="2">
        <v>368</v>
      </c>
      <c r="B629" s="3" t="s">
        <v>1547</v>
      </c>
      <c r="C629" s="3">
        <v>2024</v>
      </c>
      <c r="D629" s="3" t="s">
        <v>788</v>
      </c>
      <c r="E629" s="3" t="s">
        <v>15</v>
      </c>
      <c r="F629" s="1" t="s">
        <v>7834</v>
      </c>
      <c r="G629" s="10"/>
      <c r="H629" s="10"/>
      <c r="I629" s="10"/>
      <c r="J629" s="10"/>
      <c r="K629" s="10"/>
      <c r="L629" s="3" t="s">
        <v>1733</v>
      </c>
      <c r="M629" s="3" t="s">
        <v>1734</v>
      </c>
      <c r="N629" s="3" t="s">
        <v>976</v>
      </c>
      <c r="O629" s="3">
        <v>14</v>
      </c>
      <c r="P629" s="3">
        <v>7</v>
      </c>
      <c r="Q629" s="3"/>
      <c r="R629" s="3" t="s">
        <v>880</v>
      </c>
      <c r="S629" s="3" t="s">
        <v>881</v>
      </c>
      <c r="T629" s="3" t="s">
        <v>113</v>
      </c>
      <c r="U629" s="11">
        <v>61</v>
      </c>
      <c r="V629" s="3" t="s">
        <v>1547</v>
      </c>
      <c r="W629" s="8" t="s">
        <v>7834</v>
      </c>
    </row>
    <row r="630" spans="1:23" x14ac:dyDescent="0.25">
      <c r="A630" s="2">
        <v>371</v>
      </c>
      <c r="B630" s="3" t="s">
        <v>1547</v>
      </c>
      <c r="C630" s="3">
        <v>2024</v>
      </c>
      <c r="D630" s="3" t="s">
        <v>1450</v>
      </c>
      <c r="E630" s="3" t="s">
        <v>15</v>
      </c>
      <c r="F630" s="1" t="s">
        <v>7834</v>
      </c>
      <c r="G630" s="10"/>
      <c r="H630" s="10"/>
      <c r="I630" s="10"/>
      <c r="J630" s="10"/>
      <c r="K630" s="10"/>
      <c r="L630" s="3" t="s">
        <v>1746</v>
      </c>
      <c r="M630" s="3" t="s">
        <v>1747</v>
      </c>
      <c r="N630" s="3" t="s">
        <v>1748</v>
      </c>
      <c r="O630" s="3">
        <v>24</v>
      </c>
      <c r="P630" s="3">
        <v>467</v>
      </c>
      <c r="Q630" s="3"/>
      <c r="R630" s="3" t="s">
        <v>1749</v>
      </c>
      <c r="S630" s="3" t="s">
        <v>1750</v>
      </c>
      <c r="T630" s="3" t="s">
        <v>113</v>
      </c>
      <c r="U630" s="11">
        <v>62</v>
      </c>
      <c r="V630" s="3" t="s">
        <v>1547</v>
      </c>
      <c r="W630" s="8" t="s">
        <v>7834</v>
      </c>
    </row>
    <row r="631" spans="1:23" x14ac:dyDescent="0.25">
      <c r="A631" s="2">
        <v>374</v>
      </c>
      <c r="B631" s="3" t="s">
        <v>1547</v>
      </c>
      <c r="C631" s="3">
        <v>2024</v>
      </c>
      <c r="D631" s="3" t="s">
        <v>1762</v>
      </c>
      <c r="E631" s="3" t="s">
        <v>15</v>
      </c>
      <c r="F631" s="1" t="s">
        <v>7834</v>
      </c>
      <c r="G631" s="10"/>
      <c r="H631" s="10"/>
      <c r="I631" s="10"/>
      <c r="J631" s="10"/>
      <c r="K631" s="10"/>
      <c r="L631" s="3" t="s">
        <v>1763</v>
      </c>
      <c r="M631" s="3" t="s">
        <v>1764</v>
      </c>
      <c r="N631" s="3" t="s">
        <v>919</v>
      </c>
      <c r="O631" s="3">
        <v>33</v>
      </c>
      <c r="P631" s="3"/>
      <c r="Q631" s="3"/>
      <c r="R631" s="3" t="s">
        <v>1765</v>
      </c>
      <c r="S631" s="3" t="s">
        <v>1766</v>
      </c>
      <c r="T631" s="3" t="s">
        <v>113</v>
      </c>
      <c r="U631" s="11">
        <v>63</v>
      </c>
      <c r="V631" s="3" t="s">
        <v>1547</v>
      </c>
      <c r="W631" s="8" t="s">
        <v>7834</v>
      </c>
    </row>
    <row r="632" spans="1:23" x14ac:dyDescent="0.25">
      <c r="A632" s="2">
        <v>377</v>
      </c>
      <c r="B632" s="3" t="s">
        <v>1547</v>
      </c>
      <c r="C632" s="3">
        <v>2024</v>
      </c>
      <c r="D632" s="3" t="s">
        <v>736</v>
      </c>
      <c r="E632" s="3" t="s">
        <v>15</v>
      </c>
      <c r="F632" s="1" t="s">
        <v>7834</v>
      </c>
      <c r="G632" s="10"/>
      <c r="H632" s="10"/>
      <c r="I632" s="10"/>
      <c r="J632" s="10"/>
      <c r="K632" s="10"/>
      <c r="L632" s="3" t="s">
        <v>1777</v>
      </c>
      <c r="M632" s="3" t="s">
        <v>1778</v>
      </c>
      <c r="N632" s="3" t="s">
        <v>1779</v>
      </c>
      <c r="O632" s="3">
        <v>9</v>
      </c>
      <c r="P632" s="3">
        <v>10</v>
      </c>
      <c r="Q632" s="3"/>
      <c r="R632" s="3" t="s">
        <v>1780</v>
      </c>
      <c r="S632" s="3" t="s">
        <v>1781</v>
      </c>
      <c r="T632" s="3" t="s">
        <v>113</v>
      </c>
      <c r="U632" s="11">
        <v>64</v>
      </c>
      <c r="V632" s="3" t="s">
        <v>1547</v>
      </c>
      <c r="W632" s="8" t="s">
        <v>7834</v>
      </c>
    </row>
    <row r="633" spans="1:23" x14ac:dyDescent="0.25">
      <c r="A633" s="2">
        <v>385</v>
      </c>
      <c r="B633" s="3" t="s">
        <v>1547</v>
      </c>
      <c r="C633" s="3">
        <v>2024</v>
      </c>
      <c r="D633" s="3" t="s">
        <v>1137</v>
      </c>
      <c r="E633" s="3" t="s">
        <v>15</v>
      </c>
      <c r="F633" s="1" t="s">
        <v>7834</v>
      </c>
      <c r="G633" s="10"/>
      <c r="H633" s="10"/>
      <c r="I633" s="10"/>
      <c r="J633" s="10"/>
      <c r="K633" s="10"/>
      <c r="L633" s="3" t="s">
        <v>1816</v>
      </c>
      <c r="M633" s="3" t="s">
        <v>1817</v>
      </c>
      <c r="N633" s="3" t="s">
        <v>1649</v>
      </c>
      <c r="O633" s="3">
        <v>25</v>
      </c>
      <c r="P633" s="3">
        <v>13</v>
      </c>
      <c r="Q633" s="3"/>
      <c r="R633" s="3" t="s">
        <v>1650</v>
      </c>
      <c r="S633" s="3" t="s">
        <v>1818</v>
      </c>
      <c r="T633" s="3" t="s">
        <v>113</v>
      </c>
      <c r="U633" s="11">
        <v>65</v>
      </c>
      <c r="V633" s="3" t="s">
        <v>1547</v>
      </c>
      <c r="W633" s="8" t="s">
        <v>7834</v>
      </c>
    </row>
    <row r="634" spans="1:23" x14ac:dyDescent="0.25">
      <c r="A634" s="2">
        <v>389</v>
      </c>
      <c r="B634" s="3" t="s">
        <v>1547</v>
      </c>
      <c r="C634" s="3">
        <v>2024</v>
      </c>
      <c r="D634" s="3" t="s">
        <v>1832</v>
      </c>
      <c r="E634" s="3" t="s">
        <v>15</v>
      </c>
      <c r="F634" s="1" t="s">
        <v>7834</v>
      </c>
      <c r="G634" s="10"/>
      <c r="H634" s="10"/>
      <c r="I634" s="10"/>
      <c r="J634" s="10"/>
      <c r="K634" s="10"/>
      <c r="L634" s="3" t="s">
        <v>1833</v>
      </c>
      <c r="M634" s="3" t="s">
        <v>1834</v>
      </c>
      <c r="N634" s="3" t="s">
        <v>1835</v>
      </c>
      <c r="O634" s="3">
        <v>24</v>
      </c>
      <c r="P634" s="3"/>
      <c r="Q634" s="3"/>
      <c r="R634" s="3" t="s">
        <v>1836</v>
      </c>
      <c r="S634" s="3" t="s">
        <v>1837</v>
      </c>
      <c r="T634" s="3" t="s">
        <v>113</v>
      </c>
      <c r="U634" s="11">
        <v>66</v>
      </c>
      <c r="V634" s="3" t="s">
        <v>1547</v>
      </c>
      <c r="W634" s="8" t="s">
        <v>7834</v>
      </c>
    </row>
    <row r="635" spans="1:23" x14ac:dyDescent="0.25">
      <c r="A635" s="2">
        <v>397</v>
      </c>
      <c r="B635" s="3" t="s">
        <v>1547</v>
      </c>
      <c r="C635" s="3">
        <v>2024</v>
      </c>
      <c r="D635" s="3" t="s">
        <v>1872</v>
      </c>
      <c r="E635" s="3" t="s">
        <v>15</v>
      </c>
      <c r="F635" s="1" t="s">
        <v>7834</v>
      </c>
      <c r="G635" s="10"/>
      <c r="H635" s="10"/>
      <c r="I635" s="10"/>
      <c r="J635" s="10"/>
      <c r="K635" s="10"/>
      <c r="L635" s="3" t="s">
        <v>1873</v>
      </c>
      <c r="M635" s="3" t="s">
        <v>1874</v>
      </c>
      <c r="N635" s="3" t="s">
        <v>906</v>
      </c>
      <c r="O635" s="3">
        <v>12</v>
      </c>
      <c r="P635" s="3">
        <v>5</v>
      </c>
      <c r="Q635" s="3"/>
      <c r="R635" s="3" t="s">
        <v>907</v>
      </c>
      <c r="S635" s="3" t="s">
        <v>1875</v>
      </c>
      <c r="T635" s="3" t="s">
        <v>113</v>
      </c>
      <c r="U635" s="11">
        <v>67</v>
      </c>
      <c r="V635" s="3" t="s">
        <v>1547</v>
      </c>
      <c r="W635" s="8" t="s">
        <v>7834</v>
      </c>
    </row>
    <row r="636" spans="1:23" x14ac:dyDescent="0.25">
      <c r="A636" s="2">
        <v>399</v>
      </c>
      <c r="B636" s="3" t="s">
        <v>1547</v>
      </c>
      <c r="C636" s="3">
        <v>2024</v>
      </c>
      <c r="D636" s="3" t="s">
        <v>830</v>
      </c>
      <c r="E636" s="3" t="s">
        <v>15</v>
      </c>
      <c r="F636" s="1" t="s">
        <v>7834</v>
      </c>
      <c r="G636" s="10"/>
      <c r="H636" s="10"/>
      <c r="I636" s="10"/>
      <c r="J636" s="10"/>
      <c r="K636" s="10"/>
      <c r="L636" s="3" t="s">
        <v>1881</v>
      </c>
      <c r="M636" s="3" t="s">
        <v>1882</v>
      </c>
      <c r="N636" s="3" t="s">
        <v>1850</v>
      </c>
      <c r="O636" s="3">
        <v>57</v>
      </c>
      <c r="P636" s="3"/>
      <c r="Q636" s="3"/>
      <c r="R636" s="3" t="s">
        <v>1780</v>
      </c>
      <c r="S636" s="3" t="s">
        <v>1883</v>
      </c>
      <c r="T636" s="3" t="s">
        <v>113</v>
      </c>
      <c r="U636" s="11">
        <v>68</v>
      </c>
      <c r="V636" s="3" t="s">
        <v>1547</v>
      </c>
      <c r="W636" s="8" t="s">
        <v>7834</v>
      </c>
    </row>
    <row r="637" spans="1:23" x14ac:dyDescent="0.25">
      <c r="A637" s="2">
        <v>402</v>
      </c>
      <c r="B637" s="3" t="s">
        <v>1547</v>
      </c>
      <c r="C637" s="3">
        <v>2024</v>
      </c>
      <c r="D637" s="3" t="s">
        <v>1067</v>
      </c>
      <c r="E637" s="3" t="s">
        <v>15</v>
      </c>
      <c r="F637" s="1" t="s">
        <v>7834</v>
      </c>
      <c r="G637" s="10"/>
      <c r="H637" s="10"/>
      <c r="I637" s="10"/>
      <c r="J637" s="10"/>
      <c r="K637" s="10"/>
      <c r="L637" s="3" t="s">
        <v>1894</v>
      </c>
      <c r="M637" s="3" t="s">
        <v>1895</v>
      </c>
      <c r="N637" s="3" t="s">
        <v>1896</v>
      </c>
      <c r="O637" s="3">
        <v>32</v>
      </c>
      <c r="P637" s="3">
        <v>6</v>
      </c>
      <c r="Q637" s="3"/>
      <c r="R637" s="3" t="s">
        <v>1897</v>
      </c>
      <c r="S637" s="3" t="s">
        <v>1898</v>
      </c>
      <c r="T637" s="3" t="s">
        <v>113</v>
      </c>
      <c r="U637" s="11">
        <v>69</v>
      </c>
      <c r="V637" s="3" t="s">
        <v>1547</v>
      </c>
      <c r="W637" s="8" t="s">
        <v>7834</v>
      </c>
    </row>
    <row r="638" spans="1:23" x14ac:dyDescent="0.25">
      <c r="A638" s="2">
        <v>369</v>
      </c>
      <c r="B638" s="3" t="s">
        <v>1547</v>
      </c>
      <c r="C638" s="3">
        <v>2024</v>
      </c>
      <c r="D638" s="3" t="s">
        <v>1042</v>
      </c>
      <c r="E638" s="3" t="s">
        <v>206</v>
      </c>
      <c r="F638" s="1" t="s">
        <v>7834</v>
      </c>
      <c r="G638" s="10"/>
      <c r="H638" s="10"/>
      <c r="I638" s="10"/>
      <c r="J638" s="10"/>
      <c r="K638" s="10"/>
      <c r="L638" s="3" t="s">
        <v>1735</v>
      </c>
      <c r="M638" s="3" t="s">
        <v>1736</v>
      </c>
      <c r="N638" s="3" t="s">
        <v>1737</v>
      </c>
      <c r="O638" s="3">
        <v>18</v>
      </c>
      <c r="P638" s="3"/>
      <c r="Q638" s="3"/>
      <c r="R638" s="3" t="s">
        <v>1738</v>
      </c>
      <c r="S638" s="3" t="s">
        <v>1739</v>
      </c>
      <c r="T638" s="3" t="s">
        <v>113</v>
      </c>
      <c r="U638" s="11">
        <v>70</v>
      </c>
      <c r="V638" s="3" t="s">
        <v>1547</v>
      </c>
      <c r="W638" s="8" t="s">
        <v>7834</v>
      </c>
    </row>
    <row r="639" spans="1:23" x14ac:dyDescent="0.25">
      <c r="A639" s="2">
        <v>418</v>
      </c>
      <c r="B639" s="3" t="s">
        <v>1904</v>
      </c>
      <c r="C639" s="3">
        <v>2024</v>
      </c>
      <c r="D639" s="3" t="s">
        <v>1945</v>
      </c>
      <c r="E639" s="3" t="s">
        <v>15</v>
      </c>
      <c r="F639" s="1" t="s">
        <v>7834</v>
      </c>
      <c r="G639" s="10"/>
      <c r="H639" s="10"/>
      <c r="I639" s="10"/>
      <c r="J639" s="10"/>
      <c r="K639" s="10"/>
      <c r="L639" s="3" t="s">
        <v>1955</v>
      </c>
      <c r="M639" s="3" t="s">
        <v>1956</v>
      </c>
      <c r="N639" s="3" t="s">
        <v>1957</v>
      </c>
      <c r="O639" s="3">
        <v>59</v>
      </c>
      <c r="P639" s="3">
        <v>2</v>
      </c>
      <c r="Q639" s="3">
        <v>351</v>
      </c>
      <c r="R639" s="3" t="s">
        <v>1958</v>
      </c>
      <c r="S639" s="3" t="s">
        <v>1959</v>
      </c>
      <c r="T639" s="3" t="s">
        <v>113</v>
      </c>
      <c r="U639" s="11">
        <v>71</v>
      </c>
      <c r="V639" s="3" t="s">
        <v>1904</v>
      </c>
      <c r="W639" s="8" t="s">
        <v>7834</v>
      </c>
    </row>
    <row r="640" spans="1:23" x14ac:dyDescent="0.25">
      <c r="A640" s="2">
        <v>492</v>
      </c>
      <c r="B640" s="3" t="s">
        <v>2234</v>
      </c>
      <c r="C640" s="3">
        <v>2024</v>
      </c>
      <c r="D640" s="3" t="s">
        <v>215</v>
      </c>
      <c r="E640" s="3" t="s">
        <v>15</v>
      </c>
      <c r="F640" s="1" t="s">
        <v>7834</v>
      </c>
      <c r="G640" s="10"/>
      <c r="H640" s="10"/>
      <c r="I640" s="10"/>
      <c r="J640" s="10"/>
      <c r="K640" s="10"/>
      <c r="L640" s="3" t="s">
        <v>2235</v>
      </c>
      <c r="M640" s="3" t="s">
        <v>2236</v>
      </c>
      <c r="N640" s="3" t="s">
        <v>1886</v>
      </c>
      <c r="O640" s="3">
        <v>41</v>
      </c>
      <c r="P640" s="3"/>
      <c r="Q640" s="3">
        <v>52</v>
      </c>
      <c r="R640" s="3" t="s">
        <v>2237</v>
      </c>
      <c r="S640" s="3" t="s">
        <v>1888</v>
      </c>
      <c r="T640" s="3" t="s">
        <v>113</v>
      </c>
      <c r="U640" s="11">
        <v>72</v>
      </c>
      <c r="V640" s="3" t="s">
        <v>2234</v>
      </c>
      <c r="W640" s="8" t="s">
        <v>7834</v>
      </c>
    </row>
    <row r="641" spans="1:23" x14ac:dyDescent="0.25">
      <c r="A641" s="2">
        <v>526</v>
      </c>
      <c r="B641" s="3" t="s">
        <v>2234</v>
      </c>
      <c r="C641" s="3">
        <v>2024</v>
      </c>
      <c r="D641" s="3" t="s">
        <v>316</v>
      </c>
      <c r="E641" s="3" t="s">
        <v>15</v>
      </c>
      <c r="F641" s="1" t="s">
        <v>7834</v>
      </c>
      <c r="G641" s="10"/>
      <c r="H641" s="10"/>
      <c r="I641" s="10"/>
      <c r="J641" s="10"/>
      <c r="K641" s="10"/>
      <c r="L641" s="3" t="s">
        <v>2369</v>
      </c>
      <c r="M641" s="3" t="s">
        <v>2370</v>
      </c>
      <c r="N641" s="3" t="s">
        <v>2371</v>
      </c>
      <c r="O641" s="3">
        <v>10</v>
      </c>
      <c r="P641" s="3">
        <v>60</v>
      </c>
      <c r="Q641" s="3"/>
      <c r="R641" s="3" t="s">
        <v>2372</v>
      </c>
      <c r="S641" s="3" t="s">
        <v>2373</v>
      </c>
      <c r="T641" s="3" t="s">
        <v>113</v>
      </c>
      <c r="U641" s="11">
        <v>73</v>
      </c>
      <c r="V641" s="3" t="s">
        <v>2234</v>
      </c>
      <c r="W641" s="8" t="s">
        <v>7834</v>
      </c>
    </row>
    <row r="642" spans="1:23" x14ac:dyDescent="0.25">
      <c r="A642" s="2">
        <v>642</v>
      </c>
      <c r="B642" s="3" t="s">
        <v>2401</v>
      </c>
      <c r="C642" s="3">
        <v>2024</v>
      </c>
      <c r="D642" s="3" t="s">
        <v>2159</v>
      </c>
      <c r="E642" s="3" t="s">
        <v>15</v>
      </c>
      <c r="F642" s="1" t="s">
        <v>7834</v>
      </c>
      <c r="G642" s="10"/>
      <c r="H642" s="10"/>
      <c r="I642" s="10"/>
      <c r="J642" s="10"/>
      <c r="K642" s="10"/>
      <c r="L642" s="3" t="s">
        <v>2736</v>
      </c>
      <c r="M642" s="3" t="s">
        <v>2737</v>
      </c>
      <c r="N642" s="3" t="s">
        <v>2738</v>
      </c>
      <c r="O642" s="3">
        <v>10</v>
      </c>
      <c r="P642" s="3"/>
      <c r="Q642" s="3">
        <v>7</v>
      </c>
      <c r="R642" s="3">
        <v>0</v>
      </c>
      <c r="S642" s="3" t="s">
        <v>2739</v>
      </c>
      <c r="T642" s="3" t="s">
        <v>113</v>
      </c>
      <c r="U642" s="11">
        <v>74</v>
      </c>
      <c r="V642" s="3" t="s">
        <v>2401</v>
      </c>
      <c r="W642" s="8" t="s">
        <v>7834</v>
      </c>
    </row>
    <row r="643" spans="1:23" x14ac:dyDescent="0.25">
      <c r="A643" s="2">
        <v>659</v>
      </c>
      <c r="B643" s="3" t="s">
        <v>2401</v>
      </c>
      <c r="C643" s="3">
        <v>2024</v>
      </c>
      <c r="D643" s="3" t="s">
        <v>2771</v>
      </c>
      <c r="E643" s="3" t="s">
        <v>15</v>
      </c>
      <c r="F643" s="1" t="s">
        <v>7834</v>
      </c>
      <c r="G643" s="10"/>
      <c r="H643" s="10"/>
      <c r="I643" s="10"/>
      <c r="J643" s="10"/>
      <c r="K643" s="10"/>
      <c r="L643" s="3" t="s">
        <v>2772</v>
      </c>
      <c r="M643" s="3" t="s">
        <v>2773</v>
      </c>
      <c r="N643" s="3" t="s">
        <v>2764</v>
      </c>
      <c r="O643" s="3">
        <v>84</v>
      </c>
      <c r="P643" s="3"/>
      <c r="Q643" s="3">
        <v>1135</v>
      </c>
      <c r="R643" s="3">
        <v>0</v>
      </c>
      <c r="S643" s="3" t="s">
        <v>2774</v>
      </c>
      <c r="T643" s="3" t="s">
        <v>113</v>
      </c>
      <c r="U643" s="11">
        <v>75</v>
      </c>
      <c r="V643" s="3" t="s">
        <v>2401</v>
      </c>
      <c r="W643" s="8" t="s">
        <v>7834</v>
      </c>
    </row>
    <row r="644" spans="1:23" x14ac:dyDescent="0.25">
      <c r="A644" s="2">
        <v>688</v>
      </c>
      <c r="B644" s="3" t="s">
        <v>2849</v>
      </c>
      <c r="C644" s="3">
        <v>2024</v>
      </c>
      <c r="D644" s="3" t="s">
        <v>2577</v>
      </c>
      <c r="E644" s="3" t="s">
        <v>15</v>
      </c>
      <c r="F644" s="1" t="s">
        <v>7834</v>
      </c>
      <c r="G644" s="10"/>
      <c r="H644" s="10"/>
      <c r="I644" s="10"/>
      <c r="J644" s="10"/>
      <c r="K644" s="10"/>
      <c r="L644" s="3" t="s">
        <v>2856</v>
      </c>
      <c r="M644" s="3" t="s">
        <v>2857</v>
      </c>
      <c r="N644" s="3" t="s">
        <v>2858</v>
      </c>
      <c r="O644" s="3">
        <v>8</v>
      </c>
      <c r="P644" s="3">
        <v>1244</v>
      </c>
      <c r="Q644" s="3"/>
      <c r="R644" s="3" t="s">
        <v>2859</v>
      </c>
      <c r="S644" s="3" t="s">
        <v>2860</v>
      </c>
      <c r="T644" s="3" t="s">
        <v>113</v>
      </c>
      <c r="U644" s="11">
        <v>76</v>
      </c>
      <c r="V644" s="3" t="s">
        <v>2849</v>
      </c>
      <c r="W644" s="8" t="s">
        <v>7834</v>
      </c>
    </row>
    <row r="645" spans="1:23" x14ac:dyDescent="0.25">
      <c r="A645" s="2">
        <v>690</v>
      </c>
      <c r="B645" s="3" t="s">
        <v>2849</v>
      </c>
      <c r="C645" s="3">
        <v>2024</v>
      </c>
      <c r="D645" s="3" t="s">
        <v>226</v>
      </c>
      <c r="E645" s="3" t="s">
        <v>15</v>
      </c>
      <c r="F645" s="1" t="s">
        <v>7834</v>
      </c>
      <c r="G645" s="10"/>
      <c r="H645" s="10"/>
      <c r="I645" s="10"/>
      <c r="J645" s="10"/>
      <c r="K645" s="10"/>
      <c r="L645" s="3" t="s">
        <v>2867</v>
      </c>
      <c r="M645" s="3" t="s">
        <v>2868</v>
      </c>
      <c r="N645" s="3" t="s">
        <v>2858</v>
      </c>
      <c r="O645" s="3">
        <v>8</v>
      </c>
      <c r="P645" s="3">
        <v>1405</v>
      </c>
      <c r="Q645" s="3"/>
      <c r="R645" s="3" t="s">
        <v>2859</v>
      </c>
      <c r="S645" s="3" t="s">
        <v>2869</v>
      </c>
      <c r="T645" s="3" t="s">
        <v>113</v>
      </c>
      <c r="U645" s="11">
        <v>77</v>
      </c>
      <c r="V645" s="3" t="s">
        <v>2849</v>
      </c>
      <c r="W645" s="8" t="s">
        <v>7834</v>
      </c>
    </row>
    <row r="646" spans="1:23" x14ac:dyDescent="0.25">
      <c r="A646" s="2">
        <v>692</v>
      </c>
      <c r="B646" s="3" t="s">
        <v>2849</v>
      </c>
      <c r="C646" s="3">
        <v>2024</v>
      </c>
      <c r="D646" s="3" t="s">
        <v>579</v>
      </c>
      <c r="E646" s="3" t="s">
        <v>15</v>
      </c>
      <c r="F646" s="1" t="s">
        <v>7834</v>
      </c>
      <c r="G646" s="10"/>
      <c r="H646" s="10"/>
      <c r="I646" s="10"/>
      <c r="J646" s="10"/>
      <c r="K646" s="10"/>
      <c r="L646" s="3" t="s">
        <v>2875</v>
      </c>
      <c r="M646" s="3" t="s">
        <v>2876</v>
      </c>
      <c r="N646" s="3" t="s">
        <v>2858</v>
      </c>
      <c r="O646" s="3">
        <v>8</v>
      </c>
      <c r="P646" s="3">
        <v>1436</v>
      </c>
      <c r="Q646" s="3"/>
      <c r="R646" s="3" t="s">
        <v>2859</v>
      </c>
      <c r="S646" s="3" t="s">
        <v>2877</v>
      </c>
      <c r="T646" s="3" t="s">
        <v>113</v>
      </c>
      <c r="U646" s="11">
        <v>78</v>
      </c>
      <c r="V646" s="3" t="s">
        <v>2849</v>
      </c>
      <c r="W646" s="8" t="s">
        <v>7834</v>
      </c>
    </row>
    <row r="647" spans="1:23" x14ac:dyDescent="0.25">
      <c r="A647" s="2">
        <v>697</v>
      </c>
      <c r="B647" s="3" t="s">
        <v>2849</v>
      </c>
      <c r="C647" s="3">
        <v>2024</v>
      </c>
      <c r="D647" s="3" t="s">
        <v>2374</v>
      </c>
      <c r="E647" s="3" t="s">
        <v>15</v>
      </c>
      <c r="F647" s="1" t="s">
        <v>7834</v>
      </c>
      <c r="G647" s="10"/>
      <c r="H647" s="10"/>
      <c r="I647" s="10"/>
      <c r="J647" s="10"/>
      <c r="K647" s="10"/>
      <c r="L647" s="3" t="s">
        <v>2897</v>
      </c>
      <c r="M647" s="3" t="s">
        <v>2898</v>
      </c>
      <c r="N647" s="3" t="s">
        <v>2899</v>
      </c>
      <c r="O647" s="3">
        <v>32</v>
      </c>
      <c r="P647" s="3">
        <v>43445</v>
      </c>
      <c r="Q647" s="3"/>
      <c r="R647" s="3" t="s">
        <v>2900</v>
      </c>
      <c r="S647" s="3" t="s">
        <v>2901</v>
      </c>
      <c r="T647" s="3" t="s">
        <v>113</v>
      </c>
      <c r="U647" s="11">
        <v>79</v>
      </c>
      <c r="V647" s="3" t="s">
        <v>2849</v>
      </c>
      <c r="W647" s="8" t="s">
        <v>7834</v>
      </c>
    </row>
    <row r="648" spans="1:23" x14ac:dyDescent="0.25">
      <c r="A648" s="2">
        <v>708</v>
      </c>
      <c r="B648" s="3" t="s">
        <v>2849</v>
      </c>
      <c r="C648" s="3">
        <v>2024</v>
      </c>
      <c r="D648" s="3" t="s">
        <v>2051</v>
      </c>
      <c r="E648" s="3" t="s">
        <v>15</v>
      </c>
      <c r="F648" s="1" t="s">
        <v>7834</v>
      </c>
      <c r="G648" s="10"/>
      <c r="H648" s="10"/>
      <c r="I648" s="10"/>
      <c r="J648" s="10"/>
      <c r="K648" s="10"/>
      <c r="L648" s="3" t="s">
        <v>2952</v>
      </c>
      <c r="M648" s="3" t="s">
        <v>2953</v>
      </c>
      <c r="N648" s="3" t="s">
        <v>2954</v>
      </c>
      <c r="O648" s="3">
        <v>176</v>
      </c>
      <c r="P648" s="3">
        <v>110983</v>
      </c>
      <c r="Q648" s="3"/>
      <c r="R648" s="3" t="s">
        <v>2955</v>
      </c>
      <c r="S648" s="3" t="s">
        <v>2956</v>
      </c>
      <c r="T648" s="3" t="s">
        <v>113</v>
      </c>
      <c r="U648" s="11">
        <v>80</v>
      </c>
      <c r="V648" s="3" t="s">
        <v>2849</v>
      </c>
      <c r="W648" s="8" t="s">
        <v>7834</v>
      </c>
    </row>
    <row r="649" spans="1:23" x14ac:dyDescent="0.25">
      <c r="A649" s="2">
        <v>709</v>
      </c>
      <c r="B649" s="3" t="s">
        <v>2849</v>
      </c>
      <c r="C649" s="3">
        <v>2024</v>
      </c>
      <c r="D649" s="3" t="s">
        <v>370</v>
      </c>
      <c r="E649" s="3" t="s">
        <v>15</v>
      </c>
      <c r="F649" s="1" t="s">
        <v>7834</v>
      </c>
      <c r="G649" s="10"/>
      <c r="H649" s="10"/>
      <c r="I649" s="10"/>
      <c r="J649" s="10"/>
      <c r="K649" s="10"/>
      <c r="L649" s="3" t="s">
        <v>2957</v>
      </c>
      <c r="M649" s="3" t="s">
        <v>2958</v>
      </c>
      <c r="N649" s="3" t="s">
        <v>2959</v>
      </c>
      <c r="O649" s="3">
        <v>458</v>
      </c>
      <c r="P649" s="3">
        <v>133994</v>
      </c>
      <c r="Q649" s="3"/>
      <c r="R649" s="3" t="s">
        <v>2960</v>
      </c>
      <c r="S649" s="3" t="s">
        <v>2961</v>
      </c>
      <c r="T649" s="3" t="s">
        <v>113</v>
      </c>
      <c r="U649" s="11">
        <v>81</v>
      </c>
      <c r="V649" s="3" t="s">
        <v>2849</v>
      </c>
      <c r="W649" s="8" t="s">
        <v>7834</v>
      </c>
    </row>
    <row r="650" spans="1:23" x14ac:dyDescent="0.25">
      <c r="A650" s="2">
        <v>710</v>
      </c>
      <c r="B650" s="3" t="s">
        <v>2849</v>
      </c>
      <c r="C650" s="3">
        <v>2024</v>
      </c>
      <c r="D650" s="3" t="s">
        <v>2577</v>
      </c>
      <c r="E650" s="3" t="s">
        <v>15</v>
      </c>
      <c r="F650" s="1" t="s">
        <v>7834</v>
      </c>
      <c r="G650" s="10"/>
      <c r="H650" s="10"/>
      <c r="I650" s="10"/>
      <c r="J650" s="10"/>
      <c r="K650" s="10"/>
      <c r="L650" s="3" t="s">
        <v>2962</v>
      </c>
      <c r="M650" s="3" t="s">
        <v>2963</v>
      </c>
      <c r="N650" s="3" t="s">
        <v>2964</v>
      </c>
      <c r="O650" s="3">
        <v>49</v>
      </c>
      <c r="P650" s="3"/>
      <c r="Q650" s="3">
        <v>383</v>
      </c>
      <c r="R650" s="3" t="s">
        <v>2965</v>
      </c>
      <c r="S650" s="3" t="s">
        <v>2966</v>
      </c>
      <c r="T650" s="3" t="s">
        <v>113</v>
      </c>
      <c r="U650" s="11">
        <v>82</v>
      </c>
      <c r="V650" s="3" t="s">
        <v>2849</v>
      </c>
      <c r="W650" s="8" t="s">
        <v>7834</v>
      </c>
    </row>
    <row r="651" spans="1:23" x14ac:dyDescent="0.25">
      <c r="A651" s="2">
        <v>712</v>
      </c>
      <c r="B651" s="3" t="s">
        <v>2849</v>
      </c>
      <c r="C651" s="3">
        <v>2024</v>
      </c>
      <c r="D651" s="3" t="s">
        <v>2971</v>
      </c>
      <c r="E651" s="3" t="s">
        <v>15</v>
      </c>
      <c r="F651" s="1" t="s">
        <v>7834</v>
      </c>
      <c r="G651" s="10"/>
      <c r="H651" s="10"/>
      <c r="I651" s="10"/>
      <c r="J651" s="10"/>
      <c r="K651" s="10"/>
      <c r="L651" s="3" t="s">
        <v>2972</v>
      </c>
      <c r="M651" s="3" t="s">
        <v>2973</v>
      </c>
      <c r="N651" s="3" t="s">
        <v>2964</v>
      </c>
      <c r="O651" s="3">
        <v>49</v>
      </c>
      <c r="P651" s="3"/>
      <c r="Q651" s="3">
        <v>3292</v>
      </c>
      <c r="R651" s="3" t="s">
        <v>2965</v>
      </c>
      <c r="S651" s="3" t="s">
        <v>2974</v>
      </c>
      <c r="T651" s="3" t="s">
        <v>113</v>
      </c>
      <c r="U651" s="11">
        <v>83</v>
      </c>
      <c r="V651" s="3" t="s">
        <v>2849</v>
      </c>
      <c r="W651" s="8" t="s">
        <v>7834</v>
      </c>
    </row>
    <row r="652" spans="1:23" x14ac:dyDescent="0.25">
      <c r="A652" s="2">
        <v>715</v>
      </c>
      <c r="B652" s="3" t="s">
        <v>2849</v>
      </c>
      <c r="C652" s="3">
        <v>2024</v>
      </c>
      <c r="D652" s="3" t="s">
        <v>2982</v>
      </c>
      <c r="E652" s="3" t="s">
        <v>15</v>
      </c>
      <c r="F652" s="1" t="s">
        <v>7834</v>
      </c>
      <c r="G652" s="10"/>
      <c r="H652" s="10"/>
      <c r="I652" s="10"/>
      <c r="J652" s="10"/>
      <c r="K652" s="10"/>
      <c r="L652" s="3" t="s">
        <v>2983</v>
      </c>
      <c r="M652" s="3" t="s">
        <v>2984</v>
      </c>
      <c r="N652" s="3" t="s">
        <v>2899</v>
      </c>
      <c r="O652" s="3">
        <v>32</v>
      </c>
      <c r="P652" s="3">
        <v>47458</v>
      </c>
      <c r="Q652" s="3"/>
      <c r="R652" s="3" t="s">
        <v>2900</v>
      </c>
      <c r="S652" s="3" t="s">
        <v>2985</v>
      </c>
      <c r="T652" s="3" t="s">
        <v>113</v>
      </c>
      <c r="U652" s="11">
        <v>84</v>
      </c>
      <c r="V652" s="3" t="s">
        <v>2849</v>
      </c>
      <c r="W652" s="8" t="s">
        <v>7834</v>
      </c>
    </row>
    <row r="653" spans="1:23" x14ac:dyDescent="0.25">
      <c r="A653" s="2">
        <v>725</v>
      </c>
      <c r="B653" s="3" t="s">
        <v>2849</v>
      </c>
      <c r="C653" s="3">
        <v>2024</v>
      </c>
      <c r="D653" s="3" t="s">
        <v>226</v>
      </c>
      <c r="E653" s="3" t="s">
        <v>15</v>
      </c>
      <c r="F653" s="1" t="s">
        <v>7834</v>
      </c>
      <c r="G653" s="10"/>
      <c r="H653" s="10"/>
      <c r="I653" s="10"/>
      <c r="J653" s="10"/>
      <c r="K653" s="10"/>
      <c r="L653" s="3" t="s">
        <v>3021</v>
      </c>
      <c r="M653" s="3" t="s">
        <v>3022</v>
      </c>
      <c r="N653" s="3" t="s">
        <v>2935</v>
      </c>
      <c r="O653" s="3">
        <v>14</v>
      </c>
      <c r="P653" s="3"/>
      <c r="Q653" s="3">
        <v>1178</v>
      </c>
      <c r="R653" s="3" t="s">
        <v>2936</v>
      </c>
      <c r="S653" s="3" t="s">
        <v>3023</v>
      </c>
      <c r="T653" s="3" t="s">
        <v>113</v>
      </c>
      <c r="U653" s="11">
        <v>85</v>
      </c>
      <c r="V653" s="3" t="s">
        <v>2849</v>
      </c>
      <c r="W653" s="8" t="s">
        <v>7834</v>
      </c>
    </row>
    <row r="654" spans="1:23" x14ac:dyDescent="0.25">
      <c r="A654" s="2">
        <v>726</v>
      </c>
      <c r="B654" s="3" t="s">
        <v>2849</v>
      </c>
      <c r="C654" s="3">
        <v>2024</v>
      </c>
      <c r="D654" s="3" t="s">
        <v>2606</v>
      </c>
      <c r="E654" s="3" t="s">
        <v>15</v>
      </c>
      <c r="F654" s="1" t="s">
        <v>7834</v>
      </c>
      <c r="G654" s="10">
        <v>40</v>
      </c>
      <c r="H654" s="10"/>
      <c r="I654" s="10"/>
      <c r="J654" s="10"/>
      <c r="K654" s="10"/>
      <c r="L654" s="3" t="s">
        <v>3024</v>
      </c>
      <c r="M654" s="3" t="s">
        <v>3025</v>
      </c>
      <c r="N654" s="3" t="s">
        <v>2899</v>
      </c>
      <c r="O654" s="3">
        <v>32</v>
      </c>
      <c r="P654" s="3">
        <v>16</v>
      </c>
      <c r="Q654" s="3">
        <v>28742</v>
      </c>
      <c r="R654" s="3" t="s">
        <v>2900</v>
      </c>
      <c r="S654" s="3" t="s">
        <v>3026</v>
      </c>
      <c r="T654" s="3" t="s">
        <v>113</v>
      </c>
      <c r="U654" s="11">
        <v>86</v>
      </c>
      <c r="V654" s="3" t="s">
        <v>2849</v>
      </c>
      <c r="W654" s="8" t="s">
        <v>7834</v>
      </c>
    </row>
    <row r="655" spans="1:23" x14ac:dyDescent="0.25">
      <c r="A655" s="2">
        <v>729</v>
      </c>
      <c r="B655" s="3" t="s">
        <v>3027</v>
      </c>
      <c r="C655" s="3">
        <v>2024</v>
      </c>
      <c r="D655" s="3" t="s">
        <v>1982</v>
      </c>
      <c r="E655" s="3" t="s">
        <v>15</v>
      </c>
      <c r="F655" s="1" t="s">
        <v>7834</v>
      </c>
      <c r="G655" s="10"/>
      <c r="H655" s="10"/>
      <c r="I655" s="10"/>
      <c r="J655" s="10"/>
      <c r="K655" s="10"/>
      <c r="L655" s="3" t="s">
        <v>3040</v>
      </c>
      <c r="M655" s="3" t="s">
        <v>3041</v>
      </c>
      <c r="N655" s="3" t="s">
        <v>3042</v>
      </c>
      <c r="O655" s="3">
        <v>49</v>
      </c>
      <c r="P655" s="3">
        <v>7</v>
      </c>
      <c r="Q655" s="3">
        <v>2291</v>
      </c>
      <c r="R655" s="3" t="s">
        <v>3043</v>
      </c>
      <c r="S655" s="3" t="s">
        <v>3044</v>
      </c>
      <c r="T655" s="3" t="s">
        <v>113</v>
      </c>
      <c r="U655" s="11">
        <v>87</v>
      </c>
      <c r="V655" s="3" t="s">
        <v>3027</v>
      </c>
      <c r="W655" s="8" t="s">
        <v>7834</v>
      </c>
    </row>
    <row r="656" spans="1:23" x14ac:dyDescent="0.25">
      <c r="A656" s="2">
        <v>732</v>
      </c>
      <c r="B656" s="3" t="s">
        <v>3027</v>
      </c>
      <c r="C656" s="3">
        <v>2024</v>
      </c>
      <c r="D656" s="3" t="s">
        <v>3055</v>
      </c>
      <c r="E656" s="3" t="s">
        <v>15</v>
      </c>
      <c r="F656" s="1" t="s">
        <v>7834</v>
      </c>
      <c r="G656" s="10"/>
      <c r="H656" s="10"/>
      <c r="I656" s="10"/>
      <c r="J656" s="10"/>
      <c r="K656" s="10"/>
      <c r="L656" s="3" t="s">
        <v>3056</v>
      </c>
      <c r="M656" s="3" t="s">
        <v>3057</v>
      </c>
      <c r="N656" s="3" t="s">
        <v>3058</v>
      </c>
      <c r="O656" s="3"/>
      <c r="P656" s="3"/>
      <c r="Q656" s="3"/>
      <c r="R656" s="3" t="s">
        <v>3059</v>
      </c>
      <c r="S656" s="3" t="s">
        <v>3060</v>
      </c>
      <c r="T656" s="3" t="s">
        <v>113</v>
      </c>
      <c r="U656" s="11">
        <v>88</v>
      </c>
      <c r="V656" s="3" t="s">
        <v>3027</v>
      </c>
      <c r="W656" s="8" t="s">
        <v>7834</v>
      </c>
    </row>
    <row r="657" spans="1:23" x14ac:dyDescent="0.25">
      <c r="A657" s="2">
        <v>735</v>
      </c>
      <c r="B657" s="3" t="s">
        <v>3027</v>
      </c>
      <c r="C657" s="3">
        <v>2024</v>
      </c>
      <c r="D657" s="3" t="s">
        <v>536</v>
      </c>
      <c r="E657" s="3" t="s">
        <v>15</v>
      </c>
      <c r="F657" s="1" t="s">
        <v>7834</v>
      </c>
      <c r="G657" s="10"/>
      <c r="H657" s="10"/>
      <c r="I657" s="10"/>
      <c r="J657" s="10"/>
      <c r="K657" s="10"/>
      <c r="L657" s="3" t="s">
        <v>3071</v>
      </c>
      <c r="M657" s="3" t="s">
        <v>3072</v>
      </c>
      <c r="N657" s="3" t="s">
        <v>3073</v>
      </c>
      <c r="O657" s="3"/>
      <c r="P657" s="3"/>
      <c r="Q657" s="3"/>
      <c r="R657" s="3" t="s">
        <v>3074</v>
      </c>
      <c r="S657" s="3" t="s">
        <v>3075</v>
      </c>
      <c r="T657" s="3" t="s">
        <v>113</v>
      </c>
      <c r="U657" s="11">
        <v>89</v>
      </c>
      <c r="V657" s="3" t="s">
        <v>3027</v>
      </c>
      <c r="W657" s="8" t="s">
        <v>7834</v>
      </c>
    </row>
    <row r="658" spans="1:23" x14ac:dyDescent="0.25">
      <c r="A658" s="2">
        <v>737</v>
      </c>
      <c r="B658" s="3" t="s">
        <v>3027</v>
      </c>
      <c r="C658" s="3">
        <v>2024</v>
      </c>
      <c r="D658" s="3" t="s">
        <v>970</v>
      </c>
      <c r="E658" s="3" t="s">
        <v>15</v>
      </c>
      <c r="F658" s="1" t="s">
        <v>7834</v>
      </c>
      <c r="G658" s="10"/>
      <c r="H658" s="10"/>
      <c r="I658" s="10"/>
      <c r="J658" s="10"/>
      <c r="K658" s="10"/>
      <c r="L658" s="3" t="s">
        <v>3082</v>
      </c>
      <c r="M658" s="3" t="s">
        <v>3083</v>
      </c>
      <c r="N658" s="3" t="s">
        <v>3084</v>
      </c>
      <c r="O658" s="3"/>
      <c r="P658" s="3"/>
      <c r="Q658" s="3"/>
      <c r="R658" s="3" t="s">
        <v>3059</v>
      </c>
      <c r="S658" s="3" t="s">
        <v>3085</v>
      </c>
      <c r="T658" s="3" t="s">
        <v>113</v>
      </c>
      <c r="U658" s="11">
        <v>90</v>
      </c>
      <c r="V658" s="3" t="s">
        <v>3027</v>
      </c>
      <c r="W658" s="8" t="s">
        <v>7834</v>
      </c>
    </row>
    <row r="659" spans="1:23" x14ac:dyDescent="0.25">
      <c r="A659" s="2">
        <v>743</v>
      </c>
      <c r="B659" s="3" t="s">
        <v>3027</v>
      </c>
      <c r="C659" s="3">
        <v>2024</v>
      </c>
      <c r="D659" s="3" t="s">
        <v>2657</v>
      </c>
      <c r="E659" s="3" t="s">
        <v>15</v>
      </c>
      <c r="F659" s="1" t="s">
        <v>7834</v>
      </c>
      <c r="G659" s="10"/>
      <c r="H659" s="10"/>
      <c r="I659" s="10"/>
      <c r="J659" s="10"/>
      <c r="K659" s="10"/>
      <c r="L659" s="3" t="s">
        <v>3110</v>
      </c>
      <c r="M659" s="3" t="s">
        <v>3111</v>
      </c>
      <c r="N659" s="3" t="s">
        <v>3112</v>
      </c>
      <c r="O659" s="3"/>
      <c r="P659" s="3"/>
      <c r="Q659" s="3"/>
      <c r="R659" s="3" t="s">
        <v>3059</v>
      </c>
      <c r="S659" s="3" t="s">
        <v>3113</v>
      </c>
      <c r="T659" s="3" t="s">
        <v>113</v>
      </c>
      <c r="U659" s="11">
        <v>91</v>
      </c>
      <c r="V659" s="3" t="s">
        <v>3027</v>
      </c>
      <c r="W659" s="8" t="s">
        <v>7834</v>
      </c>
    </row>
    <row r="660" spans="1:23" x14ac:dyDescent="0.25">
      <c r="A660" s="2">
        <v>730</v>
      </c>
      <c r="B660" s="3" t="s">
        <v>3027</v>
      </c>
      <c r="C660" s="3">
        <v>2024</v>
      </c>
      <c r="D660" s="3" t="s">
        <v>3045</v>
      </c>
      <c r="E660" s="3" t="s">
        <v>206</v>
      </c>
      <c r="F660" s="1" t="s">
        <v>7834</v>
      </c>
      <c r="G660" s="10"/>
      <c r="H660" s="10"/>
      <c r="I660" s="10"/>
      <c r="J660" s="10"/>
      <c r="K660" s="10"/>
      <c r="L660" s="3" t="s">
        <v>3046</v>
      </c>
      <c r="M660" s="3" t="s">
        <v>3047</v>
      </c>
      <c r="N660" s="3" t="s">
        <v>3048</v>
      </c>
      <c r="O660" s="3"/>
      <c r="P660" s="3"/>
      <c r="Q660" s="3"/>
      <c r="R660" s="3"/>
      <c r="S660" s="3" t="s">
        <v>3049</v>
      </c>
      <c r="T660" s="3" t="s">
        <v>113</v>
      </c>
      <c r="U660" s="11">
        <v>92</v>
      </c>
      <c r="V660" s="3" t="s">
        <v>3027</v>
      </c>
      <c r="W660" s="8" t="s">
        <v>7834</v>
      </c>
    </row>
    <row r="661" spans="1:23" x14ac:dyDescent="0.25">
      <c r="A661" s="2">
        <v>731</v>
      </c>
      <c r="B661" s="3" t="s">
        <v>3027</v>
      </c>
      <c r="C661" s="3">
        <v>2024</v>
      </c>
      <c r="D661" s="3" t="s">
        <v>3050</v>
      </c>
      <c r="E661" s="3" t="s">
        <v>206</v>
      </c>
      <c r="F661" s="1" t="s">
        <v>7834</v>
      </c>
      <c r="G661" s="10"/>
      <c r="H661" s="10"/>
      <c r="I661" s="10"/>
      <c r="J661" s="10"/>
      <c r="K661" s="10"/>
      <c r="L661" s="3" t="s">
        <v>3051</v>
      </c>
      <c r="M661" s="3" t="s">
        <v>3052</v>
      </c>
      <c r="N661" s="3" t="s">
        <v>3053</v>
      </c>
      <c r="O661" s="3">
        <v>84</v>
      </c>
      <c r="P661" s="3">
        <v>28</v>
      </c>
      <c r="Q661" s="3"/>
      <c r="R661" s="3"/>
      <c r="S661" s="3" t="s">
        <v>3054</v>
      </c>
      <c r="T661" s="3" t="s">
        <v>113</v>
      </c>
      <c r="U661" s="11">
        <v>93</v>
      </c>
      <c r="V661" s="3" t="s">
        <v>3027</v>
      </c>
      <c r="W661" s="8" t="s">
        <v>7834</v>
      </c>
    </row>
    <row r="662" spans="1:23" x14ac:dyDescent="0.25">
      <c r="A662" s="2">
        <v>754</v>
      </c>
      <c r="B662" s="3" t="s">
        <v>3131</v>
      </c>
      <c r="C662" s="3">
        <v>2024</v>
      </c>
      <c r="D662" s="3" t="s">
        <v>1418</v>
      </c>
      <c r="E662" s="3" t="s">
        <v>15</v>
      </c>
      <c r="F662" s="1" t="s">
        <v>7834</v>
      </c>
      <c r="G662" s="10">
        <v>7</v>
      </c>
      <c r="H662" s="10"/>
      <c r="I662" s="10"/>
      <c r="J662" s="10"/>
      <c r="K662" s="10"/>
      <c r="L662" s="3" t="s">
        <v>3149</v>
      </c>
      <c r="M662" s="3" t="s">
        <v>3150</v>
      </c>
      <c r="N662" s="3" t="s">
        <v>3151</v>
      </c>
      <c r="O662" s="3">
        <v>12</v>
      </c>
      <c r="P662" s="3">
        <v>1305916</v>
      </c>
      <c r="Q662" s="3">
        <v>1</v>
      </c>
      <c r="R662" s="3" t="s">
        <v>3152</v>
      </c>
      <c r="S662" s="3" t="s">
        <v>3153</v>
      </c>
      <c r="T662" s="3" t="s">
        <v>113</v>
      </c>
      <c r="U662" s="11">
        <v>94</v>
      </c>
      <c r="V662" s="3" t="s">
        <v>3131</v>
      </c>
      <c r="W662" s="8" t="s">
        <v>7834</v>
      </c>
    </row>
    <row r="663" spans="1:23" x14ac:dyDescent="0.25">
      <c r="A663" s="2">
        <v>756</v>
      </c>
      <c r="B663" s="3" t="s">
        <v>3154</v>
      </c>
      <c r="C663" s="3">
        <v>2024</v>
      </c>
      <c r="D663" s="3" t="s">
        <v>2932</v>
      </c>
      <c r="E663" s="3" t="s">
        <v>15</v>
      </c>
      <c r="F663" s="1" t="s">
        <v>7834</v>
      </c>
      <c r="G663" s="10"/>
      <c r="H663" s="10"/>
      <c r="I663" s="10"/>
      <c r="J663" s="10"/>
      <c r="K663" s="10"/>
      <c r="L663" s="3" t="s">
        <v>2933</v>
      </c>
      <c r="M663" s="3" t="s">
        <v>3161</v>
      </c>
      <c r="N663" s="3" t="s">
        <v>2935</v>
      </c>
      <c r="O663" s="3">
        <v>14</v>
      </c>
      <c r="P663" s="3">
        <v>4</v>
      </c>
      <c r="Q663" s="3">
        <v>353</v>
      </c>
      <c r="R663" s="3" t="s">
        <v>2936</v>
      </c>
      <c r="S663" s="3" t="s">
        <v>3162</v>
      </c>
      <c r="T663" s="3" t="s">
        <v>113</v>
      </c>
      <c r="U663" s="11">
        <v>95</v>
      </c>
      <c r="V663" s="3" t="s">
        <v>3154</v>
      </c>
      <c r="W663" s="8" t="s">
        <v>7834</v>
      </c>
    </row>
    <row r="664" spans="1:23" x14ac:dyDescent="0.25">
      <c r="A664" s="2">
        <v>759</v>
      </c>
      <c r="B664" s="3" t="s">
        <v>3154</v>
      </c>
      <c r="C664" s="3">
        <v>2024</v>
      </c>
      <c r="D664" s="3" t="s">
        <v>713</v>
      </c>
      <c r="E664" s="3" t="s">
        <v>15</v>
      </c>
      <c r="F664" s="1" t="s">
        <v>7834</v>
      </c>
      <c r="G664" s="10"/>
      <c r="H664" s="10"/>
      <c r="I664" s="10"/>
      <c r="J664" s="10"/>
      <c r="K664" s="10"/>
      <c r="L664" s="3" t="s">
        <v>3169</v>
      </c>
      <c r="M664" s="3" t="s">
        <v>3170</v>
      </c>
      <c r="N664" s="3" t="s">
        <v>1649</v>
      </c>
      <c r="O664" s="3">
        <v>25</v>
      </c>
      <c r="P664" s="3">
        <v>0</v>
      </c>
      <c r="Q664" s="3">
        <v>7043</v>
      </c>
      <c r="R664" s="3" t="s">
        <v>2328</v>
      </c>
      <c r="S664" s="3" t="s">
        <v>3171</v>
      </c>
      <c r="T664" s="3" t="s">
        <v>113</v>
      </c>
      <c r="U664" s="11">
        <v>96</v>
      </c>
      <c r="V664" s="3" t="s">
        <v>3154</v>
      </c>
      <c r="W664" s="8" t="s">
        <v>7834</v>
      </c>
    </row>
    <row r="665" spans="1:23" x14ac:dyDescent="0.25">
      <c r="A665" s="2">
        <v>760</v>
      </c>
      <c r="B665" s="3" t="s">
        <v>3154</v>
      </c>
      <c r="C665" s="3">
        <v>2024</v>
      </c>
      <c r="D665" s="3" t="s">
        <v>2466</v>
      </c>
      <c r="E665" s="3" t="s">
        <v>15</v>
      </c>
      <c r="F665" s="1" t="s">
        <v>7834</v>
      </c>
      <c r="G665" s="10"/>
      <c r="H665" s="10"/>
      <c r="I665" s="10"/>
      <c r="J665" s="10"/>
      <c r="K665" s="10"/>
      <c r="L665" s="3" t="s">
        <v>3172</v>
      </c>
      <c r="M665" s="3" t="s">
        <v>3173</v>
      </c>
      <c r="N665" s="3" t="s">
        <v>3174</v>
      </c>
      <c r="O665" s="3">
        <v>12</v>
      </c>
      <c r="P665" s="3"/>
      <c r="Q665" s="3">
        <v>154503</v>
      </c>
      <c r="R665" s="3" t="s">
        <v>3175</v>
      </c>
      <c r="S665" s="3" t="s">
        <v>3176</v>
      </c>
      <c r="T665" s="3" t="s">
        <v>113</v>
      </c>
      <c r="U665" s="11">
        <v>97</v>
      </c>
      <c r="V665" s="3" t="s">
        <v>3154</v>
      </c>
      <c r="W665" s="8" t="s">
        <v>7834</v>
      </c>
    </row>
    <row r="666" spans="1:23" x14ac:dyDescent="0.25">
      <c r="A666" s="2">
        <v>765</v>
      </c>
      <c r="B666" s="3" t="s">
        <v>3154</v>
      </c>
      <c r="C666" s="3">
        <v>2024</v>
      </c>
      <c r="D666" s="3" t="s">
        <v>573</v>
      </c>
      <c r="E666" s="3" t="s">
        <v>15</v>
      </c>
      <c r="F666" s="1" t="s">
        <v>7834</v>
      </c>
      <c r="G666" s="10"/>
      <c r="H666" s="10"/>
      <c r="I666" s="10"/>
      <c r="J666" s="10"/>
      <c r="K666" s="10"/>
      <c r="L666" s="3" t="s">
        <v>3195</v>
      </c>
      <c r="M666" s="3" t="s">
        <v>3196</v>
      </c>
      <c r="N666" s="3" t="s">
        <v>3197</v>
      </c>
      <c r="O666" s="3">
        <v>14</v>
      </c>
      <c r="P666" s="3">
        <v>0</v>
      </c>
      <c r="Q666" s="3">
        <v>359</v>
      </c>
      <c r="R666" s="3" t="s">
        <v>3198</v>
      </c>
      <c r="S666" s="3" t="s">
        <v>3199</v>
      </c>
      <c r="T666" s="3" t="s">
        <v>113</v>
      </c>
      <c r="U666" s="11">
        <v>98</v>
      </c>
      <c r="V666" s="3" t="s">
        <v>3154</v>
      </c>
      <c r="W666" s="8" t="s">
        <v>7834</v>
      </c>
    </row>
    <row r="667" spans="1:23" x14ac:dyDescent="0.25">
      <c r="A667" s="2">
        <v>766</v>
      </c>
      <c r="B667" s="3" t="s">
        <v>3154</v>
      </c>
      <c r="C667" s="3">
        <v>2024</v>
      </c>
      <c r="D667" s="3" t="s">
        <v>220</v>
      </c>
      <c r="E667" s="3" t="s">
        <v>15</v>
      </c>
      <c r="F667" s="1" t="s">
        <v>7834</v>
      </c>
      <c r="G667" s="10"/>
      <c r="H667" s="10"/>
      <c r="I667" s="10"/>
      <c r="J667" s="10"/>
      <c r="K667" s="10"/>
      <c r="L667" s="3" t="s">
        <v>3200</v>
      </c>
      <c r="M667" s="3" t="s">
        <v>3201</v>
      </c>
      <c r="N667" s="3" t="s">
        <v>3202</v>
      </c>
      <c r="O667" s="3">
        <v>504</v>
      </c>
      <c r="P667" s="3">
        <v>0</v>
      </c>
      <c r="Q667" s="3">
        <v>144894</v>
      </c>
      <c r="R667" s="3" t="s">
        <v>3203</v>
      </c>
      <c r="S667" s="3" t="s">
        <v>3204</v>
      </c>
      <c r="T667" s="3" t="s">
        <v>113</v>
      </c>
      <c r="U667" s="11">
        <v>99</v>
      </c>
      <c r="V667" s="3" t="s">
        <v>3154</v>
      </c>
      <c r="W667" s="8" t="s">
        <v>7834</v>
      </c>
    </row>
    <row r="668" spans="1:23" x14ac:dyDescent="0.25">
      <c r="A668" s="2">
        <v>771</v>
      </c>
      <c r="B668" s="3" t="s">
        <v>3154</v>
      </c>
      <c r="C668" s="3">
        <v>2024</v>
      </c>
      <c r="D668" s="3" t="s">
        <v>536</v>
      </c>
      <c r="E668" s="3" t="s">
        <v>15</v>
      </c>
      <c r="F668" s="1" t="s">
        <v>7834</v>
      </c>
      <c r="G668" s="10"/>
      <c r="H668" s="10"/>
      <c r="I668" s="10"/>
      <c r="J668" s="10"/>
      <c r="K668" s="10"/>
      <c r="L668" s="3" t="s">
        <v>3224</v>
      </c>
      <c r="M668" s="3" t="s">
        <v>3225</v>
      </c>
      <c r="N668" s="3" t="s">
        <v>3174</v>
      </c>
      <c r="O668" s="3">
        <v>12</v>
      </c>
      <c r="P668" s="3">
        <v>1</v>
      </c>
      <c r="Q668" s="3">
        <v>110394</v>
      </c>
      <c r="R668" s="3" t="s">
        <v>3175</v>
      </c>
      <c r="S668" s="3" t="s">
        <v>3226</v>
      </c>
      <c r="T668" s="3" t="s">
        <v>113</v>
      </c>
      <c r="U668" s="11">
        <v>100</v>
      </c>
      <c r="V668" s="3" t="s">
        <v>3154</v>
      </c>
      <c r="W668" s="8" t="s">
        <v>7834</v>
      </c>
    </row>
    <row r="669" spans="1:23" x14ac:dyDescent="0.25">
      <c r="A669" s="2">
        <v>773</v>
      </c>
      <c r="B669" s="3" t="s">
        <v>3154</v>
      </c>
      <c r="C669" s="3">
        <v>2024</v>
      </c>
      <c r="D669" s="3" t="s">
        <v>1470</v>
      </c>
      <c r="E669" s="3" t="s">
        <v>15</v>
      </c>
      <c r="F669" s="1" t="s">
        <v>7834</v>
      </c>
      <c r="G669" s="10"/>
      <c r="H669" s="10"/>
      <c r="I669" s="10"/>
      <c r="J669" s="10"/>
      <c r="K669" s="10"/>
      <c r="L669" s="3" t="s">
        <v>3232</v>
      </c>
      <c r="M669" s="3" t="s">
        <v>3233</v>
      </c>
      <c r="N669" s="3" t="s">
        <v>3234</v>
      </c>
      <c r="O669" s="3">
        <v>7</v>
      </c>
      <c r="P669" s="3">
        <v>3</v>
      </c>
      <c r="Q669" s="3">
        <v>986</v>
      </c>
      <c r="R669" s="3" t="s">
        <v>3235</v>
      </c>
      <c r="S669" s="3" t="s">
        <v>3236</v>
      </c>
      <c r="T669" s="3" t="s">
        <v>113</v>
      </c>
      <c r="U669" s="11">
        <v>101</v>
      </c>
      <c r="V669" s="3" t="s">
        <v>3154</v>
      </c>
      <c r="W669" s="8" t="s">
        <v>7834</v>
      </c>
    </row>
    <row r="670" spans="1:23" x14ac:dyDescent="0.25">
      <c r="A670" s="2">
        <v>775</v>
      </c>
      <c r="B670" s="3" t="s">
        <v>3154</v>
      </c>
      <c r="C670" s="3">
        <v>2024</v>
      </c>
      <c r="D670" s="3" t="s">
        <v>3242</v>
      </c>
      <c r="E670" s="3" t="s">
        <v>15</v>
      </c>
      <c r="F670" s="1" t="s">
        <v>7834</v>
      </c>
      <c r="G670" s="10"/>
      <c r="H670" s="10"/>
      <c r="I670" s="10"/>
      <c r="J670" s="10"/>
      <c r="K670" s="10"/>
      <c r="L670" s="3" t="s">
        <v>3243</v>
      </c>
      <c r="M670" s="3" t="s">
        <v>3244</v>
      </c>
      <c r="N670" s="3" t="s">
        <v>3245</v>
      </c>
      <c r="O670" s="3">
        <v>14</v>
      </c>
      <c r="P670" s="3">
        <v>8289</v>
      </c>
      <c r="Q670" s="3">
        <v>1</v>
      </c>
      <c r="R670" s="3" t="s">
        <v>3246</v>
      </c>
      <c r="S670" s="3" t="s">
        <v>3247</v>
      </c>
      <c r="T670" s="3" t="s">
        <v>113</v>
      </c>
      <c r="U670" s="11">
        <v>102</v>
      </c>
      <c r="V670" s="3" t="s">
        <v>3154</v>
      </c>
      <c r="W670" s="8" t="s">
        <v>7834</v>
      </c>
    </row>
    <row r="671" spans="1:23" x14ac:dyDescent="0.25">
      <c r="A671" s="2">
        <v>778</v>
      </c>
      <c r="B671" s="3" t="s">
        <v>3154</v>
      </c>
      <c r="C671" s="3">
        <v>2024</v>
      </c>
      <c r="D671" s="3" t="s">
        <v>1151</v>
      </c>
      <c r="E671" s="3" t="s">
        <v>15</v>
      </c>
      <c r="F671" s="1" t="s">
        <v>7834</v>
      </c>
      <c r="G671" s="10"/>
      <c r="H671" s="10"/>
      <c r="I671" s="10"/>
      <c r="J671" s="10"/>
      <c r="K671" s="10"/>
      <c r="L671" s="3" t="s">
        <v>3254</v>
      </c>
      <c r="M671" s="3" t="s">
        <v>3255</v>
      </c>
      <c r="N671" s="3" t="s">
        <v>3256</v>
      </c>
      <c r="O671" s="3">
        <v>48</v>
      </c>
      <c r="P671" s="3">
        <v>0</v>
      </c>
      <c r="Q671" s="3">
        <v>3924</v>
      </c>
      <c r="R671" s="3" t="s">
        <v>3257</v>
      </c>
      <c r="S671" s="3" t="s">
        <v>3258</v>
      </c>
      <c r="T671" s="3" t="s">
        <v>113</v>
      </c>
      <c r="U671" s="11">
        <v>103</v>
      </c>
      <c r="V671" s="3" t="s">
        <v>3154</v>
      </c>
      <c r="W671" s="8" t="s">
        <v>7834</v>
      </c>
    </row>
    <row r="672" spans="1:23" x14ac:dyDescent="0.25">
      <c r="A672" s="2">
        <v>781</v>
      </c>
      <c r="B672" s="3" t="s">
        <v>3154</v>
      </c>
      <c r="C672" s="3">
        <v>2024</v>
      </c>
      <c r="D672" s="3" t="s">
        <v>3050</v>
      </c>
      <c r="E672" s="3" t="s">
        <v>15</v>
      </c>
      <c r="F672" s="1" t="s">
        <v>7834</v>
      </c>
      <c r="G672" s="10"/>
      <c r="H672" s="10"/>
      <c r="I672" s="10"/>
      <c r="J672" s="10"/>
      <c r="K672" s="10"/>
      <c r="L672" s="3" t="s">
        <v>3270</v>
      </c>
      <c r="M672" s="3" t="s">
        <v>3271</v>
      </c>
      <c r="N672" s="3" t="s">
        <v>3272</v>
      </c>
      <c r="O672" s="3">
        <v>55</v>
      </c>
      <c r="P672" s="3">
        <v>0</v>
      </c>
      <c r="Q672" s="3" t="s">
        <v>3273</v>
      </c>
      <c r="R672" s="3" t="s">
        <v>3274</v>
      </c>
      <c r="S672" s="3" t="s">
        <v>3275</v>
      </c>
      <c r="T672" s="3" t="s">
        <v>113</v>
      </c>
      <c r="U672" s="11">
        <v>104</v>
      </c>
      <c r="V672" s="3" t="s">
        <v>3154</v>
      </c>
      <c r="W672" s="8" t="s">
        <v>7834</v>
      </c>
    </row>
    <row r="673" spans="1:23" x14ac:dyDescent="0.25">
      <c r="A673" s="2">
        <v>785</v>
      </c>
      <c r="B673" s="3" t="s">
        <v>3154</v>
      </c>
      <c r="C673" s="3">
        <v>2024</v>
      </c>
      <c r="D673" s="3" t="s">
        <v>215</v>
      </c>
      <c r="E673" s="3" t="s">
        <v>15</v>
      </c>
      <c r="F673" s="1" t="s">
        <v>7834</v>
      </c>
      <c r="G673" s="10">
        <v>26</v>
      </c>
      <c r="H673" s="10"/>
      <c r="I673" s="10"/>
      <c r="J673" s="10"/>
      <c r="K673" s="10"/>
      <c r="L673" s="3" t="s">
        <v>3290</v>
      </c>
      <c r="M673" s="3" t="s">
        <v>3291</v>
      </c>
      <c r="N673" s="3" t="s">
        <v>3292</v>
      </c>
      <c r="O673" s="3">
        <v>90</v>
      </c>
      <c r="P673" s="3">
        <v>11</v>
      </c>
      <c r="Q673" s="3">
        <v>3076</v>
      </c>
      <c r="R673" s="3" t="s">
        <v>3293</v>
      </c>
      <c r="S673" s="3" t="s">
        <v>3294</v>
      </c>
      <c r="T673" s="3" t="s">
        <v>113</v>
      </c>
      <c r="U673" s="11">
        <v>105</v>
      </c>
      <c r="V673" s="3" t="s">
        <v>3154</v>
      </c>
      <c r="W673" s="8" t="s">
        <v>7834</v>
      </c>
    </row>
    <row r="674" spans="1:23" x14ac:dyDescent="0.25">
      <c r="A674" s="2">
        <v>797</v>
      </c>
      <c r="B674" s="3" t="s">
        <v>3295</v>
      </c>
      <c r="C674" s="3">
        <v>2024</v>
      </c>
      <c r="D674" s="3" t="s">
        <v>796</v>
      </c>
      <c r="E674" s="3" t="s">
        <v>15</v>
      </c>
      <c r="F674" s="1" t="s">
        <v>7834</v>
      </c>
      <c r="G674" s="10"/>
      <c r="H674" s="10"/>
      <c r="I674" s="10"/>
      <c r="J674" s="10"/>
      <c r="K674" s="10"/>
      <c r="L674" s="3" t="s">
        <v>3347</v>
      </c>
      <c r="M674" s="3" t="s">
        <v>3348</v>
      </c>
      <c r="N674" s="3" t="s">
        <v>3349</v>
      </c>
      <c r="O674" s="3"/>
      <c r="P674" s="3"/>
      <c r="Q674" s="3"/>
      <c r="R674" s="3" t="s">
        <v>3350</v>
      </c>
      <c r="S674" s="3" t="s">
        <v>3351</v>
      </c>
      <c r="T674" s="3" t="s">
        <v>113</v>
      </c>
      <c r="U674" s="11">
        <v>106</v>
      </c>
      <c r="V674" s="3" t="s">
        <v>3295</v>
      </c>
      <c r="W674" s="8" t="s">
        <v>7834</v>
      </c>
    </row>
    <row r="675" spans="1:23" x14ac:dyDescent="0.25">
      <c r="A675" s="2">
        <v>807</v>
      </c>
      <c r="B675" s="3" t="s">
        <v>3295</v>
      </c>
      <c r="C675" s="3">
        <v>2024</v>
      </c>
      <c r="D675" s="3" t="s">
        <v>1283</v>
      </c>
      <c r="E675" s="3" t="s">
        <v>15</v>
      </c>
      <c r="F675" s="1" t="s">
        <v>7834</v>
      </c>
      <c r="G675" s="10"/>
      <c r="H675" s="10"/>
      <c r="I675" s="10"/>
      <c r="J675" s="10"/>
      <c r="K675" s="10"/>
      <c r="L675" s="3" t="s">
        <v>3389</v>
      </c>
      <c r="M675" s="3" t="s">
        <v>3390</v>
      </c>
      <c r="N675" s="3" t="s">
        <v>3391</v>
      </c>
      <c r="O675" s="3"/>
      <c r="P675" s="3"/>
      <c r="Q675" s="3"/>
      <c r="R675" s="3" t="s">
        <v>3175</v>
      </c>
      <c r="S675" s="3" t="s">
        <v>3392</v>
      </c>
      <c r="T675" s="3" t="s">
        <v>113</v>
      </c>
      <c r="U675" s="11">
        <v>107</v>
      </c>
      <c r="V675" s="3" t="s">
        <v>3295</v>
      </c>
      <c r="W675" s="8" t="s">
        <v>7834</v>
      </c>
    </row>
    <row r="676" spans="1:23" x14ac:dyDescent="0.25">
      <c r="A676" s="2">
        <v>808</v>
      </c>
      <c r="B676" s="3" t="s">
        <v>3295</v>
      </c>
      <c r="C676" s="3">
        <v>2024</v>
      </c>
      <c r="D676" s="3" t="s">
        <v>2626</v>
      </c>
      <c r="E676" s="3" t="s">
        <v>15</v>
      </c>
      <c r="F676" s="1" t="s">
        <v>7834</v>
      </c>
      <c r="G676" s="10"/>
      <c r="H676" s="10"/>
      <c r="I676" s="10"/>
      <c r="J676" s="10"/>
      <c r="K676" s="10"/>
      <c r="L676" s="3" t="s">
        <v>3393</v>
      </c>
      <c r="M676" s="3" t="s">
        <v>3394</v>
      </c>
      <c r="N676" s="3" t="s">
        <v>3395</v>
      </c>
      <c r="O676" s="3"/>
      <c r="P676" s="3"/>
      <c r="Q676" s="3"/>
      <c r="R676" s="3" t="s">
        <v>3396</v>
      </c>
      <c r="S676" s="3" t="s">
        <v>3397</v>
      </c>
      <c r="T676" s="3" t="s">
        <v>113</v>
      </c>
      <c r="U676" s="11">
        <v>108</v>
      </c>
      <c r="V676" s="3" t="s">
        <v>3295</v>
      </c>
      <c r="W676" s="8" t="s">
        <v>7834</v>
      </c>
    </row>
    <row r="677" spans="1:23" x14ac:dyDescent="0.25">
      <c r="A677" s="2">
        <v>809</v>
      </c>
      <c r="B677" s="3" t="s">
        <v>3295</v>
      </c>
      <c r="C677" s="3">
        <v>2024</v>
      </c>
      <c r="D677" s="3" t="s">
        <v>31</v>
      </c>
      <c r="E677" s="3" t="s">
        <v>15</v>
      </c>
      <c r="F677" s="1" t="s">
        <v>7834</v>
      </c>
      <c r="G677" s="10"/>
      <c r="H677" s="10"/>
      <c r="I677" s="10"/>
      <c r="J677" s="10"/>
      <c r="K677" s="10"/>
      <c r="L677" s="3" t="s">
        <v>3398</v>
      </c>
      <c r="M677" s="3" t="s">
        <v>3399</v>
      </c>
      <c r="N677" s="3" t="s">
        <v>3400</v>
      </c>
      <c r="O677" s="3"/>
      <c r="P677" s="3"/>
      <c r="Q677" s="3"/>
      <c r="R677" s="3" t="s">
        <v>3401</v>
      </c>
      <c r="S677" s="3" t="s">
        <v>3402</v>
      </c>
      <c r="T677" s="3" t="s">
        <v>113</v>
      </c>
      <c r="U677" s="11">
        <v>109</v>
      </c>
      <c r="V677" s="3" t="s">
        <v>3295</v>
      </c>
      <c r="W677" s="8" t="s">
        <v>7834</v>
      </c>
    </row>
    <row r="678" spans="1:23" x14ac:dyDescent="0.25">
      <c r="A678" s="2">
        <v>815</v>
      </c>
      <c r="B678" s="3" t="s">
        <v>3295</v>
      </c>
      <c r="C678" s="3">
        <v>2024</v>
      </c>
      <c r="D678" s="3" t="s">
        <v>1434</v>
      </c>
      <c r="E678" s="3" t="s">
        <v>15</v>
      </c>
      <c r="F678" s="1" t="s">
        <v>7834</v>
      </c>
      <c r="G678" s="10"/>
      <c r="H678" s="10"/>
      <c r="I678" s="10"/>
      <c r="J678" s="10"/>
      <c r="K678" s="10"/>
      <c r="L678" s="3" t="s">
        <v>3424</v>
      </c>
      <c r="M678" s="3" t="s">
        <v>3425</v>
      </c>
      <c r="N678" s="3" t="s">
        <v>3391</v>
      </c>
      <c r="O678" s="3"/>
      <c r="P678" s="3"/>
      <c r="Q678" s="3"/>
      <c r="R678" s="3" t="s">
        <v>3175</v>
      </c>
      <c r="S678" s="3" t="s">
        <v>3426</v>
      </c>
      <c r="T678" s="3" t="s">
        <v>113</v>
      </c>
      <c r="U678" s="11">
        <v>110</v>
      </c>
      <c r="V678" s="3" t="s">
        <v>3295</v>
      </c>
      <c r="W678" s="8" t="s">
        <v>7834</v>
      </c>
    </row>
    <row r="679" spans="1:23" x14ac:dyDescent="0.25">
      <c r="A679" s="2">
        <v>819</v>
      </c>
      <c r="B679" s="3" t="s">
        <v>3295</v>
      </c>
      <c r="C679" s="3">
        <v>2024</v>
      </c>
      <c r="D679" s="3" t="s">
        <v>389</v>
      </c>
      <c r="E679" s="3" t="s">
        <v>15</v>
      </c>
      <c r="F679" s="1" t="s">
        <v>7834</v>
      </c>
      <c r="G679" s="10"/>
      <c r="H679" s="10"/>
      <c r="I679" s="10"/>
      <c r="J679" s="10"/>
      <c r="K679" s="10"/>
      <c r="L679" s="3" t="s">
        <v>3437</v>
      </c>
      <c r="M679" s="3" t="s">
        <v>3438</v>
      </c>
      <c r="N679" s="3" t="s">
        <v>3421</v>
      </c>
      <c r="O679" s="3"/>
      <c r="P679" s="3"/>
      <c r="Q679" s="3"/>
      <c r="R679" s="3" t="s">
        <v>3422</v>
      </c>
      <c r="S679" s="3" t="s">
        <v>3439</v>
      </c>
      <c r="T679" s="3" t="s">
        <v>113</v>
      </c>
      <c r="U679" s="11">
        <v>111</v>
      </c>
      <c r="V679" s="3" t="s">
        <v>3295</v>
      </c>
      <c r="W679" s="8" t="s">
        <v>7834</v>
      </c>
    </row>
    <row r="680" spans="1:23" x14ac:dyDescent="0.25">
      <c r="A680" s="2">
        <v>820</v>
      </c>
      <c r="B680" s="3" t="s">
        <v>3295</v>
      </c>
      <c r="C680" s="3">
        <v>2024</v>
      </c>
      <c r="D680" s="3" t="s">
        <v>2971</v>
      </c>
      <c r="E680" s="3" t="s">
        <v>15</v>
      </c>
      <c r="F680" s="1" t="s">
        <v>7834</v>
      </c>
      <c r="G680" s="10"/>
      <c r="H680" s="10"/>
      <c r="I680" s="10"/>
      <c r="J680" s="10"/>
      <c r="K680" s="10"/>
      <c r="L680" s="3" t="s">
        <v>3440</v>
      </c>
      <c r="M680" s="3" t="s">
        <v>3441</v>
      </c>
      <c r="N680" s="3" t="s">
        <v>3442</v>
      </c>
      <c r="O680" s="3"/>
      <c r="P680" s="3"/>
      <c r="Q680" s="3"/>
      <c r="R680" s="3" t="s">
        <v>3443</v>
      </c>
      <c r="S680" s="3" t="s">
        <v>3444</v>
      </c>
      <c r="T680" s="3" t="s">
        <v>113</v>
      </c>
      <c r="U680" s="11">
        <v>112</v>
      </c>
      <c r="V680" s="3" t="s">
        <v>3295</v>
      </c>
      <c r="W680" s="8" t="s">
        <v>7834</v>
      </c>
    </row>
    <row r="681" spans="1:23" x14ac:dyDescent="0.25">
      <c r="A681" s="2">
        <v>826</v>
      </c>
      <c r="B681" s="3" t="s">
        <v>3295</v>
      </c>
      <c r="C681" s="3">
        <v>2024</v>
      </c>
      <c r="D681" s="3" t="s">
        <v>1113</v>
      </c>
      <c r="E681" s="3" t="s">
        <v>15</v>
      </c>
      <c r="F681" s="1" t="s">
        <v>7834</v>
      </c>
      <c r="G681" s="10"/>
      <c r="H681" s="10"/>
      <c r="I681" s="10"/>
      <c r="J681" s="10"/>
      <c r="K681" s="10"/>
      <c r="L681" s="3" t="s">
        <v>3470</v>
      </c>
      <c r="M681" s="3" t="s">
        <v>3471</v>
      </c>
      <c r="N681" s="3" t="s">
        <v>3472</v>
      </c>
      <c r="O681" s="3"/>
      <c r="P681" s="3"/>
      <c r="Q681" s="3"/>
      <c r="R681" s="3" t="s">
        <v>3473</v>
      </c>
      <c r="S681" s="3" t="s">
        <v>3474</v>
      </c>
      <c r="T681" s="3" t="s">
        <v>113</v>
      </c>
      <c r="U681" s="11">
        <v>113</v>
      </c>
      <c r="V681" s="3" t="s">
        <v>3295</v>
      </c>
      <c r="W681" s="8" t="s">
        <v>7834</v>
      </c>
    </row>
    <row r="682" spans="1:23" x14ac:dyDescent="0.25">
      <c r="A682" s="2">
        <v>830</v>
      </c>
      <c r="B682" s="3" t="s">
        <v>3295</v>
      </c>
      <c r="C682" s="3">
        <v>2024</v>
      </c>
      <c r="D682" s="3" t="s">
        <v>86</v>
      </c>
      <c r="E682" s="3" t="s">
        <v>15</v>
      </c>
      <c r="F682" s="1" t="s">
        <v>7834</v>
      </c>
      <c r="G682" s="10"/>
      <c r="H682" s="10"/>
      <c r="I682" s="10"/>
      <c r="J682" s="10"/>
      <c r="K682" s="10"/>
      <c r="L682" s="3" t="s">
        <v>3486</v>
      </c>
      <c r="M682" s="3" t="s">
        <v>3487</v>
      </c>
      <c r="N682" s="3" t="s">
        <v>3488</v>
      </c>
      <c r="O682" s="3"/>
      <c r="P682" s="3"/>
      <c r="Q682" s="3"/>
      <c r="R682" s="3" t="s">
        <v>3489</v>
      </c>
      <c r="S682" s="3" t="s">
        <v>3490</v>
      </c>
      <c r="T682" s="3" t="s">
        <v>113</v>
      </c>
      <c r="U682" s="11">
        <v>114</v>
      </c>
      <c r="V682" s="3" t="s">
        <v>3295</v>
      </c>
      <c r="W682" s="8" t="s">
        <v>7834</v>
      </c>
    </row>
    <row r="683" spans="1:23" x14ac:dyDescent="0.25">
      <c r="A683" s="2">
        <v>832</v>
      </c>
      <c r="B683" s="3" t="s">
        <v>3295</v>
      </c>
      <c r="C683" s="3">
        <v>2024</v>
      </c>
      <c r="D683" s="3" t="s">
        <v>38</v>
      </c>
      <c r="E683" s="3" t="s">
        <v>15</v>
      </c>
      <c r="F683" s="1" t="s">
        <v>7834</v>
      </c>
      <c r="G683" s="10"/>
      <c r="H683" s="10"/>
      <c r="I683" s="10"/>
      <c r="J683" s="10"/>
      <c r="K683" s="10"/>
      <c r="L683" s="3" t="s">
        <v>3497</v>
      </c>
      <c r="M683" s="3" t="s">
        <v>3498</v>
      </c>
      <c r="N683" s="3" t="s">
        <v>3421</v>
      </c>
      <c r="O683" s="3"/>
      <c r="P683" s="3"/>
      <c r="Q683" s="3"/>
      <c r="R683" s="3" t="s">
        <v>3422</v>
      </c>
      <c r="S683" s="3" t="s">
        <v>3499</v>
      </c>
      <c r="T683" s="3" t="s">
        <v>113</v>
      </c>
      <c r="U683" s="11">
        <v>115</v>
      </c>
      <c r="V683" s="3" t="s">
        <v>3295</v>
      </c>
      <c r="W683" s="8" t="s">
        <v>7834</v>
      </c>
    </row>
    <row r="684" spans="1:23" x14ac:dyDescent="0.25">
      <c r="A684" s="2">
        <v>834</v>
      </c>
      <c r="B684" s="3" t="s">
        <v>3295</v>
      </c>
      <c r="C684" s="3">
        <v>2024</v>
      </c>
      <c r="D684" s="3" t="s">
        <v>31</v>
      </c>
      <c r="E684" s="3" t="s">
        <v>15</v>
      </c>
      <c r="F684" s="1" t="s">
        <v>7834</v>
      </c>
      <c r="G684" s="10"/>
      <c r="H684" s="10"/>
      <c r="I684" s="10"/>
      <c r="J684" s="10"/>
      <c r="K684" s="10"/>
      <c r="L684" s="3" t="s">
        <v>3504</v>
      </c>
      <c r="M684" s="3" t="s">
        <v>3505</v>
      </c>
      <c r="N684" s="3" t="s">
        <v>3506</v>
      </c>
      <c r="O684" s="3"/>
      <c r="P684" s="3"/>
      <c r="Q684" s="3"/>
      <c r="R684" s="3" t="s">
        <v>3507</v>
      </c>
      <c r="S684" s="3" t="s">
        <v>3508</v>
      </c>
      <c r="T684" s="3" t="s">
        <v>113</v>
      </c>
      <c r="U684" s="11">
        <v>116</v>
      </c>
      <c r="V684" s="3" t="s">
        <v>3295</v>
      </c>
      <c r="W684" s="8" t="s">
        <v>7834</v>
      </c>
    </row>
    <row r="685" spans="1:23" x14ac:dyDescent="0.25">
      <c r="A685" s="2">
        <v>836</v>
      </c>
      <c r="B685" s="3" t="s">
        <v>3295</v>
      </c>
      <c r="C685" s="3">
        <v>2024</v>
      </c>
      <c r="D685" s="3" t="s">
        <v>2689</v>
      </c>
      <c r="E685" s="3" t="s">
        <v>15</v>
      </c>
      <c r="F685" s="1" t="s">
        <v>7834</v>
      </c>
      <c r="G685" s="10"/>
      <c r="H685" s="10"/>
      <c r="I685" s="10"/>
      <c r="J685" s="10"/>
      <c r="K685" s="10"/>
      <c r="L685" s="3" t="s">
        <v>3512</v>
      </c>
      <c r="M685" s="3" t="s">
        <v>3513</v>
      </c>
      <c r="N685" s="3" t="s">
        <v>3514</v>
      </c>
      <c r="O685" s="3"/>
      <c r="P685" s="3"/>
      <c r="Q685" s="3"/>
      <c r="R685" s="3" t="s">
        <v>3515</v>
      </c>
      <c r="S685" s="3" t="s">
        <v>3516</v>
      </c>
      <c r="T685" s="3" t="s">
        <v>113</v>
      </c>
      <c r="U685" s="11">
        <v>117</v>
      </c>
      <c r="V685" s="3" t="s">
        <v>3295</v>
      </c>
      <c r="W685" s="8" t="s">
        <v>7834</v>
      </c>
    </row>
    <row r="686" spans="1:23" x14ac:dyDescent="0.25">
      <c r="A686" s="2">
        <v>838</v>
      </c>
      <c r="B686" s="3" t="s">
        <v>3295</v>
      </c>
      <c r="C686" s="3">
        <v>2024</v>
      </c>
      <c r="D686" s="3" t="s">
        <v>31</v>
      </c>
      <c r="E686" s="3" t="s">
        <v>15</v>
      </c>
      <c r="F686" s="1" t="s">
        <v>7834</v>
      </c>
      <c r="G686" s="10"/>
      <c r="H686" s="10"/>
      <c r="I686" s="10"/>
      <c r="J686" s="10"/>
      <c r="K686" s="10"/>
      <c r="L686" s="3" t="s">
        <v>3521</v>
      </c>
      <c r="M686" s="3" t="s">
        <v>3522</v>
      </c>
      <c r="N686" s="3" t="s">
        <v>3523</v>
      </c>
      <c r="O686" s="3"/>
      <c r="P686" s="3"/>
      <c r="Q686" s="3"/>
      <c r="R686" s="3" t="s">
        <v>3524</v>
      </c>
      <c r="S686" s="3" t="s">
        <v>3525</v>
      </c>
      <c r="T686" s="3" t="s">
        <v>113</v>
      </c>
      <c r="U686" s="11">
        <v>118</v>
      </c>
      <c r="V686" s="3" t="s">
        <v>3295</v>
      </c>
      <c r="W686" s="8" t="s">
        <v>7834</v>
      </c>
    </row>
    <row r="687" spans="1:23" x14ac:dyDescent="0.25">
      <c r="A687" s="2">
        <v>860</v>
      </c>
      <c r="B687" s="3" t="s">
        <v>3552</v>
      </c>
      <c r="C687" s="3">
        <v>2024</v>
      </c>
      <c r="D687" s="3" t="s">
        <v>1177</v>
      </c>
      <c r="E687" s="3" t="s">
        <v>15</v>
      </c>
      <c r="F687" s="1" t="s">
        <v>7834</v>
      </c>
      <c r="G687" s="10"/>
      <c r="H687" s="10"/>
      <c r="I687" s="10"/>
      <c r="J687" s="10"/>
      <c r="K687" s="10"/>
      <c r="L687" s="3" t="s">
        <v>3616</v>
      </c>
      <c r="M687" s="3" t="s">
        <v>3617</v>
      </c>
      <c r="N687" s="3" t="s">
        <v>3618</v>
      </c>
      <c r="O687" s="3"/>
      <c r="P687" s="3"/>
      <c r="Q687" s="3"/>
      <c r="R687" s="3" t="s">
        <v>3619</v>
      </c>
      <c r="S687" s="3" t="s">
        <v>3620</v>
      </c>
      <c r="T687" s="3" t="s">
        <v>113</v>
      </c>
      <c r="U687" s="11">
        <v>119</v>
      </c>
      <c r="V687" s="3" t="s">
        <v>3552</v>
      </c>
      <c r="W687" s="8" t="s">
        <v>7834</v>
      </c>
    </row>
    <row r="688" spans="1:23" x14ac:dyDescent="0.25">
      <c r="A688" s="2">
        <v>863</v>
      </c>
      <c r="B688" s="3" t="s">
        <v>3552</v>
      </c>
      <c r="C688" s="3">
        <v>2024</v>
      </c>
      <c r="D688" s="3" t="s">
        <v>86</v>
      </c>
      <c r="E688" s="3" t="s">
        <v>15</v>
      </c>
      <c r="F688" s="1" t="s">
        <v>7834</v>
      </c>
      <c r="G688" s="10"/>
      <c r="H688" s="10"/>
      <c r="I688" s="10"/>
      <c r="J688" s="10"/>
      <c r="K688" s="10"/>
      <c r="L688" s="3" t="s">
        <v>3631</v>
      </c>
      <c r="M688" s="3" t="s">
        <v>3632</v>
      </c>
      <c r="N688" s="3" t="s">
        <v>3633</v>
      </c>
      <c r="O688" s="3"/>
      <c r="P688" s="3"/>
      <c r="Q688" s="3"/>
      <c r="R688" s="3" t="s">
        <v>3634</v>
      </c>
      <c r="S688" s="3" t="s">
        <v>3635</v>
      </c>
      <c r="T688" s="3" t="s">
        <v>113</v>
      </c>
      <c r="U688" s="11">
        <v>120</v>
      </c>
      <c r="V688" s="3" t="s">
        <v>3552</v>
      </c>
      <c r="W688" s="8" t="s">
        <v>7834</v>
      </c>
    </row>
    <row r="689" spans="1:23" x14ac:dyDescent="0.25">
      <c r="A689" s="2">
        <v>868</v>
      </c>
      <c r="B689" s="3" t="s">
        <v>3552</v>
      </c>
      <c r="C689" s="3">
        <v>2024</v>
      </c>
      <c r="D689" s="3" t="s">
        <v>14</v>
      </c>
      <c r="E689" s="3" t="s">
        <v>15</v>
      </c>
      <c r="F689" s="1" t="s">
        <v>7834</v>
      </c>
      <c r="G689" s="10"/>
      <c r="H689" s="10"/>
      <c r="I689" s="10"/>
      <c r="J689" s="10"/>
      <c r="K689" s="10"/>
      <c r="L689" s="3" t="s">
        <v>3656</v>
      </c>
      <c r="M689" s="3" t="s">
        <v>3657</v>
      </c>
      <c r="N689" s="3" t="s">
        <v>3658</v>
      </c>
      <c r="O689" s="3"/>
      <c r="P689" s="3"/>
      <c r="Q689" s="3"/>
      <c r="R689" s="3" t="s">
        <v>3614</v>
      </c>
      <c r="S689" s="3" t="s">
        <v>3659</v>
      </c>
      <c r="T689" s="3" t="s">
        <v>113</v>
      </c>
      <c r="U689" s="11">
        <v>121</v>
      </c>
      <c r="V689" s="3" t="s">
        <v>3552</v>
      </c>
      <c r="W689" s="8" t="s">
        <v>7834</v>
      </c>
    </row>
    <row r="690" spans="1:23" x14ac:dyDescent="0.25">
      <c r="A690" s="2">
        <v>871</v>
      </c>
      <c r="B690" s="3" t="s">
        <v>3552</v>
      </c>
      <c r="C690" s="3">
        <v>2024</v>
      </c>
      <c r="D690" s="3" t="s">
        <v>2664</v>
      </c>
      <c r="E690" s="3" t="s">
        <v>15</v>
      </c>
      <c r="F690" s="1" t="s">
        <v>7834</v>
      </c>
      <c r="G690" s="10"/>
      <c r="H690" s="10"/>
      <c r="I690" s="10"/>
      <c r="J690" s="10"/>
      <c r="K690" s="10"/>
      <c r="L690" s="3" t="s">
        <v>3671</v>
      </c>
      <c r="M690" s="3" t="s">
        <v>3672</v>
      </c>
      <c r="N690" s="3" t="s">
        <v>1116</v>
      </c>
      <c r="O690" s="3"/>
      <c r="P690" s="3"/>
      <c r="Q690" s="3"/>
      <c r="R690" s="3" t="s">
        <v>1117</v>
      </c>
      <c r="S690" s="3" t="s">
        <v>3673</v>
      </c>
      <c r="T690" s="3" t="s">
        <v>113</v>
      </c>
      <c r="U690" s="11">
        <v>122</v>
      </c>
      <c r="V690" s="3" t="s">
        <v>3552</v>
      </c>
      <c r="W690" s="8" t="s">
        <v>7834</v>
      </c>
    </row>
    <row r="691" spans="1:23" x14ac:dyDescent="0.25">
      <c r="A691" s="2">
        <v>878</v>
      </c>
      <c r="B691" s="3" t="s">
        <v>3552</v>
      </c>
      <c r="C691" s="3">
        <v>2024</v>
      </c>
      <c r="D691" s="3" t="s">
        <v>3337</v>
      </c>
      <c r="E691" s="3" t="s">
        <v>15</v>
      </c>
      <c r="F691" s="1" t="s">
        <v>7834</v>
      </c>
      <c r="G691" s="10"/>
      <c r="H691" s="10"/>
      <c r="I691" s="10"/>
      <c r="J691" s="10"/>
      <c r="K691" s="10"/>
      <c r="L691" s="3" t="s">
        <v>3702</v>
      </c>
      <c r="M691" s="3" t="s">
        <v>3703</v>
      </c>
      <c r="N691" s="3" t="s">
        <v>3704</v>
      </c>
      <c r="O691" s="3"/>
      <c r="P691" s="3"/>
      <c r="Q691" s="3"/>
      <c r="R691" s="3" t="s">
        <v>3705</v>
      </c>
      <c r="S691" s="3" t="s">
        <v>3706</v>
      </c>
      <c r="T691" s="3" t="s">
        <v>113</v>
      </c>
      <c r="U691" s="11">
        <v>123</v>
      </c>
      <c r="V691" s="3" t="s">
        <v>3552</v>
      </c>
      <c r="W691" s="8" t="s">
        <v>7834</v>
      </c>
    </row>
    <row r="692" spans="1:23" x14ac:dyDescent="0.25">
      <c r="A692" s="2">
        <v>885</v>
      </c>
      <c r="B692" s="3" t="s">
        <v>3552</v>
      </c>
      <c r="C692" s="3">
        <v>2024</v>
      </c>
      <c r="D692" s="3" t="s">
        <v>1434</v>
      </c>
      <c r="E692" s="3" t="s">
        <v>15</v>
      </c>
      <c r="F692" s="1" t="s">
        <v>7834</v>
      </c>
      <c r="G692" s="10"/>
      <c r="H692" s="10"/>
      <c r="I692" s="10"/>
      <c r="J692" s="10"/>
      <c r="K692" s="10"/>
      <c r="L692" s="3" t="s">
        <v>3735</v>
      </c>
      <c r="M692" s="3" t="s">
        <v>3736</v>
      </c>
      <c r="N692" s="3" t="s">
        <v>3737</v>
      </c>
      <c r="O692" s="3"/>
      <c r="P692" s="3"/>
      <c r="Q692" s="3"/>
      <c r="R692" s="3" t="s">
        <v>3738</v>
      </c>
      <c r="S692" s="3" t="s">
        <v>3739</v>
      </c>
      <c r="T692" s="3" t="s">
        <v>113</v>
      </c>
      <c r="U692" s="11">
        <v>124</v>
      </c>
      <c r="V692" s="3" t="s">
        <v>3552</v>
      </c>
      <c r="W692" s="8" t="s">
        <v>7834</v>
      </c>
    </row>
    <row r="693" spans="1:23" x14ac:dyDescent="0.25">
      <c r="A693" s="2">
        <v>886</v>
      </c>
      <c r="B693" s="3" t="s">
        <v>3552</v>
      </c>
      <c r="C693" s="3">
        <v>2024</v>
      </c>
      <c r="D693" s="3" t="s">
        <v>2657</v>
      </c>
      <c r="E693" s="3" t="s">
        <v>15</v>
      </c>
      <c r="F693" s="1" t="s">
        <v>7834</v>
      </c>
      <c r="G693" s="10"/>
      <c r="H693" s="10"/>
      <c r="I693" s="10"/>
      <c r="J693" s="10"/>
      <c r="K693" s="10"/>
      <c r="L693" s="3" t="s">
        <v>3740</v>
      </c>
      <c r="M693" s="3" t="s">
        <v>3741</v>
      </c>
      <c r="N693" s="3" t="s">
        <v>3742</v>
      </c>
      <c r="O693" s="3"/>
      <c r="P693" s="3"/>
      <c r="Q693" s="3"/>
      <c r="R693" s="3" t="s">
        <v>3556</v>
      </c>
      <c r="S693" s="3" t="s">
        <v>3743</v>
      </c>
      <c r="T693" s="3" t="s">
        <v>113</v>
      </c>
      <c r="U693" s="11">
        <v>125</v>
      </c>
      <c r="V693" s="3" t="s">
        <v>3552</v>
      </c>
      <c r="W693" s="8" t="s">
        <v>7834</v>
      </c>
    </row>
    <row r="694" spans="1:23" x14ac:dyDescent="0.25">
      <c r="A694" s="2">
        <v>890</v>
      </c>
      <c r="B694" s="3" t="s">
        <v>3552</v>
      </c>
      <c r="C694" s="3">
        <v>2024</v>
      </c>
      <c r="D694" s="3" t="s">
        <v>1262</v>
      </c>
      <c r="E694" s="3" t="s">
        <v>15</v>
      </c>
      <c r="F694" s="1" t="s">
        <v>7834</v>
      </c>
      <c r="G694" s="10"/>
      <c r="H694" s="10"/>
      <c r="I694" s="10"/>
      <c r="J694" s="10"/>
      <c r="K694" s="10"/>
      <c r="L694" s="3" t="s">
        <v>3757</v>
      </c>
      <c r="M694" s="3" t="s">
        <v>3758</v>
      </c>
      <c r="N694" s="3" t="s">
        <v>3759</v>
      </c>
      <c r="O694" s="3"/>
      <c r="P694" s="3"/>
      <c r="Q694" s="3"/>
      <c r="R694" s="3" t="s">
        <v>3760</v>
      </c>
      <c r="S694" s="3" t="s">
        <v>3761</v>
      </c>
      <c r="T694" s="3" t="s">
        <v>113</v>
      </c>
      <c r="U694" s="11">
        <v>126</v>
      </c>
      <c r="V694" s="3" t="s">
        <v>3552</v>
      </c>
      <c r="W694" s="8" t="s">
        <v>7834</v>
      </c>
    </row>
    <row r="695" spans="1:23" x14ac:dyDescent="0.25">
      <c r="A695" s="2">
        <v>891</v>
      </c>
      <c r="B695" s="3" t="s">
        <v>3552</v>
      </c>
      <c r="C695" s="3">
        <v>2024</v>
      </c>
      <c r="D695" s="3" t="s">
        <v>2750</v>
      </c>
      <c r="E695" s="3" t="s">
        <v>15</v>
      </c>
      <c r="F695" s="1" t="s">
        <v>7834</v>
      </c>
      <c r="G695" s="10"/>
      <c r="H695" s="10"/>
      <c r="I695" s="10"/>
      <c r="J695" s="10"/>
      <c r="K695" s="10"/>
      <c r="L695" s="3" t="s">
        <v>3762</v>
      </c>
      <c r="M695" s="3" t="s">
        <v>3763</v>
      </c>
      <c r="N695" s="3" t="s">
        <v>3742</v>
      </c>
      <c r="O695" s="3"/>
      <c r="P695" s="3"/>
      <c r="Q695" s="3"/>
      <c r="R695" s="3" t="s">
        <v>3556</v>
      </c>
      <c r="S695" s="3" t="s">
        <v>3764</v>
      </c>
      <c r="T695" s="3" t="s">
        <v>113</v>
      </c>
      <c r="U695" s="11">
        <v>127</v>
      </c>
      <c r="V695" s="3" t="s">
        <v>3552</v>
      </c>
      <c r="W695" s="8" t="s">
        <v>7834</v>
      </c>
    </row>
    <row r="696" spans="1:23" x14ac:dyDescent="0.25">
      <c r="A696" s="2">
        <v>897</v>
      </c>
      <c r="B696" s="3" t="s">
        <v>3552</v>
      </c>
      <c r="C696" s="3">
        <v>2024</v>
      </c>
      <c r="D696" s="3" t="s">
        <v>14</v>
      </c>
      <c r="E696" s="3" t="s">
        <v>15</v>
      </c>
      <c r="F696" s="1" t="s">
        <v>7834</v>
      </c>
      <c r="G696" s="10"/>
      <c r="H696" s="10"/>
      <c r="I696" s="10"/>
      <c r="J696" s="10"/>
      <c r="K696" s="10"/>
      <c r="L696" s="3" t="s">
        <v>3788</v>
      </c>
      <c r="M696" s="3" t="s">
        <v>3789</v>
      </c>
      <c r="N696" s="3" t="s">
        <v>3790</v>
      </c>
      <c r="O696" s="3"/>
      <c r="P696" s="3"/>
      <c r="Q696" s="3"/>
      <c r="R696" s="3" t="s">
        <v>3791</v>
      </c>
      <c r="S696" s="3" t="s">
        <v>3792</v>
      </c>
      <c r="T696" s="3" t="s">
        <v>113</v>
      </c>
      <c r="U696" s="11">
        <v>128</v>
      </c>
      <c r="V696" s="3" t="s">
        <v>3552</v>
      </c>
      <c r="W696" s="8" t="s">
        <v>7834</v>
      </c>
    </row>
    <row r="697" spans="1:23" x14ac:dyDescent="0.25">
      <c r="A697" s="2">
        <v>928</v>
      </c>
      <c r="B697" s="3" t="s">
        <v>3826</v>
      </c>
      <c r="C697" s="3">
        <v>2024</v>
      </c>
      <c r="D697" s="3" t="s">
        <v>3924</v>
      </c>
      <c r="E697" s="3" t="s">
        <v>15</v>
      </c>
      <c r="F697" s="1" t="s">
        <v>7834</v>
      </c>
      <c r="G697" s="10"/>
      <c r="H697" s="10"/>
      <c r="I697" s="10"/>
      <c r="J697" s="10"/>
      <c r="K697" s="10"/>
      <c r="L697" s="3" t="s">
        <v>3925</v>
      </c>
      <c r="M697" s="3" t="s">
        <v>3926</v>
      </c>
      <c r="N697" s="3" t="s">
        <v>3927</v>
      </c>
      <c r="O697" s="3">
        <v>203</v>
      </c>
      <c r="P697" s="3"/>
      <c r="Q697" s="3">
        <v>204</v>
      </c>
      <c r="R697" s="3" t="s">
        <v>3928</v>
      </c>
      <c r="S697" s="3" t="s">
        <v>3929</v>
      </c>
      <c r="T697" s="3" t="s">
        <v>113</v>
      </c>
      <c r="U697" s="11">
        <v>129</v>
      </c>
      <c r="V697" s="3" t="s">
        <v>3826</v>
      </c>
      <c r="W697" s="8" t="s">
        <v>7834</v>
      </c>
    </row>
    <row r="698" spans="1:23" x14ac:dyDescent="0.25">
      <c r="A698" s="2">
        <v>929</v>
      </c>
      <c r="B698" s="3" t="s">
        <v>3826</v>
      </c>
      <c r="C698" s="3">
        <v>2024</v>
      </c>
      <c r="D698" s="3" t="s">
        <v>3930</v>
      </c>
      <c r="E698" s="3" t="s">
        <v>15</v>
      </c>
      <c r="F698" s="1" t="s">
        <v>7834</v>
      </c>
      <c r="G698" s="10"/>
      <c r="H698" s="10"/>
      <c r="I698" s="10"/>
      <c r="J698" s="10"/>
      <c r="K698" s="10"/>
      <c r="L698" s="3" t="s">
        <v>935</v>
      </c>
      <c r="M698" s="3" t="s">
        <v>3931</v>
      </c>
      <c r="N698" s="3" t="s">
        <v>833</v>
      </c>
      <c r="O698" s="3">
        <v>11</v>
      </c>
      <c r="P698" s="3">
        <v>1320649</v>
      </c>
      <c r="Q698" s="3"/>
      <c r="R698" s="3" t="s">
        <v>3932</v>
      </c>
      <c r="S698" s="3" t="s">
        <v>937</v>
      </c>
      <c r="T698" s="3" t="s">
        <v>113</v>
      </c>
      <c r="U698" s="11">
        <v>130</v>
      </c>
      <c r="V698" s="3" t="s">
        <v>3826</v>
      </c>
      <c r="W698" s="8" t="s">
        <v>7834</v>
      </c>
    </row>
    <row r="699" spans="1:23" x14ac:dyDescent="0.25">
      <c r="A699" s="2">
        <v>930</v>
      </c>
      <c r="B699" s="3" t="s">
        <v>3826</v>
      </c>
      <c r="C699" s="3">
        <v>2024</v>
      </c>
      <c r="D699" s="3" t="s">
        <v>1096</v>
      </c>
      <c r="E699" s="3" t="s">
        <v>15</v>
      </c>
      <c r="F699" s="1" t="s">
        <v>7834</v>
      </c>
      <c r="G699" s="10"/>
      <c r="H699" s="10"/>
      <c r="I699" s="10"/>
      <c r="J699" s="10"/>
      <c r="K699" s="10"/>
      <c r="L699" s="3" t="s">
        <v>3933</v>
      </c>
      <c r="M699" s="3" t="s">
        <v>3934</v>
      </c>
      <c r="N699" s="3" t="s">
        <v>976</v>
      </c>
      <c r="O699" s="3">
        <v>14</v>
      </c>
      <c r="P699" s="3" t="s">
        <v>3935</v>
      </c>
      <c r="Q699" s="3"/>
      <c r="R699" s="3" t="s">
        <v>880</v>
      </c>
      <c r="S699" s="3" t="s">
        <v>3936</v>
      </c>
      <c r="T699" s="3" t="s">
        <v>113</v>
      </c>
      <c r="U699" s="11">
        <v>131</v>
      </c>
      <c r="V699" s="3" t="s">
        <v>3826</v>
      </c>
      <c r="W699" s="8" t="s">
        <v>7834</v>
      </c>
    </row>
    <row r="700" spans="1:23" x14ac:dyDescent="0.25">
      <c r="A700" s="2">
        <v>931</v>
      </c>
      <c r="B700" s="3" t="s">
        <v>3826</v>
      </c>
      <c r="C700" s="3">
        <v>2024</v>
      </c>
      <c r="D700" s="3" t="s">
        <v>63</v>
      </c>
      <c r="E700" s="3" t="s">
        <v>15</v>
      </c>
      <c r="F700" s="1" t="s">
        <v>7834</v>
      </c>
      <c r="G700" s="10"/>
      <c r="H700" s="10"/>
      <c r="I700" s="10"/>
      <c r="J700" s="10"/>
      <c r="K700" s="10"/>
      <c r="L700" s="3" t="s">
        <v>3937</v>
      </c>
      <c r="M700" s="3" t="s">
        <v>3938</v>
      </c>
      <c r="N700" s="3" t="s">
        <v>976</v>
      </c>
      <c r="O700" s="3">
        <v>14</v>
      </c>
      <c r="P700" s="3" t="s">
        <v>3939</v>
      </c>
      <c r="Q700" s="3"/>
      <c r="R700" s="3" t="s">
        <v>880</v>
      </c>
      <c r="S700" s="3" t="s">
        <v>3940</v>
      </c>
      <c r="T700" s="3" t="s">
        <v>113</v>
      </c>
      <c r="U700" s="11">
        <v>132</v>
      </c>
      <c r="V700" s="3" t="s">
        <v>3826</v>
      </c>
      <c r="W700" s="8" t="s">
        <v>7834</v>
      </c>
    </row>
    <row r="701" spans="1:23" x14ac:dyDescent="0.25">
      <c r="A701" s="2">
        <v>939</v>
      </c>
      <c r="B701" s="3" t="s">
        <v>3826</v>
      </c>
      <c r="C701" s="3">
        <v>2024</v>
      </c>
      <c r="D701" s="3" t="s">
        <v>1477</v>
      </c>
      <c r="E701" s="3" t="s">
        <v>15</v>
      </c>
      <c r="F701" s="1" t="s">
        <v>7834</v>
      </c>
      <c r="G701" s="10"/>
      <c r="H701" s="10"/>
      <c r="I701" s="10"/>
      <c r="J701" s="10"/>
      <c r="K701" s="10"/>
      <c r="L701" s="3" t="s">
        <v>3972</v>
      </c>
      <c r="M701" s="3" t="s">
        <v>3973</v>
      </c>
      <c r="N701" s="3" t="s">
        <v>3974</v>
      </c>
      <c r="O701" s="3">
        <v>14</v>
      </c>
      <c r="P701" s="3">
        <v>125</v>
      </c>
      <c r="Q701" s="3"/>
      <c r="R701" s="3" t="s">
        <v>3975</v>
      </c>
      <c r="S701" s="3" t="s">
        <v>3976</v>
      </c>
      <c r="T701" s="3" t="s">
        <v>113</v>
      </c>
      <c r="U701" s="11">
        <v>133</v>
      </c>
      <c r="V701" s="3" t="s">
        <v>3826</v>
      </c>
      <c r="W701" s="8" t="s">
        <v>7834</v>
      </c>
    </row>
    <row r="702" spans="1:23" x14ac:dyDescent="0.25">
      <c r="A702" s="2">
        <v>946</v>
      </c>
      <c r="B702" s="3" t="s">
        <v>3826</v>
      </c>
      <c r="C702" s="3">
        <v>2024</v>
      </c>
      <c r="D702" s="3" t="s">
        <v>3996</v>
      </c>
      <c r="E702" s="3" t="s">
        <v>15</v>
      </c>
      <c r="F702" s="1" t="s">
        <v>7834</v>
      </c>
      <c r="G702" s="10"/>
      <c r="H702" s="10"/>
      <c r="I702" s="10"/>
      <c r="J702" s="10"/>
      <c r="K702" s="10"/>
      <c r="L702" s="3" t="s">
        <v>3997</v>
      </c>
      <c r="M702" s="3" t="s">
        <v>3998</v>
      </c>
      <c r="N702" s="3" t="s">
        <v>1572</v>
      </c>
      <c r="O702" s="3">
        <v>31</v>
      </c>
      <c r="P702" s="3" t="s">
        <v>3999</v>
      </c>
      <c r="Q702" s="3"/>
      <c r="R702" s="3" t="s">
        <v>1573</v>
      </c>
      <c r="S702" s="3" t="s">
        <v>4000</v>
      </c>
      <c r="T702" s="3" t="s">
        <v>113</v>
      </c>
      <c r="U702" s="11">
        <v>134</v>
      </c>
      <c r="V702" s="3" t="s">
        <v>3826</v>
      </c>
      <c r="W702" s="8" t="s">
        <v>7834</v>
      </c>
    </row>
    <row r="703" spans="1:23" x14ac:dyDescent="0.25">
      <c r="A703" s="2">
        <v>955</v>
      </c>
      <c r="B703" s="3" t="s">
        <v>3826</v>
      </c>
      <c r="C703" s="3">
        <v>2024</v>
      </c>
      <c r="D703" s="3" t="s">
        <v>1096</v>
      </c>
      <c r="E703" s="3" t="s">
        <v>15</v>
      </c>
      <c r="F703" s="1" t="s">
        <v>7834</v>
      </c>
      <c r="G703" s="10"/>
      <c r="H703" s="10"/>
      <c r="I703" s="10"/>
      <c r="J703" s="10"/>
      <c r="K703" s="10"/>
      <c r="L703" s="3" t="s">
        <v>4036</v>
      </c>
      <c r="M703" s="3" t="s">
        <v>4037</v>
      </c>
      <c r="N703" s="3" t="s">
        <v>1643</v>
      </c>
      <c r="O703" s="3">
        <v>100</v>
      </c>
      <c r="P703" s="3" t="s">
        <v>4038</v>
      </c>
      <c r="Q703" s="3"/>
      <c r="R703" s="3" t="s">
        <v>1032</v>
      </c>
      <c r="S703" s="3" t="s">
        <v>4039</v>
      </c>
      <c r="T703" s="3" t="s">
        <v>113</v>
      </c>
      <c r="U703" s="11">
        <v>135</v>
      </c>
      <c r="V703" s="3" t="s">
        <v>3826</v>
      </c>
      <c r="W703" s="8" t="s">
        <v>7834</v>
      </c>
    </row>
    <row r="704" spans="1:23" x14ac:dyDescent="0.25">
      <c r="A704" s="2">
        <v>965</v>
      </c>
      <c r="B704" s="3" t="s">
        <v>3826</v>
      </c>
      <c r="C704" s="3">
        <v>2024</v>
      </c>
      <c r="D704" s="3" t="s">
        <v>4080</v>
      </c>
      <c r="E704" s="3" t="s">
        <v>15</v>
      </c>
      <c r="F704" s="1" t="s">
        <v>7834</v>
      </c>
      <c r="G704" s="10"/>
      <c r="H704" s="10"/>
      <c r="I704" s="10"/>
      <c r="J704" s="10"/>
      <c r="K704" s="10"/>
      <c r="L704" s="3" t="s">
        <v>4081</v>
      </c>
      <c r="M704" s="3" t="s">
        <v>4082</v>
      </c>
      <c r="N704" s="3" t="s">
        <v>1572</v>
      </c>
      <c r="O704" s="3">
        <v>31</v>
      </c>
      <c r="P704" s="3" t="s">
        <v>4083</v>
      </c>
      <c r="Q704" s="3"/>
      <c r="R704" s="3" t="s">
        <v>1573</v>
      </c>
      <c r="S704" s="3" t="s">
        <v>4084</v>
      </c>
      <c r="T704" s="3" t="s">
        <v>113</v>
      </c>
      <c r="U704" s="11">
        <v>136</v>
      </c>
      <c r="V704" s="3" t="s">
        <v>3826</v>
      </c>
      <c r="W704" s="8" t="s">
        <v>7834</v>
      </c>
    </row>
    <row r="705" spans="1:23" x14ac:dyDescent="0.25">
      <c r="A705" s="2">
        <v>966</v>
      </c>
      <c r="B705" s="3" t="s">
        <v>3826</v>
      </c>
      <c r="C705" s="3">
        <v>2024</v>
      </c>
      <c r="D705" s="3" t="s">
        <v>4085</v>
      </c>
      <c r="E705" s="3" t="s">
        <v>15</v>
      </c>
      <c r="F705" s="1" t="s">
        <v>7834</v>
      </c>
      <c r="G705" s="10"/>
      <c r="H705" s="10"/>
      <c r="I705" s="10"/>
      <c r="J705" s="10"/>
      <c r="K705" s="10"/>
      <c r="L705" s="3" t="s">
        <v>4086</v>
      </c>
      <c r="M705" s="3" t="s">
        <v>4087</v>
      </c>
      <c r="N705" s="3" t="s">
        <v>4088</v>
      </c>
      <c r="O705" s="3">
        <v>77</v>
      </c>
      <c r="P705" s="3">
        <v>103612</v>
      </c>
      <c r="Q705" s="3"/>
      <c r="R705" s="3" t="s">
        <v>4089</v>
      </c>
      <c r="S705" s="3" t="s">
        <v>4090</v>
      </c>
      <c r="T705" s="3" t="s">
        <v>113</v>
      </c>
      <c r="U705" s="11">
        <v>137</v>
      </c>
      <c r="V705" s="3" t="s">
        <v>3826</v>
      </c>
      <c r="W705" s="8" t="s">
        <v>7834</v>
      </c>
    </row>
    <row r="706" spans="1:23" x14ac:dyDescent="0.25">
      <c r="A706" s="2">
        <v>971</v>
      </c>
      <c r="B706" s="3" t="s">
        <v>3826</v>
      </c>
      <c r="C706" s="3">
        <v>2024</v>
      </c>
      <c r="D706" s="3" t="s">
        <v>1440</v>
      </c>
      <c r="E706" s="3" t="s">
        <v>15</v>
      </c>
      <c r="F706" s="1" t="s">
        <v>7834</v>
      </c>
      <c r="G706" s="10"/>
      <c r="H706" s="10"/>
      <c r="I706" s="10"/>
      <c r="J706" s="10"/>
      <c r="K706" s="10"/>
      <c r="L706" s="3" t="s">
        <v>4104</v>
      </c>
      <c r="M706" s="3" t="s">
        <v>4105</v>
      </c>
      <c r="N706" s="3" t="s">
        <v>4106</v>
      </c>
      <c r="O706" s="3">
        <v>15</v>
      </c>
      <c r="P706" s="3" t="s">
        <v>4107</v>
      </c>
      <c r="Q706" s="3"/>
      <c r="R706" s="3" t="s">
        <v>4108</v>
      </c>
      <c r="S706" s="3" t="s">
        <v>4109</v>
      </c>
      <c r="T706" s="3" t="s">
        <v>113</v>
      </c>
      <c r="U706" s="11">
        <v>138</v>
      </c>
      <c r="V706" s="3" t="s">
        <v>3826</v>
      </c>
      <c r="W706" s="8" t="s">
        <v>7834</v>
      </c>
    </row>
    <row r="707" spans="1:23" x14ac:dyDescent="0.25">
      <c r="A707" s="2">
        <v>975</v>
      </c>
      <c r="B707" s="3" t="s">
        <v>3826</v>
      </c>
      <c r="C707" s="3">
        <v>2024</v>
      </c>
      <c r="D707" s="3" t="s">
        <v>1288</v>
      </c>
      <c r="E707" s="3" t="s">
        <v>15</v>
      </c>
      <c r="F707" s="1" t="s">
        <v>7834</v>
      </c>
      <c r="G707" s="10"/>
      <c r="H707" s="10"/>
      <c r="I707" s="10"/>
      <c r="J707" s="10"/>
      <c r="K707" s="10"/>
      <c r="L707" s="3" t="s">
        <v>4123</v>
      </c>
      <c r="M707" s="3" t="s">
        <v>4124</v>
      </c>
      <c r="N707" s="3" t="s">
        <v>833</v>
      </c>
      <c r="O707" s="3">
        <v>12</v>
      </c>
      <c r="P707" s="3">
        <v>1441397</v>
      </c>
      <c r="Q707" s="3"/>
      <c r="R707" s="3" t="s">
        <v>3932</v>
      </c>
      <c r="S707" s="3" t="s">
        <v>1125</v>
      </c>
      <c r="T707" s="3" t="s">
        <v>113</v>
      </c>
      <c r="U707" s="11">
        <v>139</v>
      </c>
      <c r="V707" s="3" t="s">
        <v>3826</v>
      </c>
      <c r="W707" s="8" t="s">
        <v>7834</v>
      </c>
    </row>
    <row r="708" spans="1:23" x14ac:dyDescent="0.25">
      <c r="A708" s="2">
        <v>990</v>
      </c>
      <c r="B708" s="3" t="s">
        <v>4166</v>
      </c>
      <c r="C708" s="3">
        <v>2024</v>
      </c>
      <c r="D708" s="3" t="s">
        <v>2626</v>
      </c>
      <c r="E708" s="3" t="s">
        <v>15</v>
      </c>
      <c r="F708" s="1" t="s">
        <v>7834</v>
      </c>
      <c r="G708" s="10"/>
      <c r="H708" s="10"/>
      <c r="I708" s="10"/>
      <c r="J708" s="10"/>
      <c r="K708" s="10"/>
      <c r="L708" s="3" t="s">
        <v>4189</v>
      </c>
      <c r="M708" s="3" t="s">
        <v>4190</v>
      </c>
      <c r="N708" s="3" t="s">
        <v>4191</v>
      </c>
      <c r="O708" s="3">
        <v>28</v>
      </c>
      <c r="P708" s="3"/>
      <c r="Q708" s="3">
        <v>845</v>
      </c>
      <c r="R708" s="3" t="s">
        <v>4192</v>
      </c>
      <c r="S708" s="3" t="s">
        <v>3397</v>
      </c>
      <c r="T708" s="3" t="s">
        <v>113</v>
      </c>
      <c r="U708" s="11">
        <v>140</v>
      </c>
      <c r="V708" s="3" t="s">
        <v>4166</v>
      </c>
      <c r="W708" s="8" t="s">
        <v>7834</v>
      </c>
    </row>
    <row r="709" spans="1:23" x14ac:dyDescent="0.25">
      <c r="A709" s="2">
        <v>996</v>
      </c>
      <c r="B709" s="3" t="s">
        <v>4166</v>
      </c>
      <c r="C709" s="3">
        <v>2024</v>
      </c>
      <c r="D709" s="3" t="s">
        <v>295</v>
      </c>
      <c r="E709" s="3" t="s">
        <v>15</v>
      </c>
      <c r="F709" s="1" t="s">
        <v>7834</v>
      </c>
      <c r="G709" s="10"/>
      <c r="H709" s="10"/>
      <c r="I709" s="10"/>
      <c r="J709" s="10"/>
      <c r="K709" s="10"/>
      <c r="L709" s="3" t="s">
        <v>4212</v>
      </c>
      <c r="M709" s="3" t="s">
        <v>4213</v>
      </c>
      <c r="N709" s="3" t="s">
        <v>4214</v>
      </c>
      <c r="O709" s="3"/>
      <c r="P709" s="3"/>
      <c r="Q709" s="3">
        <v>1</v>
      </c>
      <c r="R709" s="3" t="s">
        <v>4215</v>
      </c>
      <c r="S709" s="3" t="s">
        <v>4216</v>
      </c>
      <c r="T709" s="3" t="s">
        <v>113</v>
      </c>
      <c r="U709" s="11">
        <v>141</v>
      </c>
      <c r="V709" s="3" t="s">
        <v>4166</v>
      </c>
      <c r="W709" s="8" t="s">
        <v>7834</v>
      </c>
    </row>
    <row r="710" spans="1:23" x14ac:dyDescent="0.25">
      <c r="A710" s="2">
        <v>1011</v>
      </c>
      <c r="B710" s="3" t="s">
        <v>4166</v>
      </c>
      <c r="C710" s="3">
        <v>2024</v>
      </c>
      <c r="D710" s="3" t="s">
        <v>2626</v>
      </c>
      <c r="E710" s="3" t="s">
        <v>15</v>
      </c>
      <c r="F710" s="1" t="s">
        <v>7834</v>
      </c>
      <c r="G710" s="10"/>
      <c r="H710" s="10"/>
      <c r="I710" s="10"/>
      <c r="J710" s="10"/>
      <c r="K710" s="10"/>
      <c r="L710" s="3" t="s">
        <v>4286</v>
      </c>
      <c r="M710" s="3" t="s">
        <v>4287</v>
      </c>
      <c r="N710" s="3" t="s">
        <v>4288</v>
      </c>
      <c r="O710" s="3">
        <v>15</v>
      </c>
      <c r="P710" s="3"/>
      <c r="Q710" s="3">
        <v>1286141</v>
      </c>
      <c r="R710" s="3" t="s">
        <v>4289</v>
      </c>
      <c r="S710" s="3" t="s">
        <v>4290</v>
      </c>
      <c r="T710" s="3" t="s">
        <v>113</v>
      </c>
      <c r="U710" s="11">
        <v>142</v>
      </c>
      <c r="V710" s="3" t="s">
        <v>4166</v>
      </c>
      <c r="W710" s="8" t="s">
        <v>7834</v>
      </c>
    </row>
    <row r="711" spans="1:23" x14ac:dyDescent="0.25">
      <c r="A711" s="2">
        <v>1017</v>
      </c>
      <c r="B711" s="3" t="s">
        <v>4166</v>
      </c>
      <c r="C711" s="3">
        <v>2024</v>
      </c>
      <c r="D711" s="3" t="s">
        <v>3605</v>
      </c>
      <c r="E711" s="3" t="s">
        <v>15</v>
      </c>
      <c r="F711" s="1" t="s">
        <v>7834</v>
      </c>
      <c r="G711" s="10"/>
      <c r="H711" s="10"/>
      <c r="I711" s="10"/>
      <c r="J711" s="10"/>
      <c r="K711" s="10"/>
      <c r="L711" s="3" t="s">
        <v>4315</v>
      </c>
      <c r="M711" s="3" t="s">
        <v>4316</v>
      </c>
      <c r="N711" s="3" t="s">
        <v>4317</v>
      </c>
      <c r="O711" s="3">
        <v>25</v>
      </c>
      <c r="P711" s="3">
        <v>8</v>
      </c>
      <c r="Q711" s="3">
        <v>1</v>
      </c>
      <c r="R711" s="3" t="s">
        <v>4318</v>
      </c>
      <c r="S711" s="3" t="s">
        <v>4319</v>
      </c>
      <c r="T711" s="3" t="s">
        <v>113</v>
      </c>
      <c r="U711" s="11">
        <v>143</v>
      </c>
      <c r="V711" s="3" t="s">
        <v>4166</v>
      </c>
      <c r="W711" s="8" t="s">
        <v>7834</v>
      </c>
    </row>
    <row r="712" spans="1:23" x14ac:dyDescent="0.25">
      <c r="A712" s="2">
        <v>1020</v>
      </c>
      <c r="B712" s="3" t="s">
        <v>4166</v>
      </c>
      <c r="C712" s="3">
        <v>2024</v>
      </c>
      <c r="D712" s="3" t="s">
        <v>2363</v>
      </c>
      <c r="E712" s="3" t="s">
        <v>15</v>
      </c>
      <c r="F712" s="1" t="s">
        <v>7834</v>
      </c>
      <c r="G712" s="10"/>
      <c r="H712" s="10"/>
      <c r="I712" s="10"/>
      <c r="J712" s="10"/>
      <c r="K712" s="10"/>
      <c r="L712" s="3" t="s">
        <v>4327</v>
      </c>
      <c r="M712" s="3" t="s">
        <v>4328</v>
      </c>
      <c r="N712" s="3" t="s">
        <v>4329</v>
      </c>
      <c r="O712" s="3">
        <v>11</v>
      </c>
      <c r="P712" s="3"/>
      <c r="Q712" s="3" t="s">
        <v>4330</v>
      </c>
      <c r="R712" s="3" t="s">
        <v>4331</v>
      </c>
      <c r="S712" s="3" t="s">
        <v>4332</v>
      </c>
      <c r="T712" s="3" t="s">
        <v>113</v>
      </c>
      <c r="U712" s="11">
        <v>144</v>
      </c>
      <c r="V712" s="3" t="s">
        <v>4166</v>
      </c>
      <c r="W712" s="8" t="s">
        <v>7834</v>
      </c>
    </row>
    <row r="713" spans="1:23" x14ac:dyDescent="0.25">
      <c r="A713" s="2">
        <v>1021</v>
      </c>
      <c r="B713" s="3" t="s">
        <v>4166</v>
      </c>
      <c r="C713" s="3">
        <v>2024</v>
      </c>
      <c r="D713" s="3" t="s">
        <v>800</v>
      </c>
      <c r="E713" s="3" t="s">
        <v>15</v>
      </c>
      <c r="F713" s="1" t="s">
        <v>7834</v>
      </c>
      <c r="G713" s="10"/>
      <c r="H713" s="10"/>
      <c r="I713" s="10"/>
      <c r="J713" s="10"/>
      <c r="K713" s="10"/>
      <c r="L713" s="3" t="s">
        <v>4333</v>
      </c>
      <c r="M713" s="3" t="s">
        <v>4334</v>
      </c>
      <c r="N713" s="3" t="s">
        <v>4335</v>
      </c>
      <c r="O713" s="3">
        <v>8</v>
      </c>
      <c r="P713" s="3">
        <v>5</v>
      </c>
      <c r="Q713" s="3">
        <v>390</v>
      </c>
      <c r="R713" s="3" t="s">
        <v>4336</v>
      </c>
      <c r="S713" s="3" t="s">
        <v>4337</v>
      </c>
      <c r="T713" s="3" t="s">
        <v>113</v>
      </c>
      <c r="U713" s="11">
        <v>145</v>
      </c>
      <c r="V713" s="3" t="s">
        <v>4166</v>
      </c>
      <c r="W713" s="8" t="s">
        <v>7834</v>
      </c>
    </row>
    <row r="714" spans="1:23" x14ac:dyDescent="0.25">
      <c r="A714" s="2">
        <v>1036</v>
      </c>
      <c r="B714" s="3" t="s">
        <v>4166</v>
      </c>
      <c r="C714" s="3">
        <v>2024</v>
      </c>
      <c r="D714" s="3" t="s">
        <v>3688</v>
      </c>
      <c r="E714" s="3" t="s">
        <v>15</v>
      </c>
      <c r="F714" s="1" t="s">
        <v>7834</v>
      </c>
      <c r="G714" s="10"/>
      <c r="H714" s="10"/>
      <c r="I714" s="10"/>
      <c r="J714" s="10"/>
      <c r="K714" s="10"/>
      <c r="L714" s="3" t="s">
        <v>4393</v>
      </c>
      <c r="M714" s="3" t="s">
        <v>4394</v>
      </c>
      <c r="N714" s="3" t="s">
        <v>4395</v>
      </c>
      <c r="O714" s="3">
        <v>43</v>
      </c>
      <c r="P714" s="3">
        <v>7</v>
      </c>
      <c r="Q714" s="3">
        <v>899</v>
      </c>
      <c r="R714" s="3" t="s">
        <v>4396</v>
      </c>
      <c r="S714" s="3" t="s">
        <v>4397</v>
      </c>
      <c r="T714" s="3" t="s">
        <v>113</v>
      </c>
      <c r="U714" s="11">
        <v>146</v>
      </c>
      <c r="V714" s="3" t="s">
        <v>4166</v>
      </c>
      <c r="W714" s="8" t="s">
        <v>7834</v>
      </c>
    </row>
    <row r="715" spans="1:23" x14ac:dyDescent="0.25">
      <c r="A715" s="2">
        <v>1038</v>
      </c>
      <c r="B715" s="3" t="s">
        <v>4166</v>
      </c>
      <c r="C715" s="3">
        <v>2024</v>
      </c>
      <c r="D715" s="3" t="s">
        <v>2771</v>
      </c>
      <c r="E715" s="3" t="s">
        <v>15</v>
      </c>
      <c r="F715" s="1" t="s">
        <v>7834</v>
      </c>
      <c r="G715" s="10"/>
      <c r="H715" s="10"/>
      <c r="I715" s="10"/>
      <c r="J715" s="10"/>
      <c r="K715" s="10"/>
      <c r="L715" s="3" t="s">
        <v>4404</v>
      </c>
      <c r="M715" s="3" t="s">
        <v>4405</v>
      </c>
      <c r="N715" s="3" t="s">
        <v>4406</v>
      </c>
      <c r="O715" s="3">
        <v>8</v>
      </c>
      <c r="P715" s="3">
        <v>4</v>
      </c>
      <c r="Q715" s="3">
        <v>638</v>
      </c>
      <c r="R715" s="3" t="s">
        <v>4336</v>
      </c>
      <c r="S715" s="3" t="s">
        <v>4407</v>
      </c>
      <c r="T715" s="3" t="s">
        <v>113</v>
      </c>
      <c r="U715" s="11">
        <v>147</v>
      </c>
      <c r="V715" s="3" t="s">
        <v>4166</v>
      </c>
      <c r="W715" s="8" t="s">
        <v>7834</v>
      </c>
    </row>
    <row r="716" spans="1:23" x14ac:dyDescent="0.25">
      <c r="A716" s="2">
        <v>1040</v>
      </c>
      <c r="B716" s="3" t="s">
        <v>4166</v>
      </c>
      <c r="C716" s="3">
        <v>2024</v>
      </c>
      <c r="D716" s="3" t="s">
        <v>999</v>
      </c>
      <c r="E716" s="3" t="s">
        <v>15</v>
      </c>
      <c r="F716" s="1" t="s">
        <v>7834</v>
      </c>
      <c r="G716" s="10"/>
      <c r="H716" s="10"/>
      <c r="I716" s="10"/>
      <c r="J716" s="10"/>
      <c r="K716" s="10"/>
      <c r="L716" s="3" t="s">
        <v>4413</v>
      </c>
      <c r="M716" s="3" t="s">
        <v>4414</v>
      </c>
      <c r="N716" s="3" t="s">
        <v>4415</v>
      </c>
      <c r="O716" s="3">
        <v>46</v>
      </c>
      <c r="P716" s="3"/>
      <c r="Q716" s="3">
        <v>3471</v>
      </c>
      <c r="R716" s="3" t="s">
        <v>4416</v>
      </c>
      <c r="S716" s="3" t="s">
        <v>4417</v>
      </c>
      <c r="T716" s="3" t="s">
        <v>113</v>
      </c>
      <c r="U716" s="11">
        <v>148</v>
      </c>
      <c r="V716" s="3" t="s">
        <v>4166</v>
      </c>
      <c r="W716" s="8" t="s">
        <v>7834</v>
      </c>
    </row>
    <row r="717" spans="1:23" x14ac:dyDescent="0.25">
      <c r="A717" s="2">
        <v>1045</v>
      </c>
      <c r="B717" s="3" t="s">
        <v>4166</v>
      </c>
      <c r="C717" s="3">
        <v>2024</v>
      </c>
      <c r="D717" s="3" t="s">
        <v>2051</v>
      </c>
      <c r="E717" s="3" t="s">
        <v>15</v>
      </c>
      <c r="F717" s="1" t="s">
        <v>7834</v>
      </c>
      <c r="G717" s="10"/>
      <c r="H717" s="10"/>
      <c r="I717" s="10"/>
      <c r="J717" s="10"/>
      <c r="K717" s="10"/>
      <c r="L717" s="3" t="s">
        <v>4435</v>
      </c>
      <c r="M717" s="3" t="s">
        <v>4436</v>
      </c>
      <c r="N717" s="3" t="s">
        <v>4437</v>
      </c>
      <c r="O717" s="3">
        <v>136</v>
      </c>
      <c r="P717" s="3">
        <v>1</v>
      </c>
      <c r="Q717" s="3">
        <v>8</v>
      </c>
      <c r="R717" s="3" t="s">
        <v>4438</v>
      </c>
      <c r="S717" s="3" t="s">
        <v>4439</v>
      </c>
      <c r="T717" s="3" t="s">
        <v>113</v>
      </c>
      <c r="U717" s="11">
        <v>149</v>
      </c>
      <c r="V717" s="3" t="s">
        <v>4166</v>
      </c>
      <c r="W717" s="8" t="s">
        <v>7834</v>
      </c>
    </row>
    <row r="718" spans="1:23" x14ac:dyDescent="0.25">
      <c r="A718" s="2">
        <v>1055</v>
      </c>
      <c r="B718" s="3" t="s">
        <v>4166</v>
      </c>
      <c r="C718" s="3">
        <v>2024</v>
      </c>
      <c r="D718" s="3" t="s">
        <v>1533</v>
      </c>
      <c r="E718" s="3" t="s">
        <v>15</v>
      </c>
      <c r="F718" s="1" t="s">
        <v>7834</v>
      </c>
      <c r="G718" s="10"/>
      <c r="H718" s="10"/>
      <c r="I718" s="10"/>
      <c r="J718" s="10"/>
      <c r="K718" s="10"/>
      <c r="L718" s="3" t="s">
        <v>4484</v>
      </c>
      <c r="M718" s="3" t="s">
        <v>4485</v>
      </c>
      <c r="N718" s="3" t="s">
        <v>4317</v>
      </c>
      <c r="O718" s="3">
        <v>26</v>
      </c>
      <c r="P718" s="3">
        <v>2</v>
      </c>
      <c r="Q718" s="3">
        <v>105409</v>
      </c>
      <c r="R718" s="3" t="s">
        <v>4318</v>
      </c>
      <c r="S718" s="3" t="s">
        <v>4486</v>
      </c>
      <c r="T718" s="3" t="s">
        <v>113</v>
      </c>
      <c r="U718" s="11">
        <v>150</v>
      </c>
      <c r="V718" s="3" t="s">
        <v>4166</v>
      </c>
      <c r="W718" s="8" t="s">
        <v>7834</v>
      </c>
    </row>
    <row r="719" spans="1:23" x14ac:dyDescent="0.25">
      <c r="A719" s="2">
        <v>1068</v>
      </c>
      <c r="B719" s="3" t="s">
        <v>4536</v>
      </c>
      <c r="C719" s="3">
        <v>2024</v>
      </c>
      <c r="D719" s="3" t="s">
        <v>215</v>
      </c>
      <c r="E719" s="3" t="s">
        <v>15</v>
      </c>
      <c r="F719" s="1" t="s">
        <v>7834</v>
      </c>
      <c r="G719" s="10"/>
      <c r="H719" s="10"/>
      <c r="I719" s="10"/>
      <c r="J719" s="10"/>
      <c r="K719" s="10"/>
      <c r="L719" s="3" t="s">
        <v>754</v>
      </c>
      <c r="M719" s="3" t="s">
        <v>4537</v>
      </c>
      <c r="N719" s="3" t="s">
        <v>4538</v>
      </c>
      <c r="O719" s="3">
        <v>75</v>
      </c>
      <c r="P719" s="3"/>
      <c r="Q719" s="3"/>
      <c r="R719" s="3" t="s">
        <v>4539</v>
      </c>
      <c r="S719" s="3" t="s">
        <v>4540</v>
      </c>
      <c r="T719" s="3" t="s">
        <v>113</v>
      </c>
      <c r="U719" s="11">
        <v>151</v>
      </c>
      <c r="V719" s="3" t="s">
        <v>4536</v>
      </c>
      <c r="W719" s="8" t="s">
        <v>7834</v>
      </c>
    </row>
    <row r="720" spans="1:23" x14ac:dyDescent="0.25">
      <c r="A720" s="2">
        <v>1083</v>
      </c>
      <c r="B720" s="3" t="s">
        <v>4536</v>
      </c>
      <c r="C720" s="3">
        <v>2024</v>
      </c>
      <c r="D720" s="3" t="s">
        <v>702</v>
      </c>
      <c r="E720" s="3" t="s">
        <v>15</v>
      </c>
      <c r="F720" s="1" t="s">
        <v>7834</v>
      </c>
      <c r="G720" s="10"/>
      <c r="H720" s="10"/>
      <c r="I720" s="10"/>
      <c r="J720" s="10"/>
      <c r="K720" s="10"/>
      <c r="L720" s="3" t="s">
        <v>769</v>
      </c>
      <c r="M720" s="3" t="s">
        <v>4597</v>
      </c>
      <c r="N720" s="3" t="s">
        <v>4598</v>
      </c>
      <c r="O720" s="3"/>
      <c r="P720" s="3"/>
      <c r="Q720" s="3"/>
      <c r="R720" s="3" t="s">
        <v>772</v>
      </c>
      <c r="S720" s="3" t="s">
        <v>4599</v>
      </c>
      <c r="T720" s="3" t="s">
        <v>113</v>
      </c>
      <c r="U720" s="11">
        <v>152</v>
      </c>
      <c r="V720" s="3" t="s">
        <v>4536</v>
      </c>
      <c r="W720" s="8" t="s">
        <v>7834</v>
      </c>
    </row>
    <row r="721" spans="1:23" x14ac:dyDescent="0.25">
      <c r="A721" s="2">
        <v>1084</v>
      </c>
      <c r="B721" s="3" t="s">
        <v>4536</v>
      </c>
      <c r="C721" s="3">
        <v>2024</v>
      </c>
      <c r="D721" s="3" t="s">
        <v>3450</v>
      </c>
      <c r="E721" s="3" t="s">
        <v>15</v>
      </c>
      <c r="F721" s="1" t="s">
        <v>7834</v>
      </c>
      <c r="G721" s="10"/>
      <c r="H721" s="10"/>
      <c r="I721" s="10"/>
      <c r="J721" s="10"/>
      <c r="K721" s="10"/>
      <c r="L721" s="3" t="s">
        <v>4600</v>
      </c>
      <c r="M721" s="3" t="s">
        <v>4601</v>
      </c>
      <c r="N721" s="3" t="s">
        <v>4602</v>
      </c>
      <c r="O721" s="3">
        <v>13</v>
      </c>
      <c r="P721" s="3">
        <v>4</v>
      </c>
      <c r="Q721" s="3">
        <v>228</v>
      </c>
      <c r="R721" s="3" t="s">
        <v>4603</v>
      </c>
      <c r="S721" s="3" t="s">
        <v>4604</v>
      </c>
      <c r="T721" s="3" t="s">
        <v>113</v>
      </c>
      <c r="U721" s="11">
        <v>153</v>
      </c>
      <c r="V721" s="3" t="s">
        <v>4536</v>
      </c>
      <c r="W721" s="8" t="s">
        <v>7834</v>
      </c>
    </row>
    <row r="722" spans="1:23" x14ac:dyDescent="0.25">
      <c r="A722" s="2">
        <v>1096</v>
      </c>
      <c r="B722" s="3" t="s">
        <v>4536</v>
      </c>
      <c r="C722" s="3">
        <v>2024</v>
      </c>
      <c r="D722" s="3" t="s">
        <v>573</v>
      </c>
      <c r="E722" s="3" t="s">
        <v>15</v>
      </c>
      <c r="F722" s="1" t="s">
        <v>7834</v>
      </c>
      <c r="G722" s="10"/>
      <c r="H722" s="10"/>
      <c r="I722" s="10"/>
      <c r="J722" s="10"/>
      <c r="K722" s="10"/>
      <c r="L722" s="3" t="s">
        <v>574</v>
      </c>
      <c r="M722" s="3" t="s">
        <v>4653</v>
      </c>
      <c r="N722" s="3" t="s">
        <v>4654</v>
      </c>
      <c r="O722" s="3">
        <v>15</v>
      </c>
      <c r="P722" s="3"/>
      <c r="Q722" s="3"/>
      <c r="R722" s="3" t="s">
        <v>577</v>
      </c>
      <c r="S722" s="3" t="s">
        <v>578</v>
      </c>
      <c r="T722" s="3" t="s">
        <v>113</v>
      </c>
      <c r="U722" s="11">
        <v>154</v>
      </c>
      <c r="V722" s="3" t="s">
        <v>4536</v>
      </c>
      <c r="W722" s="8" t="s">
        <v>7834</v>
      </c>
    </row>
    <row r="723" spans="1:23" x14ac:dyDescent="0.25">
      <c r="A723" s="2">
        <v>1101</v>
      </c>
      <c r="B723" s="3" t="s">
        <v>4536</v>
      </c>
      <c r="C723" s="3">
        <v>2024</v>
      </c>
      <c r="D723" s="3" t="s">
        <v>120</v>
      </c>
      <c r="E723" s="3" t="s">
        <v>15</v>
      </c>
      <c r="F723" s="1" t="s">
        <v>7834</v>
      </c>
      <c r="G723" s="10"/>
      <c r="H723" s="10"/>
      <c r="I723" s="10"/>
      <c r="J723" s="10"/>
      <c r="K723" s="10"/>
      <c r="L723" s="3" t="s">
        <v>676</v>
      </c>
      <c r="M723" s="3" t="s">
        <v>4672</v>
      </c>
      <c r="N723" s="3" t="s">
        <v>678</v>
      </c>
      <c r="O723" s="3">
        <v>10</v>
      </c>
      <c r="P723" s="3"/>
      <c r="Q723" s="3"/>
      <c r="R723" s="3" t="s">
        <v>4673</v>
      </c>
      <c r="S723" s="3" t="s">
        <v>680</v>
      </c>
      <c r="T723" s="3" t="s">
        <v>113</v>
      </c>
      <c r="U723" s="11">
        <v>155</v>
      </c>
      <c r="V723" s="3" t="s">
        <v>4536</v>
      </c>
      <c r="W723" s="8" t="s">
        <v>7834</v>
      </c>
    </row>
    <row r="724" spans="1:23" x14ac:dyDescent="0.25">
      <c r="A724" s="2">
        <v>1108</v>
      </c>
      <c r="B724" s="3" t="s">
        <v>4536</v>
      </c>
      <c r="C724" s="3">
        <v>2024</v>
      </c>
      <c r="D724" s="3" t="s">
        <v>1022</v>
      </c>
      <c r="E724" s="3" t="s">
        <v>15</v>
      </c>
      <c r="F724" s="1" t="s">
        <v>7834</v>
      </c>
      <c r="G724" s="10"/>
      <c r="H724" s="10"/>
      <c r="I724" s="10"/>
      <c r="J724" s="10"/>
      <c r="K724" s="10"/>
      <c r="L724" s="3" t="s">
        <v>4690</v>
      </c>
      <c r="M724" s="3" t="s">
        <v>504</v>
      </c>
      <c r="N724" s="3" t="s">
        <v>4691</v>
      </c>
      <c r="O724" s="3"/>
      <c r="P724" s="3"/>
      <c r="Q724" s="3">
        <v>1</v>
      </c>
      <c r="R724" s="3" t="s">
        <v>4692</v>
      </c>
      <c r="S724" s="3" t="s">
        <v>4693</v>
      </c>
      <c r="T724" s="3" t="s">
        <v>113</v>
      </c>
      <c r="U724" s="11">
        <v>156</v>
      </c>
      <c r="V724" s="3" t="s">
        <v>4536</v>
      </c>
      <c r="W724" s="8" t="s">
        <v>7834</v>
      </c>
    </row>
    <row r="725" spans="1:23" x14ac:dyDescent="0.25">
      <c r="A725" s="2">
        <v>1118</v>
      </c>
      <c r="B725" s="3" t="s">
        <v>4536</v>
      </c>
      <c r="C725" s="3">
        <v>2024</v>
      </c>
      <c r="D725" s="3" t="s">
        <v>4726</v>
      </c>
      <c r="E725" s="3" t="s">
        <v>15</v>
      </c>
      <c r="F725" s="1" t="s">
        <v>7834</v>
      </c>
      <c r="G725" s="10"/>
      <c r="H725" s="10"/>
      <c r="I725" s="10"/>
      <c r="J725" s="10"/>
      <c r="K725" s="10"/>
      <c r="L725" s="3" t="s">
        <v>4727</v>
      </c>
      <c r="M725" s="3" t="s">
        <v>4728</v>
      </c>
      <c r="N725" s="3" t="s">
        <v>4729</v>
      </c>
      <c r="O725" s="3">
        <v>49</v>
      </c>
      <c r="P725" s="3">
        <v>4</v>
      </c>
      <c r="Q725" s="3">
        <v>266</v>
      </c>
      <c r="R725" s="3" t="s">
        <v>4730</v>
      </c>
      <c r="S725" s="3" t="s">
        <v>4731</v>
      </c>
      <c r="T725" s="3" t="s">
        <v>113</v>
      </c>
      <c r="U725" s="11">
        <v>157</v>
      </c>
      <c r="V725" s="3" t="s">
        <v>4536</v>
      </c>
      <c r="W725" s="8" t="s">
        <v>7834</v>
      </c>
    </row>
    <row r="726" spans="1:23" x14ac:dyDescent="0.25">
      <c r="A726" s="2">
        <v>1126</v>
      </c>
      <c r="B726" s="3" t="s">
        <v>4536</v>
      </c>
      <c r="C726" s="3">
        <v>2024</v>
      </c>
      <c r="D726" s="3" t="s">
        <v>63</v>
      </c>
      <c r="E726" s="3" t="s">
        <v>15</v>
      </c>
      <c r="F726" s="1" t="s">
        <v>7834</v>
      </c>
      <c r="G726" s="10"/>
      <c r="H726" s="10"/>
      <c r="I726" s="10"/>
      <c r="J726" s="10"/>
      <c r="K726" s="10"/>
      <c r="L726" s="3" t="s">
        <v>4749</v>
      </c>
      <c r="M726" s="3" t="s">
        <v>4750</v>
      </c>
      <c r="N726" s="3" t="s">
        <v>4751</v>
      </c>
      <c r="O726" s="3">
        <v>65</v>
      </c>
      <c r="P726" s="3">
        <v>2</v>
      </c>
      <c r="Q726" s="3">
        <v>136</v>
      </c>
      <c r="R726" s="3" t="s">
        <v>4752</v>
      </c>
      <c r="S726" s="3" t="s">
        <v>4753</v>
      </c>
      <c r="T726" s="3" t="s">
        <v>113</v>
      </c>
      <c r="U726" s="11">
        <v>158</v>
      </c>
      <c r="V726" s="3" t="s">
        <v>4536</v>
      </c>
      <c r="W726" s="8" t="s">
        <v>7834</v>
      </c>
    </row>
    <row r="727" spans="1:23" x14ac:dyDescent="0.25">
      <c r="A727" s="2">
        <v>1137</v>
      </c>
      <c r="B727" s="3" t="s">
        <v>4536</v>
      </c>
      <c r="C727" s="3">
        <v>2024</v>
      </c>
      <c r="D727" s="3" t="s">
        <v>2771</v>
      </c>
      <c r="E727" s="3" t="s">
        <v>15</v>
      </c>
      <c r="F727" s="1" t="s">
        <v>7834</v>
      </c>
      <c r="G727" s="10"/>
      <c r="H727" s="10"/>
      <c r="I727" s="10"/>
      <c r="J727" s="10"/>
      <c r="K727" s="10"/>
      <c r="L727" s="3" t="s">
        <v>4788</v>
      </c>
      <c r="M727" s="3" t="s">
        <v>4405</v>
      </c>
      <c r="N727" s="3" t="s">
        <v>4789</v>
      </c>
      <c r="O727" s="3"/>
      <c r="P727" s="3"/>
      <c r="Q727" s="3">
        <v>1</v>
      </c>
      <c r="R727" s="3" t="s">
        <v>4790</v>
      </c>
      <c r="S727" s="3" t="s">
        <v>4407</v>
      </c>
      <c r="T727" s="3" t="s">
        <v>113</v>
      </c>
      <c r="U727" s="11">
        <v>159</v>
      </c>
      <c r="V727" s="3" t="s">
        <v>4536</v>
      </c>
      <c r="W727" s="8" t="s">
        <v>7834</v>
      </c>
    </row>
    <row r="728" spans="1:23" x14ac:dyDescent="0.25">
      <c r="A728" s="2">
        <v>1148</v>
      </c>
      <c r="B728" s="3" t="s">
        <v>4536</v>
      </c>
      <c r="C728" s="3">
        <v>2024</v>
      </c>
      <c r="D728" s="3" t="s">
        <v>59</v>
      </c>
      <c r="E728" s="3" t="s">
        <v>15</v>
      </c>
      <c r="F728" s="1" t="s">
        <v>7834</v>
      </c>
      <c r="G728" s="10"/>
      <c r="H728" s="10"/>
      <c r="I728" s="10"/>
      <c r="J728" s="10"/>
      <c r="K728" s="10"/>
      <c r="L728" s="3" t="s">
        <v>4828</v>
      </c>
      <c r="M728" s="3" t="s">
        <v>4829</v>
      </c>
      <c r="N728" s="3" t="s">
        <v>4830</v>
      </c>
      <c r="O728" s="3">
        <v>29</v>
      </c>
      <c r="P728" s="3">
        <v>2</v>
      </c>
      <c r="Q728" s="3">
        <v>126</v>
      </c>
      <c r="R728" s="3" t="s">
        <v>4831</v>
      </c>
      <c r="S728" s="3" t="s">
        <v>4832</v>
      </c>
      <c r="T728" s="3" t="s">
        <v>113</v>
      </c>
      <c r="U728" s="11">
        <v>160</v>
      </c>
      <c r="V728" s="3" t="s">
        <v>4536</v>
      </c>
      <c r="W728" s="8" t="s">
        <v>7834</v>
      </c>
    </row>
    <row r="729" spans="1:23" x14ac:dyDescent="0.25">
      <c r="A729" s="2">
        <v>1155</v>
      </c>
      <c r="B729" s="3" t="s">
        <v>4536</v>
      </c>
      <c r="C729" s="3">
        <v>2024</v>
      </c>
      <c r="D729" s="3" t="s">
        <v>4849</v>
      </c>
      <c r="E729" s="3" t="s">
        <v>15</v>
      </c>
      <c r="F729" s="1" t="s">
        <v>7834</v>
      </c>
      <c r="G729" s="10"/>
      <c r="H729" s="10"/>
      <c r="I729" s="10"/>
      <c r="J729" s="10"/>
      <c r="K729" s="10"/>
      <c r="L729" s="3" t="s">
        <v>4850</v>
      </c>
      <c r="M729" s="3" t="s">
        <v>4851</v>
      </c>
      <c r="N729" s="3" t="s">
        <v>576</v>
      </c>
      <c r="O729" s="3">
        <v>15</v>
      </c>
      <c r="P729" s="3"/>
      <c r="Q729" s="3"/>
      <c r="R729" s="3" t="s">
        <v>4852</v>
      </c>
      <c r="S729" s="3" t="s">
        <v>4853</v>
      </c>
      <c r="T729" s="3" t="s">
        <v>113</v>
      </c>
      <c r="U729" s="11">
        <v>161</v>
      </c>
      <c r="V729" s="3" t="s">
        <v>4536</v>
      </c>
      <c r="W729" s="8" t="s">
        <v>7834</v>
      </c>
    </row>
    <row r="730" spans="1:23" x14ac:dyDescent="0.25">
      <c r="A730" s="2">
        <v>1159</v>
      </c>
      <c r="B730" s="3" t="s">
        <v>4536</v>
      </c>
      <c r="C730" s="3">
        <v>2024</v>
      </c>
      <c r="D730" s="3" t="s">
        <v>1960</v>
      </c>
      <c r="E730" s="3" t="s">
        <v>15</v>
      </c>
      <c r="F730" s="1" t="s">
        <v>7834</v>
      </c>
      <c r="G730" s="10"/>
      <c r="H730" s="10"/>
      <c r="I730" s="10"/>
      <c r="J730" s="10"/>
      <c r="K730" s="10"/>
      <c r="L730" s="3" t="s">
        <v>4866</v>
      </c>
      <c r="M730" s="3" t="s">
        <v>4867</v>
      </c>
      <c r="N730" s="3" t="s">
        <v>4868</v>
      </c>
      <c r="O730" s="3">
        <v>24</v>
      </c>
      <c r="P730" s="3">
        <v>2</v>
      </c>
      <c r="Q730" s="3" t="s">
        <v>4869</v>
      </c>
      <c r="R730" s="3" t="s">
        <v>4870</v>
      </c>
      <c r="S730" s="3" t="s">
        <v>4871</v>
      </c>
      <c r="T730" s="3" t="s">
        <v>113</v>
      </c>
      <c r="U730" s="11">
        <v>162</v>
      </c>
      <c r="V730" s="3" t="s">
        <v>4536</v>
      </c>
      <c r="W730" s="8" t="s">
        <v>7834</v>
      </c>
    </row>
    <row r="731" spans="1:23" x14ac:dyDescent="0.25">
      <c r="A731" s="2">
        <v>1165</v>
      </c>
      <c r="B731" s="3" t="s">
        <v>4536</v>
      </c>
      <c r="C731" s="3">
        <v>2024</v>
      </c>
      <c r="D731" s="3" t="s">
        <v>4888</v>
      </c>
      <c r="E731" s="3" t="s">
        <v>15</v>
      </c>
      <c r="F731" s="1" t="s">
        <v>7834</v>
      </c>
      <c r="G731" s="10"/>
      <c r="H731" s="10"/>
      <c r="I731" s="10"/>
      <c r="J731" s="10"/>
      <c r="K731" s="10"/>
      <c r="L731" s="3" t="s">
        <v>4889</v>
      </c>
      <c r="M731" s="3" t="s">
        <v>4890</v>
      </c>
      <c r="N731" s="3" t="s">
        <v>4891</v>
      </c>
      <c r="O731" s="3">
        <v>43</v>
      </c>
      <c r="P731" s="3"/>
      <c r="Q731" s="3">
        <v>19918</v>
      </c>
      <c r="R731" s="3" t="s">
        <v>4892</v>
      </c>
      <c r="S731" s="3" t="s">
        <v>4893</v>
      </c>
      <c r="T731" s="3" t="s">
        <v>113</v>
      </c>
      <c r="U731" s="11">
        <v>163</v>
      </c>
      <c r="V731" s="3" t="s">
        <v>4536</v>
      </c>
      <c r="W731" s="8" t="s">
        <v>7834</v>
      </c>
    </row>
    <row r="732" spans="1:23" x14ac:dyDescent="0.25">
      <c r="A732" s="2">
        <v>1170</v>
      </c>
      <c r="B732" s="3" t="s">
        <v>4536</v>
      </c>
      <c r="C732" s="3">
        <v>2024</v>
      </c>
      <c r="D732" s="3" t="s">
        <v>14</v>
      </c>
      <c r="E732" s="3" t="s">
        <v>15</v>
      </c>
      <c r="F732" s="1" t="s">
        <v>7834</v>
      </c>
      <c r="G732" s="10"/>
      <c r="H732" s="10"/>
      <c r="I732" s="10"/>
      <c r="J732" s="10"/>
      <c r="K732" s="10"/>
      <c r="L732" s="3" t="s">
        <v>4906</v>
      </c>
      <c r="M732" s="3" t="s">
        <v>4907</v>
      </c>
      <c r="N732" s="3" t="s">
        <v>4908</v>
      </c>
      <c r="O732" s="3">
        <v>34</v>
      </c>
      <c r="P732" s="3">
        <v>1</v>
      </c>
      <c r="Q732" s="3">
        <v>11</v>
      </c>
      <c r="R732" s="3" t="s">
        <v>4909</v>
      </c>
      <c r="S732" s="3" t="s">
        <v>4910</v>
      </c>
      <c r="T732" s="3" t="s">
        <v>113</v>
      </c>
      <c r="U732" s="11">
        <v>164</v>
      </c>
      <c r="V732" s="3" t="s">
        <v>4536</v>
      </c>
      <c r="W732" s="8" t="s">
        <v>7834</v>
      </c>
    </row>
    <row r="733" spans="1:23" x14ac:dyDescent="0.25">
      <c r="A733" s="2">
        <v>1171</v>
      </c>
      <c r="B733" s="3" t="s">
        <v>4536</v>
      </c>
      <c r="C733" s="3">
        <v>2024</v>
      </c>
      <c r="D733" s="3" t="s">
        <v>2363</v>
      </c>
      <c r="E733" s="3" t="s">
        <v>15</v>
      </c>
      <c r="F733" s="1" t="s">
        <v>7834</v>
      </c>
      <c r="G733" s="10"/>
      <c r="H733" s="10"/>
      <c r="I733" s="10"/>
      <c r="J733" s="10"/>
      <c r="K733" s="10"/>
      <c r="L733" s="3" t="s">
        <v>4911</v>
      </c>
      <c r="M733" s="3" t="s">
        <v>4912</v>
      </c>
      <c r="N733" s="3" t="s">
        <v>4329</v>
      </c>
      <c r="O733" s="3">
        <v>11</v>
      </c>
      <c r="P733" s="3"/>
      <c r="Q733" s="3" t="s">
        <v>4330</v>
      </c>
      <c r="R733" s="3" t="s">
        <v>4913</v>
      </c>
      <c r="S733" s="3" t="s">
        <v>4332</v>
      </c>
      <c r="T733" s="3" t="s">
        <v>113</v>
      </c>
      <c r="U733" s="11">
        <v>165</v>
      </c>
      <c r="V733" s="3" t="s">
        <v>4536</v>
      </c>
      <c r="W733" s="8" t="s">
        <v>7834</v>
      </c>
    </row>
    <row r="734" spans="1:23" x14ac:dyDescent="0.25">
      <c r="A734" s="2">
        <v>1174</v>
      </c>
      <c r="B734" s="3" t="s">
        <v>4536</v>
      </c>
      <c r="C734" s="3">
        <v>2024</v>
      </c>
      <c r="D734" s="3" t="s">
        <v>639</v>
      </c>
      <c r="E734" s="3" t="s">
        <v>15</v>
      </c>
      <c r="F734" s="1" t="s">
        <v>7834</v>
      </c>
      <c r="G734" s="10"/>
      <c r="H734" s="10"/>
      <c r="I734" s="10"/>
      <c r="J734" s="10"/>
      <c r="K734" s="10"/>
      <c r="L734" s="3" t="s">
        <v>640</v>
      </c>
      <c r="M734" s="3" t="s">
        <v>4920</v>
      </c>
      <c r="N734" s="3" t="s">
        <v>4921</v>
      </c>
      <c r="O734" s="3">
        <v>25</v>
      </c>
      <c r="P734" s="3">
        <v>5</v>
      </c>
      <c r="Q734" s="3">
        <v>628</v>
      </c>
      <c r="R734" s="3" t="s">
        <v>643</v>
      </c>
      <c r="S734" s="3" t="s">
        <v>4922</v>
      </c>
      <c r="T734" s="3" t="s">
        <v>113</v>
      </c>
      <c r="U734" s="11">
        <v>166</v>
      </c>
      <c r="V734" s="3" t="s">
        <v>4536</v>
      </c>
      <c r="W734" s="8" t="s">
        <v>7834</v>
      </c>
    </row>
    <row r="735" spans="1:23" x14ac:dyDescent="0.25">
      <c r="A735" s="2">
        <v>1186</v>
      </c>
      <c r="B735" s="3" t="s">
        <v>4536</v>
      </c>
      <c r="C735" s="3">
        <v>2024</v>
      </c>
      <c r="D735" s="3" t="s">
        <v>38</v>
      </c>
      <c r="E735" s="3" t="s">
        <v>15</v>
      </c>
      <c r="F735" s="1" t="s">
        <v>7834</v>
      </c>
      <c r="G735" s="10"/>
      <c r="H735" s="10"/>
      <c r="I735" s="10"/>
      <c r="J735" s="10"/>
      <c r="K735" s="10"/>
      <c r="L735" s="3" t="s">
        <v>4970</v>
      </c>
      <c r="M735" s="3" t="s">
        <v>4971</v>
      </c>
      <c r="N735" s="3" t="s">
        <v>4972</v>
      </c>
      <c r="O735" s="3"/>
      <c r="P735" s="3"/>
      <c r="Q735" s="3"/>
      <c r="R735" s="3" t="s">
        <v>4973</v>
      </c>
      <c r="S735" s="3" t="s">
        <v>4974</v>
      </c>
      <c r="T735" s="3" t="s">
        <v>113</v>
      </c>
      <c r="U735" s="11">
        <v>167</v>
      </c>
      <c r="V735" s="3" t="s">
        <v>4536</v>
      </c>
      <c r="W735" s="8" t="s">
        <v>7834</v>
      </c>
    </row>
    <row r="736" spans="1:23" x14ac:dyDescent="0.25">
      <c r="A736" s="2">
        <v>1187</v>
      </c>
      <c r="B736" s="3" t="s">
        <v>4536</v>
      </c>
      <c r="C736" s="3">
        <v>2024</v>
      </c>
      <c r="D736" s="3" t="s">
        <v>3930</v>
      </c>
      <c r="E736" s="3" t="s">
        <v>15</v>
      </c>
      <c r="F736" s="1" t="s">
        <v>7834</v>
      </c>
      <c r="G736" s="10"/>
      <c r="H736" s="10"/>
      <c r="I736" s="10"/>
      <c r="J736" s="10"/>
      <c r="K736" s="10"/>
      <c r="L736" s="3" t="s">
        <v>4975</v>
      </c>
      <c r="M736" s="3" t="s">
        <v>4976</v>
      </c>
      <c r="N736" s="3" t="s">
        <v>4972</v>
      </c>
      <c r="O736" s="3">
        <v>29</v>
      </c>
      <c r="P736" s="3">
        <v>12</v>
      </c>
      <c r="Q736" s="3">
        <v>1377</v>
      </c>
      <c r="R736" s="3" t="s">
        <v>4977</v>
      </c>
      <c r="S736" s="3" t="s">
        <v>4978</v>
      </c>
      <c r="T736" s="3" t="s">
        <v>113</v>
      </c>
      <c r="U736" s="11">
        <v>168</v>
      </c>
      <c r="V736" s="3" t="s">
        <v>4536</v>
      </c>
      <c r="W736" s="8" t="s">
        <v>7834</v>
      </c>
    </row>
    <row r="737" spans="1:23" x14ac:dyDescent="0.25">
      <c r="A737" s="2">
        <v>1188</v>
      </c>
      <c r="B737" s="3" t="s">
        <v>4536</v>
      </c>
      <c r="C737" s="3">
        <v>2024</v>
      </c>
      <c r="D737" s="3" t="s">
        <v>602</v>
      </c>
      <c r="E737" s="3" t="s">
        <v>15</v>
      </c>
      <c r="F737" s="1" t="s">
        <v>7834</v>
      </c>
      <c r="G737" s="10"/>
      <c r="H737" s="10"/>
      <c r="I737" s="10"/>
      <c r="J737" s="10"/>
      <c r="K737" s="10"/>
      <c r="L737" s="3" t="s">
        <v>4979</v>
      </c>
      <c r="M737" s="3" t="s">
        <v>4980</v>
      </c>
      <c r="N737" s="3" t="s">
        <v>4691</v>
      </c>
      <c r="O737" s="3">
        <v>37</v>
      </c>
      <c r="P737" s="3">
        <v>7</v>
      </c>
      <c r="Q737" s="3">
        <v>1579</v>
      </c>
      <c r="R737" s="3" t="s">
        <v>4981</v>
      </c>
      <c r="S737" s="3" t="s">
        <v>607</v>
      </c>
      <c r="T737" s="3" t="s">
        <v>113</v>
      </c>
      <c r="U737" s="11">
        <v>169</v>
      </c>
      <c r="V737" s="3" t="s">
        <v>4536</v>
      </c>
      <c r="W737" s="8" t="s">
        <v>7834</v>
      </c>
    </row>
    <row r="738" spans="1:23" x14ac:dyDescent="0.25">
      <c r="A738" s="2">
        <v>1169</v>
      </c>
      <c r="B738" s="3" t="s">
        <v>4536</v>
      </c>
      <c r="C738" s="3">
        <v>2024</v>
      </c>
      <c r="D738" s="3" t="s">
        <v>660</v>
      </c>
      <c r="E738" s="3" t="s">
        <v>206</v>
      </c>
      <c r="F738" s="1" t="s">
        <v>7834</v>
      </c>
      <c r="G738" s="10"/>
      <c r="H738" s="10"/>
      <c r="I738" s="10"/>
      <c r="J738" s="10"/>
      <c r="K738" s="10"/>
      <c r="L738" s="3" t="s">
        <v>4903</v>
      </c>
      <c r="M738" s="3" t="s">
        <v>4904</v>
      </c>
      <c r="N738" s="3" t="s">
        <v>663</v>
      </c>
      <c r="O738" s="3">
        <v>397</v>
      </c>
      <c r="P738" s="3">
        <v>11</v>
      </c>
      <c r="Q738" s="3">
        <v>8259</v>
      </c>
      <c r="R738" s="3" t="s">
        <v>4905</v>
      </c>
      <c r="S738" s="3" t="s">
        <v>665</v>
      </c>
      <c r="T738" s="3" t="s">
        <v>113</v>
      </c>
      <c r="U738" s="11">
        <v>170</v>
      </c>
      <c r="V738" s="3" t="s">
        <v>4536</v>
      </c>
      <c r="W738" s="8" t="s">
        <v>7834</v>
      </c>
    </row>
    <row r="739" spans="1:23" x14ac:dyDescent="0.25">
      <c r="A739" s="2">
        <v>1184</v>
      </c>
      <c r="B739" s="3" t="s">
        <v>4536</v>
      </c>
      <c r="C739" s="3">
        <v>2024</v>
      </c>
      <c r="D739" s="3" t="s">
        <v>596</v>
      </c>
      <c r="E739" s="3" t="s">
        <v>206</v>
      </c>
      <c r="F739" s="1" t="s">
        <v>7834</v>
      </c>
      <c r="G739" s="10"/>
      <c r="H739" s="10"/>
      <c r="I739" s="10"/>
      <c r="J739" s="10"/>
      <c r="K739" s="10">
        <v>20</v>
      </c>
      <c r="L739" s="3" t="s">
        <v>4961</v>
      </c>
      <c r="M739" s="3" t="s">
        <v>598</v>
      </c>
      <c r="N739" s="3" t="s">
        <v>4962</v>
      </c>
      <c r="O739" s="3"/>
      <c r="P739" s="3"/>
      <c r="Q739" s="3"/>
      <c r="R739" s="3" t="s">
        <v>4963</v>
      </c>
      <c r="S739" s="3" t="s">
        <v>4964</v>
      </c>
      <c r="T739" s="3" t="s">
        <v>113</v>
      </c>
      <c r="U739" s="11">
        <v>171</v>
      </c>
      <c r="V739" s="3" t="s">
        <v>4536</v>
      </c>
      <c r="W739" s="8" t="s">
        <v>7834</v>
      </c>
    </row>
    <row r="740" spans="1:23" x14ac:dyDescent="0.25">
      <c r="A740" s="2">
        <v>1199</v>
      </c>
      <c r="B740" s="3" t="s">
        <v>4986</v>
      </c>
      <c r="C740" s="3">
        <v>2024</v>
      </c>
      <c r="D740" s="3" t="s">
        <v>1395</v>
      </c>
      <c r="E740" s="3" t="s">
        <v>15</v>
      </c>
      <c r="F740" s="1" t="s">
        <v>7834</v>
      </c>
      <c r="G740" s="10"/>
      <c r="H740" s="10"/>
      <c r="I740" s="10"/>
      <c r="J740" s="10"/>
      <c r="K740" s="10"/>
      <c r="L740" s="3" t="s">
        <v>5001</v>
      </c>
      <c r="M740" s="3" t="s">
        <v>5002</v>
      </c>
      <c r="N740" s="3" t="s">
        <v>5003</v>
      </c>
      <c r="O740" s="3"/>
      <c r="P740" s="3"/>
      <c r="Q740" s="3"/>
      <c r="R740" s="3" t="s">
        <v>5004</v>
      </c>
      <c r="S740" s="3" t="s">
        <v>5005</v>
      </c>
      <c r="T740" s="3" t="s">
        <v>113</v>
      </c>
      <c r="U740" s="11">
        <v>172</v>
      </c>
      <c r="V740" s="3" t="s">
        <v>4986</v>
      </c>
      <c r="W740" s="8" t="s">
        <v>7834</v>
      </c>
    </row>
    <row r="741" spans="1:23" x14ac:dyDescent="0.25">
      <c r="A741" s="2">
        <v>1226</v>
      </c>
      <c r="B741" s="3" t="s">
        <v>5020</v>
      </c>
      <c r="C741" s="3">
        <v>2024</v>
      </c>
      <c r="D741" s="3" t="s">
        <v>573</v>
      </c>
      <c r="E741" s="3" t="s">
        <v>15</v>
      </c>
      <c r="F741" s="1" t="s">
        <v>7834</v>
      </c>
      <c r="G741" s="10"/>
      <c r="H741" s="10"/>
      <c r="I741" s="10"/>
      <c r="J741" s="10"/>
      <c r="K741" s="10"/>
      <c r="L741" s="3" t="s">
        <v>5080</v>
      </c>
      <c r="M741" s="3" t="s">
        <v>5081</v>
      </c>
      <c r="N741" s="3" t="s">
        <v>5082</v>
      </c>
      <c r="O741" s="3">
        <v>13</v>
      </c>
      <c r="P741" s="3">
        <v>4</v>
      </c>
      <c r="Q741" s="3">
        <v>512</v>
      </c>
      <c r="R741" s="3" t="s">
        <v>5083</v>
      </c>
      <c r="S741" s="3" t="s">
        <v>5084</v>
      </c>
      <c r="T741" s="3" t="s">
        <v>113</v>
      </c>
      <c r="U741" s="11">
        <v>173</v>
      </c>
      <c r="V741" s="3" t="s">
        <v>5020</v>
      </c>
      <c r="W741" s="8" t="s">
        <v>7834</v>
      </c>
    </row>
    <row r="742" spans="1:23" x14ac:dyDescent="0.25">
      <c r="A742" s="2">
        <v>1238</v>
      </c>
      <c r="B742" s="3" t="s">
        <v>5020</v>
      </c>
      <c r="C742" s="3">
        <v>2024</v>
      </c>
      <c r="D742" s="3" t="s">
        <v>38</v>
      </c>
      <c r="E742" s="3" t="s">
        <v>15</v>
      </c>
      <c r="F742" s="1" t="s">
        <v>7834</v>
      </c>
      <c r="G742" s="10"/>
      <c r="H742" s="10"/>
      <c r="I742" s="10"/>
      <c r="J742" s="10"/>
      <c r="K742" s="10"/>
      <c r="L742" s="3" t="s">
        <v>5128</v>
      </c>
      <c r="M742" s="3" t="s">
        <v>5129</v>
      </c>
      <c r="N742" s="3" t="s">
        <v>5130</v>
      </c>
      <c r="O742" s="3"/>
      <c r="P742" s="3">
        <v>90</v>
      </c>
      <c r="Q742" s="3">
        <v>79</v>
      </c>
      <c r="R742" s="3" t="s">
        <v>5131</v>
      </c>
      <c r="S742" s="3" t="s">
        <v>5132</v>
      </c>
      <c r="T742" s="3" t="s">
        <v>113</v>
      </c>
      <c r="U742" s="11">
        <v>174</v>
      </c>
      <c r="V742" s="3" t="s">
        <v>5020</v>
      </c>
      <c r="W742" s="8" t="s">
        <v>7834</v>
      </c>
    </row>
    <row r="743" spans="1:23" x14ac:dyDescent="0.25">
      <c r="A743" s="2">
        <v>1247</v>
      </c>
      <c r="B743" s="3" t="s">
        <v>5020</v>
      </c>
      <c r="C743" s="3">
        <v>2024</v>
      </c>
      <c r="D743" s="3" t="s">
        <v>63</v>
      </c>
      <c r="E743" s="3" t="s">
        <v>15</v>
      </c>
      <c r="F743" s="1" t="s">
        <v>7834</v>
      </c>
      <c r="G743" s="10"/>
      <c r="H743" s="10"/>
      <c r="I743" s="10"/>
      <c r="J743" s="10"/>
      <c r="K743" s="10"/>
      <c r="L743" s="3" t="s">
        <v>1183</v>
      </c>
      <c r="M743" s="3" t="s">
        <v>1184</v>
      </c>
      <c r="N743" s="3" t="s">
        <v>5166</v>
      </c>
      <c r="O743" s="3">
        <v>52</v>
      </c>
      <c r="P743" s="3">
        <v>1</v>
      </c>
      <c r="Q743" s="3">
        <v>68</v>
      </c>
      <c r="R743" s="3">
        <v>99</v>
      </c>
      <c r="S743" s="3" t="s">
        <v>5167</v>
      </c>
      <c r="T743" s="3" t="s">
        <v>113</v>
      </c>
      <c r="U743" s="11">
        <v>175</v>
      </c>
      <c r="V743" s="3" t="s">
        <v>5020</v>
      </c>
      <c r="W743" s="8" t="s">
        <v>7834</v>
      </c>
    </row>
    <row r="744" spans="1:23" x14ac:dyDescent="0.25">
      <c r="A744" s="2">
        <v>1250</v>
      </c>
      <c r="B744" s="3" t="s">
        <v>5020</v>
      </c>
      <c r="C744" s="3">
        <v>2024</v>
      </c>
      <c r="D744" s="3" t="s">
        <v>63</v>
      </c>
      <c r="E744" s="3" t="s">
        <v>15</v>
      </c>
      <c r="F744" s="1" t="s">
        <v>7834</v>
      </c>
      <c r="G744" s="10"/>
      <c r="H744" s="10"/>
      <c r="I744" s="10"/>
      <c r="J744" s="10"/>
      <c r="K744" s="10"/>
      <c r="L744" s="3" t="s">
        <v>5175</v>
      </c>
      <c r="M744" s="3" t="s">
        <v>5176</v>
      </c>
      <c r="N744" s="3" t="s">
        <v>5177</v>
      </c>
      <c r="O744" s="3">
        <v>30</v>
      </c>
      <c r="P744" s="3">
        <v>1</v>
      </c>
      <c r="Q744" s="3">
        <v>117</v>
      </c>
      <c r="R744" s="3" t="s">
        <v>5178</v>
      </c>
      <c r="S744" s="3" t="s">
        <v>5179</v>
      </c>
      <c r="T744" s="3" t="s">
        <v>113</v>
      </c>
      <c r="U744" s="11">
        <v>176</v>
      </c>
      <c r="V744" s="3" t="s">
        <v>5020</v>
      </c>
      <c r="W744" s="8" t="s">
        <v>7834</v>
      </c>
    </row>
    <row r="745" spans="1:23" x14ac:dyDescent="0.25">
      <c r="A745" s="2">
        <v>1241</v>
      </c>
      <c r="B745" s="3" t="s">
        <v>5020</v>
      </c>
      <c r="C745" s="3">
        <v>2024</v>
      </c>
      <c r="D745" s="3" t="s">
        <v>93</v>
      </c>
      <c r="E745" s="3" t="s">
        <v>730</v>
      </c>
      <c r="F745" s="1" t="s">
        <v>7834</v>
      </c>
      <c r="G745" s="10"/>
      <c r="H745" s="10"/>
      <c r="I745" s="10"/>
      <c r="J745" s="10"/>
      <c r="K745" s="10"/>
      <c r="L745" s="3" t="s">
        <v>5141</v>
      </c>
      <c r="M745" s="3" t="s">
        <v>5142</v>
      </c>
      <c r="N745" s="3" t="s">
        <v>5143</v>
      </c>
      <c r="O745" s="3" t="s">
        <v>5144</v>
      </c>
      <c r="P745" s="3" t="s">
        <v>5145</v>
      </c>
      <c r="Q745" s="3"/>
      <c r="R745" s="3" t="s">
        <v>5146</v>
      </c>
      <c r="S745" s="3" t="s">
        <v>5147</v>
      </c>
      <c r="T745" s="3" t="s">
        <v>113</v>
      </c>
      <c r="U745" s="11">
        <v>177</v>
      </c>
      <c r="V745" s="3" t="s">
        <v>5020</v>
      </c>
      <c r="W745" s="8" t="s">
        <v>7834</v>
      </c>
    </row>
    <row r="746" spans="1:23" x14ac:dyDescent="0.25">
      <c r="A746" s="2">
        <v>1262</v>
      </c>
      <c r="B746" s="3" t="s">
        <v>5020</v>
      </c>
      <c r="C746" s="3">
        <v>2024</v>
      </c>
      <c r="D746" s="3" t="s">
        <v>215</v>
      </c>
      <c r="E746" s="3" t="s">
        <v>206</v>
      </c>
      <c r="F746" s="1" t="s">
        <v>7834</v>
      </c>
      <c r="G746" s="10"/>
      <c r="H746" s="10"/>
      <c r="I746" s="10"/>
      <c r="J746" s="10"/>
      <c r="K746" s="10"/>
      <c r="L746" s="3" t="s">
        <v>5225</v>
      </c>
      <c r="M746" s="3" t="s">
        <v>5226</v>
      </c>
      <c r="N746" s="3" t="s">
        <v>5227</v>
      </c>
      <c r="O746" s="3"/>
      <c r="P746" s="3"/>
      <c r="Q746" s="3">
        <v>1</v>
      </c>
      <c r="R746" s="3"/>
      <c r="S746" s="3" t="s">
        <v>5228</v>
      </c>
      <c r="T746" s="3" t="s">
        <v>113</v>
      </c>
      <c r="U746" s="11">
        <v>178</v>
      </c>
      <c r="V746" s="3" t="s">
        <v>5020</v>
      </c>
      <c r="W746" s="8" t="s">
        <v>7834</v>
      </c>
    </row>
    <row r="747" spans="1:23" x14ac:dyDescent="0.25">
      <c r="A747" s="2">
        <v>1268</v>
      </c>
      <c r="B747" s="3" t="s">
        <v>5237</v>
      </c>
      <c r="C747" s="3">
        <v>2024</v>
      </c>
      <c r="D747" s="3" t="s">
        <v>3034</v>
      </c>
      <c r="E747" s="3" t="s">
        <v>15</v>
      </c>
      <c r="F747" s="1" t="s">
        <v>7834</v>
      </c>
      <c r="G747" s="10"/>
      <c r="H747" s="10"/>
      <c r="I747" s="10"/>
      <c r="J747" s="10"/>
      <c r="K747" s="10"/>
      <c r="L747" s="3" t="s">
        <v>5251</v>
      </c>
      <c r="M747" s="3" t="s">
        <v>5252</v>
      </c>
      <c r="N747" s="3" t="s">
        <v>1791</v>
      </c>
      <c r="O747" s="3">
        <v>47</v>
      </c>
      <c r="P747" s="3"/>
      <c r="Q747" s="3">
        <v>629</v>
      </c>
      <c r="R747" s="3" t="s">
        <v>5253</v>
      </c>
      <c r="S747" s="3" t="s">
        <v>5254</v>
      </c>
      <c r="T747" s="3" t="s">
        <v>113</v>
      </c>
      <c r="U747" s="11">
        <v>2</v>
      </c>
      <c r="V747" s="3" t="s">
        <v>5237</v>
      </c>
      <c r="W747" s="8" t="s">
        <v>7834</v>
      </c>
    </row>
    <row r="748" spans="1:23" x14ac:dyDescent="0.25">
      <c r="A748" s="2">
        <v>1271</v>
      </c>
      <c r="B748" s="3" t="s">
        <v>5237</v>
      </c>
      <c r="C748" s="3">
        <v>2024</v>
      </c>
      <c r="D748" s="3" t="s">
        <v>1799</v>
      </c>
      <c r="E748" s="3" t="s">
        <v>15</v>
      </c>
      <c r="F748" s="1" t="s">
        <v>7834</v>
      </c>
      <c r="G748" s="10"/>
      <c r="H748" s="10"/>
      <c r="I748" s="10"/>
      <c r="J748" s="10"/>
      <c r="K748" s="10"/>
      <c r="L748" s="3" t="s">
        <v>5262</v>
      </c>
      <c r="M748" s="3" t="s">
        <v>5263</v>
      </c>
      <c r="N748" s="3" t="s">
        <v>5264</v>
      </c>
      <c r="O748" s="3">
        <v>425</v>
      </c>
      <c r="P748" s="3"/>
      <c r="Q748" s="3"/>
      <c r="R748" s="3">
        <v>19619502</v>
      </c>
      <c r="S748" s="3" t="s">
        <v>5265</v>
      </c>
      <c r="T748" s="3" t="s">
        <v>113</v>
      </c>
      <c r="U748" s="11">
        <v>3</v>
      </c>
      <c r="V748" s="3" t="s">
        <v>5237</v>
      </c>
      <c r="W748" s="8" t="s">
        <v>7834</v>
      </c>
    </row>
    <row r="749" spans="1:23" x14ac:dyDescent="0.25">
      <c r="A749" s="2">
        <v>1274</v>
      </c>
      <c r="B749" s="3" t="s">
        <v>5237</v>
      </c>
      <c r="C749" s="3">
        <v>2024</v>
      </c>
      <c r="D749" s="3" t="s">
        <v>22</v>
      </c>
      <c r="E749" s="3" t="s">
        <v>15</v>
      </c>
      <c r="F749" s="1" t="s">
        <v>7834</v>
      </c>
      <c r="G749" s="10"/>
      <c r="H749" s="10"/>
      <c r="I749" s="10"/>
      <c r="J749" s="10"/>
      <c r="K749" s="10"/>
      <c r="L749" s="3" t="s">
        <v>5275</v>
      </c>
      <c r="M749" s="3" t="s">
        <v>5276</v>
      </c>
      <c r="N749" s="3" t="s">
        <v>5277</v>
      </c>
      <c r="O749" s="3">
        <v>38</v>
      </c>
      <c r="P749" s="3"/>
      <c r="Q749" s="3"/>
      <c r="R749" s="3" t="s">
        <v>5278</v>
      </c>
      <c r="S749" s="3" t="s">
        <v>5279</v>
      </c>
      <c r="T749" s="3" t="s">
        <v>113</v>
      </c>
      <c r="U749" s="11">
        <v>4</v>
      </c>
      <c r="V749" s="3" t="s">
        <v>5237</v>
      </c>
      <c r="W749" s="8" t="s">
        <v>7834</v>
      </c>
    </row>
    <row r="750" spans="1:23" x14ac:dyDescent="0.25">
      <c r="A750" s="2">
        <v>1286</v>
      </c>
      <c r="B750" s="3" t="s">
        <v>5237</v>
      </c>
      <c r="C750" s="3">
        <v>2024</v>
      </c>
      <c r="D750" s="3" t="s">
        <v>14</v>
      </c>
      <c r="E750" s="3" t="s">
        <v>15</v>
      </c>
      <c r="F750" s="1" t="s">
        <v>7834</v>
      </c>
      <c r="G750" s="10"/>
      <c r="H750" s="10"/>
      <c r="I750" s="10"/>
      <c r="J750" s="10"/>
      <c r="K750" s="10"/>
      <c r="L750" s="3" t="s">
        <v>5325</v>
      </c>
      <c r="M750" s="3" t="s">
        <v>5326</v>
      </c>
      <c r="N750" s="3" t="s">
        <v>5327</v>
      </c>
      <c r="O750" s="3">
        <v>104</v>
      </c>
      <c r="P750" s="3"/>
      <c r="Q750" s="3">
        <v>139</v>
      </c>
      <c r="R750" s="3" t="s">
        <v>5328</v>
      </c>
      <c r="S750" s="3" t="s">
        <v>5329</v>
      </c>
      <c r="T750" s="3" t="s">
        <v>113</v>
      </c>
      <c r="U750" s="11">
        <v>5</v>
      </c>
      <c r="V750" s="3" t="s">
        <v>5237</v>
      </c>
      <c r="W750" s="8" t="s">
        <v>7834</v>
      </c>
    </row>
    <row r="751" spans="1:23" x14ac:dyDescent="0.25">
      <c r="A751" s="2">
        <v>1287</v>
      </c>
      <c r="B751" s="3" t="s">
        <v>5237</v>
      </c>
      <c r="C751" s="3">
        <v>2024</v>
      </c>
      <c r="D751" s="3" t="s">
        <v>2650</v>
      </c>
      <c r="E751" s="3" t="s">
        <v>15</v>
      </c>
      <c r="F751" s="1" t="s">
        <v>7834</v>
      </c>
      <c r="G751" s="10"/>
      <c r="H751" s="10"/>
      <c r="I751" s="10"/>
      <c r="J751" s="10"/>
      <c r="K751" s="10"/>
      <c r="L751" s="3" t="s">
        <v>5330</v>
      </c>
      <c r="M751" s="3" t="s">
        <v>5331</v>
      </c>
      <c r="N751" s="3" t="s">
        <v>5332</v>
      </c>
      <c r="O751" s="3"/>
      <c r="P751" s="3"/>
      <c r="Q751" s="3">
        <v>1</v>
      </c>
      <c r="R751" s="3" t="s">
        <v>5333</v>
      </c>
      <c r="S751" s="3" t="s">
        <v>5334</v>
      </c>
      <c r="T751" s="3" t="s">
        <v>113</v>
      </c>
      <c r="U751" s="11">
        <v>6</v>
      </c>
      <c r="V751" s="3" t="s">
        <v>5237</v>
      </c>
      <c r="W751" s="8" t="s">
        <v>7834</v>
      </c>
    </row>
    <row r="752" spans="1:23" x14ac:dyDescent="0.25">
      <c r="A752" s="2">
        <v>1289</v>
      </c>
      <c r="B752" s="3" t="s">
        <v>5237</v>
      </c>
      <c r="C752" s="3">
        <v>2024</v>
      </c>
      <c r="D752" s="3" t="s">
        <v>59</v>
      </c>
      <c r="E752" s="3" t="s">
        <v>15</v>
      </c>
      <c r="F752" s="1" t="s">
        <v>7834</v>
      </c>
      <c r="G752" s="10"/>
      <c r="H752" s="10"/>
      <c r="I752" s="10"/>
      <c r="J752" s="10"/>
      <c r="K752" s="10"/>
      <c r="L752" s="3" t="s">
        <v>5338</v>
      </c>
      <c r="M752" s="3" t="s">
        <v>5339</v>
      </c>
      <c r="N752" s="3" t="s">
        <v>4077</v>
      </c>
      <c r="O752" s="3">
        <v>299</v>
      </c>
      <c r="P752" s="3"/>
      <c r="Q752" s="3">
        <v>108669</v>
      </c>
      <c r="R752" s="3" t="s">
        <v>5340</v>
      </c>
      <c r="S752" s="3" t="s">
        <v>5341</v>
      </c>
      <c r="T752" s="3" t="s">
        <v>113</v>
      </c>
      <c r="U752" s="11">
        <v>7</v>
      </c>
      <c r="V752" s="3" t="s">
        <v>5237</v>
      </c>
      <c r="W752" s="8" t="s">
        <v>7834</v>
      </c>
    </row>
    <row r="753" spans="1:23" x14ac:dyDescent="0.25">
      <c r="A753" s="2">
        <v>1292</v>
      </c>
      <c r="B753" s="3" t="s">
        <v>5237</v>
      </c>
      <c r="C753" s="3">
        <v>2024</v>
      </c>
      <c r="D753" s="3" t="s">
        <v>627</v>
      </c>
      <c r="E753" s="3" t="s">
        <v>15</v>
      </c>
      <c r="F753" s="1" t="s">
        <v>7834</v>
      </c>
      <c r="G753" s="10"/>
      <c r="H753" s="10"/>
      <c r="I753" s="10"/>
      <c r="J753" s="10"/>
      <c r="K753" s="10"/>
      <c r="L753" s="3" t="s">
        <v>5351</v>
      </c>
      <c r="M753" s="3" t="s">
        <v>5352</v>
      </c>
      <c r="N753" s="3" t="s">
        <v>5353</v>
      </c>
      <c r="O753" s="3">
        <v>8</v>
      </c>
      <c r="P753" s="3"/>
      <c r="Q753" s="3">
        <v>1</v>
      </c>
      <c r="R753" s="3" t="s">
        <v>5354</v>
      </c>
      <c r="S753" s="3" t="s">
        <v>5355</v>
      </c>
      <c r="T753" s="3" t="s">
        <v>113</v>
      </c>
      <c r="U753" s="11">
        <v>8</v>
      </c>
      <c r="V753" s="3" t="s">
        <v>5237</v>
      </c>
      <c r="W753" s="8" t="s">
        <v>7834</v>
      </c>
    </row>
    <row r="754" spans="1:23" x14ac:dyDescent="0.25">
      <c r="A754" s="2">
        <v>1295</v>
      </c>
      <c r="B754" s="3" t="s">
        <v>5237</v>
      </c>
      <c r="C754" s="3">
        <v>2024</v>
      </c>
      <c r="D754" s="3" t="s">
        <v>1418</v>
      </c>
      <c r="E754" s="3" t="s">
        <v>15</v>
      </c>
      <c r="F754" s="1" t="s">
        <v>7834</v>
      </c>
      <c r="G754" s="10"/>
      <c r="H754" s="10"/>
      <c r="I754" s="10"/>
      <c r="J754" s="10"/>
      <c r="K754" s="10"/>
      <c r="L754" s="3" t="s">
        <v>5357</v>
      </c>
      <c r="M754" s="3" t="s">
        <v>5358</v>
      </c>
      <c r="N754" s="3" t="s">
        <v>5359</v>
      </c>
      <c r="O754" s="3">
        <v>98</v>
      </c>
      <c r="P754" s="3"/>
      <c r="Q754" s="3"/>
      <c r="R754" s="3" t="s">
        <v>5360</v>
      </c>
      <c r="S754" s="3" t="s">
        <v>5361</v>
      </c>
      <c r="T754" s="3" t="s">
        <v>113</v>
      </c>
      <c r="U754" s="11">
        <v>9</v>
      </c>
      <c r="V754" s="3" t="s">
        <v>5237</v>
      </c>
      <c r="W754" s="8" t="s">
        <v>7834</v>
      </c>
    </row>
    <row r="755" spans="1:23" x14ac:dyDescent="0.25">
      <c r="A755" s="2">
        <v>1297</v>
      </c>
      <c r="B755" s="3" t="s">
        <v>5237</v>
      </c>
      <c r="C755" s="3">
        <v>2024</v>
      </c>
      <c r="D755" s="3" t="s">
        <v>1227</v>
      </c>
      <c r="E755" s="3" t="s">
        <v>15</v>
      </c>
      <c r="F755" s="1" t="s">
        <v>7834</v>
      </c>
      <c r="G755" s="10"/>
      <c r="H755" s="10"/>
      <c r="I755" s="10"/>
      <c r="J755" s="10"/>
      <c r="K755" s="10"/>
      <c r="L755" s="3" t="s">
        <v>5365</v>
      </c>
      <c r="M755" s="3" t="s">
        <v>5366</v>
      </c>
      <c r="N755" s="3" t="s">
        <v>5327</v>
      </c>
      <c r="O755" s="3"/>
      <c r="P755" s="3"/>
      <c r="Q755" s="3"/>
      <c r="R755" s="3" t="s">
        <v>5367</v>
      </c>
      <c r="S755" s="3" t="s">
        <v>5368</v>
      </c>
      <c r="T755" s="3" t="s">
        <v>113</v>
      </c>
      <c r="U755" s="11">
        <v>10</v>
      </c>
      <c r="V755" s="3" t="s">
        <v>5237</v>
      </c>
      <c r="W755" s="8" t="s">
        <v>7834</v>
      </c>
    </row>
    <row r="756" spans="1:23" x14ac:dyDescent="0.25">
      <c r="A756" s="2">
        <v>1315</v>
      </c>
      <c r="B756" s="3" t="s">
        <v>5237</v>
      </c>
      <c r="C756" s="3">
        <v>2024</v>
      </c>
      <c r="D756" s="3" t="s">
        <v>3076</v>
      </c>
      <c r="E756" s="3" t="s">
        <v>15</v>
      </c>
      <c r="F756" s="1" t="s">
        <v>7834</v>
      </c>
      <c r="G756" s="10"/>
      <c r="H756" s="10"/>
      <c r="I756" s="10"/>
      <c r="J756" s="10"/>
      <c r="K756" s="10"/>
      <c r="L756" s="3" t="s">
        <v>5428</v>
      </c>
      <c r="M756" s="3" t="s">
        <v>5429</v>
      </c>
      <c r="N756" s="3" t="s">
        <v>1791</v>
      </c>
      <c r="O756" s="3">
        <v>47</v>
      </c>
      <c r="P756" s="3"/>
      <c r="Q756" s="3">
        <v>1025</v>
      </c>
      <c r="R756" s="3" t="s">
        <v>5253</v>
      </c>
      <c r="S756" s="3" t="s">
        <v>5430</v>
      </c>
      <c r="T756" s="3" t="s">
        <v>113</v>
      </c>
      <c r="U756" s="11">
        <v>11</v>
      </c>
      <c r="V756" s="3" t="s">
        <v>5237</v>
      </c>
      <c r="W756" s="8" t="s">
        <v>7834</v>
      </c>
    </row>
    <row r="757" spans="1:23" x14ac:dyDescent="0.25">
      <c r="A757" s="2">
        <v>1329</v>
      </c>
      <c r="B757" s="3" t="s">
        <v>5448</v>
      </c>
      <c r="C757" s="3">
        <v>2024</v>
      </c>
      <c r="D757" s="3" t="s">
        <v>2491</v>
      </c>
      <c r="E757" s="3" t="s">
        <v>15</v>
      </c>
      <c r="F757" s="1" t="s">
        <v>7834</v>
      </c>
      <c r="G757" s="10"/>
      <c r="H757" s="10"/>
      <c r="I757" s="10"/>
      <c r="J757" s="10"/>
      <c r="K757" s="10"/>
      <c r="L757" s="3" t="s">
        <v>5482</v>
      </c>
      <c r="M757" s="3" t="s">
        <v>5483</v>
      </c>
      <c r="N757" s="3" t="s">
        <v>5484</v>
      </c>
      <c r="O757" s="3"/>
      <c r="P757" s="3"/>
      <c r="Q757" s="3"/>
      <c r="R757" s="3" t="s">
        <v>5485</v>
      </c>
      <c r="S757" s="3" t="s">
        <v>5486</v>
      </c>
      <c r="T757" s="3" t="s">
        <v>113</v>
      </c>
      <c r="U757" s="11">
        <v>12</v>
      </c>
      <c r="V757" s="3" t="s">
        <v>5448</v>
      </c>
      <c r="W757" s="8" t="s">
        <v>7834</v>
      </c>
    </row>
    <row r="758" spans="1:23" x14ac:dyDescent="0.25">
      <c r="A758" s="2">
        <v>1337</v>
      </c>
      <c r="B758" s="3" t="s">
        <v>5515</v>
      </c>
      <c r="C758" s="3">
        <v>2024</v>
      </c>
      <c r="D758" s="3" t="s">
        <v>2771</v>
      </c>
      <c r="E758" s="3" t="s">
        <v>15</v>
      </c>
      <c r="F758" s="1" t="s">
        <v>7834</v>
      </c>
      <c r="G758" s="10"/>
      <c r="H758" s="10"/>
      <c r="I758" s="10"/>
      <c r="J758" s="10"/>
      <c r="K758" s="10"/>
      <c r="L758" s="3" t="s">
        <v>5516</v>
      </c>
      <c r="M758" s="3" t="s">
        <v>5517</v>
      </c>
      <c r="N758" s="3" t="s">
        <v>1116</v>
      </c>
      <c r="O758" s="3"/>
      <c r="P758" s="3"/>
      <c r="Q758" s="3"/>
      <c r="R758" s="3" t="s">
        <v>1117</v>
      </c>
      <c r="S758" s="3" t="s">
        <v>5518</v>
      </c>
      <c r="T758" s="3" t="s">
        <v>113</v>
      </c>
      <c r="U758" s="11">
        <v>13</v>
      </c>
      <c r="V758" s="3" t="s">
        <v>5515</v>
      </c>
      <c r="W758" s="8" t="s">
        <v>7834</v>
      </c>
    </row>
    <row r="759" spans="1:23" x14ac:dyDescent="0.25">
      <c r="A759" s="2">
        <v>1347</v>
      </c>
      <c r="B759" s="3" t="s">
        <v>5515</v>
      </c>
      <c r="C759" s="3">
        <v>2024</v>
      </c>
      <c r="D759" s="3" t="s">
        <v>2759</v>
      </c>
      <c r="E759" s="3" t="s">
        <v>15</v>
      </c>
      <c r="F759" s="1" t="s">
        <v>7834</v>
      </c>
      <c r="G759" s="10">
        <v>10</v>
      </c>
      <c r="H759" s="10"/>
      <c r="I759" s="10"/>
      <c r="J759" s="10"/>
      <c r="K759" s="10"/>
      <c r="L759" s="3" t="s">
        <v>5555</v>
      </c>
      <c r="M759" s="3" t="s">
        <v>5556</v>
      </c>
      <c r="N759" s="3" t="s">
        <v>5557</v>
      </c>
      <c r="O759" s="3">
        <v>12</v>
      </c>
      <c r="P759" s="3">
        <v>1796</v>
      </c>
      <c r="Q759" s="3"/>
      <c r="R759" s="3" t="s">
        <v>5558</v>
      </c>
      <c r="S759" s="3" t="s">
        <v>5559</v>
      </c>
      <c r="T759" s="3" t="s">
        <v>113</v>
      </c>
      <c r="U759" s="11">
        <v>14</v>
      </c>
      <c r="V759" s="3" t="s">
        <v>5515</v>
      </c>
      <c r="W759" s="8" t="s">
        <v>7834</v>
      </c>
    </row>
    <row r="760" spans="1:23" x14ac:dyDescent="0.25">
      <c r="A760" s="2">
        <v>1357</v>
      </c>
      <c r="B760" s="3" t="s">
        <v>5560</v>
      </c>
      <c r="C760" s="3">
        <v>2024</v>
      </c>
      <c r="D760" s="3" t="s">
        <v>1459</v>
      </c>
      <c r="E760" s="3" t="s">
        <v>15</v>
      </c>
      <c r="F760" s="1" t="s">
        <v>7834</v>
      </c>
      <c r="G760" s="10">
        <v>10</v>
      </c>
      <c r="H760" s="10"/>
      <c r="I760" s="10"/>
      <c r="J760" s="10"/>
      <c r="K760" s="10"/>
      <c r="L760" s="3" t="s">
        <v>5592</v>
      </c>
      <c r="M760" s="3" t="s">
        <v>5593</v>
      </c>
      <c r="N760" s="3" t="s">
        <v>5594</v>
      </c>
      <c r="O760" s="3"/>
      <c r="P760" s="3"/>
      <c r="Q760" s="3"/>
      <c r="R760" s="3">
        <v>1</v>
      </c>
      <c r="S760" s="3" t="s">
        <v>5595</v>
      </c>
      <c r="T760" s="3" t="s">
        <v>113</v>
      </c>
      <c r="U760" s="11">
        <v>15</v>
      </c>
      <c r="V760" s="3" t="s">
        <v>5560</v>
      </c>
      <c r="W760" s="8" t="s">
        <v>7834</v>
      </c>
    </row>
    <row r="761" spans="1:23" x14ac:dyDescent="0.25">
      <c r="A761" s="2">
        <v>1359</v>
      </c>
      <c r="B761" s="3" t="s">
        <v>5596</v>
      </c>
      <c r="C761" s="3">
        <v>2024</v>
      </c>
      <c r="D761" s="3" t="s">
        <v>5598</v>
      </c>
      <c r="E761" s="3" t="s">
        <v>15</v>
      </c>
      <c r="F761" s="1" t="s">
        <v>7834</v>
      </c>
      <c r="G761" s="10"/>
      <c r="H761" s="10"/>
      <c r="I761" s="10"/>
      <c r="J761" s="10"/>
      <c r="K761" s="10"/>
      <c r="L761" s="3" t="s">
        <v>5599</v>
      </c>
      <c r="M761" s="3" t="s">
        <v>5600</v>
      </c>
      <c r="N761" s="3" t="s">
        <v>5601</v>
      </c>
      <c r="O761" s="3">
        <v>100</v>
      </c>
      <c r="P761" s="3">
        <v>4</v>
      </c>
      <c r="Q761" s="3">
        <v>808</v>
      </c>
      <c r="R761" s="3" t="s">
        <v>5602</v>
      </c>
      <c r="S761" s="3" t="s">
        <v>5603</v>
      </c>
      <c r="T761" s="3" t="s">
        <v>113</v>
      </c>
      <c r="U761" s="11">
        <v>16</v>
      </c>
      <c r="V761" s="3" t="s">
        <v>5596</v>
      </c>
      <c r="W761" s="8" t="s">
        <v>7834</v>
      </c>
    </row>
    <row r="762" spans="1:23" x14ac:dyDescent="0.25">
      <c r="A762" s="2">
        <v>1367</v>
      </c>
      <c r="B762" s="3" t="s">
        <v>5596</v>
      </c>
      <c r="C762" s="3">
        <v>2024</v>
      </c>
      <c r="D762" s="3" t="s">
        <v>736</v>
      </c>
      <c r="E762" s="3" t="s">
        <v>15</v>
      </c>
      <c r="F762" s="1" t="s">
        <v>7834</v>
      </c>
      <c r="G762" s="10"/>
      <c r="H762" s="10"/>
      <c r="I762" s="10"/>
      <c r="J762" s="10"/>
      <c r="K762" s="10"/>
      <c r="L762" s="3" t="s">
        <v>5636</v>
      </c>
      <c r="M762" s="3" t="s">
        <v>5637</v>
      </c>
      <c r="N762" s="3" t="s">
        <v>5638</v>
      </c>
      <c r="O762" s="3">
        <v>44</v>
      </c>
      <c r="P762" s="3">
        <v>2</v>
      </c>
      <c r="Q762" s="3">
        <v>219</v>
      </c>
      <c r="R762" s="3" t="s">
        <v>5639</v>
      </c>
      <c r="S762" s="3" t="s">
        <v>5640</v>
      </c>
      <c r="T762" s="3" t="s">
        <v>113</v>
      </c>
      <c r="U762" s="11">
        <v>17</v>
      </c>
      <c r="V762" s="3" t="s">
        <v>5596</v>
      </c>
      <c r="W762" s="8" t="s">
        <v>7834</v>
      </c>
    </row>
    <row r="763" spans="1:23" x14ac:dyDescent="0.25">
      <c r="A763" s="2">
        <v>1369</v>
      </c>
      <c r="B763" s="3" t="s">
        <v>5596</v>
      </c>
      <c r="C763" s="3">
        <v>2024</v>
      </c>
      <c r="D763" s="3" t="s">
        <v>2535</v>
      </c>
      <c r="E763" s="3" t="s">
        <v>15</v>
      </c>
      <c r="F763" s="1" t="s">
        <v>7834</v>
      </c>
      <c r="G763" s="10"/>
      <c r="H763" s="10"/>
      <c r="I763" s="10"/>
      <c r="J763" s="10"/>
      <c r="K763" s="10"/>
      <c r="L763" s="3" t="s">
        <v>5646</v>
      </c>
      <c r="M763" s="3" t="s">
        <v>5647</v>
      </c>
      <c r="N763" s="3" t="s">
        <v>1462</v>
      </c>
      <c r="O763" s="3">
        <v>36</v>
      </c>
      <c r="P763" s="3">
        <v>3</v>
      </c>
      <c r="Q763" s="3">
        <v>1</v>
      </c>
      <c r="R763" s="3" t="s">
        <v>5648</v>
      </c>
      <c r="S763" s="3" t="s">
        <v>1463</v>
      </c>
      <c r="T763" s="3" t="s">
        <v>113</v>
      </c>
      <c r="U763" s="11">
        <v>18</v>
      </c>
      <c r="V763" s="3" t="s">
        <v>5596</v>
      </c>
      <c r="W763" s="8" t="s">
        <v>7834</v>
      </c>
    </row>
    <row r="764" spans="1:23" x14ac:dyDescent="0.25">
      <c r="A764" s="2">
        <v>1373</v>
      </c>
      <c r="B764" s="3" t="s">
        <v>5596</v>
      </c>
      <c r="C764" s="3">
        <v>2024</v>
      </c>
      <c r="D764" s="3" t="s">
        <v>1277</v>
      </c>
      <c r="E764" s="3" t="s">
        <v>206</v>
      </c>
      <c r="F764" s="1" t="s">
        <v>7834</v>
      </c>
      <c r="G764" s="10"/>
      <c r="H764" s="10"/>
      <c r="I764" s="10"/>
      <c r="J764" s="10"/>
      <c r="K764" s="10"/>
      <c r="L764" s="3" t="s">
        <v>5659</v>
      </c>
      <c r="M764" s="3" t="s">
        <v>5660</v>
      </c>
      <c r="N764" s="3" t="s">
        <v>4602</v>
      </c>
      <c r="O764" s="3">
        <v>12</v>
      </c>
      <c r="P764" s="3">
        <v>12</v>
      </c>
      <c r="Q764" s="3">
        <v>646</v>
      </c>
      <c r="R764" s="3"/>
      <c r="S764" s="3" t="s">
        <v>5661</v>
      </c>
      <c r="T764" s="3" t="s">
        <v>113</v>
      </c>
      <c r="U764" s="11">
        <v>19</v>
      </c>
      <c r="V764" s="3" t="s">
        <v>5596</v>
      </c>
      <c r="W764" s="8" t="s">
        <v>7834</v>
      </c>
    </row>
    <row r="765" spans="1:23" x14ac:dyDescent="0.25">
      <c r="A765" s="2">
        <v>1378</v>
      </c>
      <c r="B765" s="3" t="s">
        <v>5671</v>
      </c>
      <c r="C765" s="3">
        <v>2024</v>
      </c>
      <c r="D765" s="3" t="s">
        <v>5673</v>
      </c>
      <c r="E765" s="3" t="s">
        <v>15</v>
      </c>
      <c r="F765" s="1" t="s">
        <v>7834</v>
      </c>
      <c r="G765" s="10"/>
      <c r="H765" s="10"/>
      <c r="I765" s="10"/>
      <c r="J765" s="10"/>
      <c r="K765" s="10"/>
      <c r="L765" s="3" t="s">
        <v>2235</v>
      </c>
      <c r="M765" s="3" t="s">
        <v>5674</v>
      </c>
      <c r="N765" s="3" t="s">
        <v>5675</v>
      </c>
      <c r="O765" s="3">
        <v>41</v>
      </c>
      <c r="P765" s="6">
        <v>45689</v>
      </c>
      <c r="Q765" s="3">
        <v>52</v>
      </c>
      <c r="R765" s="3" t="s">
        <v>1887</v>
      </c>
      <c r="S765" s="3" t="s">
        <v>1888</v>
      </c>
      <c r="T765" s="3" t="s">
        <v>113</v>
      </c>
      <c r="U765" s="11">
        <v>20</v>
      </c>
      <c r="V765" s="3" t="s">
        <v>5671</v>
      </c>
      <c r="W765" s="8" t="s">
        <v>7834</v>
      </c>
    </row>
    <row r="766" spans="1:23" x14ac:dyDescent="0.25">
      <c r="A766" s="2">
        <v>1401</v>
      </c>
      <c r="B766" s="3" t="s">
        <v>5763</v>
      </c>
      <c r="C766" s="3">
        <v>2024</v>
      </c>
      <c r="D766" s="3" t="s">
        <v>59</v>
      </c>
      <c r="E766" s="3" t="s">
        <v>15</v>
      </c>
      <c r="F766" s="1" t="s">
        <v>7834</v>
      </c>
      <c r="G766" s="10"/>
      <c r="H766" s="10"/>
      <c r="I766" s="10"/>
      <c r="J766" s="10"/>
      <c r="K766" s="10"/>
      <c r="L766" s="3" t="s">
        <v>5769</v>
      </c>
      <c r="M766" s="3" t="s">
        <v>5770</v>
      </c>
      <c r="N766" s="3" t="s">
        <v>3391</v>
      </c>
      <c r="O766" s="3"/>
      <c r="P766" s="3"/>
      <c r="Q766" s="3"/>
      <c r="R766" s="3" t="s">
        <v>3175</v>
      </c>
      <c r="S766" s="3" t="s">
        <v>5771</v>
      </c>
      <c r="T766" s="3" t="s">
        <v>113</v>
      </c>
      <c r="U766" s="11">
        <v>21</v>
      </c>
      <c r="V766" s="3" t="s">
        <v>5763</v>
      </c>
      <c r="W766" s="8" t="s">
        <v>7834</v>
      </c>
    </row>
    <row r="767" spans="1:23" x14ac:dyDescent="0.25">
      <c r="A767" s="2">
        <v>1409</v>
      </c>
      <c r="B767" s="3" t="s">
        <v>5763</v>
      </c>
      <c r="C767" s="3">
        <v>2024</v>
      </c>
      <c r="D767" s="3" t="s">
        <v>3597</v>
      </c>
      <c r="E767" s="3" t="s">
        <v>15</v>
      </c>
      <c r="F767" s="1" t="s">
        <v>7834</v>
      </c>
      <c r="G767" s="10"/>
      <c r="H767" s="10"/>
      <c r="I767" s="10"/>
      <c r="J767" s="10"/>
      <c r="K767" s="10"/>
      <c r="L767" s="3" t="s">
        <v>5804</v>
      </c>
      <c r="M767" s="3" t="s">
        <v>5805</v>
      </c>
      <c r="N767" s="3" t="s">
        <v>3391</v>
      </c>
      <c r="O767" s="3"/>
      <c r="P767" s="3"/>
      <c r="Q767" s="3"/>
      <c r="R767" s="3" t="s">
        <v>3175</v>
      </c>
      <c r="S767" s="3" t="s">
        <v>5806</v>
      </c>
      <c r="T767" s="3" t="s">
        <v>113</v>
      </c>
      <c r="U767" s="11">
        <v>22</v>
      </c>
      <c r="V767" s="3" t="s">
        <v>5763</v>
      </c>
      <c r="W767" s="8" t="s">
        <v>7834</v>
      </c>
    </row>
    <row r="768" spans="1:23" x14ac:dyDescent="0.25">
      <c r="A768" s="2">
        <v>1412</v>
      </c>
      <c r="B768" s="3" t="s">
        <v>5763</v>
      </c>
      <c r="C768" s="3">
        <v>2024</v>
      </c>
      <c r="D768" s="3" t="s">
        <v>964</v>
      </c>
      <c r="E768" s="3" t="s">
        <v>15</v>
      </c>
      <c r="F768" s="1" t="s">
        <v>7834</v>
      </c>
      <c r="G768" s="10"/>
      <c r="H768" s="10"/>
      <c r="I768" s="10"/>
      <c r="J768" s="10"/>
      <c r="K768" s="10"/>
      <c r="L768" s="3" t="s">
        <v>5817</v>
      </c>
      <c r="M768" s="3" t="s">
        <v>5818</v>
      </c>
      <c r="N768" s="3" t="s">
        <v>5380</v>
      </c>
      <c r="O768" s="3"/>
      <c r="P768" s="3"/>
      <c r="Q768" s="3"/>
      <c r="R768" s="3" t="s">
        <v>359</v>
      </c>
      <c r="S768" s="3" t="s">
        <v>5819</v>
      </c>
      <c r="T768" s="3" t="s">
        <v>113</v>
      </c>
      <c r="U768" s="11">
        <v>23</v>
      </c>
      <c r="V768" s="3" t="s">
        <v>5763</v>
      </c>
      <c r="W768" s="8" t="s">
        <v>7834</v>
      </c>
    </row>
    <row r="769" spans="1:23" x14ac:dyDescent="0.25">
      <c r="A769" s="2">
        <v>1416</v>
      </c>
      <c r="B769" s="3" t="s">
        <v>5763</v>
      </c>
      <c r="C769" s="3">
        <v>2024</v>
      </c>
      <c r="D769" s="3" t="s">
        <v>1067</v>
      </c>
      <c r="E769" s="3" t="s">
        <v>15</v>
      </c>
      <c r="F769" s="1" t="s">
        <v>7834</v>
      </c>
      <c r="G769" s="10"/>
      <c r="H769" s="10"/>
      <c r="I769" s="10"/>
      <c r="J769" s="10"/>
      <c r="K769" s="10"/>
      <c r="L769" s="3" t="s">
        <v>5834</v>
      </c>
      <c r="M769" s="3" t="s">
        <v>5835</v>
      </c>
      <c r="N769" s="3" t="s">
        <v>5836</v>
      </c>
      <c r="O769" s="3"/>
      <c r="P769" s="3"/>
      <c r="Q769" s="3"/>
      <c r="R769" s="3" t="s">
        <v>5837</v>
      </c>
      <c r="S769" s="3" t="s">
        <v>5838</v>
      </c>
      <c r="T769" s="3" t="s">
        <v>113</v>
      </c>
      <c r="U769" s="11">
        <v>24</v>
      </c>
      <c r="V769" s="3" t="s">
        <v>5763</v>
      </c>
      <c r="W769" s="8" t="s">
        <v>7834</v>
      </c>
    </row>
    <row r="770" spans="1:23" x14ac:dyDescent="0.25">
      <c r="A770" s="2">
        <v>1417</v>
      </c>
      <c r="B770" s="3" t="s">
        <v>5763</v>
      </c>
      <c r="C770" s="3">
        <v>2024</v>
      </c>
      <c r="D770" s="3" t="s">
        <v>1669</v>
      </c>
      <c r="E770" s="3" t="s">
        <v>15</v>
      </c>
      <c r="F770" s="1" t="s">
        <v>7834</v>
      </c>
      <c r="G770" s="10"/>
      <c r="H770" s="10"/>
      <c r="I770" s="10"/>
      <c r="J770" s="10"/>
      <c r="K770" s="10"/>
      <c r="L770" s="3" t="s">
        <v>5839</v>
      </c>
      <c r="M770" s="3" t="s">
        <v>5835</v>
      </c>
      <c r="N770" s="3" t="s">
        <v>5840</v>
      </c>
      <c r="O770" s="3"/>
      <c r="P770" s="3"/>
      <c r="Q770" s="3"/>
      <c r="R770" s="3" t="s">
        <v>5841</v>
      </c>
      <c r="S770" s="3" t="s">
        <v>5842</v>
      </c>
      <c r="T770" s="3" t="s">
        <v>113</v>
      </c>
      <c r="U770" s="11">
        <v>25</v>
      </c>
      <c r="V770" s="3" t="s">
        <v>5763</v>
      </c>
      <c r="W770" s="8" t="s">
        <v>7834</v>
      </c>
    </row>
    <row r="771" spans="1:23" x14ac:dyDescent="0.25">
      <c r="A771" s="2">
        <v>1419</v>
      </c>
      <c r="B771" s="3" t="s">
        <v>5763</v>
      </c>
      <c r="C771" s="3">
        <v>2024</v>
      </c>
      <c r="D771" s="3" t="s">
        <v>1660</v>
      </c>
      <c r="E771" s="3" t="s">
        <v>15</v>
      </c>
      <c r="F771" s="1" t="s">
        <v>7834</v>
      </c>
      <c r="G771" s="10"/>
      <c r="H771" s="10"/>
      <c r="I771" s="10"/>
      <c r="J771" s="10"/>
      <c r="K771" s="10"/>
      <c r="L771" s="3" t="s">
        <v>5847</v>
      </c>
      <c r="M771" s="3" t="s">
        <v>5848</v>
      </c>
      <c r="N771" s="3" t="s">
        <v>5849</v>
      </c>
      <c r="O771" s="3"/>
      <c r="P771" s="3"/>
      <c r="Q771" s="3"/>
      <c r="R771" s="3" t="s">
        <v>5850</v>
      </c>
      <c r="S771" s="3" t="s">
        <v>5851</v>
      </c>
      <c r="T771" s="3" t="s">
        <v>113</v>
      </c>
      <c r="U771" s="11">
        <v>26</v>
      </c>
      <c r="V771" s="3" t="s">
        <v>5763</v>
      </c>
      <c r="W771" s="8" t="s">
        <v>7834</v>
      </c>
    </row>
    <row r="772" spans="1:23" x14ac:dyDescent="0.25">
      <c r="A772" s="2">
        <v>1420</v>
      </c>
      <c r="B772" s="3" t="s">
        <v>5763</v>
      </c>
      <c r="C772" s="3">
        <v>2024</v>
      </c>
      <c r="D772" s="3" t="s">
        <v>2454</v>
      </c>
      <c r="E772" s="3" t="s">
        <v>15</v>
      </c>
      <c r="F772" s="1" t="s">
        <v>7834</v>
      </c>
      <c r="G772" s="10"/>
      <c r="H772" s="10"/>
      <c r="I772" s="10"/>
      <c r="J772" s="10"/>
      <c r="K772" s="10"/>
      <c r="L772" s="3" t="s">
        <v>5852</v>
      </c>
      <c r="M772" s="3" t="s">
        <v>5853</v>
      </c>
      <c r="N772" s="3" t="s">
        <v>4868</v>
      </c>
      <c r="O772" s="3"/>
      <c r="P772" s="3"/>
      <c r="Q772" s="3"/>
      <c r="R772" s="3" t="s">
        <v>5854</v>
      </c>
      <c r="S772" s="3" t="s">
        <v>5855</v>
      </c>
      <c r="T772" s="3" t="s">
        <v>113</v>
      </c>
      <c r="U772" s="11">
        <v>27</v>
      </c>
      <c r="V772" s="3" t="s">
        <v>5763</v>
      </c>
      <c r="W772" s="8" t="s">
        <v>7834</v>
      </c>
    </row>
    <row r="773" spans="1:23" x14ac:dyDescent="0.25">
      <c r="A773" s="2">
        <v>1413</v>
      </c>
      <c r="B773" s="3" t="s">
        <v>5763</v>
      </c>
      <c r="C773" s="3">
        <v>2024</v>
      </c>
      <c r="D773" s="3" t="s">
        <v>2967</v>
      </c>
      <c r="E773" s="3" t="s">
        <v>206</v>
      </c>
      <c r="F773" s="1" t="s">
        <v>7834</v>
      </c>
      <c r="G773" s="10"/>
      <c r="H773" s="10"/>
      <c r="I773" s="10"/>
      <c r="J773" s="10"/>
      <c r="K773" s="10">
        <v>2</v>
      </c>
      <c r="L773" s="3" t="s">
        <v>5820</v>
      </c>
      <c r="M773" s="3" t="s">
        <v>5821</v>
      </c>
      <c r="N773" s="3" t="s">
        <v>5822</v>
      </c>
      <c r="O773" s="3"/>
      <c r="P773" s="3"/>
      <c r="Q773" s="3"/>
      <c r="R773" s="3"/>
      <c r="S773" s="3" t="s">
        <v>5823</v>
      </c>
      <c r="T773" s="3" t="s">
        <v>113</v>
      </c>
      <c r="U773" s="11">
        <v>28</v>
      </c>
      <c r="V773" s="3" t="s">
        <v>5763</v>
      </c>
      <c r="W773" s="8" t="s">
        <v>7834</v>
      </c>
    </row>
    <row r="774" spans="1:23" x14ac:dyDescent="0.25">
      <c r="A774" s="2">
        <v>1434</v>
      </c>
      <c r="B774" s="3" t="s">
        <v>5873</v>
      </c>
      <c r="C774" s="3">
        <v>2024</v>
      </c>
      <c r="D774" s="3" t="s">
        <v>1028</v>
      </c>
      <c r="E774" s="3" t="s">
        <v>15</v>
      </c>
      <c r="F774" s="1" t="s">
        <v>7834</v>
      </c>
      <c r="G774" s="10"/>
      <c r="H774" s="10"/>
      <c r="I774" s="10"/>
      <c r="J774" s="10"/>
      <c r="K774" s="10"/>
      <c r="L774" s="3" t="s">
        <v>2349</v>
      </c>
      <c r="M774" s="3" t="s">
        <v>5907</v>
      </c>
      <c r="N774" s="3" t="s">
        <v>976</v>
      </c>
      <c r="O774" s="3">
        <v>14</v>
      </c>
      <c r="P774" s="3">
        <v>10</v>
      </c>
      <c r="Q774" s="3" t="s">
        <v>5908</v>
      </c>
      <c r="R774" s="3" t="s">
        <v>880</v>
      </c>
      <c r="S774" s="3" t="s">
        <v>2351</v>
      </c>
      <c r="T774" s="3" t="s">
        <v>113</v>
      </c>
      <c r="U774" s="11">
        <v>29</v>
      </c>
      <c r="V774" s="3" t="s">
        <v>5873</v>
      </c>
      <c r="W774" s="8" t="s">
        <v>7834</v>
      </c>
    </row>
    <row r="775" spans="1:23" x14ac:dyDescent="0.25">
      <c r="A775" s="2">
        <v>1436</v>
      </c>
      <c r="B775" s="3" t="s">
        <v>5873</v>
      </c>
      <c r="C775" s="3">
        <v>2024</v>
      </c>
      <c r="D775" s="3" t="s">
        <v>1593</v>
      </c>
      <c r="E775" s="3" t="s">
        <v>15</v>
      </c>
      <c r="F775" s="1" t="s">
        <v>7834</v>
      </c>
      <c r="G775" s="10"/>
      <c r="H775" s="10"/>
      <c r="I775" s="10"/>
      <c r="J775" s="10"/>
      <c r="K775" s="10"/>
      <c r="L775" s="3" t="s">
        <v>2357</v>
      </c>
      <c r="M775" s="3" t="s">
        <v>5911</v>
      </c>
      <c r="N775" s="3" t="s">
        <v>976</v>
      </c>
      <c r="O775" s="3">
        <v>14</v>
      </c>
      <c r="P775" s="3">
        <v>2</v>
      </c>
      <c r="Q775" s="3" t="s">
        <v>5912</v>
      </c>
      <c r="R775" s="3" t="s">
        <v>880</v>
      </c>
      <c r="S775" s="3" t="s">
        <v>2359</v>
      </c>
      <c r="T775" s="3" t="s">
        <v>113</v>
      </c>
      <c r="U775" s="11">
        <v>30</v>
      </c>
      <c r="V775" s="3" t="s">
        <v>5873</v>
      </c>
      <c r="W775" s="8" t="s">
        <v>7834</v>
      </c>
    </row>
    <row r="776" spans="1:23" x14ac:dyDescent="0.25">
      <c r="A776" s="2">
        <v>1444</v>
      </c>
      <c r="B776" s="3" t="s">
        <v>5873</v>
      </c>
      <c r="C776" s="3">
        <v>2024</v>
      </c>
      <c r="D776" s="3" t="s">
        <v>788</v>
      </c>
      <c r="E776" s="3" t="s">
        <v>15</v>
      </c>
      <c r="F776" s="1" t="s">
        <v>7834</v>
      </c>
      <c r="G776" s="10"/>
      <c r="H776" s="10"/>
      <c r="I776" s="10"/>
      <c r="J776" s="10"/>
      <c r="K776" s="10"/>
      <c r="L776" s="3" t="s">
        <v>877</v>
      </c>
      <c r="M776" s="3" t="s">
        <v>5937</v>
      </c>
      <c r="N776" s="3" t="s">
        <v>976</v>
      </c>
      <c r="O776" s="3">
        <v>14</v>
      </c>
      <c r="P776" s="3">
        <v>7</v>
      </c>
      <c r="Q776" s="3" t="s">
        <v>5938</v>
      </c>
      <c r="R776" s="3" t="s">
        <v>880</v>
      </c>
      <c r="S776" s="3" t="s">
        <v>881</v>
      </c>
      <c r="T776" s="3" t="s">
        <v>113</v>
      </c>
      <c r="U776" s="11">
        <v>31</v>
      </c>
      <c r="V776" s="3" t="s">
        <v>5873</v>
      </c>
      <c r="W776" s="8" t="s">
        <v>7834</v>
      </c>
    </row>
    <row r="777" spans="1:23" x14ac:dyDescent="0.25">
      <c r="A777" s="2">
        <v>1448</v>
      </c>
      <c r="B777" s="3" t="s">
        <v>5873</v>
      </c>
      <c r="C777" s="3">
        <v>2024</v>
      </c>
      <c r="D777" s="3" t="s">
        <v>5948</v>
      </c>
      <c r="E777" s="3" t="s">
        <v>15</v>
      </c>
      <c r="F777" s="1" t="s">
        <v>7834</v>
      </c>
      <c r="G777" s="10"/>
      <c r="H777" s="10"/>
      <c r="I777" s="10"/>
      <c r="J777" s="10"/>
      <c r="K777" s="10"/>
      <c r="L777" s="3" t="s">
        <v>5949</v>
      </c>
      <c r="M777" s="3" t="s">
        <v>5950</v>
      </c>
      <c r="N777" s="3" t="s">
        <v>976</v>
      </c>
      <c r="O777" s="3">
        <v>14</v>
      </c>
      <c r="P777" s="3">
        <v>3</v>
      </c>
      <c r="Q777" s="3" t="s">
        <v>5951</v>
      </c>
      <c r="R777" s="3" t="s">
        <v>880</v>
      </c>
      <c r="S777" s="3" t="s">
        <v>5952</v>
      </c>
      <c r="T777" s="3" t="s">
        <v>113</v>
      </c>
      <c r="U777" s="11">
        <v>32</v>
      </c>
      <c r="V777" s="3" t="s">
        <v>5873</v>
      </c>
      <c r="W777" s="8" t="s">
        <v>7834</v>
      </c>
    </row>
    <row r="778" spans="1:23" x14ac:dyDescent="0.25">
      <c r="A778" s="2">
        <v>1450</v>
      </c>
      <c r="B778" s="3" t="s">
        <v>5873</v>
      </c>
      <c r="C778" s="3">
        <v>2024</v>
      </c>
      <c r="D778" s="3" t="s">
        <v>702</v>
      </c>
      <c r="E778" s="3" t="s">
        <v>15</v>
      </c>
      <c r="F778" s="1" t="s">
        <v>7834</v>
      </c>
      <c r="G778" s="10">
        <v>26</v>
      </c>
      <c r="H778" s="10"/>
      <c r="I778" s="10"/>
      <c r="J778" s="10"/>
      <c r="K778" s="10"/>
      <c r="L778" s="3" t="s">
        <v>5958</v>
      </c>
      <c r="M778" s="3" t="s">
        <v>5959</v>
      </c>
      <c r="N778" s="3" t="s">
        <v>5960</v>
      </c>
      <c r="O778" s="3">
        <v>26</v>
      </c>
      <c r="P778" s="3">
        <v>5</v>
      </c>
      <c r="Q778" s="3" t="s">
        <v>5961</v>
      </c>
      <c r="R778" s="3" t="s">
        <v>5962</v>
      </c>
      <c r="S778" s="3" t="s">
        <v>5963</v>
      </c>
      <c r="T778" s="3" t="s">
        <v>113</v>
      </c>
      <c r="U778" s="11">
        <v>33</v>
      </c>
      <c r="V778" s="3" t="s">
        <v>5873</v>
      </c>
      <c r="W778" s="8" t="s">
        <v>7834</v>
      </c>
    </row>
    <row r="779" spans="1:23" x14ac:dyDescent="0.25">
      <c r="A779" s="2">
        <v>1451</v>
      </c>
      <c r="B779" s="3" t="s">
        <v>5964</v>
      </c>
      <c r="C779" s="3">
        <v>2024</v>
      </c>
      <c r="D779" s="3" t="s">
        <v>107</v>
      </c>
      <c r="E779" s="3" t="s">
        <v>15</v>
      </c>
      <c r="F779" s="1" t="s">
        <v>7834</v>
      </c>
      <c r="G779" s="10"/>
      <c r="H779" s="10"/>
      <c r="I779" s="10"/>
      <c r="J779" s="10"/>
      <c r="K779" s="10"/>
      <c r="L779" s="3" t="s">
        <v>5965</v>
      </c>
      <c r="M779" s="3" t="s">
        <v>5966</v>
      </c>
      <c r="N779" s="3" t="s">
        <v>5967</v>
      </c>
      <c r="O779" s="3">
        <v>28</v>
      </c>
      <c r="P779" s="3">
        <v>55</v>
      </c>
      <c r="Q779" s="3">
        <v>181</v>
      </c>
      <c r="R779" s="3" t="s">
        <v>5968</v>
      </c>
      <c r="S779" s="3" t="s">
        <v>5969</v>
      </c>
      <c r="T779" s="3" t="s">
        <v>113</v>
      </c>
      <c r="U779" s="11">
        <v>34</v>
      </c>
      <c r="V779" s="3" t="s">
        <v>5964</v>
      </c>
      <c r="W779" s="8" t="s">
        <v>7834</v>
      </c>
    </row>
    <row r="780" spans="1:23" x14ac:dyDescent="0.25">
      <c r="A780" s="2">
        <v>1453</v>
      </c>
      <c r="B780" s="3" t="s">
        <v>5964</v>
      </c>
      <c r="C780" s="3">
        <v>2024</v>
      </c>
      <c r="D780" s="3" t="s">
        <v>3674</v>
      </c>
      <c r="E780" s="3" t="s">
        <v>15</v>
      </c>
      <c r="F780" s="1" t="s">
        <v>7834</v>
      </c>
      <c r="G780" s="10"/>
      <c r="H780" s="10"/>
      <c r="I780" s="10"/>
      <c r="J780" s="10"/>
      <c r="K780" s="10"/>
      <c r="L780" s="3" t="s">
        <v>5975</v>
      </c>
      <c r="M780" s="3" t="s">
        <v>5976</v>
      </c>
      <c r="N780" s="3" t="s">
        <v>5977</v>
      </c>
      <c r="O780" s="3">
        <v>24</v>
      </c>
      <c r="P780" s="3"/>
      <c r="Q780" s="3"/>
      <c r="R780" s="3" t="s">
        <v>5978</v>
      </c>
      <c r="S780" s="3" t="s">
        <v>5979</v>
      </c>
      <c r="T780" s="3" t="s">
        <v>113</v>
      </c>
      <c r="U780" s="11">
        <v>35</v>
      </c>
      <c r="V780" s="3" t="s">
        <v>5964</v>
      </c>
      <c r="W780" s="8" t="s">
        <v>7834</v>
      </c>
    </row>
    <row r="781" spans="1:23" x14ac:dyDescent="0.25">
      <c r="A781" s="2">
        <v>1462</v>
      </c>
      <c r="B781" s="3" t="s">
        <v>5964</v>
      </c>
      <c r="C781" s="3">
        <v>2024</v>
      </c>
      <c r="D781" s="3" t="s">
        <v>2748</v>
      </c>
      <c r="E781" s="3" t="s">
        <v>15</v>
      </c>
      <c r="F781" s="1" t="s">
        <v>7834</v>
      </c>
      <c r="G781" s="10"/>
      <c r="H781" s="10"/>
      <c r="I781" s="10"/>
      <c r="J781" s="10"/>
      <c r="K781" s="10"/>
      <c r="L781" s="3" t="s">
        <v>6010</v>
      </c>
      <c r="M781" s="3" t="s">
        <v>6011</v>
      </c>
      <c r="N781" s="3" t="s">
        <v>6012</v>
      </c>
      <c r="O781" s="3">
        <v>92</v>
      </c>
      <c r="P781" s="3">
        <v>3</v>
      </c>
      <c r="Q781" s="3">
        <v>393</v>
      </c>
      <c r="R781" s="3" t="s">
        <v>6013</v>
      </c>
      <c r="S781" s="3" t="s">
        <v>6014</v>
      </c>
      <c r="T781" s="3" t="s">
        <v>113</v>
      </c>
      <c r="U781" s="11">
        <v>36</v>
      </c>
      <c r="V781" s="3" t="s">
        <v>5964</v>
      </c>
      <c r="W781" s="8" t="s">
        <v>7834</v>
      </c>
    </row>
    <row r="782" spans="1:23" x14ac:dyDescent="0.25">
      <c r="A782" s="2">
        <v>1464</v>
      </c>
      <c r="B782" s="3" t="s">
        <v>5964</v>
      </c>
      <c r="C782" s="3">
        <v>2024</v>
      </c>
      <c r="D782" s="3" t="s">
        <v>1067</v>
      </c>
      <c r="E782" s="3" t="s">
        <v>15</v>
      </c>
      <c r="F782" s="1" t="s">
        <v>7834</v>
      </c>
      <c r="G782" s="10"/>
      <c r="H782" s="10"/>
      <c r="I782" s="10"/>
      <c r="J782" s="10"/>
      <c r="K782" s="10"/>
      <c r="L782" s="3" t="s">
        <v>6019</v>
      </c>
      <c r="M782" s="3" t="s">
        <v>6020</v>
      </c>
      <c r="N782" s="3" t="s">
        <v>6021</v>
      </c>
      <c r="O782" s="3"/>
      <c r="P782" s="3"/>
      <c r="Q782" s="3">
        <v>1</v>
      </c>
      <c r="R782" s="3" t="s">
        <v>6022</v>
      </c>
      <c r="S782" s="3" t="s">
        <v>6023</v>
      </c>
      <c r="T782" s="3" t="s">
        <v>113</v>
      </c>
      <c r="U782" s="11">
        <v>37</v>
      </c>
      <c r="V782" s="3" t="s">
        <v>5964</v>
      </c>
      <c r="W782" s="8" t="s">
        <v>7834</v>
      </c>
    </row>
    <row r="783" spans="1:23" x14ac:dyDescent="0.25">
      <c r="A783" s="2">
        <v>1471</v>
      </c>
      <c r="B783" s="3" t="s">
        <v>5964</v>
      </c>
      <c r="C783" s="3">
        <v>2024</v>
      </c>
      <c r="D783" s="3" t="s">
        <v>639</v>
      </c>
      <c r="E783" s="3" t="s">
        <v>15</v>
      </c>
      <c r="F783" s="1" t="s">
        <v>7834</v>
      </c>
      <c r="G783" s="10"/>
      <c r="H783" s="10"/>
      <c r="I783" s="10"/>
      <c r="J783" s="10"/>
      <c r="K783" s="10"/>
      <c r="L783" s="3" t="s">
        <v>6050</v>
      </c>
      <c r="M783" s="3" t="s">
        <v>6051</v>
      </c>
      <c r="N783" s="3" t="s">
        <v>6052</v>
      </c>
      <c r="O783" s="3">
        <v>78</v>
      </c>
      <c r="P783" s="3">
        <v>241</v>
      </c>
      <c r="Q783" s="3" t="s">
        <v>6053</v>
      </c>
      <c r="R783" s="3" t="s">
        <v>6054</v>
      </c>
      <c r="S783" s="3">
        <v>0</v>
      </c>
      <c r="T783" s="3" t="s">
        <v>113</v>
      </c>
      <c r="U783" s="11">
        <v>38</v>
      </c>
      <c r="V783" s="3" t="s">
        <v>5964</v>
      </c>
      <c r="W783" s="8" t="s">
        <v>7834</v>
      </c>
    </row>
    <row r="784" spans="1:23" x14ac:dyDescent="0.25">
      <c r="A784" s="2">
        <v>1472</v>
      </c>
      <c r="B784" s="3" t="s">
        <v>5964</v>
      </c>
      <c r="C784" s="3">
        <v>2024</v>
      </c>
      <c r="D784" s="3" t="s">
        <v>639</v>
      </c>
      <c r="E784" s="3" t="s">
        <v>15</v>
      </c>
      <c r="F784" s="1" t="s">
        <v>7834</v>
      </c>
      <c r="G784" s="10"/>
      <c r="H784" s="10"/>
      <c r="I784" s="10"/>
      <c r="J784" s="10"/>
      <c r="K784" s="10"/>
      <c r="L784" s="3" t="s">
        <v>6055</v>
      </c>
      <c r="M784" s="3" t="s">
        <v>6056</v>
      </c>
      <c r="N784" s="3" t="s">
        <v>6052</v>
      </c>
      <c r="O784" s="3">
        <v>78</v>
      </c>
      <c r="P784" s="3">
        <v>241</v>
      </c>
      <c r="Q784" s="3" t="s">
        <v>6057</v>
      </c>
      <c r="R784" s="3" t="s">
        <v>6054</v>
      </c>
      <c r="S784" s="3">
        <v>0</v>
      </c>
      <c r="T784" s="3" t="s">
        <v>113</v>
      </c>
      <c r="U784" s="11">
        <v>39</v>
      </c>
      <c r="V784" s="3" t="s">
        <v>5964</v>
      </c>
      <c r="W784" s="8" t="s">
        <v>7834</v>
      </c>
    </row>
    <row r="785" spans="1:23" x14ac:dyDescent="0.25">
      <c r="A785" s="2">
        <v>1463</v>
      </c>
      <c r="B785" s="3" t="s">
        <v>5964</v>
      </c>
      <c r="C785" s="3">
        <v>2024</v>
      </c>
      <c r="D785" s="3" t="s">
        <v>2004</v>
      </c>
      <c r="E785" s="3" t="s">
        <v>206</v>
      </c>
      <c r="F785" s="1" t="s">
        <v>7834</v>
      </c>
      <c r="G785" s="10"/>
      <c r="H785" s="10"/>
      <c r="I785" s="10"/>
      <c r="J785" s="10"/>
      <c r="K785" s="10"/>
      <c r="L785" s="3" t="s">
        <v>6015</v>
      </c>
      <c r="M785" s="3" t="s">
        <v>6016</v>
      </c>
      <c r="N785" s="3" t="s">
        <v>6017</v>
      </c>
      <c r="O785" s="3">
        <v>25</v>
      </c>
      <c r="P785" s="3"/>
      <c r="Q785" s="3">
        <v>1</v>
      </c>
      <c r="R785" s="3"/>
      <c r="S785" s="3" t="s">
        <v>6018</v>
      </c>
      <c r="T785" s="3" t="s">
        <v>113</v>
      </c>
      <c r="U785" s="11">
        <v>40</v>
      </c>
      <c r="V785" s="3" t="s">
        <v>5964</v>
      </c>
      <c r="W785" s="8" t="s">
        <v>7834</v>
      </c>
    </row>
    <row r="786" spans="1:23" x14ac:dyDescent="0.25">
      <c r="A786" s="2">
        <v>1470</v>
      </c>
      <c r="B786" s="3" t="s">
        <v>5964</v>
      </c>
      <c r="C786" s="3">
        <v>2024</v>
      </c>
      <c r="D786" s="3" t="s">
        <v>2197</v>
      </c>
      <c r="E786" s="3" t="s">
        <v>206</v>
      </c>
      <c r="F786" s="1" t="s">
        <v>7834</v>
      </c>
      <c r="G786" s="10"/>
      <c r="H786" s="10"/>
      <c r="I786" s="10"/>
      <c r="J786" s="10"/>
      <c r="K786" s="10"/>
      <c r="L786" s="3" t="s">
        <v>6045</v>
      </c>
      <c r="M786" s="3" t="s">
        <v>6046</v>
      </c>
      <c r="N786" s="3" t="s">
        <v>6047</v>
      </c>
      <c r="O786" s="3"/>
      <c r="P786" s="3">
        <v>74</v>
      </c>
      <c r="Q786" s="3">
        <v>1</v>
      </c>
      <c r="R786" s="3" t="s">
        <v>6048</v>
      </c>
      <c r="S786" s="3" t="s">
        <v>6049</v>
      </c>
      <c r="T786" s="3" t="s">
        <v>113</v>
      </c>
      <c r="U786" s="11">
        <v>41</v>
      </c>
      <c r="V786" s="3" t="s">
        <v>5964</v>
      </c>
      <c r="W786" s="8" t="s">
        <v>7834</v>
      </c>
    </row>
    <row r="787" spans="1:23" x14ac:dyDescent="0.25">
      <c r="A787" s="2">
        <v>1499</v>
      </c>
      <c r="B787" s="3" t="s">
        <v>6168</v>
      </c>
      <c r="C787" s="3">
        <v>2024</v>
      </c>
      <c r="D787" s="3" t="s">
        <v>2067</v>
      </c>
      <c r="E787" s="3" t="s">
        <v>15</v>
      </c>
      <c r="F787" s="1" t="s">
        <v>7834</v>
      </c>
      <c r="G787" s="10"/>
      <c r="H787" s="10"/>
      <c r="I787" s="10"/>
      <c r="J787" s="10"/>
      <c r="K787" s="10"/>
      <c r="L787" s="3" t="s">
        <v>6169</v>
      </c>
      <c r="M787" s="3" t="s">
        <v>6170</v>
      </c>
      <c r="N787" s="3" t="s">
        <v>6171</v>
      </c>
      <c r="O787" s="3">
        <v>53</v>
      </c>
      <c r="P787" s="3"/>
      <c r="Q787" s="3">
        <v>14028</v>
      </c>
      <c r="R787" s="3" t="s">
        <v>413</v>
      </c>
      <c r="S787" s="3" t="s">
        <v>6172</v>
      </c>
      <c r="T787" s="3" t="s">
        <v>113</v>
      </c>
      <c r="U787" s="11">
        <v>42</v>
      </c>
      <c r="V787" s="3" t="s">
        <v>6168</v>
      </c>
      <c r="W787" s="8" t="s">
        <v>7834</v>
      </c>
    </row>
    <row r="788" spans="1:23" x14ac:dyDescent="0.25">
      <c r="A788" s="2">
        <v>1500</v>
      </c>
      <c r="B788" s="3" t="s">
        <v>6168</v>
      </c>
      <c r="C788" s="3">
        <v>2024</v>
      </c>
      <c r="D788" s="3" t="s">
        <v>2618</v>
      </c>
      <c r="E788" s="3" t="s">
        <v>15</v>
      </c>
      <c r="F788" s="1" t="s">
        <v>7834</v>
      </c>
      <c r="G788" s="10"/>
      <c r="H788" s="10"/>
      <c r="I788" s="10"/>
      <c r="J788" s="10"/>
      <c r="K788" s="10"/>
      <c r="L788" s="3" t="s">
        <v>6173</v>
      </c>
      <c r="M788" s="3" t="s">
        <v>6174</v>
      </c>
      <c r="N788" s="3" t="s">
        <v>6171</v>
      </c>
      <c r="O788" s="3">
        <v>53</v>
      </c>
      <c r="P788" s="3"/>
      <c r="Q788" s="3">
        <v>10486</v>
      </c>
      <c r="R788" s="3" t="s">
        <v>413</v>
      </c>
      <c r="S788" s="3" t="s">
        <v>6175</v>
      </c>
      <c r="T788" s="3" t="s">
        <v>113</v>
      </c>
      <c r="U788" s="11">
        <v>43</v>
      </c>
      <c r="V788" s="3" t="s">
        <v>6168</v>
      </c>
      <c r="W788" s="8" t="s">
        <v>7834</v>
      </c>
    </row>
    <row r="789" spans="1:23" x14ac:dyDescent="0.25">
      <c r="A789" s="2">
        <v>1501</v>
      </c>
      <c r="B789" s="3" t="s">
        <v>6168</v>
      </c>
      <c r="C789" s="3">
        <v>2024</v>
      </c>
      <c r="D789" s="3" t="s">
        <v>2469</v>
      </c>
      <c r="E789" s="3" t="s">
        <v>15</v>
      </c>
      <c r="F789" s="1" t="s">
        <v>7834</v>
      </c>
      <c r="G789" s="10"/>
      <c r="H789" s="10"/>
      <c r="I789" s="10"/>
      <c r="J789" s="10"/>
      <c r="K789" s="10"/>
      <c r="L789" s="3" t="s">
        <v>6176</v>
      </c>
      <c r="M789" s="3" t="s">
        <v>6177</v>
      </c>
      <c r="N789" s="3" t="s">
        <v>6178</v>
      </c>
      <c r="O789" s="3">
        <v>72</v>
      </c>
      <c r="P789" s="3"/>
      <c r="Q789" s="3">
        <v>18</v>
      </c>
      <c r="R789" s="3" t="s">
        <v>6179</v>
      </c>
      <c r="S789" s="3" t="s">
        <v>6180</v>
      </c>
      <c r="T789" s="3" t="s">
        <v>113</v>
      </c>
      <c r="U789" s="11">
        <v>44</v>
      </c>
      <c r="V789" s="3" t="s">
        <v>6168</v>
      </c>
      <c r="W789" s="8" t="s">
        <v>7834</v>
      </c>
    </row>
    <row r="790" spans="1:23" x14ac:dyDescent="0.25">
      <c r="A790" s="2">
        <v>1502</v>
      </c>
      <c r="B790" s="3" t="s">
        <v>6168</v>
      </c>
      <c r="C790" s="3">
        <v>2024</v>
      </c>
      <c r="D790" s="3" t="s">
        <v>5487</v>
      </c>
      <c r="E790" s="3" t="s">
        <v>15</v>
      </c>
      <c r="F790" s="1" t="s">
        <v>7834</v>
      </c>
      <c r="G790" s="10"/>
      <c r="H790" s="10"/>
      <c r="I790" s="10"/>
      <c r="J790" s="10"/>
      <c r="K790" s="10"/>
      <c r="L790" s="3" t="s">
        <v>6181</v>
      </c>
      <c r="M790" s="3" t="s">
        <v>6182</v>
      </c>
      <c r="N790" s="3" t="s">
        <v>6183</v>
      </c>
      <c r="O790" s="3">
        <v>845</v>
      </c>
      <c r="P790" s="3"/>
      <c r="Q790" s="3">
        <v>141288</v>
      </c>
      <c r="R790" s="3" t="s">
        <v>6184</v>
      </c>
      <c r="S790" s="3" t="s">
        <v>6185</v>
      </c>
      <c r="T790" s="3" t="s">
        <v>113</v>
      </c>
      <c r="U790" s="11">
        <v>45</v>
      </c>
      <c r="V790" s="3" t="s">
        <v>6168</v>
      </c>
      <c r="W790" s="8" t="s">
        <v>7834</v>
      </c>
    </row>
    <row r="791" spans="1:23" x14ac:dyDescent="0.25">
      <c r="A791" s="2">
        <v>1505</v>
      </c>
      <c r="B791" s="3" t="s">
        <v>6168</v>
      </c>
      <c r="C791" s="3">
        <v>2024</v>
      </c>
      <c r="D791" s="3" t="s">
        <v>2414</v>
      </c>
      <c r="E791" s="3" t="s">
        <v>15</v>
      </c>
      <c r="F791" s="1" t="s">
        <v>7834</v>
      </c>
      <c r="G791" s="10"/>
      <c r="H791" s="10"/>
      <c r="I791" s="10"/>
      <c r="J791" s="10"/>
      <c r="K791" s="10"/>
      <c r="L791" s="3" t="s">
        <v>6198</v>
      </c>
      <c r="M791" s="3" t="s">
        <v>6199</v>
      </c>
      <c r="N791" s="3" t="s">
        <v>6200</v>
      </c>
      <c r="O791" s="3">
        <v>17</v>
      </c>
      <c r="P791" s="3" t="s">
        <v>6201</v>
      </c>
      <c r="Q791" s="3">
        <v>1</v>
      </c>
      <c r="R791" s="3" t="s">
        <v>6196</v>
      </c>
      <c r="S791" s="3" t="s">
        <v>6202</v>
      </c>
      <c r="T791" s="3" t="s">
        <v>113</v>
      </c>
      <c r="U791" s="11">
        <v>46</v>
      </c>
      <c r="V791" s="3" t="s">
        <v>6168</v>
      </c>
      <c r="W791" s="8" t="s">
        <v>7834</v>
      </c>
    </row>
    <row r="792" spans="1:23" x14ac:dyDescent="0.25">
      <c r="A792" s="2">
        <v>1506</v>
      </c>
      <c r="B792" s="3" t="s">
        <v>6168</v>
      </c>
      <c r="C792" s="3">
        <v>2024</v>
      </c>
      <c r="D792" s="3" t="s">
        <v>389</v>
      </c>
      <c r="E792" s="3" t="s">
        <v>15</v>
      </c>
      <c r="F792" s="1" t="s">
        <v>7834</v>
      </c>
      <c r="G792" s="10"/>
      <c r="H792" s="10"/>
      <c r="I792" s="10"/>
      <c r="J792" s="10"/>
      <c r="K792" s="10"/>
      <c r="L792" s="3" t="s">
        <v>6203</v>
      </c>
      <c r="M792" s="3" t="s">
        <v>6204</v>
      </c>
      <c r="N792" s="3" t="s">
        <v>6205</v>
      </c>
      <c r="O792" s="3">
        <v>99</v>
      </c>
      <c r="P792" s="3">
        <v>12</v>
      </c>
      <c r="Q792" s="3">
        <v>2522</v>
      </c>
      <c r="R792" s="3" t="s">
        <v>6206</v>
      </c>
      <c r="S792" s="3" t="s">
        <v>6207</v>
      </c>
      <c r="T792" s="3" t="s">
        <v>113</v>
      </c>
      <c r="U792" s="11">
        <v>47</v>
      </c>
      <c r="V792" s="3" t="s">
        <v>6168</v>
      </c>
      <c r="W792" s="8" t="s">
        <v>7834</v>
      </c>
    </row>
    <row r="793" spans="1:23" x14ac:dyDescent="0.25">
      <c r="A793" s="2">
        <v>1507</v>
      </c>
      <c r="B793" s="3" t="s">
        <v>6168</v>
      </c>
      <c r="C793" s="3">
        <v>2024</v>
      </c>
      <c r="D793" s="3" t="s">
        <v>536</v>
      </c>
      <c r="E793" s="3" t="s">
        <v>15</v>
      </c>
      <c r="F793" s="1" t="s">
        <v>7834</v>
      </c>
      <c r="G793" s="10"/>
      <c r="H793" s="10"/>
      <c r="I793" s="10"/>
      <c r="J793" s="10"/>
      <c r="K793" s="10"/>
      <c r="L793" s="3" t="s">
        <v>6208</v>
      </c>
      <c r="M793" s="3" t="s">
        <v>6209</v>
      </c>
      <c r="N793" s="3" t="s">
        <v>6210</v>
      </c>
      <c r="O793" s="3">
        <v>14</v>
      </c>
      <c r="P793" s="3">
        <v>510</v>
      </c>
      <c r="Q793" s="3">
        <v>1</v>
      </c>
      <c r="R793" s="3" t="s">
        <v>3198</v>
      </c>
      <c r="S793" s="3" t="s">
        <v>6211</v>
      </c>
      <c r="T793" s="3" t="s">
        <v>113</v>
      </c>
      <c r="U793" s="11">
        <v>48</v>
      </c>
      <c r="V793" s="3" t="s">
        <v>6168</v>
      </c>
      <c r="W793" s="8" t="s">
        <v>7834</v>
      </c>
    </row>
    <row r="794" spans="1:23" x14ac:dyDescent="0.25">
      <c r="A794" s="2">
        <v>1511</v>
      </c>
      <c r="B794" s="3" t="s">
        <v>6168</v>
      </c>
      <c r="C794" s="3">
        <v>2024</v>
      </c>
      <c r="D794" s="3" t="s">
        <v>2116</v>
      </c>
      <c r="E794" s="3" t="s">
        <v>15</v>
      </c>
      <c r="F794" s="1" t="s">
        <v>7834</v>
      </c>
      <c r="G794" s="10"/>
      <c r="H794" s="10"/>
      <c r="I794" s="10"/>
      <c r="J794" s="10"/>
      <c r="K794" s="10"/>
      <c r="L794" s="3" t="s">
        <v>6228</v>
      </c>
      <c r="M794" s="3" t="s">
        <v>6229</v>
      </c>
      <c r="N794" s="3" t="s">
        <v>5553</v>
      </c>
      <c r="O794" s="3">
        <v>26</v>
      </c>
      <c r="P794" s="3">
        <v>16</v>
      </c>
      <c r="Q794" s="3">
        <v>3853</v>
      </c>
      <c r="R794" s="3" t="s">
        <v>6230</v>
      </c>
      <c r="S794" s="3" t="s">
        <v>6231</v>
      </c>
      <c r="T794" s="3" t="s">
        <v>113</v>
      </c>
      <c r="U794" s="11">
        <v>49</v>
      </c>
      <c r="V794" s="3" t="s">
        <v>6168</v>
      </c>
      <c r="W794" s="8" t="s">
        <v>7834</v>
      </c>
    </row>
    <row r="795" spans="1:23" x14ac:dyDescent="0.25">
      <c r="A795" s="2">
        <v>1512</v>
      </c>
      <c r="B795" s="3" t="s">
        <v>6168</v>
      </c>
      <c r="C795" s="3">
        <v>2024</v>
      </c>
      <c r="D795" s="3" t="s">
        <v>1459</v>
      </c>
      <c r="E795" s="3" t="s">
        <v>15</v>
      </c>
      <c r="F795" s="1" t="s">
        <v>7834</v>
      </c>
      <c r="G795" s="10"/>
      <c r="H795" s="10"/>
      <c r="I795" s="10"/>
      <c r="J795" s="10"/>
      <c r="K795" s="10"/>
      <c r="L795" s="3" t="s">
        <v>6232</v>
      </c>
      <c r="M795" s="3" t="s">
        <v>6233</v>
      </c>
      <c r="N795" s="3" t="s">
        <v>6234</v>
      </c>
      <c r="O795" s="3">
        <v>48</v>
      </c>
      <c r="P795" s="3">
        <v>31</v>
      </c>
      <c r="Q795" s="3">
        <v>14056</v>
      </c>
      <c r="R795" s="3" t="s">
        <v>6235</v>
      </c>
      <c r="S795" s="3" t="s">
        <v>6236</v>
      </c>
      <c r="T795" s="3" t="s">
        <v>113</v>
      </c>
      <c r="U795" s="11">
        <v>50</v>
      </c>
      <c r="V795" s="3" t="s">
        <v>6168</v>
      </c>
      <c r="W795" s="8" t="s">
        <v>7834</v>
      </c>
    </row>
    <row r="796" spans="1:23" x14ac:dyDescent="0.25">
      <c r="A796" s="2">
        <v>1513</v>
      </c>
      <c r="B796" s="3" t="s">
        <v>6168</v>
      </c>
      <c r="C796" s="3">
        <v>2024</v>
      </c>
      <c r="D796" s="3" t="s">
        <v>2618</v>
      </c>
      <c r="E796" s="3" t="s">
        <v>15</v>
      </c>
      <c r="F796" s="1" t="s">
        <v>7834</v>
      </c>
      <c r="G796" s="10"/>
      <c r="H796" s="10"/>
      <c r="I796" s="10"/>
      <c r="J796" s="10"/>
      <c r="K796" s="10"/>
      <c r="L796" s="3" t="s">
        <v>6237</v>
      </c>
      <c r="M796" s="3" t="s">
        <v>6238</v>
      </c>
      <c r="N796" s="3" t="s">
        <v>6239</v>
      </c>
      <c r="O796" s="3">
        <v>53</v>
      </c>
      <c r="P796" s="3">
        <v>25</v>
      </c>
      <c r="Q796" s="3">
        <v>10486</v>
      </c>
      <c r="R796" s="3" t="s">
        <v>6240</v>
      </c>
      <c r="S796" s="3" t="s">
        <v>6175</v>
      </c>
      <c r="T796" s="3" t="s">
        <v>113</v>
      </c>
      <c r="U796" s="11">
        <v>51</v>
      </c>
      <c r="V796" s="3" t="s">
        <v>6168</v>
      </c>
      <c r="W796" s="8" t="s">
        <v>7834</v>
      </c>
    </row>
    <row r="797" spans="1:23" x14ac:dyDescent="0.25">
      <c r="A797" s="2">
        <v>1516</v>
      </c>
      <c r="B797" s="3" t="s">
        <v>6168</v>
      </c>
      <c r="C797" s="3">
        <v>2024</v>
      </c>
      <c r="D797" s="3" t="s">
        <v>788</v>
      </c>
      <c r="E797" s="3" t="s">
        <v>15</v>
      </c>
      <c r="F797" s="1" t="s">
        <v>7834</v>
      </c>
      <c r="G797" s="10"/>
      <c r="H797" s="10"/>
      <c r="I797" s="10"/>
      <c r="J797" s="10"/>
      <c r="K797" s="10"/>
      <c r="L797" s="3" t="s">
        <v>6248</v>
      </c>
      <c r="M797" s="3" t="s">
        <v>6249</v>
      </c>
      <c r="N797" s="3" t="s">
        <v>6250</v>
      </c>
      <c r="O797" s="3">
        <v>24</v>
      </c>
      <c r="P797" s="3">
        <v>14</v>
      </c>
      <c r="Q797" s="3">
        <v>5898</v>
      </c>
      <c r="R797" s="3" t="s">
        <v>6251</v>
      </c>
      <c r="S797" s="3" t="s">
        <v>6252</v>
      </c>
      <c r="T797" s="3" t="s">
        <v>113</v>
      </c>
      <c r="U797" s="11">
        <v>52</v>
      </c>
      <c r="V797" s="3" t="s">
        <v>6168</v>
      </c>
      <c r="W797" s="8" t="s">
        <v>7834</v>
      </c>
    </row>
    <row r="798" spans="1:23" x14ac:dyDescent="0.25">
      <c r="A798" s="2">
        <v>1519</v>
      </c>
      <c r="B798" s="3" t="s">
        <v>6168</v>
      </c>
      <c r="C798" s="3">
        <v>2024</v>
      </c>
      <c r="D798" s="3" t="s">
        <v>2712</v>
      </c>
      <c r="E798" s="3" t="s">
        <v>15</v>
      </c>
      <c r="F798" s="1" t="s">
        <v>7834</v>
      </c>
      <c r="G798" s="10">
        <v>21</v>
      </c>
      <c r="H798" s="10"/>
      <c r="I798" s="10"/>
      <c r="J798" s="10"/>
      <c r="K798" s="10"/>
      <c r="L798" s="3" t="s">
        <v>6260</v>
      </c>
      <c r="M798" s="3" t="s">
        <v>6261</v>
      </c>
      <c r="N798" s="3" t="s">
        <v>6262</v>
      </c>
      <c r="O798" s="3">
        <v>16</v>
      </c>
      <c r="P798" s="3"/>
      <c r="Q798" s="3">
        <v>1</v>
      </c>
      <c r="R798" s="3" t="s">
        <v>3198</v>
      </c>
      <c r="S798" s="3" t="s">
        <v>6263</v>
      </c>
      <c r="T798" s="3" t="s">
        <v>113</v>
      </c>
      <c r="U798" s="11">
        <v>53</v>
      </c>
      <c r="V798" s="3" t="s">
        <v>6168</v>
      </c>
      <c r="W798" s="8" t="s">
        <v>7834</v>
      </c>
    </row>
    <row r="799" spans="1:23" x14ac:dyDescent="0.25">
      <c r="A799" s="2">
        <v>1535</v>
      </c>
      <c r="B799" s="3" t="s">
        <v>6264</v>
      </c>
      <c r="C799" s="3">
        <v>2024</v>
      </c>
      <c r="D799" s="3" t="s">
        <v>186</v>
      </c>
      <c r="E799" s="3" t="s">
        <v>15</v>
      </c>
      <c r="F799" s="1" t="s">
        <v>7834</v>
      </c>
      <c r="G799" s="10"/>
      <c r="H799" s="10"/>
      <c r="I799" s="10"/>
      <c r="J799" s="10"/>
      <c r="K799" s="10"/>
      <c r="L799" s="3" t="s">
        <v>6311</v>
      </c>
      <c r="M799" s="3" t="s">
        <v>6312</v>
      </c>
      <c r="N799" s="3" t="s">
        <v>6313</v>
      </c>
      <c r="O799" s="3">
        <v>2024</v>
      </c>
      <c r="P799" s="3">
        <v>7</v>
      </c>
      <c r="Q799" s="3"/>
      <c r="R799" s="3" t="s">
        <v>6314</v>
      </c>
      <c r="S799" s="3" t="s">
        <v>6315</v>
      </c>
      <c r="T799" s="3" t="s">
        <v>113</v>
      </c>
      <c r="U799" s="11">
        <v>54</v>
      </c>
      <c r="V799" s="3" t="s">
        <v>6264</v>
      </c>
      <c r="W799" s="8" t="s">
        <v>7834</v>
      </c>
    </row>
    <row r="800" spans="1:23" x14ac:dyDescent="0.25">
      <c r="A800" s="2">
        <v>1572</v>
      </c>
      <c r="B800" s="3" t="s">
        <v>6419</v>
      </c>
      <c r="C800" s="3">
        <v>2024</v>
      </c>
      <c r="D800" s="3" t="s">
        <v>1563</v>
      </c>
      <c r="E800" s="3" t="s">
        <v>15</v>
      </c>
      <c r="F800" s="1" t="s">
        <v>7834</v>
      </c>
      <c r="G800" s="10"/>
      <c r="H800" s="10"/>
      <c r="I800" s="10"/>
      <c r="J800" s="10"/>
      <c r="K800" s="10"/>
      <c r="L800" s="3" t="s">
        <v>6434</v>
      </c>
      <c r="M800" s="3" t="s">
        <v>6435</v>
      </c>
      <c r="N800" s="3" t="s">
        <v>6436</v>
      </c>
      <c r="O800" s="3"/>
      <c r="P800" s="3"/>
      <c r="Q800" s="3"/>
      <c r="R800" s="3" t="s">
        <v>6437</v>
      </c>
      <c r="S800" s="3" t="s">
        <v>6438</v>
      </c>
      <c r="T800" s="3" t="s">
        <v>113</v>
      </c>
      <c r="U800" s="11">
        <v>55</v>
      </c>
      <c r="V800" s="3" t="s">
        <v>6419</v>
      </c>
      <c r="W800" s="8" t="s">
        <v>7834</v>
      </c>
    </row>
    <row r="801" spans="1:23" x14ac:dyDescent="0.25">
      <c r="A801" s="2">
        <v>1582</v>
      </c>
      <c r="B801" s="3" t="s">
        <v>6419</v>
      </c>
      <c r="C801" s="3">
        <v>2024</v>
      </c>
      <c r="D801" s="3" t="s">
        <v>63</v>
      </c>
      <c r="E801" s="3" t="s">
        <v>15</v>
      </c>
      <c r="F801" s="1" t="s">
        <v>7834</v>
      </c>
      <c r="G801" s="10"/>
      <c r="H801" s="10"/>
      <c r="I801" s="10"/>
      <c r="J801" s="10"/>
      <c r="K801" s="10"/>
      <c r="L801" s="3" t="s">
        <v>6479</v>
      </c>
      <c r="M801" s="3" t="s">
        <v>6480</v>
      </c>
      <c r="N801" s="3" t="s">
        <v>6481</v>
      </c>
      <c r="O801" s="3"/>
      <c r="P801" s="3"/>
      <c r="Q801" s="3"/>
      <c r="R801" s="3" t="s">
        <v>6482</v>
      </c>
      <c r="S801" s="3" t="s">
        <v>6483</v>
      </c>
      <c r="T801" s="3" t="s">
        <v>113</v>
      </c>
      <c r="U801" s="11">
        <v>56</v>
      </c>
      <c r="V801" s="3" t="s">
        <v>6419</v>
      </c>
      <c r="W801" s="8" t="s">
        <v>7834</v>
      </c>
    </row>
    <row r="802" spans="1:23" x14ac:dyDescent="0.25">
      <c r="A802" s="2">
        <v>1588</v>
      </c>
      <c r="B802" s="3" t="s">
        <v>6493</v>
      </c>
      <c r="C802" s="3">
        <v>2024</v>
      </c>
      <c r="D802" s="3" t="s">
        <v>2051</v>
      </c>
      <c r="E802" s="3" t="s">
        <v>15</v>
      </c>
      <c r="F802" s="1" t="s">
        <v>7834</v>
      </c>
      <c r="G802" s="10"/>
      <c r="H802" s="10"/>
      <c r="I802" s="10"/>
      <c r="J802" s="10"/>
      <c r="K802" s="10"/>
      <c r="L802" s="3" t="s">
        <v>4435</v>
      </c>
      <c r="M802" s="3" t="s">
        <v>4436</v>
      </c>
      <c r="N802" s="3" t="s">
        <v>4437</v>
      </c>
      <c r="O802" s="3">
        <v>136</v>
      </c>
      <c r="P802" s="3">
        <v>1</v>
      </c>
      <c r="Q802" s="3">
        <v>8</v>
      </c>
      <c r="R802" s="3" t="s">
        <v>4438</v>
      </c>
      <c r="S802" s="3" t="s">
        <v>4439</v>
      </c>
      <c r="T802" s="3" t="s">
        <v>113</v>
      </c>
      <c r="U802" s="11">
        <v>57</v>
      </c>
      <c r="V802" s="3" t="s">
        <v>6493</v>
      </c>
      <c r="W802" s="8" t="s">
        <v>7834</v>
      </c>
    </row>
    <row r="803" spans="1:23" x14ac:dyDescent="0.25">
      <c r="A803" s="2">
        <v>1605</v>
      </c>
      <c r="B803" s="3" t="s">
        <v>6493</v>
      </c>
      <c r="C803" s="3">
        <v>2024</v>
      </c>
      <c r="D803" s="3" t="s">
        <v>295</v>
      </c>
      <c r="E803" s="3" t="s">
        <v>15</v>
      </c>
      <c r="F803" s="1" t="s">
        <v>7834</v>
      </c>
      <c r="G803" s="10">
        <v>6</v>
      </c>
      <c r="H803" s="10"/>
      <c r="I803" s="10"/>
      <c r="J803" s="10"/>
      <c r="K803" s="10"/>
      <c r="L803" s="3" t="s">
        <v>6549</v>
      </c>
      <c r="M803" s="3" t="s">
        <v>6550</v>
      </c>
      <c r="N803" s="3" t="s">
        <v>6500</v>
      </c>
      <c r="O803" s="3">
        <v>21</v>
      </c>
      <c r="P803" s="3">
        <v>12</v>
      </c>
      <c r="Q803" s="3"/>
      <c r="R803" s="3" t="s">
        <v>6501</v>
      </c>
      <c r="S803" s="3" t="s">
        <v>6551</v>
      </c>
      <c r="T803" s="3" t="s">
        <v>113</v>
      </c>
      <c r="U803" s="11">
        <v>58</v>
      </c>
      <c r="V803" s="3" t="s">
        <v>6493</v>
      </c>
      <c r="W803" s="8" t="s">
        <v>7834</v>
      </c>
    </row>
    <row r="804" spans="1:23" x14ac:dyDescent="0.25">
      <c r="A804" s="2">
        <v>1589</v>
      </c>
      <c r="B804" s="3" t="s">
        <v>6493</v>
      </c>
      <c r="C804" s="3">
        <v>2024</v>
      </c>
      <c r="D804" s="3" t="s">
        <v>6497</v>
      </c>
      <c r="E804" s="3" t="s">
        <v>206</v>
      </c>
      <c r="F804" s="1" t="s">
        <v>7834</v>
      </c>
      <c r="G804" s="10"/>
      <c r="H804" s="10"/>
      <c r="I804" s="10"/>
      <c r="J804" s="10"/>
      <c r="K804" s="10"/>
      <c r="L804" s="3" t="s">
        <v>6498</v>
      </c>
      <c r="M804" s="3" t="s">
        <v>6499</v>
      </c>
      <c r="N804" s="3" t="s">
        <v>6500</v>
      </c>
      <c r="O804" s="3">
        <v>21</v>
      </c>
      <c r="P804" s="3">
        <v>12</v>
      </c>
      <c r="Q804" s="3"/>
      <c r="R804" s="3" t="s">
        <v>6501</v>
      </c>
      <c r="S804" s="3" t="s">
        <v>6502</v>
      </c>
      <c r="T804" s="3" t="s">
        <v>113</v>
      </c>
      <c r="U804" s="11">
        <v>59</v>
      </c>
      <c r="V804" s="3" t="s">
        <v>6493</v>
      </c>
      <c r="W804" s="8" t="s">
        <v>7834</v>
      </c>
    </row>
    <row r="805" spans="1:23" x14ac:dyDescent="0.25">
      <c r="A805" s="2">
        <v>1632</v>
      </c>
      <c r="B805" s="3" t="s">
        <v>6614</v>
      </c>
      <c r="C805" s="3">
        <v>2024</v>
      </c>
      <c r="D805" s="3" t="s">
        <v>1177</v>
      </c>
      <c r="E805" s="3" t="s">
        <v>15</v>
      </c>
      <c r="F805" s="1" t="s">
        <v>7834</v>
      </c>
      <c r="G805" s="10"/>
      <c r="H805" s="10"/>
      <c r="I805" s="10"/>
      <c r="J805" s="10"/>
      <c r="K805" s="10"/>
      <c r="L805" s="3" t="s">
        <v>6643</v>
      </c>
      <c r="M805" s="3" t="s">
        <v>6644</v>
      </c>
      <c r="N805" s="3" t="s">
        <v>6645</v>
      </c>
      <c r="O805" s="3">
        <v>65</v>
      </c>
      <c r="P805" s="3">
        <v>2</v>
      </c>
      <c r="Q805" s="3">
        <v>683</v>
      </c>
      <c r="R805" s="3" t="s">
        <v>6646</v>
      </c>
      <c r="S805" s="3" t="s">
        <v>6647</v>
      </c>
      <c r="T805" s="3" t="s">
        <v>113</v>
      </c>
      <c r="U805" s="11">
        <v>60</v>
      </c>
      <c r="V805" s="3" t="s">
        <v>6614</v>
      </c>
      <c r="W805" s="8" t="s">
        <v>7834</v>
      </c>
    </row>
    <row r="806" spans="1:23" x14ac:dyDescent="0.25">
      <c r="A806" s="2">
        <v>1634</v>
      </c>
      <c r="B806" s="3" t="s">
        <v>6614</v>
      </c>
      <c r="C806" s="3">
        <v>2024</v>
      </c>
      <c r="D806" s="3" t="s">
        <v>59</v>
      </c>
      <c r="E806" s="3" t="s">
        <v>15</v>
      </c>
      <c r="F806" s="1" t="s">
        <v>7834</v>
      </c>
      <c r="G806" s="10"/>
      <c r="H806" s="10"/>
      <c r="I806" s="10"/>
      <c r="J806" s="10"/>
      <c r="K806" s="10"/>
      <c r="L806" s="3" t="s">
        <v>6652</v>
      </c>
      <c r="M806" s="3" t="s">
        <v>6653</v>
      </c>
      <c r="N806" s="3" t="s">
        <v>6654</v>
      </c>
      <c r="O806" s="3">
        <v>65</v>
      </c>
      <c r="P806" s="3">
        <v>2</v>
      </c>
      <c r="Q806" s="3">
        <v>571</v>
      </c>
      <c r="R806" s="3" t="s">
        <v>6646</v>
      </c>
      <c r="S806" s="3" t="s">
        <v>6655</v>
      </c>
      <c r="T806" s="3" t="s">
        <v>113</v>
      </c>
      <c r="U806" s="11">
        <v>61</v>
      </c>
      <c r="V806" s="3" t="s">
        <v>6614</v>
      </c>
      <c r="W806" s="8" t="s">
        <v>7834</v>
      </c>
    </row>
    <row r="807" spans="1:23" x14ac:dyDescent="0.25">
      <c r="A807" s="2">
        <v>1630</v>
      </c>
      <c r="B807" s="3" t="s">
        <v>6614</v>
      </c>
      <c r="C807" s="3">
        <v>2024</v>
      </c>
      <c r="D807" s="3" t="s">
        <v>894</v>
      </c>
      <c r="E807" s="3" t="s">
        <v>206</v>
      </c>
      <c r="F807" s="1" t="s">
        <v>7834</v>
      </c>
      <c r="G807" s="10"/>
      <c r="H807" s="10"/>
      <c r="I807" s="10"/>
      <c r="J807" s="10"/>
      <c r="K807" s="10"/>
      <c r="L807" s="3" t="s">
        <v>6636</v>
      </c>
      <c r="M807" s="3" t="s">
        <v>6637</v>
      </c>
      <c r="N807" s="3" t="s">
        <v>6638</v>
      </c>
      <c r="O807" s="3">
        <v>18</v>
      </c>
      <c r="P807" s="3"/>
      <c r="Q807" s="3">
        <v>1334</v>
      </c>
      <c r="R807" s="3"/>
      <c r="S807" s="3" t="s">
        <v>6639</v>
      </c>
      <c r="T807" s="3" t="s">
        <v>113</v>
      </c>
      <c r="U807" s="11">
        <v>62</v>
      </c>
      <c r="V807" s="3" t="s">
        <v>6614</v>
      </c>
      <c r="W807" s="8" t="s">
        <v>7834</v>
      </c>
    </row>
    <row r="808" spans="1:23" x14ac:dyDescent="0.25">
      <c r="A808" s="2">
        <v>1646</v>
      </c>
      <c r="B808" s="3" t="s">
        <v>6675</v>
      </c>
      <c r="C808" s="3">
        <v>2024</v>
      </c>
      <c r="D808" s="3" t="s">
        <v>1497</v>
      </c>
      <c r="E808" s="3" t="s">
        <v>15</v>
      </c>
      <c r="F808" s="1" t="s">
        <v>7834</v>
      </c>
      <c r="G808" s="10"/>
      <c r="H808" s="10"/>
      <c r="I808" s="10"/>
      <c r="J808" s="10"/>
      <c r="K808" s="10"/>
      <c r="L808" s="3" t="s">
        <v>6702</v>
      </c>
      <c r="M808" s="3" t="s">
        <v>6703</v>
      </c>
      <c r="N808" s="3" t="s">
        <v>6704</v>
      </c>
      <c r="O808" s="3">
        <v>51</v>
      </c>
      <c r="P808" s="3">
        <v>1</v>
      </c>
      <c r="Q808" s="3">
        <v>159</v>
      </c>
      <c r="R808" s="3" t="s">
        <v>6705</v>
      </c>
      <c r="S808" s="3" t="s">
        <v>6706</v>
      </c>
      <c r="T808" s="3" t="s">
        <v>113</v>
      </c>
      <c r="U808" s="11">
        <v>63</v>
      </c>
      <c r="V808" s="3" t="s">
        <v>6675</v>
      </c>
      <c r="W808" s="8" t="s">
        <v>7834</v>
      </c>
    </row>
    <row r="809" spans="1:23" x14ac:dyDescent="0.25">
      <c r="A809" s="2">
        <v>1652</v>
      </c>
      <c r="B809" s="3" t="s">
        <v>6675</v>
      </c>
      <c r="C809" s="3">
        <v>2024</v>
      </c>
      <c r="D809" s="3" t="s">
        <v>120</v>
      </c>
      <c r="E809" s="3" t="s">
        <v>15</v>
      </c>
      <c r="F809" s="1" t="s">
        <v>7834</v>
      </c>
      <c r="G809" s="10"/>
      <c r="H809" s="10"/>
      <c r="I809" s="10"/>
      <c r="J809" s="10"/>
      <c r="K809" s="10"/>
      <c r="L809" s="3" t="s">
        <v>6725</v>
      </c>
      <c r="M809" s="3" t="s">
        <v>6726</v>
      </c>
      <c r="N809" s="3" t="s">
        <v>6727</v>
      </c>
      <c r="O809" s="3">
        <v>68</v>
      </c>
      <c r="P809" s="3">
        <v>3</v>
      </c>
      <c r="Q809" s="3"/>
      <c r="R809" s="3" t="s">
        <v>6728</v>
      </c>
      <c r="S809" s="3" t="s">
        <v>6729</v>
      </c>
      <c r="T809" s="3" t="s">
        <v>113</v>
      </c>
      <c r="U809" s="11">
        <v>64</v>
      </c>
      <c r="V809" s="3" t="s">
        <v>6675</v>
      </c>
      <c r="W809" s="8" t="s">
        <v>7834</v>
      </c>
    </row>
    <row r="810" spans="1:23" x14ac:dyDescent="0.25">
      <c r="A810" s="2">
        <v>1640</v>
      </c>
      <c r="B810" s="3" t="s">
        <v>6675</v>
      </c>
      <c r="C810" s="3">
        <v>2024</v>
      </c>
      <c r="D810" s="3" t="s">
        <v>1740</v>
      </c>
      <c r="E810" s="3" t="s">
        <v>730</v>
      </c>
      <c r="F810" s="1" t="s">
        <v>7834</v>
      </c>
      <c r="G810" s="10"/>
      <c r="H810" s="10"/>
      <c r="I810" s="10"/>
      <c r="J810" s="10">
        <v>1</v>
      </c>
      <c r="K810" s="10"/>
      <c r="L810" s="3" t="s">
        <v>6676</v>
      </c>
      <c r="M810" s="3" t="s">
        <v>6677</v>
      </c>
      <c r="N810" s="3" t="s">
        <v>6678</v>
      </c>
      <c r="O810" s="3">
        <v>32</v>
      </c>
      <c r="P810" s="3"/>
      <c r="Q810" s="3"/>
      <c r="R810" s="3" t="s">
        <v>6679</v>
      </c>
      <c r="S810" s="3" t="s">
        <v>6680</v>
      </c>
      <c r="T810" s="3" t="s">
        <v>113</v>
      </c>
      <c r="U810" s="11">
        <v>65</v>
      </c>
      <c r="V810" s="3" t="s">
        <v>6675</v>
      </c>
      <c r="W810" s="8" t="s">
        <v>7834</v>
      </c>
    </row>
    <row r="811" spans="1:23" x14ac:dyDescent="0.25">
      <c r="A811" s="2">
        <v>1663</v>
      </c>
      <c r="B811" s="3" t="s">
        <v>7853</v>
      </c>
      <c r="C811" s="3">
        <v>2024</v>
      </c>
      <c r="D811" s="3" t="s">
        <v>215</v>
      </c>
      <c r="E811" s="3" t="s">
        <v>15</v>
      </c>
      <c r="F811" s="1" t="s">
        <v>7834</v>
      </c>
      <c r="G811" s="10"/>
      <c r="H811" s="10"/>
      <c r="I811" s="10"/>
      <c r="J811" s="10"/>
      <c r="K811" s="10"/>
      <c r="L811" s="3" t="s">
        <v>7870</v>
      </c>
      <c r="M811" s="3" t="s">
        <v>7871</v>
      </c>
      <c r="N811" s="3" t="s">
        <v>7865</v>
      </c>
      <c r="O811" s="3">
        <v>712</v>
      </c>
      <c r="P811" s="3"/>
      <c r="Q811" s="3"/>
      <c r="R811" s="3">
        <v>1</v>
      </c>
      <c r="S811" s="3" t="s">
        <v>7872</v>
      </c>
      <c r="T811" s="3" t="s">
        <v>113</v>
      </c>
      <c r="U811" s="11">
        <v>66</v>
      </c>
      <c r="V811" s="3" t="s">
        <v>7853</v>
      </c>
      <c r="W811" s="8" t="s">
        <v>7834</v>
      </c>
    </row>
    <row r="812" spans="1:23" x14ac:dyDescent="0.25">
      <c r="A812" s="2">
        <v>1695</v>
      </c>
      <c r="B812" s="3" t="s">
        <v>7950</v>
      </c>
      <c r="C812" s="3">
        <v>2024</v>
      </c>
      <c r="D812" s="3" t="s">
        <v>1965</v>
      </c>
      <c r="E812" s="3" t="s">
        <v>15</v>
      </c>
      <c r="F812" s="1" t="s">
        <v>7834</v>
      </c>
      <c r="G812" s="10"/>
      <c r="H812" s="10"/>
      <c r="I812" s="10"/>
      <c r="J812" s="10"/>
      <c r="K812" s="10"/>
      <c r="L812" s="3" t="s">
        <v>7970</v>
      </c>
      <c r="M812" s="3" t="s">
        <v>7971</v>
      </c>
      <c r="N812" s="3" t="s">
        <v>7972</v>
      </c>
      <c r="O812" s="3">
        <v>15</v>
      </c>
      <c r="P812" s="3">
        <v>1</v>
      </c>
      <c r="Q812" s="3" t="s">
        <v>7973</v>
      </c>
      <c r="R812" s="3" t="s">
        <v>7974</v>
      </c>
      <c r="S812" s="3" t="s">
        <v>7975</v>
      </c>
      <c r="T812" s="3" t="s">
        <v>113</v>
      </c>
      <c r="U812" s="11">
        <v>67</v>
      </c>
      <c r="V812" s="3" t="s">
        <v>7950</v>
      </c>
      <c r="W812" s="8" t="s">
        <v>7834</v>
      </c>
    </row>
    <row r="813" spans="1:23" x14ac:dyDescent="0.25">
      <c r="A813" s="2">
        <v>1697</v>
      </c>
      <c r="B813" s="3" t="s">
        <v>7950</v>
      </c>
      <c r="C813" s="3">
        <v>2024</v>
      </c>
      <c r="D813" s="3" t="s">
        <v>3579</v>
      </c>
      <c r="E813" s="3" t="s">
        <v>15</v>
      </c>
      <c r="F813" s="1" t="s">
        <v>7834</v>
      </c>
      <c r="G813" s="10"/>
      <c r="H813" s="10"/>
      <c r="I813" s="10"/>
      <c r="J813" s="10"/>
      <c r="K813" s="10"/>
      <c r="L813" s="3" t="s">
        <v>7981</v>
      </c>
      <c r="M813" s="3" t="s">
        <v>7982</v>
      </c>
      <c r="N813" s="3" t="s">
        <v>7983</v>
      </c>
      <c r="O813" s="3">
        <v>131</v>
      </c>
      <c r="P813" s="3"/>
      <c r="Q813" s="3"/>
      <c r="R813" s="3" t="s">
        <v>7984</v>
      </c>
      <c r="S813" s="3" t="s">
        <v>7985</v>
      </c>
      <c r="T813" s="3" t="s">
        <v>113</v>
      </c>
      <c r="U813" s="11">
        <v>68</v>
      </c>
      <c r="V813" s="3" t="s">
        <v>7950</v>
      </c>
      <c r="W813" s="8" t="s">
        <v>7834</v>
      </c>
    </row>
    <row r="814" spans="1:23" x14ac:dyDescent="0.25">
      <c r="A814" s="2">
        <v>1698</v>
      </c>
      <c r="B814" s="3" t="s">
        <v>7950</v>
      </c>
      <c r="C814" s="3">
        <v>2024</v>
      </c>
      <c r="D814" s="3" t="s">
        <v>536</v>
      </c>
      <c r="E814" s="3" t="s">
        <v>15</v>
      </c>
      <c r="F814" s="1" t="s">
        <v>7834</v>
      </c>
      <c r="G814" s="10"/>
      <c r="H814" s="10"/>
      <c r="I814" s="10"/>
      <c r="J814" s="10"/>
      <c r="K814" s="10"/>
      <c r="L814" s="3" t="s">
        <v>7986</v>
      </c>
      <c r="M814" s="3" t="s">
        <v>7987</v>
      </c>
      <c r="N814" s="3" t="s">
        <v>7988</v>
      </c>
      <c r="O814" s="3"/>
      <c r="P814" s="3"/>
      <c r="Q814" s="3"/>
      <c r="R814" s="3" t="s">
        <v>7989</v>
      </c>
      <c r="S814" s="3" t="s">
        <v>7990</v>
      </c>
      <c r="T814" s="3" t="s">
        <v>113</v>
      </c>
      <c r="U814" s="11">
        <v>69</v>
      </c>
      <c r="V814" s="3" t="s">
        <v>7950</v>
      </c>
      <c r="W814" s="8" t="s">
        <v>7834</v>
      </c>
    </row>
    <row r="815" spans="1:23" x14ac:dyDescent="0.25">
      <c r="A815" s="2">
        <v>1699</v>
      </c>
      <c r="B815" s="3" t="s">
        <v>7950</v>
      </c>
      <c r="C815" s="3">
        <v>2024</v>
      </c>
      <c r="D815" s="3" t="s">
        <v>7991</v>
      </c>
      <c r="E815" s="3" t="s">
        <v>15</v>
      </c>
      <c r="F815" s="1" t="s">
        <v>7834</v>
      </c>
      <c r="G815" s="10"/>
      <c r="H815" s="10"/>
      <c r="I815" s="10"/>
      <c r="J815" s="10"/>
      <c r="K815" s="10"/>
      <c r="L815" s="3" t="s">
        <v>7992</v>
      </c>
      <c r="M815" s="3" t="s">
        <v>7993</v>
      </c>
      <c r="N815" s="3" t="s">
        <v>7994</v>
      </c>
      <c r="O815" s="3"/>
      <c r="P815" s="3"/>
      <c r="Q815" s="3"/>
      <c r="R815" s="3" t="s">
        <v>7989</v>
      </c>
      <c r="S815" s="3" t="s">
        <v>7990</v>
      </c>
      <c r="T815" s="3" t="s">
        <v>113</v>
      </c>
      <c r="U815" s="11">
        <v>70</v>
      </c>
      <c r="V815" s="3" t="s">
        <v>7950</v>
      </c>
      <c r="W815" s="8" t="s">
        <v>7834</v>
      </c>
    </row>
    <row r="816" spans="1:23" x14ac:dyDescent="0.25">
      <c r="A816" s="2">
        <v>1700</v>
      </c>
      <c r="B816" s="3" t="s">
        <v>7950</v>
      </c>
      <c r="C816" s="3">
        <v>2024</v>
      </c>
      <c r="D816" s="3" t="s">
        <v>2056</v>
      </c>
      <c r="E816" s="3" t="s">
        <v>15</v>
      </c>
      <c r="F816" s="1" t="s">
        <v>7834</v>
      </c>
      <c r="G816" s="10"/>
      <c r="H816" s="10"/>
      <c r="I816" s="10"/>
      <c r="J816" s="10"/>
      <c r="K816" s="10"/>
      <c r="L816" s="3" t="s">
        <v>7995</v>
      </c>
      <c r="M816" s="3" t="s">
        <v>7996</v>
      </c>
      <c r="N816" s="3" t="s">
        <v>7997</v>
      </c>
      <c r="O816" s="3"/>
      <c r="P816" s="3"/>
      <c r="Q816" s="3"/>
      <c r="R816" s="3" t="s">
        <v>7998</v>
      </c>
      <c r="S816" s="3" t="s">
        <v>7999</v>
      </c>
      <c r="T816" s="3" t="s">
        <v>113</v>
      </c>
      <c r="U816" s="11">
        <v>71</v>
      </c>
      <c r="V816" s="3" t="s">
        <v>7950</v>
      </c>
      <c r="W816" s="8" t="s">
        <v>7834</v>
      </c>
    </row>
    <row r="817" spans="1:23" x14ac:dyDescent="0.25">
      <c r="A817" s="2">
        <v>1701</v>
      </c>
      <c r="B817" s="3" t="s">
        <v>7950</v>
      </c>
      <c r="C817" s="3">
        <v>2024</v>
      </c>
      <c r="D817" s="3" t="s">
        <v>530</v>
      </c>
      <c r="E817" s="3" t="s">
        <v>730</v>
      </c>
      <c r="F817" s="1" t="s">
        <v>7834</v>
      </c>
      <c r="G817" s="10"/>
      <c r="H817" s="10"/>
      <c r="I817" s="10"/>
      <c r="J817" s="10"/>
      <c r="K817" s="10"/>
      <c r="L817" s="3" t="s">
        <v>8000</v>
      </c>
      <c r="M817" s="3" t="s">
        <v>8001</v>
      </c>
      <c r="N817" s="3" t="s">
        <v>8002</v>
      </c>
      <c r="O817" s="3"/>
      <c r="P817" s="3"/>
      <c r="Q817" s="3"/>
      <c r="R817" s="3"/>
      <c r="S817" s="3" t="s">
        <v>8003</v>
      </c>
      <c r="T817" s="3" t="s">
        <v>113</v>
      </c>
      <c r="U817" s="11">
        <v>72</v>
      </c>
      <c r="V817" s="3" t="s">
        <v>7950</v>
      </c>
      <c r="W817" s="8" t="s">
        <v>7834</v>
      </c>
    </row>
    <row r="818" spans="1:23" x14ac:dyDescent="0.25">
      <c r="A818" s="2">
        <v>1691</v>
      </c>
      <c r="B818" s="3" t="s">
        <v>7950</v>
      </c>
      <c r="C818" s="3">
        <v>2024</v>
      </c>
      <c r="D818" s="3" t="s">
        <v>308</v>
      </c>
      <c r="E818" s="3" t="s">
        <v>206</v>
      </c>
      <c r="F818" s="1" t="s">
        <v>7834</v>
      </c>
      <c r="G818" s="10"/>
      <c r="H818" s="10"/>
      <c r="I818" s="10"/>
      <c r="J818" s="10"/>
      <c r="K818" s="10"/>
      <c r="L818" s="3" t="s">
        <v>7951</v>
      </c>
      <c r="M818" s="3" t="s">
        <v>7952</v>
      </c>
      <c r="N818" s="3" t="s">
        <v>5708</v>
      </c>
      <c r="O818" s="3"/>
      <c r="P818" s="3"/>
      <c r="Q818" s="3"/>
      <c r="R818" s="3"/>
      <c r="S818" s="3" t="s">
        <v>7953</v>
      </c>
      <c r="T818" s="3" t="s">
        <v>113</v>
      </c>
      <c r="U818" s="11">
        <v>73</v>
      </c>
      <c r="V818" s="3" t="s">
        <v>7950</v>
      </c>
      <c r="W818" s="8" t="s">
        <v>7834</v>
      </c>
    </row>
    <row r="819" spans="1:23" x14ac:dyDescent="0.25">
      <c r="A819" s="2">
        <v>1694</v>
      </c>
      <c r="B819" s="3" t="s">
        <v>7950</v>
      </c>
      <c r="C819" s="3">
        <v>2024</v>
      </c>
      <c r="D819" s="3" t="s">
        <v>1482</v>
      </c>
      <c r="E819" s="3" t="s">
        <v>206</v>
      </c>
      <c r="F819" s="1" t="s">
        <v>7834</v>
      </c>
      <c r="G819" s="10"/>
      <c r="H819" s="10"/>
      <c r="I819" s="10"/>
      <c r="J819" s="10"/>
      <c r="K819" s="10"/>
      <c r="L819" s="3" t="s">
        <v>7965</v>
      </c>
      <c r="M819" s="3" t="s">
        <v>7966</v>
      </c>
      <c r="N819" s="3" t="s">
        <v>7967</v>
      </c>
      <c r="O819" s="3">
        <v>32</v>
      </c>
      <c r="P819" s="3"/>
      <c r="Q819" s="3"/>
      <c r="R819" s="3" t="s">
        <v>7968</v>
      </c>
      <c r="S819" s="3" t="s">
        <v>7969</v>
      </c>
      <c r="T819" s="3" t="s">
        <v>113</v>
      </c>
      <c r="U819" s="11">
        <v>74</v>
      </c>
      <c r="V819" s="3" t="s">
        <v>7950</v>
      </c>
      <c r="W819" s="8" t="s">
        <v>7834</v>
      </c>
    </row>
    <row r="820" spans="1:23" x14ac:dyDescent="0.25">
      <c r="A820" s="2">
        <v>1708</v>
      </c>
      <c r="B820" s="3" t="s">
        <v>7950</v>
      </c>
      <c r="C820" s="3">
        <v>2024</v>
      </c>
      <c r="D820" s="3" t="s">
        <v>2689</v>
      </c>
      <c r="E820" s="3" t="s">
        <v>206</v>
      </c>
      <c r="F820" s="1" t="s">
        <v>7834</v>
      </c>
      <c r="G820" s="10"/>
      <c r="H820" s="10"/>
      <c r="I820" s="10"/>
      <c r="J820" s="10"/>
      <c r="K820" s="10">
        <v>4</v>
      </c>
      <c r="L820" s="3" t="s">
        <v>8029</v>
      </c>
      <c r="M820" s="3" t="s">
        <v>8030</v>
      </c>
      <c r="N820" s="3" t="s">
        <v>8031</v>
      </c>
      <c r="O820" s="3"/>
      <c r="P820" s="3"/>
      <c r="Q820" s="3"/>
      <c r="R820" s="3"/>
      <c r="S820" s="3" t="s">
        <v>8032</v>
      </c>
      <c r="T820" s="3" t="s">
        <v>113</v>
      </c>
      <c r="U820" s="11">
        <v>75</v>
      </c>
      <c r="V820" s="3" t="s">
        <v>7950</v>
      </c>
      <c r="W820" s="8" t="s">
        <v>7834</v>
      </c>
    </row>
    <row r="821" spans="1:23" x14ac:dyDescent="0.25">
      <c r="A821" s="2">
        <v>1740</v>
      </c>
      <c r="B821" s="3" t="s">
        <v>6738</v>
      </c>
      <c r="C821" s="3">
        <v>2024</v>
      </c>
      <c r="D821" s="3" t="s">
        <v>3862</v>
      </c>
      <c r="E821" s="3" t="s">
        <v>15</v>
      </c>
      <c r="F821" s="1" t="s">
        <v>7834</v>
      </c>
      <c r="G821" s="10"/>
      <c r="H821" s="10"/>
      <c r="I821" s="10"/>
      <c r="J821" s="10"/>
      <c r="K821" s="10"/>
      <c r="L821" s="3" t="s">
        <v>6745</v>
      </c>
      <c r="M821" s="3" t="s">
        <v>6746</v>
      </c>
      <c r="N821" s="3" t="s">
        <v>6747</v>
      </c>
      <c r="O821" s="3">
        <v>56</v>
      </c>
      <c r="P821" s="3">
        <v>2</v>
      </c>
      <c r="Q821" s="3" t="s">
        <v>6748</v>
      </c>
      <c r="R821" s="3" t="s">
        <v>6749</v>
      </c>
      <c r="S821" s="3" t="s">
        <v>6750</v>
      </c>
      <c r="T821" s="3" t="s">
        <v>113</v>
      </c>
      <c r="U821" s="11">
        <v>76</v>
      </c>
      <c r="V821" s="3" t="s">
        <v>6738</v>
      </c>
      <c r="W821" s="8" t="s">
        <v>7834</v>
      </c>
    </row>
    <row r="822" spans="1:23" x14ac:dyDescent="0.25">
      <c r="A822" s="2">
        <v>1742</v>
      </c>
      <c r="B822" s="3" t="s">
        <v>6738</v>
      </c>
      <c r="C822" s="3">
        <v>2024</v>
      </c>
      <c r="D822" s="3" t="s">
        <v>1660</v>
      </c>
      <c r="E822" s="3" t="s">
        <v>15</v>
      </c>
      <c r="F822" s="1" t="s">
        <v>7834</v>
      </c>
      <c r="G822" s="10"/>
      <c r="H822" s="10"/>
      <c r="I822" s="10"/>
      <c r="J822" s="10"/>
      <c r="K822" s="10"/>
      <c r="L822" s="3" t="s">
        <v>6756</v>
      </c>
      <c r="M822" s="3" t="s">
        <v>6757</v>
      </c>
      <c r="N822" s="3" t="s">
        <v>6758</v>
      </c>
      <c r="O822" s="3">
        <v>16</v>
      </c>
      <c r="P822" s="3">
        <v>1</v>
      </c>
      <c r="Q822" s="3" t="s">
        <v>6759</v>
      </c>
      <c r="R822" s="3" t="s">
        <v>6760</v>
      </c>
      <c r="S822" s="3" t="s">
        <v>6761</v>
      </c>
      <c r="T822" s="3" t="s">
        <v>113</v>
      </c>
      <c r="U822" s="11">
        <v>77</v>
      </c>
      <c r="V822" s="3" t="s">
        <v>6738</v>
      </c>
      <c r="W822" s="8" t="s">
        <v>7834</v>
      </c>
    </row>
    <row r="823" spans="1:23" x14ac:dyDescent="0.25">
      <c r="A823" s="2">
        <v>1747</v>
      </c>
      <c r="B823" s="3" t="s">
        <v>6738</v>
      </c>
      <c r="C823" s="3">
        <v>2024</v>
      </c>
      <c r="D823" s="3" t="s">
        <v>82</v>
      </c>
      <c r="E823" s="3" t="s">
        <v>15</v>
      </c>
      <c r="F823" s="1" t="s">
        <v>7834</v>
      </c>
      <c r="G823" s="10"/>
      <c r="H823" s="10"/>
      <c r="I823" s="10"/>
      <c r="J823" s="10"/>
      <c r="K823" s="10"/>
      <c r="L823" s="3" t="s">
        <v>6783</v>
      </c>
      <c r="M823" s="3" t="s">
        <v>6784</v>
      </c>
      <c r="N823" s="3" t="s">
        <v>6785</v>
      </c>
      <c r="O823" s="3">
        <v>50</v>
      </c>
      <c r="P823" s="3">
        <v>151</v>
      </c>
      <c r="Q823" s="4">
        <v>44927</v>
      </c>
      <c r="R823" s="3" t="s">
        <v>6786</v>
      </c>
      <c r="S823" s="3" t="s">
        <v>6787</v>
      </c>
      <c r="T823" s="3" t="s">
        <v>113</v>
      </c>
      <c r="U823" s="11">
        <v>78</v>
      </c>
      <c r="V823" s="3" t="s">
        <v>6738</v>
      </c>
      <c r="W823" s="8" t="s">
        <v>7834</v>
      </c>
    </row>
    <row r="824" spans="1:23" x14ac:dyDescent="0.25">
      <c r="A824" s="2">
        <v>1749</v>
      </c>
      <c r="B824" s="3" t="s">
        <v>6738</v>
      </c>
      <c r="C824" s="3">
        <v>2024</v>
      </c>
      <c r="D824" s="3" t="s">
        <v>2047</v>
      </c>
      <c r="E824" s="3" t="s">
        <v>15</v>
      </c>
      <c r="F824" s="1" t="s">
        <v>7834</v>
      </c>
      <c r="G824" s="10"/>
      <c r="H824" s="10"/>
      <c r="I824" s="10"/>
      <c r="J824" s="10"/>
      <c r="K824" s="10"/>
      <c r="L824" s="3" t="s">
        <v>6794</v>
      </c>
      <c r="M824" s="3" t="s">
        <v>6795</v>
      </c>
      <c r="N824" s="3" t="s">
        <v>6796</v>
      </c>
      <c r="O824" s="3">
        <v>118</v>
      </c>
      <c r="P824" s="3"/>
      <c r="Q824" s="3" t="s">
        <v>6797</v>
      </c>
      <c r="R824" s="3" t="s">
        <v>6798</v>
      </c>
      <c r="S824" s="3" t="s">
        <v>6799</v>
      </c>
      <c r="T824" s="3" t="s">
        <v>113</v>
      </c>
      <c r="U824" s="11">
        <v>79</v>
      </c>
      <c r="V824" s="3" t="s">
        <v>6738</v>
      </c>
      <c r="W824" s="8" t="s">
        <v>7834</v>
      </c>
    </row>
    <row r="825" spans="1:23" x14ac:dyDescent="0.25">
      <c r="A825" s="2">
        <v>1751</v>
      </c>
      <c r="B825" s="3" t="s">
        <v>6738</v>
      </c>
      <c r="C825" s="3">
        <v>2024</v>
      </c>
      <c r="D825" s="3" t="s">
        <v>2998</v>
      </c>
      <c r="E825" s="3" t="s">
        <v>15</v>
      </c>
      <c r="F825" s="1" t="s">
        <v>7834</v>
      </c>
      <c r="G825" s="10"/>
      <c r="H825" s="10"/>
      <c r="I825" s="10"/>
      <c r="J825" s="10"/>
      <c r="K825" s="10"/>
      <c r="L825" s="3" t="s">
        <v>6803</v>
      </c>
      <c r="M825" s="3" t="s">
        <v>6804</v>
      </c>
      <c r="N825" s="3" t="s">
        <v>6805</v>
      </c>
      <c r="O825" s="3">
        <v>43</v>
      </c>
      <c r="P825" s="3">
        <v>5</v>
      </c>
      <c r="Q825" s="3" t="s">
        <v>6806</v>
      </c>
      <c r="R825" s="3" t="s">
        <v>6807</v>
      </c>
      <c r="S825" s="3" t="s">
        <v>6808</v>
      </c>
      <c r="T825" s="3" t="s">
        <v>113</v>
      </c>
      <c r="U825" s="11">
        <v>80</v>
      </c>
      <c r="V825" s="3" t="s">
        <v>6738</v>
      </c>
      <c r="W825" s="8" t="s">
        <v>7834</v>
      </c>
    </row>
    <row r="826" spans="1:23" x14ac:dyDescent="0.25">
      <c r="A826" s="2">
        <v>1752</v>
      </c>
      <c r="B826" s="3" t="s">
        <v>6738</v>
      </c>
      <c r="C826" s="3">
        <v>2024</v>
      </c>
      <c r="D826" s="3" t="s">
        <v>2047</v>
      </c>
      <c r="E826" s="3" t="s">
        <v>15</v>
      </c>
      <c r="F826" s="1" t="s">
        <v>7834</v>
      </c>
      <c r="G826" s="10"/>
      <c r="H826" s="10"/>
      <c r="I826" s="10"/>
      <c r="J826" s="10"/>
      <c r="K826" s="10"/>
      <c r="L826" s="3" t="s">
        <v>6809</v>
      </c>
      <c r="M826" s="3" t="s">
        <v>6810</v>
      </c>
      <c r="N826" s="3" t="s">
        <v>6796</v>
      </c>
      <c r="O826" s="3"/>
      <c r="P826" s="3">
        <v>118</v>
      </c>
      <c r="Q826" s="3" t="s">
        <v>6811</v>
      </c>
      <c r="R826" s="3" t="s">
        <v>6798</v>
      </c>
      <c r="S826" s="3" t="s">
        <v>6812</v>
      </c>
      <c r="T826" s="3" t="s">
        <v>113</v>
      </c>
      <c r="U826" s="11">
        <v>81</v>
      </c>
      <c r="V826" s="3" t="s">
        <v>6738</v>
      </c>
      <c r="W826" s="8" t="s">
        <v>7834</v>
      </c>
    </row>
    <row r="827" spans="1:23" x14ac:dyDescent="0.25">
      <c r="A827" s="2">
        <v>1754</v>
      </c>
      <c r="B827" s="3" t="s">
        <v>6738</v>
      </c>
      <c r="C827" s="3">
        <v>2024</v>
      </c>
      <c r="D827" s="3" t="s">
        <v>1701</v>
      </c>
      <c r="E827" s="3" t="s">
        <v>15</v>
      </c>
      <c r="F827" s="1" t="s">
        <v>7834</v>
      </c>
      <c r="G827" s="10"/>
      <c r="H827" s="10"/>
      <c r="I827" s="10"/>
      <c r="J827" s="10"/>
      <c r="K827" s="10"/>
      <c r="L827" s="3" t="s">
        <v>6816</v>
      </c>
      <c r="M827" s="3" t="s">
        <v>6817</v>
      </c>
      <c r="N827" s="3" t="s">
        <v>6818</v>
      </c>
      <c r="O827" s="3">
        <v>29</v>
      </c>
      <c r="P827" s="3">
        <v>3</v>
      </c>
      <c r="Q827" s="3" t="s">
        <v>6819</v>
      </c>
      <c r="R827" s="3" t="s">
        <v>6820</v>
      </c>
      <c r="S827" s="3" t="s">
        <v>6821</v>
      </c>
      <c r="T827" s="3" t="s">
        <v>113</v>
      </c>
      <c r="U827" s="11">
        <v>82</v>
      </c>
      <c r="V827" s="3" t="s">
        <v>6738</v>
      </c>
      <c r="W827" s="8" t="s">
        <v>7834</v>
      </c>
    </row>
    <row r="828" spans="1:23" x14ac:dyDescent="0.25">
      <c r="A828" s="2">
        <v>1755</v>
      </c>
      <c r="B828" s="3" t="s">
        <v>6738</v>
      </c>
      <c r="C828" s="3">
        <v>2024</v>
      </c>
      <c r="D828" s="3" t="s">
        <v>161</v>
      </c>
      <c r="E828" s="3" t="s">
        <v>15</v>
      </c>
      <c r="F828" s="1" t="s">
        <v>7834</v>
      </c>
      <c r="G828" s="10"/>
      <c r="H828" s="10"/>
      <c r="I828" s="10"/>
      <c r="J828" s="10"/>
      <c r="K828" s="10"/>
      <c r="L828" s="3" t="s">
        <v>6822</v>
      </c>
      <c r="M828" s="3" t="s">
        <v>6823</v>
      </c>
      <c r="N828" s="3" t="s">
        <v>6824</v>
      </c>
      <c r="O828" s="3">
        <v>1</v>
      </c>
      <c r="P828" s="3"/>
      <c r="Q828" s="3" t="s">
        <v>6825</v>
      </c>
      <c r="R828" s="3" t="s">
        <v>6826</v>
      </c>
      <c r="S828" s="3" t="s">
        <v>6827</v>
      </c>
      <c r="T828" s="3" t="s">
        <v>113</v>
      </c>
      <c r="U828" s="11">
        <v>83</v>
      </c>
      <c r="V828" s="3" t="s">
        <v>6738</v>
      </c>
      <c r="W828" s="8" t="s">
        <v>7834</v>
      </c>
    </row>
    <row r="829" spans="1:23" x14ac:dyDescent="0.25">
      <c r="A829" s="2">
        <v>1756</v>
      </c>
      <c r="B829" s="3" t="s">
        <v>6738</v>
      </c>
      <c r="C829" s="3">
        <v>2024</v>
      </c>
      <c r="D829" s="3" t="s">
        <v>2554</v>
      </c>
      <c r="E829" s="3" t="s">
        <v>15</v>
      </c>
      <c r="F829" s="1" t="s">
        <v>7834</v>
      </c>
      <c r="G829" s="10"/>
      <c r="H829" s="10"/>
      <c r="I829" s="10"/>
      <c r="J829" s="10"/>
      <c r="K829" s="10"/>
      <c r="L829" s="3" t="s">
        <v>6828</v>
      </c>
      <c r="M829" s="3" t="s">
        <v>6829</v>
      </c>
      <c r="N829" s="3" t="s">
        <v>6830</v>
      </c>
      <c r="O829" s="3">
        <v>187</v>
      </c>
      <c r="P829" s="3">
        <v>4</v>
      </c>
      <c r="Q829" s="3" t="s">
        <v>6831</v>
      </c>
      <c r="R829" s="3" t="s">
        <v>6832</v>
      </c>
      <c r="S829" s="3" t="s">
        <v>6833</v>
      </c>
      <c r="T829" s="3" t="s">
        <v>113</v>
      </c>
      <c r="U829" s="11">
        <v>84</v>
      </c>
      <c r="V829" s="3" t="s">
        <v>6738</v>
      </c>
      <c r="W829" s="8" t="s">
        <v>7834</v>
      </c>
    </row>
    <row r="830" spans="1:23" x14ac:dyDescent="0.25">
      <c r="A830" s="2">
        <v>1711</v>
      </c>
      <c r="B830" s="3" t="s">
        <v>6738</v>
      </c>
      <c r="C830" s="3">
        <v>2024</v>
      </c>
      <c r="D830" s="3" t="s">
        <v>1227</v>
      </c>
      <c r="E830" s="3" t="s">
        <v>206</v>
      </c>
      <c r="F830" s="1" t="s">
        <v>7834</v>
      </c>
      <c r="G830" s="10"/>
      <c r="H830" s="10"/>
      <c r="I830" s="10"/>
      <c r="J830" s="10"/>
      <c r="K830" s="10"/>
      <c r="L830" s="3" t="s">
        <v>8042</v>
      </c>
      <c r="M830" s="3" t="s">
        <v>8043</v>
      </c>
      <c r="N830" s="3" t="s">
        <v>8044</v>
      </c>
      <c r="O830" s="3">
        <v>33</v>
      </c>
      <c r="P830" s="3">
        <v>49</v>
      </c>
      <c r="Q830" s="3" t="s">
        <v>8045</v>
      </c>
      <c r="R830" s="3" t="s">
        <v>1342</v>
      </c>
      <c r="S830" s="3" t="s">
        <v>8046</v>
      </c>
      <c r="T830" s="3" t="s">
        <v>113</v>
      </c>
      <c r="U830" s="11">
        <v>85</v>
      </c>
      <c r="V830" s="3" t="s">
        <v>6738</v>
      </c>
      <c r="W830" s="8" t="s">
        <v>7834</v>
      </c>
    </row>
    <row r="831" spans="1:23" x14ac:dyDescent="0.25">
      <c r="A831" s="2">
        <v>1713</v>
      </c>
      <c r="B831" s="3" t="s">
        <v>6738</v>
      </c>
      <c r="C831" s="3">
        <v>2024</v>
      </c>
      <c r="D831" s="3" t="s">
        <v>785</v>
      </c>
      <c r="E831" s="3" t="s">
        <v>206</v>
      </c>
      <c r="F831" s="1" t="s">
        <v>7834</v>
      </c>
      <c r="G831" s="10"/>
      <c r="H831" s="10"/>
      <c r="I831" s="10"/>
      <c r="J831" s="10"/>
      <c r="K831" s="10"/>
      <c r="L831" s="3" t="s">
        <v>8053</v>
      </c>
      <c r="M831" s="3" t="s">
        <v>8054</v>
      </c>
      <c r="N831" s="3" t="s">
        <v>8055</v>
      </c>
      <c r="O831" s="3">
        <v>27</v>
      </c>
      <c r="P831" s="3">
        <v>2</v>
      </c>
      <c r="Q831" s="3">
        <v>273</v>
      </c>
      <c r="R831" s="3"/>
      <c r="S831" s="3" t="s">
        <v>8056</v>
      </c>
      <c r="T831" s="3" t="s">
        <v>113</v>
      </c>
      <c r="U831" s="11">
        <v>86</v>
      </c>
      <c r="V831" s="3" t="s">
        <v>6738</v>
      </c>
      <c r="W831" s="8" t="s">
        <v>7834</v>
      </c>
    </row>
    <row r="832" spans="1:23" x14ac:dyDescent="0.25">
      <c r="A832" s="2">
        <v>1720</v>
      </c>
      <c r="B832" s="3" t="s">
        <v>6738</v>
      </c>
      <c r="C832" s="3">
        <v>2024</v>
      </c>
      <c r="D832" s="3" t="s">
        <v>1757</v>
      </c>
      <c r="E832" s="3" t="s">
        <v>206</v>
      </c>
      <c r="F832" s="1" t="s">
        <v>7834</v>
      </c>
      <c r="G832" s="10"/>
      <c r="H832" s="10"/>
      <c r="I832" s="10"/>
      <c r="J832" s="10"/>
      <c r="K832" s="10"/>
      <c r="L832" s="3" t="s">
        <v>8082</v>
      </c>
      <c r="M832" s="3" t="s">
        <v>8083</v>
      </c>
      <c r="N832" s="3" t="s">
        <v>6847</v>
      </c>
      <c r="O832" s="3"/>
      <c r="P832" s="3">
        <v>57</v>
      </c>
      <c r="Q832" s="3">
        <v>158</v>
      </c>
      <c r="R832" s="3"/>
      <c r="S832" s="3" t="s">
        <v>8084</v>
      </c>
      <c r="T832" s="3" t="s">
        <v>113</v>
      </c>
      <c r="U832" s="11">
        <v>87</v>
      </c>
      <c r="V832" s="3" t="s">
        <v>6738</v>
      </c>
      <c r="W832" s="8" t="s">
        <v>7834</v>
      </c>
    </row>
    <row r="833" spans="1:23" x14ac:dyDescent="0.25">
      <c r="A833" s="2">
        <v>1759</v>
      </c>
      <c r="B833" s="3" t="s">
        <v>6738</v>
      </c>
      <c r="C833" s="3">
        <v>2024</v>
      </c>
      <c r="D833" s="3" t="s">
        <v>1563</v>
      </c>
      <c r="E833" s="3" t="s">
        <v>206</v>
      </c>
      <c r="F833" s="1" t="s">
        <v>7834</v>
      </c>
      <c r="G833" s="10"/>
      <c r="H833" s="10"/>
      <c r="I833" s="10"/>
      <c r="J833" s="10"/>
      <c r="K833" s="10"/>
      <c r="L833" s="3" t="s">
        <v>6845</v>
      </c>
      <c r="M833" s="3" t="s">
        <v>6846</v>
      </c>
      <c r="N833" s="3" t="s">
        <v>6847</v>
      </c>
      <c r="O833" s="3">
        <v>59</v>
      </c>
      <c r="P833" s="3"/>
      <c r="Q833" s="3" t="s">
        <v>6848</v>
      </c>
      <c r="R833" s="3" t="s">
        <v>5669</v>
      </c>
      <c r="S833" s="3" t="s">
        <v>6849</v>
      </c>
      <c r="T833" s="3" t="s">
        <v>113</v>
      </c>
      <c r="U833" s="11">
        <v>88</v>
      </c>
      <c r="V833" s="3" t="s">
        <v>6738</v>
      </c>
      <c r="W833" s="8" t="s">
        <v>7834</v>
      </c>
    </row>
    <row r="834" spans="1:23" x14ac:dyDescent="0.25">
      <c r="A834" s="2">
        <v>1767</v>
      </c>
      <c r="B834" s="3" t="s">
        <v>6869</v>
      </c>
      <c r="C834" s="3">
        <v>2024</v>
      </c>
      <c r="D834" s="3" t="s">
        <v>1137</v>
      </c>
      <c r="E834" s="3" t="s">
        <v>114</v>
      </c>
      <c r="F834" s="1" t="s">
        <v>7834</v>
      </c>
      <c r="G834" s="10"/>
      <c r="H834" s="10"/>
      <c r="I834" s="10"/>
      <c r="J834" s="10"/>
      <c r="K834" s="10"/>
      <c r="L834" s="3" t="s">
        <v>6882</v>
      </c>
      <c r="M834" s="3" t="s">
        <v>6883</v>
      </c>
      <c r="N834" s="3" t="s">
        <v>6884</v>
      </c>
      <c r="O834" s="3"/>
      <c r="P834" s="3"/>
      <c r="Q834" s="3"/>
      <c r="R834" s="3"/>
      <c r="S834" s="3" t="s">
        <v>6885</v>
      </c>
      <c r="T834" s="3" t="s">
        <v>113</v>
      </c>
      <c r="U834" s="11">
        <v>89</v>
      </c>
      <c r="V834" s="3" t="s">
        <v>6869</v>
      </c>
      <c r="W834" s="8" t="s">
        <v>7834</v>
      </c>
    </row>
    <row r="835" spans="1:23" x14ac:dyDescent="0.25">
      <c r="A835" s="2">
        <v>1772</v>
      </c>
      <c r="B835" s="3" t="s">
        <v>6869</v>
      </c>
      <c r="C835" s="3">
        <v>2024</v>
      </c>
      <c r="D835" s="3" t="s">
        <v>1277</v>
      </c>
      <c r="E835" s="3" t="s">
        <v>206</v>
      </c>
      <c r="F835" s="1" t="s">
        <v>7834</v>
      </c>
      <c r="G835" s="10"/>
      <c r="H835" s="10"/>
      <c r="I835" s="10"/>
      <c r="J835" s="10"/>
      <c r="K835" s="10"/>
      <c r="L835" s="3" t="s">
        <v>6900</v>
      </c>
      <c r="M835" s="3" t="s">
        <v>6901</v>
      </c>
      <c r="N835" s="3" t="s">
        <v>6902</v>
      </c>
      <c r="O835" s="3"/>
      <c r="P835" s="3"/>
      <c r="Q835" s="3"/>
      <c r="R835" s="3"/>
      <c r="S835" s="3" t="s">
        <v>6903</v>
      </c>
      <c r="T835" s="3" t="s">
        <v>113</v>
      </c>
      <c r="U835" s="11">
        <v>90</v>
      </c>
      <c r="V835" s="3" t="s">
        <v>6869</v>
      </c>
      <c r="W835" s="8" t="s">
        <v>7834</v>
      </c>
    </row>
    <row r="836" spans="1:23" x14ac:dyDescent="0.25">
      <c r="A836" s="2">
        <v>1775</v>
      </c>
      <c r="B836" s="3" t="s">
        <v>6869</v>
      </c>
      <c r="C836" s="3">
        <v>2024</v>
      </c>
      <c r="D836" s="3" t="s">
        <v>573</v>
      </c>
      <c r="E836" s="3" t="s">
        <v>206</v>
      </c>
      <c r="F836" s="1" t="s">
        <v>7834</v>
      </c>
      <c r="G836" s="10"/>
      <c r="H836" s="10"/>
      <c r="I836" s="10"/>
      <c r="J836" s="10"/>
      <c r="K836" s="10"/>
      <c r="L836" s="3" t="s">
        <v>6912</v>
      </c>
      <c r="M836" s="3" t="s">
        <v>6913</v>
      </c>
      <c r="N836" s="3" t="s">
        <v>5668</v>
      </c>
      <c r="O836" s="3"/>
      <c r="P836" s="3"/>
      <c r="Q836" s="3"/>
      <c r="R836" s="3"/>
      <c r="S836" s="3" t="s">
        <v>6914</v>
      </c>
      <c r="T836" s="3" t="s">
        <v>113</v>
      </c>
      <c r="U836" s="11">
        <v>91</v>
      </c>
      <c r="V836" s="3" t="s">
        <v>6869</v>
      </c>
      <c r="W836" s="8" t="s">
        <v>7834</v>
      </c>
    </row>
    <row r="837" spans="1:23" x14ac:dyDescent="0.25">
      <c r="A837" s="2">
        <v>1782</v>
      </c>
      <c r="B837" s="3" t="s">
        <v>6869</v>
      </c>
      <c r="C837" s="3">
        <v>2024</v>
      </c>
      <c r="D837" s="3" t="s">
        <v>5362</v>
      </c>
      <c r="E837" s="3" t="s">
        <v>206</v>
      </c>
      <c r="F837" s="1" t="s">
        <v>7834</v>
      </c>
      <c r="G837" s="10"/>
      <c r="H837" s="10"/>
      <c r="I837" s="10"/>
      <c r="J837" s="10"/>
      <c r="K837" s="10"/>
      <c r="L837" s="3" t="s">
        <v>6935</v>
      </c>
      <c r="M837" s="3" t="s">
        <v>6936</v>
      </c>
      <c r="N837" s="3" t="s">
        <v>6805</v>
      </c>
      <c r="O837" s="3"/>
      <c r="P837" s="3"/>
      <c r="Q837" s="3"/>
      <c r="R837" s="3"/>
      <c r="S837" s="3" t="s">
        <v>6937</v>
      </c>
      <c r="T837" s="3" t="s">
        <v>113</v>
      </c>
      <c r="U837" s="11">
        <v>92</v>
      </c>
      <c r="V837" s="3" t="s">
        <v>6869</v>
      </c>
      <c r="W837" s="8" t="s">
        <v>7834</v>
      </c>
    </row>
    <row r="838" spans="1:23" x14ac:dyDescent="0.25">
      <c r="A838" s="2">
        <v>1786</v>
      </c>
      <c r="B838" s="3" t="s">
        <v>6869</v>
      </c>
      <c r="C838" s="3">
        <v>2024</v>
      </c>
      <c r="D838" s="3" t="s">
        <v>2554</v>
      </c>
      <c r="E838" s="3" t="s">
        <v>206</v>
      </c>
      <c r="F838" s="1" t="s">
        <v>7834</v>
      </c>
      <c r="G838" s="10"/>
      <c r="H838" s="10"/>
      <c r="I838" s="10"/>
      <c r="J838" s="10"/>
      <c r="K838" s="10"/>
      <c r="L838" s="3" t="s">
        <v>6828</v>
      </c>
      <c r="M838" s="3" t="s">
        <v>6951</v>
      </c>
      <c r="N838" s="3" t="s">
        <v>6830</v>
      </c>
      <c r="O838" s="3"/>
      <c r="P838" s="3"/>
      <c r="Q838" s="3"/>
      <c r="R838" s="3"/>
      <c r="S838" s="3" t="s">
        <v>6833</v>
      </c>
      <c r="T838" s="3" t="s">
        <v>113</v>
      </c>
      <c r="U838" s="11">
        <v>93</v>
      </c>
      <c r="V838" s="3" t="s">
        <v>6869</v>
      </c>
      <c r="W838" s="8" t="s">
        <v>7834</v>
      </c>
    </row>
    <row r="839" spans="1:23" x14ac:dyDescent="0.25">
      <c r="A839" s="2">
        <v>1799</v>
      </c>
      <c r="B839" s="3" t="s">
        <v>6982</v>
      </c>
      <c r="C839" s="3">
        <v>2024</v>
      </c>
      <c r="D839" s="3" t="s">
        <v>2547</v>
      </c>
      <c r="E839" s="3" t="s">
        <v>15</v>
      </c>
      <c r="F839" s="1" t="s">
        <v>7834</v>
      </c>
      <c r="G839" s="10"/>
      <c r="H839" s="10"/>
      <c r="I839" s="10"/>
      <c r="J839" s="10"/>
      <c r="K839" s="10"/>
      <c r="L839" s="3" t="s">
        <v>6999</v>
      </c>
      <c r="M839" s="3" t="s">
        <v>7000</v>
      </c>
      <c r="N839" s="3" t="s">
        <v>7001</v>
      </c>
      <c r="O839" s="3">
        <v>70</v>
      </c>
      <c r="P839" s="3"/>
      <c r="Q839" s="3"/>
      <c r="R839" s="3" t="s">
        <v>7002</v>
      </c>
      <c r="S839" s="3" t="s">
        <v>7003</v>
      </c>
      <c r="T839" s="3" t="s">
        <v>113</v>
      </c>
      <c r="U839" s="11">
        <v>94</v>
      </c>
      <c r="V839" s="3" t="s">
        <v>6982</v>
      </c>
      <c r="W839" s="8" t="s">
        <v>7834</v>
      </c>
    </row>
    <row r="840" spans="1:23" x14ac:dyDescent="0.25">
      <c r="A840" s="2">
        <v>1805</v>
      </c>
      <c r="B840" s="3" t="s">
        <v>6982</v>
      </c>
      <c r="C840" s="3">
        <v>2024</v>
      </c>
      <c r="D840" s="3" t="s">
        <v>2941</v>
      </c>
      <c r="E840" s="3" t="s">
        <v>15</v>
      </c>
      <c r="F840" s="1" t="s">
        <v>7834</v>
      </c>
      <c r="G840" s="10"/>
      <c r="H840" s="10"/>
      <c r="I840" s="10"/>
      <c r="J840" s="10"/>
      <c r="K840" s="10"/>
      <c r="L840" s="3" t="s">
        <v>7026</v>
      </c>
      <c r="M840" s="3" t="s">
        <v>7027</v>
      </c>
      <c r="N840" s="3" t="s">
        <v>7028</v>
      </c>
      <c r="O840" s="3">
        <v>10</v>
      </c>
      <c r="P840" s="3">
        <v>1</v>
      </c>
      <c r="Q840" s="3">
        <v>1</v>
      </c>
      <c r="R840" s="3" t="s">
        <v>7029</v>
      </c>
      <c r="S840" s="3" t="s">
        <v>7030</v>
      </c>
      <c r="T840" s="3" t="s">
        <v>113</v>
      </c>
      <c r="U840" s="11">
        <v>95</v>
      </c>
      <c r="V840" s="3" t="s">
        <v>6982</v>
      </c>
      <c r="W840" s="8" t="s">
        <v>7834</v>
      </c>
    </row>
    <row r="841" spans="1:23" x14ac:dyDescent="0.25">
      <c r="A841" s="2">
        <v>1808</v>
      </c>
      <c r="B841" s="3" t="s">
        <v>6982</v>
      </c>
      <c r="C841" s="3">
        <v>2024</v>
      </c>
      <c r="D841" s="3" t="s">
        <v>1497</v>
      </c>
      <c r="E841" s="3" t="s">
        <v>15</v>
      </c>
      <c r="F841" s="1" t="s">
        <v>7834</v>
      </c>
      <c r="G841" s="10"/>
      <c r="H841" s="10"/>
      <c r="I841" s="10"/>
      <c r="J841" s="10"/>
      <c r="K841" s="10"/>
      <c r="L841" s="3" t="s">
        <v>7039</v>
      </c>
      <c r="M841" s="3" t="s">
        <v>7040</v>
      </c>
      <c r="N841" s="3" t="s">
        <v>7041</v>
      </c>
      <c r="O841" s="3"/>
      <c r="P841" s="3"/>
      <c r="Q841" s="3">
        <v>95</v>
      </c>
      <c r="R841" s="3">
        <v>1</v>
      </c>
      <c r="S841" s="3" t="s">
        <v>7042</v>
      </c>
      <c r="T841" s="3" t="s">
        <v>113</v>
      </c>
      <c r="U841" s="11">
        <v>96</v>
      </c>
      <c r="V841" s="3" t="s">
        <v>6982</v>
      </c>
      <c r="W841" s="8" t="s">
        <v>7834</v>
      </c>
    </row>
    <row r="842" spans="1:23" x14ac:dyDescent="0.25">
      <c r="A842" s="2">
        <v>1796</v>
      </c>
      <c r="B842" s="3" t="s">
        <v>6982</v>
      </c>
      <c r="C842" s="3">
        <v>2024</v>
      </c>
      <c r="D842" s="3" t="s">
        <v>835</v>
      </c>
      <c r="E842" s="3" t="s">
        <v>206</v>
      </c>
      <c r="F842" s="1" t="s">
        <v>7834</v>
      </c>
      <c r="G842" s="10"/>
      <c r="H842" s="10"/>
      <c r="I842" s="10"/>
      <c r="J842" s="10"/>
      <c r="K842" s="10"/>
      <c r="L842" s="3" t="s">
        <v>6986</v>
      </c>
      <c r="M842" s="3" t="s">
        <v>6987</v>
      </c>
      <c r="N842" s="3" t="s">
        <v>6988</v>
      </c>
      <c r="O842" s="3">
        <v>14</v>
      </c>
      <c r="P842" s="3">
        <v>12</v>
      </c>
      <c r="Q842" s="3"/>
      <c r="R842" s="3"/>
      <c r="S842" s="3" t="s">
        <v>7833</v>
      </c>
      <c r="T842" s="3" t="s">
        <v>113</v>
      </c>
      <c r="U842" s="11">
        <v>97</v>
      </c>
      <c r="V842" s="3" t="s">
        <v>6982</v>
      </c>
      <c r="W842" s="8" t="s">
        <v>7834</v>
      </c>
    </row>
    <row r="843" spans="1:23" x14ac:dyDescent="0.25">
      <c r="A843" s="2">
        <v>1800</v>
      </c>
      <c r="B843" s="3" t="s">
        <v>6982</v>
      </c>
      <c r="C843" s="3">
        <v>2024</v>
      </c>
      <c r="D843" s="3" t="s">
        <v>3862</v>
      </c>
      <c r="E843" s="3" t="s">
        <v>206</v>
      </c>
      <c r="F843" s="1" t="s">
        <v>7834</v>
      </c>
      <c r="G843" s="10"/>
      <c r="H843" s="10"/>
      <c r="I843" s="10"/>
      <c r="J843" s="10"/>
      <c r="K843" s="10"/>
      <c r="L843" s="3" t="s">
        <v>7004</v>
      </c>
      <c r="M843" s="3" t="s">
        <v>7005</v>
      </c>
      <c r="N843" s="3" t="s">
        <v>527</v>
      </c>
      <c r="O843" s="3">
        <v>51</v>
      </c>
      <c r="P843" s="3"/>
      <c r="Q843" s="3" t="s">
        <v>7006</v>
      </c>
      <c r="R843" s="3"/>
      <c r="S843" s="3" t="s">
        <v>7007</v>
      </c>
      <c r="T843" s="3" t="s">
        <v>113</v>
      </c>
      <c r="U843" s="11">
        <v>98</v>
      </c>
      <c r="V843" s="3" t="s">
        <v>6982</v>
      </c>
      <c r="W843" s="8" t="s">
        <v>7834</v>
      </c>
    </row>
    <row r="844" spans="1:23" x14ac:dyDescent="0.25">
      <c r="A844" s="2">
        <v>1811</v>
      </c>
      <c r="B844" s="3" t="s">
        <v>6982</v>
      </c>
      <c r="C844" s="3">
        <v>2024</v>
      </c>
      <c r="D844" s="3" t="s">
        <v>2971</v>
      </c>
      <c r="E844" s="3" t="s">
        <v>206</v>
      </c>
      <c r="F844" s="1" t="s">
        <v>7834</v>
      </c>
      <c r="G844" s="10"/>
      <c r="H844" s="10"/>
      <c r="I844" s="10"/>
      <c r="J844" s="10"/>
      <c r="K844" s="10"/>
      <c r="L844" s="3" t="s">
        <v>7053</v>
      </c>
      <c r="M844" s="3" t="s">
        <v>7054</v>
      </c>
      <c r="N844" s="3" t="s">
        <v>7055</v>
      </c>
      <c r="O844" s="3">
        <v>42</v>
      </c>
      <c r="P844" s="3">
        <v>2</v>
      </c>
      <c r="Q844" s="3" t="s">
        <v>7056</v>
      </c>
      <c r="R844" s="3"/>
      <c r="S844" s="3" t="s">
        <v>7057</v>
      </c>
      <c r="T844" s="3" t="s">
        <v>113</v>
      </c>
      <c r="U844" s="11">
        <v>99</v>
      </c>
      <c r="V844" s="3" t="s">
        <v>6982</v>
      </c>
      <c r="W844" s="8" t="s">
        <v>7834</v>
      </c>
    </row>
    <row r="845" spans="1:23" x14ac:dyDescent="0.25">
      <c r="A845" s="2">
        <v>1812</v>
      </c>
      <c r="B845" s="3" t="s">
        <v>6982</v>
      </c>
      <c r="C845" s="3">
        <v>2024</v>
      </c>
      <c r="D845" s="3" t="s">
        <v>2462</v>
      </c>
      <c r="E845" s="3" t="s">
        <v>206</v>
      </c>
      <c r="F845" s="1" t="s">
        <v>7834</v>
      </c>
      <c r="G845" s="10"/>
      <c r="H845" s="10"/>
      <c r="I845" s="10"/>
      <c r="J845" s="10"/>
      <c r="K845" s="10"/>
      <c r="L845" s="3" t="s">
        <v>7058</v>
      </c>
      <c r="M845" s="3" t="s">
        <v>7059</v>
      </c>
      <c r="N845" s="3" t="s">
        <v>7060</v>
      </c>
      <c r="O845" s="3"/>
      <c r="P845" s="3"/>
      <c r="Q845" s="3" t="s">
        <v>7061</v>
      </c>
      <c r="R845" s="3"/>
      <c r="S845" s="3" t="s">
        <v>7062</v>
      </c>
      <c r="T845" s="3" t="s">
        <v>113</v>
      </c>
      <c r="U845" s="11">
        <v>100</v>
      </c>
      <c r="V845" s="3" t="s">
        <v>6982</v>
      </c>
      <c r="W845" s="8" t="s">
        <v>7834</v>
      </c>
    </row>
    <row r="846" spans="1:23" x14ac:dyDescent="0.25">
      <c r="A846" s="2">
        <v>1822</v>
      </c>
      <c r="B846" s="3" t="s">
        <v>6982</v>
      </c>
      <c r="C846" s="3">
        <v>2024</v>
      </c>
      <c r="D846" s="3" t="s">
        <v>220</v>
      </c>
      <c r="E846" s="3" t="s">
        <v>206</v>
      </c>
      <c r="F846" s="1" t="s">
        <v>7834</v>
      </c>
      <c r="G846" s="10"/>
      <c r="H846" s="10"/>
      <c r="I846" s="10"/>
      <c r="J846" s="10"/>
      <c r="K846" s="10"/>
      <c r="L846" s="3" t="s">
        <v>7096</v>
      </c>
      <c r="M846" s="3" t="s">
        <v>7097</v>
      </c>
      <c r="N846" s="3" t="s">
        <v>7098</v>
      </c>
      <c r="O846" s="3"/>
      <c r="P846" s="3"/>
      <c r="Q846" s="3"/>
      <c r="R846" s="3"/>
      <c r="S846" s="3" t="s">
        <v>7099</v>
      </c>
      <c r="T846" s="3" t="s">
        <v>113</v>
      </c>
      <c r="U846" s="11">
        <v>101</v>
      </c>
      <c r="V846" s="3" t="s">
        <v>6982</v>
      </c>
      <c r="W846" s="8" t="s">
        <v>7834</v>
      </c>
    </row>
    <row r="847" spans="1:23" x14ac:dyDescent="0.25">
      <c r="A847" s="2">
        <v>1828</v>
      </c>
      <c r="B847" s="3" t="s">
        <v>7121</v>
      </c>
      <c r="C847" s="3">
        <v>2024</v>
      </c>
      <c r="D847" s="3" t="s">
        <v>2051</v>
      </c>
      <c r="E847" s="3" t="s">
        <v>15</v>
      </c>
      <c r="F847" s="1" t="s">
        <v>7834</v>
      </c>
      <c r="G847" s="10"/>
      <c r="H847" s="10"/>
      <c r="I847" s="10"/>
      <c r="J847" s="10"/>
      <c r="K847" s="10"/>
      <c r="L847" s="3" t="s">
        <v>7122</v>
      </c>
      <c r="M847" s="3" t="s">
        <v>7123</v>
      </c>
      <c r="N847" s="3" t="s">
        <v>7124</v>
      </c>
      <c r="O847" s="3">
        <v>56</v>
      </c>
      <c r="P847" s="3">
        <v>2</v>
      </c>
      <c r="Q847" s="3">
        <v>102</v>
      </c>
      <c r="R847" s="3" t="s">
        <v>7125</v>
      </c>
      <c r="S847" s="3" t="s">
        <v>7126</v>
      </c>
      <c r="T847" s="3" t="s">
        <v>113</v>
      </c>
      <c r="U847" s="11">
        <v>102</v>
      </c>
      <c r="V847" s="3" t="s">
        <v>7121</v>
      </c>
      <c r="W847" s="8" t="s">
        <v>7834</v>
      </c>
    </row>
    <row r="848" spans="1:23" x14ac:dyDescent="0.25">
      <c r="A848" s="2">
        <v>1830</v>
      </c>
      <c r="B848" s="3" t="s">
        <v>7121</v>
      </c>
      <c r="C848" s="3">
        <v>2024</v>
      </c>
      <c r="D848" s="3" t="s">
        <v>2577</v>
      </c>
      <c r="E848" s="3" t="s">
        <v>15</v>
      </c>
      <c r="F848" s="1" t="s">
        <v>7834</v>
      </c>
      <c r="G848" s="10"/>
      <c r="H848" s="10"/>
      <c r="I848" s="10"/>
      <c r="J848" s="10"/>
      <c r="K848" s="10"/>
      <c r="L848" s="3" t="s">
        <v>7132</v>
      </c>
      <c r="M848" s="3" t="s">
        <v>7133</v>
      </c>
      <c r="N848" s="3" t="s">
        <v>576</v>
      </c>
      <c r="O848" s="3">
        <v>14</v>
      </c>
      <c r="P848" s="3"/>
      <c r="Q848" s="3"/>
      <c r="R848" s="3" t="s">
        <v>577</v>
      </c>
      <c r="S848" s="3" t="s">
        <v>7134</v>
      </c>
      <c r="T848" s="3" t="s">
        <v>113</v>
      </c>
      <c r="U848" s="11">
        <v>103</v>
      </c>
      <c r="V848" s="3" t="s">
        <v>7121</v>
      </c>
      <c r="W848" s="8" t="s">
        <v>7834</v>
      </c>
    </row>
    <row r="849" spans="1:23" x14ac:dyDescent="0.25">
      <c r="A849" s="2">
        <v>1832</v>
      </c>
      <c r="B849" s="3" t="s">
        <v>7121</v>
      </c>
      <c r="C849" s="3">
        <v>2024</v>
      </c>
      <c r="D849" s="3" t="s">
        <v>639</v>
      </c>
      <c r="E849" s="3" t="s">
        <v>15</v>
      </c>
      <c r="F849" s="1" t="s">
        <v>7834</v>
      </c>
      <c r="G849" s="10"/>
      <c r="H849" s="10"/>
      <c r="I849" s="10"/>
      <c r="J849" s="10"/>
      <c r="K849" s="10"/>
      <c r="L849" s="3" t="s">
        <v>7140</v>
      </c>
      <c r="M849" s="3" t="s">
        <v>7141</v>
      </c>
      <c r="N849" s="3" t="s">
        <v>7142</v>
      </c>
      <c r="O849" s="3">
        <v>34</v>
      </c>
      <c r="P849" s="3">
        <v>4</v>
      </c>
      <c r="Q849" s="3">
        <v>1675</v>
      </c>
      <c r="R849" s="3" t="s">
        <v>7143</v>
      </c>
      <c r="S849" s="3" t="s">
        <v>7144</v>
      </c>
      <c r="T849" s="3" t="s">
        <v>113</v>
      </c>
      <c r="U849" s="11">
        <v>104</v>
      </c>
      <c r="V849" s="3" t="s">
        <v>7121</v>
      </c>
      <c r="W849" s="8" t="s">
        <v>7834</v>
      </c>
    </row>
    <row r="850" spans="1:23" x14ac:dyDescent="0.25">
      <c r="A850" s="2">
        <v>1838</v>
      </c>
      <c r="B850" s="3" t="s">
        <v>7121</v>
      </c>
      <c r="C850" s="3">
        <v>2024</v>
      </c>
      <c r="D850" s="3" t="s">
        <v>220</v>
      </c>
      <c r="E850" s="3" t="s">
        <v>15</v>
      </c>
      <c r="F850" s="1" t="s">
        <v>7834</v>
      </c>
      <c r="G850" s="10"/>
      <c r="H850" s="10"/>
      <c r="I850" s="10"/>
      <c r="J850" s="10"/>
      <c r="K850" s="10"/>
      <c r="L850" s="3" t="s">
        <v>7168</v>
      </c>
      <c r="M850" s="3" t="s">
        <v>7169</v>
      </c>
      <c r="N850" s="3" t="s">
        <v>7098</v>
      </c>
      <c r="O850" s="3">
        <v>42</v>
      </c>
      <c r="P850" s="3">
        <v>1</v>
      </c>
      <c r="Q850" s="3">
        <v>7</v>
      </c>
      <c r="R850" s="3" t="s">
        <v>7170</v>
      </c>
      <c r="S850" s="3" t="s">
        <v>7099</v>
      </c>
      <c r="T850" s="3" t="s">
        <v>113</v>
      </c>
      <c r="U850" s="11">
        <v>105</v>
      </c>
      <c r="V850" s="3" t="s">
        <v>7121</v>
      </c>
      <c r="W850" s="8" t="s">
        <v>7834</v>
      </c>
    </row>
    <row r="851" spans="1:23" x14ac:dyDescent="0.25">
      <c r="A851" s="2">
        <v>1839</v>
      </c>
      <c r="B851" s="3" t="s">
        <v>7121</v>
      </c>
      <c r="C851" s="3">
        <v>2024</v>
      </c>
      <c r="D851" s="3" t="s">
        <v>2998</v>
      </c>
      <c r="E851" s="3" t="s">
        <v>15</v>
      </c>
      <c r="F851" s="1" t="s">
        <v>7834</v>
      </c>
      <c r="G851" s="10"/>
      <c r="H851" s="10"/>
      <c r="I851" s="10"/>
      <c r="J851" s="10"/>
      <c r="K851" s="10"/>
      <c r="L851" s="3" t="s">
        <v>7171</v>
      </c>
      <c r="M851" s="3" t="s">
        <v>7172</v>
      </c>
      <c r="N851" s="3" t="s">
        <v>7173</v>
      </c>
      <c r="O851" s="3">
        <v>30</v>
      </c>
      <c r="P851" s="3">
        <v>2</v>
      </c>
      <c r="Q851" s="3">
        <v>101</v>
      </c>
      <c r="R851" s="3" t="s">
        <v>7174</v>
      </c>
      <c r="S851" s="3" t="s">
        <v>7175</v>
      </c>
      <c r="T851" s="3" t="s">
        <v>113</v>
      </c>
      <c r="U851" s="11">
        <v>106</v>
      </c>
      <c r="V851" s="3" t="s">
        <v>7121</v>
      </c>
      <c r="W851" s="8" t="s">
        <v>7834</v>
      </c>
    </row>
    <row r="852" spans="1:23" x14ac:dyDescent="0.25">
      <c r="A852" s="2">
        <v>1840</v>
      </c>
      <c r="B852" s="3" t="s">
        <v>7121</v>
      </c>
      <c r="C852" s="3">
        <v>2024</v>
      </c>
      <c r="D852" s="3" t="s">
        <v>596</v>
      </c>
      <c r="E852" s="3" t="s">
        <v>15</v>
      </c>
      <c r="F852" s="1" t="s">
        <v>7834</v>
      </c>
      <c r="G852" s="10"/>
      <c r="H852" s="10"/>
      <c r="I852" s="10"/>
      <c r="J852" s="10"/>
      <c r="K852" s="10"/>
      <c r="L852" s="3" t="s">
        <v>7176</v>
      </c>
      <c r="M852" s="3" t="s">
        <v>7177</v>
      </c>
      <c r="N852" s="3" t="s">
        <v>576</v>
      </c>
      <c r="O852" s="3">
        <v>15</v>
      </c>
      <c r="P852" s="3"/>
      <c r="Q852" s="3"/>
      <c r="R852" s="3" t="s">
        <v>577</v>
      </c>
      <c r="S852" s="3" t="s">
        <v>7178</v>
      </c>
      <c r="T852" s="3" t="s">
        <v>113</v>
      </c>
      <c r="U852" s="11">
        <v>107</v>
      </c>
      <c r="V852" s="3" t="s">
        <v>7121</v>
      </c>
      <c r="W852" s="8" t="s">
        <v>7834</v>
      </c>
    </row>
    <row r="853" spans="1:23" x14ac:dyDescent="0.25">
      <c r="A853" s="2">
        <v>1841</v>
      </c>
      <c r="B853" s="3" t="s">
        <v>7121</v>
      </c>
      <c r="C853" s="3">
        <v>2024</v>
      </c>
      <c r="D853" s="3" t="s">
        <v>59</v>
      </c>
      <c r="E853" s="3" t="s">
        <v>206</v>
      </c>
      <c r="F853" s="1" t="s">
        <v>7834</v>
      </c>
      <c r="G853" s="10"/>
      <c r="H853" s="10"/>
      <c r="I853" s="10"/>
      <c r="J853" s="10"/>
      <c r="K853" s="10"/>
      <c r="L853" s="3" t="s">
        <v>7179</v>
      </c>
      <c r="M853" s="3" t="s">
        <v>7180</v>
      </c>
      <c r="N853" s="3" t="s">
        <v>7181</v>
      </c>
      <c r="O853" s="3"/>
      <c r="P853" s="3">
        <v>57</v>
      </c>
      <c r="Q853" s="3">
        <v>37</v>
      </c>
      <c r="R853" s="3" t="s">
        <v>7182</v>
      </c>
      <c r="S853" s="3" t="s">
        <v>7183</v>
      </c>
      <c r="T853" s="3" t="s">
        <v>113</v>
      </c>
      <c r="U853" s="11">
        <v>108</v>
      </c>
      <c r="V853" s="3" t="s">
        <v>7121</v>
      </c>
      <c r="W853" s="8" t="s">
        <v>7834</v>
      </c>
    </row>
    <row r="854" spans="1:23" x14ac:dyDescent="0.25">
      <c r="A854" s="2">
        <v>1855</v>
      </c>
      <c r="B854" s="3" t="s">
        <v>7220</v>
      </c>
      <c r="C854" s="3">
        <v>2024</v>
      </c>
      <c r="D854" s="3" t="s">
        <v>2510</v>
      </c>
      <c r="E854" s="3" t="s">
        <v>15</v>
      </c>
      <c r="F854" s="1" t="s">
        <v>7834</v>
      </c>
      <c r="G854" s="10"/>
      <c r="H854" s="10"/>
      <c r="I854" s="10"/>
      <c r="J854" s="10"/>
      <c r="K854" s="10"/>
      <c r="L854" s="3" t="s">
        <v>7245</v>
      </c>
      <c r="M854" s="3" t="s">
        <v>7246</v>
      </c>
      <c r="N854" s="3" t="s">
        <v>7247</v>
      </c>
      <c r="O854" s="3">
        <v>20</v>
      </c>
      <c r="P854" s="3">
        <v>10</v>
      </c>
      <c r="Q854" s="3"/>
      <c r="R854" s="3" t="s">
        <v>7248</v>
      </c>
      <c r="S854" s="3" t="s">
        <v>7249</v>
      </c>
      <c r="T854" s="3" t="s">
        <v>113</v>
      </c>
      <c r="U854" s="11">
        <v>109</v>
      </c>
      <c r="V854" s="3" t="s">
        <v>7220</v>
      </c>
      <c r="W854" s="8" t="s">
        <v>7834</v>
      </c>
    </row>
    <row r="855" spans="1:23" x14ac:dyDescent="0.25">
      <c r="A855" s="2">
        <v>1862</v>
      </c>
      <c r="B855" s="3" t="s">
        <v>7220</v>
      </c>
      <c r="C855" s="3">
        <v>2024</v>
      </c>
      <c r="D855" s="3" t="s">
        <v>59</v>
      </c>
      <c r="E855" s="3" t="s">
        <v>15</v>
      </c>
      <c r="F855" s="1" t="s">
        <v>7834</v>
      </c>
      <c r="G855" s="10"/>
      <c r="H855" s="10"/>
      <c r="I855" s="10"/>
      <c r="J855" s="10"/>
      <c r="K855" s="10"/>
      <c r="L855" s="3" t="s">
        <v>7275</v>
      </c>
      <c r="M855" s="3" t="s">
        <v>7276</v>
      </c>
      <c r="N855" s="3" t="s">
        <v>5327</v>
      </c>
      <c r="O855" s="3">
        <v>104</v>
      </c>
      <c r="P855" s="3"/>
      <c r="Q855" s="3"/>
      <c r="R855" s="3" t="s">
        <v>5328</v>
      </c>
      <c r="S855" s="3" t="s">
        <v>7277</v>
      </c>
      <c r="T855" s="3" t="s">
        <v>113</v>
      </c>
      <c r="U855" s="11">
        <v>110</v>
      </c>
      <c r="V855" s="3" t="s">
        <v>7220</v>
      </c>
      <c r="W855" s="8" t="s">
        <v>7834</v>
      </c>
    </row>
    <row r="856" spans="1:23" x14ac:dyDescent="0.25">
      <c r="A856" s="2">
        <v>1864</v>
      </c>
      <c r="B856" s="3" t="s">
        <v>7220</v>
      </c>
      <c r="C856" s="3">
        <v>2024</v>
      </c>
      <c r="D856" s="3" t="s">
        <v>660</v>
      </c>
      <c r="E856" s="3" t="s">
        <v>15</v>
      </c>
      <c r="F856" s="1" t="s">
        <v>7834</v>
      </c>
      <c r="G856" s="10"/>
      <c r="H856" s="10"/>
      <c r="I856" s="10"/>
      <c r="J856" s="10"/>
      <c r="K856" s="10"/>
      <c r="L856" s="3" t="s">
        <v>7279</v>
      </c>
      <c r="M856" s="3" t="s">
        <v>7280</v>
      </c>
      <c r="N856" s="3" t="s">
        <v>7281</v>
      </c>
      <c r="O856" s="3"/>
      <c r="P856" s="3"/>
      <c r="Q856" s="3"/>
      <c r="R856" s="3" t="s">
        <v>7282</v>
      </c>
      <c r="S856" s="3" t="s">
        <v>7283</v>
      </c>
      <c r="T856" s="3" t="s">
        <v>113</v>
      </c>
      <c r="U856" s="11">
        <v>111</v>
      </c>
      <c r="V856" s="3" t="s">
        <v>7220</v>
      </c>
      <c r="W856" s="8" t="s">
        <v>7834</v>
      </c>
    </row>
    <row r="857" spans="1:23" x14ac:dyDescent="0.25">
      <c r="A857" s="2">
        <v>1865</v>
      </c>
      <c r="B857" s="3" t="s">
        <v>7220</v>
      </c>
      <c r="C857" s="3">
        <v>2024</v>
      </c>
      <c r="D857" s="3" t="s">
        <v>93</v>
      </c>
      <c r="E857" s="3" t="s">
        <v>15</v>
      </c>
      <c r="F857" s="1" t="s">
        <v>7834</v>
      </c>
      <c r="G857" s="10"/>
      <c r="H857" s="10"/>
      <c r="I857" s="10"/>
      <c r="J857" s="10"/>
      <c r="K857" s="10"/>
      <c r="L857" s="3" t="s">
        <v>7284</v>
      </c>
      <c r="M857" s="3" t="s">
        <v>7285</v>
      </c>
      <c r="N857" s="3" t="s">
        <v>4088</v>
      </c>
      <c r="O857" s="3"/>
      <c r="P857" s="3"/>
      <c r="Q857" s="3"/>
      <c r="R857" s="3" t="s">
        <v>7286</v>
      </c>
      <c r="S857" s="3" t="s">
        <v>7287</v>
      </c>
      <c r="T857" s="3" t="s">
        <v>113</v>
      </c>
      <c r="U857" s="11">
        <v>112</v>
      </c>
      <c r="V857" s="3" t="s">
        <v>7220</v>
      </c>
      <c r="W857" s="8" t="s">
        <v>7834</v>
      </c>
    </row>
    <row r="858" spans="1:23" x14ac:dyDescent="0.25">
      <c r="A858" s="2">
        <v>1867</v>
      </c>
      <c r="B858" s="3" t="s">
        <v>7220</v>
      </c>
      <c r="C858" s="3">
        <v>2024</v>
      </c>
      <c r="D858" s="3" t="s">
        <v>729</v>
      </c>
      <c r="E858" s="3" t="s">
        <v>15</v>
      </c>
      <c r="F858" s="1" t="s">
        <v>7834</v>
      </c>
      <c r="G858" s="10"/>
      <c r="H858" s="10"/>
      <c r="I858" s="10"/>
      <c r="J858" s="10"/>
      <c r="K858" s="10"/>
      <c r="L858" s="3" t="s">
        <v>7293</v>
      </c>
      <c r="M858" s="3" t="s">
        <v>7294</v>
      </c>
      <c r="N858" s="3" t="s">
        <v>7295</v>
      </c>
      <c r="O858" s="3"/>
      <c r="P858" s="3"/>
      <c r="Q858" s="3"/>
      <c r="R858" s="3" t="s">
        <v>7296</v>
      </c>
      <c r="S858" s="3" t="s">
        <v>7297</v>
      </c>
      <c r="T858" s="3" t="s">
        <v>113</v>
      </c>
      <c r="U858" s="11">
        <v>113</v>
      </c>
      <c r="V858" s="3" t="s">
        <v>7220</v>
      </c>
      <c r="W858" s="8" t="s">
        <v>7834</v>
      </c>
    </row>
    <row r="859" spans="1:23" x14ac:dyDescent="0.25">
      <c r="A859" s="2">
        <v>1868</v>
      </c>
      <c r="B859" s="3" t="s">
        <v>7220</v>
      </c>
      <c r="C859" s="3">
        <v>2024</v>
      </c>
      <c r="D859" s="3" t="s">
        <v>3076</v>
      </c>
      <c r="E859" s="3" t="s">
        <v>15</v>
      </c>
      <c r="F859" s="1" t="s">
        <v>7834</v>
      </c>
      <c r="G859" s="10"/>
      <c r="H859" s="10"/>
      <c r="I859" s="10"/>
      <c r="J859" s="10"/>
      <c r="K859" s="10"/>
      <c r="L859" s="3" t="s">
        <v>5288</v>
      </c>
      <c r="M859" s="3" t="s">
        <v>7298</v>
      </c>
      <c r="N859" s="3" t="s">
        <v>5290</v>
      </c>
      <c r="O859" s="3"/>
      <c r="P859" s="3"/>
      <c r="Q859" s="3"/>
      <c r="R859" s="3" t="s">
        <v>7299</v>
      </c>
      <c r="S859" s="3" t="s">
        <v>5292</v>
      </c>
      <c r="T859" s="3" t="s">
        <v>113</v>
      </c>
      <c r="U859" s="11">
        <v>114</v>
      </c>
      <c r="V859" s="3" t="s">
        <v>7220</v>
      </c>
      <c r="W859" s="8" t="s">
        <v>7834</v>
      </c>
    </row>
    <row r="860" spans="1:23" x14ac:dyDescent="0.25">
      <c r="A860" s="2">
        <v>1869</v>
      </c>
      <c r="B860" s="3" t="s">
        <v>7220</v>
      </c>
      <c r="C860" s="3">
        <v>2024</v>
      </c>
      <c r="D860" s="3" t="s">
        <v>1723</v>
      </c>
      <c r="E860" s="3" t="s">
        <v>15</v>
      </c>
      <c r="F860" s="1" t="s">
        <v>7834</v>
      </c>
      <c r="G860" s="10"/>
      <c r="H860" s="10"/>
      <c r="I860" s="10"/>
      <c r="J860" s="10"/>
      <c r="K860" s="10"/>
      <c r="L860" s="3" t="s">
        <v>7300</v>
      </c>
      <c r="M860" s="3" t="s">
        <v>7301</v>
      </c>
      <c r="N860" s="3" t="s">
        <v>919</v>
      </c>
      <c r="O860" s="3"/>
      <c r="P860" s="3"/>
      <c r="Q860" s="3"/>
      <c r="R860" s="3" t="s">
        <v>7302</v>
      </c>
      <c r="S860" s="3" t="s">
        <v>7303</v>
      </c>
      <c r="T860" s="3" t="s">
        <v>113</v>
      </c>
      <c r="U860" s="11">
        <v>115</v>
      </c>
      <c r="V860" s="3" t="s">
        <v>7220</v>
      </c>
      <c r="W860" s="8" t="s">
        <v>7834</v>
      </c>
    </row>
    <row r="861" spans="1:23" x14ac:dyDescent="0.25">
      <c r="A861" s="2">
        <v>1873</v>
      </c>
      <c r="B861" s="3" t="s">
        <v>7220</v>
      </c>
      <c r="C861" s="3">
        <v>2024</v>
      </c>
      <c r="D861" s="3" t="s">
        <v>192</v>
      </c>
      <c r="E861" s="3" t="s">
        <v>15</v>
      </c>
      <c r="F861" s="1" t="s">
        <v>7834</v>
      </c>
      <c r="G861" s="10"/>
      <c r="H861" s="10"/>
      <c r="I861" s="10"/>
      <c r="J861" s="10"/>
      <c r="K861" s="10"/>
      <c r="L861" s="3" t="s">
        <v>4040</v>
      </c>
      <c r="M861" s="3" t="s">
        <v>7316</v>
      </c>
      <c r="N861" s="3" t="s">
        <v>1682</v>
      </c>
      <c r="O861" s="3">
        <v>245</v>
      </c>
      <c r="P861" s="3">
        <v>103999</v>
      </c>
      <c r="Q861" s="3">
        <v>1</v>
      </c>
      <c r="R861" s="3" t="s">
        <v>1683</v>
      </c>
      <c r="S861" s="3" t="s">
        <v>4042</v>
      </c>
      <c r="T861" s="3" t="s">
        <v>113</v>
      </c>
      <c r="U861" s="11">
        <v>116</v>
      </c>
      <c r="V861" s="3" t="s">
        <v>7220</v>
      </c>
      <c r="W861" s="8" t="s">
        <v>7834</v>
      </c>
    </row>
    <row r="862" spans="1:23" x14ac:dyDescent="0.25">
      <c r="A862" s="2">
        <v>1874</v>
      </c>
      <c r="B862" s="3" t="s">
        <v>7220</v>
      </c>
      <c r="C862" s="3">
        <v>2024</v>
      </c>
      <c r="D862" s="3" t="s">
        <v>2781</v>
      </c>
      <c r="E862" s="3" t="s">
        <v>15</v>
      </c>
      <c r="F862" s="1" t="s">
        <v>7834</v>
      </c>
      <c r="G862" s="10"/>
      <c r="H862" s="10"/>
      <c r="I862" s="10"/>
      <c r="J862" s="10"/>
      <c r="K862" s="10"/>
      <c r="L862" s="3" t="s">
        <v>7317</v>
      </c>
      <c r="M862" s="3" t="s">
        <v>7318</v>
      </c>
      <c r="N862" s="3" t="s">
        <v>3927</v>
      </c>
      <c r="O862" s="3"/>
      <c r="P862" s="3"/>
      <c r="Q862" s="3"/>
      <c r="R862" s="3" t="s">
        <v>3928</v>
      </c>
      <c r="S862" s="3" t="s">
        <v>3929</v>
      </c>
      <c r="T862" s="3" t="s">
        <v>113</v>
      </c>
      <c r="U862" s="11">
        <v>117</v>
      </c>
      <c r="V862" s="3" t="s">
        <v>7220</v>
      </c>
      <c r="W862" s="8" t="s">
        <v>7834</v>
      </c>
    </row>
    <row r="863" spans="1:23" x14ac:dyDescent="0.25">
      <c r="A863" s="2">
        <v>1876</v>
      </c>
      <c r="B863" s="3" t="s">
        <v>7220</v>
      </c>
      <c r="C863" s="3">
        <v>2024</v>
      </c>
      <c r="D863" s="3" t="s">
        <v>14</v>
      </c>
      <c r="E863" s="3" t="s">
        <v>15</v>
      </c>
      <c r="F863" s="1" t="s">
        <v>7834</v>
      </c>
      <c r="G863" s="10"/>
      <c r="H863" s="10"/>
      <c r="I863" s="10"/>
      <c r="J863" s="10"/>
      <c r="K863" s="10"/>
      <c r="L863" s="3" t="s">
        <v>7322</v>
      </c>
      <c r="M863" s="3" t="s">
        <v>7323</v>
      </c>
      <c r="N863" s="3" t="s">
        <v>4088</v>
      </c>
      <c r="O863" s="3">
        <v>69</v>
      </c>
      <c r="P863" s="3"/>
      <c r="Q863" s="3"/>
      <c r="R863" s="3" t="s">
        <v>4089</v>
      </c>
      <c r="S863" s="3" t="s">
        <v>7324</v>
      </c>
      <c r="T863" s="3" t="s">
        <v>113</v>
      </c>
      <c r="U863" s="11">
        <v>118</v>
      </c>
      <c r="V863" s="3" t="s">
        <v>7220</v>
      </c>
      <c r="W863" s="8" t="s">
        <v>7834</v>
      </c>
    </row>
    <row r="864" spans="1:23" x14ac:dyDescent="0.25">
      <c r="A864" s="2">
        <v>1878</v>
      </c>
      <c r="B864" s="3" t="s">
        <v>7220</v>
      </c>
      <c r="C864" s="3">
        <v>2024</v>
      </c>
      <c r="D864" s="3" t="s">
        <v>1277</v>
      </c>
      <c r="E864" s="3" t="s">
        <v>15</v>
      </c>
      <c r="F864" s="1" t="s">
        <v>7834</v>
      </c>
      <c r="G864" s="10"/>
      <c r="H864" s="10"/>
      <c r="I864" s="10"/>
      <c r="J864" s="10"/>
      <c r="K864" s="10"/>
      <c r="L864" s="3" t="s">
        <v>7327</v>
      </c>
      <c r="M864" s="3" t="s">
        <v>7328</v>
      </c>
      <c r="N864" s="3" t="s">
        <v>4003</v>
      </c>
      <c r="O864" s="3">
        <v>281</v>
      </c>
      <c r="P864" s="3"/>
      <c r="Q864" s="3"/>
      <c r="R864" s="3" t="s">
        <v>7329</v>
      </c>
      <c r="S864" s="3" t="s">
        <v>7330</v>
      </c>
      <c r="T864" s="3" t="s">
        <v>113</v>
      </c>
      <c r="U864" s="11">
        <v>119</v>
      </c>
      <c r="V864" s="3" t="s">
        <v>7220</v>
      </c>
      <c r="W864" s="8" t="s">
        <v>7834</v>
      </c>
    </row>
    <row r="865" spans="1:23" x14ac:dyDescent="0.25">
      <c r="A865" s="2">
        <v>1879</v>
      </c>
      <c r="B865" s="3" t="s">
        <v>7220</v>
      </c>
      <c r="C865" s="3">
        <v>2024</v>
      </c>
      <c r="D865" s="3" t="s">
        <v>1028</v>
      </c>
      <c r="E865" s="3" t="s">
        <v>15</v>
      </c>
      <c r="F865" s="1" t="s">
        <v>7834</v>
      </c>
      <c r="G865" s="10"/>
      <c r="H865" s="10"/>
      <c r="I865" s="10"/>
      <c r="J865" s="10"/>
      <c r="K865" s="10"/>
      <c r="L865" s="3" t="s">
        <v>7331</v>
      </c>
      <c r="M865" s="3" t="s">
        <v>5907</v>
      </c>
      <c r="N865" s="3" t="s">
        <v>976</v>
      </c>
      <c r="O865" s="3">
        <v>14</v>
      </c>
      <c r="P865" s="3">
        <v>10</v>
      </c>
      <c r="Q865" s="3"/>
      <c r="R865" s="3" t="s">
        <v>7332</v>
      </c>
      <c r="S865" s="3" t="s">
        <v>2351</v>
      </c>
      <c r="T865" s="3" t="s">
        <v>113</v>
      </c>
      <c r="U865" s="11">
        <v>120</v>
      </c>
      <c r="V865" s="3" t="s">
        <v>7220</v>
      </c>
      <c r="W865" s="8" t="s">
        <v>7834</v>
      </c>
    </row>
    <row r="866" spans="1:23" x14ac:dyDescent="0.25">
      <c r="A866" s="2">
        <v>1882</v>
      </c>
      <c r="B866" s="3" t="s">
        <v>7220</v>
      </c>
      <c r="C866" s="3">
        <v>2024</v>
      </c>
      <c r="D866" s="3" t="s">
        <v>1151</v>
      </c>
      <c r="E866" s="3" t="s">
        <v>15</v>
      </c>
      <c r="F866" s="1" t="s">
        <v>7834</v>
      </c>
      <c r="G866" s="10"/>
      <c r="H866" s="10"/>
      <c r="I866" s="10"/>
      <c r="J866" s="10"/>
      <c r="K866" s="10"/>
      <c r="L866" s="3" t="s">
        <v>7338</v>
      </c>
      <c r="M866" s="3" t="s">
        <v>7339</v>
      </c>
      <c r="N866" s="3" t="s">
        <v>1643</v>
      </c>
      <c r="O866" s="3">
        <v>100</v>
      </c>
      <c r="P866" s="3">
        <v>3</v>
      </c>
      <c r="Q866" s="3"/>
      <c r="R866" s="3" t="s">
        <v>7340</v>
      </c>
      <c r="S866" s="3" t="s">
        <v>4039</v>
      </c>
      <c r="T866" s="3" t="s">
        <v>113</v>
      </c>
      <c r="U866" s="11">
        <v>121</v>
      </c>
      <c r="V866" s="3" t="s">
        <v>7220</v>
      </c>
      <c r="W866" s="8" t="s">
        <v>7834</v>
      </c>
    </row>
    <row r="867" spans="1:23" x14ac:dyDescent="0.25">
      <c r="A867" s="2">
        <v>1883</v>
      </c>
      <c r="B867" s="3" t="s">
        <v>7220</v>
      </c>
      <c r="C867" s="3">
        <v>2024</v>
      </c>
      <c r="D867" s="3" t="s">
        <v>2740</v>
      </c>
      <c r="E867" s="3" t="s">
        <v>15</v>
      </c>
      <c r="F867" s="1" t="s">
        <v>7834</v>
      </c>
      <c r="G867" s="10">
        <v>27</v>
      </c>
      <c r="H867" s="10"/>
      <c r="I867" s="10"/>
      <c r="J867" s="10"/>
      <c r="K867" s="10"/>
      <c r="L867" s="3" t="s">
        <v>3933</v>
      </c>
      <c r="M867" s="3" t="s">
        <v>7341</v>
      </c>
      <c r="N867" s="3" t="s">
        <v>976</v>
      </c>
      <c r="O867" s="3"/>
      <c r="P867" s="3"/>
      <c r="Q867" s="3"/>
      <c r="R867" s="3" t="s">
        <v>7332</v>
      </c>
      <c r="S867" s="3" t="s">
        <v>3936</v>
      </c>
      <c r="T867" s="3" t="s">
        <v>113</v>
      </c>
      <c r="U867" s="11">
        <v>122</v>
      </c>
      <c r="V867" s="3" t="s">
        <v>7220</v>
      </c>
      <c r="W867" s="8" t="s">
        <v>7834</v>
      </c>
    </row>
    <row r="868" spans="1:23" x14ac:dyDescent="0.25">
      <c r="A868" s="2">
        <v>1850</v>
      </c>
      <c r="B868" s="3" t="s">
        <v>7220</v>
      </c>
      <c r="C868" s="3">
        <v>2024</v>
      </c>
      <c r="D868" s="3" t="s">
        <v>82</v>
      </c>
      <c r="E868" s="3" t="s">
        <v>730</v>
      </c>
      <c r="F868" s="1" t="s">
        <v>7834</v>
      </c>
      <c r="G868" s="10"/>
      <c r="H868" s="10"/>
      <c r="I868" s="10"/>
      <c r="J868" s="10">
        <v>1</v>
      </c>
      <c r="K868" s="10"/>
      <c r="L868" s="3" t="s">
        <v>7225</v>
      </c>
      <c r="M868" s="3" t="s">
        <v>7226</v>
      </c>
      <c r="N868" s="3" t="s">
        <v>7227</v>
      </c>
      <c r="O868" s="3"/>
      <c r="P868" s="3"/>
      <c r="Q868" s="3"/>
      <c r="R868" s="3"/>
      <c r="S868" s="3" t="s">
        <v>7228</v>
      </c>
      <c r="T868" s="3" t="s">
        <v>113</v>
      </c>
      <c r="U868" s="11">
        <v>123</v>
      </c>
      <c r="V868" s="3" t="s">
        <v>7220</v>
      </c>
      <c r="W868" s="8" t="s">
        <v>7834</v>
      </c>
    </row>
    <row r="869" spans="1:23" x14ac:dyDescent="0.25">
      <c r="A869" s="2">
        <v>1890</v>
      </c>
      <c r="B869" s="3" t="s">
        <v>7342</v>
      </c>
      <c r="C869" s="3">
        <v>2024</v>
      </c>
      <c r="D869" s="3" t="s">
        <v>627</v>
      </c>
      <c r="E869" s="3" t="s">
        <v>15</v>
      </c>
      <c r="F869" s="1" t="s">
        <v>7834</v>
      </c>
      <c r="G869" s="10"/>
      <c r="H869" s="10"/>
      <c r="I869" s="10"/>
      <c r="J869" s="10"/>
      <c r="K869" s="10"/>
      <c r="L869" s="3" t="s">
        <v>7366</v>
      </c>
      <c r="M869" s="3" t="s">
        <v>7367</v>
      </c>
      <c r="N869" s="3" t="s">
        <v>7368</v>
      </c>
      <c r="O869" s="3"/>
      <c r="P869" s="3"/>
      <c r="Q869" s="3"/>
      <c r="R869" s="3" t="s">
        <v>7369</v>
      </c>
      <c r="S869" s="3" t="s">
        <v>7370</v>
      </c>
      <c r="T869" s="3" t="s">
        <v>113</v>
      </c>
      <c r="U869" s="11">
        <v>124</v>
      </c>
      <c r="V869" s="3" t="s">
        <v>7342</v>
      </c>
      <c r="W869" s="8" t="s">
        <v>7834</v>
      </c>
    </row>
    <row r="870" spans="1:23" x14ac:dyDescent="0.25">
      <c r="A870" s="2">
        <v>1897</v>
      </c>
      <c r="B870" s="3" t="s">
        <v>7342</v>
      </c>
      <c r="C870" s="3">
        <v>2024</v>
      </c>
      <c r="D870" s="3" t="s">
        <v>3674</v>
      </c>
      <c r="E870" s="3" t="s">
        <v>15</v>
      </c>
      <c r="F870" s="1" t="s">
        <v>7834</v>
      </c>
      <c r="G870" s="10"/>
      <c r="H870" s="10"/>
      <c r="I870" s="10"/>
      <c r="J870" s="10"/>
      <c r="K870" s="10"/>
      <c r="L870" s="3" t="s">
        <v>7390</v>
      </c>
      <c r="M870" s="3" t="s">
        <v>7391</v>
      </c>
      <c r="N870" s="3" t="s">
        <v>7392</v>
      </c>
      <c r="O870" s="3"/>
      <c r="P870" s="3"/>
      <c r="Q870" s="3"/>
      <c r="R870" s="3" t="s">
        <v>7393</v>
      </c>
      <c r="S870" s="3" t="s">
        <v>7394</v>
      </c>
      <c r="T870" s="3" t="s">
        <v>113</v>
      </c>
      <c r="U870" s="11">
        <v>125</v>
      </c>
      <c r="V870" s="3" t="s">
        <v>7342</v>
      </c>
      <c r="W870" s="8" t="s">
        <v>7834</v>
      </c>
    </row>
    <row r="871" spans="1:23" x14ac:dyDescent="0.25">
      <c r="A871" s="2">
        <v>1893</v>
      </c>
      <c r="B871" s="3" t="s">
        <v>7342</v>
      </c>
      <c r="C871" s="3">
        <v>2024</v>
      </c>
      <c r="D871" s="3" t="s">
        <v>361</v>
      </c>
      <c r="E871" s="3" t="s">
        <v>206</v>
      </c>
      <c r="F871" s="1" t="s">
        <v>7834</v>
      </c>
      <c r="G871" s="10"/>
      <c r="H871" s="10"/>
      <c r="I871" s="10"/>
      <c r="J871" s="10"/>
      <c r="K871" s="10"/>
      <c r="L871" s="3" t="s">
        <v>7378</v>
      </c>
      <c r="M871" s="3" t="s">
        <v>7379</v>
      </c>
      <c r="N871" s="3" t="s">
        <v>7380</v>
      </c>
      <c r="O871" s="3">
        <v>14</v>
      </c>
      <c r="P871" s="3">
        <v>11</v>
      </c>
      <c r="Q871" s="3"/>
      <c r="R871" s="3" t="s">
        <v>7381</v>
      </c>
      <c r="S871" s="3" t="s">
        <v>7382</v>
      </c>
      <c r="T871" s="3" t="s">
        <v>113</v>
      </c>
      <c r="U871" s="11">
        <v>126</v>
      </c>
      <c r="V871" s="3" t="s">
        <v>7342</v>
      </c>
      <c r="W871" s="8" t="s">
        <v>7834</v>
      </c>
    </row>
    <row r="872" spans="1:23" x14ac:dyDescent="0.25">
      <c r="A872" s="2">
        <v>1896</v>
      </c>
      <c r="B872" s="3" t="s">
        <v>7342</v>
      </c>
      <c r="C872" s="3">
        <v>2024</v>
      </c>
      <c r="D872" s="3" t="s">
        <v>866</v>
      </c>
      <c r="E872" s="3" t="s">
        <v>206</v>
      </c>
      <c r="F872" s="1" t="s">
        <v>7834</v>
      </c>
      <c r="G872" s="10"/>
      <c r="H872" s="10"/>
      <c r="I872" s="10"/>
      <c r="J872" s="10"/>
      <c r="K872" s="10">
        <v>3</v>
      </c>
      <c r="L872" s="3" t="s">
        <v>7387</v>
      </c>
      <c r="M872" s="3" t="s">
        <v>7388</v>
      </c>
      <c r="N872" s="3" t="s">
        <v>527</v>
      </c>
      <c r="O872" s="3">
        <v>63</v>
      </c>
      <c r="P872" s="3"/>
      <c r="Q872" s="3">
        <v>26</v>
      </c>
      <c r="R872" s="3" t="s">
        <v>4902</v>
      </c>
      <c r="S872" s="3" t="s">
        <v>7389</v>
      </c>
      <c r="T872" s="3" t="s">
        <v>113</v>
      </c>
      <c r="U872" s="11">
        <v>127</v>
      </c>
      <c r="V872" s="3" t="s">
        <v>7342</v>
      </c>
      <c r="W872" s="8" t="s">
        <v>7834</v>
      </c>
    </row>
    <row r="873" spans="1:23" x14ac:dyDescent="0.25">
      <c r="A873" s="2">
        <v>1905</v>
      </c>
      <c r="B873" s="3" t="s">
        <v>7399</v>
      </c>
      <c r="C873" s="3">
        <v>2024</v>
      </c>
      <c r="D873" s="3" t="s">
        <v>3851</v>
      </c>
      <c r="E873" s="3" t="s">
        <v>15</v>
      </c>
      <c r="F873" s="1" t="s">
        <v>7834</v>
      </c>
      <c r="G873" s="10"/>
      <c r="H873" s="10"/>
      <c r="I873" s="10"/>
      <c r="J873" s="10"/>
      <c r="K873" s="10"/>
      <c r="L873" s="3" t="s">
        <v>7425</v>
      </c>
      <c r="M873" s="3" t="s">
        <v>7426</v>
      </c>
      <c r="N873" s="3" t="s">
        <v>7427</v>
      </c>
      <c r="O873" s="3">
        <v>36</v>
      </c>
      <c r="P873" s="3"/>
      <c r="Q873" s="3">
        <v>1</v>
      </c>
      <c r="R873" s="3" t="s">
        <v>7428</v>
      </c>
      <c r="S873" s="3" t="s">
        <v>7429</v>
      </c>
      <c r="T873" s="3" t="s">
        <v>113</v>
      </c>
      <c r="U873" s="11">
        <v>128</v>
      </c>
      <c r="V873" s="3" t="s">
        <v>7399</v>
      </c>
      <c r="W873" s="8" t="s">
        <v>7834</v>
      </c>
    </row>
    <row r="874" spans="1:23" x14ac:dyDescent="0.25">
      <c r="A874" s="2">
        <v>1921</v>
      </c>
      <c r="B874" s="3" t="s">
        <v>7399</v>
      </c>
      <c r="C874" s="3">
        <v>2024</v>
      </c>
      <c r="D874" s="3" t="s">
        <v>93</v>
      </c>
      <c r="E874" s="3" t="s">
        <v>15</v>
      </c>
      <c r="F874" s="1" t="s">
        <v>7834</v>
      </c>
      <c r="G874" s="10"/>
      <c r="H874" s="10"/>
      <c r="I874" s="10"/>
      <c r="J874" s="10"/>
      <c r="K874" s="10"/>
      <c r="L874" s="3" t="s">
        <v>7491</v>
      </c>
      <c r="M874" s="3" t="s">
        <v>7492</v>
      </c>
      <c r="N874" s="3" t="s">
        <v>7493</v>
      </c>
      <c r="O874" s="3">
        <v>45</v>
      </c>
      <c r="P874" s="3"/>
      <c r="Q874" s="3">
        <v>171</v>
      </c>
      <c r="R874" s="3" t="s">
        <v>7494</v>
      </c>
      <c r="S874" s="3" t="s">
        <v>7495</v>
      </c>
      <c r="T874" s="3" t="s">
        <v>113</v>
      </c>
      <c r="U874" s="11">
        <v>129</v>
      </c>
      <c r="V874" s="3" t="s">
        <v>7399</v>
      </c>
      <c r="W874" s="8" t="s">
        <v>7834</v>
      </c>
    </row>
    <row r="875" spans="1:23" x14ac:dyDescent="0.25">
      <c r="A875" s="2">
        <v>1924</v>
      </c>
      <c r="B875" s="3" t="s">
        <v>7399</v>
      </c>
      <c r="C875" s="3">
        <v>2024</v>
      </c>
      <c r="D875" s="3" t="s">
        <v>830</v>
      </c>
      <c r="E875" s="3" t="s">
        <v>15</v>
      </c>
      <c r="F875" s="1" t="s">
        <v>7834</v>
      </c>
      <c r="G875" s="10"/>
      <c r="H875" s="10"/>
      <c r="I875" s="10"/>
      <c r="J875" s="10"/>
      <c r="K875" s="10"/>
      <c r="L875" s="3" t="s">
        <v>7505</v>
      </c>
      <c r="M875" s="3" t="s">
        <v>7506</v>
      </c>
      <c r="N875" s="3" t="s">
        <v>4288</v>
      </c>
      <c r="O875" s="3">
        <v>15</v>
      </c>
      <c r="P875" s="3"/>
      <c r="Q875" s="3"/>
      <c r="R875" s="3" t="s">
        <v>4289</v>
      </c>
      <c r="S875" s="3" t="s">
        <v>7507</v>
      </c>
      <c r="T875" s="3" t="s">
        <v>113</v>
      </c>
      <c r="U875" s="11">
        <v>130</v>
      </c>
      <c r="V875" s="3" t="s">
        <v>7399</v>
      </c>
      <c r="W875" s="8" t="s">
        <v>7834</v>
      </c>
    </row>
    <row r="876" spans="1:23" x14ac:dyDescent="0.25">
      <c r="A876" s="2">
        <v>1927</v>
      </c>
      <c r="B876" s="3" t="s">
        <v>7399</v>
      </c>
      <c r="C876" s="3">
        <v>2024</v>
      </c>
      <c r="D876" s="3" t="s">
        <v>1810</v>
      </c>
      <c r="E876" s="3" t="s">
        <v>15</v>
      </c>
      <c r="F876" s="1" t="s">
        <v>7834</v>
      </c>
      <c r="G876" s="10"/>
      <c r="H876" s="10"/>
      <c r="I876" s="10"/>
      <c r="J876" s="10"/>
      <c r="K876" s="10"/>
      <c r="L876" s="3" t="s">
        <v>7514</v>
      </c>
      <c r="M876" s="3" t="s">
        <v>7515</v>
      </c>
      <c r="N876" s="3" t="s">
        <v>7516</v>
      </c>
      <c r="O876" s="3">
        <v>38</v>
      </c>
      <c r="P876" s="3"/>
      <c r="Q876" s="3"/>
      <c r="R876" s="3" t="s">
        <v>7428</v>
      </c>
      <c r="S876" s="3" t="s">
        <v>7517</v>
      </c>
      <c r="T876" s="3" t="s">
        <v>113</v>
      </c>
      <c r="U876" s="11">
        <v>131</v>
      </c>
      <c r="V876" s="3" t="s">
        <v>7399</v>
      </c>
      <c r="W876" s="8" t="s">
        <v>7834</v>
      </c>
    </row>
    <row r="877" spans="1:23" x14ac:dyDescent="0.25">
      <c r="A877" s="2">
        <v>1928</v>
      </c>
      <c r="B877" s="3" t="s">
        <v>7399</v>
      </c>
      <c r="C877" s="3">
        <v>2024</v>
      </c>
      <c r="D877" s="3" t="s">
        <v>2998</v>
      </c>
      <c r="E877" s="3" t="s">
        <v>15</v>
      </c>
      <c r="F877" s="1" t="s">
        <v>7834</v>
      </c>
      <c r="G877" s="10"/>
      <c r="H877" s="10"/>
      <c r="I877" s="10"/>
      <c r="J877" s="10"/>
      <c r="K877" s="10"/>
      <c r="L877" s="3" t="s">
        <v>7518</v>
      </c>
      <c r="M877" s="3" t="s">
        <v>7519</v>
      </c>
      <c r="N877" s="3" t="s">
        <v>7516</v>
      </c>
      <c r="O877" s="3">
        <v>38</v>
      </c>
      <c r="P877" s="3"/>
      <c r="Q877" s="3">
        <v>1</v>
      </c>
      <c r="R877" s="3" t="s">
        <v>7428</v>
      </c>
      <c r="S877" s="3" t="s">
        <v>7520</v>
      </c>
      <c r="T877" s="3" t="s">
        <v>113</v>
      </c>
      <c r="U877" s="11">
        <v>132</v>
      </c>
      <c r="V877" s="3" t="s">
        <v>7399</v>
      </c>
      <c r="W877" s="8" t="s">
        <v>7834</v>
      </c>
    </row>
    <row r="878" spans="1:23" x14ac:dyDescent="0.25">
      <c r="A878" s="2">
        <v>1932</v>
      </c>
      <c r="B878" s="3" t="s">
        <v>7399</v>
      </c>
      <c r="C878" s="3">
        <v>2024</v>
      </c>
      <c r="D878" s="3" t="s">
        <v>2082</v>
      </c>
      <c r="E878" s="3" t="s">
        <v>15</v>
      </c>
      <c r="F878" s="1" t="s">
        <v>7834</v>
      </c>
      <c r="G878" s="10"/>
      <c r="H878" s="10"/>
      <c r="I878" s="10"/>
      <c r="J878" s="10"/>
      <c r="K878" s="10"/>
      <c r="L878" s="3" t="s">
        <v>7532</v>
      </c>
      <c r="M878" s="3" t="s">
        <v>7533</v>
      </c>
      <c r="N878" s="3" t="s">
        <v>576</v>
      </c>
      <c r="O878" s="3">
        <v>15</v>
      </c>
      <c r="P878" s="3"/>
      <c r="Q878" s="3">
        <v>1</v>
      </c>
      <c r="R878" s="3" t="s">
        <v>577</v>
      </c>
      <c r="S878" s="3" t="s">
        <v>7534</v>
      </c>
      <c r="T878" s="3" t="s">
        <v>113</v>
      </c>
      <c r="U878" s="11">
        <v>133</v>
      </c>
      <c r="V878" s="3" t="s">
        <v>7399</v>
      </c>
      <c r="W878" s="8" t="s">
        <v>7834</v>
      </c>
    </row>
    <row r="879" spans="1:23" x14ac:dyDescent="0.25">
      <c r="A879" s="2">
        <v>1936</v>
      </c>
      <c r="B879" s="3" t="s">
        <v>7541</v>
      </c>
      <c r="C879" s="3">
        <v>2024</v>
      </c>
      <c r="D879" s="3" t="s">
        <v>63</v>
      </c>
      <c r="E879" s="3" t="s">
        <v>15</v>
      </c>
      <c r="F879" s="1" t="s">
        <v>7834</v>
      </c>
      <c r="G879" s="10"/>
      <c r="H879" s="10"/>
      <c r="I879" s="10"/>
      <c r="J879" s="10"/>
      <c r="K879" s="10"/>
      <c r="L879" s="3" t="s">
        <v>7546</v>
      </c>
      <c r="M879" s="3" t="s">
        <v>7547</v>
      </c>
      <c r="N879" s="3" t="s">
        <v>7548</v>
      </c>
      <c r="O879" s="3">
        <v>160</v>
      </c>
      <c r="P879" s="3"/>
      <c r="Q879" s="3">
        <v>104818</v>
      </c>
      <c r="R879" s="3">
        <v>1</v>
      </c>
      <c r="S879" s="3" t="s">
        <v>7549</v>
      </c>
      <c r="T879" s="3" t="s">
        <v>113</v>
      </c>
      <c r="U879" s="11">
        <v>134</v>
      </c>
      <c r="V879" s="3" t="s">
        <v>7541</v>
      </c>
      <c r="W879" s="8" t="s">
        <v>7834</v>
      </c>
    </row>
    <row r="880" spans="1:23" x14ac:dyDescent="0.25">
      <c r="A880" s="2">
        <v>1949</v>
      </c>
      <c r="B880" s="3" t="s">
        <v>7578</v>
      </c>
      <c r="C880" s="3">
        <v>2024</v>
      </c>
      <c r="D880" s="3" t="s">
        <v>7597</v>
      </c>
      <c r="E880" s="3" t="s">
        <v>15</v>
      </c>
      <c r="F880" s="1" t="s">
        <v>7834</v>
      </c>
      <c r="G880" s="10"/>
      <c r="H880" s="10"/>
      <c r="I880" s="10"/>
      <c r="J880" s="10"/>
      <c r="K880" s="10"/>
      <c r="L880" s="3" t="s">
        <v>7598</v>
      </c>
      <c r="M880" s="3" t="s">
        <v>7599</v>
      </c>
      <c r="N880" s="3" t="s">
        <v>7600</v>
      </c>
      <c r="O880" s="3">
        <v>14</v>
      </c>
      <c r="P880" s="3">
        <v>5</v>
      </c>
      <c r="Q880" s="3">
        <v>1396</v>
      </c>
      <c r="R880" s="3" t="s">
        <v>7601</v>
      </c>
      <c r="S880" s="3" t="s">
        <v>7602</v>
      </c>
      <c r="T880" s="3" t="s">
        <v>113</v>
      </c>
      <c r="U880" s="11">
        <v>135</v>
      </c>
      <c r="V880" s="3" t="s">
        <v>7578</v>
      </c>
      <c r="W880" s="8" t="s">
        <v>7834</v>
      </c>
    </row>
    <row r="881" spans="1:23" x14ac:dyDescent="0.25">
      <c r="A881" s="2">
        <v>1957</v>
      </c>
      <c r="B881" s="3" t="s">
        <v>7578</v>
      </c>
      <c r="C881" s="3">
        <v>2024</v>
      </c>
      <c r="D881" s="3" t="s">
        <v>3724</v>
      </c>
      <c r="E881" s="3" t="s">
        <v>15</v>
      </c>
      <c r="F881" s="1" t="s">
        <v>7834</v>
      </c>
      <c r="G881" s="10"/>
      <c r="H881" s="10"/>
      <c r="I881" s="10"/>
      <c r="J881" s="10"/>
      <c r="K881" s="10"/>
      <c r="L881" s="3" t="s">
        <v>7629</v>
      </c>
      <c r="M881" s="3" t="s">
        <v>7630</v>
      </c>
      <c r="N881" s="3" t="s">
        <v>7631</v>
      </c>
      <c r="O881" s="3">
        <v>68</v>
      </c>
      <c r="P881" s="3">
        <v>3</v>
      </c>
      <c r="Q881" s="3"/>
      <c r="R881" s="3" t="s">
        <v>6728</v>
      </c>
      <c r="S881" s="3" t="s">
        <v>6729</v>
      </c>
      <c r="T881" s="3" t="s">
        <v>113</v>
      </c>
      <c r="U881" s="11">
        <v>136</v>
      </c>
      <c r="V881" s="3" t="s">
        <v>7578</v>
      </c>
      <c r="W881" s="8" t="s">
        <v>7834</v>
      </c>
    </row>
    <row r="882" spans="1:23" x14ac:dyDescent="0.25">
      <c r="A882" s="2">
        <v>1962</v>
      </c>
      <c r="B882" s="3" t="s">
        <v>7578</v>
      </c>
      <c r="C882" s="3">
        <v>2024</v>
      </c>
      <c r="D882" s="3" t="s">
        <v>2197</v>
      </c>
      <c r="E882" s="3" t="s">
        <v>15</v>
      </c>
      <c r="F882" s="1" t="s">
        <v>7834</v>
      </c>
      <c r="G882" s="10">
        <v>14</v>
      </c>
      <c r="H882" s="10"/>
      <c r="I882" s="10"/>
      <c r="J882" s="10"/>
      <c r="K882" s="10"/>
      <c r="L882" s="3" t="s">
        <v>7648</v>
      </c>
      <c r="M882" s="3" t="s">
        <v>7649</v>
      </c>
      <c r="N882" s="3" t="s">
        <v>7650</v>
      </c>
      <c r="O882" s="3">
        <v>28</v>
      </c>
      <c r="P882" s="3">
        <v>4</v>
      </c>
      <c r="Q882" s="3">
        <v>512</v>
      </c>
      <c r="R882" s="3" t="s">
        <v>7651</v>
      </c>
      <c r="S882" s="3" t="s">
        <v>7652</v>
      </c>
      <c r="T882" s="3" t="s">
        <v>113</v>
      </c>
      <c r="U882" s="11">
        <v>137</v>
      </c>
      <c r="V882" s="3" t="s">
        <v>7578</v>
      </c>
      <c r="W882" s="8" t="s">
        <v>7834</v>
      </c>
    </row>
    <row r="883" spans="1:23" x14ac:dyDescent="0.25">
      <c r="A883" s="2">
        <v>1964</v>
      </c>
      <c r="B883" s="3" t="s">
        <v>7653</v>
      </c>
      <c r="C883" s="3">
        <v>2024</v>
      </c>
      <c r="D883" s="3" t="s">
        <v>2543</v>
      </c>
      <c r="E883" s="3" t="s">
        <v>15</v>
      </c>
      <c r="F883" s="1" t="s">
        <v>7834</v>
      </c>
      <c r="G883" s="10"/>
      <c r="H883" s="10"/>
      <c r="I883" s="10"/>
      <c r="J883" s="10"/>
      <c r="K883" s="10"/>
      <c r="L883" s="3" t="s">
        <v>7657</v>
      </c>
      <c r="M883" s="3" t="s">
        <v>7658</v>
      </c>
      <c r="N883" s="3" t="s">
        <v>7659</v>
      </c>
      <c r="O883" s="3"/>
      <c r="P883" s="3"/>
      <c r="Q883" s="3"/>
      <c r="R883" s="3" t="s">
        <v>7660</v>
      </c>
      <c r="S883" s="3" t="s">
        <v>7661</v>
      </c>
      <c r="T883" s="3" t="s">
        <v>113</v>
      </c>
      <c r="U883" s="11">
        <v>138</v>
      </c>
      <c r="V883" s="3" t="s">
        <v>7653</v>
      </c>
      <c r="W883" s="8" t="s">
        <v>7834</v>
      </c>
    </row>
    <row r="884" spans="1:23" x14ac:dyDescent="0.25">
      <c r="A884" s="2">
        <v>1967</v>
      </c>
      <c r="B884" s="3" t="s">
        <v>7653</v>
      </c>
      <c r="C884" s="3">
        <v>2024</v>
      </c>
      <c r="D884" s="3" t="s">
        <v>215</v>
      </c>
      <c r="E884" s="3" t="s">
        <v>15</v>
      </c>
      <c r="F884" s="1" t="s">
        <v>7834</v>
      </c>
      <c r="G884" s="10"/>
      <c r="H884" s="10"/>
      <c r="I884" s="10"/>
      <c r="J884" s="10"/>
      <c r="K884" s="10"/>
      <c r="L884" s="3" t="s">
        <v>7672</v>
      </c>
      <c r="M884" s="3" t="s">
        <v>7673</v>
      </c>
      <c r="N884" s="3" t="s">
        <v>7674</v>
      </c>
      <c r="O884" s="3">
        <v>149</v>
      </c>
      <c r="P884" s="3">
        <v>105213</v>
      </c>
      <c r="Q884" s="3"/>
      <c r="R884" s="3" t="s">
        <v>7675</v>
      </c>
      <c r="S884" s="3" t="s">
        <v>7676</v>
      </c>
      <c r="T884" s="3" t="s">
        <v>113</v>
      </c>
      <c r="U884" s="11">
        <v>139</v>
      </c>
      <c r="V884" s="3" t="s">
        <v>7653</v>
      </c>
      <c r="W884" s="8" t="s">
        <v>7834</v>
      </c>
    </row>
    <row r="885" spans="1:23" x14ac:dyDescent="0.25">
      <c r="A885" s="2">
        <v>1973</v>
      </c>
      <c r="B885" s="3" t="s">
        <v>7699</v>
      </c>
      <c r="C885" s="3">
        <v>2024</v>
      </c>
      <c r="D885" s="3" t="s">
        <v>409</v>
      </c>
      <c r="E885" s="3" t="s">
        <v>15</v>
      </c>
      <c r="F885" s="1" t="s">
        <v>7834</v>
      </c>
      <c r="G885" s="10"/>
      <c r="H885" s="10"/>
      <c r="I885" s="10"/>
      <c r="J885" s="10"/>
      <c r="K885" s="10"/>
      <c r="L885" s="3" t="s">
        <v>7700</v>
      </c>
      <c r="M885" s="3" t="s">
        <v>7701</v>
      </c>
      <c r="N885" s="3" t="s">
        <v>7702</v>
      </c>
      <c r="O885" s="3">
        <v>0</v>
      </c>
      <c r="P885" s="3">
        <v>0</v>
      </c>
      <c r="Q885" s="3">
        <v>1</v>
      </c>
      <c r="R885" s="3" t="s">
        <v>7703</v>
      </c>
      <c r="S885" s="3" t="s">
        <v>7704</v>
      </c>
      <c r="T885" s="3" t="s">
        <v>113</v>
      </c>
      <c r="U885" s="11">
        <v>140</v>
      </c>
      <c r="V885" s="3" t="s">
        <v>7699</v>
      </c>
      <c r="W885" s="8" t="s">
        <v>7834</v>
      </c>
    </row>
    <row r="886" spans="1:23" x14ac:dyDescent="0.25">
      <c r="A886" s="2">
        <v>1982</v>
      </c>
      <c r="B886" s="3" t="s">
        <v>7699</v>
      </c>
      <c r="C886" s="3">
        <v>2024</v>
      </c>
      <c r="D886" s="3" t="s">
        <v>1832</v>
      </c>
      <c r="E886" s="3" t="s">
        <v>15</v>
      </c>
      <c r="F886" s="1" t="s">
        <v>7834</v>
      </c>
      <c r="G886" s="10"/>
      <c r="H886" s="10"/>
      <c r="I886" s="10"/>
      <c r="J886" s="10"/>
      <c r="K886" s="10"/>
      <c r="L886" s="3" t="s">
        <v>7737</v>
      </c>
      <c r="M886" s="3" t="s">
        <v>7738</v>
      </c>
      <c r="N886" s="3" t="s">
        <v>7739</v>
      </c>
      <c r="O886" s="3">
        <v>11</v>
      </c>
      <c r="P886" s="3">
        <v>1</v>
      </c>
      <c r="Q886" s="3">
        <v>1</v>
      </c>
      <c r="R886" s="3" t="s">
        <v>7740</v>
      </c>
      <c r="S886" s="3" t="s">
        <v>7741</v>
      </c>
      <c r="T886" s="3" t="s">
        <v>113</v>
      </c>
      <c r="U886" s="11">
        <v>141</v>
      </c>
      <c r="V886" s="3" t="s">
        <v>7699</v>
      </c>
      <c r="W886" s="8" t="s">
        <v>7834</v>
      </c>
    </row>
    <row r="887" spans="1:23" x14ac:dyDescent="0.25">
      <c r="A887" s="2">
        <v>1983</v>
      </c>
      <c r="B887" s="3" t="s">
        <v>7699</v>
      </c>
      <c r="C887" s="3">
        <v>2024</v>
      </c>
      <c r="D887" s="3" t="s">
        <v>2750</v>
      </c>
      <c r="E887" s="3" t="s">
        <v>206</v>
      </c>
      <c r="F887" s="1" t="s">
        <v>7834</v>
      </c>
      <c r="G887" s="10"/>
      <c r="H887" s="10"/>
      <c r="I887" s="10"/>
      <c r="J887" s="10"/>
      <c r="K887" s="10"/>
      <c r="L887" s="3" t="s">
        <v>7742</v>
      </c>
      <c r="M887" s="3" t="s">
        <v>7743</v>
      </c>
      <c r="N887" s="3" t="s">
        <v>7744</v>
      </c>
      <c r="O887" s="3">
        <v>0</v>
      </c>
      <c r="P887" s="3">
        <v>0</v>
      </c>
      <c r="Q887" s="3">
        <v>1</v>
      </c>
      <c r="R887" s="3" t="s">
        <v>7745</v>
      </c>
      <c r="S887" s="3" t="s">
        <v>7746</v>
      </c>
      <c r="T887" s="3" t="s">
        <v>113</v>
      </c>
      <c r="U887" s="11">
        <v>142</v>
      </c>
      <c r="V887" s="3" t="s">
        <v>7699</v>
      </c>
      <c r="W887" s="8" t="s">
        <v>7834</v>
      </c>
    </row>
    <row r="888" spans="1:23" x14ac:dyDescent="0.25">
      <c r="A888" s="2">
        <v>1</v>
      </c>
      <c r="B888" s="3" t="s">
        <v>13</v>
      </c>
      <c r="C888" s="3">
        <v>2024</v>
      </c>
      <c r="D888" s="3" t="s">
        <v>14</v>
      </c>
      <c r="E888" s="3" t="s">
        <v>15</v>
      </c>
      <c r="F888" s="1" t="s">
        <v>7834</v>
      </c>
      <c r="G888" s="10"/>
      <c r="H888" s="10"/>
      <c r="I888" s="10"/>
      <c r="J888" s="10"/>
      <c r="K888" s="10"/>
      <c r="L888" s="3" t="s">
        <v>16</v>
      </c>
      <c r="M888" s="3" t="s">
        <v>17</v>
      </c>
      <c r="N888" s="3" t="s">
        <v>18</v>
      </c>
      <c r="O888" s="3"/>
      <c r="P888" s="3"/>
      <c r="Q888" s="3"/>
      <c r="R888" s="3" t="s">
        <v>19</v>
      </c>
      <c r="S888" s="3" t="s">
        <v>20</v>
      </c>
      <c r="T888" s="3" t="s">
        <v>21</v>
      </c>
      <c r="U888" s="11">
        <v>1</v>
      </c>
      <c r="V888" s="3" t="s">
        <v>13</v>
      </c>
      <c r="W888" s="8" t="s">
        <v>7834</v>
      </c>
    </row>
    <row r="889" spans="1:23" x14ac:dyDescent="0.25">
      <c r="A889" s="2">
        <v>2</v>
      </c>
      <c r="B889" s="3" t="s">
        <v>13</v>
      </c>
      <c r="C889" s="3">
        <v>2024</v>
      </c>
      <c r="D889" s="3" t="s">
        <v>22</v>
      </c>
      <c r="E889" s="3" t="s">
        <v>15</v>
      </c>
      <c r="F889" s="1" t="s">
        <v>7834</v>
      </c>
      <c r="G889" s="10"/>
      <c r="H889" s="10"/>
      <c r="I889" s="10"/>
      <c r="J889" s="10"/>
      <c r="K889" s="10"/>
      <c r="L889" s="3" t="s">
        <v>23</v>
      </c>
      <c r="M889" s="3" t="s">
        <v>24</v>
      </c>
      <c r="N889" s="3" t="s">
        <v>18</v>
      </c>
      <c r="O889" s="3"/>
      <c r="P889" s="3"/>
      <c r="Q889" s="3"/>
      <c r="R889" s="3" t="s">
        <v>19</v>
      </c>
      <c r="S889" s="3" t="s">
        <v>25</v>
      </c>
      <c r="T889" s="3" t="s">
        <v>21</v>
      </c>
      <c r="U889" s="11">
        <v>2</v>
      </c>
      <c r="V889" s="3" t="s">
        <v>13</v>
      </c>
      <c r="W889" s="8" t="s">
        <v>7834</v>
      </c>
    </row>
    <row r="890" spans="1:23" x14ac:dyDescent="0.25">
      <c r="A890" s="2">
        <v>3</v>
      </c>
      <c r="B890" s="3" t="s">
        <v>13</v>
      </c>
      <c r="C890" s="3">
        <v>2024</v>
      </c>
      <c r="D890" s="3" t="s">
        <v>14</v>
      </c>
      <c r="E890" s="3" t="s">
        <v>15</v>
      </c>
      <c r="F890" s="1" t="s">
        <v>7834</v>
      </c>
      <c r="G890" s="10"/>
      <c r="H890" s="10"/>
      <c r="I890" s="10"/>
      <c r="J890" s="10"/>
      <c r="K890" s="10"/>
      <c r="L890" s="3" t="s">
        <v>26</v>
      </c>
      <c r="M890" s="3" t="s">
        <v>27</v>
      </c>
      <c r="N890" s="3" t="s">
        <v>28</v>
      </c>
      <c r="O890" s="3"/>
      <c r="P890" s="3"/>
      <c r="Q890" s="3"/>
      <c r="R890" s="3" t="s">
        <v>29</v>
      </c>
      <c r="S890" s="3" t="s">
        <v>30</v>
      </c>
      <c r="T890" s="3" t="s">
        <v>21</v>
      </c>
      <c r="U890" s="11">
        <v>3</v>
      </c>
      <c r="V890" s="3" t="s">
        <v>13</v>
      </c>
      <c r="W890" s="8" t="s">
        <v>7834</v>
      </c>
    </row>
    <row r="891" spans="1:23" x14ac:dyDescent="0.25">
      <c r="A891" s="2">
        <v>4</v>
      </c>
      <c r="B891" s="3" t="s">
        <v>13</v>
      </c>
      <c r="C891" s="3">
        <v>2024</v>
      </c>
      <c r="D891" s="3" t="s">
        <v>31</v>
      </c>
      <c r="E891" s="3" t="s">
        <v>15</v>
      </c>
      <c r="F891" s="1" t="s">
        <v>7834</v>
      </c>
      <c r="G891" s="10"/>
      <c r="H891" s="10"/>
      <c r="I891" s="10"/>
      <c r="J891" s="10"/>
      <c r="K891" s="10"/>
      <c r="L891" s="3" t="s">
        <v>32</v>
      </c>
      <c r="M891" s="3" t="s">
        <v>33</v>
      </c>
      <c r="N891" s="3" t="s">
        <v>28</v>
      </c>
      <c r="O891" s="3"/>
      <c r="P891" s="3"/>
      <c r="Q891" s="3"/>
      <c r="R891" s="3" t="s">
        <v>29</v>
      </c>
      <c r="S891" s="3" t="s">
        <v>34</v>
      </c>
      <c r="T891" s="3" t="s">
        <v>21</v>
      </c>
      <c r="U891" s="11">
        <v>4</v>
      </c>
      <c r="V891" s="3" t="s">
        <v>13</v>
      </c>
      <c r="W891" s="8" t="s">
        <v>7834</v>
      </c>
    </row>
    <row r="892" spans="1:23" x14ac:dyDescent="0.25">
      <c r="A892" s="2">
        <v>5</v>
      </c>
      <c r="B892" s="3" t="s">
        <v>13</v>
      </c>
      <c r="C892" s="3">
        <v>2024</v>
      </c>
      <c r="D892" s="3" t="s">
        <v>31</v>
      </c>
      <c r="E892" s="3" t="s">
        <v>15</v>
      </c>
      <c r="F892" s="1" t="s">
        <v>7834</v>
      </c>
      <c r="G892" s="10"/>
      <c r="H892" s="10"/>
      <c r="I892" s="10"/>
      <c r="J892" s="10"/>
      <c r="K892" s="10"/>
      <c r="L892" s="3" t="s">
        <v>35</v>
      </c>
      <c r="M892" s="3" t="s">
        <v>36</v>
      </c>
      <c r="N892" s="3" t="s">
        <v>28</v>
      </c>
      <c r="O892" s="3"/>
      <c r="P892" s="3"/>
      <c r="Q892" s="3"/>
      <c r="R892" s="3" t="s">
        <v>29</v>
      </c>
      <c r="S892" s="3" t="s">
        <v>37</v>
      </c>
      <c r="T892" s="3" t="s">
        <v>21</v>
      </c>
      <c r="U892" s="11">
        <v>5</v>
      </c>
      <c r="V892" s="3" t="s">
        <v>13</v>
      </c>
      <c r="W892" s="8" t="s">
        <v>7834</v>
      </c>
    </row>
    <row r="893" spans="1:23" x14ac:dyDescent="0.25">
      <c r="A893" s="2">
        <v>6</v>
      </c>
      <c r="B893" s="3" t="s">
        <v>13</v>
      </c>
      <c r="C893" s="3">
        <v>2024</v>
      </c>
      <c r="D893" s="3" t="s">
        <v>38</v>
      </c>
      <c r="E893" s="3" t="s">
        <v>15</v>
      </c>
      <c r="F893" s="1" t="s">
        <v>7834</v>
      </c>
      <c r="G893" s="10"/>
      <c r="H893" s="10"/>
      <c r="I893" s="10"/>
      <c r="J893" s="10"/>
      <c r="K893" s="10"/>
      <c r="L893" s="3" t="s">
        <v>39</v>
      </c>
      <c r="M893" s="3" t="s">
        <v>40</v>
      </c>
      <c r="N893" s="3" t="s">
        <v>41</v>
      </c>
      <c r="O893" s="3"/>
      <c r="P893" s="3"/>
      <c r="Q893" s="3"/>
      <c r="R893" s="3" t="s">
        <v>42</v>
      </c>
      <c r="S893" s="3" t="s">
        <v>43</v>
      </c>
      <c r="T893" s="3" t="s">
        <v>21</v>
      </c>
      <c r="U893" s="11">
        <v>6</v>
      </c>
      <c r="V893" s="3" t="s">
        <v>13</v>
      </c>
      <c r="W893" s="8" t="s">
        <v>7834</v>
      </c>
    </row>
    <row r="894" spans="1:23" x14ac:dyDescent="0.25">
      <c r="A894" s="2">
        <v>7</v>
      </c>
      <c r="B894" s="3" t="s">
        <v>13</v>
      </c>
      <c r="C894" s="3">
        <v>2024</v>
      </c>
      <c r="D894" s="3" t="s">
        <v>38</v>
      </c>
      <c r="E894" s="3" t="s">
        <v>15</v>
      </c>
      <c r="F894" s="1" t="s">
        <v>7834</v>
      </c>
      <c r="G894" s="10"/>
      <c r="H894" s="10"/>
      <c r="I894" s="10"/>
      <c r="J894" s="10"/>
      <c r="K894" s="10"/>
      <c r="L894" s="3" t="s">
        <v>44</v>
      </c>
      <c r="M894" s="3" t="s">
        <v>45</v>
      </c>
      <c r="N894" s="3" t="s">
        <v>41</v>
      </c>
      <c r="O894" s="3"/>
      <c r="P894" s="3"/>
      <c r="Q894" s="3"/>
      <c r="R894" s="3" t="s">
        <v>42</v>
      </c>
      <c r="S894" s="3" t="s">
        <v>46</v>
      </c>
      <c r="T894" s="3" t="s">
        <v>21</v>
      </c>
      <c r="U894" s="11">
        <v>7</v>
      </c>
      <c r="V894" s="3" t="s">
        <v>13</v>
      </c>
      <c r="W894" s="8" t="s">
        <v>7834</v>
      </c>
    </row>
    <row r="895" spans="1:23" x14ac:dyDescent="0.25">
      <c r="A895" s="2">
        <v>8</v>
      </c>
      <c r="B895" s="3" t="s">
        <v>13</v>
      </c>
      <c r="C895" s="3">
        <v>2024</v>
      </c>
      <c r="D895" s="3" t="s">
        <v>38</v>
      </c>
      <c r="E895" s="3" t="s">
        <v>15</v>
      </c>
      <c r="F895" s="1" t="s">
        <v>7834</v>
      </c>
      <c r="G895" s="10"/>
      <c r="H895" s="10"/>
      <c r="I895" s="10"/>
      <c r="J895" s="10"/>
      <c r="K895" s="10"/>
      <c r="L895" s="3" t="s">
        <v>47</v>
      </c>
      <c r="M895" s="3" t="s">
        <v>48</v>
      </c>
      <c r="N895" s="3" t="s">
        <v>41</v>
      </c>
      <c r="O895" s="3"/>
      <c r="P895" s="3"/>
      <c r="Q895" s="3"/>
      <c r="R895" s="3" t="s">
        <v>42</v>
      </c>
      <c r="S895" s="3" t="s">
        <v>49</v>
      </c>
      <c r="T895" s="3" t="s">
        <v>21</v>
      </c>
      <c r="U895" s="11">
        <v>8</v>
      </c>
      <c r="V895" s="3" t="s">
        <v>13</v>
      </c>
      <c r="W895" s="8" t="s">
        <v>7834</v>
      </c>
    </row>
    <row r="896" spans="1:23" x14ac:dyDescent="0.25">
      <c r="A896" s="2">
        <v>9</v>
      </c>
      <c r="B896" s="3" t="s">
        <v>13</v>
      </c>
      <c r="C896" s="3">
        <v>2024</v>
      </c>
      <c r="D896" s="3" t="s">
        <v>38</v>
      </c>
      <c r="E896" s="3" t="s">
        <v>15</v>
      </c>
      <c r="F896" s="1" t="s">
        <v>7834</v>
      </c>
      <c r="G896" s="10"/>
      <c r="H896" s="10"/>
      <c r="I896" s="10"/>
      <c r="J896" s="10"/>
      <c r="K896" s="10"/>
      <c r="L896" s="3" t="s">
        <v>50</v>
      </c>
      <c r="M896" s="3" t="s">
        <v>51</v>
      </c>
      <c r="N896" s="3" t="s">
        <v>28</v>
      </c>
      <c r="O896" s="3"/>
      <c r="P896" s="3"/>
      <c r="Q896" s="3"/>
      <c r="R896" s="3" t="s">
        <v>29</v>
      </c>
      <c r="S896" s="3" t="s">
        <v>52</v>
      </c>
      <c r="T896" s="3" t="s">
        <v>21</v>
      </c>
      <c r="U896" s="11">
        <v>9</v>
      </c>
      <c r="V896" s="3" t="s">
        <v>13</v>
      </c>
      <c r="W896" s="8" t="s">
        <v>7834</v>
      </c>
    </row>
    <row r="897" spans="1:23" x14ac:dyDescent="0.25">
      <c r="A897" s="2">
        <v>10</v>
      </c>
      <c r="B897" s="3" t="s">
        <v>13</v>
      </c>
      <c r="C897" s="3">
        <v>2024</v>
      </c>
      <c r="D897" s="3" t="s">
        <v>38</v>
      </c>
      <c r="E897" s="3" t="s">
        <v>15</v>
      </c>
      <c r="F897" s="1" t="s">
        <v>7834</v>
      </c>
      <c r="G897" s="10"/>
      <c r="H897" s="10"/>
      <c r="I897" s="10"/>
      <c r="J897" s="10"/>
      <c r="K897" s="10"/>
      <c r="L897" s="3" t="s">
        <v>53</v>
      </c>
      <c r="M897" s="3" t="s">
        <v>54</v>
      </c>
      <c r="N897" s="3" t="s">
        <v>28</v>
      </c>
      <c r="O897" s="3"/>
      <c r="P897" s="3"/>
      <c r="Q897" s="3"/>
      <c r="R897" s="3" t="s">
        <v>29</v>
      </c>
      <c r="S897" s="3" t="s">
        <v>55</v>
      </c>
      <c r="T897" s="3" t="s">
        <v>21</v>
      </c>
      <c r="U897" s="11">
        <v>10</v>
      </c>
      <c r="V897" s="3" t="s">
        <v>13</v>
      </c>
      <c r="W897" s="8" t="s">
        <v>7834</v>
      </c>
    </row>
    <row r="898" spans="1:23" x14ac:dyDescent="0.25">
      <c r="A898" s="2">
        <v>11</v>
      </c>
      <c r="B898" s="3" t="s">
        <v>13</v>
      </c>
      <c r="C898" s="3">
        <v>2024</v>
      </c>
      <c r="D898" s="3" t="s">
        <v>22</v>
      </c>
      <c r="E898" s="3" t="s">
        <v>15</v>
      </c>
      <c r="F898" s="1" t="s">
        <v>7834</v>
      </c>
      <c r="G898" s="10"/>
      <c r="H898" s="10"/>
      <c r="I898" s="10"/>
      <c r="J898" s="10"/>
      <c r="K898" s="10"/>
      <c r="L898" s="3" t="s">
        <v>56</v>
      </c>
      <c r="M898" s="3" t="s">
        <v>57</v>
      </c>
      <c r="N898" s="3" t="s">
        <v>18</v>
      </c>
      <c r="O898" s="3"/>
      <c r="P898" s="3"/>
      <c r="Q898" s="3"/>
      <c r="R898" s="3" t="s">
        <v>19</v>
      </c>
      <c r="S898" s="3" t="s">
        <v>58</v>
      </c>
      <c r="T898" s="3" t="s">
        <v>21</v>
      </c>
      <c r="U898" s="11">
        <v>11</v>
      </c>
      <c r="V898" s="3" t="s">
        <v>13</v>
      </c>
      <c r="W898" s="8" t="s">
        <v>7834</v>
      </c>
    </row>
    <row r="899" spans="1:23" x14ac:dyDescent="0.25">
      <c r="A899" s="2">
        <v>12</v>
      </c>
      <c r="B899" s="3" t="s">
        <v>13</v>
      </c>
      <c r="C899" s="3">
        <v>2024</v>
      </c>
      <c r="D899" s="3" t="s">
        <v>59</v>
      </c>
      <c r="E899" s="3" t="s">
        <v>15</v>
      </c>
      <c r="F899" s="1" t="s">
        <v>7834</v>
      </c>
      <c r="G899" s="10"/>
      <c r="H899" s="10"/>
      <c r="I899" s="10"/>
      <c r="J899" s="10"/>
      <c r="K899" s="10"/>
      <c r="L899" s="3" t="s">
        <v>60</v>
      </c>
      <c r="M899" s="3" t="s">
        <v>61</v>
      </c>
      <c r="N899" s="3" t="s">
        <v>28</v>
      </c>
      <c r="O899" s="3"/>
      <c r="P899" s="3"/>
      <c r="Q899" s="3"/>
      <c r="R899" s="3" t="s">
        <v>29</v>
      </c>
      <c r="S899" s="3" t="s">
        <v>62</v>
      </c>
      <c r="T899" s="3" t="s">
        <v>21</v>
      </c>
      <c r="U899" s="11">
        <v>12</v>
      </c>
      <c r="V899" s="3" t="s">
        <v>13</v>
      </c>
      <c r="W899" s="8" t="s">
        <v>7834</v>
      </c>
    </row>
    <row r="900" spans="1:23" x14ac:dyDescent="0.25">
      <c r="A900" s="2">
        <v>13</v>
      </c>
      <c r="B900" s="3" t="s">
        <v>13</v>
      </c>
      <c r="C900" s="3">
        <v>2024</v>
      </c>
      <c r="D900" s="3" t="s">
        <v>63</v>
      </c>
      <c r="E900" s="3" t="s">
        <v>15</v>
      </c>
      <c r="F900" s="1" t="s">
        <v>7834</v>
      </c>
      <c r="G900" s="10"/>
      <c r="H900" s="10"/>
      <c r="I900" s="10"/>
      <c r="J900" s="10"/>
      <c r="K900" s="10"/>
      <c r="L900" s="3" t="s">
        <v>64</v>
      </c>
      <c r="M900" s="3" t="s">
        <v>65</v>
      </c>
      <c r="N900" s="3" t="s">
        <v>28</v>
      </c>
      <c r="O900" s="3"/>
      <c r="P900" s="3"/>
      <c r="Q900" s="3"/>
      <c r="R900" s="3" t="s">
        <v>29</v>
      </c>
      <c r="S900" s="3" t="s">
        <v>66</v>
      </c>
      <c r="T900" s="3" t="s">
        <v>21</v>
      </c>
      <c r="U900" s="11">
        <v>13</v>
      </c>
      <c r="V900" s="3" t="s">
        <v>13</v>
      </c>
      <c r="W900" s="8" t="s">
        <v>7834</v>
      </c>
    </row>
    <row r="901" spans="1:23" x14ac:dyDescent="0.25">
      <c r="A901" s="2">
        <v>14</v>
      </c>
      <c r="B901" s="3" t="s">
        <v>13</v>
      </c>
      <c r="C901" s="3">
        <v>2024</v>
      </c>
      <c r="D901" s="3" t="s">
        <v>63</v>
      </c>
      <c r="E901" s="3" t="s">
        <v>15</v>
      </c>
      <c r="F901" s="1" t="s">
        <v>7834</v>
      </c>
      <c r="G901" s="10"/>
      <c r="H901" s="10"/>
      <c r="I901" s="10"/>
      <c r="J901" s="10"/>
      <c r="K901" s="10"/>
      <c r="L901" s="3" t="s">
        <v>67</v>
      </c>
      <c r="M901" s="3" t="s">
        <v>68</v>
      </c>
      <c r="N901" s="3" t="s">
        <v>69</v>
      </c>
      <c r="O901" s="3"/>
      <c r="P901" s="3"/>
      <c r="Q901" s="3"/>
      <c r="R901" s="3" t="s">
        <v>70</v>
      </c>
      <c r="S901" s="3" t="s">
        <v>71</v>
      </c>
      <c r="T901" s="3" t="s">
        <v>21</v>
      </c>
      <c r="U901" s="11">
        <v>14</v>
      </c>
      <c r="V901" s="3" t="s">
        <v>13</v>
      </c>
      <c r="W901" s="8" t="s">
        <v>7834</v>
      </c>
    </row>
    <row r="902" spans="1:23" x14ac:dyDescent="0.25">
      <c r="A902" s="2">
        <v>15</v>
      </c>
      <c r="B902" s="3" t="s">
        <v>13</v>
      </c>
      <c r="C902" s="3">
        <v>2024</v>
      </c>
      <c r="D902" s="3" t="s">
        <v>59</v>
      </c>
      <c r="E902" s="3" t="s">
        <v>15</v>
      </c>
      <c r="F902" s="1" t="s">
        <v>7834</v>
      </c>
      <c r="G902" s="10"/>
      <c r="H902" s="10"/>
      <c r="I902" s="10"/>
      <c r="J902" s="10"/>
      <c r="K902" s="10"/>
      <c r="L902" s="3" t="s">
        <v>72</v>
      </c>
      <c r="M902" s="3" t="s">
        <v>73</v>
      </c>
      <c r="N902" s="3" t="s">
        <v>28</v>
      </c>
      <c r="O902" s="3"/>
      <c r="P902" s="3"/>
      <c r="Q902" s="3"/>
      <c r="R902" s="3" t="s">
        <v>29</v>
      </c>
      <c r="S902" s="3" t="s">
        <v>74</v>
      </c>
      <c r="T902" s="3" t="s">
        <v>21</v>
      </c>
      <c r="U902" s="11">
        <v>15</v>
      </c>
      <c r="V902" s="3" t="s">
        <v>13</v>
      </c>
      <c r="W902" s="8" t="s">
        <v>7834</v>
      </c>
    </row>
    <row r="903" spans="1:23" x14ac:dyDescent="0.25">
      <c r="A903" s="2">
        <v>16</v>
      </c>
      <c r="B903" s="3" t="s">
        <v>13</v>
      </c>
      <c r="C903" s="3">
        <v>2024</v>
      </c>
      <c r="D903" s="3" t="s">
        <v>75</v>
      </c>
      <c r="E903" s="3" t="s">
        <v>15</v>
      </c>
      <c r="F903" s="1" t="s">
        <v>7834</v>
      </c>
      <c r="G903" s="10"/>
      <c r="H903" s="10"/>
      <c r="I903" s="10"/>
      <c r="J903" s="10"/>
      <c r="K903" s="10"/>
      <c r="L903" s="3" t="s">
        <v>76</v>
      </c>
      <c r="M903" s="3" t="s">
        <v>77</v>
      </c>
      <c r="N903" s="3" t="s">
        <v>41</v>
      </c>
      <c r="O903" s="3"/>
      <c r="P903" s="3"/>
      <c r="Q903" s="3"/>
      <c r="R903" s="3" t="s">
        <v>42</v>
      </c>
      <c r="S903" s="3" t="s">
        <v>78</v>
      </c>
      <c r="T903" s="3" t="s">
        <v>21</v>
      </c>
      <c r="U903" s="11">
        <v>16</v>
      </c>
      <c r="V903" s="3" t="s">
        <v>13</v>
      </c>
      <c r="W903" s="8" t="s">
        <v>7834</v>
      </c>
    </row>
    <row r="904" spans="1:23" x14ac:dyDescent="0.25">
      <c r="A904" s="2">
        <v>17</v>
      </c>
      <c r="B904" s="3" t="s">
        <v>13</v>
      </c>
      <c r="C904" s="3">
        <v>2024</v>
      </c>
      <c r="D904" s="3" t="s">
        <v>75</v>
      </c>
      <c r="E904" s="3" t="s">
        <v>15</v>
      </c>
      <c r="F904" s="1" t="s">
        <v>7834</v>
      </c>
      <c r="G904" s="10"/>
      <c r="H904" s="10"/>
      <c r="I904" s="10"/>
      <c r="J904" s="10"/>
      <c r="K904" s="10"/>
      <c r="L904" s="3" t="s">
        <v>79</v>
      </c>
      <c r="M904" s="3" t="s">
        <v>80</v>
      </c>
      <c r="N904" s="3" t="s">
        <v>28</v>
      </c>
      <c r="O904" s="3"/>
      <c r="P904" s="3"/>
      <c r="Q904" s="3"/>
      <c r="R904" s="3" t="s">
        <v>29</v>
      </c>
      <c r="S904" s="3" t="s">
        <v>81</v>
      </c>
      <c r="T904" s="3" t="s">
        <v>21</v>
      </c>
      <c r="U904" s="11">
        <v>17</v>
      </c>
      <c r="V904" s="3" t="s">
        <v>13</v>
      </c>
      <c r="W904" s="8" t="s">
        <v>7834</v>
      </c>
    </row>
    <row r="905" spans="1:23" x14ac:dyDescent="0.25">
      <c r="A905" s="2">
        <v>18</v>
      </c>
      <c r="B905" s="3" t="s">
        <v>13</v>
      </c>
      <c r="C905" s="3">
        <v>2024</v>
      </c>
      <c r="D905" s="3" t="s">
        <v>82</v>
      </c>
      <c r="E905" s="3" t="s">
        <v>15</v>
      </c>
      <c r="F905" s="1" t="s">
        <v>7834</v>
      </c>
      <c r="G905" s="10"/>
      <c r="H905" s="10"/>
      <c r="I905" s="10"/>
      <c r="J905" s="10"/>
      <c r="K905" s="10"/>
      <c r="L905" s="3" t="s">
        <v>83</v>
      </c>
      <c r="M905" s="3" t="s">
        <v>84</v>
      </c>
      <c r="N905" s="3" t="s">
        <v>41</v>
      </c>
      <c r="O905" s="3"/>
      <c r="P905" s="3"/>
      <c r="Q905" s="3"/>
      <c r="R905" s="3" t="s">
        <v>42</v>
      </c>
      <c r="S905" s="3" t="s">
        <v>85</v>
      </c>
      <c r="T905" s="3" t="s">
        <v>21</v>
      </c>
      <c r="U905" s="11">
        <v>18</v>
      </c>
      <c r="V905" s="3" t="s">
        <v>13</v>
      </c>
      <c r="W905" s="8" t="s">
        <v>7834</v>
      </c>
    </row>
    <row r="906" spans="1:23" x14ac:dyDescent="0.25">
      <c r="A906" s="2">
        <v>19</v>
      </c>
      <c r="B906" s="3" t="s">
        <v>13</v>
      </c>
      <c r="C906" s="3">
        <v>2024</v>
      </c>
      <c r="D906" s="3" t="s">
        <v>86</v>
      </c>
      <c r="E906" s="3" t="s">
        <v>15</v>
      </c>
      <c r="F906" s="1" t="s">
        <v>7834</v>
      </c>
      <c r="G906" s="10"/>
      <c r="H906" s="10"/>
      <c r="I906" s="10"/>
      <c r="J906" s="10"/>
      <c r="K906" s="10"/>
      <c r="L906" s="3" t="s">
        <v>87</v>
      </c>
      <c r="M906" s="3" t="s">
        <v>88</v>
      </c>
      <c r="N906" s="3" t="s">
        <v>28</v>
      </c>
      <c r="O906" s="3"/>
      <c r="P906" s="3"/>
      <c r="Q906" s="3"/>
      <c r="R906" s="3" t="s">
        <v>29</v>
      </c>
      <c r="S906" s="3" t="s">
        <v>89</v>
      </c>
      <c r="T906" s="3" t="s">
        <v>21</v>
      </c>
      <c r="U906" s="11">
        <v>19</v>
      </c>
      <c r="V906" s="3" t="s">
        <v>13</v>
      </c>
      <c r="W906" s="8" t="s">
        <v>7834</v>
      </c>
    </row>
    <row r="907" spans="1:23" x14ac:dyDescent="0.25">
      <c r="A907" s="2">
        <v>20</v>
      </c>
      <c r="B907" s="3" t="s">
        <v>13</v>
      </c>
      <c r="C907" s="3">
        <v>2024</v>
      </c>
      <c r="D907" s="3" t="s">
        <v>86</v>
      </c>
      <c r="E907" s="3" t="s">
        <v>15</v>
      </c>
      <c r="F907" s="1" t="s">
        <v>7834</v>
      </c>
      <c r="G907" s="10"/>
      <c r="H907" s="10"/>
      <c r="I907" s="10"/>
      <c r="J907" s="10"/>
      <c r="K907" s="10"/>
      <c r="L907" s="3" t="s">
        <v>90</v>
      </c>
      <c r="M907" s="3" t="s">
        <v>91</v>
      </c>
      <c r="N907" s="3" t="s">
        <v>41</v>
      </c>
      <c r="O907" s="3"/>
      <c r="P907" s="3"/>
      <c r="Q907" s="3"/>
      <c r="R907" s="3" t="s">
        <v>42</v>
      </c>
      <c r="S907" s="3" t="s">
        <v>92</v>
      </c>
      <c r="T907" s="3" t="s">
        <v>21</v>
      </c>
      <c r="U907" s="11">
        <v>20</v>
      </c>
      <c r="V907" s="3" t="s">
        <v>13</v>
      </c>
      <c r="W907" s="8" t="s">
        <v>7834</v>
      </c>
    </row>
    <row r="908" spans="1:23" x14ac:dyDescent="0.25">
      <c r="A908" s="2">
        <v>21</v>
      </c>
      <c r="B908" s="3" t="s">
        <v>13</v>
      </c>
      <c r="C908" s="3">
        <v>2024</v>
      </c>
      <c r="D908" s="3" t="s">
        <v>93</v>
      </c>
      <c r="E908" s="3" t="s">
        <v>15</v>
      </c>
      <c r="F908" s="1" t="s">
        <v>7834</v>
      </c>
      <c r="G908" s="10"/>
      <c r="H908" s="10"/>
      <c r="I908" s="10"/>
      <c r="J908" s="10"/>
      <c r="K908" s="10"/>
      <c r="L908" s="3" t="s">
        <v>94</v>
      </c>
      <c r="M908" s="3" t="s">
        <v>95</v>
      </c>
      <c r="N908" s="3" t="s">
        <v>28</v>
      </c>
      <c r="O908" s="3"/>
      <c r="P908" s="3"/>
      <c r="Q908" s="3"/>
      <c r="R908" s="3" t="s">
        <v>29</v>
      </c>
      <c r="S908" s="3" t="s">
        <v>96</v>
      </c>
      <c r="T908" s="3" t="s">
        <v>21</v>
      </c>
      <c r="U908" s="11">
        <v>21</v>
      </c>
      <c r="V908" s="3" t="s">
        <v>13</v>
      </c>
      <c r="W908" s="8" t="s">
        <v>7834</v>
      </c>
    </row>
    <row r="909" spans="1:23" x14ac:dyDescent="0.25">
      <c r="A909" s="2">
        <v>22</v>
      </c>
      <c r="B909" s="3" t="s">
        <v>13</v>
      </c>
      <c r="C909" s="3">
        <v>2024</v>
      </c>
      <c r="D909" s="3" t="s">
        <v>31</v>
      </c>
      <c r="E909" s="3" t="s">
        <v>15</v>
      </c>
      <c r="F909" s="1" t="s">
        <v>7834</v>
      </c>
      <c r="G909" s="10"/>
      <c r="H909" s="10"/>
      <c r="I909" s="10"/>
      <c r="J909" s="10"/>
      <c r="K909" s="10"/>
      <c r="L909" s="3" t="s">
        <v>97</v>
      </c>
      <c r="M909" s="3" t="s">
        <v>98</v>
      </c>
      <c r="N909" s="3" t="s">
        <v>18</v>
      </c>
      <c r="O909" s="3"/>
      <c r="P909" s="3"/>
      <c r="Q909" s="3"/>
      <c r="R909" s="3" t="s">
        <v>19</v>
      </c>
      <c r="S909" s="3" t="s">
        <v>99</v>
      </c>
      <c r="T909" s="3" t="s">
        <v>21</v>
      </c>
      <c r="U909" s="11">
        <v>22</v>
      </c>
      <c r="V909" s="3" t="s">
        <v>13</v>
      </c>
      <c r="W909" s="8" t="s">
        <v>7834</v>
      </c>
    </row>
    <row r="910" spans="1:23" x14ac:dyDescent="0.25">
      <c r="A910" s="2">
        <v>26</v>
      </c>
      <c r="B910" s="3" t="s">
        <v>13</v>
      </c>
      <c r="C910" s="3">
        <v>2024</v>
      </c>
      <c r="D910" s="3" t="s">
        <v>120</v>
      </c>
      <c r="E910" s="3" t="s">
        <v>15</v>
      </c>
      <c r="F910" s="1" t="s">
        <v>7834</v>
      </c>
      <c r="G910" s="10"/>
      <c r="H910" s="10"/>
      <c r="I910" s="10"/>
      <c r="J910" s="10"/>
      <c r="K910" s="10"/>
      <c r="L910" s="3" t="s">
        <v>121</v>
      </c>
      <c r="M910" s="3" t="s">
        <v>122</v>
      </c>
      <c r="N910" s="3" t="s">
        <v>28</v>
      </c>
      <c r="O910" s="3"/>
      <c r="P910" s="3"/>
      <c r="Q910" s="3"/>
      <c r="R910" s="3" t="s">
        <v>29</v>
      </c>
      <c r="S910" s="3" t="s">
        <v>123</v>
      </c>
      <c r="T910" s="3" t="s">
        <v>21</v>
      </c>
      <c r="U910" s="11">
        <v>23</v>
      </c>
      <c r="V910" s="3" t="s">
        <v>13</v>
      </c>
      <c r="W910" s="8" t="s">
        <v>7834</v>
      </c>
    </row>
    <row r="911" spans="1:23" x14ac:dyDescent="0.25">
      <c r="A911" s="2">
        <v>27</v>
      </c>
      <c r="B911" s="3" t="s">
        <v>13</v>
      </c>
      <c r="C911" s="3">
        <v>2024</v>
      </c>
      <c r="D911" s="3" t="s">
        <v>38</v>
      </c>
      <c r="E911" s="3" t="s">
        <v>15</v>
      </c>
      <c r="F911" s="1" t="s">
        <v>7834</v>
      </c>
      <c r="G911" s="10"/>
      <c r="H911" s="10"/>
      <c r="I911" s="10"/>
      <c r="J911" s="10"/>
      <c r="K911" s="10"/>
      <c r="L911" s="3" t="s">
        <v>124</v>
      </c>
      <c r="M911" s="3" t="s">
        <v>125</v>
      </c>
      <c r="N911" s="3" t="s">
        <v>28</v>
      </c>
      <c r="O911" s="3"/>
      <c r="P911" s="3"/>
      <c r="Q911" s="3"/>
      <c r="R911" s="3" t="s">
        <v>29</v>
      </c>
      <c r="S911" s="3" t="s">
        <v>126</v>
      </c>
      <c r="T911" s="3" t="s">
        <v>21</v>
      </c>
      <c r="U911" s="11">
        <v>24</v>
      </c>
      <c r="V911" s="3" t="s">
        <v>13</v>
      </c>
      <c r="W911" s="8" t="s">
        <v>7834</v>
      </c>
    </row>
    <row r="912" spans="1:23" x14ac:dyDescent="0.25">
      <c r="A912" s="2">
        <v>28</v>
      </c>
      <c r="B912" s="3" t="s">
        <v>13</v>
      </c>
      <c r="C912" s="3">
        <v>2024</v>
      </c>
      <c r="D912" s="3" t="s">
        <v>38</v>
      </c>
      <c r="E912" s="3" t="s">
        <v>15</v>
      </c>
      <c r="F912" s="1" t="s">
        <v>7834</v>
      </c>
      <c r="G912" s="10"/>
      <c r="H912" s="10"/>
      <c r="I912" s="10"/>
      <c r="J912" s="10"/>
      <c r="K912" s="10"/>
      <c r="L912" s="3" t="s">
        <v>127</v>
      </c>
      <c r="M912" s="3" t="s">
        <v>128</v>
      </c>
      <c r="N912" s="3" t="s">
        <v>28</v>
      </c>
      <c r="O912" s="3"/>
      <c r="P912" s="3"/>
      <c r="Q912" s="3"/>
      <c r="R912" s="3" t="s">
        <v>29</v>
      </c>
      <c r="S912" s="3" t="s">
        <v>129</v>
      </c>
      <c r="T912" s="3" t="s">
        <v>21</v>
      </c>
      <c r="U912" s="11">
        <v>25</v>
      </c>
      <c r="V912" s="3" t="s">
        <v>13</v>
      </c>
      <c r="W912" s="8" t="s">
        <v>7834</v>
      </c>
    </row>
    <row r="913" spans="1:23" x14ac:dyDescent="0.25">
      <c r="A913" s="2">
        <v>33</v>
      </c>
      <c r="B913" s="3" t="s">
        <v>13</v>
      </c>
      <c r="C913" s="3">
        <v>2024</v>
      </c>
      <c r="D913" s="3" t="s">
        <v>93</v>
      </c>
      <c r="E913" s="3" t="s">
        <v>15</v>
      </c>
      <c r="F913" s="1" t="s">
        <v>7834</v>
      </c>
      <c r="G913" s="10"/>
      <c r="H913" s="10"/>
      <c r="I913" s="10"/>
      <c r="J913" s="10"/>
      <c r="K913" s="10"/>
      <c r="L913" s="3" t="s">
        <v>146</v>
      </c>
      <c r="M913" s="3" t="s">
        <v>147</v>
      </c>
      <c r="N913" s="3" t="s">
        <v>28</v>
      </c>
      <c r="O913" s="3"/>
      <c r="P913" s="3"/>
      <c r="Q913" s="3"/>
      <c r="R913" s="3" t="s">
        <v>29</v>
      </c>
      <c r="S913" s="3" t="s">
        <v>148</v>
      </c>
      <c r="T913" s="3" t="s">
        <v>21</v>
      </c>
      <c r="U913" s="11">
        <v>26</v>
      </c>
      <c r="V913" s="3" t="s">
        <v>13</v>
      </c>
      <c r="W913" s="8" t="s">
        <v>7834</v>
      </c>
    </row>
    <row r="914" spans="1:23" x14ac:dyDescent="0.25">
      <c r="A914" s="2">
        <v>34</v>
      </c>
      <c r="B914" s="3" t="s">
        <v>13</v>
      </c>
      <c r="C914" s="3">
        <v>2024</v>
      </c>
      <c r="D914" s="3" t="s">
        <v>93</v>
      </c>
      <c r="E914" s="3" t="s">
        <v>15</v>
      </c>
      <c r="F914" s="1" t="s">
        <v>7834</v>
      </c>
      <c r="G914" s="10"/>
      <c r="H914" s="10"/>
      <c r="I914" s="10"/>
      <c r="J914" s="10"/>
      <c r="K914" s="10"/>
      <c r="L914" s="3" t="s">
        <v>149</v>
      </c>
      <c r="M914" s="3" t="s">
        <v>150</v>
      </c>
      <c r="N914" s="3" t="s">
        <v>28</v>
      </c>
      <c r="O914" s="3"/>
      <c r="P914" s="3"/>
      <c r="Q914" s="3"/>
      <c r="R914" s="3" t="s">
        <v>29</v>
      </c>
      <c r="S914" s="3" t="s">
        <v>151</v>
      </c>
      <c r="T914" s="3" t="s">
        <v>21</v>
      </c>
      <c r="U914" s="11">
        <v>27</v>
      </c>
      <c r="V914" s="3" t="s">
        <v>13</v>
      </c>
      <c r="W914" s="8" t="s">
        <v>7834</v>
      </c>
    </row>
    <row r="915" spans="1:23" x14ac:dyDescent="0.25">
      <c r="A915" s="2">
        <v>35</v>
      </c>
      <c r="B915" s="3" t="s">
        <v>13</v>
      </c>
      <c r="C915" s="3">
        <v>2024</v>
      </c>
      <c r="D915" s="3" t="s">
        <v>38</v>
      </c>
      <c r="E915" s="3" t="s">
        <v>15</v>
      </c>
      <c r="F915" s="1" t="s">
        <v>7834</v>
      </c>
      <c r="G915" s="10">
        <v>30</v>
      </c>
      <c r="H915" s="10"/>
      <c r="I915" s="10"/>
      <c r="J915" s="10"/>
      <c r="K915" s="10"/>
      <c r="L915" s="3" t="s">
        <v>152</v>
      </c>
      <c r="M915" s="3" t="s">
        <v>153</v>
      </c>
      <c r="N915" s="3" t="s">
        <v>69</v>
      </c>
      <c r="O915" s="3"/>
      <c r="P915" s="3"/>
      <c r="Q915" s="3"/>
      <c r="R915" s="3" t="s">
        <v>70</v>
      </c>
      <c r="S915" s="3" t="s">
        <v>154</v>
      </c>
      <c r="T915" s="3" t="s">
        <v>21</v>
      </c>
      <c r="U915" s="11">
        <v>28</v>
      </c>
      <c r="V915" s="3" t="s">
        <v>13</v>
      </c>
      <c r="W915" s="8" t="s">
        <v>7834</v>
      </c>
    </row>
    <row r="916" spans="1:23" x14ac:dyDescent="0.25">
      <c r="A916" s="2">
        <v>36</v>
      </c>
      <c r="B916" s="3" t="s">
        <v>155</v>
      </c>
      <c r="C916" s="3">
        <v>2024</v>
      </c>
      <c r="D916" s="3" t="s">
        <v>156</v>
      </c>
      <c r="E916" s="3" t="s">
        <v>15</v>
      </c>
      <c r="F916" s="1" t="s">
        <v>7834</v>
      </c>
      <c r="G916" s="10"/>
      <c r="H916" s="10"/>
      <c r="I916" s="10"/>
      <c r="J916" s="10"/>
      <c r="K916" s="10"/>
      <c r="L916" s="3" t="s">
        <v>157</v>
      </c>
      <c r="M916" s="3" t="s">
        <v>158</v>
      </c>
      <c r="N916" s="3" t="s">
        <v>18</v>
      </c>
      <c r="O916" s="3">
        <v>536</v>
      </c>
      <c r="P916" s="3">
        <v>1</v>
      </c>
      <c r="Q916" s="3">
        <v>752</v>
      </c>
      <c r="R916" s="3" t="s">
        <v>159</v>
      </c>
      <c r="S916" s="3" t="s">
        <v>160</v>
      </c>
      <c r="T916" s="3" t="s">
        <v>21</v>
      </c>
      <c r="U916" s="11">
        <v>1</v>
      </c>
      <c r="V916" s="3" t="s">
        <v>155</v>
      </c>
      <c r="W916" s="8" t="s">
        <v>7834</v>
      </c>
    </row>
    <row r="917" spans="1:23" x14ac:dyDescent="0.25">
      <c r="A917" s="2">
        <v>38</v>
      </c>
      <c r="B917" s="3" t="s">
        <v>155</v>
      </c>
      <c r="C917" s="3">
        <v>2024</v>
      </c>
      <c r="D917" s="3" t="s">
        <v>167</v>
      </c>
      <c r="E917" s="3" t="s">
        <v>15</v>
      </c>
      <c r="F917" s="1" t="s">
        <v>7834</v>
      </c>
      <c r="G917" s="10"/>
      <c r="H917" s="10"/>
      <c r="I917" s="10"/>
      <c r="J917" s="10"/>
      <c r="K917" s="10"/>
      <c r="L917" s="3" t="s">
        <v>168</v>
      </c>
      <c r="M917" s="3" t="s">
        <v>169</v>
      </c>
      <c r="N917" s="3" t="s">
        <v>28</v>
      </c>
      <c r="O917" s="3">
        <v>686</v>
      </c>
      <c r="P917" s="3">
        <v>230</v>
      </c>
      <c r="Q917" s="3"/>
      <c r="R917" s="3" t="s">
        <v>170</v>
      </c>
      <c r="S917" s="3" t="s">
        <v>171</v>
      </c>
      <c r="T917" s="3" t="s">
        <v>21</v>
      </c>
      <c r="U917" s="11">
        <v>2</v>
      </c>
      <c r="V917" s="3" t="s">
        <v>155</v>
      </c>
      <c r="W917" s="8" t="s">
        <v>7834</v>
      </c>
    </row>
    <row r="918" spans="1:23" x14ac:dyDescent="0.25">
      <c r="A918" s="2">
        <v>39</v>
      </c>
      <c r="B918" s="3" t="s">
        <v>155</v>
      </c>
      <c r="C918" s="3">
        <v>2024</v>
      </c>
      <c r="D918" s="3" t="s">
        <v>93</v>
      </c>
      <c r="E918" s="3" t="s">
        <v>15</v>
      </c>
      <c r="F918" s="1" t="s">
        <v>7834</v>
      </c>
      <c r="G918" s="10"/>
      <c r="H918" s="10"/>
      <c r="I918" s="10"/>
      <c r="J918" s="10"/>
      <c r="K918" s="10"/>
      <c r="L918" s="3" t="s">
        <v>172</v>
      </c>
      <c r="M918" s="3" t="s">
        <v>173</v>
      </c>
      <c r="N918" s="3" t="s">
        <v>28</v>
      </c>
      <c r="O918" s="3">
        <v>687</v>
      </c>
      <c r="P918" s="3" t="s">
        <v>174</v>
      </c>
      <c r="Q918" s="3"/>
      <c r="R918" s="3" t="s">
        <v>170</v>
      </c>
      <c r="S918" s="3" t="s">
        <v>175</v>
      </c>
      <c r="T918" s="3" t="s">
        <v>21</v>
      </c>
      <c r="U918" s="11">
        <v>3</v>
      </c>
      <c r="V918" s="3" t="s">
        <v>155</v>
      </c>
      <c r="W918" s="8" t="s">
        <v>7834</v>
      </c>
    </row>
    <row r="919" spans="1:23" x14ac:dyDescent="0.25">
      <c r="A919" s="2">
        <v>40</v>
      </c>
      <c r="B919" s="3" t="s">
        <v>155</v>
      </c>
      <c r="C919" s="3">
        <v>2024</v>
      </c>
      <c r="D919" s="3" t="s">
        <v>31</v>
      </c>
      <c r="E919" s="3" t="s">
        <v>15</v>
      </c>
      <c r="F919" s="1" t="s">
        <v>7834</v>
      </c>
      <c r="G919" s="10"/>
      <c r="H919" s="10"/>
      <c r="I919" s="10"/>
      <c r="J919" s="10"/>
      <c r="K919" s="10"/>
      <c r="L919" s="3" t="s">
        <v>176</v>
      </c>
      <c r="M919" s="3" t="s">
        <v>177</v>
      </c>
      <c r="N919" s="3" t="s">
        <v>18</v>
      </c>
      <c r="O919" s="3">
        <v>530</v>
      </c>
      <c r="P919" s="3">
        <v>4</v>
      </c>
      <c r="Q919" s="3">
        <v>4501</v>
      </c>
      <c r="R919" s="3" t="s">
        <v>159</v>
      </c>
      <c r="S919" s="3" t="s">
        <v>178</v>
      </c>
      <c r="T919" s="3" t="s">
        <v>21</v>
      </c>
      <c r="U919" s="11">
        <v>4</v>
      </c>
      <c r="V919" s="3" t="s">
        <v>155</v>
      </c>
      <c r="W919" s="8" t="s">
        <v>7834</v>
      </c>
    </row>
    <row r="920" spans="1:23" x14ac:dyDescent="0.25">
      <c r="A920" s="2">
        <v>41</v>
      </c>
      <c r="B920" s="3" t="s">
        <v>155</v>
      </c>
      <c r="C920" s="3">
        <v>2024</v>
      </c>
      <c r="D920" s="3" t="s">
        <v>31</v>
      </c>
      <c r="E920" s="3" t="s">
        <v>15</v>
      </c>
      <c r="F920" s="1" t="s">
        <v>7834</v>
      </c>
      <c r="G920" s="10"/>
      <c r="H920" s="10"/>
      <c r="I920" s="10"/>
      <c r="J920" s="10"/>
      <c r="K920" s="10"/>
      <c r="L920" s="3" t="s">
        <v>179</v>
      </c>
      <c r="M920" s="3" t="s">
        <v>180</v>
      </c>
      <c r="N920" s="3" t="s">
        <v>18</v>
      </c>
      <c r="O920" s="3">
        <v>530</v>
      </c>
      <c r="P920" s="3">
        <v>4</v>
      </c>
      <c r="Q920" s="3">
        <v>5016</v>
      </c>
      <c r="R920" s="3" t="s">
        <v>159</v>
      </c>
      <c r="S920" s="3" t="s">
        <v>181</v>
      </c>
      <c r="T920" s="3" t="s">
        <v>21</v>
      </c>
      <c r="U920" s="11">
        <v>5</v>
      </c>
      <c r="V920" s="3" t="s">
        <v>155</v>
      </c>
      <c r="W920" s="8" t="s">
        <v>7834</v>
      </c>
    </row>
    <row r="921" spans="1:23" x14ac:dyDescent="0.25">
      <c r="A921" s="2">
        <v>42</v>
      </c>
      <c r="B921" s="3" t="s">
        <v>155</v>
      </c>
      <c r="C921" s="3">
        <v>2024</v>
      </c>
      <c r="D921" s="3" t="s">
        <v>93</v>
      </c>
      <c r="E921" s="3" t="s">
        <v>15</v>
      </c>
      <c r="F921" s="1" t="s">
        <v>7834</v>
      </c>
      <c r="G921" s="10"/>
      <c r="H921" s="10"/>
      <c r="I921" s="10"/>
      <c r="J921" s="10"/>
      <c r="K921" s="10"/>
      <c r="L921" s="3" t="s">
        <v>182</v>
      </c>
      <c r="M921" s="3" t="s">
        <v>183</v>
      </c>
      <c r="N921" s="3" t="s">
        <v>28</v>
      </c>
      <c r="O921" s="3">
        <v>687</v>
      </c>
      <c r="P921" s="3" t="s">
        <v>184</v>
      </c>
      <c r="Q921" s="3"/>
      <c r="R921" s="3" t="s">
        <v>170</v>
      </c>
      <c r="S921" s="3" t="s">
        <v>185</v>
      </c>
      <c r="T921" s="3" t="s">
        <v>21</v>
      </c>
      <c r="U921" s="11">
        <v>6</v>
      </c>
      <c r="V921" s="3" t="s">
        <v>155</v>
      </c>
      <c r="W921" s="8" t="s">
        <v>7834</v>
      </c>
    </row>
    <row r="922" spans="1:23" x14ac:dyDescent="0.25">
      <c r="A922" s="2">
        <v>43</v>
      </c>
      <c r="B922" s="3" t="s">
        <v>155</v>
      </c>
      <c r="C922" s="3">
        <v>2024</v>
      </c>
      <c r="D922" s="3" t="s">
        <v>186</v>
      </c>
      <c r="E922" s="3" t="s">
        <v>15</v>
      </c>
      <c r="F922" s="1" t="s">
        <v>7834</v>
      </c>
      <c r="G922" s="10"/>
      <c r="H922" s="10"/>
      <c r="I922" s="10"/>
      <c r="J922" s="10"/>
      <c r="K922" s="10"/>
      <c r="L922" s="3" t="s">
        <v>187</v>
      </c>
      <c r="M922" s="3" t="s">
        <v>188</v>
      </c>
      <c r="N922" s="3" t="s">
        <v>69</v>
      </c>
      <c r="O922" s="3">
        <v>970</v>
      </c>
      <c r="P922" s="3">
        <v>1</v>
      </c>
      <c r="Q922" s="3" t="s">
        <v>189</v>
      </c>
      <c r="R922" s="3" t="s">
        <v>190</v>
      </c>
      <c r="S922" s="3" t="s">
        <v>191</v>
      </c>
      <c r="T922" s="3" t="s">
        <v>21</v>
      </c>
      <c r="U922" s="11">
        <v>7</v>
      </c>
      <c r="V922" s="3" t="s">
        <v>155</v>
      </c>
      <c r="W922" s="8" t="s">
        <v>7834</v>
      </c>
    </row>
    <row r="923" spans="1:23" x14ac:dyDescent="0.25">
      <c r="A923" s="2">
        <v>45</v>
      </c>
      <c r="B923" s="3" t="s">
        <v>155</v>
      </c>
      <c r="C923" s="3">
        <v>2024</v>
      </c>
      <c r="D923" s="3" t="s">
        <v>93</v>
      </c>
      <c r="E923" s="3" t="s">
        <v>15</v>
      </c>
      <c r="F923" s="1" t="s">
        <v>7834</v>
      </c>
      <c r="G923" s="10"/>
      <c r="H923" s="10"/>
      <c r="I923" s="10"/>
      <c r="J923" s="10"/>
      <c r="K923" s="10"/>
      <c r="L923" s="3" t="s">
        <v>198</v>
      </c>
      <c r="M923" s="3" t="s">
        <v>199</v>
      </c>
      <c r="N923" s="3" t="s">
        <v>18</v>
      </c>
      <c r="O923" s="3">
        <v>531</v>
      </c>
      <c r="P923" s="3">
        <v>3</v>
      </c>
      <c r="Q923" s="3">
        <v>3297</v>
      </c>
      <c r="R923" s="3" t="s">
        <v>159</v>
      </c>
      <c r="S923" s="3" t="s">
        <v>200</v>
      </c>
      <c r="T923" s="3" t="s">
        <v>21</v>
      </c>
      <c r="U923" s="11">
        <v>8</v>
      </c>
      <c r="V923" s="3" t="s">
        <v>155</v>
      </c>
      <c r="W923" s="8" t="s">
        <v>7834</v>
      </c>
    </row>
    <row r="924" spans="1:23" x14ac:dyDescent="0.25">
      <c r="A924" s="2">
        <v>46</v>
      </c>
      <c r="B924" s="3" t="s">
        <v>155</v>
      </c>
      <c r="C924" s="3">
        <v>2024</v>
      </c>
      <c r="D924" s="3" t="s">
        <v>75</v>
      </c>
      <c r="E924" s="3" t="s">
        <v>15</v>
      </c>
      <c r="F924" s="1" t="s">
        <v>7834</v>
      </c>
      <c r="G924" s="10"/>
      <c r="H924" s="10"/>
      <c r="I924" s="10"/>
      <c r="J924" s="10"/>
      <c r="K924" s="10"/>
      <c r="L924" s="3" t="s">
        <v>201</v>
      </c>
      <c r="M924" s="3" t="s">
        <v>202</v>
      </c>
      <c r="N924" s="3" t="s">
        <v>28</v>
      </c>
      <c r="O924" s="3">
        <v>690</v>
      </c>
      <c r="P924" s="3" t="s">
        <v>203</v>
      </c>
      <c r="Q924" s="3"/>
      <c r="R924" s="3" t="s">
        <v>204</v>
      </c>
      <c r="S924" s="3" t="s">
        <v>205</v>
      </c>
      <c r="T924" s="3" t="s">
        <v>21</v>
      </c>
      <c r="U924" s="11">
        <v>9</v>
      </c>
      <c r="V924" s="3" t="s">
        <v>155</v>
      </c>
      <c r="W924" s="8" t="s">
        <v>7834</v>
      </c>
    </row>
    <row r="925" spans="1:23" x14ac:dyDescent="0.25">
      <c r="A925" s="2">
        <v>49</v>
      </c>
      <c r="B925" s="3" t="s">
        <v>155</v>
      </c>
      <c r="C925" s="3">
        <v>2024</v>
      </c>
      <c r="D925" s="3" t="s">
        <v>215</v>
      </c>
      <c r="E925" s="3" t="s">
        <v>15</v>
      </c>
      <c r="F925" s="1" t="s">
        <v>7834</v>
      </c>
      <c r="G925" s="10"/>
      <c r="H925" s="10"/>
      <c r="I925" s="10"/>
      <c r="J925" s="10"/>
      <c r="K925" s="10"/>
      <c r="L925" s="3" t="s">
        <v>216</v>
      </c>
      <c r="M925" s="3" t="s">
        <v>217</v>
      </c>
      <c r="N925" s="3" t="s">
        <v>69</v>
      </c>
      <c r="O925" s="3">
        <v>976</v>
      </c>
      <c r="P925" s="3">
        <v>2</v>
      </c>
      <c r="Q925" s="3" t="s">
        <v>218</v>
      </c>
      <c r="R925" s="3" t="s">
        <v>70</v>
      </c>
      <c r="S925" s="3" t="s">
        <v>219</v>
      </c>
      <c r="T925" s="3" t="s">
        <v>21</v>
      </c>
      <c r="U925" s="11">
        <v>10</v>
      </c>
      <c r="V925" s="3" t="s">
        <v>155</v>
      </c>
      <c r="W925" s="8" t="s">
        <v>7834</v>
      </c>
    </row>
    <row r="926" spans="1:23" x14ac:dyDescent="0.25">
      <c r="A926" s="2">
        <v>50</v>
      </c>
      <c r="B926" s="3" t="s">
        <v>155</v>
      </c>
      <c r="C926" s="3">
        <v>2024</v>
      </c>
      <c r="D926" s="3" t="s">
        <v>220</v>
      </c>
      <c r="E926" s="3" t="s">
        <v>15</v>
      </c>
      <c r="F926" s="1" t="s">
        <v>7834</v>
      </c>
      <c r="G926" s="10"/>
      <c r="H926" s="10"/>
      <c r="I926" s="10"/>
      <c r="J926" s="10"/>
      <c r="K926" s="10"/>
      <c r="L926" s="3" t="s">
        <v>221</v>
      </c>
      <c r="M926" s="3" t="s">
        <v>222</v>
      </c>
      <c r="N926" s="3" t="s">
        <v>223</v>
      </c>
      <c r="O926" s="3">
        <v>168</v>
      </c>
      <c r="P926" s="3">
        <v>3</v>
      </c>
      <c r="Q926" s="3">
        <v>116</v>
      </c>
      <c r="R926" s="3" t="s">
        <v>224</v>
      </c>
      <c r="S926" s="3" t="s">
        <v>225</v>
      </c>
      <c r="T926" s="3" t="s">
        <v>21</v>
      </c>
      <c r="U926" s="11">
        <v>11</v>
      </c>
      <c r="V926" s="3" t="s">
        <v>155</v>
      </c>
      <c r="W926" s="8" t="s">
        <v>7834</v>
      </c>
    </row>
    <row r="927" spans="1:23" x14ac:dyDescent="0.25">
      <c r="A927" s="2">
        <v>51</v>
      </c>
      <c r="B927" s="3" t="s">
        <v>155</v>
      </c>
      <c r="C927" s="3">
        <v>2024</v>
      </c>
      <c r="D927" s="3" t="s">
        <v>226</v>
      </c>
      <c r="E927" s="3" t="s">
        <v>15</v>
      </c>
      <c r="F927" s="1" t="s">
        <v>7834</v>
      </c>
      <c r="G927" s="10"/>
      <c r="H927" s="10"/>
      <c r="I927" s="10"/>
      <c r="J927" s="10"/>
      <c r="K927" s="10"/>
      <c r="L927" s="3" t="s">
        <v>227</v>
      </c>
      <c r="M927" s="3" t="s">
        <v>228</v>
      </c>
      <c r="N927" s="3" t="s">
        <v>229</v>
      </c>
      <c r="O927" s="3">
        <v>8</v>
      </c>
      <c r="P927" s="3"/>
      <c r="Q927" s="3">
        <v>1008</v>
      </c>
      <c r="R927" s="3">
        <v>23973366</v>
      </c>
      <c r="S927" s="3" t="s">
        <v>230</v>
      </c>
      <c r="T927" s="3" t="s">
        <v>21</v>
      </c>
      <c r="U927" s="11">
        <v>12</v>
      </c>
      <c r="V927" s="3" t="s">
        <v>155</v>
      </c>
      <c r="W927" s="8" t="s">
        <v>7834</v>
      </c>
    </row>
    <row r="928" spans="1:23" x14ac:dyDescent="0.25">
      <c r="A928" s="2">
        <v>52</v>
      </c>
      <c r="B928" s="3" t="s">
        <v>155</v>
      </c>
      <c r="C928" s="3">
        <v>2024</v>
      </c>
      <c r="D928" s="3" t="s">
        <v>75</v>
      </c>
      <c r="E928" s="3" t="s">
        <v>15</v>
      </c>
      <c r="F928" s="1" t="s">
        <v>7834</v>
      </c>
      <c r="G928" s="10"/>
      <c r="H928" s="10"/>
      <c r="I928" s="10"/>
      <c r="J928" s="10"/>
      <c r="K928" s="10"/>
      <c r="L928" s="3" t="s">
        <v>231</v>
      </c>
      <c r="M928" s="3" t="s">
        <v>232</v>
      </c>
      <c r="N928" s="3" t="s">
        <v>233</v>
      </c>
      <c r="O928" s="3">
        <v>274</v>
      </c>
      <c r="P928" s="3">
        <v>2</v>
      </c>
      <c r="Q928" s="3">
        <v>42</v>
      </c>
      <c r="R928" s="3" t="s">
        <v>234</v>
      </c>
      <c r="S928" s="3" t="s">
        <v>235</v>
      </c>
      <c r="T928" s="3" t="s">
        <v>21</v>
      </c>
      <c r="U928" s="11">
        <v>13</v>
      </c>
      <c r="V928" s="3" t="s">
        <v>155</v>
      </c>
      <c r="W928" s="8" t="s">
        <v>7834</v>
      </c>
    </row>
    <row r="929" spans="1:23" x14ac:dyDescent="0.25">
      <c r="A929" s="2">
        <v>53</v>
      </c>
      <c r="B929" s="3" t="s">
        <v>155</v>
      </c>
      <c r="C929" s="3">
        <v>2024</v>
      </c>
      <c r="D929" s="3" t="s">
        <v>120</v>
      </c>
      <c r="E929" s="3" t="s">
        <v>15</v>
      </c>
      <c r="F929" s="1" t="s">
        <v>7834</v>
      </c>
      <c r="G929" s="10"/>
      <c r="H929" s="10"/>
      <c r="I929" s="10"/>
      <c r="J929" s="10"/>
      <c r="K929" s="10"/>
      <c r="L929" s="3" t="s">
        <v>236</v>
      </c>
      <c r="M929" s="3" t="s">
        <v>237</v>
      </c>
      <c r="N929" s="3" t="s">
        <v>28</v>
      </c>
      <c r="O929" s="3">
        <v>688</v>
      </c>
      <c r="P929" s="3" t="s">
        <v>238</v>
      </c>
      <c r="Q929" s="3"/>
      <c r="R929" s="3" t="s">
        <v>204</v>
      </c>
      <c r="S929" s="3" t="s">
        <v>239</v>
      </c>
      <c r="T929" s="3" t="s">
        <v>21</v>
      </c>
      <c r="U929" s="11">
        <v>14</v>
      </c>
      <c r="V929" s="3" t="s">
        <v>155</v>
      </c>
      <c r="W929" s="8" t="s">
        <v>7834</v>
      </c>
    </row>
    <row r="930" spans="1:23" x14ac:dyDescent="0.25">
      <c r="A930" s="2">
        <v>54</v>
      </c>
      <c r="B930" s="3" t="s">
        <v>155</v>
      </c>
      <c r="C930" s="3">
        <v>2024</v>
      </c>
      <c r="D930" s="3" t="s">
        <v>240</v>
      </c>
      <c r="E930" s="3" t="s">
        <v>15</v>
      </c>
      <c r="F930" s="1" t="s">
        <v>7834</v>
      </c>
      <c r="G930" s="10"/>
      <c r="H930" s="10"/>
      <c r="I930" s="10"/>
      <c r="J930" s="10"/>
      <c r="K930" s="10"/>
      <c r="L930" s="3" t="s">
        <v>241</v>
      </c>
      <c r="M930" s="3" t="s">
        <v>242</v>
      </c>
      <c r="N930" s="3" t="s">
        <v>243</v>
      </c>
      <c r="O930" s="3">
        <v>632</v>
      </c>
      <c r="P930" s="3">
        <v>8027</v>
      </c>
      <c r="Q930" s="3">
        <v>1017</v>
      </c>
      <c r="R930" s="3" t="s">
        <v>244</v>
      </c>
      <c r="S930" s="3" t="s">
        <v>245</v>
      </c>
      <c r="T930" s="3" t="s">
        <v>21</v>
      </c>
      <c r="U930" s="11">
        <v>15</v>
      </c>
      <c r="V930" s="3" t="s">
        <v>155</v>
      </c>
      <c r="W930" s="8" t="s">
        <v>7834</v>
      </c>
    </row>
    <row r="931" spans="1:23" x14ac:dyDescent="0.25">
      <c r="A931" s="2">
        <v>55</v>
      </c>
      <c r="B931" s="3" t="s">
        <v>155</v>
      </c>
      <c r="C931" s="3">
        <v>2024</v>
      </c>
      <c r="D931" s="3" t="s">
        <v>75</v>
      </c>
      <c r="E931" s="3" t="s">
        <v>15</v>
      </c>
      <c r="F931" s="1" t="s">
        <v>7834</v>
      </c>
      <c r="G931" s="10"/>
      <c r="H931" s="10"/>
      <c r="I931" s="10"/>
      <c r="J931" s="10"/>
      <c r="K931" s="10"/>
      <c r="L931" s="3" t="s">
        <v>246</v>
      </c>
      <c r="M931" s="3" t="s">
        <v>247</v>
      </c>
      <c r="N931" s="3" t="s">
        <v>28</v>
      </c>
      <c r="O931" s="3">
        <v>690</v>
      </c>
      <c r="P931" s="3" t="s">
        <v>248</v>
      </c>
      <c r="Q931" s="3"/>
      <c r="R931" s="3" t="s">
        <v>204</v>
      </c>
      <c r="S931" s="3" t="s">
        <v>249</v>
      </c>
      <c r="T931" s="3" t="s">
        <v>21</v>
      </c>
      <c r="U931" s="11">
        <v>16</v>
      </c>
      <c r="V931" s="3" t="s">
        <v>155</v>
      </c>
      <c r="W931" s="8" t="s">
        <v>7834</v>
      </c>
    </row>
    <row r="932" spans="1:23" x14ac:dyDescent="0.25">
      <c r="A932" s="2">
        <v>56</v>
      </c>
      <c r="B932" s="3" t="s">
        <v>155</v>
      </c>
      <c r="C932" s="3">
        <v>2024</v>
      </c>
      <c r="D932" s="3" t="s">
        <v>75</v>
      </c>
      <c r="E932" s="3" t="s">
        <v>15</v>
      </c>
      <c r="F932" s="1" t="s">
        <v>7834</v>
      </c>
      <c r="G932" s="10"/>
      <c r="H932" s="10"/>
      <c r="I932" s="10"/>
      <c r="J932" s="10"/>
      <c r="K932" s="10"/>
      <c r="L932" s="3" t="s">
        <v>250</v>
      </c>
      <c r="M932" s="3" t="s">
        <v>251</v>
      </c>
      <c r="N932" s="3" t="s">
        <v>28</v>
      </c>
      <c r="O932" s="3">
        <v>690</v>
      </c>
      <c r="P932" s="3" t="s">
        <v>252</v>
      </c>
      <c r="Q932" s="3"/>
      <c r="R932" s="3" t="s">
        <v>204</v>
      </c>
      <c r="S932" s="3" t="s">
        <v>253</v>
      </c>
      <c r="T932" s="3" t="s">
        <v>21</v>
      </c>
      <c r="U932" s="11">
        <v>17</v>
      </c>
      <c r="V932" s="3" t="s">
        <v>155</v>
      </c>
      <c r="W932" s="8" t="s">
        <v>7834</v>
      </c>
    </row>
    <row r="933" spans="1:23" x14ac:dyDescent="0.25">
      <c r="A933" s="2">
        <v>57</v>
      </c>
      <c r="B933" s="3" t="s">
        <v>155</v>
      </c>
      <c r="C933" s="3">
        <v>2024</v>
      </c>
      <c r="D933" s="3" t="s">
        <v>75</v>
      </c>
      <c r="E933" s="3" t="s">
        <v>15</v>
      </c>
      <c r="F933" s="1" t="s">
        <v>7834</v>
      </c>
      <c r="G933" s="10"/>
      <c r="H933" s="10"/>
      <c r="I933" s="10"/>
      <c r="J933" s="10"/>
      <c r="K933" s="10"/>
      <c r="L933" s="3" t="s">
        <v>254</v>
      </c>
      <c r="M933" s="3" t="s">
        <v>255</v>
      </c>
      <c r="N933" s="3" t="s">
        <v>223</v>
      </c>
      <c r="O933" s="3">
        <v>168</v>
      </c>
      <c r="P933" s="3">
        <v>4</v>
      </c>
      <c r="Q933" s="3">
        <v>185</v>
      </c>
      <c r="R933" s="3" t="s">
        <v>224</v>
      </c>
      <c r="S933" s="3" t="s">
        <v>256</v>
      </c>
      <c r="T933" s="3" t="s">
        <v>21</v>
      </c>
      <c r="U933" s="11">
        <v>18</v>
      </c>
      <c r="V933" s="3" t="s">
        <v>155</v>
      </c>
      <c r="W933" s="8" t="s">
        <v>7834</v>
      </c>
    </row>
    <row r="934" spans="1:23" x14ac:dyDescent="0.25">
      <c r="A934" s="2">
        <v>59</v>
      </c>
      <c r="B934" s="3" t="s">
        <v>155</v>
      </c>
      <c r="C934" s="3">
        <v>2024</v>
      </c>
      <c r="D934" s="3" t="s">
        <v>82</v>
      </c>
      <c r="E934" s="3" t="s">
        <v>15</v>
      </c>
      <c r="F934" s="1" t="s">
        <v>7834</v>
      </c>
      <c r="G934" s="10"/>
      <c r="H934" s="10"/>
      <c r="I934" s="10"/>
      <c r="J934" s="10"/>
      <c r="K934" s="10"/>
      <c r="L934" s="3" t="s">
        <v>261</v>
      </c>
      <c r="M934" s="3" t="s">
        <v>262</v>
      </c>
      <c r="N934" s="3" t="s">
        <v>28</v>
      </c>
      <c r="O934" s="3">
        <v>689</v>
      </c>
      <c r="P934" s="3" t="s">
        <v>263</v>
      </c>
      <c r="Q934" s="3"/>
      <c r="R934" s="3" t="s">
        <v>204</v>
      </c>
      <c r="S934" s="3" t="s">
        <v>264</v>
      </c>
      <c r="T934" s="3" t="s">
        <v>21</v>
      </c>
      <c r="U934" s="11">
        <v>19</v>
      </c>
      <c r="V934" s="3" t="s">
        <v>155</v>
      </c>
      <c r="W934" s="8" t="s">
        <v>7834</v>
      </c>
    </row>
    <row r="935" spans="1:23" x14ac:dyDescent="0.25">
      <c r="A935" s="2">
        <v>62</v>
      </c>
      <c r="B935" s="3" t="s">
        <v>155</v>
      </c>
      <c r="C935" s="3">
        <v>2024</v>
      </c>
      <c r="D935" s="3" t="s">
        <v>75</v>
      </c>
      <c r="E935" s="3" t="s">
        <v>15</v>
      </c>
      <c r="F935" s="1" t="s">
        <v>7834</v>
      </c>
      <c r="G935" s="10"/>
      <c r="H935" s="10"/>
      <c r="I935" s="10"/>
      <c r="J935" s="10"/>
      <c r="K935" s="10"/>
      <c r="L935" s="3" t="s">
        <v>254</v>
      </c>
      <c r="M935" s="3" t="s">
        <v>272</v>
      </c>
      <c r="N935" s="3" t="s">
        <v>223</v>
      </c>
      <c r="O935" s="3">
        <v>168</v>
      </c>
      <c r="P935" s="3">
        <v>4</v>
      </c>
      <c r="Q935" s="3">
        <v>185</v>
      </c>
      <c r="R935" s="3" t="s">
        <v>224</v>
      </c>
      <c r="S935" s="3" t="s">
        <v>256</v>
      </c>
      <c r="T935" s="3" t="s">
        <v>21</v>
      </c>
      <c r="U935" s="11">
        <v>20</v>
      </c>
      <c r="V935" s="3" t="s">
        <v>155</v>
      </c>
      <c r="W935" s="8" t="s">
        <v>7834</v>
      </c>
    </row>
    <row r="936" spans="1:23" x14ac:dyDescent="0.25">
      <c r="A936" s="2">
        <v>63</v>
      </c>
      <c r="B936" s="3" t="s">
        <v>155</v>
      </c>
      <c r="C936" s="3">
        <v>2024</v>
      </c>
      <c r="D936" s="3" t="s">
        <v>215</v>
      </c>
      <c r="E936" s="3" t="s">
        <v>15</v>
      </c>
      <c r="F936" s="1" t="s">
        <v>7834</v>
      </c>
      <c r="G936" s="10"/>
      <c r="H936" s="10"/>
      <c r="I936" s="10"/>
      <c r="J936" s="10"/>
      <c r="K936" s="10"/>
      <c r="L936" s="3" t="s">
        <v>273</v>
      </c>
      <c r="M936" s="3" t="s">
        <v>274</v>
      </c>
      <c r="N936" s="3" t="s">
        <v>41</v>
      </c>
      <c r="O936" s="3">
        <v>976</v>
      </c>
      <c r="P936" s="3">
        <v>2</v>
      </c>
      <c r="Q936" s="3">
        <v>201</v>
      </c>
      <c r="R936" s="3" t="s">
        <v>42</v>
      </c>
      <c r="S936" s="3" t="s">
        <v>275</v>
      </c>
      <c r="T936" s="3" t="s">
        <v>21</v>
      </c>
      <c r="U936" s="11">
        <v>21</v>
      </c>
      <c r="V936" s="3" t="s">
        <v>155</v>
      </c>
      <c r="W936" s="8" t="s">
        <v>7834</v>
      </c>
    </row>
    <row r="937" spans="1:23" x14ac:dyDescent="0.25">
      <c r="A937" s="2">
        <v>65</v>
      </c>
      <c r="B937" s="3" t="s">
        <v>155</v>
      </c>
      <c r="C937" s="3">
        <v>2024</v>
      </c>
      <c r="D937" s="3" t="s">
        <v>215</v>
      </c>
      <c r="E937" s="3" t="s">
        <v>15</v>
      </c>
      <c r="F937" s="1" t="s">
        <v>7834</v>
      </c>
      <c r="G937" s="10"/>
      <c r="H937" s="10"/>
      <c r="I937" s="10"/>
      <c r="J937" s="10"/>
      <c r="K937" s="10"/>
      <c r="L937" s="3" t="s">
        <v>280</v>
      </c>
      <c r="M937" s="3" t="s">
        <v>281</v>
      </c>
      <c r="N937" s="3" t="s">
        <v>41</v>
      </c>
      <c r="O937" s="3">
        <v>976</v>
      </c>
      <c r="P937" s="3">
        <v>2</v>
      </c>
      <c r="Q937" s="3">
        <v>257</v>
      </c>
      <c r="R937" s="3" t="s">
        <v>42</v>
      </c>
      <c r="S937" s="3" t="s">
        <v>282</v>
      </c>
      <c r="T937" s="3" t="s">
        <v>21</v>
      </c>
      <c r="U937" s="11">
        <v>22</v>
      </c>
      <c r="V937" s="3" t="s">
        <v>155</v>
      </c>
      <c r="W937" s="8" t="s">
        <v>7834</v>
      </c>
    </row>
    <row r="938" spans="1:23" x14ac:dyDescent="0.25">
      <c r="A938" s="2">
        <v>66</v>
      </c>
      <c r="B938" s="3" t="s">
        <v>155</v>
      </c>
      <c r="C938" s="3">
        <v>2024</v>
      </c>
      <c r="D938" s="3" t="s">
        <v>215</v>
      </c>
      <c r="E938" s="3" t="s">
        <v>15</v>
      </c>
      <c r="F938" s="1" t="s">
        <v>7834</v>
      </c>
      <c r="G938" s="10">
        <v>25</v>
      </c>
      <c r="H938" s="10"/>
      <c r="I938" s="10"/>
      <c r="J938" s="10"/>
      <c r="K938" s="10"/>
      <c r="L938" s="3" t="s">
        <v>283</v>
      </c>
      <c r="M938" s="3" t="s">
        <v>284</v>
      </c>
      <c r="N938" s="3" t="s">
        <v>233</v>
      </c>
      <c r="O938" s="3">
        <v>275</v>
      </c>
      <c r="P938" s="3">
        <v>2</v>
      </c>
      <c r="Q938" s="3">
        <v>36</v>
      </c>
      <c r="R938" s="3" t="s">
        <v>234</v>
      </c>
      <c r="S938" s="3" t="s">
        <v>285</v>
      </c>
      <c r="T938" s="3" t="s">
        <v>21</v>
      </c>
      <c r="U938" s="11">
        <v>23</v>
      </c>
      <c r="V938" s="3" t="s">
        <v>155</v>
      </c>
      <c r="W938" s="8" t="s">
        <v>7834</v>
      </c>
    </row>
    <row r="939" spans="1:23" x14ac:dyDescent="0.25">
      <c r="A939" s="2">
        <v>47</v>
      </c>
      <c r="B939" s="3" t="s">
        <v>155</v>
      </c>
      <c r="C939" s="3">
        <v>2024</v>
      </c>
      <c r="D939" s="3" t="s">
        <v>86</v>
      </c>
      <c r="E939" s="3" t="s">
        <v>206</v>
      </c>
      <c r="F939" s="1" t="s">
        <v>7834</v>
      </c>
      <c r="G939" s="10"/>
      <c r="H939" s="10"/>
      <c r="I939" s="10"/>
      <c r="J939" s="10"/>
      <c r="K939" s="10"/>
      <c r="L939" s="3" t="s">
        <v>207</v>
      </c>
      <c r="M939" s="3" t="s">
        <v>208</v>
      </c>
      <c r="N939" s="3" t="s">
        <v>28</v>
      </c>
      <c r="O939" s="3">
        <v>691</v>
      </c>
      <c r="P939" s="3" t="s">
        <v>209</v>
      </c>
      <c r="Q939" s="3"/>
      <c r="R939" s="3" t="s">
        <v>204</v>
      </c>
      <c r="S939" s="3" t="s">
        <v>210</v>
      </c>
      <c r="T939" s="3" t="s">
        <v>21</v>
      </c>
      <c r="U939" s="11">
        <v>24</v>
      </c>
      <c r="V939" s="3" t="s">
        <v>155</v>
      </c>
      <c r="W939" s="8" t="s">
        <v>7834</v>
      </c>
    </row>
    <row r="940" spans="1:23" x14ac:dyDescent="0.25">
      <c r="A940" s="2">
        <v>48</v>
      </c>
      <c r="B940" s="3" t="s">
        <v>155</v>
      </c>
      <c r="C940" s="3">
        <v>2024</v>
      </c>
      <c r="D940" s="3" t="s">
        <v>86</v>
      </c>
      <c r="E940" s="3" t="s">
        <v>206</v>
      </c>
      <c r="F940" s="1" t="s">
        <v>7834</v>
      </c>
      <c r="G940" s="10"/>
      <c r="H940" s="10"/>
      <c r="I940" s="10"/>
      <c r="J940" s="10"/>
      <c r="K940" s="10"/>
      <c r="L940" s="3" t="s">
        <v>211</v>
      </c>
      <c r="M940" s="3" t="s">
        <v>212</v>
      </c>
      <c r="N940" s="3" t="s">
        <v>28</v>
      </c>
      <c r="O940" s="3">
        <v>691</v>
      </c>
      <c r="P940" s="3" t="s">
        <v>213</v>
      </c>
      <c r="Q940" s="3"/>
      <c r="R940" s="3" t="s">
        <v>204</v>
      </c>
      <c r="S940" s="3" t="s">
        <v>214</v>
      </c>
      <c r="T940" s="3" t="s">
        <v>21</v>
      </c>
      <c r="U940" s="11">
        <v>25</v>
      </c>
      <c r="V940" s="3" t="s">
        <v>155</v>
      </c>
      <c r="W940" s="8" t="s">
        <v>7834</v>
      </c>
    </row>
    <row r="941" spans="1:23" x14ac:dyDescent="0.25">
      <c r="A941" s="2">
        <v>58</v>
      </c>
      <c r="B941" s="3" t="s">
        <v>155</v>
      </c>
      <c r="C941" s="3">
        <v>2024</v>
      </c>
      <c r="D941" s="3" t="s">
        <v>86</v>
      </c>
      <c r="E941" s="3" t="s">
        <v>206</v>
      </c>
      <c r="F941" s="1" t="s">
        <v>7834</v>
      </c>
      <c r="G941" s="10"/>
      <c r="H941" s="10"/>
      <c r="I941" s="10"/>
      <c r="J941" s="10"/>
      <c r="K941" s="10"/>
      <c r="L941" s="3" t="s">
        <v>257</v>
      </c>
      <c r="M941" s="3" t="s">
        <v>258</v>
      </c>
      <c r="N941" s="3" t="s">
        <v>28</v>
      </c>
      <c r="O941" s="3">
        <v>691</v>
      </c>
      <c r="P941" s="3" t="s">
        <v>259</v>
      </c>
      <c r="Q941" s="3"/>
      <c r="R941" s="3" t="s">
        <v>204</v>
      </c>
      <c r="S941" s="3" t="s">
        <v>260</v>
      </c>
      <c r="T941" s="3" t="s">
        <v>21</v>
      </c>
      <c r="U941" s="11">
        <v>26</v>
      </c>
      <c r="V941" s="3" t="s">
        <v>155</v>
      </c>
      <c r="W941" s="8" t="s">
        <v>7834</v>
      </c>
    </row>
    <row r="942" spans="1:23" x14ac:dyDescent="0.25">
      <c r="A942" s="2">
        <v>60</v>
      </c>
      <c r="B942" s="3" t="s">
        <v>155</v>
      </c>
      <c r="C942" s="3">
        <v>2024</v>
      </c>
      <c r="D942" s="3" t="s">
        <v>265</v>
      </c>
      <c r="E942" s="3" t="s">
        <v>206</v>
      </c>
      <c r="F942" s="1" t="s">
        <v>7834</v>
      </c>
      <c r="G942" s="10"/>
      <c r="H942" s="10"/>
      <c r="I942" s="10"/>
      <c r="J942" s="10"/>
      <c r="K942" s="10"/>
      <c r="L942" s="3" t="s">
        <v>266</v>
      </c>
      <c r="M942" s="3" t="s">
        <v>267</v>
      </c>
      <c r="N942" s="3" t="s">
        <v>223</v>
      </c>
      <c r="O942" s="3">
        <v>168</v>
      </c>
      <c r="P942" s="3">
        <v>5</v>
      </c>
      <c r="Q942" s="3">
        <v>202</v>
      </c>
      <c r="R942" s="3" t="s">
        <v>224</v>
      </c>
      <c r="S942" s="3" t="s">
        <v>268</v>
      </c>
      <c r="T942" s="3" t="s">
        <v>21</v>
      </c>
      <c r="U942" s="11">
        <v>27</v>
      </c>
      <c r="V942" s="3" t="s">
        <v>155</v>
      </c>
      <c r="W942" s="8" t="s">
        <v>7834</v>
      </c>
    </row>
    <row r="943" spans="1:23" x14ac:dyDescent="0.25">
      <c r="A943" s="2">
        <v>61</v>
      </c>
      <c r="B943" s="3" t="s">
        <v>155</v>
      </c>
      <c r="C943" s="3">
        <v>2024</v>
      </c>
      <c r="D943" s="3" t="s">
        <v>215</v>
      </c>
      <c r="E943" s="3" t="s">
        <v>206</v>
      </c>
      <c r="F943" s="1" t="s">
        <v>7834</v>
      </c>
      <c r="G943" s="10"/>
      <c r="H943" s="10"/>
      <c r="I943" s="10"/>
      <c r="J943" s="10"/>
      <c r="K943" s="10"/>
      <c r="L943" s="3" t="s">
        <v>269</v>
      </c>
      <c r="M943" s="3" t="s">
        <v>270</v>
      </c>
      <c r="N943" s="3" t="s">
        <v>18</v>
      </c>
      <c r="O943" s="3">
        <v>535</v>
      </c>
      <c r="P943" s="3">
        <v>2</v>
      </c>
      <c r="Q943" s="3">
        <v>1652</v>
      </c>
      <c r="R943" s="3" t="s">
        <v>159</v>
      </c>
      <c r="S943" s="3" t="s">
        <v>271</v>
      </c>
      <c r="T943" s="3" t="s">
        <v>21</v>
      </c>
      <c r="U943" s="11">
        <v>28</v>
      </c>
      <c r="V943" s="3" t="s">
        <v>155</v>
      </c>
      <c r="W943" s="8" t="s">
        <v>7834</v>
      </c>
    </row>
    <row r="944" spans="1:23" x14ac:dyDescent="0.25">
      <c r="A944" s="2">
        <v>64</v>
      </c>
      <c r="B944" s="3" t="s">
        <v>155</v>
      </c>
      <c r="C944" s="3">
        <v>2024</v>
      </c>
      <c r="D944" s="3" t="s">
        <v>86</v>
      </c>
      <c r="E944" s="3" t="s">
        <v>206</v>
      </c>
      <c r="F944" s="1" t="s">
        <v>7834</v>
      </c>
      <c r="G944" s="10"/>
      <c r="H944" s="10"/>
      <c r="I944" s="10"/>
      <c r="J944" s="10"/>
      <c r="K944" s="10">
        <v>6</v>
      </c>
      <c r="L944" s="3" t="s">
        <v>276</v>
      </c>
      <c r="M944" s="3" t="s">
        <v>277</v>
      </c>
      <c r="N944" s="3" t="s">
        <v>28</v>
      </c>
      <c r="O944" s="3">
        <v>691</v>
      </c>
      <c r="P944" s="3" t="s">
        <v>278</v>
      </c>
      <c r="Q944" s="3"/>
      <c r="R944" s="3" t="s">
        <v>204</v>
      </c>
      <c r="S944" s="3" t="s">
        <v>279</v>
      </c>
      <c r="T944" s="3" t="s">
        <v>21</v>
      </c>
      <c r="U944" s="11">
        <v>29</v>
      </c>
      <c r="V944" s="3" t="s">
        <v>155</v>
      </c>
      <c r="W944" s="8" t="s">
        <v>7834</v>
      </c>
    </row>
    <row r="945" spans="1:23" x14ac:dyDescent="0.25">
      <c r="A945" s="2">
        <v>71</v>
      </c>
      <c r="B945" s="3" t="s">
        <v>294</v>
      </c>
      <c r="C945" s="3">
        <v>2024</v>
      </c>
      <c r="D945" s="3" t="s">
        <v>308</v>
      </c>
      <c r="E945" s="3" t="s">
        <v>15</v>
      </c>
      <c r="F945" s="1" t="s">
        <v>7834</v>
      </c>
      <c r="G945" s="10"/>
      <c r="H945" s="10"/>
      <c r="I945" s="10"/>
      <c r="J945" s="10"/>
      <c r="K945" s="10"/>
      <c r="L945" s="3" t="s">
        <v>309</v>
      </c>
      <c r="M945" s="3" t="s">
        <v>310</v>
      </c>
      <c r="N945" s="3" t="s">
        <v>311</v>
      </c>
      <c r="O945" s="3" t="s">
        <v>312</v>
      </c>
      <c r="P945" s="3"/>
      <c r="Q945" s="3" t="s">
        <v>313</v>
      </c>
      <c r="R945" s="3" t="s">
        <v>314</v>
      </c>
      <c r="S945" s="3" t="s">
        <v>315</v>
      </c>
      <c r="T945" s="3" t="s">
        <v>21</v>
      </c>
      <c r="U945" s="11">
        <v>30</v>
      </c>
      <c r="V945" s="3" t="s">
        <v>294</v>
      </c>
      <c r="W945" s="8" t="s">
        <v>7834</v>
      </c>
    </row>
    <row r="946" spans="1:23" x14ac:dyDescent="0.25">
      <c r="A946" s="2">
        <v>72</v>
      </c>
      <c r="B946" s="3" t="s">
        <v>294</v>
      </c>
      <c r="C946" s="3">
        <v>2024</v>
      </c>
      <c r="D946" s="3" t="s">
        <v>316</v>
      </c>
      <c r="E946" s="3" t="s">
        <v>15</v>
      </c>
      <c r="F946" s="1" t="s">
        <v>7834</v>
      </c>
      <c r="G946" s="10"/>
      <c r="H946" s="10"/>
      <c r="I946" s="10"/>
      <c r="J946" s="10"/>
      <c r="K946" s="10"/>
      <c r="L946" s="3" t="s">
        <v>317</v>
      </c>
      <c r="M946" s="3" t="s">
        <v>318</v>
      </c>
      <c r="N946" s="3" t="s">
        <v>319</v>
      </c>
      <c r="O946" s="3">
        <v>14</v>
      </c>
      <c r="P946" s="3" t="s">
        <v>320</v>
      </c>
      <c r="Q946" s="3">
        <v>1</v>
      </c>
      <c r="R946" s="3" t="s">
        <v>321</v>
      </c>
      <c r="S946" s="3" t="s">
        <v>322</v>
      </c>
      <c r="T946" s="3" t="s">
        <v>21</v>
      </c>
      <c r="U946" s="11">
        <v>31</v>
      </c>
      <c r="V946" s="3" t="s">
        <v>294</v>
      </c>
      <c r="W946" s="8" t="s">
        <v>7834</v>
      </c>
    </row>
    <row r="947" spans="1:23" x14ac:dyDescent="0.25">
      <c r="A947" s="2">
        <v>73</v>
      </c>
      <c r="B947" s="3" t="s">
        <v>294</v>
      </c>
      <c r="C947" s="3">
        <v>2024</v>
      </c>
      <c r="D947" s="3" t="s">
        <v>323</v>
      </c>
      <c r="E947" s="3" t="s">
        <v>15</v>
      </c>
      <c r="F947" s="1" t="s">
        <v>7834</v>
      </c>
      <c r="G947" s="10"/>
      <c r="H947" s="10"/>
      <c r="I947" s="10"/>
      <c r="J947" s="10"/>
      <c r="K947" s="10"/>
      <c r="L947" s="3" t="s">
        <v>324</v>
      </c>
      <c r="M947" s="3" t="s">
        <v>325</v>
      </c>
      <c r="N947" s="3" t="s">
        <v>326</v>
      </c>
      <c r="O947" s="3" t="s">
        <v>327</v>
      </c>
      <c r="P947" s="3"/>
      <c r="Q947" s="3" t="s">
        <v>328</v>
      </c>
      <c r="R947" s="3" t="s">
        <v>314</v>
      </c>
      <c r="S947" s="3" t="s">
        <v>329</v>
      </c>
      <c r="T947" s="3" t="s">
        <v>21</v>
      </c>
      <c r="U947" s="11">
        <v>32</v>
      </c>
      <c r="V947" s="3" t="s">
        <v>294</v>
      </c>
      <c r="W947" s="8" t="s">
        <v>7834</v>
      </c>
    </row>
    <row r="948" spans="1:23" x14ac:dyDescent="0.25">
      <c r="A948" s="2">
        <v>74</v>
      </c>
      <c r="B948" s="3" t="s">
        <v>294</v>
      </c>
      <c r="C948" s="3">
        <v>2024</v>
      </c>
      <c r="D948" s="3" t="s">
        <v>330</v>
      </c>
      <c r="E948" s="3" t="s">
        <v>15</v>
      </c>
      <c r="F948" s="1" t="s">
        <v>7834</v>
      </c>
      <c r="G948" s="10"/>
      <c r="H948" s="10"/>
      <c r="I948" s="10"/>
      <c r="J948" s="10"/>
      <c r="K948" s="10"/>
      <c r="L948" s="3" t="s">
        <v>331</v>
      </c>
      <c r="M948" s="3" t="s">
        <v>332</v>
      </c>
      <c r="N948" s="3" t="s">
        <v>333</v>
      </c>
      <c r="O948" s="3" t="s">
        <v>334</v>
      </c>
      <c r="P948" s="3" t="s">
        <v>335</v>
      </c>
      <c r="Q948" s="3">
        <v>1</v>
      </c>
      <c r="R948" s="3" t="s">
        <v>336</v>
      </c>
      <c r="S948" s="3" t="s">
        <v>337</v>
      </c>
      <c r="T948" s="3" t="s">
        <v>21</v>
      </c>
      <c r="U948" s="11">
        <v>33</v>
      </c>
      <c r="V948" s="3" t="s">
        <v>294</v>
      </c>
      <c r="W948" s="8" t="s">
        <v>7834</v>
      </c>
    </row>
    <row r="949" spans="1:23" x14ac:dyDescent="0.25">
      <c r="A949" s="2">
        <v>75</v>
      </c>
      <c r="B949" s="3" t="s">
        <v>294</v>
      </c>
      <c r="C949" s="3">
        <v>2024</v>
      </c>
      <c r="D949" s="3" t="s">
        <v>215</v>
      </c>
      <c r="E949" s="3" t="s">
        <v>15</v>
      </c>
      <c r="F949" s="1" t="s">
        <v>7834</v>
      </c>
      <c r="G949" s="10"/>
      <c r="H949" s="10"/>
      <c r="I949" s="10"/>
      <c r="J949" s="10"/>
      <c r="K949" s="10"/>
      <c r="L949" s="3" t="s">
        <v>338</v>
      </c>
      <c r="M949" s="3" t="s">
        <v>339</v>
      </c>
      <c r="N949" s="3" t="s">
        <v>340</v>
      </c>
      <c r="O949" s="3" t="s">
        <v>341</v>
      </c>
      <c r="P949" s="3">
        <v>176772</v>
      </c>
      <c r="Q949" s="3"/>
      <c r="R949" s="3" t="s">
        <v>342</v>
      </c>
      <c r="S949" s="3" t="s">
        <v>343</v>
      </c>
      <c r="T949" s="3" t="s">
        <v>21</v>
      </c>
      <c r="U949" s="11">
        <v>34</v>
      </c>
      <c r="V949" s="3" t="s">
        <v>294</v>
      </c>
      <c r="W949" s="8" t="s">
        <v>7834</v>
      </c>
    </row>
    <row r="950" spans="1:23" x14ac:dyDescent="0.25">
      <c r="A950" s="2">
        <v>76</v>
      </c>
      <c r="B950" s="3" t="s">
        <v>294</v>
      </c>
      <c r="C950" s="3">
        <v>2024</v>
      </c>
      <c r="D950" s="3" t="s">
        <v>86</v>
      </c>
      <c r="E950" s="3" t="s">
        <v>15</v>
      </c>
      <c r="F950" s="1" t="s">
        <v>7834</v>
      </c>
      <c r="G950" s="10"/>
      <c r="H950" s="10"/>
      <c r="I950" s="10"/>
      <c r="J950" s="10"/>
      <c r="K950" s="10"/>
      <c r="L950" s="3" t="s">
        <v>344</v>
      </c>
      <c r="M950" s="3" t="s">
        <v>345</v>
      </c>
      <c r="N950" s="3" t="s">
        <v>346</v>
      </c>
      <c r="O950" s="3">
        <v>202</v>
      </c>
      <c r="P950" s="3">
        <v>106727</v>
      </c>
      <c r="Q950" s="3"/>
      <c r="R950" s="3" t="s">
        <v>347</v>
      </c>
      <c r="S950" s="3" t="s">
        <v>348</v>
      </c>
      <c r="T950" s="3" t="s">
        <v>21</v>
      </c>
      <c r="U950" s="11">
        <v>35</v>
      </c>
      <c r="V950" s="3" t="s">
        <v>294</v>
      </c>
      <c r="W950" s="8" t="s">
        <v>7834</v>
      </c>
    </row>
    <row r="951" spans="1:23" x14ac:dyDescent="0.25">
      <c r="A951" s="2">
        <v>77</v>
      </c>
      <c r="B951" s="3" t="s">
        <v>294</v>
      </c>
      <c r="C951" s="3">
        <v>2024</v>
      </c>
      <c r="D951" s="3" t="s">
        <v>349</v>
      </c>
      <c r="E951" s="3" t="s">
        <v>15</v>
      </c>
      <c r="F951" s="1" t="s">
        <v>7834</v>
      </c>
      <c r="G951" s="10"/>
      <c r="H951" s="10"/>
      <c r="I951" s="10"/>
      <c r="J951" s="10"/>
      <c r="K951" s="10"/>
      <c r="L951" s="3" t="s">
        <v>350</v>
      </c>
      <c r="M951" s="3" t="s">
        <v>351</v>
      </c>
      <c r="N951" s="3" t="s">
        <v>352</v>
      </c>
      <c r="O951" s="3">
        <v>5</v>
      </c>
      <c r="P951" s="3">
        <v>328</v>
      </c>
      <c r="Q951" s="3">
        <v>125451</v>
      </c>
      <c r="R951" s="3" t="s">
        <v>353</v>
      </c>
      <c r="S951" s="3" t="s">
        <v>354</v>
      </c>
      <c r="T951" s="3" t="s">
        <v>21</v>
      </c>
      <c r="U951" s="11">
        <v>36</v>
      </c>
      <c r="V951" s="3" t="s">
        <v>294</v>
      </c>
      <c r="W951" s="8" t="s">
        <v>7834</v>
      </c>
    </row>
    <row r="952" spans="1:23" x14ac:dyDescent="0.25">
      <c r="A952" s="2">
        <v>78</v>
      </c>
      <c r="B952" s="3" t="s">
        <v>294</v>
      </c>
      <c r="C952" s="3">
        <v>2024</v>
      </c>
      <c r="D952" s="3" t="s">
        <v>100</v>
      </c>
      <c r="E952" s="3" t="s">
        <v>15</v>
      </c>
      <c r="F952" s="1" t="s">
        <v>7834</v>
      </c>
      <c r="G952" s="10"/>
      <c r="H952" s="10"/>
      <c r="I952" s="10"/>
      <c r="J952" s="10"/>
      <c r="K952" s="10"/>
      <c r="L952" s="3" t="s">
        <v>355</v>
      </c>
      <c r="M952" s="3" t="s">
        <v>356</v>
      </c>
      <c r="N952" s="3" t="s">
        <v>357</v>
      </c>
      <c r="O952" s="3">
        <v>19</v>
      </c>
      <c r="P952" s="3" t="s">
        <v>358</v>
      </c>
      <c r="Q952" s="4">
        <v>46753</v>
      </c>
      <c r="R952" s="3" t="s">
        <v>359</v>
      </c>
      <c r="S952" s="3" t="s">
        <v>360</v>
      </c>
      <c r="T952" s="3" t="s">
        <v>21</v>
      </c>
      <c r="U952" s="11">
        <v>37</v>
      </c>
      <c r="V952" s="3" t="s">
        <v>294</v>
      </c>
      <c r="W952" s="8" t="s">
        <v>7834</v>
      </c>
    </row>
    <row r="953" spans="1:23" x14ac:dyDescent="0.25">
      <c r="A953" s="2">
        <v>79</v>
      </c>
      <c r="B953" s="3" t="s">
        <v>294</v>
      </c>
      <c r="C953" s="3">
        <v>2024</v>
      </c>
      <c r="D953" s="3" t="s">
        <v>361</v>
      </c>
      <c r="E953" s="3" t="s">
        <v>15</v>
      </c>
      <c r="F953" s="1" t="s">
        <v>7834</v>
      </c>
      <c r="G953" s="10"/>
      <c r="H953" s="10"/>
      <c r="I953" s="10"/>
      <c r="J953" s="10"/>
      <c r="K953" s="10"/>
      <c r="L953" s="3" t="s">
        <v>362</v>
      </c>
      <c r="M953" s="3" t="s">
        <v>363</v>
      </c>
      <c r="N953" s="3" t="s">
        <v>364</v>
      </c>
      <c r="O953" s="3" t="s">
        <v>365</v>
      </c>
      <c r="P953" s="3" t="s">
        <v>366</v>
      </c>
      <c r="Q953" s="3"/>
      <c r="R953" s="3" t="s">
        <v>367</v>
      </c>
      <c r="S953" s="3" t="s">
        <v>368</v>
      </c>
      <c r="T953" s="3" t="s">
        <v>21</v>
      </c>
      <c r="U953" s="11">
        <v>38</v>
      </c>
      <c r="V953" s="3" t="s">
        <v>294</v>
      </c>
      <c r="W953" s="8" t="s">
        <v>7834</v>
      </c>
    </row>
    <row r="954" spans="1:23" x14ac:dyDescent="0.25">
      <c r="A954" s="2">
        <v>81</v>
      </c>
      <c r="B954" s="3" t="s">
        <v>294</v>
      </c>
      <c r="C954" s="3">
        <v>2024</v>
      </c>
      <c r="D954" s="3" t="s">
        <v>370</v>
      </c>
      <c r="E954" s="3" t="s">
        <v>15</v>
      </c>
      <c r="F954" s="1" t="s">
        <v>7834</v>
      </c>
      <c r="G954" s="10"/>
      <c r="H954" s="10"/>
      <c r="I954" s="10"/>
      <c r="J954" s="10"/>
      <c r="K954" s="10"/>
      <c r="L954" s="3" t="s">
        <v>371</v>
      </c>
      <c r="M954" s="3" t="s">
        <v>372</v>
      </c>
      <c r="N954" s="3" t="s">
        <v>373</v>
      </c>
      <c r="O954" s="3" t="s">
        <v>374</v>
      </c>
      <c r="P954" s="3">
        <v>177508</v>
      </c>
      <c r="Q954" s="3"/>
      <c r="R954" s="3" t="s">
        <v>375</v>
      </c>
      <c r="S954" s="3" t="s">
        <v>376</v>
      </c>
      <c r="T954" s="3" t="s">
        <v>21</v>
      </c>
      <c r="U954" s="11">
        <v>39</v>
      </c>
      <c r="V954" s="3" t="s">
        <v>294</v>
      </c>
      <c r="W954" s="8" t="s">
        <v>7834</v>
      </c>
    </row>
    <row r="955" spans="1:23" x14ac:dyDescent="0.25">
      <c r="A955" s="2">
        <v>82</v>
      </c>
      <c r="B955" s="3" t="s">
        <v>294</v>
      </c>
      <c r="C955" s="3">
        <v>2024</v>
      </c>
      <c r="D955" s="3" t="s">
        <v>82</v>
      </c>
      <c r="E955" s="3" t="s">
        <v>15</v>
      </c>
      <c r="F955" s="1" t="s">
        <v>7834</v>
      </c>
      <c r="G955" s="10"/>
      <c r="H955" s="10"/>
      <c r="I955" s="10"/>
      <c r="J955" s="10"/>
      <c r="K955" s="10"/>
      <c r="L955" s="3" t="s">
        <v>377</v>
      </c>
      <c r="M955" s="3" t="s">
        <v>378</v>
      </c>
      <c r="N955" s="3" t="s">
        <v>379</v>
      </c>
      <c r="O955" s="3" t="s">
        <v>380</v>
      </c>
      <c r="P955" s="3">
        <v>175910</v>
      </c>
      <c r="Q955" s="3"/>
      <c r="R955" s="3" t="s">
        <v>342</v>
      </c>
      <c r="S955" s="3" t="s">
        <v>381</v>
      </c>
      <c r="T955" s="3" t="s">
        <v>21</v>
      </c>
      <c r="U955" s="11">
        <v>40</v>
      </c>
      <c r="V955" s="3" t="s">
        <v>294</v>
      </c>
      <c r="W955" s="8" t="s">
        <v>7834</v>
      </c>
    </row>
    <row r="956" spans="1:23" x14ac:dyDescent="0.25">
      <c r="A956" s="2">
        <v>83</v>
      </c>
      <c r="B956" s="3" t="s">
        <v>294</v>
      </c>
      <c r="C956" s="3">
        <v>2024</v>
      </c>
      <c r="D956" s="3" t="s">
        <v>82</v>
      </c>
      <c r="E956" s="3" t="s">
        <v>15</v>
      </c>
      <c r="F956" s="1" t="s">
        <v>7834</v>
      </c>
      <c r="G956" s="10"/>
      <c r="H956" s="10"/>
      <c r="I956" s="10"/>
      <c r="J956" s="10"/>
      <c r="K956" s="10"/>
      <c r="L956" s="3" t="s">
        <v>382</v>
      </c>
      <c r="M956" s="3" t="s">
        <v>383</v>
      </c>
      <c r="N956" s="3" t="s">
        <v>384</v>
      </c>
      <c r="O956" s="3" t="s">
        <v>385</v>
      </c>
      <c r="P956" s="3"/>
      <c r="Q956" s="3" t="s">
        <v>386</v>
      </c>
      <c r="R956" s="3" t="s">
        <v>387</v>
      </c>
      <c r="S956" s="3" t="s">
        <v>388</v>
      </c>
      <c r="T956" s="3" t="s">
        <v>21</v>
      </c>
      <c r="U956" s="11">
        <v>41</v>
      </c>
      <c r="V956" s="3" t="s">
        <v>294</v>
      </c>
      <c r="W956" s="8" t="s">
        <v>7834</v>
      </c>
    </row>
    <row r="957" spans="1:23" x14ac:dyDescent="0.25">
      <c r="A957" s="2">
        <v>84</v>
      </c>
      <c r="B957" s="3" t="s">
        <v>294</v>
      </c>
      <c r="C957" s="3">
        <v>2024</v>
      </c>
      <c r="D957" s="3" t="s">
        <v>389</v>
      </c>
      <c r="E957" s="3" t="s">
        <v>15</v>
      </c>
      <c r="F957" s="1" t="s">
        <v>7834</v>
      </c>
      <c r="G957" s="10"/>
      <c r="H957" s="10"/>
      <c r="I957" s="10"/>
      <c r="J957" s="10"/>
      <c r="K957" s="10"/>
      <c r="L957" s="3" t="s">
        <v>390</v>
      </c>
      <c r="M957" s="3" t="s">
        <v>391</v>
      </c>
      <c r="N957" s="3" t="s">
        <v>392</v>
      </c>
      <c r="O957" s="3">
        <v>5</v>
      </c>
      <c r="P957" s="3"/>
      <c r="Q957" s="3">
        <v>319</v>
      </c>
      <c r="R957" s="3" t="s">
        <v>393</v>
      </c>
      <c r="S957" s="3" t="s">
        <v>394</v>
      </c>
      <c r="T957" s="3" t="s">
        <v>21</v>
      </c>
      <c r="U957" s="11">
        <v>42</v>
      </c>
      <c r="V957" s="3" t="s">
        <v>294</v>
      </c>
      <c r="W957" s="8" t="s">
        <v>7834</v>
      </c>
    </row>
    <row r="958" spans="1:23" x14ac:dyDescent="0.25">
      <c r="A958" s="2">
        <v>85</v>
      </c>
      <c r="B958" s="3" t="s">
        <v>294</v>
      </c>
      <c r="C958" s="3">
        <v>2024</v>
      </c>
      <c r="D958" s="3" t="s">
        <v>395</v>
      </c>
      <c r="E958" s="3" t="s">
        <v>15</v>
      </c>
      <c r="F958" s="1" t="s">
        <v>7834</v>
      </c>
      <c r="G958" s="10"/>
      <c r="H958" s="10"/>
      <c r="I958" s="10"/>
      <c r="J958" s="10"/>
      <c r="K958" s="10"/>
      <c r="L958" s="3" t="s">
        <v>396</v>
      </c>
      <c r="M958" s="3" t="s">
        <v>397</v>
      </c>
      <c r="N958" s="3" t="s">
        <v>398</v>
      </c>
      <c r="O958" s="3">
        <v>11</v>
      </c>
      <c r="P958" s="3">
        <v>1425250</v>
      </c>
      <c r="Q958" s="3"/>
      <c r="R958" s="3" t="s">
        <v>399</v>
      </c>
      <c r="S958" s="3" t="s">
        <v>400</v>
      </c>
      <c r="T958" s="3" t="s">
        <v>21</v>
      </c>
      <c r="U958" s="11">
        <v>43</v>
      </c>
      <c r="V958" s="3" t="s">
        <v>294</v>
      </c>
      <c r="W958" s="8" t="s">
        <v>7834</v>
      </c>
    </row>
    <row r="959" spans="1:23" x14ac:dyDescent="0.25">
      <c r="A959" s="2">
        <v>86</v>
      </c>
      <c r="B959" s="3" t="s">
        <v>294</v>
      </c>
      <c r="C959" s="3">
        <v>2024</v>
      </c>
      <c r="D959" s="3" t="s">
        <v>401</v>
      </c>
      <c r="E959" s="3" t="s">
        <v>15</v>
      </c>
      <c r="F959" s="1" t="s">
        <v>7834</v>
      </c>
      <c r="G959" s="10">
        <v>18</v>
      </c>
      <c r="H959" s="10"/>
      <c r="I959" s="10"/>
      <c r="J959" s="10"/>
      <c r="K959" s="10"/>
      <c r="L959" s="3" t="s">
        <v>402</v>
      </c>
      <c r="M959" s="3" t="s">
        <v>403</v>
      </c>
      <c r="N959" s="3" t="s">
        <v>404</v>
      </c>
      <c r="O959" s="3" t="s">
        <v>405</v>
      </c>
      <c r="P959" s="3">
        <v>1446766</v>
      </c>
      <c r="Q959" s="4">
        <v>44927</v>
      </c>
      <c r="R959" s="3" t="s">
        <v>406</v>
      </c>
      <c r="S959" s="3" t="s">
        <v>407</v>
      </c>
      <c r="T959" s="3" t="s">
        <v>21</v>
      </c>
      <c r="U959" s="11">
        <v>44</v>
      </c>
      <c r="V959" s="3" t="s">
        <v>294</v>
      </c>
      <c r="W959" s="8" t="s">
        <v>7834</v>
      </c>
    </row>
    <row r="960" spans="1:23" x14ac:dyDescent="0.25">
      <c r="A960" s="2">
        <v>87</v>
      </c>
      <c r="B960" s="3" t="s">
        <v>408</v>
      </c>
      <c r="C960" s="3">
        <v>2024</v>
      </c>
      <c r="D960" s="3" t="s">
        <v>409</v>
      </c>
      <c r="E960" s="3" t="s">
        <v>15</v>
      </c>
      <c r="F960" s="1" t="s">
        <v>7834</v>
      </c>
      <c r="G960" s="10"/>
      <c r="H960" s="10"/>
      <c r="I960" s="10"/>
      <c r="J960" s="10"/>
      <c r="K960" s="10"/>
      <c r="L960" s="3" t="s">
        <v>410</v>
      </c>
      <c r="M960" s="3" t="s">
        <v>411</v>
      </c>
      <c r="N960" s="3" t="s">
        <v>412</v>
      </c>
      <c r="O960" s="3"/>
      <c r="P960" s="3"/>
      <c r="Q960" s="3"/>
      <c r="R960" s="3" t="s">
        <v>413</v>
      </c>
      <c r="S960" s="3" t="s">
        <v>414</v>
      </c>
      <c r="T960" s="3" t="s">
        <v>21</v>
      </c>
      <c r="U960" s="11">
        <v>45</v>
      </c>
      <c r="V960" s="3" t="s">
        <v>408</v>
      </c>
      <c r="W960" s="8" t="s">
        <v>7834</v>
      </c>
    </row>
    <row r="961" spans="1:23" x14ac:dyDescent="0.25">
      <c r="A961" s="2">
        <v>88</v>
      </c>
      <c r="B961" s="3" t="s">
        <v>408</v>
      </c>
      <c r="C961" s="3">
        <v>2024</v>
      </c>
      <c r="D961" s="3" t="s">
        <v>415</v>
      </c>
      <c r="E961" s="3" t="s">
        <v>15</v>
      </c>
      <c r="F961" s="1" t="s">
        <v>7834</v>
      </c>
      <c r="G961" s="10"/>
      <c r="H961" s="10"/>
      <c r="I961" s="10"/>
      <c r="J961" s="10"/>
      <c r="K961" s="10"/>
      <c r="L961" s="3" t="s">
        <v>416</v>
      </c>
      <c r="M961" s="3" t="s">
        <v>417</v>
      </c>
      <c r="N961" s="3" t="s">
        <v>418</v>
      </c>
      <c r="O961" s="3"/>
      <c r="P961" s="3"/>
      <c r="Q961" s="3"/>
      <c r="R961" s="3" t="s">
        <v>413</v>
      </c>
      <c r="S961" s="3" t="s">
        <v>419</v>
      </c>
      <c r="T961" s="3" t="s">
        <v>21</v>
      </c>
      <c r="U961" s="11">
        <v>46</v>
      </c>
      <c r="V961" s="3" t="s">
        <v>408</v>
      </c>
      <c r="W961" s="8" t="s">
        <v>7834</v>
      </c>
    </row>
    <row r="962" spans="1:23" x14ac:dyDescent="0.25">
      <c r="A962" s="2">
        <v>89</v>
      </c>
      <c r="B962" s="3" t="s">
        <v>408</v>
      </c>
      <c r="C962" s="3">
        <v>2024</v>
      </c>
      <c r="D962" s="3" t="s">
        <v>75</v>
      </c>
      <c r="E962" s="3" t="s">
        <v>15</v>
      </c>
      <c r="F962" s="1" t="s">
        <v>7834</v>
      </c>
      <c r="G962" s="10"/>
      <c r="H962" s="10"/>
      <c r="I962" s="10"/>
      <c r="J962" s="10"/>
      <c r="K962" s="10"/>
      <c r="L962" s="3" t="s">
        <v>420</v>
      </c>
      <c r="M962" s="3" t="s">
        <v>421</v>
      </c>
      <c r="N962" s="3" t="s">
        <v>422</v>
      </c>
      <c r="O962" s="3"/>
      <c r="P962" s="3"/>
      <c r="Q962" s="3"/>
      <c r="R962" s="3" t="s">
        <v>423</v>
      </c>
      <c r="S962" s="3" t="s">
        <v>424</v>
      </c>
      <c r="T962" s="3" t="s">
        <v>21</v>
      </c>
      <c r="U962" s="11">
        <v>47</v>
      </c>
      <c r="V962" s="3" t="s">
        <v>408</v>
      </c>
      <c r="W962" s="8" t="s">
        <v>7834</v>
      </c>
    </row>
    <row r="963" spans="1:23" x14ac:dyDescent="0.25">
      <c r="A963" s="2">
        <v>90</v>
      </c>
      <c r="B963" s="3" t="s">
        <v>408</v>
      </c>
      <c r="C963" s="3">
        <v>2024</v>
      </c>
      <c r="D963" s="3" t="s">
        <v>31</v>
      </c>
      <c r="E963" s="3" t="s">
        <v>15</v>
      </c>
      <c r="F963" s="1" t="s">
        <v>7834</v>
      </c>
      <c r="G963" s="10"/>
      <c r="H963" s="10"/>
      <c r="I963" s="10"/>
      <c r="J963" s="10"/>
      <c r="K963" s="10"/>
      <c r="L963" s="3" t="s">
        <v>425</v>
      </c>
      <c r="M963" s="3" t="s">
        <v>426</v>
      </c>
      <c r="N963" s="3" t="s">
        <v>426</v>
      </c>
      <c r="O963" s="3"/>
      <c r="P963" s="3"/>
      <c r="Q963" s="3"/>
      <c r="R963" s="3" t="s">
        <v>413</v>
      </c>
      <c r="S963" s="3" t="s">
        <v>427</v>
      </c>
      <c r="T963" s="3" t="s">
        <v>21</v>
      </c>
      <c r="U963" s="11">
        <v>48</v>
      </c>
      <c r="V963" s="3" t="s">
        <v>408</v>
      </c>
      <c r="W963" s="8" t="s">
        <v>7834</v>
      </c>
    </row>
    <row r="964" spans="1:23" x14ac:dyDescent="0.25">
      <c r="A964" s="2">
        <v>91</v>
      </c>
      <c r="B964" s="3" t="s">
        <v>408</v>
      </c>
      <c r="C964" s="3">
        <v>2024</v>
      </c>
      <c r="D964" s="3" t="s">
        <v>93</v>
      </c>
      <c r="E964" s="3" t="s">
        <v>15</v>
      </c>
      <c r="F964" s="1" t="s">
        <v>7834</v>
      </c>
      <c r="G964" s="10"/>
      <c r="H964" s="10"/>
      <c r="I964" s="10"/>
      <c r="J964" s="10"/>
      <c r="K964" s="10"/>
      <c r="L964" s="3" t="s">
        <v>428</v>
      </c>
      <c r="M964" s="3" t="s">
        <v>429</v>
      </c>
      <c r="N964" s="3" t="s">
        <v>430</v>
      </c>
      <c r="O964" s="3"/>
      <c r="P964" s="3"/>
      <c r="Q964" s="3"/>
      <c r="R964" s="3" t="s">
        <v>431</v>
      </c>
      <c r="S964" s="3" t="s">
        <v>432</v>
      </c>
      <c r="T964" s="3" t="s">
        <v>21</v>
      </c>
      <c r="U964" s="11">
        <v>49</v>
      </c>
      <c r="V964" s="3" t="s">
        <v>408</v>
      </c>
      <c r="W964" s="8" t="s">
        <v>7834</v>
      </c>
    </row>
    <row r="965" spans="1:23" x14ac:dyDescent="0.25">
      <c r="A965" s="2">
        <v>92</v>
      </c>
      <c r="B965" s="3" t="s">
        <v>408</v>
      </c>
      <c r="C965" s="3">
        <v>2024</v>
      </c>
      <c r="D965" s="3" t="s">
        <v>31</v>
      </c>
      <c r="E965" s="3" t="s">
        <v>15</v>
      </c>
      <c r="F965" s="1" t="s">
        <v>7834</v>
      </c>
      <c r="G965" s="10"/>
      <c r="H965" s="10"/>
      <c r="I965" s="10"/>
      <c r="J965" s="10"/>
      <c r="K965" s="10"/>
      <c r="L965" s="3" t="s">
        <v>433</v>
      </c>
      <c r="M965" s="3" t="s">
        <v>434</v>
      </c>
      <c r="N965" s="3" t="s">
        <v>435</v>
      </c>
      <c r="O965" s="3"/>
      <c r="P965" s="3"/>
      <c r="Q965" s="3"/>
      <c r="R965" s="3" t="s">
        <v>436</v>
      </c>
      <c r="S965" s="3" t="s">
        <v>437</v>
      </c>
      <c r="T965" s="3" t="s">
        <v>21</v>
      </c>
      <c r="U965" s="11">
        <v>50</v>
      </c>
      <c r="V965" s="3" t="s">
        <v>408</v>
      </c>
      <c r="W965" s="8" t="s">
        <v>7834</v>
      </c>
    </row>
    <row r="966" spans="1:23" x14ac:dyDescent="0.25">
      <c r="A966" s="2">
        <v>93</v>
      </c>
      <c r="B966" s="3" t="s">
        <v>408</v>
      </c>
      <c r="C966" s="3">
        <v>2024</v>
      </c>
      <c r="D966" s="3" t="s">
        <v>438</v>
      </c>
      <c r="E966" s="3" t="s">
        <v>15</v>
      </c>
      <c r="F966" s="1" t="s">
        <v>7834</v>
      </c>
      <c r="G966" s="10"/>
      <c r="H966" s="10"/>
      <c r="I966" s="10"/>
      <c r="J966" s="10"/>
      <c r="K966" s="10"/>
      <c r="L966" s="3" t="s">
        <v>439</v>
      </c>
      <c r="M966" s="3" t="s">
        <v>440</v>
      </c>
      <c r="N966" s="3" t="s">
        <v>441</v>
      </c>
      <c r="O966" s="3"/>
      <c r="P966" s="3"/>
      <c r="Q966" s="3"/>
      <c r="R966" s="3" t="s">
        <v>413</v>
      </c>
      <c r="S966" s="3" t="s">
        <v>442</v>
      </c>
      <c r="T966" s="3" t="s">
        <v>21</v>
      </c>
      <c r="U966" s="11">
        <v>51</v>
      </c>
      <c r="V966" s="3" t="s">
        <v>408</v>
      </c>
      <c r="W966" s="8" t="s">
        <v>7834</v>
      </c>
    </row>
    <row r="967" spans="1:23" x14ac:dyDescent="0.25">
      <c r="A967" s="2">
        <v>94</v>
      </c>
      <c r="B967" s="3" t="s">
        <v>408</v>
      </c>
      <c r="C967" s="3">
        <v>2024</v>
      </c>
      <c r="D967" s="3" t="s">
        <v>120</v>
      </c>
      <c r="E967" s="3" t="s">
        <v>15</v>
      </c>
      <c r="F967" s="1" t="s">
        <v>7834</v>
      </c>
      <c r="G967" s="10"/>
      <c r="H967" s="10"/>
      <c r="I967" s="10"/>
      <c r="J967" s="10"/>
      <c r="K967" s="10"/>
      <c r="L967" s="3" t="s">
        <v>443</v>
      </c>
      <c r="M967" s="3" t="s">
        <v>444</v>
      </c>
      <c r="N967" s="3" t="s">
        <v>445</v>
      </c>
      <c r="O967" s="3"/>
      <c r="P967" s="3"/>
      <c r="Q967" s="3"/>
      <c r="R967" s="3" t="s">
        <v>446</v>
      </c>
      <c r="S967" s="3" t="s">
        <v>447</v>
      </c>
      <c r="T967" s="3" t="s">
        <v>21</v>
      </c>
      <c r="U967" s="11">
        <v>52</v>
      </c>
      <c r="V967" s="3" t="s">
        <v>408</v>
      </c>
      <c r="W967" s="8" t="s">
        <v>7834</v>
      </c>
    </row>
    <row r="968" spans="1:23" x14ac:dyDescent="0.25">
      <c r="A968" s="2">
        <v>95</v>
      </c>
      <c r="B968" s="3" t="s">
        <v>408</v>
      </c>
      <c r="C968" s="3">
        <v>2024</v>
      </c>
      <c r="D968" s="3" t="s">
        <v>215</v>
      </c>
      <c r="E968" s="3" t="s">
        <v>15</v>
      </c>
      <c r="F968" s="1" t="s">
        <v>7834</v>
      </c>
      <c r="G968" s="10"/>
      <c r="H968" s="10"/>
      <c r="I968" s="10"/>
      <c r="J968" s="10"/>
      <c r="K968" s="10"/>
      <c r="L968" s="3" t="s">
        <v>448</v>
      </c>
      <c r="M968" s="3" t="s">
        <v>449</v>
      </c>
      <c r="N968" s="3" t="s">
        <v>450</v>
      </c>
      <c r="O968" s="3"/>
      <c r="P968" s="3"/>
      <c r="Q968" s="3"/>
      <c r="R968" s="3" t="s">
        <v>451</v>
      </c>
      <c r="S968" s="3" t="s">
        <v>452</v>
      </c>
      <c r="T968" s="3" t="s">
        <v>21</v>
      </c>
      <c r="U968" s="11">
        <v>53</v>
      </c>
      <c r="V968" s="3" t="s">
        <v>408</v>
      </c>
      <c r="W968" s="8" t="s">
        <v>7834</v>
      </c>
    </row>
    <row r="969" spans="1:23" x14ac:dyDescent="0.25">
      <c r="A969" s="2">
        <v>96</v>
      </c>
      <c r="B969" s="3" t="s">
        <v>408</v>
      </c>
      <c r="C969" s="3">
        <v>2024</v>
      </c>
      <c r="D969" s="3" t="s">
        <v>86</v>
      </c>
      <c r="E969" s="3" t="s">
        <v>15</v>
      </c>
      <c r="F969" s="1" t="s">
        <v>7834</v>
      </c>
      <c r="G969" s="10"/>
      <c r="H969" s="10"/>
      <c r="I969" s="10"/>
      <c r="J969" s="10"/>
      <c r="K969" s="10"/>
      <c r="L969" s="3" t="s">
        <v>453</v>
      </c>
      <c r="M969" s="3" t="s">
        <v>454</v>
      </c>
      <c r="N969" s="3" t="s">
        <v>455</v>
      </c>
      <c r="O969" s="3"/>
      <c r="P969" s="3"/>
      <c r="Q969" s="3"/>
      <c r="R969" s="3" t="s">
        <v>456</v>
      </c>
      <c r="S969" s="3" t="s">
        <v>457</v>
      </c>
      <c r="T969" s="3" t="s">
        <v>21</v>
      </c>
      <c r="U969" s="11">
        <v>54</v>
      </c>
      <c r="V969" s="3" t="s">
        <v>408</v>
      </c>
      <c r="W969" s="8" t="s">
        <v>7834</v>
      </c>
    </row>
    <row r="970" spans="1:23" x14ac:dyDescent="0.25">
      <c r="A970" s="2">
        <v>97</v>
      </c>
      <c r="B970" s="3" t="s">
        <v>408</v>
      </c>
      <c r="C970" s="3">
        <v>2024</v>
      </c>
      <c r="D970" s="3" t="s">
        <v>82</v>
      </c>
      <c r="E970" s="3" t="s">
        <v>15</v>
      </c>
      <c r="F970" s="1" t="s">
        <v>7834</v>
      </c>
      <c r="G970" s="10"/>
      <c r="H970" s="10"/>
      <c r="I970" s="10"/>
      <c r="J970" s="10"/>
      <c r="K970" s="10"/>
      <c r="L970" s="3" t="s">
        <v>458</v>
      </c>
      <c r="M970" s="3" t="s">
        <v>459</v>
      </c>
      <c r="N970" s="3" t="s">
        <v>460</v>
      </c>
      <c r="O970" s="3"/>
      <c r="P970" s="3"/>
      <c r="Q970" s="3"/>
      <c r="R970" s="3" t="s">
        <v>461</v>
      </c>
      <c r="S970" s="3" t="s">
        <v>462</v>
      </c>
      <c r="T970" s="3" t="s">
        <v>21</v>
      </c>
      <c r="U970" s="11">
        <v>55</v>
      </c>
      <c r="V970" s="3" t="s">
        <v>408</v>
      </c>
      <c r="W970" s="8" t="s">
        <v>7834</v>
      </c>
    </row>
    <row r="971" spans="1:23" x14ac:dyDescent="0.25">
      <c r="A971" s="2">
        <v>98</v>
      </c>
      <c r="B971" s="3" t="s">
        <v>408</v>
      </c>
      <c r="C971" s="3">
        <v>2024</v>
      </c>
      <c r="D971" s="3" t="s">
        <v>361</v>
      </c>
      <c r="E971" s="3" t="s">
        <v>15</v>
      </c>
      <c r="F971" s="1" t="s">
        <v>7834</v>
      </c>
      <c r="G971" s="10"/>
      <c r="H971" s="10"/>
      <c r="I971" s="10"/>
      <c r="J971" s="10"/>
      <c r="K971" s="10"/>
      <c r="L971" s="3" t="s">
        <v>463</v>
      </c>
      <c r="M971" s="3" t="s">
        <v>464</v>
      </c>
      <c r="N971" s="3" t="s">
        <v>465</v>
      </c>
      <c r="O971" s="3"/>
      <c r="P971" s="3"/>
      <c r="Q971" s="3"/>
      <c r="R971" s="3" t="s">
        <v>466</v>
      </c>
      <c r="S971" s="3" t="s">
        <v>467</v>
      </c>
      <c r="T971" s="3" t="s">
        <v>21</v>
      </c>
      <c r="U971" s="11">
        <v>56</v>
      </c>
      <c r="V971" s="3" t="s">
        <v>408</v>
      </c>
      <c r="W971" s="8" t="s">
        <v>7834</v>
      </c>
    </row>
    <row r="972" spans="1:23" x14ac:dyDescent="0.25">
      <c r="A972" s="2">
        <v>99</v>
      </c>
      <c r="B972" s="3" t="s">
        <v>408</v>
      </c>
      <c r="C972" s="3">
        <v>2024</v>
      </c>
      <c r="D972" s="3" t="s">
        <v>86</v>
      </c>
      <c r="E972" s="3" t="s">
        <v>15</v>
      </c>
      <c r="F972" s="1" t="s">
        <v>7834</v>
      </c>
      <c r="G972" s="10"/>
      <c r="H972" s="10"/>
      <c r="I972" s="10"/>
      <c r="J972" s="10"/>
      <c r="K972" s="10"/>
      <c r="L972" s="3" t="s">
        <v>468</v>
      </c>
      <c r="M972" s="3" t="s">
        <v>469</v>
      </c>
      <c r="N972" s="3" t="s">
        <v>470</v>
      </c>
      <c r="O972" s="3"/>
      <c r="P972" s="3"/>
      <c r="Q972" s="3"/>
      <c r="R972" s="3" t="s">
        <v>471</v>
      </c>
      <c r="S972" s="3" t="s">
        <v>472</v>
      </c>
      <c r="T972" s="3" t="s">
        <v>21</v>
      </c>
      <c r="U972" s="11">
        <v>57</v>
      </c>
      <c r="V972" s="3" t="s">
        <v>408</v>
      </c>
      <c r="W972" s="8" t="s">
        <v>7834</v>
      </c>
    </row>
    <row r="973" spans="1:23" x14ac:dyDescent="0.25">
      <c r="A973" s="2">
        <v>100</v>
      </c>
      <c r="B973" s="3" t="s">
        <v>408</v>
      </c>
      <c r="C973" s="3">
        <v>2024</v>
      </c>
      <c r="D973" s="3" t="s">
        <v>93</v>
      </c>
      <c r="E973" s="3" t="s">
        <v>15</v>
      </c>
      <c r="F973" s="1" t="s">
        <v>7834</v>
      </c>
      <c r="G973" s="10"/>
      <c r="H973" s="10"/>
      <c r="I973" s="10"/>
      <c r="J973" s="10"/>
      <c r="K973" s="10"/>
      <c r="L973" s="3" t="s">
        <v>473</v>
      </c>
      <c r="M973" s="3" t="s">
        <v>474</v>
      </c>
      <c r="N973" s="3" t="s">
        <v>475</v>
      </c>
      <c r="O973" s="3"/>
      <c r="P973" s="3"/>
      <c r="Q973" s="3"/>
      <c r="R973" s="3" t="s">
        <v>476</v>
      </c>
      <c r="S973" s="3" t="s">
        <v>477</v>
      </c>
      <c r="T973" s="3" t="s">
        <v>21</v>
      </c>
      <c r="U973" s="11">
        <v>58</v>
      </c>
      <c r="V973" s="3" t="s">
        <v>408</v>
      </c>
      <c r="W973" s="8" t="s">
        <v>7834</v>
      </c>
    </row>
    <row r="974" spans="1:23" x14ac:dyDescent="0.25">
      <c r="A974" s="2">
        <v>102</v>
      </c>
      <c r="B974" s="3" t="s">
        <v>408</v>
      </c>
      <c r="C974" s="3">
        <v>2024</v>
      </c>
      <c r="D974" s="3" t="s">
        <v>484</v>
      </c>
      <c r="E974" s="3" t="s">
        <v>15</v>
      </c>
      <c r="F974" s="1" t="s">
        <v>7834</v>
      </c>
      <c r="G974" s="10"/>
      <c r="H974" s="10"/>
      <c r="I974" s="10"/>
      <c r="J974" s="10"/>
      <c r="K974" s="10"/>
      <c r="L974" s="3" t="s">
        <v>485</v>
      </c>
      <c r="M974" s="3" t="s">
        <v>486</v>
      </c>
      <c r="N974" s="3" t="s">
        <v>487</v>
      </c>
      <c r="O974" s="3"/>
      <c r="P974" s="3"/>
      <c r="Q974" s="3"/>
      <c r="R974" s="3" t="s">
        <v>488</v>
      </c>
      <c r="S974" s="3" t="s">
        <v>489</v>
      </c>
      <c r="T974" s="3" t="s">
        <v>21</v>
      </c>
      <c r="U974" s="11">
        <v>59</v>
      </c>
      <c r="V974" s="3" t="s">
        <v>408</v>
      </c>
      <c r="W974" s="8" t="s">
        <v>7834</v>
      </c>
    </row>
    <row r="975" spans="1:23" x14ac:dyDescent="0.25">
      <c r="A975" s="2">
        <v>103</v>
      </c>
      <c r="B975" s="3" t="s">
        <v>408</v>
      </c>
      <c r="C975" s="3">
        <v>2024</v>
      </c>
      <c r="D975" s="3" t="s">
        <v>107</v>
      </c>
      <c r="E975" s="3" t="s">
        <v>15</v>
      </c>
      <c r="F975" s="1" t="s">
        <v>7834</v>
      </c>
      <c r="G975" s="10">
        <v>17</v>
      </c>
      <c r="H975" s="10"/>
      <c r="I975" s="10"/>
      <c r="J975" s="10"/>
      <c r="K975" s="10"/>
      <c r="L975" s="3" t="s">
        <v>490</v>
      </c>
      <c r="M975" s="3" t="s">
        <v>491</v>
      </c>
      <c r="N975" s="3" t="s">
        <v>492</v>
      </c>
      <c r="O975" s="3"/>
      <c r="P975" s="3"/>
      <c r="Q975" s="3"/>
      <c r="R975" s="3" t="s">
        <v>493</v>
      </c>
      <c r="S975" s="3" t="s">
        <v>494</v>
      </c>
      <c r="T975" s="3" t="s">
        <v>21</v>
      </c>
      <c r="U975" s="11">
        <v>60</v>
      </c>
      <c r="V975" s="3" t="s">
        <v>408</v>
      </c>
      <c r="W975" s="8" t="s">
        <v>7834</v>
      </c>
    </row>
    <row r="976" spans="1:23" x14ac:dyDescent="0.25">
      <c r="A976" s="2">
        <v>105</v>
      </c>
      <c r="B976" s="3" t="s">
        <v>501</v>
      </c>
      <c r="C976" s="3">
        <v>2024</v>
      </c>
      <c r="D976" s="3" t="s">
        <v>502</v>
      </c>
      <c r="E976" s="3" t="s">
        <v>15</v>
      </c>
      <c r="F976" s="1" t="s">
        <v>7834</v>
      </c>
      <c r="G976" s="10"/>
      <c r="H976" s="10"/>
      <c r="I976" s="10"/>
      <c r="J976" s="10"/>
      <c r="K976" s="10"/>
      <c r="L976" s="3" t="s">
        <v>503</v>
      </c>
      <c r="M976" s="3" t="s">
        <v>504</v>
      </c>
      <c r="N976" s="3" t="s">
        <v>505</v>
      </c>
      <c r="O976" s="3">
        <v>204</v>
      </c>
      <c r="P976" s="3">
        <v>85</v>
      </c>
      <c r="Q976" s="3"/>
      <c r="R976" s="3" t="s">
        <v>506</v>
      </c>
      <c r="S976" s="3" t="s">
        <v>507</v>
      </c>
      <c r="T976" s="3" t="s">
        <v>21</v>
      </c>
      <c r="U976" s="11">
        <v>61</v>
      </c>
      <c r="V976" s="3" t="s">
        <v>501</v>
      </c>
      <c r="W976" s="8" t="s">
        <v>7834</v>
      </c>
    </row>
    <row r="977" spans="1:23" x14ac:dyDescent="0.25">
      <c r="A977" s="2">
        <v>107</v>
      </c>
      <c r="B977" s="3" t="s">
        <v>501</v>
      </c>
      <c r="C977" s="3">
        <v>2024</v>
      </c>
      <c r="D977" s="3" t="s">
        <v>513</v>
      </c>
      <c r="E977" s="3" t="s">
        <v>15</v>
      </c>
      <c r="F977" s="1" t="s">
        <v>7834</v>
      </c>
      <c r="G977" s="10"/>
      <c r="H977" s="10"/>
      <c r="I977" s="10"/>
      <c r="J977" s="10"/>
      <c r="K977" s="10"/>
      <c r="L977" s="3" t="s">
        <v>514</v>
      </c>
      <c r="M977" s="3" t="s">
        <v>515</v>
      </c>
      <c r="N977" s="3" t="s">
        <v>516</v>
      </c>
      <c r="O977" s="3">
        <v>361</v>
      </c>
      <c r="P977" s="3"/>
      <c r="Q977" s="3">
        <v>674</v>
      </c>
      <c r="R977" s="3" t="s">
        <v>517</v>
      </c>
      <c r="S977" s="3" t="s">
        <v>518</v>
      </c>
      <c r="T977" s="3" t="s">
        <v>21</v>
      </c>
      <c r="U977" s="11">
        <v>62</v>
      </c>
      <c r="V977" s="3" t="s">
        <v>501</v>
      </c>
      <c r="W977" s="8" t="s">
        <v>7834</v>
      </c>
    </row>
    <row r="978" spans="1:23" x14ac:dyDescent="0.25">
      <c r="A978" s="2">
        <v>108</v>
      </c>
      <c r="B978" s="3" t="s">
        <v>501</v>
      </c>
      <c r="C978" s="3">
        <v>2024</v>
      </c>
      <c r="D978" s="3" t="s">
        <v>519</v>
      </c>
      <c r="E978" s="3" t="s">
        <v>15</v>
      </c>
      <c r="F978" s="1" t="s">
        <v>7834</v>
      </c>
      <c r="G978" s="10"/>
      <c r="H978" s="10"/>
      <c r="I978" s="10"/>
      <c r="J978" s="10"/>
      <c r="K978" s="10"/>
      <c r="L978" s="3" t="s">
        <v>520</v>
      </c>
      <c r="M978" s="3" t="s">
        <v>521</v>
      </c>
      <c r="N978" s="3" t="s">
        <v>522</v>
      </c>
      <c r="O978" s="3">
        <v>8</v>
      </c>
      <c r="P978" s="3"/>
      <c r="Q978" s="3"/>
      <c r="R978" s="3" t="s">
        <v>523</v>
      </c>
      <c r="S978" s="3" t="s">
        <v>524</v>
      </c>
      <c r="T978" s="3" t="s">
        <v>21</v>
      </c>
      <c r="U978" s="11">
        <v>63</v>
      </c>
      <c r="V978" s="3" t="s">
        <v>501</v>
      </c>
      <c r="W978" s="8" t="s">
        <v>7834</v>
      </c>
    </row>
    <row r="979" spans="1:23" x14ac:dyDescent="0.25">
      <c r="A979" s="2">
        <v>112</v>
      </c>
      <c r="B979" s="3" t="s">
        <v>501</v>
      </c>
      <c r="C979" s="3">
        <v>2024</v>
      </c>
      <c r="D979" s="3" t="s">
        <v>389</v>
      </c>
      <c r="E979" s="3" t="s">
        <v>15</v>
      </c>
      <c r="F979" s="1" t="s">
        <v>7834</v>
      </c>
      <c r="G979" s="10"/>
      <c r="H979" s="10"/>
      <c r="I979" s="10"/>
      <c r="J979" s="10"/>
      <c r="K979" s="10"/>
      <c r="L979" s="3" t="s">
        <v>542</v>
      </c>
      <c r="M979" s="3" t="s">
        <v>543</v>
      </c>
      <c r="N979" s="3" t="s">
        <v>544</v>
      </c>
      <c r="O979" s="3">
        <v>129</v>
      </c>
      <c r="P979" s="3"/>
      <c r="Q979" s="3"/>
      <c r="R979" s="3" t="s">
        <v>545</v>
      </c>
      <c r="S979" s="3" t="s">
        <v>546</v>
      </c>
      <c r="T979" s="3" t="s">
        <v>21</v>
      </c>
      <c r="U979" s="11">
        <v>64</v>
      </c>
      <c r="V979" s="3" t="s">
        <v>501</v>
      </c>
      <c r="W979" s="8" t="s">
        <v>7834</v>
      </c>
    </row>
    <row r="980" spans="1:23" x14ac:dyDescent="0.25">
      <c r="A980" s="2">
        <v>114</v>
      </c>
      <c r="B980" s="3" t="s">
        <v>501</v>
      </c>
      <c r="C980" s="3">
        <v>2024</v>
      </c>
      <c r="D980" s="3" t="s">
        <v>93</v>
      </c>
      <c r="E980" s="3" t="s">
        <v>15</v>
      </c>
      <c r="F980" s="1" t="s">
        <v>7834</v>
      </c>
      <c r="G980" s="10"/>
      <c r="H980" s="10"/>
      <c r="I980" s="10"/>
      <c r="J980" s="10"/>
      <c r="K980" s="10"/>
      <c r="L980" s="3" t="s">
        <v>552</v>
      </c>
      <c r="M980" s="3" t="s">
        <v>553</v>
      </c>
      <c r="N980" s="3" t="s">
        <v>554</v>
      </c>
      <c r="O980" s="3"/>
      <c r="P980" s="3"/>
      <c r="Q980" s="3"/>
      <c r="R980" s="3" t="s">
        <v>555</v>
      </c>
      <c r="S980" s="3" t="s">
        <v>556</v>
      </c>
      <c r="T980" s="3" t="s">
        <v>21</v>
      </c>
      <c r="U980" s="11">
        <v>65</v>
      </c>
      <c r="V980" s="3" t="s">
        <v>501</v>
      </c>
      <c r="W980" s="8" t="s">
        <v>7834</v>
      </c>
    </row>
    <row r="981" spans="1:23" x14ac:dyDescent="0.25">
      <c r="A981" s="2">
        <v>119</v>
      </c>
      <c r="B981" s="3" t="s">
        <v>501</v>
      </c>
      <c r="C981" s="3">
        <v>2024</v>
      </c>
      <c r="D981" s="3" t="s">
        <v>579</v>
      </c>
      <c r="E981" s="3" t="s">
        <v>15</v>
      </c>
      <c r="F981" s="1" t="s">
        <v>7834</v>
      </c>
      <c r="G981" s="10"/>
      <c r="H981" s="10"/>
      <c r="I981" s="10"/>
      <c r="J981" s="10"/>
      <c r="K981" s="10"/>
      <c r="L981" s="3" t="s">
        <v>580</v>
      </c>
      <c r="M981" s="3" t="s">
        <v>581</v>
      </c>
      <c r="N981" s="3" t="s">
        <v>582</v>
      </c>
      <c r="O981" s="3"/>
      <c r="P981" s="3"/>
      <c r="Q981" s="3"/>
      <c r="R981" s="3" t="s">
        <v>583</v>
      </c>
      <c r="S981" s="3" t="s">
        <v>584</v>
      </c>
      <c r="T981" s="3" t="s">
        <v>21</v>
      </c>
      <c r="U981" s="11">
        <v>66</v>
      </c>
      <c r="V981" s="3" t="s">
        <v>501</v>
      </c>
      <c r="W981" s="8" t="s">
        <v>7834</v>
      </c>
    </row>
    <row r="982" spans="1:23" x14ac:dyDescent="0.25">
      <c r="A982" s="2">
        <v>120</v>
      </c>
      <c r="B982" s="3" t="s">
        <v>501</v>
      </c>
      <c r="C982" s="3">
        <v>2024</v>
      </c>
      <c r="D982" s="3" t="s">
        <v>573</v>
      </c>
      <c r="E982" s="3" t="s">
        <v>15</v>
      </c>
      <c r="F982" s="1" t="s">
        <v>7834</v>
      </c>
      <c r="G982" s="10"/>
      <c r="H982" s="10"/>
      <c r="I982" s="10"/>
      <c r="J982" s="10"/>
      <c r="K982" s="10"/>
      <c r="L982" s="3" t="s">
        <v>585</v>
      </c>
      <c r="M982" s="3" t="s">
        <v>586</v>
      </c>
      <c r="N982" s="3" t="s">
        <v>587</v>
      </c>
      <c r="O982" s="3"/>
      <c r="P982" s="3"/>
      <c r="Q982" s="3"/>
      <c r="R982" s="3" t="s">
        <v>588</v>
      </c>
      <c r="S982" s="3" t="s">
        <v>589</v>
      </c>
      <c r="T982" s="3" t="s">
        <v>21</v>
      </c>
      <c r="U982" s="11">
        <v>67</v>
      </c>
      <c r="V982" s="3" t="s">
        <v>501</v>
      </c>
      <c r="W982" s="8" t="s">
        <v>7834</v>
      </c>
    </row>
    <row r="983" spans="1:23" x14ac:dyDescent="0.25">
      <c r="A983" s="2">
        <v>124</v>
      </c>
      <c r="B983" s="3" t="s">
        <v>501</v>
      </c>
      <c r="C983" s="3">
        <v>2024</v>
      </c>
      <c r="D983" s="3" t="s">
        <v>316</v>
      </c>
      <c r="E983" s="3" t="s">
        <v>15</v>
      </c>
      <c r="F983" s="1" t="s">
        <v>7834</v>
      </c>
      <c r="G983" s="10"/>
      <c r="H983" s="10"/>
      <c r="I983" s="10"/>
      <c r="J983" s="10"/>
      <c r="K983" s="10"/>
      <c r="L983" s="3" t="s">
        <v>608</v>
      </c>
      <c r="M983" s="3" t="s">
        <v>609</v>
      </c>
      <c r="N983" s="3" t="s">
        <v>610</v>
      </c>
      <c r="O983" s="3">
        <v>17</v>
      </c>
      <c r="P983" s="3">
        <v>31</v>
      </c>
      <c r="Q983" s="3"/>
      <c r="R983" s="3" t="s">
        <v>611</v>
      </c>
      <c r="S983" s="3" t="s">
        <v>612</v>
      </c>
      <c r="T983" s="3" t="s">
        <v>21</v>
      </c>
      <c r="U983" s="11">
        <v>68</v>
      </c>
      <c r="V983" s="3" t="s">
        <v>501</v>
      </c>
      <c r="W983" s="8" t="s">
        <v>7834</v>
      </c>
    </row>
    <row r="984" spans="1:23" x14ac:dyDescent="0.25">
      <c r="A984" s="2">
        <v>125</v>
      </c>
      <c r="B984" s="3" t="s">
        <v>501</v>
      </c>
      <c r="C984" s="3">
        <v>2024</v>
      </c>
      <c r="D984" s="3" t="s">
        <v>120</v>
      </c>
      <c r="E984" s="3" t="s">
        <v>15</v>
      </c>
      <c r="F984" s="1" t="s">
        <v>7834</v>
      </c>
      <c r="G984" s="10"/>
      <c r="H984" s="10"/>
      <c r="I984" s="10"/>
      <c r="J984" s="10"/>
      <c r="K984" s="10"/>
      <c r="L984" s="3" t="s">
        <v>613</v>
      </c>
      <c r="M984" s="3" t="s">
        <v>614</v>
      </c>
      <c r="N984" s="3" t="s">
        <v>615</v>
      </c>
      <c r="O984" s="3">
        <v>33</v>
      </c>
      <c r="P984" s="3">
        <v>4</v>
      </c>
      <c r="Q984" s="3">
        <v>869</v>
      </c>
      <c r="R984" s="3" t="s">
        <v>616</v>
      </c>
      <c r="S984" s="3" t="s">
        <v>617</v>
      </c>
      <c r="T984" s="3" t="s">
        <v>21</v>
      </c>
      <c r="U984" s="11">
        <v>69</v>
      </c>
      <c r="V984" s="3" t="s">
        <v>501</v>
      </c>
      <c r="W984" s="8" t="s">
        <v>7834</v>
      </c>
    </row>
    <row r="985" spans="1:23" x14ac:dyDescent="0.25">
      <c r="A985" s="2">
        <v>132</v>
      </c>
      <c r="B985" s="3" t="s">
        <v>501</v>
      </c>
      <c r="C985" s="3">
        <v>2024</v>
      </c>
      <c r="D985" s="3" t="s">
        <v>82</v>
      </c>
      <c r="E985" s="3" t="s">
        <v>15</v>
      </c>
      <c r="F985" s="1" t="s">
        <v>7834</v>
      </c>
      <c r="G985" s="10"/>
      <c r="H985" s="10"/>
      <c r="I985" s="10"/>
      <c r="J985" s="10"/>
      <c r="K985" s="10"/>
      <c r="L985" s="3" t="s">
        <v>650</v>
      </c>
      <c r="M985" s="3" t="s">
        <v>651</v>
      </c>
      <c r="N985" s="3" t="s">
        <v>652</v>
      </c>
      <c r="O985" s="3"/>
      <c r="P985" s="3">
        <v>155</v>
      </c>
      <c r="Q985" s="3"/>
      <c r="R985" s="3" t="s">
        <v>653</v>
      </c>
      <c r="S985" s="3" t="s">
        <v>654</v>
      </c>
      <c r="T985" s="3" t="s">
        <v>21</v>
      </c>
      <c r="U985" s="11">
        <v>70</v>
      </c>
      <c r="V985" s="3" t="s">
        <v>501</v>
      </c>
      <c r="W985" s="8" t="s">
        <v>7834</v>
      </c>
    </row>
    <row r="986" spans="1:23" x14ac:dyDescent="0.25">
      <c r="A986" s="2">
        <v>139</v>
      </c>
      <c r="B986" s="3" t="s">
        <v>501</v>
      </c>
      <c r="C986" s="3">
        <v>2024</v>
      </c>
      <c r="D986" s="3" t="s">
        <v>395</v>
      </c>
      <c r="E986" s="3" t="s">
        <v>15</v>
      </c>
      <c r="F986" s="1" t="s">
        <v>7834</v>
      </c>
      <c r="G986" s="10"/>
      <c r="H986" s="10"/>
      <c r="I986" s="10"/>
      <c r="J986" s="10"/>
      <c r="K986" s="10"/>
      <c r="L986" s="3" t="s">
        <v>686</v>
      </c>
      <c r="M986" s="3" t="s">
        <v>687</v>
      </c>
      <c r="N986" s="3" t="s">
        <v>688</v>
      </c>
      <c r="O986" s="3"/>
      <c r="P986" s="3"/>
      <c r="Q986" s="3"/>
      <c r="R986" s="3" t="s">
        <v>689</v>
      </c>
      <c r="S986" s="3" t="s">
        <v>690</v>
      </c>
      <c r="T986" s="3" t="s">
        <v>21</v>
      </c>
      <c r="U986" s="11">
        <v>71</v>
      </c>
      <c r="V986" s="3" t="s">
        <v>501</v>
      </c>
      <c r="W986" s="8" t="s">
        <v>7834</v>
      </c>
    </row>
    <row r="987" spans="1:23" x14ac:dyDescent="0.25">
      <c r="A987" s="2">
        <v>142</v>
      </c>
      <c r="B987" s="3" t="s">
        <v>501</v>
      </c>
      <c r="C987" s="3">
        <v>2024</v>
      </c>
      <c r="D987" s="3" t="s">
        <v>702</v>
      </c>
      <c r="E987" s="3" t="s">
        <v>15</v>
      </c>
      <c r="F987" s="1" t="s">
        <v>7834</v>
      </c>
      <c r="G987" s="10"/>
      <c r="H987" s="10"/>
      <c r="I987" s="10"/>
      <c r="J987" s="10"/>
      <c r="K987" s="10"/>
      <c r="L987" s="3" t="s">
        <v>703</v>
      </c>
      <c r="M987" s="3" t="s">
        <v>704</v>
      </c>
      <c r="N987" s="3" t="s">
        <v>705</v>
      </c>
      <c r="O987" s="3">
        <v>67</v>
      </c>
      <c r="P987" s="3">
        <v>1</v>
      </c>
      <c r="Q987" s="3" t="s">
        <v>706</v>
      </c>
      <c r="R987" s="3" t="s">
        <v>707</v>
      </c>
      <c r="S987" s="3" t="s">
        <v>708</v>
      </c>
      <c r="T987" s="3" t="s">
        <v>21</v>
      </c>
      <c r="U987" s="11">
        <v>72</v>
      </c>
      <c r="V987" s="3" t="s">
        <v>501</v>
      </c>
      <c r="W987" s="8" t="s">
        <v>7834</v>
      </c>
    </row>
    <row r="988" spans="1:23" x14ac:dyDescent="0.25">
      <c r="A988" s="2">
        <v>143</v>
      </c>
      <c r="B988" s="3" t="s">
        <v>501</v>
      </c>
      <c r="C988" s="3">
        <v>2024</v>
      </c>
      <c r="D988" s="3" t="s">
        <v>709</v>
      </c>
      <c r="E988" s="3" t="s">
        <v>15</v>
      </c>
      <c r="F988" s="1" t="s">
        <v>7834</v>
      </c>
      <c r="G988" s="10"/>
      <c r="H988" s="10"/>
      <c r="I988" s="10"/>
      <c r="J988" s="10"/>
      <c r="K988" s="10"/>
      <c r="L988" s="3" t="s">
        <v>710</v>
      </c>
      <c r="M988" s="3" t="s">
        <v>711</v>
      </c>
      <c r="N988" s="3" t="s">
        <v>587</v>
      </c>
      <c r="O988" s="3">
        <v>59</v>
      </c>
      <c r="P988" s="3"/>
      <c r="Q988" s="3">
        <v>1</v>
      </c>
      <c r="R988" s="3" t="s">
        <v>588</v>
      </c>
      <c r="S988" s="3" t="s">
        <v>712</v>
      </c>
      <c r="T988" s="3" t="s">
        <v>21</v>
      </c>
      <c r="U988" s="11">
        <v>73</v>
      </c>
      <c r="V988" s="3" t="s">
        <v>501</v>
      </c>
      <c r="W988" s="8" t="s">
        <v>7834</v>
      </c>
    </row>
    <row r="989" spans="1:23" x14ac:dyDescent="0.25">
      <c r="A989" s="2">
        <v>145</v>
      </c>
      <c r="B989" s="3" t="s">
        <v>501</v>
      </c>
      <c r="C989" s="3">
        <v>2024</v>
      </c>
      <c r="D989" s="3" t="s">
        <v>75</v>
      </c>
      <c r="E989" s="3" t="s">
        <v>15</v>
      </c>
      <c r="F989" s="1" t="s">
        <v>7834</v>
      </c>
      <c r="G989" s="10"/>
      <c r="H989" s="10"/>
      <c r="I989" s="10"/>
      <c r="J989" s="10"/>
      <c r="K989" s="10"/>
      <c r="L989" s="3" t="s">
        <v>719</v>
      </c>
      <c r="M989" s="3" t="s">
        <v>720</v>
      </c>
      <c r="N989" s="3" t="s">
        <v>721</v>
      </c>
      <c r="O989" s="3">
        <v>119</v>
      </c>
      <c r="P989" s="3">
        <v>10</v>
      </c>
      <c r="Q989" s="3">
        <v>1784</v>
      </c>
      <c r="R989" s="3" t="s">
        <v>722</v>
      </c>
      <c r="S989" s="3" t="s">
        <v>723</v>
      </c>
      <c r="T989" s="3" t="s">
        <v>21</v>
      </c>
      <c r="U989" s="11">
        <v>74</v>
      </c>
      <c r="V989" s="3" t="s">
        <v>501</v>
      </c>
      <c r="W989" s="8" t="s">
        <v>7834</v>
      </c>
    </row>
    <row r="990" spans="1:23" x14ac:dyDescent="0.25">
      <c r="A990" s="2">
        <v>146</v>
      </c>
      <c r="B990" s="3" t="s">
        <v>501</v>
      </c>
      <c r="C990" s="3">
        <v>2024</v>
      </c>
      <c r="D990" s="3" t="s">
        <v>627</v>
      </c>
      <c r="E990" s="3" t="s">
        <v>15</v>
      </c>
      <c r="F990" s="1" t="s">
        <v>7834</v>
      </c>
      <c r="G990" s="10"/>
      <c r="H990" s="10"/>
      <c r="I990" s="10"/>
      <c r="J990" s="10"/>
      <c r="K990" s="10"/>
      <c r="L990" s="3" t="s">
        <v>724</v>
      </c>
      <c r="M990" s="3" t="s">
        <v>725</v>
      </c>
      <c r="N990" s="3" t="s">
        <v>726</v>
      </c>
      <c r="O990" s="3"/>
      <c r="P990" s="3"/>
      <c r="Q990" s="3"/>
      <c r="R990" s="3" t="s">
        <v>727</v>
      </c>
      <c r="S990" s="3" t="s">
        <v>728</v>
      </c>
      <c r="T990" s="3" t="s">
        <v>21</v>
      </c>
      <c r="U990" s="11">
        <v>75</v>
      </c>
      <c r="V990" s="3" t="s">
        <v>501</v>
      </c>
      <c r="W990" s="8" t="s">
        <v>7834</v>
      </c>
    </row>
    <row r="991" spans="1:23" x14ac:dyDescent="0.25">
      <c r="A991" s="2">
        <v>168</v>
      </c>
      <c r="B991" s="3" t="s">
        <v>774</v>
      </c>
      <c r="C991" s="3">
        <v>2024</v>
      </c>
      <c r="D991" s="3" t="s">
        <v>825</v>
      </c>
      <c r="E991" s="3" t="s">
        <v>15</v>
      </c>
      <c r="F991" s="1" t="s">
        <v>7834</v>
      </c>
      <c r="G991" s="10"/>
      <c r="H991" s="10"/>
      <c r="I991" s="10"/>
      <c r="J991" s="10"/>
      <c r="K991" s="10"/>
      <c r="L991" s="3" t="s">
        <v>826</v>
      </c>
      <c r="M991" s="3" t="s">
        <v>827</v>
      </c>
      <c r="N991" s="3" t="s">
        <v>828</v>
      </c>
      <c r="O991" s="3"/>
      <c r="P991" s="3"/>
      <c r="Q991" s="3"/>
      <c r="R991" s="3">
        <v>123456789</v>
      </c>
      <c r="S991" s="3" t="s">
        <v>829</v>
      </c>
      <c r="T991" s="3" t="s">
        <v>21</v>
      </c>
      <c r="U991" s="11">
        <v>76</v>
      </c>
      <c r="V991" s="3" t="s">
        <v>774</v>
      </c>
      <c r="W991" s="8" t="s">
        <v>7834</v>
      </c>
    </row>
    <row r="992" spans="1:23" x14ac:dyDescent="0.25">
      <c r="A992" s="2">
        <v>169</v>
      </c>
      <c r="B992" s="3" t="s">
        <v>774</v>
      </c>
      <c r="C992" s="3">
        <v>2024</v>
      </c>
      <c r="D992" s="3" t="s">
        <v>830</v>
      </c>
      <c r="E992" s="3" t="s">
        <v>15</v>
      </c>
      <c r="F992" s="1" t="s">
        <v>7834</v>
      </c>
      <c r="G992" s="10"/>
      <c r="H992" s="10"/>
      <c r="I992" s="10"/>
      <c r="J992" s="10"/>
      <c r="K992" s="10"/>
      <c r="L992" s="3" t="s">
        <v>831</v>
      </c>
      <c r="M992" s="3" t="s">
        <v>832</v>
      </c>
      <c r="N992" s="3" t="s">
        <v>833</v>
      </c>
      <c r="O992" s="3"/>
      <c r="P992" s="3"/>
      <c r="Q992" s="3"/>
      <c r="R992" s="3">
        <v>2345678</v>
      </c>
      <c r="S992" s="3" t="s">
        <v>834</v>
      </c>
      <c r="T992" s="3" t="s">
        <v>21</v>
      </c>
      <c r="U992" s="11">
        <v>77</v>
      </c>
      <c r="V992" s="3" t="s">
        <v>774</v>
      </c>
      <c r="W992" s="8" t="s">
        <v>7834</v>
      </c>
    </row>
    <row r="993" spans="1:23" x14ac:dyDescent="0.25">
      <c r="A993" s="2">
        <v>176</v>
      </c>
      <c r="B993" s="3" t="s">
        <v>774</v>
      </c>
      <c r="C993" s="3">
        <v>2024</v>
      </c>
      <c r="D993" s="3" t="s">
        <v>775</v>
      </c>
      <c r="E993" s="3" t="s">
        <v>15</v>
      </c>
      <c r="F993" s="1" t="s">
        <v>7834</v>
      </c>
      <c r="G993" s="10"/>
      <c r="H993" s="10"/>
      <c r="I993" s="10"/>
      <c r="J993" s="10"/>
      <c r="K993" s="10"/>
      <c r="L993" s="3" t="s">
        <v>861</v>
      </c>
      <c r="M993" s="3" t="s">
        <v>862</v>
      </c>
      <c r="N993" s="3" t="s">
        <v>863</v>
      </c>
      <c r="O993" s="3"/>
      <c r="P993" s="3"/>
      <c r="Q993" s="3"/>
      <c r="R993" s="3" t="s">
        <v>864</v>
      </c>
      <c r="S993" s="3" t="s">
        <v>865</v>
      </c>
      <c r="T993" s="3" t="s">
        <v>21</v>
      </c>
      <c r="U993" s="11">
        <v>78</v>
      </c>
      <c r="V993" s="3" t="s">
        <v>774</v>
      </c>
      <c r="W993" s="8" t="s">
        <v>7834</v>
      </c>
    </row>
    <row r="994" spans="1:23" x14ac:dyDescent="0.25">
      <c r="A994" s="2">
        <v>177</v>
      </c>
      <c r="B994" s="3" t="s">
        <v>774</v>
      </c>
      <c r="C994" s="3">
        <v>2024</v>
      </c>
      <c r="D994" s="3" t="s">
        <v>866</v>
      </c>
      <c r="E994" s="3" t="s">
        <v>15</v>
      </c>
      <c r="F994" s="1" t="s">
        <v>7834</v>
      </c>
      <c r="G994" s="10"/>
      <c r="H994" s="10"/>
      <c r="I994" s="10"/>
      <c r="J994" s="10"/>
      <c r="K994" s="10"/>
      <c r="L994" s="3" t="s">
        <v>867</v>
      </c>
      <c r="M994" s="3" t="s">
        <v>868</v>
      </c>
      <c r="N994" s="3" t="s">
        <v>869</v>
      </c>
      <c r="O994" s="3"/>
      <c r="P994" s="3"/>
      <c r="Q994" s="3"/>
      <c r="R994" s="3">
        <v>34567</v>
      </c>
      <c r="S994" s="3" t="s">
        <v>870</v>
      </c>
      <c r="T994" s="3" t="s">
        <v>21</v>
      </c>
      <c r="U994" s="11">
        <v>79</v>
      </c>
      <c r="V994" s="3" t="s">
        <v>774</v>
      </c>
      <c r="W994" s="8" t="s">
        <v>7834</v>
      </c>
    </row>
    <row r="995" spans="1:23" x14ac:dyDescent="0.25">
      <c r="A995" s="2">
        <v>178</v>
      </c>
      <c r="B995" s="3" t="s">
        <v>774</v>
      </c>
      <c r="C995" s="3">
        <v>2024</v>
      </c>
      <c r="D995" s="3" t="s">
        <v>871</v>
      </c>
      <c r="E995" s="3" t="s">
        <v>15</v>
      </c>
      <c r="F995" s="1" t="s">
        <v>7834</v>
      </c>
      <c r="G995" s="10"/>
      <c r="H995" s="10"/>
      <c r="I995" s="10"/>
      <c r="J995" s="10"/>
      <c r="K995" s="10"/>
      <c r="L995" s="3" t="s">
        <v>872</v>
      </c>
      <c r="M995" s="3" t="s">
        <v>873</v>
      </c>
      <c r="N995" s="3" t="s">
        <v>874</v>
      </c>
      <c r="O995" s="3"/>
      <c r="P995" s="3"/>
      <c r="Q995" s="3"/>
      <c r="R995" s="3" t="s">
        <v>875</v>
      </c>
      <c r="S995" s="3" t="s">
        <v>876</v>
      </c>
      <c r="T995" s="3" t="s">
        <v>21</v>
      </c>
      <c r="U995" s="11">
        <v>80</v>
      </c>
      <c r="V995" s="3" t="s">
        <v>774</v>
      </c>
      <c r="W995" s="8" t="s">
        <v>7834</v>
      </c>
    </row>
    <row r="996" spans="1:23" x14ac:dyDescent="0.25">
      <c r="A996" s="2">
        <v>179</v>
      </c>
      <c r="B996" s="3" t="s">
        <v>774</v>
      </c>
      <c r="C996" s="3">
        <v>2024</v>
      </c>
      <c r="D996" s="3" t="s">
        <v>788</v>
      </c>
      <c r="E996" s="3" t="s">
        <v>15</v>
      </c>
      <c r="F996" s="1" t="s">
        <v>7834</v>
      </c>
      <c r="G996" s="10"/>
      <c r="H996" s="10"/>
      <c r="I996" s="10"/>
      <c r="J996" s="10"/>
      <c r="K996" s="10"/>
      <c r="L996" s="3" t="s">
        <v>877</v>
      </c>
      <c r="M996" s="3" t="s">
        <v>878</v>
      </c>
      <c r="N996" s="3" t="s">
        <v>879</v>
      </c>
      <c r="O996" s="3">
        <v>14</v>
      </c>
      <c r="P996" s="3"/>
      <c r="Q996" s="3"/>
      <c r="R996" s="3" t="s">
        <v>880</v>
      </c>
      <c r="S996" s="3" t="s">
        <v>881</v>
      </c>
      <c r="T996" s="3" t="s">
        <v>21</v>
      </c>
      <c r="U996" s="11">
        <v>81</v>
      </c>
      <c r="V996" s="3" t="s">
        <v>774</v>
      </c>
      <c r="W996" s="8" t="s">
        <v>7834</v>
      </c>
    </row>
    <row r="997" spans="1:23" x14ac:dyDescent="0.25">
      <c r="A997" s="2">
        <v>182</v>
      </c>
      <c r="B997" s="3" t="s">
        <v>774</v>
      </c>
      <c r="C997" s="3">
        <v>2024</v>
      </c>
      <c r="D997" s="3" t="s">
        <v>59</v>
      </c>
      <c r="E997" s="3" t="s">
        <v>15</v>
      </c>
      <c r="F997" s="1" t="s">
        <v>7834</v>
      </c>
      <c r="G997" s="10"/>
      <c r="H997" s="10"/>
      <c r="I997" s="10"/>
      <c r="J997" s="10"/>
      <c r="K997" s="10"/>
      <c r="L997" s="3" t="s">
        <v>890</v>
      </c>
      <c r="M997" s="3" t="s">
        <v>891</v>
      </c>
      <c r="N997" s="3" t="s">
        <v>892</v>
      </c>
      <c r="O997" s="3"/>
      <c r="P997" s="3"/>
      <c r="Q997" s="3"/>
      <c r="R997" s="3">
        <v>116257</v>
      </c>
      <c r="S997" s="3" t="s">
        <v>893</v>
      </c>
      <c r="T997" s="3" t="s">
        <v>21</v>
      </c>
      <c r="U997" s="11">
        <v>82</v>
      </c>
      <c r="V997" s="3" t="s">
        <v>774</v>
      </c>
      <c r="W997" s="8" t="s">
        <v>7834</v>
      </c>
    </row>
    <row r="998" spans="1:23" x14ac:dyDescent="0.25">
      <c r="A998" s="2">
        <v>183</v>
      </c>
      <c r="B998" s="3" t="s">
        <v>774</v>
      </c>
      <c r="C998" s="3">
        <v>2024</v>
      </c>
      <c r="D998" s="3" t="s">
        <v>894</v>
      </c>
      <c r="E998" s="3" t="s">
        <v>15</v>
      </c>
      <c r="F998" s="1" t="s">
        <v>7834</v>
      </c>
      <c r="G998" s="10"/>
      <c r="H998" s="10"/>
      <c r="I998" s="10"/>
      <c r="J998" s="10"/>
      <c r="K998" s="10"/>
      <c r="L998" s="3" t="s">
        <v>895</v>
      </c>
      <c r="M998" s="3" t="s">
        <v>896</v>
      </c>
      <c r="N998" s="3" t="s">
        <v>897</v>
      </c>
      <c r="O998" s="3"/>
      <c r="P998" s="3"/>
      <c r="Q998" s="3"/>
      <c r="R998" s="3" t="s">
        <v>898</v>
      </c>
      <c r="S998" s="3" t="s">
        <v>899</v>
      </c>
      <c r="T998" s="3" t="s">
        <v>21</v>
      </c>
      <c r="U998" s="11">
        <v>83</v>
      </c>
      <c r="V998" s="3" t="s">
        <v>774</v>
      </c>
      <c r="W998" s="8" t="s">
        <v>7834</v>
      </c>
    </row>
    <row r="999" spans="1:23" x14ac:dyDescent="0.25">
      <c r="A999" s="2">
        <v>184</v>
      </c>
      <c r="B999" s="3" t="s">
        <v>774</v>
      </c>
      <c r="C999" s="3">
        <v>2024</v>
      </c>
      <c r="D999" s="3" t="s">
        <v>844</v>
      </c>
      <c r="E999" s="3" t="s">
        <v>15</v>
      </c>
      <c r="F999" s="1" t="s">
        <v>7834</v>
      </c>
      <c r="G999" s="10"/>
      <c r="H999" s="10"/>
      <c r="I999" s="10"/>
      <c r="J999" s="10"/>
      <c r="K999" s="10"/>
      <c r="L999" s="3" t="s">
        <v>900</v>
      </c>
      <c r="M999" s="3" t="s">
        <v>901</v>
      </c>
      <c r="N999" s="3" t="s">
        <v>828</v>
      </c>
      <c r="O999" s="3"/>
      <c r="P999" s="3"/>
      <c r="Q999" s="3"/>
      <c r="R999" s="3">
        <v>170941</v>
      </c>
      <c r="S999" s="3" t="s">
        <v>902</v>
      </c>
      <c r="T999" s="3" t="s">
        <v>21</v>
      </c>
      <c r="U999" s="11">
        <v>84</v>
      </c>
      <c r="V999" s="3" t="s">
        <v>774</v>
      </c>
      <c r="W999" s="8" t="s">
        <v>7834</v>
      </c>
    </row>
    <row r="1000" spans="1:23" x14ac:dyDescent="0.25">
      <c r="A1000" s="2">
        <v>185</v>
      </c>
      <c r="B1000" s="3" t="s">
        <v>774</v>
      </c>
      <c r="C1000" s="3">
        <v>2024</v>
      </c>
      <c r="D1000" s="3" t="s">
        <v>903</v>
      </c>
      <c r="E1000" s="3" t="s">
        <v>15</v>
      </c>
      <c r="F1000" s="1" t="s">
        <v>7834</v>
      </c>
      <c r="G1000" s="10"/>
      <c r="H1000" s="10"/>
      <c r="I1000" s="10"/>
      <c r="J1000" s="10"/>
      <c r="K1000" s="10"/>
      <c r="L1000" s="3" t="s">
        <v>904</v>
      </c>
      <c r="M1000" s="3" t="s">
        <v>905</v>
      </c>
      <c r="N1000" s="3" t="s">
        <v>906</v>
      </c>
      <c r="O1000" s="3"/>
      <c r="P1000" s="3"/>
      <c r="Q1000" s="3"/>
      <c r="R1000" s="3" t="s">
        <v>907</v>
      </c>
      <c r="S1000" s="3" t="s">
        <v>908</v>
      </c>
      <c r="T1000" s="3" t="s">
        <v>21</v>
      </c>
      <c r="U1000" s="11">
        <v>85</v>
      </c>
      <c r="V1000" s="3" t="s">
        <v>774</v>
      </c>
      <c r="W1000" s="8" t="s">
        <v>7834</v>
      </c>
    </row>
    <row r="1001" spans="1:23" x14ac:dyDescent="0.25">
      <c r="A1001" s="2">
        <v>186</v>
      </c>
      <c r="B1001" s="3" t="s">
        <v>774</v>
      </c>
      <c r="C1001" s="3">
        <v>2024</v>
      </c>
      <c r="D1001" s="3" t="s">
        <v>903</v>
      </c>
      <c r="E1001" s="3" t="s">
        <v>15</v>
      </c>
      <c r="F1001" s="1" t="s">
        <v>7834</v>
      </c>
      <c r="G1001" s="10"/>
      <c r="H1001" s="10"/>
      <c r="I1001" s="10"/>
      <c r="J1001" s="10"/>
      <c r="K1001" s="10"/>
      <c r="L1001" s="3" t="s">
        <v>909</v>
      </c>
      <c r="M1001" s="3" t="s">
        <v>910</v>
      </c>
      <c r="N1001" s="3" t="s">
        <v>911</v>
      </c>
      <c r="O1001" s="3"/>
      <c r="P1001" s="3"/>
      <c r="Q1001" s="3"/>
      <c r="R1001" s="3" t="s">
        <v>306</v>
      </c>
      <c r="S1001" s="3" t="s">
        <v>912</v>
      </c>
      <c r="T1001" s="3" t="s">
        <v>21</v>
      </c>
      <c r="U1001" s="11">
        <v>86</v>
      </c>
      <c r="V1001" s="3" t="s">
        <v>774</v>
      </c>
      <c r="W1001" s="8" t="s">
        <v>7834</v>
      </c>
    </row>
    <row r="1002" spans="1:23" x14ac:dyDescent="0.25">
      <c r="A1002" s="2">
        <v>187</v>
      </c>
      <c r="B1002" s="3" t="s">
        <v>774</v>
      </c>
      <c r="C1002" s="3">
        <v>2024</v>
      </c>
      <c r="D1002" s="3" t="s">
        <v>22</v>
      </c>
      <c r="E1002" s="3" t="s">
        <v>15</v>
      </c>
      <c r="F1002" s="1" t="s">
        <v>7834</v>
      </c>
      <c r="G1002" s="10"/>
      <c r="H1002" s="10"/>
      <c r="I1002" s="10"/>
      <c r="J1002" s="10"/>
      <c r="K1002" s="10"/>
      <c r="L1002" s="3" t="s">
        <v>913</v>
      </c>
      <c r="M1002" s="3" t="s">
        <v>914</v>
      </c>
      <c r="N1002" s="3" t="s">
        <v>915</v>
      </c>
      <c r="O1002" s="3"/>
      <c r="P1002" s="3"/>
      <c r="Q1002" s="3"/>
      <c r="R1002" s="3">
        <v>106975</v>
      </c>
      <c r="S1002" s="3" t="s">
        <v>916</v>
      </c>
      <c r="T1002" s="3" t="s">
        <v>21</v>
      </c>
      <c r="U1002" s="11">
        <v>87</v>
      </c>
      <c r="V1002" s="3" t="s">
        <v>774</v>
      </c>
      <c r="W1002" s="8" t="s">
        <v>7834</v>
      </c>
    </row>
    <row r="1003" spans="1:23" x14ac:dyDescent="0.25">
      <c r="A1003" s="2">
        <v>188</v>
      </c>
      <c r="B1003" s="3" t="s">
        <v>774</v>
      </c>
      <c r="C1003" s="3">
        <v>2024</v>
      </c>
      <c r="D1003" s="3" t="s">
        <v>63</v>
      </c>
      <c r="E1003" s="3" t="s">
        <v>15</v>
      </c>
      <c r="F1003" s="1" t="s">
        <v>7834</v>
      </c>
      <c r="G1003" s="10"/>
      <c r="H1003" s="10"/>
      <c r="I1003" s="10"/>
      <c r="J1003" s="10"/>
      <c r="K1003" s="10"/>
      <c r="L1003" s="3" t="s">
        <v>917</v>
      </c>
      <c r="M1003" s="3" t="s">
        <v>918</v>
      </c>
      <c r="N1003" s="3" t="s">
        <v>919</v>
      </c>
      <c r="O1003" s="3"/>
      <c r="P1003" s="3"/>
      <c r="Q1003" s="3"/>
      <c r="R1003" s="3" t="s">
        <v>920</v>
      </c>
      <c r="S1003" s="3" t="s">
        <v>921</v>
      </c>
      <c r="T1003" s="3" t="s">
        <v>21</v>
      </c>
      <c r="U1003" s="11">
        <v>88</v>
      </c>
      <c r="V1003" s="3" t="s">
        <v>774</v>
      </c>
      <c r="W1003" s="8" t="s">
        <v>7834</v>
      </c>
    </row>
    <row r="1004" spans="1:23" x14ac:dyDescent="0.25">
      <c r="A1004" s="2">
        <v>189</v>
      </c>
      <c r="B1004" s="3" t="s">
        <v>774</v>
      </c>
      <c r="C1004" s="3">
        <v>2024</v>
      </c>
      <c r="D1004" s="3" t="s">
        <v>100</v>
      </c>
      <c r="E1004" s="3" t="s">
        <v>15</v>
      </c>
      <c r="F1004" s="1" t="s">
        <v>7834</v>
      </c>
      <c r="G1004" s="10"/>
      <c r="H1004" s="10"/>
      <c r="I1004" s="10"/>
      <c r="J1004" s="10"/>
      <c r="K1004" s="10"/>
      <c r="L1004" s="3" t="s">
        <v>922</v>
      </c>
      <c r="M1004" s="3" t="s">
        <v>923</v>
      </c>
      <c r="N1004" s="3" t="s">
        <v>833</v>
      </c>
      <c r="O1004" s="3"/>
      <c r="P1004" s="3"/>
      <c r="Q1004" s="3"/>
      <c r="R1004" s="3">
        <v>696681</v>
      </c>
      <c r="S1004" s="3" t="s">
        <v>924</v>
      </c>
      <c r="T1004" s="3" t="s">
        <v>21</v>
      </c>
      <c r="U1004" s="11">
        <v>89</v>
      </c>
      <c r="V1004" s="3" t="s">
        <v>774</v>
      </c>
      <c r="W1004" s="8" t="s">
        <v>7834</v>
      </c>
    </row>
    <row r="1005" spans="1:23" x14ac:dyDescent="0.25">
      <c r="A1005" s="2">
        <v>190</v>
      </c>
      <c r="B1005" s="3" t="s">
        <v>774</v>
      </c>
      <c r="C1005" s="3">
        <v>2024</v>
      </c>
      <c r="D1005" s="3" t="s">
        <v>22</v>
      </c>
      <c r="E1005" s="3" t="s">
        <v>15</v>
      </c>
      <c r="F1005" s="1" t="s">
        <v>7834</v>
      </c>
      <c r="G1005" s="10"/>
      <c r="H1005" s="10"/>
      <c r="I1005" s="10"/>
      <c r="J1005" s="10"/>
      <c r="K1005" s="10"/>
      <c r="L1005" s="3" t="s">
        <v>925</v>
      </c>
      <c r="M1005" s="3" t="s">
        <v>926</v>
      </c>
      <c r="N1005" s="3" t="s">
        <v>927</v>
      </c>
      <c r="O1005" s="3"/>
      <c r="P1005" s="3"/>
      <c r="Q1005" s="3"/>
      <c r="R1005" s="3" t="s">
        <v>928</v>
      </c>
      <c r="S1005" s="3" t="s">
        <v>929</v>
      </c>
      <c r="T1005" s="3" t="s">
        <v>21</v>
      </c>
      <c r="U1005" s="11">
        <v>90</v>
      </c>
      <c r="V1005" s="3" t="s">
        <v>774</v>
      </c>
      <c r="W1005" s="8" t="s">
        <v>7834</v>
      </c>
    </row>
    <row r="1006" spans="1:23" x14ac:dyDescent="0.25">
      <c r="A1006" s="2">
        <v>191</v>
      </c>
      <c r="B1006" s="3" t="s">
        <v>774</v>
      </c>
      <c r="C1006" s="3">
        <v>2024</v>
      </c>
      <c r="D1006" s="3" t="s">
        <v>818</v>
      </c>
      <c r="E1006" s="3" t="s">
        <v>15</v>
      </c>
      <c r="F1006" s="1" t="s">
        <v>7834</v>
      </c>
      <c r="G1006" s="10"/>
      <c r="H1006" s="10"/>
      <c r="I1006" s="10"/>
      <c r="J1006" s="10"/>
      <c r="K1006" s="10"/>
      <c r="L1006" s="3" t="s">
        <v>930</v>
      </c>
      <c r="M1006" s="3" t="s">
        <v>931</v>
      </c>
      <c r="N1006" s="3" t="s">
        <v>932</v>
      </c>
      <c r="O1006" s="3"/>
      <c r="P1006" s="3"/>
      <c r="Q1006" s="3"/>
      <c r="R1006" s="3" t="s">
        <v>933</v>
      </c>
      <c r="S1006" s="3" t="s">
        <v>934</v>
      </c>
      <c r="T1006" s="3" t="s">
        <v>21</v>
      </c>
      <c r="U1006" s="11">
        <v>91</v>
      </c>
      <c r="V1006" s="3" t="s">
        <v>774</v>
      </c>
      <c r="W1006" s="8" t="s">
        <v>7834</v>
      </c>
    </row>
    <row r="1007" spans="1:23" x14ac:dyDescent="0.25">
      <c r="A1007" s="2">
        <v>192</v>
      </c>
      <c r="B1007" s="3" t="s">
        <v>774</v>
      </c>
      <c r="C1007" s="3">
        <v>2024</v>
      </c>
      <c r="D1007" s="3" t="s">
        <v>894</v>
      </c>
      <c r="E1007" s="3" t="s">
        <v>15</v>
      </c>
      <c r="F1007" s="1" t="s">
        <v>7834</v>
      </c>
      <c r="G1007" s="10"/>
      <c r="H1007" s="10"/>
      <c r="I1007" s="10"/>
      <c r="J1007" s="10"/>
      <c r="K1007" s="10"/>
      <c r="L1007" s="3" t="s">
        <v>935</v>
      </c>
      <c r="M1007" s="3" t="s">
        <v>936</v>
      </c>
      <c r="N1007" s="3" t="s">
        <v>833</v>
      </c>
      <c r="O1007" s="3"/>
      <c r="P1007" s="3"/>
      <c r="Q1007" s="3"/>
      <c r="R1007" s="3">
        <v>112023</v>
      </c>
      <c r="S1007" s="3" t="s">
        <v>937</v>
      </c>
      <c r="T1007" s="3" t="s">
        <v>21</v>
      </c>
      <c r="U1007" s="11">
        <v>92</v>
      </c>
      <c r="V1007" s="3" t="s">
        <v>774</v>
      </c>
      <c r="W1007" s="8" t="s">
        <v>7834</v>
      </c>
    </row>
    <row r="1008" spans="1:23" x14ac:dyDescent="0.25">
      <c r="A1008" s="2">
        <v>193</v>
      </c>
      <c r="B1008" s="3" t="s">
        <v>774</v>
      </c>
      <c r="C1008" s="3">
        <v>2024</v>
      </c>
      <c r="D1008" s="3" t="s">
        <v>22</v>
      </c>
      <c r="E1008" s="3" t="s">
        <v>15</v>
      </c>
      <c r="F1008" s="1" t="s">
        <v>7834</v>
      </c>
      <c r="G1008" s="10"/>
      <c r="H1008" s="10"/>
      <c r="I1008" s="10"/>
      <c r="J1008" s="10"/>
      <c r="K1008" s="10"/>
      <c r="L1008" s="3" t="s">
        <v>938</v>
      </c>
      <c r="M1008" s="3" t="s">
        <v>939</v>
      </c>
      <c r="N1008" s="3" t="s">
        <v>940</v>
      </c>
      <c r="O1008" s="3"/>
      <c r="P1008" s="3"/>
      <c r="Q1008" s="3"/>
      <c r="R1008" s="3" t="s">
        <v>941</v>
      </c>
      <c r="S1008" s="3" t="s">
        <v>942</v>
      </c>
      <c r="T1008" s="3" t="s">
        <v>21</v>
      </c>
      <c r="U1008" s="11">
        <v>93</v>
      </c>
      <c r="V1008" s="3" t="s">
        <v>774</v>
      </c>
      <c r="W1008" s="8" t="s">
        <v>7834</v>
      </c>
    </row>
    <row r="1009" spans="1:23" x14ac:dyDescent="0.25">
      <c r="A1009" s="2">
        <v>195</v>
      </c>
      <c r="B1009" s="3" t="s">
        <v>774</v>
      </c>
      <c r="C1009" s="3">
        <v>2024</v>
      </c>
      <c r="D1009" s="3" t="s">
        <v>792</v>
      </c>
      <c r="E1009" s="3" t="s">
        <v>15</v>
      </c>
      <c r="F1009" s="1" t="s">
        <v>7834</v>
      </c>
      <c r="G1009" s="10"/>
      <c r="H1009" s="10"/>
      <c r="I1009" s="10"/>
      <c r="J1009" s="10"/>
      <c r="K1009" s="10"/>
      <c r="L1009" s="3" t="s">
        <v>947</v>
      </c>
      <c r="M1009" s="3" t="s">
        <v>948</v>
      </c>
      <c r="N1009" s="3" t="s">
        <v>949</v>
      </c>
      <c r="O1009" s="3"/>
      <c r="P1009" s="3"/>
      <c r="Q1009" s="3"/>
      <c r="R1009" s="3" t="s">
        <v>950</v>
      </c>
      <c r="S1009" s="3" t="s">
        <v>951</v>
      </c>
      <c r="T1009" s="3" t="s">
        <v>21</v>
      </c>
      <c r="U1009" s="11">
        <v>94</v>
      </c>
      <c r="V1009" s="3" t="s">
        <v>774</v>
      </c>
      <c r="W1009" s="8" t="s">
        <v>7834</v>
      </c>
    </row>
    <row r="1010" spans="1:23" x14ac:dyDescent="0.25">
      <c r="A1010" s="2">
        <v>196</v>
      </c>
      <c r="B1010" s="3" t="s">
        <v>774</v>
      </c>
      <c r="C1010" s="3">
        <v>2024</v>
      </c>
      <c r="D1010" s="3" t="s">
        <v>22</v>
      </c>
      <c r="E1010" s="3" t="s">
        <v>15</v>
      </c>
      <c r="F1010" s="1" t="s">
        <v>7834</v>
      </c>
      <c r="G1010" s="10"/>
      <c r="H1010" s="10"/>
      <c r="I1010" s="10"/>
      <c r="J1010" s="10"/>
      <c r="K1010" s="10"/>
      <c r="L1010" s="3" t="s">
        <v>952</v>
      </c>
      <c r="M1010" s="3" t="s">
        <v>953</v>
      </c>
      <c r="N1010" s="3" t="s">
        <v>828</v>
      </c>
      <c r="O1010" s="3"/>
      <c r="P1010" s="3"/>
      <c r="Q1010" s="3"/>
      <c r="R1010" s="3">
        <v>168473</v>
      </c>
      <c r="S1010" s="3" t="s">
        <v>954</v>
      </c>
      <c r="T1010" s="3" t="s">
        <v>21</v>
      </c>
      <c r="U1010" s="11">
        <v>95</v>
      </c>
      <c r="V1010" s="3" t="s">
        <v>774</v>
      </c>
      <c r="W1010" s="8" t="s">
        <v>7834</v>
      </c>
    </row>
    <row r="1011" spans="1:23" x14ac:dyDescent="0.25">
      <c r="A1011" s="2">
        <v>199</v>
      </c>
      <c r="B1011" s="3" t="s">
        <v>774</v>
      </c>
      <c r="C1011" s="3">
        <v>2024</v>
      </c>
      <c r="D1011" s="3" t="s">
        <v>964</v>
      </c>
      <c r="E1011" s="3" t="s">
        <v>15</v>
      </c>
      <c r="F1011" s="1" t="s">
        <v>7834</v>
      </c>
      <c r="G1011" s="10"/>
      <c r="H1011" s="10"/>
      <c r="I1011" s="10"/>
      <c r="J1011" s="10"/>
      <c r="K1011" s="10"/>
      <c r="L1011" s="3" t="s">
        <v>965</v>
      </c>
      <c r="M1011" s="3" t="s">
        <v>966</v>
      </c>
      <c r="N1011" s="3" t="s">
        <v>967</v>
      </c>
      <c r="O1011" s="3"/>
      <c r="P1011" s="3"/>
      <c r="Q1011" s="3"/>
      <c r="R1011" s="3" t="s">
        <v>968</v>
      </c>
      <c r="S1011" s="3" t="s">
        <v>969</v>
      </c>
      <c r="T1011" s="3" t="s">
        <v>21</v>
      </c>
      <c r="U1011" s="11">
        <v>96</v>
      </c>
      <c r="V1011" s="3" t="s">
        <v>774</v>
      </c>
      <c r="W1011" s="8" t="s">
        <v>7834</v>
      </c>
    </row>
    <row r="1012" spans="1:23" x14ac:dyDescent="0.25">
      <c r="A1012" s="2">
        <v>200</v>
      </c>
      <c r="B1012" s="3" t="s">
        <v>774</v>
      </c>
      <c r="C1012" s="3">
        <v>2024</v>
      </c>
      <c r="D1012" s="3" t="s">
        <v>970</v>
      </c>
      <c r="E1012" s="3" t="s">
        <v>15</v>
      </c>
      <c r="F1012" s="1" t="s">
        <v>7834</v>
      </c>
      <c r="G1012" s="10"/>
      <c r="H1012" s="10"/>
      <c r="I1012" s="10"/>
      <c r="J1012" s="10"/>
      <c r="K1012" s="10"/>
      <c r="L1012" s="3" t="s">
        <v>971</v>
      </c>
      <c r="M1012" s="3" t="s">
        <v>972</v>
      </c>
      <c r="N1012" s="3" t="s">
        <v>973</v>
      </c>
      <c r="O1012" s="3"/>
      <c r="P1012" s="3"/>
      <c r="Q1012" s="3"/>
      <c r="R1012" s="3" t="s">
        <v>367</v>
      </c>
      <c r="S1012" s="3" t="s">
        <v>974</v>
      </c>
      <c r="T1012" s="3" t="s">
        <v>21</v>
      </c>
      <c r="U1012" s="11">
        <v>97</v>
      </c>
      <c r="V1012" s="3" t="s">
        <v>774</v>
      </c>
      <c r="W1012" s="8" t="s">
        <v>7834</v>
      </c>
    </row>
    <row r="1013" spans="1:23" x14ac:dyDescent="0.25">
      <c r="A1013" s="2">
        <v>201</v>
      </c>
      <c r="B1013" s="3" t="s">
        <v>774</v>
      </c>
      <c r="C1013" s="3">
        <v>2024</v>
      </c>
      <c r="D1013" s="3" t="s">
        <v>796</v>
      </c>
      <c r="E1013" s="3" t="s">
        <v>15</v>
      </c>
      <c r="F1013" s="1" t="s">
        <v>7834</v>
      </c>
      <c r="G1013" s="10"/>
      <c r="H1013" s="10"/>
      <c r="I1013" s="10"/>
      <c r="J1013" s="10"/>
      <c r="K1013" s="10"/>
      <c r="L1013" s="3" t="s">
        <v>975</v>
      </c>
      <c r="M1013" s="3" t="s">
        <v>798</v>
      </c>
      <c r="N1013" s="3" t="s">
        <v>976</v>
      </c>
      <c r="O1013" s="3"/>
      <c r="P1013" s="3"/>
      <c r="Q1013" s="3"/>
      <c r="R1013" s="3" t="s">
        <v>880</v>
      </c>
      <c r="S1013" s="3" t="s">
        <v>977</v>
      </c>
      <c r="T1013" s="3" t="s">
        <v>21</v>
      </c>
      <c r="U1013" s="11">
        <v>98</v>
      </c>
      <c r="V1013" s="3" t="s">
        <v>774</v>
      </c>
      <c r="W1013" s="8" t="s">
        <v>7834</v>
      </c>
    </row>
    <row r="1014" spans="1:23" x14ac:dyDescent="0.25">
      <c r="A1014" s="2">
        <v>202</v>
      </c>
      <c r="B1014" s="3" t="s">
        <v>774</v>
      </c>
      <c r="C1014" s="3">
        <v>2024</v>
      </c>
      <c r="D1014" s="3" t="s">
        <v>848</v>
      </c>
      <c r="E1014" s="3" t="s">
        <v>15</v>
      </c>
      <c r="F1014" s="1" t="s">
        <v>7834</v>
      </c>
      <c r="G1014" s="10"/>
      <c r="H1014" s="10"/>
      <c r="I1014" s="10"/>
      <c r="J1014" s="10"/>
      <c r="K1014" s="10"/>
      <c r="L1014" s="3" t="s">
        <v>978</v>
      </c>
      <c r="M1014" s="3" t="s">
        <v>979</v>
      </c>
      <c r="N1014" s="3" t="s">
        <v>980</v>
      </c>
      <c r="O1014" s="3"/>
      <c r="P1014" s="3"/>
      <c r="Q1014" s="3"/>
      <c r="R1014" s="3">
        <v>106539</v>
      </c>
      <c r="S1014" s="3" t="s">
        <v>981</v>
      </c>
      <c r="T1014" s="3" t="s">
        <v>21</v>
      </c>
      <c r="U1014" s="11">
        <v>99</v>
      </c>
      <c r="V1014" s="3" t="s">
        <v>774</v>
      </c>
      <c r="W1014" s="8" t="s">
        <v>7834</v>
      </c>
    </row>
    <row r="1015" spans="1:23" x14ac:dyDescent="0.25">
      <c r="A1015" s="2">
        <v>203</v>
      </c>
      <c r="B1015" s="3" t="s">
        <v>774</v>
      </c>
      <c r="C1015" s="3">
        <v>2024</v>
      </c>
      <c r="D1015" s="3" t="s">
        <v>240</v>
      </c>
      <c r="E1015" s="3" t="s">
        <v>15</v>
      </c>
      <c r="F1015" s="1" t="s">
        <v>7834</v>
      </c>
      <c r="G1015" s="10"/>
      <c r="H1015" s="10"/>
      <c r="I1015" s="10"/>
      <c r="J1015" s="10"/>
      <c r="K1015" s="10"/>
      <c r="L1015" s="3" t="s">
        <v>982</v>
      </c>
      <c r="M1015" s="3" t="s">
        <v>983</v>
      </c>
      <c r="N1015" s="3" t="s">
        <v>984</v>
      </c>
      <c r="O1015" s="3"/>
      <c r="P1015" s="3"/>
      <c r="Q1015" s="3"/>
      <c r="R1015" s="3">
        <v>116523</v>
      </c>
      <c r="S1015" s="3" t="s">
        <v>985</v>
      </c>
      <c r="T1015" s="3" t="s">
        <v>21</v>
      </c>
      <c r="U1015" s="11">
        <v>100</v>
      </c>
      <c r="V1015" s="3" t="s">
        <v>774</v>
      </c>
      <c r="W1015" s="8" t="s">
        <v>7834</v>
      </c>
    </row>
    <row r="1016" spans="1:23" x14ac:dyDescent="0.25">
      <c r="A1016" s="2">
        <v>204</v>
      </c>
      <c r="B1016" s="3" t="s">
        <v>774</v>
      </c>
      <c r="C1016" s="3">
        <v>2024</v>
      </c>
      <c r="D1016" s="3" t="s">
        <v>22</v>
      </c>
      <c r="E1016" s="3" t="s">
        <v>15</v>
      </c>
      <c r="F1016" s="1" t="s">
        <v>7834</v>
      </c>
      <c r="G1016" s="10"/>
      <c r="H1016" s="10"/>
      <c r="I1016" s="10"/>
      <c r="J1016" s="10"/>
      <c r="K1016" s="10"/>
      <c r="L1016" s="3" t="s">
        <v>986</v>
      </c>
      <c r="M1016" s="3" t="s">
        <v>987</v>
      </c>
      <c r="N1016" s="3" t="s">
        <v>828</v>
      </c>
      <c r="O1016" s="3"/>
      <c r="P1016" s="3"/>
      <c r="Q1016" s="3"/>
      <c r="R1016" s="3">
        <v>168562</v>
      </c>
      <c r="S1016" s="3" t="s">
        <v>988</v>
      </c>
      <c r="T1016" s="3" t="s">
        <v>21</v>
      </c>
      <c r="U1016" s="11">
        <v>101</v>
      </c>
      <c r="V1016" s="3" t="s">
        <v>774</v>
      </c>
      <c r="W1016" s="8" t="s">
        <v>7834</v>
      </c>
    </row>
    <row r="1017" spans="1:23" x14ac:dyDescent="0.25">
      <c r="A1017" s="2">
        <v>205</v>
      </c>
      <c r="B1017" s="3" t="s">
        <v>774</v>
      </c>
      <c r="C1017" s="3">
        <v>2024</v>
      </c>
      <c r="D1017" s="3" t="s">
        <v>22</v>
      </c>
      <c r="E1017" s="3" t="s">
        <v>15</v>
      </c>
      <c r="F1017" s="1" t="s">
        <v>7834</v>
      </c>
      <c r="G1017" s="10"/>
      <c r="H1017" s="10"/>
      <c r="I1017" s="10"/>
      <c r="J1017" s="10"/>
      <c r="K1017" s="10"/>
      <c r="L1017" s="3" t="s">
        <v>989</v>
      </c>
      <c r="M1017" s="3" t="s">
        <v>990</v>
      </c>
      <c r="N1017" s="3" t="s">
        <v>991</v>
      </c>
      <c r="O1017" s="3"/>
      <c r="P1017" s="3"/>
      <c r="Q1017" s="3"/>
      <c r="R1017" s="3" t="s">
        <v>992</v>
      </c>
      <c r="S1017" s="3" t="s">
        <v>993</v>
      </c>
      <c r="T1017" s="3" t="s">
        <v>21</v>
      </c>
      <c r="U1017" s="11">
        <v>102</v>
      </c>
      <c r="V1017" s="3" t="s">
        <v>774</v>
      </c>
      <c r="W1017" s="8" t="s">
        <v>7834</v>
      </c>
    </row>
    <row r="1018" spans="1:23" x14ac:dyDescent="0.25">
      <c r="A1018" s="2">
        <v>206</v>
      </c>
      <c r="B1018" s="3" t="s">
        <v>774</v>
      </c>
      <c r="C1018" s="3">
        <v>2024</v>
      </c>
      <c r="D1018" s="3" t="s">
        <v>994</v>
      </c>
      <c r="E1018" s="3" t="s">
        <v>15</v>
      </c>
      <c r="F1018" s="1" t="s">
        <v>7834</v>
      </c>
      <c r="G1018" s="10"/>
      <c r="H1018" s="10"/>
      <c r="I1018" s="10"/>
      <c r="J1018" s="10"/>
      <c r="K1018" s="10"/>
      <c r="L1018" s="3" t="s">
        <v>995</v>
      </c>
      <c r="M1018" s="3" t="s">
        <v>996</v>
      </c>
      <c r="N1018" s="3" t="s">
        <v>997</v>
      </c>
      <c r="O1018" s="3"/>
      <c r="P1018" s="3"/>
      <c r="Q1018" s="3"/>
      <c r="R1018" s="3">
        <v>102659</v>
      </c>
      <c r="S1018" s="3" t="s">
        <v>998</v>
      </c>
      <c r="T1018" s="3" t="s">
        <v>21</v>
      </c>
      <c r="U1018" s="11">
        <v>103</v>
      </c>
      <c r="V1018" s="3" t="s">
        <v>774</v>
      </c>
      <c r="W1018" s="8" t="s">
        <v>7834</v>
      </c>
    </row>
    <row r="1019" spans="1:23" x14ac:dyDescent="0.25">
      <c r="A1019" s="2">
        <v>207</v>
      </c>
      <c r="B1019" s="3" t="s">
        <v>774</v>
      </c>
      <c r="C1019" s="3">
        <v>2024</v>
      </c>
      <c r="D1019" s="3" t="s">
        <v>999</v>
      </c>
      <c r="E1019" s="3" t="s">
        <v>15</v>
      </c>
      <c r="F1019" s="1" t="s">
        <v>7834</v>
      </c>
      <c r="G1019" s="10"/>
      <c r="H1019" s="10"/>
      <c r="I1019" s="10"/>
      <c r="J1019" s="10"/>
      <c r="K1019" s="10"/>
      <c r="L1019" s="3" t="s">
        <v>1000</v>
      </c>
      <c r="M1019" s="3" t="s">
        <v>1001</v>
      </c>
      <c r="N1019" s="3" t="s">
        <v>874</v>
      </c>
      <c r="O1019" s="3"/>
      <c r="P1019" s="3"/>
      <c r="Q1019" s="3"/>
      <c r="R1019" s="3" t="s">
        <v>1002</v>
      </c>
      <c r="S1019" s="3" t="s">
        <v>1003</v>
      </c>
      <c r="T1019" s="3" t="s">
        <v>21</v>
      </c>
      <c r="U1019" s="11">
        <v>104</v>
      </c>
      <c r="V1019" s="3" t="s">
        <v>774</v>
      </c>
      <c r="W1019" s="8" t="s">
        <v>7834</v>
      </c>
    </row>
    <row r="1020" spans="1:23" x14ac:dyDescent="0.25">
      <c r="A1020" s="2">
        <v>209</v>
      </c>
      <c r="B1020" s="3" t="s">
        <v>774</v>
      </c>
      <c r="C1020" s="3">
        <v>2024</v>
      </c>
      <c r="D1020" s="3" t="s">
        <v>709</v>
      </c>
      <c r="E1020" s="3" t="s">
        <v>15</v>
      </c>
      <c r="F1020" s="1" t="s">
        <v>7834</v>
      </c>
      <c r="G1020" s="10"/>
      <c r="H1020" s="10"/>
      <c r="I1020" s="10"/>
      <c r="J1020" s="10"/>
      <c r="K1020" s="10"/>
      <c r="L1020" s="3" t="s">
        <v>1008</v>
      </c>
      <c r="M1020" s="3" t="s">
        <v>1009</v>
      </c>
      <c r="N1020" s="3" t="s">
        <v>1010</v>
      </c>
      <c r="O1020" s="3"/>
      <c r="P1020" s="3"/>
      <c r="Q1020" s="3"/>
      <c r="R1020" s="3" t="s">
        <v>1011</v>
      </c>
      <c r="S1020" s="3" t="s">
        <v>1012</v>
      </c>
      <c r="T1020" s="3" t="s">
        <v>21</v>
      </c>
      <c r="U1020" s="11">
        <v>105</v>
      </c>
      <c r="V1020" s="3" t="s">
        <v>774</v>
      </c>
      <c r="W1020" s="8" t="s">
        <v>7834</v>
      </c>
    </row>
    <row r="1021" spans="1:23" x14ac:dyDescent="0.25">
      <c r="A1021" s="2">
        <v>212</v>
      </c>
      <c r="B1021" s="3" t="s">
        <v>774</v>
      </c>
      <c r="C1021" s="3">
        <v>2024</v>
      </c>
      <c r="D1021" s="3" t="s">
        <v>1022</v>
      </c>
      <c r="E1021" s="3" t="s">
        <v>15</v>
      </c>
      <c r="F1021" s="1" t="s">
        <v>7834</v>
      </c>
      <c r="G1021" s="10"/>
      <c r="H1021" s="10"/>
      <c r="I1021" s="10"/>
      <c r="J1021" s="10"/>
      <c r="K1021" s="10"/>
      <c r="L1021" s="3" t="s">
        <v>1023</v>
      </c>
      <c r="M1021" s="3" t="s">
        <v>1024</v>
      </c>
      <c r="N1021" s="3" t="s">
        <v>1025</v>
      </c>
      <c r="O1021" s="3"/>
      <c r="P1021" s="3"/>
      <c r="Q1021" s="3"/>
      <c r="R1021" s="3" t="s">
        <v>1026</v>
      </c>
      <c r="S1021" s="3" t="s">
        <v>1027</v>
      </c>
      <c r="T1021" s="3" t="s">
        <v>21</v>
      </c>
      <c r="U1021" s="11">
        <v>106</v>
      </c>
      <c r="V1021" s="3" t="s">
        <v>774</v>
      </c>
      <c r="W1021" s="8" t="s">
        <v>7834</v>
      </c>
    </row>
    <row r="1022" spans="1:23" x14ac:dyDescent="0.25">
      <c r="A1022" s="2">
        <v>225</v>
      </c>
      <c r="B1022" s="3" t="s">
        <v>774</v>
      </c>
      <c r="C1022" s="3">
        <v>2024</v>
      </c>
      <c r="D1022" s="3" t="s">
        <v>484</v>
      </c>
      <c r="E1022" s="3" t="s">
        <v>15</v>
      </c>
      <c r="F1022" s="1" t="s">
        <v>7834</v>
      </c>
      <c r="G1022" s="10"/>
      <c r="H1022" s="10"/>
      <c r="I1022" s="10"/>
      <c r="J1022" s="10"/>
      <c r="K1022" s="10"/>
      <c r="L1022" s="3" t="s">
        <v>1077</v>
      </c>
      <c r="M1022" s="3" t="s">
        <v>1078</v>
      </c>
      <c r="N1022" s="3" t="s">
        <v>1025</v>
      </c>
      <c r="O1022" s="3"/>
      <c r="P1022" s="3"/>
      <c r="Q1022" s="3"/>
      <c r="R1022" s="3" t="s">
        <v>1026</v>
      </c>
      <c r="S1022" s="3" t="s">
        <v>1079</v>
      </c>
      <c r="T1022" s="3" t="s">
        <v>21</v>
      </c>
      <c r="U1022" s="11">
        <v>107</v>
      </c>
      <c r="V1022" s="3" t="s">
        <v>774</v>
      </c>
      <c r="W1022" s="8" t="s">
        <v>7834</v>
      </c>
    </row>
    <row r="1023" spans="1:23" x14ac:dyDescent="0.25">
      <c r="A1023" s="2">
        <v>226</v>
      </c>
      <c r="B1023" s="3" t="s">
        <v>774</v>
      </c>
      <c r="C1023" s="3">
        <v>2024</v>
      </c>
      <c r="D1023" s="3" t="s">
        <v>1080</v>
      </c>
      <c r="E1023" s="3" t="s">
        <v>15</v>
      </c>
      <c r="F1023" s="1" t="s">
        <v>7834</v>
      </c>
      <c r="G1023" s="10"/>
      <c r="H1023" s="10"/>
      <c r="I1023" s="10"/>
      <c r="J1023" s="10"/>
      <c r="K1023" s="10"/>
      <c r="L1023" s="3" t="s">
        <v>1081</v>
      </c>
      <c r="M1023" s="3" t="s">
        <v>1082</v>
      </c>
      <c r="N1023" s="3" t="s">
        <v>1083</v>
      </c>
      <c r="O1023" s="3"/>
      <c r="P1023" s="3"/>
      <c r="Q1023" s="3"/>
      <c r="R1023" s="3">
        <v>123456</v>
      </c>
      <c r="S1023" s="3" t="s">
        <v>1084</v>
      </c>
      <c r="T1023" s="3" t="s">
        <v>21</v>
      </c>
      <c r="U1023" s="11">
        <v>108</v>
      </c>
      <c r="V1023" s="3" t="s">
        <v>774</v>
      </c>
      <c r="W1023" s="8" t="s">
        <v>7834</v>
      </c>
    </row>
    <row r="1024" spans="1:23" x14ac:dyDescent="0.25">
      <c r="A1024" s="2">
        <v>227</v>
      </c>
      <c r="B1024" s="3" t="s">
        <v>774</v>
      </c>
      <c r="C1024" s="3">
        <v>2024</v>
      </c>
      <c r="D1024" s="3" t="s">
        <v>14</v>
      </c>
      <c r="E1024" s="3" t="s">
        <v>15</v>
      </c>
      <c r="F1024" s="1" t="s">
        <v>7834</v>
      </c>
      <c r="G1024" s="10"/>
      <c r="H1024" s="10"/>
      <c r="I1024" s="10"/>
      <c r="J1024" s="10"/>
      <c r="K1024" s="10"/>
      <c r="L1024" s="3" t="s">
        <v>1085</v>
      </c>
      <c r="M1024" s="3" t="s">
        <v>1086</v>
      </c>
      <c r="N1024" s="3" t="s">
        <v>980</v>
      </c>
      <c r="O1024" s="3"/>
      <c r="P1024" s="3"/>
      <c r="Q1024" s="3"/>
      <c r="R1024" s="3" t="s">
        <v>347</v>
      </c>
      <c r="S1024" s="3" t="s">
        <v>1087</v>
      </c>
      <c r="T1024" s="3" t="s">
        <v>21</v>
      </c>
      <c r="U1024" s="11">
        <v>109</v>
      </c>
      <c r="V1024" s="3" t="s">
        <v>774</v>
      </c>
      <c r="W1024" s="8" t="s">
        <v>7834</v>
      </c>
    </row>
    <row r="1025" spans="1:23" x14ac:dyDescent="0.25">
      <c r="A1025" s="2">
        <v>228</v>
      </c>
      <c r="B1025" s="3" t="s">
        <v>774</v>
      </c>
      <c r="C1025" s="3">
        <v>2024</v>
      </c>
      <c r="D1025" s="3" t="s">
        <v>811</v>
      </c>
      <c r="E1025" s="3" t="s">
        <v>15</v>
      </c>
      <c r="F1025" s="1" t="s">
        <v>7834</v>
      </c>
      <c r="G1025" s="10"/>
      <c r="H1025" s="10"/>
      <c r="I1025" s="10"/>
      <c r="J1025" s="10"/>
      <c r="K1025" s="10"/>
      <c r="L1025" s="3" t="s">
        <v>1088</v>
      </c>
      <c r="M1025" s="3" t="s">
        <v>1089</v>
      </c>
      <c r="N1025" s="3" t="s">
        <v>1090</v>
      </c>
      <c r="O1025" s="3"/>
      <c r="P1025" s="3"/>
      <c r="Q1025" s="3"/>
      <c r="R1025" s="3">
        <v>795611</v>
      </c>
      <c r="S1025" s="3" t="s">
        <v>1091</v>
      </c>
      <c r="T1025" s="3" t="s">
        <v>21</v>
      </c>
      <c r="U1025" s="11">
        <v>110</v>
      </c>
      <c r="V1025" s="3" t="s">
        <v>774</v>
      </c>
      <c r="W1025" s="8" t="s">
        <v>7834</v>
      </c>
    </row>
    <row r="1026" spans="1:23" x14ac:dyDescent="0.25">
      <c r="A1026" s="2">
        <v>229</v>
      </c>
      <c r="B1026" s="3" t="s">
        <v>774</v>
      </c>
      <c r="C1026" s="3">
        <v>2024</v>
      </c>
      <c r="D1026" s="3" t="s">
        <v>220</v>
      </c>
      <c r="E1026" s="3" t="s">
        <v>15</v>
      </c>
      <c r="F1026" s="1" t="s">
        <v>7834</v>
      </c>
      <c r="G1026" s="10"/>
      <c r="H1026" s="10"/>
      <c r="I1026" s="10"/>
      <c r="J1026" s="10"/>
      <c r="K1026" s="10"/>
      <c r="L1026" s="3" t="s">
        <v>1092</v>
      </c>
      <c r="M1026" s="3" t="s">
        <v>1093</v>
      </c>
      <c r="N1026" s="3" t="s">
        <v>1094</v>
      </c>
      <c r="O1026" s="3"/>
      <c r="P1026" s="3"/>
      <c r="Q1026" s="3"/>
      <c r="R1026" s="3" t="s">
        <v>336</v>
      </c>
      <c r="S1026" s="3" t="s">
        <v>1095</v>
      </c>
      <c r="T1026" s="3" t="s">
        <v>21</v>
      </c>
      <c r="U1026" s="11">
        <v>111</v>
      </c>
      <c r="V1026" s="3" t="s">
        <v>774</v>
      </c>
      <c r="W1026" s="8" t="s">
        <v>7834</v>
      </c>
    </row>
    <row r="1027" spans="1:23" x14ac:dyDescent="0.25">
      <c r="A1027" s="2">
        <v>230</v>
      </c>
      <c r="B1027" s="3" t="s">
        <v>774</v>
      </c>
      <c r="C1027" s="3">
        <v>2024</v>
      </c>
      <c r="D1027" s="3" t="s">
        <v>1096</v>
      </c>
      <c r="E1027" s="3" t="s">
        <v>15</v>
      </c>
      <c r="F1027" s="1" t="s">
        <v>7834</v>
      </c>
      <c r="G1027" s="10"/>
      <c r="H1027" s="10"/>
      <c r="I1027" s="10"/>
      <c r="J1027" s="10"/>
      <c r="K1027" s="10"/>
      <c r="L1027" s="3" t="s">
        <v>1097</v>
      </c>
      <c r="M1027" s="3" t="s">
        <v>1098</v>
      </c>
      <c r="N1027" s="3" t="s">
        <v>1099</v>
      </c>
      <c r="O1027" s="3"/>
      <c r="P1027" s="3"/>
      <c r="Q1027" s="3"/>
      <c r="R1027" s="3">
        <v>123453456</v>
      </c>
      <c r="S1027" s="3" t="s">
        <v>1100</v>
      </c>
      <c r="T1027" s="3" t="s">
        <v>21</v>
      </c>
      <c r="U1027" s="11">
        <v>112</v>
      </c>
      <c r="V1027" s="3" t="s">
        <v>774</v>
      </c>
      <c r="W1027" s="8" t="s">
        <v>7834</v>
      </c>
    </row>
    <row r="1028" spans="1:23" x14ac:dyDescent="0.25">
      <c r="A1028" s="2">
        <v>231</v>
      </c>
      <c r="B1028" s="3" t="s">
        <v>774</v>
      </c>
      <c r="C1028" s="3">
        <v>2024</v>
      </c>
      <c r="D1028" s="3" t="s">
        <v>31</v>
      </c>
      <c r="E1028" s="3" t="s">
        <v>15</v>
      </c>
      <c r="F1028" s="1" t="s">
        <v>7834</v>
      </c>
      <c r="G1028" s="10"/>
      <c r="H1028" s="10"/>
      <c r="I1028" s="10"/>
      <c r="J1028" s="10"/>
      <c r="K1028" s="10"/>
      <c r="L1028" s="3" t="s">
        <v>1101</v>
      </c>
      <c r="M1028" s="3" t="s">
        <v>1102</v>
      </c>
      <c r="N1028" s="3" t="s">
        <v>1103</v>
      </c>
      <c r="O1028" s="3"/>
      <c r="P1028" s="3"/>
      <c r="Q1028" s="3"/>
      <c r="R1028" s="3" t="s">
        <v>1104</v>
      </c>
      <c r="S1028" s="3" t="s">
        <v>1105</v>
      </c>
      <c r="T1028" s="3" t="s">
        <v>21</v>
      </c>
      <c r="U1028" s="11">
        <v>113</v>
      </c>
      <c r="V1028" s="3" t="s">
        <v>774</v>
      </c>
      <c r="W1028" s="8" t="s">
        <v>7834</v>
      </c>
    </row>
    <row r="1029" spans="1:23" x14ac:dyDescent="0.25">
      <c r="A1029" s="2">
        <v>232</v>
      </c>
      <c r="B1029" s="3" t="s">
        <v>774</v>
      </c>
      <c r="C1029" s="3">
        <v>2024</v>
      </c>
      <c r="D1029" s="3" t="s">
        <v>627</v>
      </c>
      <c r="E1029" s="3" t="s">
        <v>15</v>
      </c>
      <c r="F1029" s="1" t="s">
        <v>7834</v>
      </c>
      <c r="G1029" s="10"/>
      <c r="H1029" s="10"/>
      <c r="I1029" s="10"/>
      <c r="J1029" s="10"/>
      <c r="K1029" s="10"/>
      <c r="L1029" s="3" t="s">
        <v>1106</v>
      </c>
      <c r="M1029" s="3" t="s">
        <v>1107</v>
      </c>
      <c r="N1029" s="3" t="s">
        <v>833</v>
      </c>
      <c r="O1029" s="3"/>
      <c r="P1029" s="3"/>
      <c r="Q1029" s="3"/>
      <c r="R1029" s="3">
        <v>123456</v>
      </c>
      <c r="S1029" s="3" t="s">
        <v>1108</v>
      </c>
      <c r="T1029" s="3" t="s">
        <v>21</v>
      </c>
      <c r="U1029" s="11">
        <v>114</v>
      </c>
      <c r="V1029" s="3" t="s">
        <v>774</v>
      </c>
      <c r="W1029" s="8" t="s">
        <v>7834</v>
      </c>
    </row>
    <row r="1030" spans="1:23" x14ac:dyDescent="0.25">
      <c r="A1030" s="2">
        <v>233</v>
      </c>
      <c r="B1030" s="3" t="s">
        <v>774</v>
      </c>
      <c r="C1030" s="3">
        <v>2024</v>
      </c>
      <c r="D1030" s="3" t="s">
        <v>38</v>
      </c>
      <c r="E1030" s="3" t="s">
        <v>15</v>
      </c>
      <c r="F1030" s="1" t="s">
        <v>7834</v>
      </c>
      <c r="G1030" s="10"/>
      <c r="H1030" s="10"/>
      <c r="I1030" s="10"/>
      <c r="J1030" s="10"/>
      <c r="K1030" s="10"/>
      <c r="L1030" s="3" t="s">
        <v>1109</v>
      </c>
      <c r="M1030" s="3" t="s">
        <v>1110</v>
      </c>
      <c r="N1030" s="3" t="s">
        <v>1111</v>
      </c>
      <c r="O1030" s="3"/>
      <c r="P1030" s="3"/>
      <c r="Q1030" s="3"/>
      <c r="R1030" s="3">
        <v>23456</v>
      </c>
      <c r="S1030" s="3" t="s">
        <v>1112</v>
      </c>
      <c r="T1030" s="3" t="s">
        <v>21</v>
      </c>
      <c r="U1030" s="11">
        <v>115</v>
      </c>
      <c r="V1030" s="3" t="s">
        <v>774</v>
      </c>
      <c r="W1030" s="8" t="s">
        <v>7834</v>
      </c>
    </row>
    <row r="1031" spans="1:23" x14ac:dyDescent="0.25">
      <c r="A1031" s="2">
        <v>236</v>
      </c>
      <c r="B1031" s="3" t="s">
        <v>774</v>
      </c>
      <c r="C1031" s="3">
        <v>2024</v>
      </c>
      <c r="D1031" s="3" t="s">
        <v>508</v>
      </c>
      <c r="E1031" s="3" t="s">
        <v>15</v>
      </c>
      <c r="F1031" s="1" t="s">
        <v>7834</v>
      </c>
      <c r="G1031" s="10">
        <v>51</v>
      </c>
      <c r="H1031" s="10"/>
      <c r="I1031" s="10"/>
      <c r="J1031" s="10"/>
      <c r="K1031" s="10"/>
      <c r="L1031" s="3" t="s">
        <v>1123</v>
      </c>
      <c r="M1031" s="3" t="s">
        <v>1124</v>
      </c>
      <c r="N1031" s="3" t="s">
        <v>833</v>
      </c>
      <c r="O1031" s="3"/>
      <c r="P1031" s="3"/>
      <c r="Q1031" s="3"/>
      <c r="R1031" s="3">
        <v>12345</v>
      </c>
      <c r="S1031" s="3" t="s">
        <v>1125</v>
      </c>
      <c r="T1031" s="3" t="s">
        <v>21</v>
      </c>
      <c r="U1031" s="11">
        <v>116</v>
      </c>
      <c r="V1031" s="3" t="s">
        <v>774</v>
      </c>
      <c r="W1031" s="8" t="s">
        <v>7834</v>
      </c>
    </row>
    <row r="1032" spans="1:23" x14ac:dyDescent="0.25">
      <c r="A1032" s="2">
        <v>220</v>
      </c>
      <c r="B1032" s="3" t="s">
        <v>774</v>
      </c>
      <c r="C1032" s="3">
        <v>2024</v>
      </c>
      <c r="D1032" s="3" t="s">
        <v>818</v>
      </c>
      <c r="E1032" s="3" t="s">
        <v>114</v>
      </c>
      <c r="F1032" s="1" t="s">
        <v>7834</v>
      </c>
      <c r="G1032" s="10"/>
      <c r="H1032" s="10"/>
      <c r="I1032" s="10"/>
      <c r="J1032" s="10"/>
      <c r="K1032" s="10"/>
      <c r="L1032" s="3" t="s">
        <v>1057</v>
      </c>
      <c r="M1032" s="3" t="s">
        <v>931</v>
      </c>
      <c r="N1032" s="3" t="s">
        <v>778</v>
      </c>
      <c r="O1032" s="3"/>
      <c r="P1032" s="3"/>
      <c r="Q1032" s="3"/>
      <c r="R1032" s="3"/>
      <c r="S1032" s="3" t="s">
        <v>1058</v>
      </c>
      <c r="T1032" s="3" t="s">
        <v>21</v>
      </c>
      <c r="U1032" s="11">
        <v>117</v>
      </c>
      <c r="V1032" s="3" t="s">
        <v>774</v>
      </c>
      <c r="W1032" s="8" t="s">
        <v>7834</v>
      </c>
    </row>
    <row r="1033" spans="1:23" x14ac:dyDescent="0.25">
      <c r="A1033" s="2">
        <v>249</v>
      </c>
      <c r="B1033" s="3" t="s">
        <v>1126</v>
      </c>
      <c r="C1033" s="3">
        <v>2024</v>
      </c>
      <c r="D1033" s="3" t="s">
        <v>63</v>
      </c>
      <c r="E1033" s="3" t="s">
        <v>15</v>
      </c>
      <c r="F1033" s="1" t="s">
        <v>7834</v>
      </c>
      <c r="G1033" s="10"/>
      <c r="H1033" s="10"/>
      <c r="I1033" s="10"/>
      <c r="J1033" s="10"/>
      <c r="K1033" s="10"/>
      <c r="L1033" s="3" t="s">
        <v>1183</v>
      </c>
      <c r="M1033" s="3" t="s">
        <v>1184</v>
      </c>
      <c r="N1033" s="3" t="s">
        <v>1185</v>
      </c>
      <c r="O1033" s="3">
        <v>52</v>
      </c>
      <c r="P1033" s="3">
        <v>1</v>
      </c>
      <c r="Q1033" s="3">
        <v>68</v>
      </c>
      <c r="R1033" s="3" t="s">
        <v>1186</v>
      </c>
      <c r="S1033" s="3" t="s">
        <v>1187</v>
      </c>
      <c r="T1033" s="3" t="s">
        <v>21</v>
      </c>
      <c r="U1033" s="11">
        <v>118</v>
      </c>
      <c r="V1033" s="3" t="s">
        <v>1126</v>
      </c>
      <c r="W1033" s="8" t="s">
        <v>7834</v>
      </c>
    </row>
    <row r="1034" spans="1:23" x14ac:dyDescent="0.25">
      <c r="A1034" s="2">
        <v>254</v>
      </c>
      <c r="B1034" s="3" t="s">
        <v>1126</v>
      </c>
      <c r="C1034" s="3">
        <v>2024</v>
      </c>
      <c r="D1034" s="3" t="s">
        <v>1096</v>
      </c>
      <c r="E1034" s="3" t="s">
        <v>15</v>
      </c>
      <c r="F1034" s="1" t="s">
        <v>7834</v>
      </c>
      <c r="G1034" s="10"/>
      <c r="H1034" s="10"/>
      <c r="I1034" s="10"/>
      <c r="J1034" s="10"/>
      <c r="K1034" s="10"/>
      <c r="L1034" s="3" t="s">
        <v>1207</v>
      </c>
      <c r="M1034" s="3" t="s">
        <v>1208</v>
      </c>
      <c r="N1034" s="3" t="s">
        <v>1209</v>
      </c>
      <c r="O1034" s="3">
        <v>132</v>
      </c>
      <c r="P1034" s="3"/>
      <c r="Q1034" s="3"/>
      <c r="R1034" s="3" t="s">
        <v>1210</v>
      </c>
      <c r="S1034" s="3" t="s">
        <v>1211</v>
      </c>
      <c r="T1034" s="3" t="s">
        <v>21</v>
      </c>
      <c r="U1034" s="11">
        <v>119</v>
      </c>
      <c r="V1034" s="3" t="s">
        <v>1126</v>
      </c>
      <c r="W1034" s="8" t="s">
        <v>7834</v>
      </c>
    </row>
    <row r="1035" spans="1:23" x14ac:dyDescent="0.25">
      <c r="A1035" s="2">
        <v>258</v>
      </c>
      <c r="B1035" s="3" t="s">
        <v>1126</v>
      </c>
      <c r="C1035" s="3">
        <v>2024</v>
      </c>
      <c r="D1035" s="3" t="s">
        <v>1227</v>
      </c>
      <c r="E1035" s="3" t="s">
        <v>15</v>
      </c>
      <c r="F1035" s="1" t="s">
        <v>7834</v>
      </c>
      <c r="G1035" s="10"/>
      <c r="H1035" s="10"/>
      <c r="I1035" s="10"/>
      <c r="J1035" s="10"/>
      <c r="K1035" s="10"/>
      <c r="L1035" s="3" t="s">
        <v>1228</v>
      </c>
      <c r="M1035" s="3" t="s">
        <v>1229</v>
      </c>
      <c r="N1035" s="3" t="s">
        <v>1230</v>
      </c>
      <c r="O1035" s="3"/>
      <c r="P1035" s="3"/>
      <c r="Q1035" s="3"/>
      <c r="R1035" s="3" t="s">
        <v>1231</v>
      </c>
      <c r="S1035" s="3" t="s">
        <v>1232</v>
      </c>
      <c r="T1035" s="3" t="s">
        <v>21</v>
      </c>
      <c r="U1035" s="11">
        <v>120</v>
      </c>
      <c r="V1035" s="3" t="s">
        <v>1126</v>
      </c>
      <c r="W1035" s="8" t="s">
        <v>7834</v>
      </c>
    </row>
    <row r="1036" spans="1:23" x14ac:dyDescent="0.25">
      <c r="A1036" s="2">
        <v>269</v>
      </c>
      <c r="B1036" s="3" t="s">
        <v>1126</v>
      </c>
      <c r="C1036" s="3">
        <v>2024</v>
      </c>
      <c r="D1036" s="3" t="s">
        <v>1277</v>
      </c>
      <c r="E1036" s="3" t="s">
        <v>15</v>
      </c>
      <c r="F1036" s="1" t="s">
        <v>7834</v>
      </c>
      <c r="G1036" s="10"/>
      <c r="H1036" s="10"/>
      <c r="I1036" s="10"/>
      <c r="J1036" s="10"/>
      <c r="K1036" s="10"/>
      <c r="L1036" s="3" t="s">
        <v>1278</v>
      </c>
      <c r="M1036" s="3" t="s">
        <v>1279</v>
      </c>
      <c r="N1036" s="3" t="s">
        <v>1280</v>
      </c>
      <c r="O1036" s="3">
        <v>225</v>
      </c>
      <c r="P1036" s="3"/>
      <c r="Q1036" s="3"/>
      <c r="R1036" s="3" t="s">
        <v>1281</v>
      </c>
      <c r="S1036" s="3" t="s">
        <v>1282</v>
      </c>
      <c r="T1036" s="3" t="s">
        <v>21</v>
      </c>
      <c r="U1036" s="11">
        <v>121</v>
      </c>
      <c r="V1036" s="3" t="s">
        <v>1126</v>
      </c>
      <c r="W1036" s="8" t="s">
        <v>7834</v>
      </c>
    </row>
    <row r="1037" spans="1:23" x14ac:dyDescent="0.25">
      <c r="A1037" s="2">
        <v>278</v>
      </c>
      <c r="B1037" s="3" t="s">
        <v>1126</v>
      </c>
      <c r="C1037" s="3">
        <v>2024</v>
      </c>
      <c r="D1037" s="3" t="s">
        <v>120</v>
      </c>
      <c r="E1037" s="3" t="s">
        <v>15</v>
      </c>
      <c r="F1037" s="1" t="s">
        <v>7834</v>
      </c>
      <c r="G1037" s="10"/>
      <c r="H1037" s="10"/>
      <c r="I1037" s="10"/>
      <c r="J1037" s="10"/>
      <c r="K1037" s="10"/>
      <c r="L1037" s="3" t="s">
        <v>1321</v>
      </c>
      <c r="M1037" s="3" t="s">
        <v>1322</v>
      </c>
      <c r="N1037" s="3" t="s">
        <v>1323</v>
      </c>
      <c r="O1037" s="3">
        <v>67</v>
      </c>
      <c r="P1037" s="3">
        <v>8</v>
      </c>
      <c r="Q1037" s="3">
        <v>40</v>
      </c>
      <c r="R1037" s="3" t="s">
        <v>1324</v>
      </c>
      <c r="S1037" s="3" t="s">
        <v>1325</v>
      </c>
      <c r="T1037" s="3" t="s">
        <v>21</v>
      </c>
      <c r="U1037" s="11">
        <v>122</v>
      </c>
      <c r="V1037" s="3" t="s">
        <v>1126</v>
      </c>
      <c r="W1037" s="8" t="s">
        <v>7834</v>
      </c>
    </row>
    <row r="1038" spans="1:23" x14ac:dyDescent="0.25">
      <c r="A1038" s="2">
        <v>279</v>
      </c>
      <c r="B1038" s="3" t="s">
        <v>1126</v>
      </c>
      <c r="C1038" s="3">
        <v>2024</v>
      </c>
      <c r="D1038" s="3" t="s">
        <v>120</v>
      </c>
      <c r="E1038" s="3" t="s">
        <v>15</v>
      </c>
      <c r="F1038" s="1" t="s">
        <v>7834</v>
      </c>
      <c r="G1038" s="10"/>
      <c r="H1038" s="10"/>
      <c r="I1038" s="10"/>
      <c r="J1038" s="10"/>
      <c r="K1038" s="10"/>
      <c r="L1038" s="3" t="s">
        <v>1326</v>
      </c>
      <c r="M1038" s="3" t="s">
        <v>1327</v>
      </c>
      <c r="N1038" s="3" t="s">
        <v>1323</v>
      </c>
      <c r="O1038" s="3">
        <v>67</v>
      </c>
      <c r="P1038" s="3">
        <v>8</v>
      </c>
      <c r="Q1038" s="3">
        <v>49</v>
      </c>
      <c r="R1038" s="3" t="s">
        <v>1324</v>
      </c>
      <c r="S1038" s="3" t="s">
        <v>1328</v>
      </c>
      <c r="T1038" s="3" t="s">
        <v>21</v>
      </c>
      <c r="U1038" s="11">
        <v>123</v>
      </c>
      <c r="V1038" s="3" t="s">
        <v>1126</v>
      </c>
      <c r="W1038" s="8" t="s">
        <v>7834</v>
      </c>
    </row>
    <row r="1039" spans="1:23" x14ac:dyDescent="0.25">
      <c r="A1039" s="2">
        <v>285</v>
      </c>
      <c r="B1039" s="3" t="s">
        <v>1126</v>
      </c>
      <c r="C1039" s="3">
        <v>2024</v>
      </c>
      <c r="D1039" s="3" t="s">
        <v>748</v>
      </c>
      <c r="E1039" s="3" t="s">
        <v>15</v>
      </c>
      <c r="F1039" s="1" t="s">
        <v>7834</v>
      </c>
      <c r="G1039" s="10"/>
      <c r="H1039" s="10"/>
      <c r="I1039" s="10"/>
      <c r="J1039" s="10"/>
      <c r="K1039" s="10"/>
      <c r="L1039" s="3" t="s">
        <v>1349</v>
      </c>
      <c r="M1039" s="3" t="s">
        <v>1350</v>
      </c>
      <c r="N1039" s="3" t="s">
        <v>1351</v>
      </c>
      <c r="O1039" s="3">
        <v>10</v>
      </c>
      <c r="P1039" s="3">
        <v>2</v>
      </c>
      <c r="Q1039" s="3"/>
      <c r="R1039" s="3" t="s">
        <v>1352</v>
      </c>
      <c r="S1039" s="3" t="s">
        <v>1353</v>
      </c>
      <c r="T1039" s="3" t="s">
        <v>21</v>
      </c>
      <c r="U1039" s="11">
        <v>124</v>
      </c>
      <c r="V1039" s="3" t="s">
        <v>1126</v>
      </c>
      <c r="W1039" s="8" t="s">
        <v>7834</v>
      </c>
    </row>
    <row r="1040" spans="1:23" x14ac:dyDescent="0.25">
      <c r="A1040" s="2">
        <v>296</v>
      </c>
      <c r="B1040" s="3" t="s">
        <v>1126</v>
      </c>
      <c r="C1040" s="3">
        <v>2024</v>
      </c>
      <c r="D1040" s="3" t="s">
        <v>389</v>
      </c>
      <c r="E1040" s="3" t="s">
        <v>15</v>
      </c>
      <c r="F1040" s="1" t="s">
        <v>7834</v>
      </c>
      <c r="G1040" s="10"/>
      <c r="H1040" s="10"/>
      <c r="I1040" s="10"/>
      <c r="J1040" s="10"/>
      <c r="K1040" s="10"/>
      <c r="L1040" s="3" t="s">
        <v>1400</v>
      </c>
      <c r="M1040" s="3" t="s">
        <v>1401</v>
      </c>
      <c r="N1040" s="3" t="s">
        <v>1402</v>
      </c>
      <c r="O1040" s="3">
        <v>19</v>
      </c>
      <c r="P1040" s="3">
        <v>6</v>
      </c>
      <c r="Q1040" s="3"/>
      <c r="R1040" s="3" t="s">
        <v>359</v>
      </c>
      <c r="S1040" s="3" t="s">
        <v>1403</v>
      </c>
      <c r="T1040" s="3" t="s">
        <v>21</v>
      </c>
      <c r="U1040" s="11">
        <v>125</v>
      </c>
      <c r="V1040" s="3" t="s">
        <v>1126</v>
      </c>
      <c r="W1040" s="8" t="s">
        <v>7834</v>
      </c>
    </row>
    <row r="1041" spans="1:23" x14ac:dyDescent="0.25">
      <c r="A1041" s="2">
        <v>301</v>
      </c>
      <c r="B1041" s="3" t="s">
        <v>1126</v>
      </c>
      <c r="C1041" s="3">
        <v>2024</v>
      </c>
      <c r="D1041" s="3" t="s">
        <v>1418</v>
      </c>
      <c r="E1041" s="3" t="s">
        <v>15</v>
      </c>
      <c r="F1041" s="1" t="s">
        <v>7834</v>
      </c>
      <c r="G1041" s="10"/>
      <c r="H1041" s="10"/>
      <c r="I1041" s="10"/>
      <c r="J1041" s="10"/>
      <c r="K1041" s="10"/>
      <c r="L1041" s="3" t="s">
        <v>1419</v>
      </c>
      <c r="M1041" s="3" t="s">
        <v>1420</v>
      </c>
      <c r="N1041" s="3" t="s">
        <v>1421</v>
      </c>
      <c r="O1041" s="3">
        <v>7</v>
      </c>
      <c r="P1041" s="3">
        <v>1</v>
      </c>
      <c r="Q1041" s="3"/>
      <c r="R1041" s="3" t="s">
        <v>1422</v>
      </c>
      <c r="S1041" s="3" t="s">
        <v>1423</v>
      </c>
      <c r="T1041" s="3" t="s">
        <v>21</v>
      </c>
      <c r="U1041" s="11">
        <v>126</v>
      </c>
      <c r="V1041" s="3" t="s">
        <v>1126</v>
      </c>
      <c r="W1041" s="8" t="s">
        <v>7834</v>
      </c>
    </row>
    <row r="1042" spans="1:23" x14ac:dyDescent="0.25">
      <c r="A1042" s="2">
        <v>310</v>
      </c>
      <c r="B1042" s="3" t="s">
        <v>1126</v>
      </c>
      <c r="C1042" s="3">
        <v>2024</v>
      </c>
      <c r="D1042" s="3" t="s">
        <v>1464</v>
      </c>
      <c r="E1042" s="3" t="s">
        <v>15</v>
      </c>
      <c r="F1042" s="1" t="s">
        <v>7834</v>
      </c>
      <c r="G1042" s="10"/>
      <c r="H1042" s="10"/>
      <c r="I1042" s="10"/>
      <c r="J1042" s="10"/>
      <c r="K1042" s="10"/>
      <c r="L1042" s="3" t="s">
        <v>1465</v>
      </c>
      <c r="M1042" s="3" t="s">
        <v>1466</v>
      </c>
      <c r="N1042" s="3" t="s">
        <v>1467</v>
      </c>
      <c r="O1042" s="3">
        <v>12</v>
      </c>
      <c r="P1042" s="3">
        <v>1</v>
      </c>
      <c r="Q1042" s="3">
        <v>1</v>
      </c>
      <c r="R1042" s="3" t="s">
        <v>1468</v>
      </c>
      <c r="S1042" s="3" t="s">
        <v>1469</v>
      </c>
      <c r="T1042" s="3" t="s">
        <v>21</v>
      </c>
      <c r="U1042" s="11">
        <v>127</v>
      </c>
      <c r="V1042" s="3" t="s">
        <v>1126</v>
      </c>
      <c r="W1042" s="8" t="s">
        <v>7834</v>
      </c>
    </row>
    <row r="1043" spans="1:23" x14ac:dyDescent="0.25">
      <c r="A1043" s="2">
        <v>311</v>
      </c>
      <c r="B1043" s="3" t="s">
        <v>1126</v>
      </c>
      <c r="C1043" s="3">
        <v>2024</v>
      </c>
      <c r="D1043" s="3" t="s">
        <v>1470</v>
      </c>
      <c r="E1043" s="3" t="s">
        <v>15</v>
      </c>
      <c r="F1043" s="1" t="s">
        <v>7834</v>
      </c>
      <c r="G1043" s="10"/>
      <c r="H1043" s="10"/>
      <c r="I1043" s="10"/>
      <c r="J1043" s="10"/>
      <c r="K1043" s="10"/>
      <c r="L1043" s="3" t="s">
        <v>1471</v>
      </c>
      <c r="M1043" s="3" t="s">
        <v>1472</v>
      </c>
      <c r="N1043" s="3" t="s">
        <v>1467</v>
      </c>
      <c r="O1043" s="3">
        <v>12</v>
      </c>
      <c r="P1043" s="3">
        <v>5</v>
      </c>
      <c r="Q1043" s="3">
        <v>729</v>
      </c>
      <c r="R1043" s="3" t="s">
        <v>1468</v>
      </c>
      <c r="S1043" s="3" t="s">
        <v>1473</v>
      </c>
      <c r="T1043" s="3" t="s">
        <v>21</v>
      </c>
      <c r="U1043" s="11">
        <v>128</v>
      </c>
      <c r="V1043" s="3" t="s">
        <v>1126</v>
      </c>
      <c r="W1043" s="8" t="s">
        <v>7834</v>
      </c>
    </row>
    <row r="1044" spans="1:23" x14ac:dyDescent="0.25">
      <c r="A1044" s="2">
        <v>316</v>
      </c>
      <c r="B1044" s="3" t="s">
        <v>1126</v>
      </c>
      <c r="C1044" s="3">
        <v>2024</v>
      </c>
      <c r="D1044" s="3" t="s">
        <v>999</v>
      </c>
      <c r="E1044" s="3" t="s">
        <v>15</v>
      </c>
      <c r="F1044" s="1" t="s">
        <v>7834</v>
      </c>
      <c r="G1044" s="10"/>
      <c r="H1044" s="10"/>
      <c r="I1044" s="10"/>
      <c r="J1044" s="10"/>
      <c r="K1044" s="10"/>
      <c r="L1044" s="3" t="s">
        <v>1492</v>
      </c>
      <c r="M1044" s="3" t="s">
        <v>1493</v>
      </c>
      <c r="N1044" s="3" t="s">
        <v>1494</v>
      </c>
      <c r="O1044" s="3"/>
      <c r="P1044" s="3"/>
      <c r="Q1044" s="3"/>
      <c r="R1044" s="3" t="s">
        <v>1495</v>
      </c>
      <c r="S1044" s="3" t="s">
        <v>1496</v>
      </c>
      <c r="T1044" s="3" t="s">
        <v>21</v>
      </c>
      <c r="U1044" s="11">
        <v>129</v>
      </c>
      <c r="V1044" s="3" t="s">
        <v>1126</v>
      </c>
      <c r="W1044" s="8" t="s">
        <v>7834</v>
      </c>
    </row>
    <row r="1045" spans="1:23" x14ac:dyDescent="0.25">
      <c r="A1045" s="2">
        <v>317</v>
      </c>
      <c r="B1045" s="3" t="s">
        <v>1126</v>
      </c>
      <c r="C1045" s="3">
        <v>2024</v>
      </c>
      <c r="D1045" s="3" t="s">
        <v>1497</v>
      </c>
      <c r="E1045" s="3" t="s">
        <v>15</v>
      </c>
      <c r="F1045" s="1" t="s">
        <v>7834</v>
      </c>
      <c r="G1045" s="10"/>
      <c r="H1045" s="10"/>
      <c r="I1045" s="10"/>
      <c r="J1045" s="10"/>
      <c r="K1045" s="10"/>
      <c r="L1045" s="3" t="s">
        <v>1498</v>
      </c>
      <c r="M1045" s="3" t="s">
        <v>1499</v>
      </c>
      <c r="N1045" s="3" t="s">
        <v>1467</v>
      </c>
      <c r="O1045" s="3"/>
      <c r="P1045" s="3"/>
      <c r="Q1045" s="3"/>
      <c r="R1045" s="3" t="s">
        <v>1468</v>
      </c>
      <c r="S1045" s="3" t="s">
        <v>1500</v>
      </c>
      <c r="T1045" s="3" t="s">
        <v>21</v>
      </c>
      <c r="U1045" s="11">
        <v>130</v>
      </c>
      <c r="V1045" s="3" t="s">
        <v>1126</v>
      </c>
      <c r="W1045" s="8" t="s">
        <v>7834</v>
      </c>
    </row>
    <row r="1046" spans="1:23" x14ac:dyDescent="0.25">
      <c r="A1046" s="2">
        <v>319</v>
      </c>
      <c r="B1046" s="3" t="s">
        <v>1126</v>
      </c>
      <c r="C1046" s="3">
        <v>2024</v>
      </c>
      <c r="D1046" s="3" t="s">
        <v>1507</v>
      </c>
      <c r="E1046" s="3" t="s">
        <v>15</v>
      </c>
      <c r="F1046" s="1" t="s">
        <v>7834</v>
      </c>
      <c r="G1046" s="10"/>
      <c r="H1046" s="10"/>
      <c r="I1046" s="10"/>
      <c r="J1046" s="10"/>
      <c r="K1046" s="10"/>
      <c r="L1046" s="3" t="s">
        <v>1508</v>
      </c>
      <c r="M1046" s="3" t="s">
        <v>1509</v>
      </c>
      <c r="N1046" s="3" t="s">
        <v>874</v>
      </c>
      <c r="O1046" s="3">
        <v>14</v>
      </c>
      <c r="P1046" s="3">
        <v>1</v>
      </c>
      <c r="Q1046" s="3"/>
      <c r="R1046" s="3" t="s">
        <v>1002</v>
      </c>
      <c r="S1046" s="3" t="s">
        <v>1510</v>
      </c>
      <c r="T1046" s="3" t="s">
        <v>21</v>
      </c>
      <c r="U1046" s="11">
        <v>131</v>
      </c>
      <c r="V1046" s="3" t="s">
        <v>1126</v>
      </c>
      <c r="W1046" s="8" t="s">
        <v>7834</v>
      </c>
    </row>
    <row r="1047" spans="1:23" x14ac:dyDescent="0.25">
      <c r="A1047" s="2">
        <v>321</v>
      </c>
      <c r="B1047" s="3" t="s">
        <v>1126</v>
      </c>
      <c r="C1047" s="3">
        <v>2024</v>
      </c>
      <c r="D1047" s="3" t="s">
        <v>120</v>
      </c>
      <c r="E1047" s="3" t="s">
        <v>15</v>
      </c>
      <c r="F1047" s="1" t="s">
        <v>7834</v>
      </c>
      <c r="G1047" s="10"/>
      <c r="H1047" s="10"/>
      <c r="I1047" s="10"/>
      <c r="J1047" s="10"/>
      <c r="K1047" s="10"/>
      <c r="L1047" s="3" t="s">
        <v>1514</v>
      </c>
      <c r="M1047" s="3" t="s">
        <v>1515</v>
      </c>
      <c r="N1047" s="3" t="s">
        <v>1323</v>
      </c>
      <c r="O1047" s="3">
        <v>67</v>
      </c>
      <c r="P1047" s="3">
        <v>8</v>
      </c>
      <c r="Q1047" s="3">
        <v>78</v>
      </c>
      <c r="R1047" s="3" t="s">
        <v>1324</v>
      </c>
      <c r="S1047" s="3" t="s">
        <v>1516</v>
      </c>
      <c r="T1047" s="3" t="s">
        <v>21</v>
      </c>
      <c r="U1047" s="11">
        <v>132</v>
      </c>
      <c r="V1047" s="3" t="s">
        <v>1126</v>
      </c>
      <c r="W1047" s="8" t="s">
        <v>7834</v>
      </c>
    </row>
    <row r="1048" spans="1:23" x14ac:dyDescent="0.25">
      <c r="A1048" s="2">
        <v>329</v>
      </c>
      <c r="B1048" s="3" t="s">
        <v>1547</v>
      </c>
      <c r="C1048" s="3">
        <v>2024</v>
      </c>
      <c r="D1048" s="3" t="s">
        <v>792</v>
      </c>
      <c r="E1048" s="3" t="s">
        <v>15</v>
      </c>
      <c r="F1048" s="1" t="s">
        <v>7834</v>
      </c>
      <c r="G1048" s="10"/>
      <c r="H1048" s="10"/>
      <c r="I1048" s="10"/>
      <c r="J1048" s="10"/>
      <c r="K1048" s="10"/>
      <c r="L1048" s="3" t="s">
        <v>1548</v>
      </c>
      <c r="M1048" s="3" t="s">
        <v>1549</v>
      </c>
      <c r="N1048" s="3" t="s">
        <v>1550</v>
      </c>
      <c r="O1048" s="3"/>
      <c r="P1048" s="3"/>
      <c r="Q1048" s="3"/>
      <c r="R1048" s="3" t="s">
        <v>1551</v>
      </c>
      <c r="S1048" s="3" t="s">
        <v>1552</v>
      </c>
      <c r="T1048" s="3" t="s">
        <v>21</v>
      </c>
      <c r="U1048" s="11">
        <v>133</v>
      </c>
      <c r="V1048" s="3" t="s">
        <v>1547</v>
      </c>
      <c r="W1048" s="8" t="s">
        <v>7834</v>
      </c>
    </row>
    <row r="1049" spans="1:23" x14ac:dyDescent="0.25">
      <c r="A1049" s="2">
        <v>330</v>
      </c>
      <c r="B1049" s="3" t="s">
        <v>1547</v>
      </c>
      <c r="C1049" s="3">
        <v>2024</v>
      </c>
      <c r="D1049" s="3" t="s">
        <v>484</v>
      </c>
      <c r="E1049" s="3" t="s">
        <v>15</v>
      </c>
      <c r="F1049" s="1" t="s">
        <v>7834</v>
      </c>
      <c r="G1049" s="10"/>
      <c r="H1049" s="10"/>
      <c r="I1049" s="10"/>
      <c r="J1049" s="10"/>
      <c r="K1049" s="10"/>
      <c r="L1049" s="3" t="s">
        <v>1553</v>
      </c>
      <c r="M1049" s="3" t="s">
        <v>1554</v>
      </c>
      <c r="N1049" s="3" t="s">
        <v>1555</v>
      </c>
      <c r="O1049" s="3"/>
      <c r="P1049" s="3"/>
      <c r="Q1049" s="3"/>
      <c r="R1049" s="3" t="s">
        <v>1556</v>
      </c>
      <c r="S1049" s="3" t="s">
        <v>1557</v>
      </c>
      <c r="T1049" s="3" t="s">
        <v>21</v>
      </c>
      <c r="U1049" s="11">
        <v>134</v>
      </c>
      <c r="V1049" s="3" t="s">
        <v>1547</v>
      </c>
      <c r="W1049" s="8" t="s">
        <v>7834</v>
      </c>
    </row>
    <row r="1050" spans="1:23" x14ac:dyDescent="0.25">
      <c r="A1050" s="2">
        <v>332</v>
      </c>
      <c r="B1050" s="3" t="s">
        <v>1547</v>
      </c>
      <c r="C1050" s="3">
        <v>2024</v>
      </c>
      <c r="D1050" s="3" t="s">
        <v>1563</v>
      </c>
      <c r="E1050" s="3" t="s">
        <v>15</v>
      </c>
      <c r="F1050" s="1" t="s">
        <v>7834</v>
      </c>
      <c r="G1050" s="10"/>
      <c r="H1050" s="10"/>
      <c r="I1050" s="10"/>
      <c r="J1050" s="10"/>
      <c r="K1050" s="10"/>
      <c r="L1050" s="3" t="s">
        <v>1564</v>
      </c>
      <c r="M1050" s="3" t="s">
        <v>1565</v>
      </c>
      <c r="N1050" s="3" t="s">
        <v>1566</v>
      </c>
      <c r="O1050" s="3"/>
      <c r="P1050" s="3"/>
      <c r="Q1050" s="3"/>
      <c r="R1050" s="3" t="s">
        <v>1567</v>
      </c>
      <c r="S1050" s="3" t="s">
        <v>1568</v>
      </c>
      <c r="T1050" s="3" t="s">
        <v>21</v>
      </c>
      <c r="U1050" s="11">
        <v>135</v>
      </c>
      <c r="V1050" s="3" t="s">
        <v>1547</v>
      </c>
      <c r="W1050" s="8" t="s">
        <v>7834</v>
      </c>
    </row>
    <row r="1051" spans="1:23" x14ac:dyDescent="0.25">
      <c r="A1051" s="2">
        <v>337</v>
      </c>
      <c r="B1051" s="3" t="s">
        <v>1547</v>
      </c>
      <c r="C1051" s="3">
        <v>2024</v>
      </c>
      <c r="D1051" s="3" t="s">
        <v>63</v>
      </c>
      <c r="E1051" s="3" t="s">
        <v>15</v>
      </c>
      <c r="F1051" s="1" t="s">
        <v>7834</v>
      </c>
      <c r="G1051" s="10"/>
      <c r="H1051" s="10"/>
      <c r="I1051" s="10"/>
      <c r="J1051" s="10"/>
      <c r="K1051" s="10"/>
      <c r="L1051" s="3" t="s">
        <v>1588</v>
      </c>
      <c r="M1051" s="3" t="s">
        <v>1589</v>
      </c>
      <c r="N1051" s="3" t="s">
        <v>1590</v>
      </c>
      <c r="O1051" s="3"/>
      <c r="P1051" s="3"/>
      <c r="Q1051" s="3"/>
      <c r="R1051" s="3" t="s">
        <v>1591</v>
      </c>
      <c r="S1051" s="3" t="s">
        <v>1592</v>
      </c>
      <c r="T1051" s="3" t="s">
        <v>21</v>
      </c>
      <c r="U1051" s="11">
        <v>136</v>
      </c>
      <c r="V1051" s="3" t="s">
        <v>1547</v>
      </c>
      <c r="W1051" s="8" t="s">
        <v>7834</v>
      </c>
    </row>
    <row r="1052" spans="1:23" x14ac:dyDescent="0.25">
      <c r="A1052" s="2">
        <v>339</v>
      </c>
      <c r="B1052" s="3" t="s">
        <v>1547</v>
      </c>
      <c r="C1052" s="3">
        <v>2024</v>
      </c>
      <c r="D1052" s="3" t="s">
        <v>38</v>
      </c>
      <c r="E1052" s="3" t="s">
        <v>15</v>
      </c>
      <c r="F1052" s="1" t="s">
        <v>7834</v>
      </c>
      <c r="G1052" s="10"/>
      <c r="H1052" s="10"/>
      <c r="I1052" s="10"/>
      <c r="J1052" s="10"/>
      <c r="K1052" s="10"/>
      <c r="L1052" s="3" t="s">
        <v>1599</v>
      </c>
      <c r="M1052" s="3" t="s">
        <v>1600</v>
      </c>
      <c r="N1052" s="3" t="s">
        <v>1601</v>
      </c>
      <c r="O1052" s="3"/>
      <c r="P1052" s="3"/>
      <c r="Q1052" s="3"/>
      <c r="R1052" s="3" t="s">
        <v>1602</v>
      </c>
      <c r="S1052" s="3" t="s">
        <v>1603</v>
      </c>
      <c r="T1052" s="3" t="s">
        <v>21</v>
      </c>
      <c r="U1052" s="11">
        <v>137</v>
      </c>
      <c r="V1052" s="3" t="s">
        <v>1547</v>
      </c>
      <c r="W1052" s="8" t="s">
        <v>7834</v>
      </c>
    </row>
    <row r="1053" spans="1:23" x14ac:dyDescent="0.25">
      <c r="A1053" s="2">
        <v>340</v>
      </c>
      <c r="B1053" s="3" t="s">
        <v>1547</v>
      </c>
      <c r="C1053" s="3">
        <v>2024</v>
      </c>
      <c r="D1053" s="3" t="s">
        <v>1395</v>
      </c>
      <c r="E1053" s="3" t="s">
        <v>15</v>
      </c>
      <c r="F1053" s="1" t="s">
        <v>7834</v>
      </c>
      <c r="G1053" s="10"/>
      <c r="H1053" s="10"/>
      <c r="I1053" s="10"/>
      <c r="J1053" s="10"/>
      <c r="K1053" s="10"/>
      <c r="L1053" s="3" t="s">
        <v>1604</v>
      </c>
      <c r="M1053" s="3" t="s">
        <v>1605</v>
      </c>
      <c r="N1053" s="3" t="s">
        <v>1606</v>
      </c>
      <c r="O1053" s="3"/>
      <c r="P1053" s="3"/>
      <c r="Q1053" s="3"/>
      <c r="R1053" s="3" t="s">
        <v>1607</v>
      </c>
      <c r="S1053" s="3" t="s">
        <v>1608</v>
      </c>
      <c r="T1053" s="3" t="s">
        <v>21</v>
      </c>
      <c r="U1053" s="11">
        <v>138</v>
      </c>
      <c r="V1053" s="3" t="s">
        <v>1547</v>
      </c>
      <c r="W1053" s="8" t="s">
        <v>7834</v>
      </c>
    </row>
    <row r="1054" spans="1:23" x14ac:dyDescent="0.25">
      <c r="A1054" s="2">
        <v>341</v>
      </c>
      <c r="B1054" s="3" t="s">
        <v>1547</v>
      </c>
      <c r="C1054" s="3">
        <v>2024</v>
      </c>
      <c r="D1054" s="3" t="s">
        <v>59</v>
      </c>
      <c r="E1054" s="3" t="s">
        <v>15</v>
      </c>
      <c r="F1054" s="1" t="s">
        <v>7834</v>
      </c>
      <c r="G1054" s="10"/>
      <c r="H1054" s="10"/>
      <c r="I1054" s="10"/>
      <c r="J1054" s="10"/>
      <c r="K1054" s="10"/>
      <c r="L1054" s="3" t="s">
        <v>1609</v>
      </c>
      <c r="M1054" s="3" t="s">
        <v>1610</v>
      </c>
      <c r="N1054" s="3" t="s">
        <v>1590</v>
      </c>
      <c r="O1054" s="3"/>
      <c r="P1054" s="3"/>
      <c r="Q1054" s="3"/>
      <c r="R1054" s="3" t="s">
        <v>1591</v>
      </c>
      <c r="S1054" s="3" t="s">
        <v>1611</v>
      </c>
      <c r="T1054" s="3" t="s">
        <v>21</v>
      </c>
      <c r="U1054" s="11">
        <v>139</v>
      </c>
      <c r="V1054" s="3" t="s">
        <v>1547</v>
      </c>
      <c r="W1054" s="8" t="s">
        <v>7834</v>
      </c>
    </row>
    <row r="1055" spans="1:23" x14ac:dyDescent="0.25">
      <c r="A1055" s="2">
        <v>342</v>
      </c>
      <c r="B1055" s="3" t="s">
        <v>1547</v>
      </c>
      <c r="C1055" s="3">
        <v>2024</v>
      </c>
      <c r="D1055" s="3" t="s">
        <v>1482</v>
      </c>
      <c r="E1055" s="3" t="s">
        <v>15</v>
      </c>
      <c r="F1055" s="1" t="s">
        <v>7834</v>
      </c>
      <c r="G1055" s="10"/>
      <c r="H1055" s="10"/>
      <c r="I1055" s="10"/>
      <c r="J1055" s="10"/>
      <c r="K1055" s="10"/>
      <c r="L1055" s="3" t="s">
        <v>1612</v>
      </c>
      <c r="M1055" s="3" t="s">
        <v>1613</v>
      </c>
      <c r="N1055" s="3" t="s">
        <v>1614</v>
      </c>
      <c r="O1055" s="3"/>
      <c r="P1055" s="3"/>
      <c r="Q1055" s="3"/>
      <c r="R1055" s="3" t="s">
        <v>1615</v>
      </c>
      <c r="S1055" s="3" t="s">
        <v>1616</v>
      </c>
      <c r="T1055" s="3" t="s">
        <v>21</v>
      </c>
      <c r="U1055" s="11">
        <v>140</v>
      </c>
      <c r="V1055" s="3" t="s">
        <v>1547</v>
      </c>
      <c r="W1055" s="8" t="s">
        <v>7834</v>
      </c>
    </row>
    <row r="1056" spans="1:23" x14ac:dyDescent="0.25">
      <c r="A1056" s="2">
        <v>347</v>
      </c>
      <c r="B1056" s="3" t="s">
        <v>1547</v>
      </c>
      <c r="C1056" s="3">
        <v>2024</v>
      </c>
      <c r="D1056" s="3" t="s">
        <v>361</v>
      </c>
      <c r="E1056" s="3" t="s">
        <v>15</v>
      </c>
      <c r="F1056" s="1" t="s">
        <v>7834</v>
      </c>
      <c r="G1056" s="10"/>
      <c r="H1056" s="10"/>
      <c r="I1056" s="10"/>
      <c r="J1056" s="10"/>
      <c r="K1056" s="10"/>
      <c r="L1056" s="3" t="s">
        <v>1637</v>
      </c>
      <c r="M1056" s="3" t="s">
        <v>1638</v>
      </c>
      <c r="N1056" s="3" t="s">
        <v>1639</v>
      </c>
      <c r="O1056" s="3"/>
      <c r="P1056" s="3"/>
      <c r="Q1056" s="3"/>
      <c r="R1056" s="3" t="s">
        <v>342</v>
      </c>
      <c r="S1056" s="3" t="s">
        <v>1640</v>
      </c>
      <c r="T1056" s="3" t="s">
        <v>21</v>
      </c>
      <c r="U1056" s="11">
        <v>141</v>
      </c>
      <c r="V1056" s="3" t="s">
        <v>1547</v>
      </c>
      <c r="W1056" s="8" t="s">
        <v>7834</v>
      </c>
    </row>
    <row r="1057" spans="1:23" x14ac:dyDescent="0.25">
      <c r="A1057" s="2">
        <v>352</v>
      </c>
      <c r="B1057" s="3" t="s">
        <v>1547</v>
      </c>
      <c r="C1057" s="3">
        <v>2024</v>
      </c>
      <c r="D1057" s="3" t="s">
        <v>14</v>
      </c>
      <c r="E1057" s="3" t="s">
        <v>15</v>
      </c>
      <c r="F1057" s="1" t="s">
        <v>7834</v>
      </c>
      <c r="G1057" s="10"/>
      <c r="H1057" s="10"/>
      <c r="I1057" s="10"/>
      <c r="J1057" s="10"/>
      <c r="K1057" s="10"/>
      <c r="L1057" s="3" t="s">
        <v>1655</v>
      </c>
      <c r="M1057" s="3" t="s">
        <v>1656</v>
      </c>
      <c r="N1057" s="3" t="s">
        <v>1657</v>
      </c>
      <c r="O1057" s="3">
        <v>75</v>
      </c>
      <c r="P1057" s="3">
        <v>1</v>
      </c>
      <c r="Q1057" s="3"/>
      <c r="R1057" s="3" t="s">
        <v>1658</v>
      </c>
      <c r="S1057" s="3" t="s">
        <v>1659</v>
      </c>
      <c r="T1057" s="3" t="s">
        <v>21</v>
      </c>
      <c r="U1057" s="11">
        <v>142</v>
      </c>
      <c r="V1057" s="3" t="s">
        <v>1547</v>
      </c>
      <c r="W1057" s="8" t="s">
        <v>7834</v>
      </c>
    </row>
    <row r="1058" spans="1:23" x14ac:dyDescent="0.25">
      <c r="A1058" s="2">
        <v>354</v>
      </c>
      <c r="B1058" s="3" t="s">
        <v>1547</v>
      </c>
      <c r="C1058" s="3">
        <v>2024</v>
      </c>
      <c r="D1058" s="3" t="s">
        <v>14</v>
      </c>
      <c r="E1058" s="3" t="s">
        <v>15</v>
      </c>
      <c r="F1058" s="1" t="s">
        <v>7834</v>
      </c>
      <c r="G1058" s="10"/>
      <c r="H1058" s="10"/>
      <c r="I1058" s="10"/>
      <c r="J1058" s="10"/>
      <c r="K1058" s="10"/>
      <c r="L1058" s="3" t="s">
        <v>1664</v>
      </c>
      <c r="M1058" s="3" t="s">
        <v>1665</v>
      </c>
      <c r="N1058" s="3" t="s">
        <v>1666</v>
      </c>
      <c r="O1058" s="3">
        <v>4</v>
      </c>
      <c r="P1058" s="3">
        <v>1</v>
      </c>
      <c r="Q1058" s="3"/>
      <c r="R1058" s="3" t="s">
        <v>1667</v>
      </c>
      <c r="S1058" s="3" t="s">
        <v>1668</v>
      </c>
      <c r="T1058" s="3" t="s">
        <v>21</v>
      </c>
      <c r="U1058" s="11">
        <v>143</v>
      </c>
      <c r="V1058" s="3" t="s">
        <v>1547</v>
      </c>
      <c r="W1058" s="8" t="s">
        <v>7834</v>
      </c>
    </row>
    <row r="1059" spans="1:23" x14ac:dyDescent="0.25">
      <c r="A1059" s="2">
        <v>355</v>
      </c>
      <c r="B1059" s="3" t="s">
        <v>1547</v>
      </c>
      <c r="C1059" s="3">
        <v>2024</v>
      </c>
      <c r="D1059" s="3" t="s">
        <v>1669</v>
      </c>
      <c r="E1059" s="3" t="s">
        <v>15</v>
      </c>
      <c r="F1059" s="1" t="s">
        <v>7834</v>
      </c>
      <c r="G1059" s="10"/>
      <c r="H1059" s="10"/>
      <c r="I1059" s="10"/>
      <c r="J1059" s="10"/>
      <c r="K1059" s="10"/>
      <c r="L1059" s="3" t="s">
        <v>1670</v>
      </c>
      <c r="M1059" s="3" t="s">
        <v>1671</v>
      </c>
      <c r="N1059" s="3" t="s">
        <v>1672</v>
      </c>
      <c r="O1059" s="3">
        <v>436</v>
      </c>
      <c r="P1059" s="3"/>
      <c r="Q1059" s="3"/>
      <c r="R1059" s="3" t="s">
        <v>1673</v>
      </c>
      <c r="S1059" s="3" t="s">
        <v>1674</v>
      </c>
      <c r="T1059" s="3" t="s">
        <v>21</v>
      </c>
      <c r="U1059" s="11">
        <v>144</v>
      </c>
      <c r="V1059" s="3" t="s">
        <v>1547</v>
      </c>
      <c r="W1059" s="8" t="s">
        <v>7834</v>
      </c>
    </row>
    <row r="1060" spans="1:23" x14ac:dyDescent="0.25">
      <c r="A1060" s="2">
        <v>356</v>
      </c>
      <c r="B1060" s="3" t="s">
        <v>1547</v>
      </c>
      <c r="C1060" s="3">
        <v>2024</v>
      </c>
      <c r="D1060" s="3" t="s">
        <v>999</v>
      </c>
      <c r="E1060" s="3" t="s">
        <v>15</v>
      </c>
      <c r="F1060" s="1" t="s">
        <v>7834</v>
      </c>
      <c r="G1060" s="10"/>
      <c r="H1060" s="10"/>
      <c r="I1060" s="10"/>
      <c r="J1060" s="10"/>
      <c r="K1060" s="10"/>
      <c r="L1060" s="3" t="s">
        <v>1675</v>
      </c>
      <c r="M1060" s="3" t="s">
        <v>1676</v>
      </c>
      <c r="N1060" s="3" t="s">
        <v>1677</v>
      </c>
      <c r="O1060" s="3">
        <v>13</v>
      </c>
      <c r="P1060" s="3">
        <v>5</v>
      </c>
      <c r="Q1060" s="3"/>
      <c r="R1060" s="3" t="s">
        <v>1678</v>
      </c>
      <c r="S1060" s="3" t="s">
        <v>1679</v>
      </c>
      <c r="T1060" s="3" t="s">
        <v>21</v>
      </c>
      <c r="U1060" s="11">
        <v>145</v>
      </c>
      <c r="V1060" s="3" t="s">
        <v>1547</v>
      </c>
      <c r="W1060" s="8" t="s">
        <v>7834</v>
      </c>
    </row>
    <row r="1061" spans="1:23" x14ac:dyDescent="0.25">
      <c r="A1061" s="2">
        <v>361</v>
      </c>
      <c r="B1061" s="3" t="s">
        <v>1547</v>
      </c>
      <c r="C1061" s="3">
        <v>2024</v>
      </c>
      <c r="D1061" s="3" t="s">
        <v>1701</v>
      </c>
      <c r="E1061" s="3" t="s">
        <v>15</v>
      </c>
      <c r="F1061" s="1" t="s">
        <v>7834</v>
      </c>
      <c r="G1061" s="10"/>
      <c r="H1061" s="10"/>
      <c r="I1061" s="10"/>
      <c r="J1061" s="10"/>
      <c r="K1061" s="10"/>
      <c r="L1061" s="3" t="s">
        <v>1702</v>
      </c>
      <c r="M1061" s="3" t="s">
        <v>1703</v>
      </c>
      <c r="N1061" s="3" t="s">
        <v>874</v>
      </c>
      <c r="O1061" s="3">
        <v>14</v>
      </c>
      <c r="P1061" s="3">
        <v>10553</v>
      </c>
      <c r="Q1061" s="3"/>
      <c r="R1061" s="3" t="s">
        <v>1002</v>
      </c>
      <c r="S1061" s="3" t="s">
        <v>1704</v>
      </c>
      <c r="T1061" s="3" t="s">
        <v>21</v>
      </c>
      <c r="U1061" s="11">
        <v>146</v>
      </c>
      <c r="V1061" s="3" t="s">
        <v>1547</v>
      </c>
      <c r="W1061" s="8" t="s">
        <v>7834</v>
      </c>
    </row>
    <row r="1062" spans="1:23" x14ac:dyDescent="0.25">
      <c r="A1062" s="2">
        <v>363</v>
      </c>
      <c r="B1062" s="3" t="s">
        <v>1547</v>
      </c>
      <c r="C1062" s="3">
        <v>2024</v>
      </c>
      <c r="D1062" s="3" t="s">
        <v>1497</v>
      </c>
      <c r="E1062" s="3" t="s">
        <v>15</v>
      </c>
      <c r="F1062" s="1" t="s">
        <v>7834</v>
      </c>
      <c r="G1062" s="10"/>
      <c r="H1062" s="10"/>
      <c r="I1062" s="10"/>
      <c r="J1062" s="10"/>
      <c r="K1062" s="10"/>
      <c r="L1062" s="3" t="s">
        <v>1710</v>
      </c>
      <c r="M1062" s="3" t="s">
        <v>1711</v>
      </c>
      <c r="N1062" s="3" t="s">
        <v>1657</v>
      </c>
      <c r="O1062" s="3">
        <v>75</v>
      </c>
      <c r="P1062" s="3">
        <v>11</v>
      </c>
      <c r="Q1062" s="3"/>
      <c r="R1062" s="3" t="s">
        <v>1658</v>
      </c>
      <c r="S1062" s="3" t="s">
        <v>1712</v>
      </c>
      <c r="T1062" s="3" t="s">
        <v>21</v>
      </c>
      <c r="U1062" s="11">
        <v>147</v>
      </c>
      <c r="V1062" s="3" t="s">
        <v>1547</v>
      </c>
      <c r="W1062" s="8" t="s">
        <v>7834</v>
      </c>
    </row>
    <row r="1063" spans="1:23" x14ac:dyDescent="0.25">
      <c r="A1063" s="2">
        <v>364</v>
      </c>
      <c r="B1063" s="3" t="s">
        <v>1547</v>
      </c>
      <c r="C1063" s="3">
        <v>2024</v>
      </c>
      <c r="D1063" s="3" t="s">
        <v>1713</v>
      </c>
      <c r="E1063" s="3" t="s">
        <v>15</v>
      </c>
      <c r="F1063" s="1" t="s">
        <v>7834</v>
      </c>
      <c r="G1063" s="10"/>
      <c r="H1063" s="10"/>
      <c r="I1063" s="10"/>
      <c r="J1063" s="10"/>
      <c r="K1063" s="10"/>
      <c r="L1063" s="3" t="s">
        <v>1714</v>
      </c>
      <c r="M1063" s="3" t="s">
        <v>1715</v>
      </c>
      <c r="N1063" s="3" t="s">
        <v>1677</v>
      </c>
      <c r="O1063" s="3">
        <v>13</v>
      </c>
      <c r="P1063" s="3">
        <v>11</v>
      </c>
      <c r="Q1063" s="3"/>
      <c r="R1063" s="3" t="s">
        <v>1716</v>
      </c>
      <c r="S1063" s="3" t="s">
        <v>1717</v>
      </c>
      <c r="T1063" s="3" t="s">
        <v>21</v>
      </c>
      <c r="U1063" s="11">
        <v>148</v>
      </c>
      <c r="V1063" s="3" t="s">
        <v>1547</v>
      </c>
      <c r="W1063" s="8" t="s">
        <v>7834</v>
      </c>
    </row>
    <row r="1064" spans="1:23" x14ac:dyDescent="0.25">
      <c r="A1064" s="2">
        <v>366</v>
      </c>
      <c r="B1064" s="3" t="s">
        <v>1547</v>
      </c>
      <c r="C1064" s="3">
        <v>2024</v>
      </c>
      <c r="D1064" s="3" t="s">
        <v>1723</v>
      </c>
      <c r="E1064" s="3" t="s">
        <v>15</v>
      </c>
      <c r="F1064" s="1" t="s">
        <v>7834</v>
      </c>
      <c r="G1064" s="10"/>
      <c r="H1064" s="10"/>
      <c r="I1064" s="10"/>
      <c r="J1064" s="10"/>
      <c r="K1064" s="10"/>
      <c r="L1064" s="3" t="s">
        <v>1724</v>
      </c>
      <c r="M1064" s="3" t="s">
        <v>1725</v>
      </c>
      <c r="N1064" s="3" t="s">
        <v>1726</v>
      </c>
      <c r="O1064" s="3"/>
      <c r="P1064" s="3"/>
      <c r="Q1064" s="3"/>
      <c r="R1064" s="3" t="s">
        <v>359</v>
      </c>
      <c r="S1064" s="3" t="s">
        <v>1727</v>
      </c>
      <c r="T1064" s="3" t="s">
        <v>21</v>
      </c>
      <c r="U1064" s="11">
        <v>149</v>
      </c>
      <c r="V1064" s="3" t="s">
        <v>1547</v>
      </c>
      <c r="W1064" s="8" t="s">
        <v>7834</v>
      </c>
    </row>
    <row r="1065" spans="1:23" x14ac:dyDescent="0.25">
      <c r="A1065" s="2">
        <v>367</v>
      </c>
      <c r="B1065" s="3" t="s">
        <v>1547</v>
      </c>
      <c r="C1065" s="3">
        <v>2024</v>
      </c>
      <c r="D1065" s="3" t="s">
        <v>1067</v>
      </c>
      <c r="E1065" s="3" t="s">
        <v>15</v>
      </c>
      <c r="F1065" s="1" t="s">
        <v>7834</v>
      </c>
      <c r="G1065" s="10"/>
      <c r="H1065" s="10"/>
      <c r="I1065" s="10"/>
      <c r="J1065" s="10"/>
      <c r="K1065" s="10"/>
      <c r="L1065" s="3" t="s">
        <v>1728</v>
      </c>
      <c r="M1065" s="3" t="s">
        <v>1729</v>
      </c>
      <c r="N1065" s="3" t="s">
        <v>1730</v>
      </c>
      <c r="O1065" s="3">
        <v>36</v>
      </c>
      <c r="P1065" s="3">
        <v>5</v>
      </c>
      <c r="Q1065" s="3"/>
      <c r="R1065" s="3" t="s">
        <v>1731</v>
      </c>
      <c r="S1065" s="3" t="s">
        <v>1732</v>
      </c>
      <c r="T1065" s="3" t="s">
        <v>21</v>
      </c>
      <c r="U1065" s="11">
        <v>150</v>
      </c>
      <c r="V1065" s="3" t="s">
        <v>1547</v>
      </c>
      <c r="W1065" s="8" t="s">
        <v>7834</v>
      </c>
    </row>
    <row r="1066" spans="1:23" x14ac:dyDescent="0.25">
      <c r="A1066" s="2">
        <v>370</v>
      </c>
      <c r="B1066" s="3" t="s">
        <v>1547</v>
      </c>
      <c r="C1066" s="3">
        <v>2024</v>
      </c>
      <c r="D1066" s="3" t="s">
        <v>1740</v>
      </c>
      <c r="E1066" s="3" t="s">
        <v>15</v>
      </c>
      <c r="F1066" s="1" t="s">
        <v>7834</v>
      </c>
      <c r="G1066" s="10"/>
      <c r="H1066" s="10"/>
      <c r="I1066" s="10"/>
      <c r="J1066" s="10"/>
      <c r="K1066" s="10"/>
      <c r="L1066" s="3" t="s">
        <v>1741</v>
      </c>
      <c r="M1066" s="3" t="s">
        <v>1742</v>
      </c>
      <c r="N1066" s="3" t="s">
        <v>1743</v>
      </c>
      <c r="O1066" s="3"/>
      <c r="P1066" s="3"/>
      <c r="Q1066" s="3"/>
      <c r="R1066" s="3" t="s">
        <v>1744</v>
      </c>
      <c r="S1066" s="3" t="s">
        <v>1745</v>
      </c>
      <c r="T1066" s="3" t="s">
        <v>21</v>
      </c>
      <c r="U1066" s="11">
        <v>151</v>
      </c>
      <c r="V1066" s="3" t="s">
        <v>1547</v>
      </c>
      <c r="W1066" s="8" t="s">
        <v>7834</v>
      </c>
    </row>
    <row r="1067" spans="1:23" x14ac:dyDescent="0.25">
      <c r="A1067" s="2">
        <v>372</v>
      </c>
      <c r="B1067" s="3" t="s">
        <v>1547</v>
      </c>
      <c r="C1067" s="3">
        <v>2024</v>
      </c>
      <c r="D1067" s="3" t="s">
        <v>1751</v>
      </c>
      <c r="E1067" s="3" t="s">
        <v>15</v>
      </c>
      <c r="F1067" s="1" t="s">
        <v>7834</v>
      </c>
      <c r="G1067" s="10"/>
      <c r="H1067" s="10"/>
      <c r="I1067" s="10"/>
      <c r="J1067" s="10"/>
      <c r="K1067" s="10"/>
      <c r="L1067" s="3" t="s">
        <v>1752</v>
      </c>
      <c r="M1067" s="3" t="s">
        <v>1753</v>
      </c>
      <c r="N1067" s="3" t="s">
        <v>1754</v>
      </c>
      <c r="O1067" s="3">
        <v>222</v>
      </c>
      <c r="P1067" s="3"/>
      <c r="Q1067" s="3"/>
      <c r="R1067" s="3" t="s">
        <v>1755</v>
      </c>
      <c r="S1067" s="3" t="s">
        <v>1756</v>
      </c>
      <c r="T1067" s="3" t="s">
        <v>21</v>
      </c>
      <c r="U1067" s="11">
        <v>152</v>
      </c>
      <c r="V1067" s="3" t="s">
        <v>1547</v>
      </c>
      <c r="W1067" s="8" t="s">
        <v>7834</v>
      </c>
    </row>
    <row r="1068" spans="1:23" x14ac:dyDescent="0.25">
      <c r="A1068" s="2">
        <v>373</v>
      </c>
      <c r="B1068" s="3" t="s">
        <v>1547</v>
      </c>
      <c r="C1068" s="3">
        <v>2024</v>
      </c>
      <c r="D1068" s="3" t="s">
        <v>1757</v>
      </c>
      <c r="E1068" s="3" t="s">
        <v>15</v>
      </c>
      <c r="F1068" s="1" t="s">
        <v>7834</v>
      </c>
      <c r="G1068" s="10"/>
      <c r="H1068" s="10"/>
      <c r="I1068" s="10"/>
      <c r="J1068" s="10"/>
      <c r="K1068" s="10"/>
      <c r="L1068" s="3" t="s">
        <v>1758</v>
      </c>
      <c r="M1068" s="3" t="s">
        <v>1759</v>
      </c>
      <c r="N1068" s="3" t="s">
        <v>874</v>
      </c>
      <c r="O1068" s="3">
        <v>14</v>
      </c>
      <c r="P1068" s="3">
        <v>2070</v>
      </c>
      <c r="Q1068" s="3"/>
      <c r="R1068" s="3" t="s">
        <v>1760</v>
      </c>
      <c r="S1068" s="3" t="s">
        <v>1761</v>
      </c>
      <c r="T1068" s="3" t="s">
        <v>21</v>
      </c>
      <c r="U1068" s="11">
        <v>153</v>
      </c>
      <c r="V1068" s="3" t="s">
        <v>1547</v>
      </c>
      <c r="W1068" s="8" t="s">
        <v>7834</v>
      </c>
    </row>
    <row r="1069" spans="1:23" x14ac:dyDescent="0.25">
      <c r="A1069" s="2">
        <v>375</v>
      </c>
      <c r="B1069" s="3" t="s">
        <v>1547</v>
      </c>
      <c r="C1069" s="3">
        <v>2024</v>
      </c>
      <c r="D1069" s="3" t="s">
        <v>573</v>
      </c>
      <c r="E1069" s="3" t="s">
        <v>15</v>
      </c>
      <c r="F1069" s="1" t="s">
        <v>7834</v>
      </c>
      <c r="G1069" s="10"/>
      <c r="H1069" s="10"/>
      <c r="I1069" s="10"/>
      <c r="J1069" s="10"/>
      <c r="K1069" s="10"/>
      <c r="L1069" s="3" t="s">
        <v>1767</v>
      </c>
      <c r="M1069" s="3" t="s">
        <v>1768</v>
      </c>
      <c r="N1069" s="3" t="s">
        <v>1769</v>
      </c>
      <c r="O1069" s="3">
        <v>60</v>
      </c>
      <c r="P1069" s="3"/>
      <c r="Q1069" s="3"/>
      <c r="R1069" s="3" t="s">
        <v>1770</v>
      </c>
      <c r="S1069" s="3" t="s">
        <v>1771</v>
      </c>
      <c r="T1069" s="3" t="s">
        <v>21</v>
      </c>
      <c r="U1069" s="11">
        <v>154</v>
      </c>
      <c r="V1069" s="3" t="s">
        <v>1547</v>
      </c>
      <c r="W1069" s="8" t="s">
        <v>7834</v>
      </c>
    </row>
    <row r="1070" spans="1:23" x14ac:dyDescent="0.25">
      <c r="A1070" s="2">
        <v>378</v>
      </c>
      <c r="B1070" s="3" t="s">
        <v>1547</v>
      </c>
      <c r="C1070" s="3">
        <v>2024</v>
      </c>
      <c r="D1070" s="3" t="s">
        <v>568</v>
      </c>
      <c r="E1070" s="3" t="s">
        <v>15</v>
      </c>
      <c r="F1070" s="1" t="s">
        <v>7834</v>
      </c>
      <c r="G1070" s="10"/>
      <c r="H1070" s="10"/>
      <c r="I1070" s="10"/>
      <c r="J1070" s="10"/>
      <c r="K1070" s="10"/>
      <c r="L1070" s="3" t="s">
        <v>1782</v>
      </c>
      <c r="M1070" s="3" t="s">
        <v>1783</v>
      </c>
      <c r="N1070" s="3" t="s">
        <v>1672</v>
      </c>
      <c r="O1070" s="3">
        <v>459</v>
      </c>
      <c r="P1070" s="3"/>
      <c r="Q1070" s="3"/>
      <c r="R1070" s="3" t="s">
        <v>1673</v>
      </c>
      <c r="S1070" s="3" t="s">
        <v>1784</v>
      </c>
      <c r="T1070" s="3" t="s">
        <v>21</v>
      </c>
      <c r="U1070" s="11">
        <v>155</v>
      </c>
      <c r="V1070" s="3" t="s">
        <v>1547</v>
      </c>
      <c r="W1070" s="8" t="s">
        <v>7834</v>
      </c>
    </row>
    <row r="1071" spans="1:23" x14ac:dyDescent="0.25">
      <c r="A1071" s="2">
        <v>379</v>
      </c>
      <c r="B1071" s="3" t="s">
        <v>1547</v>
      </c>
      <c r="C1071" s="3">
        <v>2024</v>
      </c>
      <c r="D1071" s="3" t="s">
        <v>240</v>
      </c>
      <c r="E1071" s="3" t="s">
        <v>15</v>
      </c>
      <c r="F1071" s="1" t="s">
        <v>7834</v>
      </c>
      <c r="G1071" s="10"/>
      <c r="H1071" s="10"/>
      <c r="I1071" s="10"/>
      <c r="J1071" s="10"/>
      <c r="K1071" s="10"/>
      <c r="L1071" s="3" t="s">
        <v>1785</v>
      </c>
      <c r="M1071" s="3" t="s">
        <v>1786</v>
      </c>
      <c r="N1071" s="3" t="s">
        <v>1672</v>
      </c>
      <c r="O1071" s="3">
        <v>460</v>
      </c>
      <c r="P1071" s="3"/>
      <c r="Q1071" s="3"/>
      <c r="R1071" s="3" t="s">
        <v>1673</v>
      </c>
      <c r="S1071" s="3" t="s">
        <v>1787</v>
      </c>
      <c r="T1071" s="3" t="s">
        <v>21</v>
      </c>
      <c r="U1071" s="11">
        <v>156</v>
      </c>
      <c r="V1071" s="3" t="s">
        <v>1547</v>
      </c>
      <c r="W1071" s="8" t="s">
        <v>7834</v>
      </c>
    </row>
    <row r="1072" spans="1:23" x14ac:dyDescent="0.25">
      <c r="A1072" s="2">
        <v>381</v>
      </c>
      <c r="B1072" s="3" t="s">
        <v>1547</v>
      </c>
      <c r="C1072" s="3">
        <v>2024</v>
      </c>
      <c r="D1072" s="3" t="s">
        <v>1793</v>
      </c>
      <c r="E1072" s="3" t="s">
        <v>15</v>
      </c>
      <c r="F1072" s="1" t="s">
        <v>7834</v>
      </c>
      <c r="G1072" s="10"/>
      <c r="H1072" s="10"/>
      <c r="I1072" s="10"/>
      <c r="J1072" s="10"/>
      <c r="K1072" s="10"/>
      <c r="L1072" s="3" t="s">
        <v>1794</v>
      </c>
      <c r="M1072" s="3" t="s">
        <v>1795</v>
      </c>
      <c r="N1072" s="3" t="s">
        <v>1796</v>
      </c>
      <c r="O1072" s="3">
        <v>18</v>
      </c>
      <c r="P1072" s="3">
        <v>1</v>
      </c>
      <c r="Q1072" s="3"/>
      <c r="R1072" s="3" t="s">
        <v>1797</v>
      </c>
      <c r="S1072" s="3" t="s">
        <v>1798</v>
      </c>
      <c r="T1072" s="3" t="s">
        <v>21</v>
      </c>
      <c r="U1072" s="11">
        <v>157</v>
      </c>
      <c r="V1072" s="3" t="s">
        <v>1547</v>
      </c>
      <c r="W1072" s="8" t="s">
        <v>7834</v>
      </c>
    </row>
    <row r="1073" spans="1:23" x14ac:dyDescent="0.25">
      <c r="A1073" s="2">
        <v>383</v>
      </c>
      <c r="B1073" s="3" t="s">
        <v>1547</v>
      </c>
      <c r="C1073" s="3">
        <v>2024</v>
      </c>
      <c r="D1073" s="3" t="s">
        <v>1132</v>
      </c>
      <c r="E1073" s="3" t="s">
        <v>15</v>
      </c>
      <c r="F1073" s="1" t="s">
        <v>7834</v>
      </c>
      <c r="G1073" s="10"/>
      <c r="H1073" s="10"/>
      <c r="I1073" s="10"/>
      <c r="J1073" s="10"/>
      <c r="K1073" s="10"/>
      <c r="L1073" s="3" t="s">
        <v>1805</v>
      </c>
      <c r="M1073" s="3" t="s">
        <v>1806</v>
      </c>
      <c r="N1073" s="3" t="s">
        <v>1807</v>
      </c>
      <c r="O1073" s="3">
        <v>377</v>
      </c>
      <c r="P1073" s="3">
        <v>12</v>
      </c>
      <c r="Q1073" s="3"/>
      <c r="R1073" s="3" t="s">
        <v>1808</v>
      </c>
      <c r="S1073" s="3" t="s">
        <v>1809</v>
      </c>
      <c r="T1073" s="3" t="s">
        <v>21</v>
      </c>
      <c r="U1073" s="11">
        <v>158</v>
      </c>
      <c r="V1073" s="3" t="s">
        <v>1547</v>
      </c>
      <c r="W1073" s="8" t="s">
        <v>7834</v>
      </c>
    </row>
    <row r="1074" spans="1:23" x14ac:dyDescent="0.25">
      <c r="A1074" s="2">
        <v>384</v>
      </c>
      <c r="B1074" s="3" t="s">
        <v>1547</v>
      </c>
      <c r="C1074" s="3">
        <v>2024</v>
      </c>
      <c r="D1074" s="3" t="s">
        <v>1810</v>
      </c>
      <c r="E1074" s="3" t="s">
        <v>15</v>
      </c>
      <c r="F1074" s="1" t="s">
        <v>7834</v>
      </c>
      <c r="G1074" s="10"/>
      <c r="H1074" s="10"/>
      <c r="I1074" s="10"/>
      <c r="J1074" s="10"/>
      <c r="K1074" s="10"/>
      <c r="L1074" s="3" t="s">
        <v>1811</v>
      </c>
      <c r="M1074" s="3" t="s">
        <v>1812</v>
      </c>
      <c r="N1074" s="3" t="s">
        <v>1813</v>
      </c>
      <c r="O1074" s="3">
        <v>370</v>
      </c>
      <c r="P1074" s="3"/>
      <c r="Q1074" s="3"/>
      <c r="R1074" s="3" t="s">
        <v>1814</v>
      </c>
      <c r="S1074" s="3" t="s">
        <v>1815</v>
      </c>
      <c r="T1074" s="3" t="s">
        <v>21</v>
      </c>
      <c r="U1074" s="11">
        <v>159</v>
      </c>
      <c r="V1074" s="3" t="s">
        <v>1547</v>
      </c>
      <c r="W1074" s="8" t="s">
        <v>7834</v>
      </c>
    </row>
    <row r="1075" spans="1:23" x14ac:dyDescent="0.25">
      <c r="A1075" s="2">
        <v>386</v>
      </c>
      <c r="B1075" s="3" t="s">
        <v>1547</v>
      </c>
      <c r="C1075" s="3">
        <v>2024</v>
      </c>
      <c r="D1075" s="3" t="s">
        <v>748</v>
      </c>
      <c r="E1075" s="3" t="s">
        <v>15</v>
      </c>
      <c r="F1075" s="1" t="s">
        <v>7834</v>
      </c>
      <c r="G1075" s="10"/>
      <c r="H1075" s="10"/>
      <c r="I1075" s="10"/>
      <c r="J1075" s="10"/>
      <c r="K1075" s="10"/>
      <c r="L1075" s="3" t="s">
        <v>1819</v>
      </c>
      <c r="M1075" s="3" t="s">
        <v>1820</v>
      </c>
      <c r="N1075" s="3" t="s">
        <v>1726</v>
      </c>
      <c r="O1075" s="3"/>
      <c r="P1075" s="3"/>
      <c r="Q1075" s="3"/>
      <c r="R1075" s="3" t="s">
        <v>359</v>
      </c>
      <c r="S1075" s="3" t="s">
        <v>1821</v>
      </c>
      <c r="T1075" s="3" t="s">
        <v>21</v>
      </c>
      <c r="U1075" s="11">
        <v>160</v>
      </c>
      <c r="V1075" s="3" t="s">
        <v>1547</v>
      </c>
      <c r="W1075" s="8" t="s">
        <v>7834</v>
      </c>
    </row>
    <row r="1076" spans="1:23" x14ac:dyDescent="0.25">
      <c r="A1076" s="2">
        <v>387</v>
      </c>
      <c r="B1076" s="3" t="s">
        <v>1547</v>
      </c>
      <c r="C1076" s="3">
        <v>2024</v>
      </c>
      <c r="D1076" s="3" t="s">
        <v>1052</v>
      </c>
      <c r="E1076" s="3" t="s">
        <v>15</v>
      </c>
      <c r="F1076" s="1" t="s">
        <v>7834</v>
      </c>
      <c r="G1076" s="10"/>
      <c r="H1076" s="10"/>
      <c r="I1076" s="10"/>
      <c r="J1076" s="10"/>
      <c r="K1076" s="10"/>
      <c r="L1076" s="3" t="s">
        <v>1822</v>
      </c>
      <c r="M1076" s="3" t="s">
        <v>1823</v>
      </c>
      <c r="N1076" s="3" t="s">
        <v>1824</v>
      </c>
      <c r="O1076" s="3">
        <v>10</v>
      </c>
      <c r="P1076" s="3">
        <v>7</v>
      </c>
      <c r="Q1076" s="3"/>
      <c r="R1076" s="3" t="s">
        <v>1825</v>
      </c>
      <c r="S1076" s="3" t="s">
        <v>1826</v>
      </c>
      <c r="T1076" s="3" t="s">
        <v>21</v>
      </c>
      <c r="U1076" s="11">
        <v>161</v>
      </c>
      <c r="V1076" s="3" t="s">
        <v>1547</v>
      </c>
      <c r="W1076" s="8" t="s">
        <v>7834</v>
      </c>
    </row>
    <row r="1077" spans="1:23" x14ac:dyDescent="0.25">
      <c r="A1077" s="2">
        <v>388</v>
      </c>
      <c r="B1077" s="3" t="s">
        <v>1547</v>
      </c>
      <c r="C1077" s="3">
        <v>2024</v>
      </c>
      <c r="D1077" s="3" t="s">
        <v>100</v>
      </c>
      <c r="E1077" s="3" t="s">
        <v>15</v>
      </c>
      <c r="F1077" s="1" t="s">
        <v>7834</v>
      </c>
      <c r="G1077" s="10"/>
      <c r="H1077" s="10"/>
      <c r="I1077" s="10"/>
      <c r="J1077" s="10"/>
      <c r="K1077" s="10"/>
      <c r="L1077" s="3" t="s">
        <v>1827</v>
      </c>
      <c r="M1077" s="3" t="s">
        <v>1828</v>
      </c>
      <c r="N1077" s="3" t="s">
        <v>1829</v>
      </c>
      <c r="O1077" s="3">
        <v>358</v>
      </c>
      <c r="P1077" s="3"/>
      <c r="Q1077" s="3"/>
      <c r="R1077" s="3" t="s">
        <v>1830</v>
      </c>
      <c r="S1077" s="3" t="s">
        <v>1831</v>
      </c>
      <c r="T1077" s="3" t="s">
        <v>21</v>
      </c>
      <c r="U1077" s="11">
        <v>162</v>
      </c>
      <c r="V1077" s="3" t="s">
        <v>1547</v>
      </c>
      <c r="W1077" s="8" t="s">
        <v>7834</v>
      </c>
    </row>
    <row r="1078" spans="1:23" x14ac:dyDescent="0.25">
      <c r="A1078" s="2">
        <v>391</v>
      </c>
      <c r="B1078" s="3" t="s">
        <v>1547</v>
      </c>
      <c r="C1078" s="3">
        <v>2024</v>
      </c>
      <c r="D1078" s="3" t="s">
        <v>140</v>
      </c>
      <c r="E1078" s="3" t="s">
        <v>15</v>
      </c>
      <c r="F1078" s="1" t="s">
        <v>7834</v>
      </c>
      <c r="G1078" s="10"/>
      <c r="H1078" s="10"/>
      <c r="I1078" s="10"/>
      <c r="J1078" s="10"/>
      <c r="K1078" s="10"/>
      <c r="L1078" s="3" t="s">
        <v>1843</v>
      </c>
      <c r="M1078" s="3" t="s">
        <v>1844</v>
      </c>
      <c r="N1078" s="3" t="s">
        <v>1845</v>
      </c>
      <c r="O1078" s="3">
        <v>218</v>
      </c>
      <c r="P1078" s="3"/>
      <c r="Q1078" s="3"/>
      <c r="R1078" s="3" t="s">
        <v>1846</v>
      </c>
      <c r="S1078" s="3" t="s">
        <v>1847</v>
      </c>
      <c r="T1078" s="3" t="s">
        <v>21</v>
      </c>
      <c r="U1078" s="11">
        <v>163</v>
      </c>
      <c r="V1078" s="3" t="s">
        <v>1547</v>
      </c>
      <c r="W1078" s="8" t="s">
        <v>7834</v>
      </c>
    </row>
    <row r="1079" spans="1:23" x14ac:dyDescent="0.25">
      <c r="A1079" s="2">
        <v>392</v>
      </c>
      <c r="B1079" s="3" t="s">
        <v>1547</v>
      </c>
      <c r="C1079" s="3">
        <v>2024</v>
      </c>
      <c r="D1079" s="3" t="s">
        <v>1381</v>
      </c>
      <c r="E1079" s="3" t="s">
        <v>15</v>
      </c>
      <c r="F1079" s="1" t="s">
        <v>7834</v>
      </c>
      <c r="G1079" s="10"/>
      <c r="H1079" s="10"/>
      <c r="I1079" s="10"/>
      <c r="J1079" s="10"/>
      <c r="K1079" s="10"/>
      <c r="L1079" s="3" t="s">
        <v>1848</v>
      </c>
      <c r="M1079" s="3" t="s">
        <v>1849</v>
      </c>
      <c r="N1079" s="3" t="s">
        <v>1850</v>
      </c>
      <c r="O1079" s="3">
        <v>57</v>
      </c>
      <c r="P1079" s="3">
        <v>63</v>
      </c>
      <c r="Q1079" s="3"/>
      <c r="R1079" s="3" t="s">
        <v>1851</v>
      </c>
      <c r="S1079" s="3" t="s">
        <v>1852</v>
      </c>
      <c r="T1079" s="3" t="s">
        <v>21</v>
      </c>
      <c r="U1079" s="11">
        <v>164</v>
      </c>
      <c r="V1079" s="3" t="s">
        <v>1547</v>
      </c>
      <c r="W1079" s="8" t="s">
        <v>7834</v>
      </c>
    </row>
    <row r="1080" spans="1:23" x14ac:dyDescent="0.25">
      <c r="A1080" s="2">
        <v>393</v>
      </c>
      <c r="B1080" s="3" t="s">
        <v>1547</v>
      </c>
      <c r="C1080" s="3">
        <v>2024</v>
      </c>
      <c r="D1080" s="3" t="s">
        <v>93</v>
      </c>
      <c r="E1080" s="3" t="s">
        <v>15</v>
      </c>
      <c r="F1080" s="1" t="s">
        <v>7834</v>
      </c>
      <c r="G1080" s="10"/>
      <c r="H1080" s="10"/>
      <c r="I1080" s="10"/>
      <c r="J1080" s="10"/>
      <c r="K1080" s="10"/>
      <c r="L1080" s="3" t="s">
        <v>1853</v>
      </c>
      <c r="M1080" s="3" t="s">
        <v>1854</v>
      </c>
      <c r="N1080" s="3" t="s">
        <v>1855</v>
      </c>
      <c r="O1080" s="3">
        <v>47</v>
      </c>
      <c r="P1080" s="3">
        <v>11</v>
      </c>
      <c r="Q1080" s="3"/>
      <c r="R1080" s="3" t="s">
        <v>1856</v>
      </c>
      <c r="S1080" s="3" t="s">
        <v>1857</v>
      </c>
      <c r="T1080" s="3" t="s">
        <v>21</v>
      </c>
      <c r="U1080" s="11">
        <v>165</v>
      </c>
      <c r="V1080" s="3" t="s">
        <v>1547</v>
      </c>
      <c r="W1080" s="8" t="s">
        <v>7834</v>
      </c>
    </row>
    <row r="1081" spans="1:23" x14ac:dyDescent="0.25">
      <c r="A1081" s="2">
        <v>394</v>
      </c>
      <c r="B1081" s="3" t="s">
        <v>1547</v>
      </c>
      <c r="C1081" s="3">
        <v>2024</v>
      </c>
      <c r="D1081" s="3" t="s">
        <v>75</v>
      </c>
      <c r="E1081" s="3" t="s">
        <v>15</v>
      </c>
      <c r="F1081" s="1" t="s">
        <v>7834</v>
      </c>
      <c r="G1081" s="10"/>
      <c r="H1081" s="10"/>
      <c r="I1081" s="10"/>
      <c r="J1081" s="10"/>
      <c r="K1081" s="10"/>
      <c r="L1081" s="3" t="s">
        <v>1858</v>
      </c>
      <c r="M1081" s="3" t="s">
        <v>1859</v>
      </c>
      <c r="N1081" s="3" t="s">
        <v>1860</v>
      </c>
      <c r="O1081" s="3">
        <v>81</v>
      </c>
      <c r="P1081" s="3"/>
      <c r="Q1081" s="3"/>
      <c r="R1081" s="3" t="s">
        <v>1861</v>
      </c>
      <c r="S1081" s="3" t="s">
        <v>1862</v>
      </c>
      <c r="T1081" s="3" t="s">
        <v>21</v>
      </c>
      <c r="U1081" s="11">
        <v>166</v>
      </c>
      <c r="V1081" s="3" t="s">
        <v>1547</v>
      </c>
      <c r="W1081" s="8" t="s">
        <v>7834</v>
      </c>
    </row>
    <row r="1082" spans="1:23" x14ac:dyDescent="0.25">
      <c r="A1082" s="2">
        <v>395</v>
      </c>
      <c r="B1082" s="3" t="s">
        <v>1547</v>
      </c>
      <c r="C1082" s="3">
        <v>2024</v>
      </c>
      <c r="D1082" s="3" t="s">
        <v>1863</v>
      </c>
      <c r="E1082" s="3" t="s">
        <v>15</v>
      </c>
      <c r="F1082" s="1" t="s">
        <v>7834</v>
      </c>
      <c r="G1082" s="10"/>
      <c r="H1082" s="10"/>
      <c r="I1082" s="10"/>
      <c r="J1082" s="10"/>
      <c r="K1082" s="10"/>
      <c r="L1082" s="3" t="s">
        <v>1101</v>
      </c>
      <c r="M1082" s="3" t="s">
        <v>1864</v>
      </c>
      <c r="N1082" s="3" t="s">
        <v>1865</v>
      </c>
      <c r="O1082" s="3">
        <v>291</v>
      </c>
      <c r="P1082" s="3">
        <v>2025</v>
      </c>
      <c r="Q1082" s="3"/>
      <c r="R1082" s="3" t="s">
        <v>1866</v>
      </c>
      <c r="S1082" s="3" t="s">
        <v>1105</v>
      </c>
      <c r="T1082" s="3" t="s">
        <v>21</v>
      </c>
      <c r="U1082" s="11">
        <v>167</v>
      </c>
      <c r="V1082" s="3" t="s">
        <v>1547</v>
      </c>
      <c r="W1082" s="8" t="s">
        <v>7834</v>
      </c>
    </row>
    <row r="1083" spans="1:23" x14ac:dyDescent="0.25">
      <c r="A1083" s="2">
        <v>396</v>
      </c>
      <c r="B1083" s="3" t="s">
        <v>1547</v>
      </c>
      <c r="C1083" s="3">
        <v>2024</v>
      </c>
      <c r="D1083" s="3" t="s">
        <v>788</v>
      </c>
      <c r="E1083" s="3" t="s">
        <v>15</v>
      </c>
      <c r="F1083" s="1" t="s">
        <v>7834</v>
      </c>
      <c r="G1083" s="10"/>
      <c r="H1083" s="10"/>
      <c r="I1083" s="10"/>
      <c r="J1083" s="10"/>
      <c r="K1083" s="10"/>
      <c r="L1083" s="3" t="s">
        <v>1867</v>
      </c>
      <c r="M1083" s="3" t="s">
        <v>1868</v>
      </c>
      <c r="N1083" s="3" t="s">
        <v>1869</v>
      </c>
      <c r="O1083" s="3">
        <v>15</v>
      </c>
      <c r="P1083" s="3">
        <v>7</v>
      </c>
      <c r="Q1083" s="3"/>
      <c r="R1083" s="3" t="s">
        <v>1870</v>
      </c>
      <c r="S1083" s="3" t="s">
        <v>1871</v>
      </c>
      <c r="T1083" s="3" t="s">
        <v>21</v>
      </c>
      <c r="U1083" s="11">
        <v>168</v>
      </c>
      <c r="V1083" s="3" t="s">
        <v>1547</v>
      </c>
      <c r="W1083" s="8" t="s">
        <v>7834</v>
      </c>
    </row>
    <row r="1084" spans="1:23" x14ac:dyDescent="0.25">
      <c r="A1084" s="2">
        <v>398</v>
      </c>
      <c r="B1084" s="3" t="s">
        <v>1547</v>
      </c>
      <c r="C1084" s="3">
        <v>2024</v>
      </c>
      <c r="D1084" s="3" t="s">
        <v>59</v>
      </c>
      <c r="E1084" s="3" t="s">
        <v>15</v>
      </c>
      <c r="F1084" s="1" t="s">
        <v>7834</v>
      </c>
      <c r="G1084" s="10"/>
      <c r="H1084" s="10"/>
      <c r="I1084" s="10"/>
      <c r="J1084" s="10"/>
      <c r="K1084" s="10"/>
      <c r="L1084" s="3" t="s">
        <v>1876</v>
      </c>
      <c r="M1084" s="3" t="s">
        <v>1877</v>
      </c>
      <c r="N1084" s="3" t="s">
        <v>1878</v>
      </c>
      <c r="O1084" s="3">
        <v>32</v>
      </c>
      <c r="P1084" s="3"/>
      <c r="Q1084" s="3"/>
      <c r="R1084" s="3" t="s">
        <v>1879</v>
      </c>
      <c r="S1084" s="3" t="s">
        <v>1880</v>
      </c>
      <c r="T1084" s="3" t="s">
        <v>21</v>
      </c>
      <c r="U1084" s="11">
        <v>169</v>
      </c>
      <c r="V1084" s="3" t="s">
        <v>1547</v>
      </c>
      <c r="W1084" s="8" t="s">
        <v>7834</v>
      </c>
    </row>
    <row r="1085" spans="1:23" x14ac:dyDescent="0.25">
      <c r="A1085" s="2">
        <v>401</v>
      </c>
      <c r="B1085" s="3" t="s">
        <v>1547</v>
      </c>
      <c r="C1085" s="3">
        <v>2024</v>
      </c>
      <c r="D1085" s="3" t="s">
        <v>1889</v>
      </c>
      <c r="E1085" s="3" t="s">
        <v>15</v>
      </c>
      <c r="F1085" s="1" t="s">
        <v>7834</v>
      </c>
      <c r="G1085" s="10"/>
      <c r="H1085" s="10"/>
      <c r="I1085" s="10"/>
      <c r="J1085" s="10"/>
      <c r="K1085" s="10"/>
      <c r="L1085" s="3" t="s">
        <v>1890</v>
      </c>
      <c r="M1085" s="3" t="s">
        <v>1891</v>
      </c>
      <c r="N1085" s="3" t="s">
        <v>1892</v>
      </c>
      <c r="O1085" s="3">
        <v>913</v>
      </c>
      <c r="P1085" s="3"/>
      <c r="Q1085" s="3"/>
      <c r="R1085" s="3" t="s">
        <v>375</v>
      </c>
      <c r="S1085" s="3" t="s">
        <v>1893</v>
      </c>
      <c r="T1085" s="3" t="s">
        <v>21</v>
      </c>
      <c r="U1085" s="11">
        <v>170</v>
      </c>
      <c r="V1085" s="3" t="s">
        <v>1547</v>
      </c>
      <c r="W1085" s="8" t="s">
        <v>7834</v>
      </c>
    </row>
    <row r="1086" spans="1:23" x14ac:dyDescent="0.25">
      <c r="A1086" s="2">
        <v>403</v>
      </c>
      <c r="B1086" s="3" t="s">
        <v>1547</v>
      </c>
      <c r="C1086" s="3">
        <v>2024</v>
      </c>
      <c r="D1086" s="3" t="s">
        <v>1283</v>
      </c>
      <c r="E1086" s="3" t="s">
        <v>15</v>
      </c>
      <c r="F1086" s="1" t="s">
        <v>7834</v>
      </c>
      <c r="G1086" s="10">
        <v>68</v>
      </c>
      <c r="H1086" s="10"/>
      <c r="I1086" s="10"/>
      <c r="J1086" s="10"/>
      <c r="K1086" s="10"/>
      <c r="L1086" s="3" t="s">
        <v>1899</v>
      </c>
      <c r="M1086" s="3" t="s">
        <v>1900</v>
      </c>
      <c r="N1086" s="3" t="s">
        <v>1901</v>
      </c>
      <c r="O1086" s="3">
        <v>14</v>
      </c>
      <c r="P1086" s="3"/>
      <c r="Q1086" s="3"/>
      <c r="R1086" s="3" t="s">
        <v>1902</v>
      </c>
      <c r="S1086" s="3" t="s">
        <v>1903</v>
      </c>
      <c r="T1086" s="3" t="s">
        <v>21</v>
      </c>
      <c r="U1086" s="11">
        <v>171</v>
      </c>
      <c r="V1086" s="3" t="s">
        <v>1547</v>
      </c>
      <c r="W1086" s="8" t="s">
        <v>7834</v>
      </c>
    </row>
    <row r="1087" spans="1:23" x14ac:dyDescent="0.25">
      <c r="A1087" s="2">
        <v>382</v>
      </c>
      <c r="B1087" s="3" t="s">
        <v>1547</v>
      </c>
      <c r="C1087" s="3">
        <v>2024</v>
      </c>
      <c r="D1087" s="3" t="s">
        <v>1799</v>
      </c>
      <c r="E1087" s="3" t="s">
        <v>206</v>
      </c>
      <c r="F1087" s="1" t="s">
        <v>7834</v>
      </c>
      <c r="G1087" s="10"/>
      <c r="H1087" s="10"/>
      <c r="I1087" s="10"/>
      <c r="J1087" s="10"/>
      <c r="K1087" s="10">
        <v>3</v>
      </c>
      <c r="L1087" s="3" t="s">
        <v>1800</v>
      </c>
      <c r="M1087" s="3" t="s">
        <v>1801</v>
      </c>
      <c r="N1087" s="3" t="s">
        <v>1802</v>
      </c>
      <c r="O1087" s="3">
        <v>4</v>
      </c>
      <c r="P1087" s="3">
        <v>2</v>
      </c>
      <c r="Q1087" s="3"/>
      <c r="R1087" s="3" t="s">
        <v>1803</v>
      </c>
      <c r="S1087" s="3" t="s">
        <v>1804</v>
      </c>
      <c r="T1087" s="3" t="s">
        <v>21</v>
      </c>
      <c r="U1087" s="11">
        <v>172</v>
      </c>
      <c r="V1087" s="3" t="s">
        <v>1547</v>
      </c>
      <c r="W1087" s="8" t="s">
        <v>7834</v>
      </c>
    </row>
    <row r="1088" spans="1:23" x14ac:dyDescent="0.25">
      <c r="A1088" s="2">
        <v>404</v>
      </c>
      <c r="B1088" s="3" t="s">
        <v>1904</v>
      </c>
      <c r="C1088" s="3">
        <v>2024</v>
      </c>
      <c r="D1088" s="3" t="s">
        <v>796</v>
      </c>
      <c r="E1088" s="3" t="s">
        <v>15</v>
      </c>
      <c r="F1088" s="1" t="s">
        <v>7834</v>
      </c>
      <c r="G1088" s="10"/>
      <c r="H1088" s="10"/>
      <c r="I1088" s="10"/>
      <c r="J1088" s="10"/>
      <c r="K1088" s="10"/>
      <c r="L1088" s="3" t="s">
        <v>1905</v>
      </c>
      <c r="M1088" s="3" t="s">
        <v>1906</v>
      </c>
      <c r="N1088" s="3" t="s">
        <v>41</v>
      </c>
      <c r="O1088" s="3">
        <v>962</v>
      </c>
      <c r="P1088" s="3">
        <v>1</v>
      </c>
      <c r="Q1088" s="3">
        <v>36</v>
      </c>
      <c r="R1088" s="3" t="s">
        <v>42</v>
      </c>
      <c r="S1088" s="3" t="s">
        <v>1907</v>
      </c>
      <c r="T1088" s="3" t="s">
        <v>21</v>
      </c>
      <c r="U1088" s="11">
        <v>173</v>
      </c>
      <c r="V1088" s="3" t="s">
        <v>1904</v>
      </c>
      <c r="W1088" s="8" t="s">
        <v>7834</v>
      </c>
    </row>
    <row r="1089" spans="1:23" x14ac:dyDescent="0.25">
      <c r="A1089" s="2">
        <v>405</v>
      </c>
      <c r="B1089" s="3" t="s">
        <v>1904</v>
      </c>
      <c r="C1089" s="3">
        <v>2024</v>
      </c>
      <c r="D1089" s="3" t="s">
        <v>14</v>
      </c>
      <c r="E1089" s="3" t="s">
        <v>15</v>
      </c>
      <c r="F1089" s="1" t="s">
        <v>7834</v>
      </c>
      <c r="G1089" s="10"/>
      <c r="H1089" s="10"/>
      <c r="I1089" s="10"/>
      <c r="J1089" s="10"/>
      <c r="K1089" s="10"/>
      <c r="L1089" s="3" t="s">
        <v>1908</v>
      </c>
      <c r="M1089" s="3" t="s">
        <v>1909</v>
      </c>
      <c r="N1089" s="3" t="s">
        <v>41</v>
      </c>
      <c r="O1089" s="3">
        <v>960</v>
      </c>
      <c r="P1089" s="3">
        <v>2</v>
      </c>
      <c r="Q1089" s="3">
        <v>122</v>
      </c>
      <c r="R1089" s="3" t="s">
        <v>42</v>
      </c>
      <c r="S1089" s="3" t="s">
        <v>1910</v>
      </c>
      <c r="T1089" s="3" t="s">
        <v>21</v>
      </c>
      <c r="U1089" s="11">
        <v>174</v>
      </c>
      <c r="V1089" s="3" t="s">
        <v>1904</v>
      </c>
      <c r="W1089" s="8" t="s">
        <v>7834</v>
      </c>
    </row>
    <row r="1090" spans="1:23" x14ac:dyDescent="0.25">
      <c r="A1090" s="2">
        <v>406</v>
      </c>
      <c r="B1090" s="3" t="s">
        <v>1904</v>
      </c>
      <c r="C1090" s="3">
        <v>2024</v>
      </c>
      <c r="D1090" s="3" t="s">
        <v>1838</v>
      </c>
      <c r="E1090" s="3" t="s">
        <v>15</v>
      </c>
      <c r="F1090" s="1" t="s">
        <v>7834</v>
      </c>
      <c r="G1090" s="10"/>
      <c r="H1090" s="10"/>
      <c r="I1090" s="10"/>
      <c r="J1090" s="10"/>
      <c r="K1090" s="10"/>
      <c r="L1090" s="3" t="s">
        <v>1911</v>
      </c>
      <c r="M1090" s="3" t="s">
        <v>1912</v>
      </c>
      <c r="N1090" s="3" t="s">
        <v>41</v>
      </c>
      <c r="O1090" s="3">
        <v>961</v>
      </c>
      <c r="P1090" s="3">
        <v>1</v>
      </c>
      <c r="Q1090" s="3">
        <v>55</v>
      </c>
      <c r="R1090" s="3" t="s">
        <v>42</v>
      </c>
      <c r="S1090" s="3" t="s">
        <v>1913</v>
      </c>
      <c r="T1090" s="3" t="s">
        <v>21</v>
      </c>
      <c r="U1090" s="11">
        <v>175</v>
      </c>
      <c r="V1090" s="3" t="s">
        <v>1904</v>
      </c>
      <c r="W1090" s="8" t="s">
        <v>7834</v>
      </c>
    </row>
    <row r="1091" spans="1:23" x14ac:dyDescent="0.25">
      <c r="A1091" s="2">
        <v>407</v>
      </c>
      <c r="B1091" s="3" t="s">
        <v>1904</v>
      </c>
      <c r="C1091" s="3">
        <v>2024</v>
      </c>
      <c r="D1091" s="3" t="s">
        <v>1142</v>
      </c>
      <c r="E1091" s="3" t="s">
        <v>15</v>
      </c>
      <c r="F1091" s="1" t="s">
        <v>7834</v>
      </c>
      <c r="G1091" s="10"/>
      <c r="H1091" s="10"/>
      <c r="I1091" s="10"/>
      <c r="J1091" s="10"/>
      <c r="K1091" s="10"/>
      <c r="L1091" s="3" t="s">
        <v>1914</v>
      </c>
      <c r="M1091" s="3" t="s">
        <v>1915</v>
      </c>
      <c r="N1091" s="3" t="s">
        <v>41</v>
      </c>
      <c r="O1091" s="3">
        <v>961</v>
      </c>
      <c r="P1091" s="3">
        <v>1</v>
      </c>
      <c r="Q1091" s="3">
        <v>71</v>
      </c>
      <c r="R1091" s="3" t="s">
        <v>42</v>
      </c>
      <c r="S1091" s="3" t="s">
        <v>1916</v>
      </c>
      <c r="T1091" s="3" t="s">
        <v>21</v>
      </c>
      <c r="U1091" s="11">
        <v>176</v>
      </c>
      <c r="V1091" s="3" t="s">
        <v>1904</v>
      </c>
      <c r="W1091" s="8" t="s">
        <v>7834</v>
      </c>
    </row>
    <row r="1092" spans="1:23" x14ac:dyDescent="0.25">
      <c r="A1092" s="2">
        <v>408</v>
      </c>
      <c r="B1092" s="3" t="s">
        <v>1904</v>
      </c>
      <c r="C1092" s="3">
        <v>2024</v>
      </c>
      <c r="D1092" s="3" t="s">
        <v>844</v>
      </c>
      <c r="E1092" s="3" t="s">
        <v>15</v>
      </c>
      <c r="F1092" s="1" t="s">
        <v>7834</v>
      </c>
      <c r="G1092" s="10"/>
      <c r="H1092" s="10"/>
      <c r="I1092" s="10"/>
      <c r="J1092" s="10"/>
      <c r="K1092" s="10"/>
      <c r="L1092" s="3" t="s">
        <v>1917</v>
      </c>
      <c r="M1092" s="3" t="s">
        <v>1918</v>
      </c>
      <c r="N1092" s="3" t="s">
        <v>28</v>
      </c>
      <c r="O1092" s="3">
        <v>682</v>
      </c>
      <c r="P1092" s="3" t="s">
        <v>1919</v>
      </c>
      <c r="Q1092" s="3"/>
      <c r="R1092" s="3" t="s">
        <v>170</v>
      </c>
      <c r="S1092" s="3" t="s">
        <v>1920</v>
      </c>
      <c r="T1092" s="3" t="s">
        <v>21</v>
      </c>
      <c r="U1092" s="11">
        <v>177</v>
      </c>
      <c r="V1092" s="3" t="s">
        <v>1904</v>
      </c>
      <c r="W1092" s="8" t="s">
        <v>7834</v>
      </c>
    </row>
    <row r="1093" spans="1:23" x14ac:dyDescent="0.25">
      <c r="A1093" s="2">
        <v>409</v>
      </c>
      <c r="B1093" s="3" t="s">
        <v>1904</v>
      </c>
      <c r="C1093" s="3">
        <v>2024</v>
      </c>
      <c r="D1093" s="3" t="s">
        <v>14</v>
      </c>
      <c r="E1093" s="3" t="s">
        <v>15</v>
      </c>
      <c r="F1093" s="1" t="s">
        <v>7834</v>
      </c>
      <c r="G1093" s="10"/>
      <c r="H1093" s="10"/>
      <c r="I1093" s="10"/>
      <c r="J1093" s="10"/>
      <c r="K1093" s="10"/>
      <c r="L1093" s="3" t="s">
        <v>1921</v>
      </c>
      <c r="M1093" s="3" t="s">
        <v>1922</v>
      </c>
      <c r="N1093" s="3" t="s">
        <v>41</v>
      </c>
      <c r="O1093" s="3">
        <v>960</v>
      </c>
      <c r="P1093" s="3">
        <v>1</v>
      </c>
      <c r="Q1093" s="3">
        <v>89</v>
      </c>
      <c r="R1093" s="3" t="s">
        <v>42</v>
      </c>
      <c r="S1093" s="3" t="s">
        <v>1923</v>
      </c>
      <c r="T1093" s="3" t="s">
        <v>21</v>
      </c>
      <c r="U1093" s="11">
        <v>178</v>
      </c>
      <c r="V1093" s="3" t="s">
        <v>1904</v>
      </c>
      <c r="W1093" s="8" t="s">
        <v>7834</v>
      </c>
    </row>
    <row r="1094" spans="1:23" x14ac:dyDescent="0.25">
      <c r="A1094" s="2">
        <v>411</v>
      </c>
      <c r="B1094" s="3" t="s">
        <v>1904</v>
      </c>
      <c r="C1094" s="3">
        <v>2024</v>
      </c>
      <c r="D1094" s="3" t="s">
        <v>1929</v>
      </c>
      <c r="E1094" s="3" t="s">
        <v>15</v>
      </c>
      <c r="F1094" s="1" t="s">
        <v>7834</v>
      </c>
      <c r="G1094" s="10"/>
      <c r="H1094" s="10"/>
      <c r="I1094" s="10"/>
      <c r="J1094" s="10"/>
      <c r="K1094" s="10"/>
      <c r="L1094" s="3" t="s">
        <v>1930</v>
      </c>
      <c r="M1094" s="3" t="s">
        <v>1931</v>
      </c>
      <c r="N1094" s="3" t="s">
        <v>28</v>
      </c>
      <c r="O1094" s="3">
        <v>681</v>
      </c>
      <c r="P1094" s="3" t="s">
        <v>1932</v>
      </c>
      <c r="Q1094" s="3"/>
      <c r="R1094" s="3" t="s">
        <v>170</v>
      </c>
      <c r="S1094" s="3" t="s">
        <v>1933</v>
      </c>
      <c r="T1094" s="3" t="s">
        <v>21</v>
      </c>
      <c r="U1094" s="11">
        <v>179</v>
      </c>
      <c r="V1094" s="3" t="s">
        <v>1904</v>
      </c>
      <c r="W1094" s="8" t="s">
        <v>7834</v>
      </c>
    </row>
    <row r="1095" spans="1:23" x14ac:dyDescent="0.25">
      <c r="A1095" s="2">
        <v>412</v>
      </c>
      <c r="B1095" s="3" t="s">
        <v>1904</v>
      </c>
      <c r="C1095" s="3">
        <v>2024</v>
      </c>
      <c r="D1095" s="3" t="s">
        <v>14</v>
      </c>
      <c r="E1095" s="3" t="s">
        <v>15</v>
      </c>
      <c r="F1095" s="1" t="s">
        <v>7834</v>
      </c>
      <c r="G1095" s="10"/>
      <c r="H1095" s="10"/>
      <c r="I1095" s="10"/>
      <c r="J1095" s="10"/>
      <c r="K1095" s="10"/>
      <c r="L1095" s="3" t="s">
        <v>1934</v>
      </c>
      <c r="M1095" s="3" t="s">
        <v>1935</v>
      </c>
      <c r="N1095" s="3" t="s">
        <v>41</v>
      </c>
      <c r="O1095" s="3">
        <v>960</v>
      </c>
      <c r="P1095" s="3">
        <v>1</v>
      </c>
      <c r="Q1095" s="3">
        <v>29</v>
      </c>
      <c r="R1095" s="3" t="s">
        <v>42</v>
      </c>
      <c r="S1095" s="3" t="s">
        <v>1936</v>
      </c>
      <c r="T1095" s="3" t="s">
        <v>21</v>
      </c>
      <c r="U1095" s="11">
        <v>180</v>
      </c>
      <c r="V1095" s="3" t="s">
        <v>1904</v>
      </c>
      <c r="W1095" s="8" t="s">
        <v>7834</v>
      </c>
    </row>
    <row r="1096" spans="1:23" x14ac:dyDescent="0.25">
      <c r="A1096" s="2">
        <v>413</v>
      </c>
      <c r="B1096" s="3" t="s">
        <v>1904</v>
      </c>
      <c r="C1096" s="3">
        <v>2024</v>
      </c>
      <c r="D1096" s="3" t="s">
        <v>22</v>
      </c>
      <c r="E1096" s="3" t="s">
        <v>15</v>
      </c>
      <c r="F1096" s="1" t="s">
        <v>7834</v>
      </c>
      <c r="G1096" s="10"/>
      <c r="H1096" s="10"/>
      <c r="I1096" s="10"/>
      <c r="J1096" s="10"/>
      <c r="K1096" s="10"/>
      <c r="L1096" s="3" t="s">
        <v>1937</v>
      </c>
      <c r="M1096" s="3" t="s">
        <v>1938</v>
      </c>
      <c r="N1096" s="3" t="s">
        <v>18</v>
      </c>
      <c r="O1096" s="3">
        <v>527</v>
      </c>
      <c r="P1096" s="3">
        <v>4</v>
      </c>
      <c r="Q1096" s="3">
        <v>10737</v>
      </c>
      <c r="R1096" s="3" t="s">
        <v>159</v>
      </c>
      <c r="S1096" s="3" t="s">
        <v>1939</v>
      </c>
      <c r="T1096" s="3" t="s">
        <v>21</v>
      </c>
      <c r="U1096" s="11">
        <v>181</v>
      </c>
      <c r="V1096" s="3" t="s">
        <v>1904</v>
      </c>
      <c r="W1096" s="8" t="s">
        <v>7834</v>
      </c>
    </row>
    <row r="1097" spans="1:23" x14ac:dyDescent="0.25">
      <c r="A1097" s="2">
        <v>414</v>
      </c>
      <c r="B1097" s="3" t="s">
        <v>1904</v>
      </c>
      <c r="C1097" s="3">
        <v>2024</v>
      </c>
      <c r="D1097" s="3" t="s">
        <v>1940</v>
      </c>
      <c r="E1097" s="3" t="s">
        <v>15</v>
      </c>
      <c r="F1097" s="1" t="s">
        <v>7834</v>
      </c>
      <c r="G1097" s="10"/>
      <c r="H1097" s="10"/>
      <c r="I1097" s="10"/>
      <c r="J1097" s="10"/>
      <c r="K1097" s="10"/>
      <c r="L1097" s="3" t="s">
        <v>1941</v>
      </c>
      <c r="M1097" s="3" t="s">
        <v>1942</v>
      </c>
      <c r="N1097" s="3" t="s">
        <v>28</v>
      </c>
      <c r="O1097" s="3">
        <v>682</v>
      </c>
      <c r="P1097" s="3" t="s">
        <v>1943</v>
      </c>
      <c r="Q1097" s="3"/>
      <c r="R1097" s="3" t="s">
        <v>170</v>
      </c>
      <c r="S1097" s="3" t="s">
        <v>1944</v>
      </c>
      <c r="T1097" s="3" t="s">
        <v>21</v>
      </c>
      <c r="U1097" s="11">
        <v>182</v>
      </c>
      <c r="V1097" s="3" t="s">
        <v>1904</v>
      </c>
      <c r="W1097" s="8" t="s">
        <v>7834</v>
      </c>
    </row>
    <row r="1098" spans="1:23" x14ac:dyDescent="0.25">
      <c r="A1098" s="2">
        <v>415</v>
      </c>
      <c r="B1098" s="3" t="s">
        <v>1904</v>
      </c>
      <c r="C1098" s="3">
        <v>2024</v>
      </c>
      <c r="D1098" s="3" t="s">
        <v>1945</v>
      </c>
      <c r="E1098" s="3" t="s">
        <v>15</v>
      </c>
      <c r="F1098" s="1" t="s">
        <v>7834</v>
      </c>
      <c r="G1098" s="10"/>
      <c r="H1098" s="10"/>
      <c r="I1098" s="10"/>
      <c r="J1098" s="10"/>
      <c r="K1098" s="10"/>
      <c r="L1098" s="3" t="s">
        <v>1946</v>
      </c>
      <c r="M1098" s="3" t="s">
        <v>1947</v>
      </c>
      <c r="N1098" s="3" t="s">
        <v>41</v>
      </c>
      <c r="O1098" s="3">
        <v>962</v>
      </c>
      <c r="P1098" s="3">
        <v>2</v>
      </c>
      <c r="Q1098" s="3">
        <v>154</v>
      </c>
      <c r="R1098" s="3" t="s">
        <v>42</v>
      </c>
      <c r="S1098" s="3" t="s">
        <v>1948</v>
      </c>
      <c r="T1098" s="3" t="s">
        <v>21</v>
      </c>
      <c r="U1098" s="11">
        <v>183</v>
      </c>
      <c r="V1098" s="3" t="s">
        <v>1904</v>
      </c>
      <c r="W1098" s="8" t="s">
        <v>7834</v>
      </c>
    </row>
    <row r="1099" spans="1:23" x14ac:dyDescent="0.25">
      <c r="A1099" s="2">
        <v>416</v>
      </c>
      <c r="B1099" s="3" t="s">
        <v>1904</v>
      </c>
      <c r="C1099" s="3">
        <v>2024</v>
      </c>
      <c r="D1099" s="3" t="s">
        <v>14</v>
      </c>
      <c r="E1099" s="3" t="s">
        <v>15</v>
      </c>
      <c r="F1099" s="1" t="s">
        <v>7834</v>
      </c>
      <c r="G1099" s="10"/>
      <c r="H1099" s="10"/>
      <c r="I1099" s="10"/>
      <c r="J1099" s="10"/>
      <c r="K1099" s="10"/>
      <c r="L1099" s="3" t="s">
        <v>1949</v>
      </c>
      <c r="M1099" s="3" t="s">
        <v>1950</v>
      </c>
      <c r="N1099" s="3" t="s">
        <v>41</v>
      </c>
      <c r="O1099" s="3">
        <v>960</v>
      </c>
      <c r="P1099" s="3">
        <v>1</v>
      </c>
      <c r="Q1099" s="3">
        <v>88</v>
      </c>
      <c r="R1099" s="3" t="s">
        <v>42</v>
      </c>
      <c r="S1099" s="3" t="s">
        <v>1951</v>
      </c>
      <c r="T1099" s="3" t="s">
        <v>21</v>
      </c>
      <c r="U1099" s="11">
        <v>184</v>
      </c>
      <c r="V1099" s="3" t="s">
        <v>1904</v>
      </c>
      <c r="W1099" s="8" t="s">
        <v>7834</v>
      </c>
    </row>
    <row r="1100" spans="1:23" x14ac:dyDescent="0.25">
      <c r="A1100" s="2">
        <v>417</v>
      </c>
      <c r="B1100" s="3" t="s">
        <v>1904</v>
      </c>
      <c r="C1100" s="3">
        <v>2024</v>
      </c>
      <c r="D1100" s="3" t="s">
        <v>22</v>
      </c>
      <c r="E1100" s="3" t="s">
        <v>15</v>
      </c>
      <c r="F1100" s="1" t="s">
        <v>7834</v>
      </c>
      <c r="G1100" s="10"/>
      <c r="H1100" s="10"/>
      <c r="I1100" s="10"/>
      <c r="J1100" s="10"/>
      <c r="K1100" s="10"/>
      <c r="L1100" s="3" t="s">
        <v>1952</v>
      </c>
      <c r="M1100" s="3" t="s">
        <v>1953</v>
      </c>
      <c r="N1100" s="3" t="s">
        <v>18</v>
      </c>
      <c r="O1100" s="3">
        <v>527</v>
      </c>
      <c r="P1100" s="3">
        <v>4</v>
      </c>
      <c r="Q1100" s="3">
        <v>11970</v>
      </c>
      <c r="R1100" s="3" t="s">
        <v>159</v>
      </c>
      <c r="S1100" s="3" t="s">
        <v>1954</v>
      </c>
      <c r="T1100" s="3" t="s">
        <v>21</v>
      </c>
      <c r="U1100" s="11">
        <v>185</v>
      </c>
      <c r="V1100" s="3" t="s">
        <v>1904</v>
      </c>
      <c r="W1100" s="8" t="s">
        <v>7834</v>
      </c>
    </row>
    <row r="1101" spans="1:23" x14ac:dyDescent="0.25">
      <c r="A1101" s="2">
        <v>419</v>
      </c>
      <c r="B1101" s="3" t="s">
        <v>1904</v>
      </c>
      <c r="C1101" s="3">
        <v>2024</v>
      </c>
      <c r="D1101" s="3" t="s">
        <v>1960</v>
      </c>
      <c r="E1101" s="3" t="s">
        <v>15</v>
      </c>
      <c r="F1101" s="1" t="s">
        <v>7834</v>
      </c>
      <c r="G1101" s="10"/>
      <c r="H1101" s="10"/>
      <c r="I1101" s="10"/>
      <c r="J1101" s="10"/>
      <c r="K1101" s="10"/>
      <c r="L1101" s="3" t="s">
        <v>1961</v>
      </c>
      <c r="M1101" s="3" t="s">
        <v>1962</v>
      </c>
      <c r="N1101" s="3" t="s">
        <v>28</v>
      </c>
      <c r="O1101" s="3">
        <v>683</v>
      </c>
      <c r="P1101" s="3" t="s">
        <v>1963</v>
      </c>
      <c r="Q1101" s="3"/>
      <c r="R1101" s="3" t="s">
        <v>170</v>
      </c>
      <c r="S1101" s="3" t="s">
        <v>1964</v>
      </c>
      <c r="T1101" s="3" t="s">
        <v>21</v>
      </c>
      <c r="U1101" s="11">
        <v>186</v>
      </c>
      <c r="V1101" s="3" t="s">
        <v>1904</v>
      </c>
      <c r="W1101" s="8" t="s">
        <v>7834</v>
      </c>
    </row>
    <row r="1102" spans="1:23" x14ac:dyDescent="0.25">
      <c r="A1102" s="2">
        <v>420</v>
      </c>
      <c r="B1102" s="3" t="s">
        <v>1904</v>
      </c>
      <c r="C1102" s="3">
        <v>2024</v>
      </c>
      <c r="D1102" s="3" t="s">
        <v>1965</v>
      </c>
      <c r="E1102" s="3" t="s">
        <v>15</v>
      </c>
      <c r="F1102" s="1" t="s">
        <v>7834</v>
      </c>
      <c r="G1102" s="10"/>
      <c r="H1102" s="10"/>
      <c r="I1102" s="10"/>
      <c r="J1102" s="10"/>
      <c r="K1102" s="10"/>
      <c r="L1102" s="3" t="s">
        <v>1966</v>
      </c>
      <c r="M1102" s="3" t="s">
        <v>1967</v>
      </c>
      <c r="N1102" s="3" t="s">
        <v>28</v>
      </c>
      <c r="O1102" s="3">
        <v>683</v>
      </c>
      <c r="P1102" s="3" t="s">
        <v>1968</v>
      </c>
      <c r="Q1102" s="3"/>
      <c r="R1102" s="3" t="s">
        <v>170</v>
      </c>
      <c r="S1102" s="3" t="s">
        <v>1969</v>
      </c>
      <c r="T1102" s="3" t="s">
        <v>21</v>
      </c>
      <c r="U1102" s="11">
        <v>187</v>
      </c>
      <c r="V1102" s="3" t="s">
        <v>1904</v>
      </c>
      <c r="W1102" s="8" t="s">
        <v>7834</v>
      </c>
    </row>
    <row r="1103" spans="1:23" x14ac:dyDescent="0.25">
      <c r="A1103" s="2">
        <v>421</v>
      </c>
      <c r="B1103" s="3" t="s">
        <v>1904</v>
      </c>
      <c r="C1103" s="3">
        <v>2024</v>
      </c>
      <c r="D1103" s="3" t="s">
        <v>800</v>
      </c>
      <c r="E1103" s="3" t="s">
        <v>15</v>
      </c>
      <c r="F1103" s="1" t="s">
        <v>7834</v>
      </c>
      <c r="G1103" s="10"/>
      <c r="H1103" s="10"/>
      <c r="I1103" s="10"/>
      <c r="J1103" s="10"/>
      <c r="K1103" s="10"/>
      <c r="L1103" s="3" t="s">
        <v>1970</v>
      </c>
      <c r="M1103" s="3" t="s">
        <v>1971</v>
      </c>
      <c r="N1103" s="3" t="s">
        <v>18</v>
      </c>
      <c r="O1103" s="3">
        <v>528</v>
      </c>
      <c r="P1103" s="3">
        <v>2</v>
      </c>
      <c r="Q1103" s="3">
        <v>1789</v>
      </c>
      <c r="R1103" s="3" t="s">
        <v>159</v>
      </c>
      <c r="S1103" s="3" t="s">
        <v>1972</v>
      </c>
      <c r="T1103" s="3" t="s">
        <v>21</v>
      </c>
      <c r="U1103" s="11">
        <v>188</v>
      </c>
      <c r="V1103" s="3" t="s">
        <v>1904</v>
      </c>
      <c r="W1103" s="8" t="s">
        <v>7834</v>
      </c>
    </row>
    <row r="1104" spans="1:23" x14ac:dyDescent="0.25">
      <c r="A1104" s="2">
        <v>422</v>
      </c>
      <c r="B1104" s="3" t="s">
        <v>1904</v>
      </c>
      <c r="C1104" s="3">
        <v>2024</v>
      </c>
      <c r="D1104" s="3" t="s">
        <v>1973</v>
      </c>
      <c r="E1104" s="3" t="s">
        <v>15</v>
      </c>
      <c r="F1104" s="1" t="s">
        <v>7834</v>
      </c>
      <c r="G1104" s="10"/>
      <c r="H1104" s="10"/>
      <c r="I1104" s="10"/>
      <c r="J1104" s="10"/>
      <c r="K1104" s="10"/>
      <c r="L1104" s="3" t="s">
        <v>1974</v>
      </c>
      <c r="M1104" s="3" t="s">
        <v>1975</v>
      </c>
      <c r="N1104" s="3" t="s">
        <v>18</v>
      </c>
      <c r="O1104" s="3">
        <v>528</v>
      </c>
      <c r="P1104" s="3">
        <v>2</v>
      </c>
      <c r="Q1104" s="3">
        <v>2299</v>
      </c>
      <c r="R1104" s="3" t="s">
        <v>159</v>
      </c>
      <c r="S1104" s="3" t="s">
        <v>1976</v>
      </c>
      <c r="T1104" s="3" t="s">
        <v>21</v>
      </c>
      <c r="U1104" s="11">
        <v>189</v>
      </c>
      <c r="V1104" s="3" t="s">
        <v>1904</v>
      </c>
      <c r="W1104" s="8" t="s">
        <v>7834</v>
      </c>
    </row>
    <row r="1105" spans="1:23" x14ac:dyDescent="0.25">
      <c r="A1105" s="2">
        <v>423</v>
      </c>
      <c r="B1105" s="3" t="s">
        <v>1904</v>
      </c>
      <c r="C1105" s="3">
        <v>2024</v>
      </c>
      <c r="D1105" s="3" t="s">
        <v>1151</v>
      </c>
      <c r="E1105" s="3" t="s">
        <v>15</v>
      </c>
      <c r="F1105" s="1" t="s">
        <v>7834</v>
      </c>
      <c r="G1105" s="10"/>
      <c r="H1105" s="10"/>
      <c r="I1105" s="10"/>
      <c r="J1105" s="10"/>
      <c r="K1105" s="10"/>
      <c r="L1105" s="3" t="s">
        <v>1977</v>
      </c>
      <c r="M1105" s="3" t="s">
        <v>1978</v>
      </c>
      <c r="N1105" s="3" t="s">
        <v>1979</v>
      </c>
      <c r="O1105" s="3">
        <v>220</v>
      </c>
      <c r="P1105" s="3">
        <v>1</v>
      </c>
      <c r="Q1105" s="3">
        <v>14</v>
      </c>
      <c r="R1105" s="3" t="s">
        <v>1980</v>
      </c>
      <c r="S1105" s="3" t="s">
        <v>1981</v>
      </c>
      <c r="T1105" s="3" t="s">
        <v>21</v>
      </c>
      <c r="U1105" s="11">
        <v>190</v>
      </c>
      <c r="V1105" s="3" t="s">
        <v>1904</v>
      </c>
      <c r="W1105" s="8" t="s">
        <v>7834</v>
      </c>
    </row>
    <row r="1106" spans="1:23" x14ac:dyDescent="0.25">
      <c r="A1106" s="2">
        <v>424</v>
      </c>
      <c r="B1106" s="3" t="s">
        <v>1904</v>
      </c>
      <c r="C1106" s="3">
        <v>2024</v>
      </c>
      <c r="D1106" s="3" t="s">
        <v>1982</v>
      </c>
      <c r="E1106" s="3" t="s">
        <v>15</v>
      </c>
      <c r="F1106" s="1" t="s">
        <v>7834</v>
      </c>
      <c r="G1106" s="10"/>
      <c r="H1106" s="10"/>
      <c r="I1106" s="10"/>
      <c r="J1106" s="10"/>
      <c r="K1106" s="10"/>
      <c r="L1106" s="3" t="s">
        <v>1983</v>
      </c>
      <c r="M1106" s="3" t="s">
        <v>1984</v>
      </c>
      <c r="N1106" s="3" t="s">
        <v>1985</v>
      </c>
      <c r="O1106" s="3">
        <v>683</v>
      </c>
      <c r="P1106" s="3" t="s">
        <v>1986</v>
      </c>
      <c r="Q1106" s="3"/>
      <c r="R1106" s="3" t="s">
        <v>170</v>
      </c>
      <c r="S1106" s="3" t="s">
        <v>1987</v>
      </c>
      <c r="T1106" s="3" t="s">
        <v>21</v>
      </c>
      <c r="U1106" s="11">
        <v>191</v>
      </c>
      <c r="V1106" s="3" t="s">
        <v>1904</v>
      </c>
      <c r="W1106" s="8" t="s">
        <v>7834</v>
      </c>
    </row>
    <row r="1107" spans="1:23" x14ac:dyDescent="0.25">
      <c r="A1107" s="2">
        <v>425</v>
      </c>
      <c r="B1107" s="3" t="s">
        <v>1904</v>
      </c>
      <c r="C1107" s="3">
        <v>2024</v>
      </c>
      <c r="D1107" s="3" t="s">
        <v>1669</v>
      </c>
      <c r="E1107" s="3" t="s">
        <v>15</v>
      </c>
      <c r="F1107" s="1" t="s">
        <v>7834</v>
      </c>
      <c r="G1107" s="10"/>
      <c r="H1107" s="10"/>
      <c r="I1107" s="10"/>
      <c r="J1107" s="10"/>
      <c r="K1107" s="10"/>
      <c r="L1107" s="3" t="s">
        <v>1988</v>
      </c>
      <c r="M1107" s="3" t="s">
        <v>1989</v>
      </c>
      <c r="N1107" s="3" t="s">
        <v>28</v>
      </c>
      <c r="O1107" s="3">
        <v>683</v>
      </c>
      <c r="P1107" s="3" t="s">
        <v>1990</v>
      </c>
      <c r="Q1107" s="3"/>
      <c r="R1107" s="3" t="s">
        <v>170</v>
      </c>
      <c r="S1107" s="3" t="s">
        <v>1991</v>
      </c>
      <c r="T1107" s="3" t="s">
        <v>21</v>
      </c>
      <c r="U1107" s="11">
        <v>192</v>
      </c>
      <c r="V1107" s="3" t="s">
        <v>1904</v>
      </c>
      <c r="W1107" s="8" t="s">
        <v>7834</v>
      </c>
    </row>
    <row r="1108" spans="1:23" x14ac:dyDescent="0.25">
      <c r="A1108" s="2">
        <v>426</v>
      </c>
      <c r="B1108" s="3" t="s">
        <v>1904</v>
      </c>
      <c r="C1108" s="3">
        <v>2024</v>
      </c>
      <c r="D1108" s="3" t="s">
        <v>1507</v>
      </c>
      <c r="E1108" s="3" t="s">
        <v>15</v>
      </c>
      <c r="F1108" s="1" t="s">
        <v>7834</v>
      </c>
      <c r="G1108" s="10"/>
      <c r="H1108" s="10"/>
      <c r="I1108" s="10"/>
      <c r="J1108" s="10"/>
      <c r="K1108" s="10"/>
      <c r="L1108" s="3" t="s">
        <v>1992</v>
      </c>
      <c r="M1108" s="3" t="s">
        <v>1993</v>
      </c>
      <c r="N1108" s="3" t="s">
        <v>28</v>
      </c>
      <c r="O1108" s="3">
        <v>683</v>
      </c>
      <c r="P1108" s="3" t="s">
        <v>209</v>
      </c>
      <c r="Q1108" s="3"/>
      <c r="R1108" s="3" t="s">
        <v>170</v>
      </c>
      <c r="S1108" s="3" t="s">
        <v>1994</v>
      </c>
      <c r="T1108" s="3" t="s">
        <v>21</v>
      </c>
      <c r="U1108" s="11">
        <v>193</v>
      </c>
      <c r="V1108" s="3" t="s">
        <v>1904</v>
      </c>
      <c r="W1108" s="8" t="s">
        <v>7834</v>
      </c>
    </row>
    <row r="1109" spans="1:23" x14ac:dyDescent="0.25">
      <c r="A1109" s="2">
        <v>427</v>
      </c>
      <c r="B1109" s="3" t="s">
        <v>1904</v>
      </c>
      <c r="C1109" s="3">
        <v>2024</v>
      </c>
      <c r="D1109" s="3" t="s">
        <v>63</v>
      </c>
      <c r="E1109" s="3" t="s">
        <v>15</v>
      </c>
      <c r="F1109" s="1" t="s">
        <v>7834</v>
      </c>
      <c r="G1109" s="10"/>
      <c r="H1109" s="10"/>
      <c r="I1109" s="10"/>
      <c r="J1109" s="10"/>
      <c r="K1109" s="10"/>
      <c r="L1109" s="3" t="s">
        <v>1995</v>
      </c>
      <c r="M1109" s="3" t="s">
        <v>1996</v>
      </c>
      <c r="N1109" s="3" t="s">
        <v>18</v>
      </c>
      <c r="O1109" s="3">
        <v>528</v>
      </c>
      <c r="P1109" s="3">
        <v>4</v>
      </c>
      <c r="Q1109" s="3">
        <v>5495</v>
      </c>
      <c r="R1109" s="3" t="s">
        <v>159</v>
      </c>
      <c r="S1109" s="3" t="s">
        <v>1997</v>
      </c>
      <c r="T1109" s="3" t="s">
        <v>21</v>
      </c>
      <c r="U1109" s="11">
        <v>194</v>
      </c>
      <c r="V1109" s="3" t="s">
        <v>1904</v>
      </c>
      <c r="W1109" s="8" t="s">
        <v>7834</v>
      </c>
    </row>
    <row r="1110" spans="1:23" x14ac:dyDescent="0.25">
      <c r="A1110" s="2">
        <v>428</v>
      </c>
      <c r="B1110" s="3" t="s">
        <v>1904</v>
      </c>
      <c r="C1110" s="3">
        <v>2024</v>
      </c>
      <c r="D1110" s="3" t="s">
        <v>800</v>
      </c>
      <c r="E1110" s="3" t="s">
        <v>15</v>
      </c>
      <c r="F1110" s="1" t="s">
        <v>7834</v>
      </c>
      <c r="G1110" s="10"/>
      <c r="H1110" s="10"/>
      <c r="I1110" s="10"/>
      <c r="J1110" s="10"/>
      <c r="K1110" s="10"/>
      <c r="L1110" s="3" t="s">
        <v>1998</v>
      </c>
      <c r="M1110" s="3" t="s">
        <v>1999</v>
      </c>
      <c r="N1110" s="3" t="s">
        <v>18</v>
      </c>
      <c r="O1110" s="3">
        <v>528</v>
      </c>
      <c r="P1110" s="3">
        <v>2</v>
      </c>
      <c r="Q1110" s="3">
        <v>1769</v>
      </c>
      <c r="R1110" s="3" t="s">
        <v>159</v>
      </c>
      <c r="S1110" s="3" t="s">
        <v>2000</v>
      </c>
      <c r="T1110" s="3" t="s">
        <v>21</v>
      </c>
      <c r="U1110" s="11">
        <v>195</v>
      </c>
      <c r="V1110" s="3" t="s">
        <v>1904</v>
      </c>
      <c r="W1110" s="8" t="s">
        <v>7834</v>
      </c>
    </row>
    <row r="1111" spans="1:23" x14ac:dyDescent="0.25">
      <c r="A1111" s="2">
        <v>429</v>
      </c>
      <c r="B1111" s="3" t="s">
        <v>1904</v>
      </c>
      <c r="C1111" s="3">
        <v>2024</v>
      </c>
      <c r="D1111" s="3" t="s">
        <v>22</v>
      </c>
      <c r="E1111" s="3" t="s">
        <v>15</v>
      </c>
      <c r="F1111" s="1" t="s">
        <v>7834</v>
      </c>
      <c r="G1111" s="10"/>
      <c r="H1111" s="10"/>
      <c r="I1111" s="10"/>
      <c r="J1111" s="10"/>
      <c r="K1111" s="10"/>
      <c r="L1111" s="3" t="s">
        <v>2001</v>
      </c>
      <c r="M1111" s="3" t="s">
        <v>2002</v>
      </c>
      <c r="N1111" s="3" t="s">
        <v>18</v>
      </c>
      <c r="O1111" s="3">
        <v>527</v>
      </c>
      <c r="P1111" s="3">
        <v>4</v>
      </c>
      <c r="Q1111" s="3">
        <v>11823</v>
      </c>
      <c r="R1111" s="3" t="s">
        <v>159</v>
      </c>
      <c r="S1111" s="3" t="s">
        <v>2003</v>
      </c>
      <c r="T1111" s="3" t="s">
        <v>21</v>
      </c>
      <c r="U1111" s="11">
        <v>196</v>
      </c>
      <c r="V1111" s="3" t="s">
        <v>1904</v>
      </c>
      <c r="W1111" s="8" t="s">
        <v>7834</v>
      </c>
    </row>
    <row r="1112" spans="1:23" x14ac:dyDescent="0.25">
      <c r="A1112" s="2">
        <v>430</v>
      </c>
      <c r="B1112" s="3" t="s">
        <v>1904</v>
      </c>
      <c r="C1112" s="3">
        <v>2024</v>
      </c>
      <c r="D1112" s="3" t="s">
        <v>2004</v>
      </c>
      <c r="E1112" s="3" t="s">
        <v>15</v>
      </c>
      <c r="F1112" s="1" t="s">
        <v>7834</v>
      </c>
      <c r="G1112" s="10"/>
      <c r="H1112" s="10"/>
      <c r="I1112" s="10"/>
      <c r="J1112" s="10"/>
      <c r="K1112" s="10"/>
      <c r="L1112" s="3" t="s">
        <v>2005</v>
      </c>
      <c r="M1112" s="3" t="s">
        <v>2006</v>
      </c>
      <c r="N1112" s="3" t="s">
        <v>28</v>
      </c>
      <c r="O1112" s="3">
        <v>683</v>
      </c>
      <c r="P1112" s="3" t="s">
        <v>2007</v>
      </c>
      <c r="Q1112" s="3"/>
      <c r="R1112" s="3" t="s">
        <v>170</v>
      </c>
      <c r="S1112" s="3" t="s">
        <v>2008</v>
      </c>
      <c r="T1112" s="3" t="s">
        <v>21</v>
      </c>
      <c r="U1112" s="11">
        <v>197</v>
      </c>
      <c r="V1112" s="3" t="s">
        <v>1904</v>
      </c>
      <c r="W1112" s="8" t="s">
        <v>7834</v>
      </c>
    </row>
    <row r="1113" spans="1:23" x14ac:dyDescent="0.25">
      <c r="A1113" s="2">
        <v>431</v>
      </c>
      <c r="B1113" s="3" t="s">
        <v>1904</v>
      </c>
      <c r="C1113" s="3">
        <v>2024</v>
      </c>
      <c r="D1113" s="3" t="s">
        <v>1497</v>
      </c>
      <c r="E1113" s="3" t="s">
        <v>15</v>
      </c>
      <c r="F1113" s="1" t="s">
        <v>7834</v>
      </c>
      <c r="G1113" s="10"/>
      <c r="H1113" s="10"/>
      <c r="I1113" s="10"/>
      <c r="J1113" s="10"/>
      <c r="K1113" s="10"/>
      <c r="L1113" s="3" t="s">
        <v>2009</v>
      </c>
      <c r="M1113" s="3" t="s">
        <v>2010</v>
      </c>
      <c r="N1113" s="3" t="s">
        <v>28</v>
      </c>
      <c r="O1113" s="3">
        <v>683</v>
      </c>
      <c r="P1113" s="3" t="s">
        <v>2011</v>
      </c>
      <c r="Q1113" s="3"/>
      <c r="R1113" s="3" t="s">
        <v>170</v>
      </c>
      <c r="S1113" s="3" t="s">
        <v>2012</v>
      </c>
      <c r="T1113" s="3" t="s">
        <v>21</v>
      </c>
      <c r="U1113" s="11">
        <v>198</v>
      </c>
      <c r="V1113" s="3" t="s">
        <v>1904</v>
      </c>
      <c r="W1113" s="8" t="s">
        <v>7834</v>
      </c>
    </row>
    <row r="1114" spans="1:23" x14ac:dyDescent="0.25">
      <c r="A1114" s="2">
        <v>432</v>
      </c>
      <c r="B1114" s="3" t="s">
        <v>1904</v>
      </c>
      <c r="C1114" s="3">
        <v>2024</v>
      </c>
      <c r="D1114" s="3" t="s">
        <v>1982</v>
      </c>
      <c r="E1114" s="3" t="s">
        <v>15</v>
      </c>
      <c r="F1114" s="1" t="s">
        <v>7834</v>
      </c>
      <c r="G1114" s="10"/>
      <c r="H1114" s="10"/>
      <c r="I1114" s="10"/>
      <c r="J1114" s="10"/>
      <c r="K1114" s="10"/>
      <c r="L1114" s="3" t="s">
        <v>2013</v>
      </c>
      <c r="M1114" s="3" t="s">
        <v>2014</v>
      </c>
      <c r="N1114" s="3" t="s">
        <v>41</v>
      </c>
      <c r="O1114" s="3">
        <v>963</v>
      </c>
      <c r="P1114" s="3">
        <v>2</v>
      </c>
      <c r="Q1114" s="3">
        <v>125</v>
      </c>
      <c r="R1114" s="3" t="s">
        <v>42</v>
      </c>
      <c r="S1114" s="3" t="s">
        <v>2015</v>
      </c>
      <c r="T1114" s="3" t="s">
        <v>21</v>
      </c>
      <c r="U1114" s="11">
        <v>199</v>
      </c>
      <c r="V1114" s="3" t="s">
        <v>1904</v>
      </c>
      <c r="W1114" s="8" t="s">
        <v>7834</v>
      </c>
    </row>
    <row r="1115" spans="1:23" x14ac:dyDescent="0.25">
      <c r="A1115" s="2">
        <v>433</v>
      </c>
      <c r="B1115" s="3" t="s">
        <v>1904</v>
      </c>
      <c r="C1115" s="3">
        <v>2024</v>
      </c>
      <c r="D1115" s="3" t="s">
        <v>1695</v>
      </c>
      <c r="E1115" s="3" t="s">
        <v>15</v>
      </c>
      <c r="F1115" s="1" t="s">
        <v>7834</v>
      </c>
      <c r="G1115" s="10"/>
      <c r="H1115" s="10"/>
      <c r="I1115" s="10"/>
      <c r="J1115" s="10"/>
      <c r="K1115" s="10"/>
      <c r="L1115" s="3" t="s">
        <v>2016</v>
      </c>
      <c r="M1115" s="3" t="s">
        <v>2017</v>
      </c>
      <c r="N1115" s="3" t="s">
        <v>69</v>
      </c>
      <c r="O1115" s="3">
        <v>963</v>
      </c>
      <c r="P1115" s="3">
        <v>1</v>
      </c>
      <c r="Q1115" s="3" t="s">
        <v>2018</v>
      </c>
      <c r="R1115" s="3" t="s">
        <v>70</v>
      </c>
      <c r="S1115" s="3" t="s">
        <v>1916</v>
      </c>
      <c r="T1115" s="3" t="s">
        <v>21</v>
      </c>
      <c r="U1115" s="11">
        <v>200</v>
      </c>
      <c r="V1115" s="3" t="s">
        <v>1904</v>
      </c>
      <c r="W1115" s="8" t="s">
        <v>7834</v>
      </c>
    </row>
    <row r="1116" spans="1:23" x14ac:dyDescent="0.25">
      <c r="A1116" s="2">
        <v>434</v>
      </c>
      <c r="B1116" s="3" t="s">
        <v>1904</v>
      </c>
      <c r="C1116" s="3">
        <v>2024</v>
      </c>
      <c r="D1116" s="3" t="s">
        <v>59</v>
      </c>
      <c r="E1116" s="3" t="s">
        <v>15</v>
      </c>
      <c r="F1116" s="1" t="s">
        <v>7834</v>
      </c>
      <c r="G1116" s="10"/>
      <c r="H1116" s="10"/>
      <c r="I1116" s="10"/>
      <c r="J1116" s="10"/>
      <c r="K1116" s="10"/>
      <c r="L1116" s="3" t="s">
        <v>2019</v>
      </c>
      <c r="M1116" s="3" t="s">
        <v>2020</v>
      </c>
      <c r="N1116" s="3" t="s">
        <v>18</v>
      </c>
      <c r="O1116" s="3">
        <v>529</v>
      </c>
      <c r="P1116" s="3">
        <v>3</v>
      </c>
      <c r="Q1116" s="3">
        <v>2946</v>
      </c>
      <c r="R1116" s="3" t="s">
        <v>159</v>
      </c>
      <c r="S1116" s="3" t="s">
        <v>2021</v>
      </c>
      <c r="T1116" s="3" t="s">
        <v>21</v>
      </c>
      <c r="U1116" s="11">
        <v>201</v>
      </c>
      <c r="V1116" s="3" t="s">
        <v>1904</v>
      </c>
      <c r="W1116" s="8" t="s">
        <v>7834</v>
      </c>
    </row>
    <row r="1117" spans="1:23" x14ac:dyDescent="0.25">
      <c r="A1117" s="2">
        <v>435</v>
      </c>
      <c r="B1117" s="3" t="s">
        <v>1904</v>
      </c>
      <c r="C1117" s="3">
        <v>2024</v>
      </c>
      <c r="D1117" s="3" t="s">
        <v>63</v>
      </c>
      <c r="E1117" s="3" t="s">
        <v>15</v>
      </c>
      <c r="F1117" s="1" t="s">
        <v>7834</v>
      </c>
      <c r="G1117" s="10"/>
      <c r="H1117" s="10"/>
      <c r="I1117" s="10"/>
      <c r="J1117" s="10"/>
      <c r="K1117" s="10"/>
      <c r="L1117" s="3" t="s">
        <v>2022</v>
      </c>
      <c r="M1117" s="3" t="s">
        <v>2023</v>
      </c>
      <c r="N1117" s="3" t="s">
        <v>18</v>
      </c>
      <c r="O1117" s="3">
        <v>528</v>
      </c>
      <c r="P1117" s="3">
        <v>4</v>
      </c>
      <c r="Q1117" s="3">
        <v>6099</v>
      </c>
      <c r="R1117" s="3" t="s">
        <v>159</v>
      </c>
      <c r="S1117" s="3" t="s">
        <v>2024</v>
      </c>
      <c r="T1117" s="3" t="s">
        <v>21</v>
      </c>
      <c r="U1117" s="11">
        <v>202</v>
      </c>
      <c r="V1117" s="3" t="s">
        <v>1904</v>
      </c>
      <c r="W1117" s="8" t="s">
        <v>7834</v>
      </c>
    </row>
    <row r="1118" spans="1:23" x14ac:dyDescent="0.25">
      <c r="A1118" s="2">
        <v>437</v>
      </c>
      <c r="B1118" s="3" t="s">
        <v>1904</v>
      </c>
      <c r="C1118" s="3">
        <v>2024</v>
      </c>
      <c r="D1118" s="3" t="s">
        <v>964</v>
      </c>
      <c r="E1118" s="3" t="s">
        <v>15</v>
      </c>
      <c r="F1118" s="1" t="s">
        <v>7834</v>
      </c>
      <c r="G1118" s="10"/>
      <c r="H1118" s="10"/>
      <c r="I1118" s="10"/>
      <c r="J1118" s="10"/>
      <c r="K1118" s="10"/>
      <c r="L1118" s="3" t="s">
        <v>2031</v>
      </c>
      <c r="M1118" s="3" t="s">
        <v>2032</v>
      </c>
      <c r="N1118" s="3" t="s">
        <v>28</v>
      </c>
      <c r="O1118" s="3">
        <v>684</v>
      </c>
      <c r="P1118" s="3" t="s">
        <v>2033</v>
      </c>
      <c r="Q1118" s="3"/>
      <c r="R1118" s="3" t="s">
        <v>170</v>
      </c>
      <c r="S1118" s="3" t="s">
        <v>2034</v>
      </c>
      <c r="T1118" s="3" t="s">
        <v>21</v>
      </c>
      <c r="U1118" s="11">
        <v>203</v>
      </c>
      <c r="V1118" s="3" t="s">
        <v>1904</v>
      </c>
      <c r="W1118" s="8" t="s">
        <v>7834</v>
      </c>
    </row>
    <row r="1119" spans="1:23" x14ac:dyDescent="0.25">
      <c r="A1119" s="2">
        <v>438</v>
      </c>
      <c r="B1119" s="3" t="s">
        <v>1904</v>
      </c>
      <c r="C1119" s="3">
        <v>2024</v>
      </c>
      <c r="D1119" s="3" t="s">
        <v>2035</v>
      </c>
      <c r="E1119" s="3" t="s">
        <v>15</v>
      </c>
      <c r="F1119" s="1" t="s">
        <v>7834</v>
      </c>
      <c r="G1119" s="10"/>
      <c r="H1119" s="10"/>
      <c r="I1119" s="10"/>
      <c r="J1119" s="10"/>
      <c r="K1119" s="10"/>
      <c r="L1119" s="3" t="s">
        <v>2036</v>
      </c>
      <c r="M1119" s="3" t="s">
        <v>2037</v>
      </c>
      <c r="N1119" s="3" t="s">
        <v>41</v>
      </c>
      <c r="O1119" s="3">
        <v>965</v>
      </c>
      <c r="P1119" s="3">
        <v>1</v>
      </c>
      <c r="Q1119" s="3">
        <v>73</v>
      </c>
      <c r="R1119" s="3" t="s">
        <v>42</v>
      </c>
      <c r="S1119" s="3" t="s">
        <v>2038</v>
      </c>
      <c r="T1119" s="3" t="s">
        <v>21</v>
      </c>
      <c r="U1119" s="11">
        <v>204</v>
      </c>
      <c r="V1119" s="3" t="s">
        <v>1904</v>
      </c>
      <c r="W1119" s="8" t="s">
        <v>7834</v>
      </c>
    </row>
    <row r="1120" spans="1:23" x14ac:dyDescent="0.25">
      <c r="A1120" s="2">
        <v>439</v>
      </c>
      <c r="B1120" s="3" t="s">
        <v>1904</v>
      </c>
      <c r="C1120" s="3">
        <v>2024</v>
      </c>
      <c r="D1120" s="3" t="s">
        <v>2039</v>
      </c>
      <c r="E1120" s="3" t="s">
        <v>15</v>
      </c>
      <c r="F1120" s="1" t="s">
        <v>7834</v>
      </c>
      <c r="G1120" s="10"/>
      <c r="H1120" s="10"/>
      <c r="I1120" s="10"/>
      <c r="J1120" s="10"/>
      <c r="K1120" s="10"/>
      <c r="L1120" s="3" t="s">
        <v>2040</v>
      </c>
      <c r="M1120" s="3" t="s">
        <v>2041</v>
      </c>
      <c r="N1120" s="3" t="s">
        <v>28</v>
      </c>
      <c r="O1120" s="3">
        <v>684</v>
      </c>
      <c r="P1120" s="3" t="s">
        <v>2042</v>
      </c>
      <c r="Q1120" s="3"/>
      <c r="R1120" s="3" t="s">
        <v>170</v>
      </c>
      <c r="S1120" s="3" t="s">
        <v>2043</v>
      </c>
      <c r="T1120" s="3" t="s">
        <v>21</v>
      </c>
      <c r="U1120" s="11">
        <v>205</v>
      </c>
      <c r="V1120" s="3" t="s">
        <v>1904</v>
      </c>
      <c r="W1120" s="8" t="s">
        <v>7834</v>
      </c>
    </row>
    <row r="1121" spans="1:23" x14ac:dyDescent="0.25">
      <c r="A1121" s="2">
        <v>440</v>
      </c>
      <c r="B1121" s="3" t="s">
        <v>1904</v>
      </c>
      <c r="C1121" s="3">
        <v>2024</v>
      </c>
      <c r="D1121" s="3" t="s">
        <v>63</v>
      </c>
      <c r="E1121" s="3" t="s">
        <v>15</v>
      </c>
      <c r="F1121" s="1" t="s">
        <v>7834</v>
      </c>
      <c r="G1121" s="10"/>
      <c r="H1121" s="10"/>
      <c r="I1121" s="10"/>
      <c r="J1121" s="10"/>
      <c r="K1121" s="10"/>
      <c r="L1121" s="3" t="s">
        <v>2044</v>
      </c>
      <c r="M1121" s="3" t="s">
        <v>2045</v>
      </c>
      <c r="N1121" s="3" t="s">
        <v>18</v>
      </c>
      <c r="O1121" s="3">
        <v>528</v>
      </c>
      <c r="P1121" s="3">
        <v>4</v>
      </c>
      <c r="Q1121" s="3">
        <v>7076</v>
      </c>
      <c r="R1121" s="3" t="s">
        <v>159</v>
      </c>
      <c r="S1121" s="3" t="s">
        <v>2046</v>
      </c>
      <c r="T1121" s="3" t="s">
        <v>21</v>
      </c>
      <c r="U1121" s="11">
        <v>206</v>
      </c>
      <c r="V1121" s="3" t="s">
        <v>1904</v>
      </c>
      <c r="W1121" s="8" t="s">
        <v>7834</v>
      </c>
    </row>
    <row r="1122" spans="1:23" x14ac:dyDescent="0.25">
      <c r="A1122" s="2">
        <v>441</v>
      </c>
      <c r="B1122" s="3" t="s">
        <v>1904</v>
      </c>
      <c r="C1122" s="3">
        <v>2024</v>
      </c>
      <c r="D1122" s="3" t="s">
        <v>2047</v>
      </c>
      <c r="E1122" s="3" t="s">
        <v>15</v>
      </c>
      <c r="F1122" s="1" t="s">
        <v>7834</v>
      </c>
      <c r="G1122" s="10"/>
      <c r="H1122" s="10"/>
      <c r="I1122" s="10"/>
      <c r="J1122" s="10"/>
      <c r="K1122" s="10"/>
      <c r="L1122" s="3" t="s">
        <v>2048</v>
      </c>
      <c r="M1122" s="3" t="s">
        <v>2049</v>
      </c>
      <c r="N1122" s="3" t="s">
        <v>41</v>
      </c>
      <c r="O1122" s="3">
        <v>965</v>
      </c>
      <c r="P1122" s="3">
        <v>2</v>
      </c>
      <c r="Q1122" s="3">
        <v>108</v>
      </c>
      <c r="R1122" s="3" t="s">
        <v>42</v>
      </c>
      <c r="S1122" s="3" t="s">
        <v>2050</v>
      </c>
      <c r="T1122" s="3" t="s">
        <v>21</v>
      </c>
      <c r="U1122" s="11">
        <v>207</v>
      </c>
      <c r="V1122" s="3" t="s">
        <v>1904</v>
      </c>
      <c r="W1122" s="8" t="s">
        <v>7834</v>
      </c>
    </row>
    <row r="1123" spans="1:23" x14ac:dyDescent="0.25">
      <c r="A1123" s="2">
        <v>442</v>
      </c>
      <c r="B1123" s="3" t="s">
        <v>1904</v>
      </c>
      <c r="C1123" s="3">
        <v>2024</v>
      </c>
      <c r="D1123" s="3" t="s">
        <v>2051</v>
      </c>
      <c r="E1123" s="3" t="s">
        <v>15</v>
      </c>
      <c r="F1123" s="1" t="s">
        <v>7834</v>
      </c>
      <c r="G1123" s="10"/>
      <c r="H1123" s="10"/>
      <c r="I1123" s="10"/>
      <c r="J1123" s="10"/>
      <c r="K1123" s="10"/>
      <c r="L1123" s="3" t="s">
        <v>2052</v>
      </c>
      <c r="M1123" s="3" t="s">
        <v>2053</v>
      </c>
      <c r="N1123" s="3" t="s">
        <v>28</v>
      </c>
      <c r="O1123" s="3">
        <v>684</v>
      </c>
      <c r="P1123" s="3" t="s">
        <v>2054</v>
      </c>
      <c r="Q1123" s="3"/>
      <c r="R1123" s="3" t="s">
        <v>170</v>
      </c>
      <c r="S1123" s="3" t="s">
        <v>2055</v>
      </c>
      <c r="T1123" s="3" t="s">
        <v>21</v>
      </c>
      <c r="U1123" s="11">
        <v>208</v>
      </c>
      <c r="V1123" s="3" t="s">
        <v>1904</v>
      </c>
      <c r="W1123" s="8" t="s">
        <v>7834</v>
      </c>
    </row>
    <row r="1124" spans="1:23" x14ac:dyDescent="0.25">
      <c r="A1124" s="2">
        <v>443</v>
      </c>
      <c r="B1124" s="3" t="s">
        <v>1904</v>
      </c>
      <c r="C1124" s="3">
        <v>2024</v>
      </c>
      <c r="D1124" s="3" t="s">
        <v>2056</v>
      </c>
      <c r="E1124" s="3" t="s">
        <v>15</v>
      </c>
      <c r="F1124" s="1" t="s">
        <v>7834</v>
      </c>
      <c r="G1124" s="10"/>
      <c r="H1124" s="10"/>
      <c r="I1124" s="10"/>
      <c r="J1124" s="10"/>
      <c r="K1124" s="10"/>
      <c r="L1124" s="3" t="s">
        <v>2057</v>
      </c>
      <c r="M1124" s="3" t="s">
        <v>2058</v>
      </c>
      <c r="N1124" s="3" t="s">
        <v>41</v>
      </c>
      <c r="O1124" s="3">
        <v>964</v>
      </c>
      <c r="P1124" s="3">
        <v>2</v>
      </c>
      <c r="Q1124" s="3">
        <v>146</v>
      </c>
      <c r="R1124" s="3" t="s">
        <v>42</v>
      </c>
      <c r="S1124" s="3" t="s">
        <v>2059</v>
      </c>
      <c r="T1124" s="3" t="s">
        <v>21</v>
      </c>
      <c r="U1124" s="11">
        <v>209</v>
      </c>
      <c r="V1124" s="3" t="s">
        <v>1904</v>
      </c>
      <c r="W1124" s="8" t="s">
        <v>7834</v>
      </c>
    </row>
    <row r="1125" spans="1:23" x14ac:dyDescent="0.25">
      <c r="A1125" s="2">
        <v>444</v>
      </c>
      <c r="B1125" s="3" t="s">
        <v>1904</v>
      </c>
      <c r="C1125" s="3">
        <v>2024</v>
      </c>
      <c r="D1125" s="3" t="s">
        <v>1501</v>
      </c>
      <c r="E1125" s="3" t="s">
        <v>15</v>
      </c>
      <c r="F1125" s="1" t="s">
        <v>7834</v>
      </c>
      <c r="G1125" s="10"/>
      <c r="H1125" s="10"/>
      <c r="I1125" s="10"/>
      <c r="J1125" s="10"/>
      <c r="K1125" s="10"/>
      <c r="L1125" s="3" t="s">
        <v>2060</v>
      </c>
      <c r="M1125" s="3" t="s">
        <v>2061</v>
      </c>
      <c r="N1125" s="3" t="s">
        <v>41</v>
      </c>
      <c r="O1125" s="3">
        <v>965</v>
      </c>
      <c r="P1125" s="3">
        <v>2</v>
      </c>
      <c r="Q1125" s="3">
        <v>119</v>
      </c>
      <c r="R1125" s="3" t="s">
        <v>42</v>
      </c>
      <c r="S1125" s="3" t="s">
        <v>2062</v>
      </c>
      <c r="T1125" s="3" t="s">
        <v>21</v>
      </c>
      <c r="U1125" s="11">
        <v>210</v>
      </c>
      <c r="V1125" s="3" t="s">
        <v>1904</v>
      </c>
      <c r="W1125" s="8" t="s">
        <v>7834</v>
      </c>
    </row>
    <row r="1126" spans="1:23" x14ac:dyDescent="0.25">
      <c r="A1126" s="2">
        <v>445</v>
      </c>
      <c r="B1126" s="3" t="s">
        <v>1904</v>
      </c>
      <c r="C1126" s="3">
        <v>2024</v>
      </c>
      <c r="D1126" s="3" t="s">
        <v>1395</v>
      </c>
      <c r="E1126" s="3" t="s">
        <v>15</v>
      </c>
      <c r="F1126" s="1" t="s">
        <v>7834</v>
      </c>
      <c r="G1126" s="10"/>
      <c r="H1126" s="10"/>
      <c r="I1126" s="10"/>
      <c r="J1126" s="10"/>
      <c r="K1126" s="10"/>
      <c r="L1126" s="3" t="s">
        <v>2063</v>
      </c>
      <c r="M1126" s="3" t="s">
        <v>2064</v>
      </c>
      <c r="N1126" s="3" t="s">
        <v>28</v>
      </c>
      <c r="O1126" s="3">
        <v>685</v>
      </c>
      <c r="P1126" s="3" t="s">
        <v>2065</v>
      </c>
      <c r="Q1126" s="3"/>
      <c r="R1126" s="3" t="s">
        <v>170</v>
      </c>
      <c r="S1126" s="3" t="s">
        <v>2066</v>
      </c>
      <c r="T1126" s="3" t="s">
        <v>21</v>
      </c>
      <c r="U1126" s="11">
        <v>211</v>
      </c>
      <c r="V1126" s="3" t="s">
        <v>1904</v>
      </c>
      <c r="W1126" s="8" t="s">
        <v>7834</v>
      </c>
    </row>
    <row r="1127" spans="1:23" x14ac:dyDescent="0.25">
      <c r="A1127" s="2">
        <v>446</v>
      </c>
      <c r="B1127" s="3" t="s">
        <v>1904</v>
      </c>
      <c r="C1127" s="3">
        <v>2024</v>
      </c>
      <c r="D1127" s="3" t="s">
        <v>2067</v>
      </c>
      <c r="E1127" s="3" t="s">
        <v>15</v>
      </c>
      <c r="F1127" s="1" t="s">
        <v>7834</v>
      </c>
      <c r="G1127" s="10"/>
      <c r="H1127" s="10"/>
      <c r="I1127" s="10"/>
      <c r="J1127" s="10"/>
      <c r="K1127" s="10"/>
      <c r="L1127" s="3" t="s">
        <v>2068</v>
      </c>
      <c r="M1127" s="3" t="s">
        <v>2069</v>
      </c>
      <c r="N1127" s="3" t="s">
        <v>28</v>
      </c>
      <c r="O1127" s="3">
        <v>685</v>
      </c>
      <c r="P1127" s="3" t="s">
        <v>2070</v>
      </c>
      <c r="Q1127" s="3"/>
      <c r="R1127" s="3" t="s">
        <v>170</v>
      </c>
      <c r="S1127" s="3" t="s">
        <v>2071</v>
      </c>
      <c r="T1127" s="3" t="s">
        <v>21</v>
      </c>
      <c r="U1127" s="11">
        <v>212</v>
      </c>
      <c r="V1127" s="3" t="s">
        <v>1904</v>
      </c>
      <c r="W1127" s="8" t="s">
        <v>7834</v>
      </c>
    </row>
    <row r="1128" spans="1:23" x14ac:dyDescent="0.25">
      <c r="A1128" s="2">
        <v>447</v>
      </c>
      <c r="B1128" s="3" t="s">
        <v>1904</v>
      </c>
      <c r="C1128" s="3">
        <v>2024</v>
      </c>
      <c r="D1128" s="3" t="s">
        <v>840</v>
      </c>
      <c r="E1128" s="3" t="s">
        <v>15</v>
      </c>
      <c r="F1128" s="1" t="s">
        <v>7834</v>
      </c>
      <c r="G1128" s="10"/>
      <c r="H1128" s="10"/>
      <c r="I1128" s="10"/>
      <c r="J1128" s="10"/>
      <c r="K1128" s="10"/>
      <c r="L1128" s="3" t="s">
        <v>2072</v>
      </c>
      <c r="M1128" s="3" t="s">
        <v>2073</v>
      </c>
      <c r="N1128" s="3" t="s">
        <v>229</v>
      </c>
      <c r="O1128" s="3">
        <v>8</v>
      </c>
      <c r="P1128" s="3"/>
      <c r="Q1128" s="3">
        <v>504</v>
      </c>
      <c r="R1128" s="3" t="s">
        <v>2074</v>
      </c>
      <c r="S1128" s="3" t="s">
        <v>2075</v>
      </c>
      <c r="T1128" s="3" t="s">
        <v>21</v>
      </c>
      <c r="U1128" s="11">
        <v>213</v>
      </c>
      <c r="V1128" s="3" t="s">
        <v>1904</v>
      </c>
      <c r="W1128" s="8" t="s">
        <v>7834</v>
      </c>
    </row>
    <row r="1129" spans="1:23" x14ac:dyDescent="0.25">
      <c r="A1129" s="2">
        <v>448</v>
      </c>
      <c r="B1129" s="3" t="s">
        <v>1904</v>
      </c>
      <c r="C1129" s="3">
        <v>2024</v>
      </c>
      <c r="D1129" s="3" t="s">
        <v>2067</v>
      </c>
      <c r="E1129" s="3" t="s">
        <v>15</v>
      </c>
      <c r="F1129" s="1" t="s">
        <v>7834</v>
      </c>
      <c r="G1129" s="10"/>
      <c r="H1129" s="10"/>
      <c r="I1129" s="10"/>
      <c r="J1129" s="10"/>
      <c r="K1129" s="10"/>
      <c r="L1129" s="3" t="s">
        <v>2076</v>
      </c>
      <c r="M1129" s="3" t="s">
        <v>2077</v>
      </c>
      <c r="N1129" s="3" t="s">
        <v>28</v>
      </c>
      <c r="O1129" s="3">
        <v>685</v>
      </c>
      <c r="P1129" s="3" t="s">
        <v>2078</v>
      </c>
      <c r="Q1129" s="3"/>
      <c r="R1129" s="3" t="s">
        <v>170</v>
      </c>
      <c r="S1129" s="3" t="s">
        <v>2079</v>
      </c>
      <c r="T1129" s="3" t="s">
        <v>21</v>
      </c>
      <c r="U1129" s="11">
        <v>214</v>
      </c>
      <c r="V1129" s="3" t="s">
        <v>1904</v>
      </c>
      <c r="W1129" s="8" t="s">
        <v>7834</v>
      </c>
    </row>
    <row r="1130" spans="1:23" x14ac:dyDescent="0.25">
      <c r="A1130" s="2">
        <v>449</v>
      </c>
      <c r="B1130" s="3" t="s">
        <v>1904</v>
      </c>
      <c r="C1130" s="3">
        <v>2024</v>
      </c>
      <c r="D1130" s="3" t="s">
        <v>964</v>
      </c>
      <c r="E1130" s="3" t="s">
        <v>15</v>
      </c>
      <c r="F1130" s="1" t="s">
        <v>7834</v>
      </c>
      <c r="G1130" s="10"/>
      <c r="H1130" s="10"/>
      <c r="I1130" s="10"/>
      <c r="J1130" s="10"/>
      <c r="K1130" s="10"/>
      <c r="L1130" s="3" t="s">
        <v>2080</v>
      </c>
      <c r="M1130" s="3" t="s">
        <v>2081</v>
      </c>
      <c r="N1130" s="3" t="s">
        <v>41</v>
      </c>
      <c r="O1130" s="3">
        <v>966</v>
      </c>
      <c r="P1130" s="3">
        <v>1</v>
      </c>
      <c r="Q1130" s="3">
        <v>59</v>
      </c>
      <c r="R1130" s="3" t="s">
        <v>42</v>
      </c>
      <c r="S1130" s="3" t="s">
        <v>49</v>
      </c>
      <c r="T1130" s="3" t="s">
        <v>21</v>
      </c>
      <c r="U1130" s="11">
        <v>215</v>
      </c>
      <c r="V1130" s="3" t="s">
        <v>1904</v>
      </c>
      <c r="W1130" s="8" t="s">
        <v>7834</v>
      </c>
    </row>
    <row r="1131" spans="1:23" x14ac:dyDescent="0.25">
      <c r="A1131" s="2">
        <v>450</v>
      </c>
      <c r="B1131" s="3" t="s">
        <v>1904</v>
      </c>
      <c r="C1131" s="3">
        <v>2024</v>
      </c>
      <c r="D1131" s="3" t="s">
        <v>2082</v>
      </c>
      <c r="E1131" s="3" t="s">
        <v>15</v>
      </c>
      <c r="F1131" s="1" t="s">
        <v>7834</v>
      </c>
      <c r="G1131" s="10"/>
      <c r="H1131" s="10"/>
      <c r="I1131" s="10"/>
      <c r="J1131" s="10"/>
      <c r="K1131" s="10"/>
      <c r="L1131" s="3" t="s">
        <v>2083</v>
      </c>
      <c r="M1131" s="3" t="s">
        <v>2084</v>
      </c>
      <c r="N1131" s="3" t="s">
        <v>41</v>
      </c>
      <c r="O1131" s="3">
        <v>966</v>
      </c>
      <c r="P1131" s="3">
        <v>2</v>
      </c>
      <c r="Q1131" s="3">
        <v>185</v>
      </c>
      <c r="R1131" s="3" t="s">
        <v>42</v>
      </c>
      <c r="S1131" s="3" t="s">
        <v>2085</v>
      </c>
      <c r="T1131" s="3" t="s">
        <v>21</v>
      </c>
      <c r="U1131" s="11">
        <v>216</v>
      </c>
      <c r="V1131" s="3" t="s">
        <v>1904</v>
      </c>
      <c r="W1131" s="8" t="s">
        <v>7834</v>
      </c>
    </row>
    <row r="1132" spans="1:23" x14ac:dyDescent="0.25">
      <c r="A1132" s="2">
        <v>451</v>
      </c>
      <c r="B1132" s="3" t="s">
        <v>1904</v>
      </c>
      <c r="C1132" s="3">
        <v>2024</v>
      </c>
      <c r="D1132" s="3" t="s">
        <v>1501</v>
      </c>
      <c r="E1132" s="3" t="s">
        <v>15</v>
      </c>
      <c r="F1132" s="1" t="s">
        <v>7834</v>
      </c>
      <c r="G1132" s="10"/>
      <c r="H1132" s="10"/>
      <c r="I1132" s="10"/>
      <c r="J1132" s="10"/>
      <c r="K1132" s="10"/>
      <c r="L1132" s="3" t="s">
        <v>2086</v>
      </c>
      <c r="M1132" s="3" t="s">
        <v>2087</v>
      </c>
      <c r="N1132" s="3" t="s">
        <v>18</v>
      </c>
      <c r="O1132" s="3">
        <v>530</v>
      </c>
      <c r="P1132" s="3">
        <v>3</v>
      </c>
      <c r="Q1132" s="3">
        <v>2565</v>
      </c>
      <c r="R1132" s="3" t="s">
        <v>159</v>
      </c>
      <c r="S1132" s="3" t="s">
        <v>2088</v>
      </c>
      <c r="T1132" s="3" t="s">
        <v>21</v>
      </c>
      <c r="U1132" s="11">
        <v>217</v>
      </c>
      <c r="V1132" s="3" t="s">
        <v>1904</v>
      </c>
      <c r="W1132" s="8" t="s">
        <v>7834</v>
      </c>
    </row>
    <row r="1133" spans="1:23" x14ac:dyDescent="0.25">
      <c r="A1133" s="2">
        <v>452</v>
      </c>
      <c r="B1133" s="3" t="s">
        <v>1904</v>
      </c>
      <c r="C1133" s="3">
        <v>2024</v>
      </c>
      <c r="D1133" s="3" t="s">
        <v>38</v>
      </c>
      <c r="E1133" s="3" t="s">
        <v>15</v>
      </c>
      <c r="F1133" s="1" t="s">
        <v>7834</v>
      </c>
      <c r="G1133" s="10"/>
      <c r="H1133" s="10"/>
      <c r="I1133" s="10"/>
      <c r="J1133" s="10"/>
      <c r="K1133" s="10"/>
      <c r="L1133" s="3" t="s">
        <v>2089</v>
      </c>
      <c r="M1133" s="3" t="s">
        <v>2090</v>
      </c>
      <c r="N1133" s="3" t="s">
        <v>18</v>
      </c>
      <c r="O1133" s="3">
        <v>530</v>
      </c>
      <c r="P1133" s="3">
        <v>3</v>
      </c>
      <c r="Q1133" s="3">
        <v>2960</v>
      </c>
      <c r="R1133" s="3" t="s">
        <v>159</v>
      </c>
      <c r="S1133" s="3" t="s">
        <v>2091</v>
      </c>
      <c r="T1133" s="3" t="s">
        <v>21</v>
      </c>
      <c r="U1133" s="11">
        <v>218</v>
      </c>
      <c r="V1133" s="3" t="s">
        <v>1904</v>
      </c>
      <c r="W1133" s="8" t="s">
        <v>7834</v>
      </c>
    </row>
    <row r="1134" spans="1:23" x14ac:dyDescent="0.25">
      <c r="A1134" s="2">
        <v>453</v>
      </c>
      <c r="B1134" s="3" t="s">
        <v>1904</v>
      </c>
      <c r="C1134" s="3">
        <v>2024</v>
      </c>
      <c r="D1134" s="3" t="s">
        <v>1395</v>
      </c>
      <c r="E1134" s="3" t="s">
        <v>15</v>
      </c>
      <c r="F1134" s="1" t="s">
        <v>7834</v>
      </c>
      <c r="G1134" s="10"/>
      <c r="H1134" s="10"/>
      <c r="I1134" s="10"/>
      <c r="J1134" s="10"/>
      <c r="K1134" s="10"/>
      <c r="L1134" s="3" t="s">
        <v>2092</v>
      </c>
      <c r="M1134" s="3" t="s">
        <v>2093</v>
      </c>
      <c r="N1134" s="3" t="s">
        <v>41</v>
      </c>
      <c r="O1134" s="3">
        <v>966</v>
      </c>
      <c r="P1134" s="3">
        <v>1</v>
      </c>
      <c r="Q1134" s="3">
        <v>135</v>
      </c>
      <c r="R1134" s="3" t="s">
        <v>42</v>
      </c>
      <c r="S1134" s="3" t="s">
        <v>2094</v>
      </c>
      <c r="T1134" s="3" t="s">
        <v>21</v>
      </c>
      <c r="U1134" s="11">
        <v>219</v>
      </c>
      <c r="V1134" s="3" t="s">
        <v>1904</v>
      </c>
      <c r="W1134" s="8" t="s">
        <v>7834</v>
      </c>
    </row>
    <row r="1135" spans="1:23" x14ac:dyDescent="0.25">
      <c r="A1135" s="2">
        <v>454</v>
      </c>
      <c r="B1135" s="3" t="s">
        <v>1904</v>
      </c>
      <c r="C1135" s="3">
        <v>2024</v>
      </c>
      <c r="D1135" s="3" t="s">
        <v>1267</v>
      </c>
      <c r="E1135" s="3" t="s">
        <v>15</v>
      </c>
      <c r="F1135" s="1" t="s">
        <v>7834</v>
      </c>
      <c r="G1135" s="10"/>
      <c r="H1135" s="10"/>
      <c r="I1135" s="10"/>
      <c r="J1135" s="10"/>
      <c r="K1135" s="10"/>
      <c r="L1135" s="3" t="s">
        <v>2095</v>
      </c>
      <c r="M1135" s="3" t="s">
        <v>2096</v>
      </c>
      <c r="N1135" s="3" t="s">
        <v>41</v>
      </c>
      <c r="O1135" s="3">
        <v>967</v>
      </c>
      <c r="P1135" s="3">
        <v>1</v>
      </c>
      <c r="Q1135" s="3">
        <v>20</v>
      </c>
      <c r="R1135" s="3" t="s">
        <v>42</v>
      </c>
      <c r="S1135" s="3" t="s">
        <v>2097</v>
      </c>
      <c r="T1135" s="3" t="s">
        <v>21</v>
      </c>
      <c r="U1135" s="11">
        <v>220</v>
      </c>
      <c r="V1135" s="3" t="s">
        <v>1904</v>
      </c>
      <c r="W1135" s="8" t="s">
        <v>7834</v>
      </c>
    </row>
    <row r="1136" spans="1:23" x14ac:dyDescent="0.25">
      <c r="A1136" s="2">
        <v>455</v>
      </c>
      <c r="B1136" s="3" t="s">
        <v>1904</v>
      </c>
      <c r="C1136" s="3">
        <v>2024</v>
      </c>
      <c r="D1136" s="3" t="s">
        <v>748</v>
      </c>
      <c r="E1136" s="3" t="s">
        <v>15</v>
      </c>
      <c r="F1136" s="1" t="s">
        <v>7834</v>
      </c>
      <c r="G1136" s="10"/>
      <c r="H1136" s="10"/>
      <c r="I1136" s="10"/>
      <c r="J1136" s="10"/>
      <c r="K1136" s="10"/>
      <c r="L1136" s="3" t="s">
        <v>2098</v>
      </c>
      <c r="M1136" s="3" t="s">
        <v>2099</v>
      </c>
      <c r="N1136" s="3" t="s">
        <v>28</v>
      </c>
      <c r="O1136" s="3">
        <v>686</v>
      </c>
      <c r="P1136" s="3" t="s">
        <v>2100</v>
      </c>
      <c r="Q1136" s="3"/>
      <c r="R1136" s="3" t="s">
        <v>170</v>
      </c>
      <c r="S1136" s="3" t="s">
        <v>2101</v>
      </c>
      <c r="T1136" s="3" t="s">
        <v>21</v>
      </c>
      <c r="U1136" s="11">
        <v>221</v>
      </c>
      <c r="V1136" s="3" t="s">
        <v>1904</v>
      </c>
      <c r="W1136" s="8" t="s">
        <v>7834</v>
      </c>
    </row>
    <row r="1137" spans="1:23" x14ac:dyDescent="0.25">
      <c r="A1137" s="2">
        <v>456</v>
      </c>
      <c r="B1137" s="3" t="s">
        <v>1904</v>
      </c>
      <c r="C1137" s="3">
        <v>2024</v>
      </c>
      <c r="D1137" s="3" t="s">
        <v>2102</v>
      </c>
      <c r="E1137" s="3" t="s">
        <v>15</v>
      </c>
      <c r="F1137" s="1" t="s">
        <v>7834</v>
      </c>
      <c r="G1137" s="10"/>
      <c r="H1137" s="10"/>
      <c r="I1137" s="10"/>
      <c r="J1137" s="10"/>
      <c r="K1137" s="10"/>
      <c r="L1137" s="3" t="s">
        <v>2103</v>
      </c>
      <c r="M1137" s="3" t="s">
        <v>2104</v>
      </c>
      <c r="N1137" s="3" t="s">
        <v>28</v>
      </c>
      <c r="O1137" s="3">
        <v>686</v>
      </c>
      <c r="P1137" s="3" t="s">
        <v>2105</v>
      </c>
      <c r="Q1137" s="3"/>
      <c r="R1137" s="3" t="s">
        <v>170</v>
      </c>
      <c r="S1137" s="3" t="s">
        <v>2106</v>
      </c>
      <c r="T1137" s="3" t="s">
        <v>21</v>
      </c>
      <c r="U1137" s="11">
        <v>222</v>
      </c>
      <c r="V1137" s="3" t="s">
        <v>1904</v>
      </c>
      <c r="W1137" s="8" t="s">
        <v>7834</v>
      </c>
    </row>
    <row r="1138" spans="1:23" x14ac:dyDescent="0.25">
      <c r="A1138" s="2">
        <v>457</v>
      </c>
      <c r="B1138" s="3" t="s">
        <v>1904</v>
      </c>
      <c r="C1138" s="3">
        <v>2024</v>
      </c>
      <c r="D1138" s="3" t="s">
        <v>93</v>
      </c>
      <c r="E1138" s="3" t="s">
        <v>15</v>
      </c>
      <c r="F1138" s="1" t="s">
        <v>7834</v>
      </c>
      <c r="G1138" s="10"/>
      <c r="H1138" s="10"/>
      <c r="I1138" s="10"/>
      <c r="J1138" s="10"/>
      <c r="K1138" s="10"/>
      <c r="L1138" s="3" t="s">
        <v>2107</v>
      </c>
      <c r="M1138" s="3" t="s">
        <v>2108</v>
      </c>
      <c r="N1138" s="3" t="s">
        <v>28</v>
      </c>
      <c r="O1138" s="3">
        <v>690</v>
      </c>
      <c r="P1138" s="3" t="s">
        <v>2109</v>
      </c>
      <c r="Q1138" s="3"/>
      <c r="R1138" s="3" t="s">
        <v>170</v>
      </c>
      <c r="S1138" s="3" t="s">
        <v>2110</v>
      </c>
      <c r="T1138" s="3" t="s">
        <v>21</v>
      </c>
      <c r="U1138" s="11">
        <v>223</v>
      </c>
      <c r="V1138" s="3" t="s">
        <v>1904</v>
      </c>
      <c r="W1138" s="8" t="s">
        <v>7834</v>
      </c>
    </row>
    <row r="1139" spans="1:23" x14ac:dyDescent="0.25">
      <c r="A1139" s="2">
        <v>458</v>
      </c>
      <c r="B1139" s="3" t="s">
        <v>1904</v>
      </c>
      <c r="C1139" s="3">
        <v>2024</v>
      </c>
      <c r="D1139" s="3" t="s">
        <v>59</v>
      </c>
      <c r="E1139" s="3" t="s">
        <v>15</v>
      </c>
      <c r="F1139" s="1" t="s">
        <v>7834</v>
      </c>
      <c r="G1139" s="10"/>
      <c r="H1139" s="10"/>
      <c r="I1139" s="10"/>
      <c r="J1139" s="10"/>
      <c r="K1139" s="10"/>
      <c r="L1139" s="3" t="s">
        <v>2111</v>
      </c>
      <c r="M1139" s="3" t="s">
        <v>2112</v>
      </c>
      <c r="N1139" s="3" t="s">
        <v>2113</v>
      </c>
      <c r="O1139" s="3">
        <v>10</v>
      </c>
      <c r="P1139" s="3"/>
      <c r="Q1139" s="3">
        <v>28001</v>
      </c>
      <c r="R1139" s="3" t="s">
        <v>2114</v>
      </c>
      <c r="S1139" s="3" t="s">
        <v>2115</v>
      </c>
      <c r="T1139" s="3" t="s">
        <v>21</v>
      </c>
      <c r="U1139" s="11">
        <v>224</v>
      </c>
      <c r="V1139" s="3" t="s">
        <v>1904</v>
      </c>
      <c r="W1139" s="8" t="s">
        <v>7834</v>
      </c>
    </row>
    <row r="1140" spans="1:23" x14ac:dyDescent="0.25">
      <c r="A1140" s="2">
        <v>459</v>
      </c>
      <c r="B1140" s="3" t="s">
        <v>1904</v>
      </c>
      <c r="C1140" s="3">
        <v>2024</v>
      </c>
      <c r="D1140" s="3" t="s">
        <v>2116</v>
      </c>
      <c r="E1140" s="3" t="s">
        <v>15</v>
      </c>
      <c r="F1140" s="1" t="s">
        <v>7834</v>
      </c>
      <c r="G1140" s="10"/>
      <c r="H1140" s="10"/>
      <c r="I1140" s="10"/>
      <c r="J1140" s="10"/>
      <c r="K1140" s="10"/>
      <c r="L1140" s="3" t="s">
        <v>2117</v>
      </c>
      <c r="M1140" s="3" t="s">
        <v>2118</v>
      </c>
      <c r="N1140" s="3" t="s">
        <v>41</v>
      </c>
      <c r="O1140" s="3">
        <v>971</v>
      </c>
      <c r="P1140" s="3">
        <v>2</v>
      </c>
      <c r="Q1140" s="3">
        <v>161</v>
      </c>
      <c r="R1140" s="3" t="s">
        <v>42</v>
      </c>
      <c r="S1140" s="3" t="s">
        <v>2119</v>
      </c>
      <c r="T1140" s="3" t="s">
        <v>21</v>
      </c>
      <c r="U1140" s="11">
        <v>225</v>
      </c>
      <c r="V1140" s="3" t="s">
        <v>1904</v>
      </c>
      <c r="W1140" s="8" t="s">
        <v>7834</v>
      </c>
    </row>
    <row r="1141" spans="1:23" x14ac:dyDescent="0.25">
      <c r="A1141" s="2">
        <v>460</v>
      </c>
      <c r="B1141" s="3" t="s">
        <v>1904</v>
      </c>
      <c r="C1141" s="3">
        <v>2024</v>
      </c>
      <c r="D1141" s="3" t="s">
        <v>2116</v>
      </c>
      <c r="E1141" s="3" t="s">
        <v>15</v>
      </c>
      <c r="F1141" s="1" t="s">
        <v>7834</v>
      </c>
      <c r="G1141" s="10"/>
      <c r="H1141" s="10"/>
      <c r="I1141" s="10"/>
      <c r="J1141" s="10"/>
      <c r="K1141" s="10"/>
      <c r="L1141" s="3" t="s">
        <v>2120</v>
      </c>
      <c r="M1141" s="3" t="s">
        <v>2121</v>
      </c>
      <c r="N1141" s="3" t="s">
        <v>69</v>
      </c>
      <c r="O1141" s="3">
        <v>971</v>
      </c>
      <c r="P1141" s="3">
        <v>2</v>
      </c>
      <c r="Q1141" s="3" t="s">
        <v>2122</v>
      </c>
      <c r="R1141" s="3" t="s">
        <v>70</v>
      </c>
      <c r="S1141" s="3" t="s">
        <v>2123</v>
      </c>
      <c r="T1141" s="3" t="s">
        <v>21</v>
      </c>
      <c r="U1141" s="11">
        <v>226</v>
      </c>
      <c r="V1141" s="3" t="s">
        <v>1904</v>
      </c>
      <c r="W1141" s="8" t="s">
        <v>7834</v>
      </c>
    </row>
    <row r="1142" spans="1:23" x14ac:dyDescent="0.25">
      <c r="A1142" s="2">
        <v>461</v>
      </c>
      <c r="B1142" s="3" t="s">
        <v>1904</v>
      </c>
      <c r="C1142" s="3">
        <v>2024</v>
      </c>
      <c r="D1142" s="3" t="s">
        <v>120</v>
      </c>
      <c r="E1142" s="3" t="s">
        <v>15</v>
      </c>
      <c r="F1142" s="1" t="s">
        <v>7834</v>
      </c>
      <c r="G1142" s="10"/>
      <c r="H1142" s="10"/>
      <c r="I1142" s="10"/>
      <c r="J1142" s="10"/>
      <c r="K1142" s="10"/>
      <c r="L1142" s="3" t="s">
        <v>2124</v>
      </c>
      <c r="M1142" s="3" t="s">
        <v>2125</v>
      </c>
      <c r="N1142" s="3" t="s">
        <v>18</v>
      </c>
      <c r="O1142" s="3">
        <v>532</v>
      </c>
      <c r="P1142" s="3">
        <v>2</v>
      </c>
      <c r="Q1142" s="3">
        <v>1444</v>
      </c>
      <c r="R1142" s="3" t="s">
        <v>159</v>
      </c>
      <c r="S1142" s="3" t="s">
        <v>2126</v>
      </c>
      <c r="T1142" s="3" t="s">
        <v>21</v>
      </c>
      <c r="U1142" s="11">
        <v>227</v>
      </c>
      <c r="V1142" s="3" t="s">
        <v>1904</v>
      </c>
      <c r="W1142" s="8" t="s">
        <v>7834</v>
      </c>
    </row>
    <row r="1143" spans="1:23" x14ac:dyDescent="0.25">
      <c r="A1143" s="2">
        <v>462</v>
      </c>
      <c r="B1143" s="3" t="s">
        <v>1904</v>
      </c>
      <c r="C1143" s="3">
        <v>2024</v>
      </c>
      <c r="D1143" s="3" t="s">
        <v>82</v>
      </c>
      <c r="E1143" s="3" t="s">
        <v>15</v>
      </c>
      <c r="F1143" s="1" t="s">
        <v>7834</v>
      </c>
      <c r="G1143" s="10"/>
      <c r="H1143" s="10"/>
      <c r="I1143" s="10"/>
      <c r="J1143" s="10"/>
      <c r="K1143" s="10"/>
      <c r="L1143" s="3" t="s">
        <v>2127</v>
      </c>
      <c r="M1143" s="3" t="s">
        <v>2128</v>
      </c>
      <c r="N1143" s="3" t="s">
        <v>18</v>
      </c>
      <c r="O1143" s="3">
        <v>533</v>
      </c>
      <c r="P1143" s="3">
        <v>1</v>
      </c>
      <c r="Q1143" s="3">
        <v>841</v>
      </c>
      <c r="R1143" s="3" t="s">
        <v>159</v>
      </c>
      <c r="S1143" s="3" t="s">
        <v>2129</v>
      </c>
      <c r="T1143" s="3" t="s">
        <v>21</v>
      </c>
      <c r="U1143" s="11">
        <v>228</v>
      </c>
      <c r="V1143" s="3" t="s">
        <v>1904</v>
      </c>
      <c r="W1143" s="8" t="s">
        <v>7834</v>
      </c>
    </row>
    <row r="1144" spans="1:23" x14ac:dyDescent="0.25">
      <c r="A1144" s="2">
        <v>463</v>
      </c>
      <c r="B1144" s="3" t="s">
        <v>1904</v>
      </c>
      <c r="C1144" s="3">
        <v>2024</v>
      </c>
      <c r="D1144" s="3" t="s">
        <v>82</v>
      </c>
      <c r="E1144" s="3" t="s">
        <v>15</v>
      </c>
      <c r="F1144" s="1" t="s">
        <v>7834</v>
      </c>
      <c r="G1144" s="10"/>
      <c r="H1144" s="10"/>
      <c r="I1144" s="10"/>
      <c r="J1144" s="10"/>
      <c r="K1144" s="10"/>
      <c r="L1144" s="3" t="s">
        <v>2130</v>
      </c>
      <c r="M1144" s="3" t="s">
        <v>2131</v>
      </c>
      <c r="N1144" s="3" t="s">
        <v>18</v>
      </c>
      <c r="O1144" s="3">
        <v>533</v>
      </c>
      <c r="P1144" s="3">
        <v>3</v>
      </c>
      <c r="Q1144" s="3">
        <v>2823</v>
      </c>
      <c r="R1144" s="3" t="s">
        <v>159</v>
      </c>
      <c r="S1144" s="3" t="s">
        <v>2132</v>
      </c>
      <c r="T1144" s="3" t="s">
        <v>21</v>
      </c>
      <c r="U1144" s="11">
        <v>229</v>
      </c>
      <c r="V1144" s="3" t="s">
        <v>1904</v>
      </c>
      <c r="W1144" s="8" t="s">
        <v>7834</v>
      </c>
    </row>
    <row r="1145" spans="1:23" x14ac:dyDescent="0.25">
      <c r="A1145" s="2">
        <v>464</v>
      </c>
      <c r="B1145" s="3" t="s">
        <v>1904</v>
      </c>
      <c r="C1145" s="3">
        <v>2024</v>
      </c>
      <c r="D1145" s="3" t="s">
        <v>82</v>
      </c>
      <c r="E1145" s="3" t="s">
        <v>15</v>
      </c>
      <c r="F1145" s="1" t="s">
        <v>7834</v>
      </c>
      <c r="G1145" s="10"/>
      <c r="H1145" s="10"/>
      <c r="I1145" s="10"/>
      <c r="J1145" s="10"/>
      <c r="K1145" s="10"/>
      <c r="L1145" s="3" t="s">
        <v>2133</v>
      </c>
      <c r="M1145" s="3" t="s">
        <v>2134</v>
      </c>
      <c r="N1145" s="3" t="s">
        <v>18</v>
      </c>
      <c r="O1145" s="3">
        <v>533</v>
      </c>
      <c r="P1145" s="3">
        <v>4</v>
      </c>
      <c r="Q1145" s="3">
        <v>3893</v>
      </c>
      <c r="R1145" s="3" t="s">
        <v>159</v>
      </c>
      <c r="S1145" s="3" t="s">
        <v>2135</v>
      </c>
      <c r="T1145" s="3" t="s">
        <v>21</v>
      </c>
      <c r="U1145" s="11">
        <v>230</v>
      </c>
      <c r="V1145" s="3" t="s">
        <v>1904</v>
      </c>
      <c r="W1145" s="8" t="s">
        <v>7834</v>
      </c>
    </row>
    <row r="1146" spans="1:23" x14ac:dyDescent="0.25">
      <c r="A1146" s="2">
        <v>465</v>
      </c>
      <c r="B1146" s="3" t="s">
        <v>1904</v>
      </c>
      <c r="C1146" s="3">
        <v>2024</v>
      </c>
      <c r="D1146" s="3" t="s">
        <v>82</v>
      </c>
      <c r="E1146" s="3" t="s">
        <v>15</v>
      </c>
      <c r="F1146" s="1" t="s">
        <v>7834</v>
      </c>
      <c r="G1146" s="10"/>
      <c r="H1146" s="10"/>
      <c r="I1146" s="10"/>
      <c r="J1146" s="10"/>
      <c r="K1146" s="10"/>
      <c r="L1146" s="3" t="s">
        <v>2136</v>
      </c>
      <c r="M1146" s="3" t="s">
        <v>2137</v>
      </c>
      <c r="N1146" s="3" t="s">
        <v>28</v>
      </c>
      <c r="O1146" s="3">
        <v>689</v>
      </c>
      <c r="P1146" s="3" t="s">
        <v>2138</v>
      </c>
      <c r="Q1146" s="3"/>
      <c r="R1146" s="3" t="s">
        <v>170</v>
      </c>
      <c r="S1146" s="3" t="s">
        <v>2139</v>
      </c>
      <c r="T1146" s="3" t="s">
        <v>21</v>
      </c>
      <c r="U1146" s="11">
        <v>231</v>
      </c>
      <c r="V1146" s="3" t="s">
        <v>1904</v>
      </c>
      <c r="W1146" s="8" t="s">
        <v>7834</v>
      </c>
    </row>
    <row r="1147" spans="1:23" x14ac:dyDescent="0.25">
      <c r="A1147" s="2">
        <v>467</v>
      </c>
      <c r="B1147" s="3" t="s">
        <v>1904</v>
      </c>
      <c r="C1147" s="3">
        <v>2024</v>
      </c>
      <c r="D1147" s="3" t="s">
        <v>82</v>
      </c>
      <c r="E1147" s="3" t="s">
        <v>15</v>
      </c>
      <c r="F1147" s="1" t="s">
        <v>7834</v>
      </c>
      <c r="G1147" s="10"/>
      <c r="H1147" s="10"/>
      <c r="I1147" s="10"/>
      <c r="J1147" s="10"/>
      <c r="K1147" s="10"/>
      <c r="L1147" s="3" t="s">
        <v>2144</v>
      </c>
      <c r="M1147" s="3" t="s">
        <v>2145</v>
      </c>
      <c r="N1147" s="3" t="s">
        <v>28</v>
      </c>
      <c r="O1147" s="3">
        <v>689</v>
      </c>
      <c r="P1147" s="3" t="s">
        <v>2146</v>
      </c>
      <c r="Q1147" s="3"/>
      <c r="R1147" s="3" t="s">
        <v>170</v>
      </c>
      <c r="S1147" s="3" t="s">
        <v>2147</v>
      </c>
      <c r="T1147" s="3" t="s">
        <v>21</v>
      </c>
      <c r="U1147" s="11">
        <v>232</v>
      </c>
      <c r="V1147" s="3" t="s">
        <v>1904</v>
      </c>
      <c r="W1147" s="8" t="s">
        <v>7834</v>
      </c>
    </row>
    <row r="1148" spans="1:23" x14ac:dyDescent="0.25">
      <c r="A1148" s="2">
        <v>468</v>
      </c>
      <c r="B1148" s="3" t="s">
        <v>1904</v>
      </c>
      <c r="C1148" s="3">
        <v>2024</v>
      </c>
      <c r="D1148" s="3" t="s">
        <v>82</v>
      </c>
      <c r="E1148" s="3" t="s">
        <v>15</v>
      </c>
      <c r="F1148" s="1" t="s">
        <v>7834</v>
      </c>
      <c r="G1148" s="10"/>
      <c r="H1148" s="10"/>
      <c r="I1148" s="10"/>
      <c r="J1148" s="10"/>
      <c r="K1148" s="10"/>
      <c r="L1148" s="3" t="s">
        <v>2148</v>
      </c>
      <c r="M1148" s="3" t="s">
        <v>2149</v>
      </c>
      <c r="N1148" s="3" t="s">
        <v>28</v>
      </c>
      <c r="O1148" s="3">
        <v>689</v>
      </c>
      <c r="P1148" s="3" t="s">
        <v>2150</v>
      </c>
      <c r="Q1148" s="3"/>
      <c r="R1148" s="3" t="s">
        <v>170</v>
      </c>
      <c r="S1148" s="3" t="s">
        <v>2151</v>
      </c>
      <c r="T1148" s="3" t="s">
        <v>21</v>
      </c>
      <c r="U1148" s="11">
        <v>233</v>
      </c>
      <c r="V1148" s="3" t="s">
        <v>1904</v>
      </c>
      <c r="W1148" s="8" t="s">
        <v>7834</v>
      </c>
    </row>
    <row r="1149" spans="1:23" x14ac:dyDescent="0.25">
      <c r="A1149" s="2">
        <v>469</v>
      </c>
      <c r="B1149" s="3" t="s">
        <v>1904</v>
      </c>
      <c r="C1149" s="3">
        <v>2024</v>
      </c>
      <c r="D1149" s="3" t="s">
        <v>82</v>
      </c>
      <c r="E1149" s="3" t="s">
        <v>15</v>
      </c>
      <c r="F1149" s="1" t="s">
        <v>7834</v>
      </c>
      <c r="G1149" s="10"/>
      <c r="H1149" s="10"/>
      <c r="I1149" s="10"/>
      <c r="J1149" s="10"/>
      <c r="K1149" s="10"/>
      <c r="L1149" s="3" t="s">
        <v>2152</v>
      </c>
      <c r="M1149" s="3" t="s">
        <v>2153</v>
      </c>
      <c r="N1149" s="3" t="s">
        <v>28</v>
      </c>
      <c r="O1149" s="3">
        <v>689</v>
      </c>
      <c r="P1149" s="3" t="s">
        <v>2154</v>
      </c>
      <c r="Q1149" s="3"/>
      <c r="R1149" s="3" t="s">
        <v>170</v>
      </c>
      <c r="S1149" s="3" t="s">
        <v>2155</v>
      </c>
      <c r="T1149" s="3" t="s">
        <v>21</v>
      </c>
      <c r="U1149" s="11">
        <v>234</v>
      </c>
      <c r="V1149" s="3" t="s">
        <v>1904</v>
      </c>
      <c r="W1149" s="8" t="s">
        <v>7834</v>
      </c>
    </row>
    <row r="1150" spans="1:23" x14ac:dyDescent="0.25">
      <c r="A1150" s="2">
        <v>470</v>
      </c>
      <c r="B1150" s="3" t="s">
        <v>1904</v>
      </c>
      <c r="C1150" s="3">
        <v>2024</v>
      </c>
      <c r="D1150" s="3" t="s">
        <v>568</v>
      </c>
      <c r="E1150" s="3" t="s">
        <v>15</v>
      </c>
      <c r="F1150" s="1" t="s">
        <v>7834</v>
      </c>
      <c r="G1150" s="10"/>
      <c r="H1150" s="10"/>
      <c r="I1150" s="10"/>
      <c r="J1150" s="10"/>
      <c r="K1150" s="10"/>
      <c r="L1150" s="3" t="s">
        <v>2156</v>
      </c>
      <c r="M1150" s="3" t="s">
        <v>2157</v>
      </c>
      <c r="N1150" s="3" t="s">
        <v>41</v>
      </c>
      <c r="O1150" s="3">
        <v>969</v>
      </c>
      <c r="P1150" s="3">
        <v>2</v>
      </c>
      <c r="Q1150" s="3">
        <v>104</v>
      </c>
      <c r="R1150" s="3" t="s">
        <v>42</v>
      </c>
      <c r="S1150" s="3" t="s">
        <v>2158</v>
      </c>
      <c r="T1150" s="3" t="s">
        <v>21</v>
      </c>
      <c r="U1150" s="11">
        <v>235</v>
      </c>
      <c r="V1150" s="3" t="s">
        <v>1904</v>
      </c>
      <c r="W1150" s="8" t="s">
        <v>7834</v>
      </c>
    </row>
    <row r="1151" spans="1:23" x14ac:dyDescent="0.25">
      <c r="A1151" s="2">
        <v>471</v>
      </c>
      <c r="B1151" s="3" t="s">
        <v>1904</v>
      </c>
      <c r="C1151" s="3">
        <v>2024</v>
      </c>
      <c r="D1151" s="3" t="s">
        <v>2159</v>
      </c>
      <c r="E1151" s="3" t="s">
        <v>15</v>
      </c>
      <c r="F1151" s="1" t="s">
        <v>7834</v>
      </c>
      <c r="G1151" s="10"/>
      <c r="H1151" s="10"/>
      <c r="I1151" s="10"/>
      <c r="J1151" s="10"/>
      <c r="K1151" s="10"/>
      <c r="L1151" s="3" t="s">
        <v>2160</v>
      </c>
      <c r="M1151" s="3" t="s">
        <v>2161</v>
      </c>
      <c r="N1151" s="3" t="s">
        <v>223</v>
      </c>
      <c r="O1151" s="3">
        <v>168</v>
      </c>
      <c r="P1151" s="3">
        <v>2</v>
      </c>
      <c r="Q1151" s="3">
        <v>50</v>
      </c>
      <c r="R1151" s="3" t="s">
        <v>2162</v>
      </c>
      <c r="S1151" s="3" t="s">
        <v>2163</v>
      </c>
      <c r="T1151" s="3" t="s">
        <v>21</v>
      </c>
      <c r="U1151" s="11">
        <v>236</v>
      </c>
      <c r="V1151" s="3" t="s">
        <v>1904</v>
      </c>
      <c r="W1151" s="8" t="s">
        <v>7834</v>
      </c>
    </row>
    <row r="1152" spans="1:23" x14ac:dyDescent="0.25">
      <c r="A1152" s="2">
        <v>472</v>
      </c>
      <c r="B1152" s="3" t="s">
        <v>1904</v>
      </c>
      <c r="C1152" s="3">
        <v>2024</v>
      </c>
      <c r="D1152" s="3" t="s">
        <v>120</v>
      </c>
      <c r="E1152" s="3" t="s">
        <v>15</v>
      </c>
      <c r="F1152" s="1" t="s">
        <v>7834</v>
      </c>
      <c r="G1152" s="10"/>
      <c r="H1152" s="10"/>
      <c r="I1152" s="10"/>
      <c r="J1152" s="10"/>
      <c r="K1152" s="10"/>
      <c r="L1152" s="3" t="s">
        <v>236</v>
      </c>
      <c r="M1152" s="3" t="s">
        <v>2164</v>
      </c>
      <c r="N1152" s="3" t="s">
        <v>28</v>
      </c>
      <c r="O1152" s="3">
        <v>688</v>
      </c>
      <c r="P1152" s="3" t="s">
        <v>238</v>
      </c>
      <c r="Q1152" s="3"/>
      <c r="R1152" s="3" t="s">
        <v>170</v>
      </c>
      <c r="S1152" s="3" t="s">
        <v>239</v>
      </c>
      <c r="T1152" s="3" t="s">
        <v>21</v>
      </c>
      <c r="U1152" s="11">
        <v>237</v>
      </c>
      <c r="V1152" s="3" t="s">
        <v>1904</v>
      </c>
      <c r="W1152" s="8" t="s">
        <v>7834</v>
      </c>
    </row>
    <row r="1153" spans="1:23" x14ac:dyDescent="0.25">
      <c r="A1153" s="2">
        <v>473</v>
      </c>
      <c r="B1153" s="3" t="s">
        <v>1904</v>
      </c>
      <c r="C1153" s="3">
        <v>2024</v>
      </c>
      <c r="D1153" s="3" t="s">
        <v>639</v>
      </c>
      <c r="E1153" s="3" t="s">
        <v>15</v>
      </c>
      <c r="F1153" s="1" t="s">
        <v>7834</v>
      </c>
      <c r="G1153" s="10"/>
      <c r="H1153" s="10"/>
      <c r="I1153" s="10"/>
      <c r="J1153" s="10"/>
      <c r="K1153" s="10"/>
      <c r="L1153" s="3" t="s">
        <v>2165</v>
      </c>
      <c r="M1153" s="3" t="s">
        <v>2166</v>
      </c>
      <c r="N1153" s="3" t="s">
        <v>41</v>
      </c>
      <c r="O1153" s="3">
        <v>970</v>
      </c>
      <c r="P1153" s="3">
        <v>2</v>
      </c>
      <c r="Q1153" s="3">
        <v>189</v>
      </c>
      <c r="R1153" s="3" t="s">
        <v>42</v>
      </c>
      <c r="S1153" s="3" t="s">
        <v>2167</v>
      </c>
      <c r="T1153" s="3" t="s">
        <v>21</v>
      </c>
      <c r="U1153" s="11">
        <v>238</v>
      </c>
      <c r="V1153" s="3" t="s">
        <v>1904</v>
      </c>
      <c r="W1153" s="8" t="s">
        <v>7834</v>
      </c>
    </row>
    <row r="1154" spans="1:23" x14ac:dyDescent="0.25">
      <c r="A1154" s="2">
        <v>474</v>
      </c>
      <c r="B1154" s="3" t="s">
        <v>1904</v>
      </c>
      <c r="C1154" s="3">
        <v>2024</v>
      </c>
      <c r="D1154" s="3" t="s">
        <v>1227</v>
      </c>
      <c r="E1154" s="3" t="s">
        <v>15</v>
      </c>
      <c r="F1154" s="1" t="s">
        <v>7834</v>
      </c>
      <c r="G1154" s="10"/>
      <c r="H1154" s="10"/>
      <c r="I1154" s="10"/>
      <c r="J1154" s="10"/>
      <c r="K1154" s="10"/>
      <c r="L1154" s="3" t="s">
        <v>2168</v>
      </c>
      <c r="M1154" s="3" t="s">
        <v>2169</v>
      </c>
      <c r="N1154" s="3" t="s">
        <v>233</v>
      </c>
      <c r="O1154" s="3">
        <v>273</v>
      </c>
      <c r="P1154" s="3">
        <v>2</v>
      </c>
      <c r="Q1154" s="3">
        <v>20</v>
      </c>
      <c r="R1154" s="3" t="s">
        <v>2170</v>
      </c>
      <c r="S1154" s="3" t="s">
        <v>2171</v>
      </c>
      <c r="T1154" s="3" t="s">
        <v>21</v>
      </c>
      <c r="U1154" s="11">
        <v>239</v>
      </c>
      <c r="V1154" s="3" t="s">
        <v>1904</v>
      </c>
      <c r="W1154" s="8" t="s">
        <v>7834</v>
      </c>
    </row>
    <row r="1155" spans="1:23" x14ac:dyDescent="0.25">
      <c r="A1155" s="2">
        <v>475</v>
      </c>
      <c r="B1155" s="3" t="s">
        <v>1904</v>
      </c>
      <c r="C1155" s="3">
        <v>2024</v>
      </c>
      <c r="D1155" s="3" t="s">
        <v>389</v>
      </c>
      <c r="E1155" s="3" t="s">
        <v>15</v>
      </c>
      <c r="F1155" s="1" t="s">
        <v>7834</v>
      </c>
      <c r="G1155" s="10"/>
      <c r="H1155" s="10"/>
      <c r="I1155" s="10"/>
      <c r="J1155" s="10"/>
      <c r="K1155" s="10"/>
      <c r="L1155" s="3" t="s">
        <v>2172</v>
      </c>
      <c r="M1155" s="3" t="s">
        <v>2173</v>
      </c>
      <c r="N1155" s="3" t="s">
        <v>41</v>
      </c>
      <c r="O1155" s="3">
        <v>968</v>
      </c>
      <c r="P1155" s="3">
        <v>2</v>
      </c>
      <c r="Q1155" s="3">
        <v>88</v>
      </c>
      <c r="R1155" s="3" t="s">
        <v>42</v>
      </c>
      <c r="S1155" s="3" t="s">
        <v>2174</v>
      </c>
      <c r="T1155" s="3" t="s">
        <v>21</v>
      </c>
      <c r="U1155" s="11">
        <v>240</v>
      </c>
      <c r="V1155" s="3" t="s">
        <v>1904</v>
      </c>
      <c r="W1155" s="8" t="s">
        <v>7834</v>
      </c>
    </row>
    <row r="1156" spans="1:23" x14ac:dyDescent="0.25">
      <c r="A1156" s="2">
        <v>476</v>
      </c>
      <c r="B1156" s="3" t="s">
        <v>1904</v>
      </c>
      <c r="C1156" s="3">
        <v>2024</v>
      </c>
      <c r="D1156" s="3" t="s">
        <v>93</v>
      </c>
      <c r="E1156" s="3" t="s">
        <v>15</v>
      </c>
      <c r="F1156" s="1" t="s">
        <v>7834</v>
      </c>
      <c r="G1156" s="10"/>
      <c r="H1156" s="10"/>
      <c r="I1156" s="10"/>
      <c r="J1156" s="10"/>
      <c r="K1156" s="10"/>
      <c r="L1156" s="3" t="s">
        <v>2175</v>
      </c>
      <c r="M1156" s="3" t="s">
        <v>2176</v>
      </c>
      <c r="N1156" s="3" t="s">
        <v>28</v>
      </c>
      <c r="O1156" s="3">
        <v>687</v>
      </c>
      <c r="P1156" s="3" t="s">
        <v>2177</v>
      </c>
      <c r="Q1156" s="3"/>
      <c r="R1156" s="3" t="s">
        <v>170</v>
      </c>
      <c r="S1156" s="3" t="s">
        <v>2178</v>
      </c>
      <c r="T1156" s="3" t="s">
        <v>21</v>
      </c>
      <c r="U1156" s="11">
        <v>241</v>
      </c>
      <c r="V1156" s="3" t="s">
        <v>1904</v>
      </c>
      <c r="W1156" s="8" t="s">
        <v>7834</v>
      </c>
    </row>
    <row r="1157" spans="1:23" x14ac:dyDescent="0.25">
      <c r="A1157" s="2">
        <v>477</v>
      </c>
      <c r="B1157" s="3" t="s">
        <v>1904</v>
      </c>
      <c r="C1157" s="3">
        <v>2024</v>
      </c>
      <c r="D1157" s="3" t="s">
        <v>120</v>
      </c>
      <c r="E1157" s="3" t="s">
        <v>15</v>
      </c>
      <c r="F1157" s="1" t="s">
        <v>7834</v>
      </c>
      <c r="G1157" s="10"/>
      <c r="H1157" s="10"/>
      <c r="I1157" s="10"/>
      <c r="J1157" s="10"/>
      <c r="K1157" s="10"/>
      <c r="L1157" s="3" t="s">
        <v>2179</v>
      </c>
      <c r="M1157" s="3" t="s">
        <v>2180</v>
      </c>
      <c r="N1157" s="3" t="s">
        <v>28</v>
      </c>
      <c r="O1157" s="3">
        <v>688</v>
      </c>
      <c r="P1157" s="3" t="s">
        <v>2181</v>
      </c>
      <c r="Q1157" s="3"/>
      <c r="R1157" s="3" t="s">
        <v>170</v>
      </c>
      <c r="S1157" s="3" t="s">
        <v>2182</v>
      </c>
      <c r="T1157" s="3" t="s">
        <v>21</v>
      </c>
      <c r="U1157" s="11">
        <v>242</v>
      </c>
      <c r="V1157" s="3" t="s">
        <v>1904</v>
      </c>
      <c r="W1157" s="8" t="s">
        <v>7834</v>
      </c>
    </row>
    <row r="1158" spans="1:23" x14ac:dyDescent="0.25">
      <c r="A1158" s="2">
        <v>478</v>
      </c>
      <c r="B1158" s="3" t="s">
        <v>1904</v>
      </c>
      <c r="C1158" s="3">
        <v>2024</v>
      </c>
      <c r="D1158" s="3" t="s">
        <v>120</v>
      </c>
      <c r="E1158" s="3" t="s">
        <v>15</v>
      </c>
      <c r="F1158" s="1" t="s">
        <v>7834</v>
      </c>
      <c r="G1158" s="10"/>
      <c r="H1158" s="10"/>
      <c r="I1158" s="10"/>
      <c r="J1158" s="10"/>
      <c r="K1158" s="10"/>
      <c r="L1158" s="3" t="s">
        <v>2183</v>
      </c>
      <c r="M1158" s="3" t="s">
        <v>2184</v>
      </c>
      <c r="N1158" s="3" t="s">
        <v>28</v>
      </c>
      <c r="O1158" s="3">
        <v>688</v>
      </c>
      <c r="P1158" s="3" t="s">
        <v>2185</v>
      </c>
      <c r="Q1158" s="3"/>
      <c r="R1158" s="3" t="s">
        <v>170</v>
      </c>
      <c r="S1158" s="3" t="s">
        <v>2186</v>
      </c>
      <c r="T1158" s="3" t="s">
        <v>21</v>
      </c>
      <c r="U1158" s="11">
        <v>243</v>
      </c>
      <c r="V1158" s="3" t="s">
        <v>1904</v>
      </c>
      <c r="W1158" s="8" t="s">
        <v>7834</v>
      </c>
    </row>
    <row r="1159" spans="1:23" x14ac:dyDescent="0.25">
      <c r="A1159" s="2">
        <v>480</v>
      </c>
      <c r="B1159" s="3" t="s">
        <v>1904</v>
      </c>
      <c r="C1159" s="3">
        <v>2024</v>
      </c>
      <c r="D1159" s="3" t="s">
        <v>120</v>
      </c>
      <c r="E1159" s="3" t="s">
        <v>15</v>
      </c>
      <c r="F1159" s="1" t="s">
        <v>7834</v>
      </c>
      <c r="G1159" s="10"/>
      <c r="H1159" s="10"/>
      <c r="I1159" s="10"/>
      <c r="J1159" s="10"/>
      <c r="K1159" s="10"/>
      <c r="L1159" s="3" t="s">
        <v>2191</v>
      </c>
      <c r="M1159" s="3" t="s">
        <v>2192</v>
      </c>
      <c r="N1159" s="3" t="s">
        <v>18</v>
      </c>
      <c r="O1159" s="3">
        <v>532</v>
      </c>
      <c r="P1159" s="3">
        <v>4</v>
      </c>
      <c r="Q1159" s="3">
        <v>3694</v>
      </c>
      <c r="R1159" s="3" t="s">
        <v>159</v>
      </c>
      <c r="S1159" s="3" t="s">
        <v>2193</v>
      </c>
      <c r="T1159" s="3" t="s">
        <v>21</v>
      </c>
      <c r="U1159" s="11">
        <v>244</v>
      </c>
      <c r="V1159" s="3" t="s">
        <v>1904</v>
      </c>
      <c r="W1159" s="8" t="s">
        <v>7834</v>
      </c>
    </row>
    <row r="1160" spans="1:23" x14ac:dyDescent="0.25">
      <c r="A1160" s="2">
        <v>481</v>
      </c>
      <c r="B1160" s="3" t="s">
        <v>1904</v>
      </c>
      <c r="C1160" s="3">
        <v>2024</v>
      </c>
      <c r="D1160" s="3" t="s">
        <v>596</v>
      </c>
      <c r="E1160" s="3" t="s">
        <v>15</v>
      </c>
      <c r="F1160" s="1" t="s">
        <v>7834</v>
      </c>
      <c r="G1160" s="10"/>
      <c r="H1160" s="10"/>
      <c r="I1160" s="10"/>
      <c r="J1160" s="10"/>
      <c r="K1160" s="10"/>
      <c r="L1160" s="3" t="s">
        <v>2194</v>
      </c>
      <c r="M1160" s="3" t="s">
        <v>2195</v>
      </c>
      <c r="N1160" s="3" t="s">
        <v>223</v>
      </c>
      <c r="O1160" s="3">
        <v>168</v>
      </c>
      <c r="P1160" s="3">
        <v>2</v>
      </c>
      <c r="Q1160" s="3">
        <v>62</v>
      </c>
      <c r="R1160" s="3" t="s">
        <v>2162</v>
      </c>
      <c r="S1160" s="3" t="s">
        <v>2196</v>
      </c>
      <c r="T1160" s="3" t="s">
        <v>21</v>
      </c>
      <c r="U1160" s="11">
        <v>245</v>
      </c>
      <c r="V1160" s="3" t="s">
        <v>1904</v>
      </c>
      <c r="W1160" s="8" t="s">
        <v>7834</v>
      </c>
    </row>
    <row r="1161" spans="1:23" x14ac:dyDescent="0.25">
      <c r="A1161" s="2">
        <v>482</v>
      </c>
      <c r="B1161" s="3" t="s">
        <v>1904</v>
      </c>
      <c r="C1161" s="3">
        <v>2024</v>
      </c>
      <c r="D1161" s="3" t="s">
        <v>2197</v>
      </c>
      <c r="E1161" s="3" t="s">
        <v>15</v>
      </c>
      <c r="F1161" s="1" t="s">
        <v>7834</v>
      </c>
      <c r="G1161" s="10"/>
      <c r="H1161" s="10"/>
      <c r="I1161" s="10"/>
      <c r="J1161" s="10"/>
      <c r="K1161" s="10"/>
      <c r="L1161" s="3" t="s">
        <v>2198</v>
      </c>
      <c r="M1161" s="3" t="s">
        <v>2199</v>
      </c>
      <c r="N1161" s="3" t="s">
        <v>223</v>
      </c>
      <c r="O1161" s="3">
        <v>168</v>
      </c>
      <c r="P1161" s="3">
        <v>3</v>
      </c>
      <c r="Q1161" s="3">
        <v>133</v>
      </c>
      <c r="R1161" s="3" t="s">
        <v>2162</v>
      </c>
      <c r="S1161" s="3" t="s">
        <v>2200</v>
      </c>
      <c r="T1161" s="3" t="s">
        <v>21</v>
      </c>
      <c r="U1161" s="11">
        <v>246</v>
      </c>
      <c r="V1161" s="3" t="s">
        <v>1904</v>
      </c>
      <c r="W1161" s="8" t="s">
        <v>7834</v>
      </c>
    </row>
    <row r="1162" spans="1:23" x14ac:dyDescent="0.25">
      <c r="A1162" s="2">
        <v>483</v>
      </c>
      <c r="B1162" s="3" t="s">
        <v>1904</v>
      </c>
      <c r="C1162" s="3">
        <v>2024</v>
      </c>
      <c r="D1162" s="3" t="s">
        <v>82</v>
      </c>
      <c r="E1162" s="3" t="s">
        <v>15</v>
      </c>
      <c r="F1162" s="1" t="s">
        <v>7834</v>
      </c>
      <c r="G1162" s="10"/>
      <c r="H1162" s="10"/>
      <c r="I1162" s="10"/>
      <c r="J1162" s="10"/>
      <c r="K1162" s="10"/>
      <c r="L1162" s="3" t="s">
        <v>2201</v>
      </c>
      <c r="M1162" s="3" t="s">
        <v>2202</v>
      </c>
      <c r="N1162" s="3" t="s">
        <v>28</v>
      </c>
      <c r="O1162" s="3">
        <v>689</v>
      </c>
      <c r="P1162" s="3" t="s">
        <v>2203</v>
      </c>
      <c r="Q1162" s="3"/>
      <c r="R1162" s="3" t="s">
        <v>170</v>
      </c>
      <c r="S1162" s="3" t="s">
        <v>2204</v>
      </c>
      <c r="T1162" s="3" t="s">
        <v>21</v>
      </c>
      <c r="U1162" s="11">
        <v>247</v>
      </c>
      <c r="V1162" s="3" t="s">
        <v>1904</v>
      </c>
      <c r="W1162" s="8" t="s">
        <v>7834</v>
      </c>
    </row>
    <row r="1163" spans="1:23" x14ac:dyDescent="0.25">
      <c r="A1163" s="2">
        <v>484</v>
      </c>
      <c r="B1163" s="3" t="s">
        <v>1904</v>
      </c>
      <c r="C1163" s="3">
        <v>2024</v>
      </c>
      <c r="D1163" s="3" t="s">
        <v>93</v>
      </c>
      <c r="E1163" s="3" t="s">
        <v>15</v>
      </c>
      <c r="F1163" s="1" t="s">
        <v>7834</v>
      </c>
      <c r="G1163" s="10"/>
      <c r="H1163" s="10"/>
      <c r="I1163" s="10"/>
      <c r="J1163" s="10"/>
      <c r="K1163" s="10"/>
      <c r="L1163" s="3" t="s">
        <v>2205</v>
      </c>
      <c r="M1163" s="3" t="s">
        <v>2206</v>
      </c>
      <c r="N1163" s="3" t="s">
        <v>28</v>
      </c>
      <c r="O1163" s="3">
        <v>687</v>
      </c>
      <c r="P1163" s="3" t="s">
        <v>263</v>
      </c>
      <c r="Q1163" s="3"/>
      <c r="R1163" s="3" t="s">
        <v>170</v>
      </c>
      <c r="S1163" s="3" t="s">
        <v>2207</v>
      </c>
      <c r="T1163" s="3" t="s">
        <v>21</v>
      </c>
      <c r="U1163" s="11">
        <v>248</v>
      </c>
      <c r="V1163" s="3" t="s">
        <v>1904</v>
      </c>
      <c r="W1163" s="8" t="s">
        <v>7834</v>
      </c>
    </row>
    <row r="1164" spans="1:23" x14ac:dyDescent="0.25">
      <c r="A1164" s="2">
        <v>485</v>
      </c>
      <c r="B1164" s="3" t="s">
        <v>1904</v>
      </c>
      <c r="C1164" s="3">
        <v>2024</v>
      </c>
      <c r="D1164" s="3" t="s">
        <v>120</v>
      </c>
      <c r="E1164" s="3" t="s">
        <v>15</v>
      </c>
      <c r="F1164" s="1" t="s">
        <v>7834</v>
      </c>
      <c r="G1164" s="10"/>
      <c r="H1164" s="10"/>
      <c r="I1164" s="10"/>
      <c r="J1164" s="10"/>
      <c r="K1164" s="10"/>
      <c r="L1164" s="3" t="s">
        <v>2208</v>
      </c>
      <c r="M1164" s="3" t="s">
        <v>2209</v>
      </c>
      <c r="N1164" s="3" t="s">
        <v>28</v>
      </c>
      <c r="O1164" s="3">
        <v>688</v>
      </c>
      <c r="P1164" s="3" t="s">
        <v>2210</v>
      </c>
      <c r="Q1164" s="3"/>
      <c r="R1164" s="3" t="s">
        <v>170</v>
      </c>
      <c r="S1164" s="3" t="s">
        <v>2211</v>
      </c>
      <c r="T1164" s="3" t="s">
        <v>21</v>
      </c>
      <c r="U1164" s="11">
        <v>249</v>
      </c>
      <c r="V1164" s="3" t="s">
        <v>1904</v>
      </c>
      <c r="W1164" s="8" t="s">
        <v>7834</v>
      </c>
    </row>
    <row r="1165" spans="1:23" x14ac:dyDescent="0.25">
      <c r="A1165" s="2">
        <v>486</v>
      </c>
      <c r="B1165" s="3" t="s">
        <v>1904</v>
      </c>
      <c r="C1165" s="3">
        <v>2024</v>
      </c>
      <c r="D1165" s="3" t="s">
        <v>602</v>
      </c>
      <c r="E1165" s="3" t="s">
        <v>15</v>
      </c>
      <c r="F1165" s="1" t="s">
        <v>7834</v>
      </c>
      <c r="G1165" s="10"/>
      <c r="H1165" s="10"/>
      <c r="I1165" s="10"/>
      <c r="J1165" s="10"/>
      <c r="K1165" s="10"/>
      <c r="L1165" s="3" t="s">
        <v>2212</v>
      </c>
      <c r="M1165" s="3" t="s">
        <v>2213</v>
      </c>
      <c r="N1165" s="3" t="s">
        <v>223</v>
      </c>
      <c r="O1165" s="3">
        <v>168</v>
      </c>
      <c r="P1165" s="3">
        <v>1</v>
      </c>
      <c r="Q1165" s="3">
        <v>9</v>
      </c>
      <c r="R1165" s="3" t="s">
        <v>2162</v>
      </c>
      <c r="S1165" s="3" t="s">
        <v>2214</v>
      </c>
      <c r="T1165" s="3" t="s">
        <v>21</v>
      </c>
      <c r="U1165" s="11">
        <v>250</v>
      </c>
      <c r="V1165" s="3" t="s">
        <v>1904</v>
      </c>
      <c r="W1165" s="8" t="s">
        <v>7834</v>
      </c>
    </row>
    <row r="1166" spans="1:23" x14ac:dyDescent="0.25">
      <c r="A1166" s="2">
        <v>487</v>
      </c>
      <c r="B1166" s="3" t="s">
        <v>1904</v>
      </c>
      <c r="C1166" s="3">
        <v>2024</v>
      </c>
      <c r="D1166" s="3" t="s">
        <v>530</v>
      </c>
      <c r="E1166" s="3" t="s">
        <v>15</v>
      </c>
      <c r="F1166" s="1" t="s">
        <v>7834</v>
      </c>
      <c r="G1166" s="10"/>
      <c r="H1166" s="10"/>
      <c r="I1166" s="10"/>
      <c r="J1166" s="10"/>
      <c r="K1166" s="10"/>
      <c r="L1166" s="3" t="s">
        <v>2215</v>
      </c>
      <c r="M1166" s="3" t="s">
        <v>2216</v>
      </c>
      <c r="N1166" s="3" t="s">
        <v>41</v>
      </c>
      <c r="O1166" s="3">
        <v>969</v>
      </c>
      <c r="P1166" s="3">
        <v>1</v>
      </c>
      <c r="Q1166" s="3">
        <v>57</v>
      </c>
      <c r="R1166" s="3" t="s">
        <v>42</v>
      </c>
      <c r="S1166" s="3" t="s">
        <v>2217</v>
      </c>
      <c r="T1166" s="3" t="s">
        <v>21</v>
      </c>
      <c r="U1166" s="11">
        <v>251</v>
      </c>
      <c r="V1166" s="3" t="s">
        <v>1904</v>
      </c>
      <c r="W1166" s="8" t="s">
        <v>7834</v>
      </c>
    </row>
    <row r="1167" spans="1:23" x14ac:dyDescent="0.25">
      <c r="A1167" s="2">
        <v>488</v>
      </c>
      <c r="B1167" s="3" t="s">
        <v>1904</v>
      </c>
      <c r="C1167" s="3">
        <v>2024</v>
      </c>
      <c r="D1167" s="3" t="s">
        <v>31</v>
      </c>
      <c r="E1167" s="3" t="s">
        <v>15</v>
      </c>
      <c r="F1167" s="1" t="s">
        <v>7834</v>
      </c>
      <c r="G1167" s="10"/>
      <c r="H1167" s="10"/>
      <c r="I1167" s="10"/>
      <c r="J1167" s="10"/>
      <c r="K1167" s="10"/>
      <c r="L1167" s="3" t="s">
        <v>2218</v>
      </c>
      <c r="M1167" s="3" t="s">
        <v>2219</v>
      </c>
      <c r="N1167" s="3" t="s">
        <v>18</v>
      </c>
      <c r="O1167" s="3">
        <v>531</v>
      </c>
      <c r="P1167" s="3">
        <v>1</v>
      </c>
      <c r="Q1167" s="3">
        <v>1905</v>
      </c>
      <c r="R1167" s="3" t="s">
        <v>159</v>
      </c>
      <c r="S1167" s="3" t="s">
        <v>2220</v>
      </c>
      <c r="T1167" s="3" t="s">
        <v>21</v>
      </c>
      <c r="U1167" s="11">
        <v>252</v>
      </c>
      <c r="V1167" s="3" t="s">
        <v>1904</v>
      </c>
      <c r="W1167" s="8" t="s">
        <v>7834</v>
      </c>
    </row>
    <row r="1168" spans="1:23" x14ac:dyDescent="0.25">
      <c r="A1168" s="2">
        <v>489</v>
      </c>
      <c r="B1168" s="3" t="s">
        <v>1904</v>
      </c>
      <c r="C1168" s="3">
        <v>2024</v>
      </c>
      <c r="D1168" s="3" t="s">
        <v>31</v>
      </c>
      <c r="E1168" s="3" t="s">
        <v>15</v>
      </c>
      <c r="F1168" s="1" t="s">
        <v>7834</v>
      </c>
      <c r="G1168" s="10"/>
      <c r="H1168" s="10"/>
      <c r="I1168" s="10"/>
      <c r="J1168" s="10"/>
      <c r="K1168" s="10"/>
      <c r="L1168" s="3" t="s">
        <v>2221</v>
      </c>
      <c r="M1168" s="3" t="s">
        <v>2222</v>
      </c>
      <c r="N1168" s="3" t="s">
        <v>2223</v>
      </c>
      <c r="O1168" s="3">
        <v>136</v>
      </c>
      <c r="P1168" s="3">
        <v>6</v>
      </c>
      <c r="Q1168" s="3">
        <v>64501</v>
      </c>
      <c r="R1168" s="3" t="s">
        <v>2224</v>
      </c>
      <c r="S1168" s="3" t="s">
        <v>2225</v>
      </c>
      <c r="T1168" s="3" t="s">
        <v>21</v>
      </c>
      <c r="U1168" s="11">
        <v>253</v>
      </c>
      <c r="V1168" s="3" t="s">
        <v>1904</v>
      </c>
      <c r="W1168" s="8" t="s">
        <v>7834</v>
      </c>
    </row>
    <row r="1169" spans="1:23" x14ac:dyDescent="0.25">
      <c r="A1169" s="2">
        <v>490</v>
      </c>
      <c r="B1169" s="3" t="s">
        <v>1904</v>
      </c>
      <c r="C1169" s="3">
        <v>2024</v>
      </c>
      <c r="D1169" s="3" t="s">
        <v>389</v>
      </c>
      <c r="E1169" s="3" t="s">
        <v>15</v>
      </c>
      <c r="F1169" s="1" t="s">
        <v>7834</v>
      </c>
      <c r="G1169" s="10"/>
      <c r="H1169" s="10"/>
      <c r="I1169" s="10"/>
      <c r="J1169" s="10"/>
      <c r="K1169" s="10"/>
      <c r="L1169" s="3" t="s">
        <v>2226</v>
      </c>
      <c r="M1169" s="3" t="s">
        <v>2227</v>
      </c>
      <c r="N1169" s="3" t="s">
        <v>28</v>
      </c>
      <c r="O1169" s="3">
        <v>686</v>
      </c>
      <c r="P1169" s="3" t="s">
        <v>2228</v>
      </c>
      <c r="Q1169" s="3"/>
      <c r="R1169" s="3" t="s">
        <v>170</v>
      </c>
      <c r="S1169" s="3" t="s">
        <v>2229</v>
      </c>
      <c r="T1169" s="3" t="s">
        <v>21</v>
      </c>
      <c r="U1169" s="11">
        <v>254</v>
      </c>
      <c r="V1169" s="3" t="s">
        <v>1904</v>
      </c>
      <c r="W1169" s="8" t="s">
        <v>7834</v>
      </c>
    </row>
    <row r="1170" spans="1:23" x14ac:dyDescent="0.25">
      <c r="A1170" s="2">
        <v>491</v>
      </c>
      <c r="B1170" s="3" t="s">
        <v>1904</v>
      </c>
      <c r="C1170" s="3">
        <v>2024</v>
      </c>
      <c r="D1170" s="3" t="s">
        <v>167</v>
      </c>
      <c r="E1170" s="3" t="s">
        <v>15</v>
      </c>
      <c r="F1170" s="1" t="s">
        <v>7834</v>
      </c>
      <c r="G1170" s="10">
        <v>85</v>
      </c>
      <c r="H1170" s="10"/>
      <c r="I1170" s="10"/>
      <c r="J1170" s="10"/>
      <c r="K1170" s="10"/>
      <c r="L1170" s="3" t="s">
        <v>2230</v>
      </c>
      <c r="M1170" s="3" t="s">
        <v>2231</v>
      </c>
      <c r="N1170" s="3" t="s">
        <v>28</v>
      </c>
      <c r="O1170" s="3">
        <v>686</v>
      </c>
      <c r="P1170" s="3" t="s">
        <v>2232</v>
      </c>
      <c r="Q1170" s="3"/>
      <c r="R1170" s="3" t="s">
        <v>170</v>
      </c>
      <c r="S1170" s="3" t="s">
        <v>2233</v>
      </c>
      <c r="T1170" s="3" t="s">
        <v>21</v>
      </c>
      <c r="U1170" s="11">
        <v>255</v>
      </c>
      <c r="V1170" s="3" t="s">
        <v>1904</v>
      </c>
      <c r="W1170" s="8" t="s">
        <v>7834</v>
      </c>
    </row>
    <row r="1171" spans="1:23" x14ac:dyDescent="0.25">
      <c r="A1171" s="2">
        <v>436</v>
      </c>
      <c r="B1171" s="3" t="s">
        <v>1904</v>
      </c>
      <c r="C1171" s="3">
        <v>2024</v>
      </c>
      <c r="D1171" s="3" t="s">
        <v>63</v>
      </c>
      <c r="E1171" s="3" t="s">
        <v>206</v>
      </c>
      <c r="F1171" s="1" t="s">
        <v>7834</v>
      </c>
      <c r="G1171" s="10"/>
      <c r="H1171" s="10"/>
      <c r="I1171" s="10"/>
      <c r="J1171" s="10"/>
      <c r="K1171" s="10"/>
      <c r="L1171" s="3" t="s">
        <v>2025</v>
      </c>
      <c r="M1171" s="3" t="s">
        <v>2026</v>
      </c>
      <c r="N1171" s="3" t="s">
        <v>2027</v>
      </c>
      <c r="O1171" s="3">
        <v>529</v>
      </c>
      <c r="P1171" s="3">
        <v>1</v>
      </c>
      <c r="Q1171" s="3" t="s">
        <v>2028</v>
      </c>
      <c r="R1171" s="3" t="s">
        <v>2029</v>
      </c>
      <c r="S1171" s="3" t="s">
        <v>2030</v>
      </c>
      <c r="T1171" s="3" t="s">
        <v>21</v>
      </c>
      <c r="U1171" s="11">
        <v>256</v>
      </c>
      <c r="V1171" s="3" t="s">
        <v>1904</v>
      </c>
      <c r="W1171" s="8" t="s">
        <v>7834</v>
      </c>
    </row>
    <row r="1172" spans="1:23" x14ac:dyDescent="0.25">
      <c r="A1172" s="2">
        <v>466</v>
      </c>
      <c r="B1172" s="3" t="s">
        <v>1904</v>
      </c>
      <c r="C1172" s="3">
        <v>2024</v>
      </c>
      <c r="D1172" s="3" t="s">
        <v>82</v>
      </c>
      <c r="E1172" s="3" t="s">
        <v>206</v>
      </c>
      <c r="F1172" s="1" t="s">
        <v>7834</v>
      </c>
      <c r="G1172" s="10"/>
      <c r="H1172" s="10"/>
      <c r="I1172" s="10"/>
      <c r="J1172" s="10"/>
      <c r="K1172" s="10"/>
      <c r="L1172" s="3" t="s">
        <v>2140</v>
      </c>
      <c r="M1172" s="3" t="s">
        <v>2141</v>
      </c>
      <c r="N1172" s="3" t="s">
        <v>28</v>
      </c>
      <c r="O1172" s="3">
        <v>689</v>
      </c>
      <c r="P1172" s="3" t="s">
        <v>2142</v>
      </c>
      <c r="Q1172" s="3" t="s">
        <v>2143</v>
      </c>
      <c r="R1172" s="3" t="s">
        <v>170</v>
      </c>
      <c r="S1172" s="3" t="s">
        <v>2143</v>
      </c>
      <c r="T1172" s="3" t="s">
        <v>21</v>
      </c>
      <c r="U1172" s="11">
        <v>257</v>
      </c>
      <c r="V1172" s="3" t="s">
        <v>1904</v>
      </c>
      <c r="W1172" s="8" t="s">
        <v>7834</v>
      </c>
    </row>
    <row r="1173" spans="1:23" x14ac:dyDescent="0.25">
      <c r="A1173" s="2">
        <v>479</v>
      </c>
      <c r="B1173" s="3" t="s">
        <v>1904</v>
      </c>
      <c r="C1173" s="3">
        <v>2024</v>
      </c>
      <c r="D1173" s="3" t="s">
        <v>82</v>
      </c>
      <c r="E1173" s="3" t="s">
        <v>206</v>
      </c>
      <c r="F1173" s="1" t="s">
        <v>7834</v>
      </c>
      <c r="G1173" s="10"/>
      <c r="H1173" s="10"/>
      <c r="I1173" s="10"/>
      <c r="J1173" s="10"/>
      <c r="K1173" s="10">
        <v>3</v>
      </c>
      <c r="L1173" s="3" t="s">
        <v>2187</v>
      </c>
      <c r="M1173" s="3" t="s">
        <v>2188</v>
      </c>
      <c r="N1173" s="3" t="s">
        <v>28</v>
      </c>
      <c r="O1173" s="3">
        <v>689</v>
      </c>
      <c r="P1173" s="3" t="s">
        <v>2189</v>
      </c>
      <c r="Q1173" s="3"/>
      <c r="R1173" s="3" t="s">
        <v>170</v>
      </c>
      <c r="S1173" s="3" t="s">
        <v>2190</v>
      </c>
      <c r="T1173" s="3" t="s">
        <v>21</v>
      </c>
      <c r="U1173" s="11">
        <v>258</v>
      </c>
      <c r="V1173" s="3" t="s">
        <v>1904</v>
      </c>
      <c r="W1173" s="8" t="s">
        <v>7834</v>
      </c>
    </row>
    <row r="1174" spans="1:23" x14ac:dyDescent="0.25">
      <c r="A1174" s="2">
        <v>493</v>
      </c>
      <c r="B1174" s="3" t="s">
        <v>2234</v>
      </c>
      <c r="C1174" s="3">
        <v>2024</v>
      </c>
      <c r="D1174" s="3" t="s">
        <v>1723</v>
      </c>
      <c r="E1174" s="3" t="s">
        <v>15</v>
      </c>
      <c r="F1174" s="1" t="s">
        <v>7834</v>
      </c>
      <c r="G1174" s="10"/>
      <c r="H1174" s="10"/>
      <c r="I1174" s="10"/>
      <c r="J1174" s="10"/>
      <c r="K1174" s="10"/>
      <c r="L1174" s="3" t="s">
        <v>1724</v>
      </c>
      <c r="M1174" s="3" t="s">
        <v>2238</v>
      </c>
      <c r="N1174" s="3" t="s">
        <v>2239</v>
      </c>
      <c r="O1174" s="3">
        <v>19</v>
      </c>
      <c r="P1174" s="3">
        <v>1</v>
      </c>
      <c r="Q1174" s="3"/>
      <c r="R1174" s="3" t="s">
        <v>359</v>
      </c>
      <c r="S1174" s="3" t="s">
        <v>1727</v>
      </c>
      <c r="T1174" s="3" t="s">
        <v>21</v>
      </c>
      <c r="U1174" s="11">
        <v>259</v>
      </c>
      <c r="V1174" s="3" t="s">
        <v>2234</v>
      </c>
      <c r="W1174" s="8" t="s">
        <v>7834</v>
      </c>
    </row>
    <row r="1175" spans="1:23" x14ac:dyDescent="0.25">
      <c r="A1175" s="2">
        <v>494</v>
      </c>
      <c r="B1175" s="3" t="s">
        <v>2234</v>
      </c>
      <c r="C1175" s="3">
        <v>2024</v>
      </c>
      <c r="D1175" s="3" t="s">
        <v>1497</v>
      </c>
      <c r="E1175" s="3" t="s">
        <v>15</v>
      </c>
      <c r="F1175" s="1" t="s">
        <v>7834</v>
      </c>
      <c r="G1175" s="10"/>
      <c r="H1175" s="10"/>
      <c r="I1175" s="10"/>
      <c r="J1175" s="10"/>
      <c r="K1175" s="10"/>
      <c r="L1175" s="3" t="s">
        <v>1710</v>
      </c>
      <c r="M1175" s="3" t="s">
        <v>2240</v>
      </c>
      <c r="N1175" s="3" t="s">
        <v>2241</v>
      </c>
      <c r="O1175" s="3">
        <v>75</v>
      </c>
      <c r="P1175" s="3">
        <v>11</v>
      </c>
      <c r="Q1175" s="3">
        <v>3596</v>
      </c>
      <c r="R1175" s="3" t="s">
        <v>1658</v>
      </c>
      <c r="S1175" s="3" t="s">
        <v>1712</v>
      </c>
      <c r="T1175" s="3" t="s">
        <v>21</v>
      </c>
      <c r="U1175" s="11">
        <v>260</v>
      </c>
      <c r="V1175" s="3" t="s">
        <v>2234</v>
      </c>
      <c r="W1175" s="8" t="s">
        <v>7834</v>
      </c>
    </row>
    <row r="1176" spans="1:23" x14ac:dyDescent="0.25">
      <c r="A1176" s="2">
        <v>495</v>
      </c>
      <c r="B1176" s="3" t="s">
        <v>2234</v>
      </c>
      <c r="C1176" s="3">
        <v>2024</v>
      </c>
      <c r="D1176" s="3" t="s">
        <v>1863</v>
      </c>
      <c r="E1176" s="3" t="s">
        <v>15</v>
      </c>
      <c r="F1176" s="1" t="s">
        <v>7834</v>
      </c>
      <c r="G1176" s="10"/>
      <c r="H1176" s="10"/>
      <c r="I1176" s="10"/>
      <c r="J1176" s="10"/>
      <c r="K1176" s="10"/>
      <c r="L1176" s="3" t="s">
        <v>2242</v>
      </c>
      <c r="M1176" s="3" t="s">
        <v>2243</v>
      </c>
      <c r="N1176" s="3" t="s">
        <v>2244</v>
      </c>
      <c r="O1176" s="3"/>
      <c r="P1176" s="3"/>
      <c r="Q1176" s="3"/>
      <c r="R1176" s="3" t="s">
        <v>2245</v>
      </c>
      <c r="S1176" s="3" t="s">
        <v>2246</v>
      </c>
      <c r="T1176" s="3" t="s">
        <v>21</v>
      </c>
      <c r="U1176" s="11">
        <v>261</v>
      </c>
      <c r="V1176" s="3" t="s">
        <v>2234</v>
      </c>
      <c r="W1176" s="8" t="s">
        <v>7834</v>
      </c>
    </row>
    <row r="1177" spans="1:23" x14ac:dyDescent="0.25">
      <c r="A1177" s="2">
        <v>496</v>
      </c>
      <c r="B1177" s="3" t="s">
        <v>2234</v>
      </c>
      <c r="C1177" s="3">
        <v>2024</v>
      </c>
      <c r="D1177" s="3" t="s">
        <v>2247</v>
      </c>
      <c r="E1177" s="3" t="s">
        <v>15</v>
      </c>
      <c r="F1177" s="1" t="s">
        <v>7834</v>
      </c>
      <c r="G1177" s="10"/>
      <c r="H1177" s="10"/>
      <c r="I1177" s="10"/>
      <c r="J1177" s="10"/>
      <c r="K1177" s="10"/>
      <c r="L1177" s="3" t="s">
        <v>2248</v>
      </c>
      <c r="M1177" s="3" t="s">
        <v>2249</v>
      </c>
      <c r="N1177" s="3" t="s">
        <v>1657</v>
      </c>
      <c r="O1177" s="3">
        <v>75</v>
      </c>
      <c r="P1177" s="3">
        <v>14</v>
      </c>
      <c r="Q1177" s="3">
        <v>4171</v>
      </c>
      <c r="R1177" s="3" t="s">
        <v>1658</v>
      </c>
      <c r="S1177" s="3" t="s">
        <v>2250</v>
      </c>
      <c r="T1177" s="3" t="s">
        <v>21</v>
      </c>
      <c r="U1177" s="11">
        <v>262</v>
      </c>
      <c r="V1177" s="3" t="s">
        <v>2234</v>
      </c>
      <c r="W1177" s="8" t="s">
        <v>7834</v>
      </c>
    </row>
    <row r="1178" spans="1:23" x14ac:dyDescent="0.25">
      <c r="A1178" s="2">
        <v>497</v>
      </c>
      <c r="B1178" s="3" t="s">
        <v>2234</v>
      </c>
      <c r="C1178" s="3">
        <v>2024</v>
      </c>
      <c r="D1178" s="3" t="s">
        <v>1132</v>
      </c>
      <c r="E1178" s="3" t="s">
        <v>15</v>
      </c>
      <c r="F1178" s="1" t="s">
        <v>7834</v>
      </c>
      <c r="G1178" s="10"/>
      <c r="H1178" s="10"/>
      <c r="I1178" s="10"/>
      <c r="J1178" s="10"/>
      <c r="K1178" s="10"/>
      <c r="L1178" s="3" t="s">
        <v>2251</v>
      </c>
      <c r="M1178" s="3" t="s">
        <v>2252</v>
      </c>
      <c r="N1178" s="3" t="s">
        <v>2253</v>
      </c>
      <c r="O1178" s="3"/>
      <c r="P1178" s="3"/>
      <c r="Q1178" s="3"/>
      <c r="R1178" s="3" t="s">
        <v>2245</v>
      </c>
      <c r="S1178" s="3" t="s">
        <v>2254</v>
      </c>
      <c r="T1178" s="3" t="s">
        <v>21</v>
      </c>
      <c r="U1178" s="11">
        <v>263</v>
      </c>
      <c r="V1178" s="3" t="s">
        <v>2234</v>
      </c>
      <c r="W1178" s="8" t="s">
        <v>7834</v>
      </c>
    </row>
    <row r="1179" spans="1:23" x14ac:dyDescent="0.25">
      <c r="A1179" s="2">
        <v>498</v>
      </c>
      <c r="B1179" s="3" t="s">
        <v>2234</v>
      </c>
      <c r="C1179" s="3">
        <v>2024</v>
      </c>
      <c r="D1179" s="3" t="s">
        <v>14</v>
      </c>
      <c r="E1179" s="3" t="s">
        <v>15</v>
      </c>
      <c r="F1179" s="1" t="s">
        <v>7834</v>
      </c>
      <c r="G1179" s="10"/>
      <c r="H1179" s="10"/>
      <c r="I1179" s="10"/>
      <c r="J1179" s="10"/>
      <c r="K1179" s="10"/>
      <c r="L1179" s="3" t="s">
        <v>2255</v>
      </c>
      <c r="M1179" s="3" t="s">
        <v>2256</v>
      </c>
      <c r="N1179" s="3" t="s">
        <v>2244</v>
      </c>
      <c r="O1179" s="3">
        <v>194</v>
      </c>
      <c r="P1179" s="3"/>
      <c r="Q1179" s="3">
        <v>81</v>
      </c>
      <c r="R1179" s="3" t="s">
        <v>2245</v>
      </c>
      <c r="S1179" s="3" t="s">
        <v>2257</v>
      </c>
      <c r="T1179" s="3" t="s">
        <v>21</v>
      </c>
      <c r="U1179" s="11">
        <v>264</v>
      </c>
      <c r="V1179" s="3" t="s">
        <v>2234</v>
      </c>
      <c r="W1179" s="8" t="s">
        <v>7834</v>
      </c>
    </row>
    <row r="1180" spans="1:23" x14ac:dyDescent="0.25">
      <c r="A1180" s="2">
        <v>499</v>
      </c>
      <c r="B1180" s="3" t="s">
        <v>2234</v>
      </c>
      <c r="C1180" s="3">
        <v>2024</v>
      </c>
      <c r="D1180" s="3" t="s">
        <v>395</v>
      </c>
      <c r="E1180" s="3" t="s">
        <v>15</v>
      </c>
      <c r="F1180" s="1" t="s">
        <v>7834</v>
      </c>
      <c r="G1180" s="10"/>
      <c r="H1180" s="10"/>
      <c r="I1180" s="10"/>
      <c r="J1180" s="10"/>
      <c r="K1180" s="10"/>
      <c r="L1180" s="3" t="s">
        <v>2258</v>
      </c>
      <c r="M1180" s="3" t="s">
        <v>2259</v>
      </c>
      <c r="N1180" s="3" t="s">
        <v>2260</v>
      </c>
      <c r="O1180" s="3"/>
      <c r="P1180" s="3"/>
      <c r="Q1180" s="3"/>
      <c r="R1180" s="3" t="s">
        <v>2261</v>
      </c>
      <c r="S1180" s="3" t="s">
        <v>2262</v>
      </c>
      <c r="T1180" s="3" t="s">
        <v>21</v>
      </c>
      <c r="U1180" s="11">
        <v>265</v>
      </c>
      <c r="V1180" s="3" t="s">
        <v>2234</v>
      </c>
      <c r="W1180" s="8" t="s">
        <v>7834</v>
      </c>
    </row>
    <row r="1181" spans="1:23" x14ac:dyDescent="0.25">
      <c r="A1181" s="2">
        <v>500</v>
      </c>
      <c r="B1181" s="3" t="s">
        <v>2234</v>
      </c>
      <c r="C1181" s="3">
        <v>2024</v>
      </c>
      <c r="D1181" s="3" t="s">
        <v>14</v>
      </c>
      <c r="E1181" s="3" t="s">
        <v>15</v>
      </c>
      <c r="F1181" s="1" t="s">
        <v>7834</v>
      </c>
      <c r="G1181" s="10"/>
      <c r="H1181" s="10"/>
      <c r="I1181" s="10"/>
      <c r="J1181" s="10"/>
      <c r="K1181" s="10"/>
      <c r="L1181" s="3" t="s">
        <v>2263</v>
      </c>
      <c r="M1181" s="3" t="s">
        <v>2264</v>
      </c>
      <c r="N1181" s="3" t="s">
        <v>2265</v>
      </c>
      <c r="O1181" s="3">
        <v>29</v>
      </c>
      <c r="P1181" s="3">
        <v>1</v>
      </c>
      <c r="Q1181" s="3">
        <v>13</v>
      </c>
      <c r="R1181" s="3" t="s">
        <v>2266</v>
      </c>
      <c r="S1181" s="3" t="s">
        <v>2267</v>
      </c>
      <c r="T1181" s="3" t="s">
        <v>21</v>
      </c>
      <c r="U1181" s="11">
        <v>266</v>
      </c>
      <c r="V1181" s="3" t="s">
        <v>2234</v>
      </c>
      <c r="W1181" s="8" t="s">
        <v>7834</v>
      </c>
    </row>
    <row r="1182" spans="1:23" x14ac:dyDescent="0.25">
      <c r="A1182" s="2">
        <v>501</v>
      </c>
      <c r="B1182" s="3" t="s">
        <v>2234</v>
      </c>
      <c r="C1182" s="3">
        <v>2024</v>
      </c>
      <c r="D1182" s="3" t="s">
        <v>2268</v>
      </c>
      <c r="E1182" s="3" t="s">
        <v>15</v>
      </c>
      <c r="F1182" s="1" t="s">
        <v>7834</v>
      </c>
      <c r="G1182" s="10"/>
      <c r="H1182" s="10"/>
      <c r="I1182" s="10"/>
      <c r="J1182" s="10"/>
      <c r="K1182" s="10"/>
      <c r="L1182" s="3" t="s">
        <v>2269</v>
      </c>
      <c r="M1182" s="3" t="s">
        <v>2270</v>
      </c>
      <c r="N1182" s="3" t="s">
        <v>1657</v>
      </c>
      <c r="O1182" s="3">
        <v>75</v>
      </c>
      <c r="P1182" s="3">
        <v>10</v>
      </c>
      <c r="Q1182" s="3">
        <v>2781</v>
      </c>
      <c r="R1182" s="3" t="s">
        <v>1658</v>
      </c>
      <c r="S1182" s="3" t="s">
        <v>2271</v>
      </c>
      <c r="T1182" s="3" t="s">
        <v>21</v>
      </c>
      <c r="U1182" s="11">
        <v>267</v>
      </c>
      <c r="V1182" s="3" t="s">
        <v>2234</v>
      </c>
      <c r="W1182" s="8" t="s">
        <v>7834</v>
      </c>
    </row>
    <row r="1183" spans="1:23" x14ac:dyDescent="0.25">
      <c r="A1183" s="2">
        <v>502</v>
      </c>
      <c r="B1183" s="3" t="s">
        <v>2234</v>
      </c>
      <c r="C1183" s="3">
        <v>2024</v>
      </c>
      <c r="D1183" s="3" t="s">
        <v>1965</v>
      </c>
      <c r="E1183" s="3" t="s">
        <v>15</v>
      </c>
      <c r="F1183" s="1" t="s">
        <v>7834</v>
      </c>
      <c r="G1183" s="10"/>
      <c r="H1183" s="10"/>
      <c r="I1183" s="10"/>
      <c r="J1183" s="10"/>
      <c r="K1183" s="10"/>
      <c r="L1183" s="3" t="s">
        <v>2272</v>
      </c>
      <c r="M1183" s="3" t="s">
        <v>2273</v>
      </c>
      <c r="N1183" s="3" t="s">
        <v>2274</v>
      </c>
      <c r="O1183" s="3">
        <v>5</v>
      </c>
      <c r="P1183" s="3">
        <v>3</v>
      </c>
      <c r="Q1183" s="3"/>
      <c r="R1183" s="3" t="s">
        <v>2275</v>
      </c>
      <c r="S1183" s="3" t="s">
        <v>2276</v>
      </c>
      <c r="T1183" s="3" t="s">
        <v>21</v>
      </c>
      <c r="U1183" s="11">
        <v>268</v>
      </c>
      <c r="V1183" s="3" t="s">
        <v>2234</v>
      </c>
      <c r="W1183" s="8" t="s">
        <v>7834</v>
      </c>
    </row>
    <row r="1184" spans="1:23" x14ac:dyDescent="0.25">
      <c r="A1184" s="2">
        <v>503</v>
      </c>
      <c r="B1184" s="3" t="s">
        <v>2234</v>
      </c>
      <c r="C1184" s="3">
        <v>2024</v>
      </c>
      <c r="D1184" s="3" t="s">
        <v>2035</v>
      </c>
      <c r="E1184" s="3" t="s">
        <v>15</v>
      </c>
      <c r="F1184" s="1" t="s">
        <v>7834</v>
      </c>
      <c r="G1184" s="10"/>
      <c r="H1184" s="10"/>
      <c r="I1184" s="10"/>
      <c r="J1184" s="10"/>
      <c r="K1184" s="10"/>
      <c r="L1184" s="3" t="s">
        <v>2277</v>
      </c>
      <c r="M1184" s="3" t="s">
        <v>2278</v>
      </c>
      <c r="N1184" s="3" t="s">
        <v>2279</v>
      </c>
      <c r="O1184" s="3">
        <v>15</v>
      </c>
      <c r="P1184" s="3"/>
      <c r="Q1184" s="3"/>
      <c r="R1184" s="3" t="s">
        <v>2280</v>
      </c>
      <c r="S1184" s="3" t="s">
        <v>2281</v>
      </c>
      <c r="T1184" s="3" t="s">
        <v>21</v>
      </c>
      <c r="U1184" s="11">
        <v>269</v>
      </c>
      <c r="V1184" s="3" t="s">
        <v>2234</v>
      </c>
      <c r="W1184" s="8" t="s">
        <v>7834</v>
      </c>
    </row>
    <row r="1185" spans="1:23" x14ac:dyDescent="0.25">
      <c r="A1185" s="2">
        <v>505</v>
      </c>
      <c r="B1185" s="3" t="s">
        <v>2234</v>
      </c>
      <c r="C1185" s="3">
        <v>2024</v>
      </c>
      <c r="D1185" s="3" t="s">
        <v>2287</v>
      </c>
      <c r="E1185" s="3" t="s">
        <v>15</v>
      </c>
      <c r="F1185" s="1" t="s">
        <v>7834</v>
      </c>
      <c r="G1185" s="10"/>
      <c r="H1185" s="10"/>
      <c r="I1185" s="10"/>
      <c r="J1185" s="10"/>
      <c r="K1185" s="10"/>
      <c r="L1185" s="3" t="s">
        <v>2288</v>
      </c>
      <c r="M1185" s="3" t="s">
        <v>2289</v>
      </c>
      <c r="N1185" s="3" t="s">
        <v>2290</v>
      </c>
      <c r="O1185" s="3">
        <v>244</v>
      </c>
      <c r="P1185" s="3">
        <v>4</v>
      </c>
      <c r="Q1185" s="3">
        <v>1115</v>
      </c>
      <c r="R1185" s="3" t="s">
        <v>2291</v>
      </c>
      <c r="S1185" s="3" t="s">
        <v>2292</v>
      </c>
      <c r="T1185" s="3" t="s">
        <v>21</v>
      </c>
      <c r="U1185" s="11">
        <v>270</v>
      </c>
      <c r="V1185" s="3" t="s">
        <v>2234</v>
      </c>
      <c r="W1185" s="8" t="s">
        <v>7834</v>
      </c>
    </row>
    <row r="1186" spans="1:23" x14ac:dyDescent="0.25">
      <c r="A1186" s="2">
        <v>506</v>
      </c>
      <c r="B1186" s="3" t="s">
        <v>2234</v>
      </c>
      <c r="C1186" s="3">
        <v>2024</v>
      </c>
      <c r="D1186" s="3" t="s">
        <v>602</v>
      </c>
      <c r="E1186" s="3" t="s">
        <v>15</v>
      </c>
      <c r="F1186" s="1" t="s">
        <v>7834</v>
      </c>
      <c r="G1186" s="10"/>
      <c r="H1186" s="10"/>
      <c r="I1186" s="10"/>
      <c r="J1186" s="10"/>
      <c r="K1186" s="10"/>
      <c r="L1186" s="3" t="s">
        <v>2293</v>
      </c>
      <c r="M1186" s="3" t="s">
        <v>2294</v>
      </c>
      <c r="N1186" s="3" t="s">
        <v>2295</v>
      </c>
      <c r="O1186" s="3">
        <v>15</v>
      </c>
      <c r="P1186" s="3"/>
      <c r="Q1186" s="3"/>
      <c r="R1186" s="3" t="s">
        <v>2296</v>
      </c>
      <c r="S1186" s="3" t="s">
        <v>2297</v>
      </c>
      <c r="T1186" s="3" t="s">
        <v>21</v>
      </c>
      <c r="U1186" s="11">
        <v>271</v>
      </c>
      <c r="V1186" s="3" t="s">
        <v>2234</v>
      </c>
      <c r="W1186" s="8" t="s">
        <v>7834</v>
      </c>
    </row>
    <row r="1187" spans="1:23" x14ac:dyDescent="0.25">
      <c r="A1187" s="2">
        <v>507</v>
      </c>
      <c r="B1187" s="3" t="s">
        <v>2234</v>
      </c>
      <c r="C1187" s="3">
        <v>2024</v>
      </c>
      <c r="D1187" s="3" t="s">
        <v>1022</v>
      </c>
      <c r="E1187" s="3" t="s">
        <v>15</v>
      </c>
      <c r="F1187" s="1" t="s">
        <v>7834</v>
      </c>
      <c r="G1187" s="10"/>
      <c r="H1187" s="10"/>
      <c r="I1187" s="10"/>
      <c r="J1187" s="10"/>
      <c r="K1187" s="10"/>
      <c r="L1187" s="3" t="s">
        <v>2298</v>
      </c>
      <c r="M1187" s="3" t="s">
        <v>2299</v>
      </c>
      <c r="N1187" s="3" t="s">
        <v>2300</v>
      </c>
      <c r="O1187" s="3">
        <v>86</v>
      </c>
      <c r="P1187" s="3"/>
      <c r="Q1187" s="3"/>
      <c r="R1187" s="3" t="s">
        <v>2301</v>
      </c>
      <c r="S1187" s="3" t="s">
        <v>2302</v>
      </c>
      <c r="T1187" s="3" t="s">
        <v>21</v>
      </c>
      <c r="U1187" s="11">
        <v>272</v>
      </c>
      <c r="V1187" s="3" t="s">
        <v>2234</v>
      </c>
      <c r="W1187" s="8" t="s">
        <v>7834</v>
      </c>
    </row>
    <row r="1188" spans="1:23" x14ac:dyDescent="0.25">
      <c r="A1188" s="2">
        <v>509</v>
      </c>
      <c r="B1188" s="3" t="s">
        <v>2234</v>
      </c>
      <c r="C1188" s="3">
        <v>2024</v>
      </c>
      <c r="D1188" s="3" t="s">
        <v>75</v>
      </c>
      <c r="E1188" s="3" t="s">
        <v>15</v>
      </c>
      <c r="F1188" s="1" t="s">
        <v>7834</v>
      </c>
      <c r="G1188" s="10"/>
      <c r="H1188" s="10"/>
      <c r="I1188" s="10"/>
      <c r="J1188" s="10"/>
      <c r="K1188" s="10"/>
      <c r="L1188" s="3" t="s">
        <v>2308</v>
      </c>
      <c r="M1188" s="3" t="s">
        <v>2309</v>
      </c>
      <c r="N1188" s="3" t="s">
        <v>2310</v>
      </c>
      <c r="O1188" s="3">
        <v>33</v>
      </c>
      <c r="P1188" s="3">
        <v>10</v>
      </c>
      <c r="Q1188" s="3"/>
      <c r="R1188" s="3" t="s">
        <v>2311</v>
      </c>
      <c r="S1188" s="3" t="s">
        <v>2312</v>
      </c>
      <c r="T1188" s="3" t="s">
        <v>21</v>
      </c>
      <c r="U1188" s="11">
        <v>273</v>
      </c>
      <c r="V1188" s="3" t="s">
        <v>2234</v>
      </c>
      <c r="W1188" s="8" t="s">
        <v>7834</v>
      </c>
    </row>
    <row r="1189" spans="1:23" x14ac:dyDescent="0.25">
      <c r="A1189" s="2">
        <v>510</v>
      </c>
      <c r="B1189" s="3" t="s">
        <v>2234</v>
      </c>
      <c r="C1189" s="3">
        <v>2024</v>
      </c>
      <c r="D1189" s="3" t="s">
        <v>1381</v>
      </c>
      <c r="E1189" s="3" t="s">
        <v>15</v>
      </c>
      <c r="F1189" s="1" t="s">
        <v>7834</v>
      </c>
      <c r="G1189" s="10"/>
      <c r="H1189" s="10"/>
      <c r="I1189" s="10"/>
      <c r="J1189" s="10"/>
      <c r="K1189" s="10"/>
      <c r="L1189" s="3" t="s">
        <v>2313</v>
      </c>
      <c r="M1189" s="3" t="s">
        <v>2314</v>
      </c>
      <c r="N1189" s="3" t="s">
        <v>2315</v>
      </c>
      <c r="O1189" s="3">
        <v>20</v>
      </c>
      <c r="P1189" s="3">
        <v>9</v>
      </c>
      <c r="Q1189" s="3"/>
      <c r="R1189" s="3" t="s">
        <v>2316</v>
      </c>
      <c r="S1189" s="3" t="s">
        <v>2317</v>
      </c>
      <c r="T1189" s="3" t="s">
        <v>21</v>
      </c>
      <c r="U1189" s="11">
        <v>274</v>
      </c>
      <c r="V1189" s="3" t="s">
        <v>2234</v>
      </c>
      <c r="W1189" s="8" t="s">
        <v>7834</v>
      </c>
    </row>
    <row r="1190" spans="1:23" x14ac:dyDescent="0.25">
      <c r="A1190" s="2">
        <v>511</v>
      </c>
      <c r="B1190" s="3" t="s">
        <v>2234</v>
      </c>
      <c r="C1190" s="3">
        <v>2024</v>
      </c>
      <c r="D1190" s="3" t="s">
        <v>844</v>
      </c>
      <c r="E1190" s="3" t="s">
        <v>15</v>
      </c>
      <c r="F1190" s="1" t="s">
        <v>7834</v>
      </c>
      <c r="G1190" s="10"/>
      <c r="H1190" s="10"/>
      <c r="I1190" s="10"/>
      <c r="J1190" s="10"/>
      <c r="K1190" s="10"/>
      <c r="L1190" s="3" t="s">
        <v>2318</v>
      </c>
      <c r="M1190" s="3" t="s">
        <v>2319</v>
      </c>
      <c r="N1190" s="3" t="s">
        <v>2320</v>
      </c>
      <c r="O1190" s="3">
        <v>36</v>
      </c>
      <c r="P1190" s="3">
        <v>5</v>
      </c>
      <c r="Q1190" s="3">
        <v>1482</v>
      </c>
      <c r="R1190" s="3" t="s">
        <v>2321</v>
      </c>
      <c r="S1190" s="3" t="s">
        <v>1732</v>
      </c>
      <c r="T1190" s="3" t="s">
        <v>21</v>
      </c>
      <c r="U1190" s="11">
        <v>275</v>
      </c>
      <c r="V1190" s="3" t="s">
        <v>2234</v>
      </c>
      <c r="W1190" s="8" t="s">
        <v>7834</v>
      </c>
    </row>
    <row r="1191" spans="1:23" x14ac:dyDescent="0.25">
      <c r="A1191" s="2">
        <v>512</v>
      </c>
      <c r="B1191" s="3" t="s">
        <v>2234</v>
      </c>
      <c r="C1191" s="3">
        <v>2024</v>
      </c>
      <c r="D1191" s="3" t="s">
        <v>2102</v>
      </c>
      <c r="E1191" s="3" t="s">
        <v>15</v>
      </c>
      <c r="F1191" s="1" t="s">
        <v>7834</v>
      </c>
      <c r="G1191" s="10"/>
      <c r="H1191" s="10"/>
      <c r="I1191" s="10"/>
      <c r="J1191" s="10"/>
      <c r="K1191" s="10"/>
      <c r="L1191" s="3" t="s">
        <v>1858</v>
      </c>
      <c r="M1191" s="3" t="s">
        <v>2322</v>
      </c>
      <c r="N1191" s="3" t="s">
        <v>1860</v>
      </c>
      <c r="O1191" s="3">
        <v>81</v>
      </c>
      <c r="P1191" s="3"/>
      <c r="Q1191" s="3"/>
      <c r="R1191" s="3" t="s">
        <v>1861</v>
      </c>
      <c r="S1191" s="3" t="s">
        <v>1862</v>
      </c>
      <c r="T1191" s="3" t="s">
        <v>21</v>
      </c>
      <c r="U1191" s="11">
        <v>276</v>
      </c>
      <c r="V1191" s="3" t="s">
        <v>2234</v>
      </c>
      <c r="W1191" s="8" t="s">
        <v>7834</v>
      </c>
    </row>
    <row r="1192" spans="1:23" x14ac:dyDescent="0.25">
      <c r="A1192" s="2">
        <v>513</v>
      </c>
      <c r="B1192" s="3" t="s">
        <v>2234</v>
      </c>
      <c r="C1192" s="3">
        <v>2024</v>
      </c>
      <c r="D1192" s="3" t="s">
        <v>167</v>
      </c>
      <c r="E1192" s="3" t="s">
        <v>15</v>
      </c>
      <c r="F1192" s="1" t="s">
        <v>7834</v>
      </c>
      <c r="G1192" s="10"/>
      <c r="H1192" s="10"/>
      <c r="I1192" s="10"/>
      <c r="J1192" s="10"/>
      <c r="K1192" s="10"/>
      <c r="L1192" s="3" t="s">
        <v>1853</v>
      </c>
      <c r="M1192" s="3" t="s">
        <v>2323</v>
      </c>
      <c r="N1192" s="3" t="s">
        <v>2324</v>
      </c>
      <c r="O1192" s="3">
        <v>47</v>
      </c>
      <c r="P1192" s="3">
        <v>11</v>
      </c>
      <c r="Q1192" s="3">
        <v>4227</v>
      </c>
      <c r="R1192" s="3" t="s">
        <v>1856</v>
      </c>
      <c r="S1192" s="3" t="s">
        <v>1857</v>
      </c>
      <c r="T1192" s="3" t="s">
        <v>21</v>
      </c>
      <c r="U1192" s="11">
        <v>277</v>
      </c>
      <c r="V1192" s="3" t="s">
        <v>2234</v>
      </c>
      <c r="W1192" s="8" t="s">
        <v>7834</v>
      </c>
    </row>
    <row r="1193" spans="1:23" x14ac:dyDescent="0.25">
      <c r="A1193" s="2">
        <v>514</v>
      </c>
      <c r="B1193" s="3" t="s">
        <v>2234</v>
      </c>
      <c r="C1193" s="3">
        <v>2024</v>
      </c>
      <c r="D1193" s="3" t="s">
        <v>1137</v>
      </c>
      <c r="E1193" s="3" t="s">
        <v>15</v>
      </c>
      <c r="F1193" s="1" t="s">
        <v>7834</v>
      </c>
      <c r="G1193" s="10"/>
      <c r="H1193" s="10"/>
      <c r="I1193" s="10"/>
      <c r="J1193" s="10"/>
      <c r="K1193" s="10"/>
      <c r="L1193" s="3" t="s">
        <v>2325</v>
      </c>
      <c r="M1193" s="3" t="s">
        <v>2326</v>
      </c>
      <c r="N1193" s="3" t="s">
        <v>2327</v>
      </c>
      <c r="O1193" s="3">
        <v>25</v>
      </c>
      <c r="P1193" s="3">
        <v>13</v>
      </c>
      <c r="Q1193" s="3">
        <v>7245</v>
      </c>
      <c r="R1193" s="3" t="s">
        <v>2328</v>
      </c>
      <c r="S1193" s="3" t="s">
        <v>1818</v>
      </c>
      <c r="T1193" s="3" t="s">
        <v>21</v>
      </c>
      <c r="U1193" s="11">
        <v>278</v>
      </c>
      <c r="V1193" s="3" t="s">
        <v>2234</v>
      </c>
      <c r="W1193" s="8" t="s">
        <v>7834</v>
      </c>
    </row>
    <row r="1194" spans="1:23" x14ac:dyDescent="0.25">
      <c r="A1194" s="2">
        <v>515</v>
      </c>
      <c r="B1194" s="3" t="s">
        <v>2234</v>
      </c>
      <c r="C1194" s="3">
        <v>2024</v>
      </c>
      <c r="D1194" s="3" t="s">
        <v>495</v>
      </c>
      <c r="E1194" s="3" t="s">
        <v>15</v>
      </c>
      <c r="F1194" s="1" t="s">
        <v>7834</v>
      </c>
      <c r="G1194" s="10"/>
      <c r="H1194" s="10"/>
      <c r="I1194" s="10"/>
      <c r="J1194" s="10"/>
      <c r="K1194" s="10"/>
      <c r="L1194" s="3" t="s">
        <v>1705</v>
      </c>
      <c r="M1194" s="3" t="s">
        <v>2329</v>
      </c>
      <c r="N1194" s="3" t="s">
        <v>2330</v>
      </c>
      <c r="O1194" s="3">
        <v>25</v>
      </c>
      <c r="P1194" s="3">
        <v>614</v>
      </c>
      <c r="Q1194" s="3"/>
      <c r="R1194" s="3" t="s">
        <v>2331</v>
      </c>
      <c r="S1194" s="3" t="s">
        <v>1709</v>
      </c>
      <c r="T1194" s="3" t="s">
        <v>21</v>
      </c>
      <c r="U1194" s="11">
        <v>279</v>
      </c>
      <c r="V1194" s="3" t="s">
        <v>2234</v>
      </c>
      <c r="W1194" s="8" t="s">
        <v>7834</v>
      </c>
    </row>
    <row r="1195" spans="1:23" x14ac:dyDescent="0.25">
      <c r="A1195" s="2">
        <v>516</v>
      </c>
      <c r="B1195" s="3" t="s">
        <v>2234</v>
      </c>
      <c r="C1195" s="3">
        <v>2024</v>
      </c>
      <c r="D1195" s="3" t="s">
        <v>2332</v>
      </c>
      <c r="E1195" s="3" t="s">
        <v>15</v>
      </c>
      <c r="F1195" s="1" t="s">
        <v>7834</v>
      </c>
      <c r="G1195" s="10"/>
      <c r="H1195" s="10"/>
      <c r="I1195" s="10"/>
      <c r="J1195" s="10"/>
      <c r="K1195" s="10"/>
      <c r="L1195" s="3" t="s">
        <v>2333</v>
      </c>
      <c r="M1195" s="3" t="s">
        <v>2334</v>
      </c>
      <c r="N1195" s="3" t="s">
        <v>2241</v>
      </c>
      <c r="O1195" s="3">
        <v>75</v>
      </c>
      <c r="P1195" s="3">
        <v>8</v>
      </c>
      <c r="Q1195" s="3">
        <v>2193</v>
      </c>
      <c r="R1195" s="3" t="s">
        <v>1658</v>
      </c>
      <c r="S1195" s="3" t="s">
        <v>2335</v>
      </c>
      <c r="T1195" s="3" t="s">
        <v>21</v>
      </c>
      <c r="U1195" s="11">
        <v>280</v>
      </c>
      <c r="V1195" s="3" t="s">
        <v>2234</v>
      </c>
      <c r="W1195" s="8" t="s">
        <v>7834</v>
      </c>
    </row>
    <row r="1196" spans="1:23" x14ac:dyDescent="0.25">
      <c r="A1196" s="2">
        <v>517</v>
      </c>
      <c r="B1196" s="3" t="s">
        <v>2234</v>
      </c>
      <c r="C1196" s="3">
        <v>2024</v>
      </c>
      <c r="D1196" s="3" t="s">
        <v>848</v>
      </c>
      <c r="E1196" s="3" t="s">
        <v>15</v>
      </c>
      <c r="F1196" s="1" t="s">
        <v>7834</v>
      </c>
      <c r="G1196" s="10"/>
      <c r="H1196" s="10"/>
      <c r="I1196" s="10"/>
      <c r="J1196" s="10"/>
      <c r="K1196" s="10"/>
      <c r="L1196" s="3" t="s">
        <v>2336</v>
      </c>
      <c r="M1196" s="3" t="s">
        <v>2337</v>
      </c>
      <c r="N1196" s="3" t="s">
        <v>2338</v>
      </c>
      <c r="O1196" s="3">
        <v>17</v>
      </c>
      <c r="P1196" s="3">
        <v>5</v>
      </c>
      <c r="Q1196" s="3">
        <v>696</v>
      </c>
      <c r="R1196" s="3" t="s">
        <v>2339</v>
      </c>
      <c r="S1196" s="3" t="s">
        <v>2340</v>
      </c>
      <c r="T1196" s="3" t="s">
        <v>21</v>
      </c>
      <c r="U1196" s="11">
        <v>281</v>
      </c>
      <c r="V1196" s="3" t="s">
        <v>2234</v>
      </c>
      <c r="W1196" s="8" t="s">
        <v>7834</v>
      </c>
    </row>
    <row r="1197" spans="1:23" x14ac:dyDescent="0.25">
      <c r="A1197" s="2">
        <v>518</v>
      </c>
      <c r="B1197" s="3" t="s">
        <v>2234</v>
      </c>
      <c r="C1197" s="3">
        <v>2024</v>
      </c>
      <c r="D1197" s="3" t="s">
        <v>579</v>
      </c>
      <c r="E1197" s="3" t="s">
        <v>15</v>
      </c>
      <c r="F1197" s="1" t="s">
        <v>7834</v>
      </c>
      <c r="G1197" s="10"/>
      <c r="H1197" s="10"/>
      <c r="I1197" s="10"/>
      <c r="J1197" s="10"/>
      <c r="K1197" s="10"/>
      <c r="L1197" s="3" t="s">
        <v>2341</v>
      </c>
      <c r="M1197" s="3" t="s">
        <v>2342</v>
      </c>
      <c r="N1197" s="3" t="s">
        <v>1657</v>
      </c>
      <c r="O1197" s="3">
        <v>75</v>
      </c>
      <c r="P1197" s="3">
        <v>15</v>
      </c>
      <c r="Q1197" s="3">
        <v>4589</v>
      </c>
      <c r="R1197" s="3" t="s">
        <v>1658</v>
      </c>
      <c r="S1197" s="3" t="s">
        <v>2343</v>
      </c>
      <c r="T1197" s="3" t="s">
        <v>21</v>
      </c>
      <c r="U1197" s="11">
        <v>282</v>
      </c>
      <c r="V1197" s="3" t="s">
        <v>2234</v>
      </c>
      <c r="W1197" s="8" t="s">
        <v>7834</v>
      </c>
    </row>
    <row r="1198" spans="1:23" x14ac:dyDescent="0.25">
      <c r="A1198" s="2">
        <v>519</v>
      </c>
      <c r="B1198" s="3" t="s">
        <v>2234</v>
      </c>
      <c r="C1198" s="3">
        <v>2024</v>
      </c>
      <c r="D1198" s="3" t="s">
        <v>2247</v>
      </c>
      <c r="E1198" s="3" t="s">
        <v>15</v>
      </c>
      <c r="F1198" s="1" t="s">
        <v>7834</v>
      </c>
      <c r="G1198" s="10"/>
      <c r="H1198" s="10"/>
      <c r="I1198" s="10"/>
      <c r="J1198" s="10"/>
      <c r="K1198" s="10"/>
      <c r="L1198" s="3" t="s">
        <v>2344</v>
      </c>
      <c r="M1198" s="3" t="s">
        <v>2345</v>
      </c>
      <c r="N1198" s="3" t="s">
        <v>1657</v>
      </c>
      <c r="O1198" s="3">
        <v>75</v>
      </c>
      <c r="P1198" s="3">
        <v>14</v>
      </c>
      <c r="Q1198" s="3">
        <v>4415</v>
      </c>
      <c r="R1198" s="3" t="s">
        <v>1658</v>
      </c>
      <c r="S1198" s="3" t="s">
        <v>2346</v>
      </c>
      <c r="T1198" s="3" t="s">
        <v>21</v>
      </c>
      <c r="U1198" s="11">
        <v>283</v>
      </c>
      <c r="V1198" s="3" t="s">
        <v>2234</v>
      </c>
      <c r="W1198" s="8" t="s">
        <v>7834</v>
      </c>
    </row>
    <row r="1199" spans="1:23" x14ac:dyDescent="0.25">
      <c r="A1199" s="2">
        <v>520</v>
      </c>
      <c r="B1199" s="3" t="s">
        <v>2234</v>
      </c>
      <c r="C1199" s="3">
        <v>2024</v>
      </c>
      <c r="D1199" s="3" t="s">
        <v>1863</v>
      </c>
      <c r="E1199" s="3" t="s">
        <v>15</v>
      </c>
      <c r="F1199" s="1" t="s">
        <v>7834</v>
      </c>
      <c r="G1199" s="10"/>
      <c r="H1199" s="10"/>
      <c r="I1199" s="10"/>
      <c r="J1199" s="10"/>
      <c r="K1199" s="10"/>
      <c r="L1199" s="3" t="s">
        <v>1101</v>
      </c>
      <c r="M1199" s="3" t="s">
        <v>2347</v>
      </c>
      <c r="N1199" s="3" t="s">
        <v>1103</v>
      </c>
      <c r="O1199" s="3">
        <v>291</v>
      </c>
      <c r="P1199" s="3">
        <v>2025</v>
      </c>
      <c r="Q1199" s="3"/>
      <c r="R1199" s="3" t="s">
        <v>1104</v>
      </c>
      <c r="S1199" s="3" t="s">
        <v>2348</v>
      </c>
      <c r="T1199" s="3" t="s">
        <v>21</v>
      </c>
      <c r="U1199" s="11">
        <v>284</v>
      </c>
      <c r="V1199" s="3" t="s">
        <v>2234</v>
      </c>
      <c r="W1199" s="8" t="s">
        <v>7834</v>
      </c>
    </row>
    <row r="1200" spans="1:23" x14ac:dyDescent="0.25">
      <c r="A1200" s="2">
        <v>521</v>
      </c>
      <c r="B1200" s="3" t="s">
        <v>2234</v>
      </c>
      <c r="C1200" s="3">
        <v>2024</v>
      </c>
      <c r="D1200" s="3" t="s">
        <v>1028</v>
      </c>
      <c r="E1200" s="3" t="s">
        <v>15</v>
      </c>
      <c r="F1200" s="1" t="s">
        <v>7834</v>
      </c>
      <c r="G1200" s="10"/>
      <c r="H1200" s="10"/>
      <c r="I1200" s="10"/>
      <c r="J1200" s="10"/>
      <c r="K1200" s="10"/>
      <c r="L1200" s="3" t="s">
        <v>2349</v>
      </c>
      <c r="M1200" s="3" t="s">
        <v>2350</v>
      </c>
      <c r="N1200" s="3" t="s">
        <v>976</v>
      </c>
      <c r="O1200" s="3">
        <v>14</v>
      </c>
      <c r="P1200" s="3">
        <v>10</v>
      </c>
      <c r="Q1200" s="3"/>
      <c r="R1200" s="3" t="s">
        <v>880</v>
      </c>
      <c r="S1200" s="3" t="s">
        <v>2351</v>
      </c>
      <c r="T1200" s="3" t="s">
        <v>21</v>
      </c>
      <c r="U1200" s="11">
        <v>285</v>
      </c>
      <c r="V1200" s="3" t="s">
        <v>2234</v>
      </c>
      <c r="W1200" s="8" t="s">
        <v>7834</v>
      </c>
    </row>
    <row r="1201" spans="1:23" x14ac:dyDescent="0.25">
      <c r="A1201" s="2">
        <v>522</v>
      </c>
      <c r="B1201" s="3" t="s">
        <v>2234</v>
      </c>
      <c r="C1201" s="3">
        <v>2024</v>
      </c>
      <c r="D1201" s="3" t="s">
        <v>1247</v>
      </c>
      <c r="E1201" s="3" t="s">
        <v>15</v>
      </c>
      <c r="F1201" s="1" t="s">
        <v>7834</v>
      </c>
      <c r="G1201" s="10"/>
      <c r="H1201" s="10"/>
      <c r="I1201" s="10"/>
      <c r="J1201" s="10"/>
      <c r="K1201" s="10"/>
      <c r="L1201" s="3" t="s">
        <v>2352</v>
      </c>
      <c r="M1201" s="3" t="s">
        <v>2353</v>
      </c>
      <c r="N1201" s="3" t="s">
        <v>2354</v>
      </c>
      <c r="O1201" s="3">
        <v>57</v>
      </c>
      <c r="P1201" s="3">
        <v>82</v>
      </c>
      <c r="Q1201" s="3"/>
      <c r="R1201" s="3" t="s">
        <v>2355</v>
      </c>
      <c r="S1201" s="3" t="s">
        <v>2356</v>
      </c>
      <c r="T1201" s="3" t="s">
        <v>21</v>
      </c>
      <c r="U1201" s="11">
        <v>286</v>
      </c>
      <c r="V1201" s="3" t="s">
        <v>2234</v>
      </c>
      <c r="W1201" s="8" t="s">
        <v>7834</v>
      </c>
    </row>
    <row r="1202" spans="1:23" x14ac:dyDescent="0.25">
      <c r="A1202" s="2">
        <v>523</v>
      </c>
      <c r="B1202" s="3" t="s">
        <v>2234</v>
      </c>
      <c r="C1202" s="3">
        <v>2024</v>
      </c>
      <c r="D1202" s="3" t="s">
        <v>1593</v>
      </c>
      <c r="E1202" s="3" t="s">
        <v>15</v>
      </c>
      <c r="F1202" s="1" t="s">
        <v>7834</v>
      </c>
      <c r="G1202" s="10"/>
      <c r="H1202" s="10"/>
      <c r="I1202" s="10"/>
      <c r="J1202" s="10"/>
      <c r="K1202" s="10"/>
      <c r="L1202" s="3" t="s">
        <v>2357</v>
      </c>
      <c r="M1202" s="3" t="s">
        <v>2358</v>
      </c>
      <c r="N1202" s="3" t="s">
        <v>976</v>
      </c>
      <c r="O1202" s="3">
        <v>14</v>
      </c>
      <c r="P1202" s="3">
        <v>2</v>
      </c>
      <c r="Q1202" s="3"/>
      <c r="R1202" s="3" t="s">
        <v>880</v>
      </c>
      <c r="S1202" s="3" t="s">
        <v>2359</v>
      </c>
      <c r="T1202" s="3" t="s">
        <v>21</v>
      </c>
      <c r="U1202" s="11">
        <v>287</v>
      </c>
      <c r="V1202" s="3" t="s">
        <v>2234</v>
      </c>
      <c r="W1202" s="8" t="s">
        <v>7834</v>
      </c>
    </row>
    <row r="1203" spans="1:23" x14ac:dyDescent="0.25">
      <c r="A1203" s="2">
        <v>524</v>
      </c>
      <c r="B1203" s="3" t="s">
        <v>2234</v>
      </c>
      <c r="C1203" s="3">
        <v>2024</v>
      </c>
      <c r="D1203" s="3" t="s">
        <v>2102</v>
      </c>
      <c r="E1203" s="3" t="s">
        <v>15</v>
      </c>
      <c r="F1203" s="1" t="s">
        <v>7834</v>
      </c>
      <c r="G1203" s="10"/>
      <c r="H1203" s="10"/>
      <c r="I1203" s="10"/>
      <c r="J1203" s="10"/>
      <c r="K1203" s="10"/>
      <c r="L1203" s="3" t="s">
        <v>2360</v>
      </c>
      <c r="M1203" s="3" t="s">
        <v>2361</v>
      </c>
      <c r="N1203" s="3" t="s">
        <v>2315</v>
      </c>
      <c r="O1203" s="3">
        <v>20</v>
      </c>
      <c r="P1203" s="3">
        <v>6</v>
      </c>
      <c r="Q1203" s="3"/>
      <c r="R1203" s="3" t="s">
        <v>2316</v>
      </c>
      <c r="S1203" s="3" t="s">
        <v>2362</v>
      </c>
      <c r="T1203" s="3" t="s">
        <v>21</v>
      </c>
      <c r="U1203" s="11">
        <v>288</v>
      </c>
      <c r="V1203" s="3" t="s">
        <v>2234</v>
      </c>
      <c r="W1203" s="8" t="s">
        <v>7834</v>
      </c>
    </row>
    <row r="1204" spans="1:23" x14ac:dyDescent="0.25">
      <c r="A1204" s="2">
        <v>525</v>
      </c>
      <c r="B1204" s="3" t="s">
        <v>2234</v>
      </c>
      <c r="C1204" s="3">
        <v>2024</v>
      </c>
      <c r="D1204" s="3" t="s">
        <v>2363</v>
      </c>
      <c r="E1204" s="3" t="s">
        <v>15</v>
      </c>
      <c r="F1204" s="1" t="s">
        <v>7834</v>
      </c>
      <c r="G1204" s="10"/>
      <c r="H1204" s="10"/>
      <c r="I1204" s="10"/>
      <c r="J1204" s="10"/>
      <c r="K1204" s="10"/>
      <c r="L1204" s="3" t="s">
        <v>2364</v>
      </c>
      <c r="M1204" s="3" t="s">
        <v>2365</v>
      </c>
      <c r="N1204" s="3" t="s">
        <v>2366</v>
      </c>
      <c r="O1204" s="3">
        <v>9</v>
      </c>
      <c r="P1204" s="3">
        <v>1</v>
      </c>
      <c r="Q1204" s="3"/>
      <c r="R1204" s="3" t="s">
        <v>2367</v>
      </c>
      <c r="S1204" s="3" t="s">
        <v>2368</v>
      </c>
      <c r="T1204" s="3" t="s">
        <v>21</v>
      </c>
      <c r="U1204" s="11">
        <v>289</v>
      </c>
      <c r="V1204" s="3" t="s">
        <v>2234</v>
      </c>
      <c r="W1204" s="8" t="s">
        <v>7834</v>
      </c>
    </row>
    <row r="1205" spans="1:23" x14ac:dyDescent="0.25">
      <c r="A1205" s="2">
        <v>527</v>
      </c>
      <c r="B1205" s="3" t="s">
        <v>2234</v>
      </c>
      <c r="C1205" s="3">
        <v>2024</v>
      </c>
      <c r="D1205" s="3" t="s">
        <v>2374</v>
      </c>
      <c r="E1205" s="3" t="s">
        <v>15</v>
      </c>
      <c r="F1205" s="1" t="s">
        <v>7834</v>
      </c>
      <c r="G1205" s="10"/>
      <c r="H1205" s="10"/>
      <c r="I1205" s="10"/>
      <c r="J1205" s="10"/>
      <c r="K1205" s="10"/>
      <c r="L1205" s="3" t="s">
        <v>2375</v>
      </c>
      <c r="M1205" s="3" t="s">
        <v>2376</v>
      </c>
      <c r="N1205" s="3" t="s">
        <v>2377</v>
      </c>
      <c r="O1205" s="3">
        <v>161</v>
      </c>
      <c r="P1205" s="3">
        <v>18</v>
      </c>
      <c r="Q1205" s="3"/>
      <c r="R1205" s="3" t="s">
        <v>2378</v>
      </c>
      <c r="S1205" s="3" t="s">
        <v>2379</v>
      </c>
      <c r="T1205" s="3" t="s">
        <v>21</v>
      </c>
      <c r="U1205" s="11">
        <v>290</v>
      </c>
      <c r="V1205" s="3" t="s">
        <v>2234</v>
      </c>
      <c r="W1205" s="8" t="s">
        <v>7834</v>
      </c>
    </row>
    <row r="1206" spans="1:23" x14ac:dyDescent="0.25">
      <c r="A1206" s="2">
        <v>528</v>
      </c>
      <c r="B1206" s="3" t="s">
        <v>2234</v>
      </c>
      <c r="C1206" s="3">
        <v>2024</v>
      </c>
      <c r="D1206" s="3" t="s">
        <v>59</v>
      </c>
      <c r="E1206" s="3" t="s">
        <v>15</v>
      </c>
      <c r="F1206" s="1" t="s">
        <v>7834</v>
      </c>
      <c r="G1206" s="10"/>
      <c r="H1206" s="10"/>
      <c r="I1206" s="10"/>
      <c r="J1206" s="10"/>
      <c r="K1206" s="10"/>
      <c r="L1206" s="3" t="s">
        <v>2380</v>
      </c>
      <c r="M1206" s="3" t="s">
        <v>2381</v>
      </c>
      <c r="N1206" s="3" t="s">
        <v>2382</v>
      </c>
      <c r="O1206" s="3">
        <v>11</v>
      </c>
      <c r="P1206" s="3">
        <v>5</v>
      </c>
      <c r="Q1206" s="3">
        <v>2249</v>
      </c>
      <c r="R1206" s="3" t="s">
        <v>2383</v>
      </c>
      <c r="S1206" s="3" t="s">
        <v>2384</v>
      </c>
      <c r="T1206" s="3" t="s">
        <v>21</v>
      </c>
      <c r="U1206" s="11">
        <v>291</v>
      </c>
      <c r="V1206" s="3" t="s">
        <v>2234</v>
      </c>
      <c r="W1206" s="8" t="s">
        <v>7834</v>
      </c>
    </row>
    <row r="1207" spans="1:23" x14ac:dyDescent="0.25">
      <c r="A1207" s="2">
        <v>529</v>
      </c>
      <c r="B1207" s="3" t="s">
        <v>2234</v>
      </c>
      <c r="C1207" s="3">
        <v>2024</v>
      </c>
      <c r="D1207" s="3" t="s">
        <v>2039</v>
      </c>
      <c r="E1207" s="3" t="s">
        <v>15</v>
      </c>
      <c r="F1207" s="1" t="s">
        <v>7834</v>
      </c>
      <c r="G1207" s="10"/>
      <c r="H1207" s="10"/>
      <c r="I1207" s="10"/>
      <c r="J1207" s="10"/>
      <c r="K1207" s="10"/>
      <c r="L1207" s="3" t="s">
        <v>2385</v>
      </c>
      <c r="M1207" s="3" t="s">
        <v>2386</v>
      </c>
      <c r="N1207" s="3" t="s">
        <v>2387</v>
      </c>
      <c r="O1207" s="3">
        <v>40</v>
      </c>
      <c r="P1207" s="3">
        <v>10</v>
      </c>
      <c r="Q1207" s="3">
        <v>2015</v>
      </c>
      <c r="R1207" s="3" t="s">
        <v>2388</v>
      </c>
      <c r="S1207" s="3" t="s">
        <v>2389</v>
      </c>
      <c r="T1207" s="3" t="s">
        <v>21</v>
      </c>
      <c r="U1207" s="11">
        <v>292</v>
      </c>
      <c r="V1207" s="3" t="s">
        <v>2234</v>
      </c>
      <c r="W1207" s="8" t="s">
        <v>7834</v>
      </c>
    </row>
    <row r="1208" spans="1:23" x14ac:dyDescent="0.25">
      <c r="A1208" s="2">
        <v>530</v>
      </c>
      <c r="B1208" s="3" t="s">
        <v>2234</v>
      </c>
      <c r="C1208" s="3">
        <v>2024</v>
      </c>
      <c r="D1208" s="3" t="s">
        <v>2116</v>
      </c>
      <c r="E1208" s="3" t="s">
        <v>15</v>
      </c>
      <c r="F1208" s="1" t="s">
        <v>7834</v>
      </c>
      <c r="G1208" s="10"/>
      <c r="H1208" s="10"/>
      <c r="I1208" s="10"/>
      <c r="J1208" s="10"/>
      <c r="K1208" s="10"/>
      <c r="L1208" s="3" t="s">
        <v>2390</v>
      </c>
      <c r="M1208" s="3" t="s">
        <v>2391</v>
      </c>
      <c r="N1208" s="3" t="s">
        <v>874</v>
      </c>
      <c r="O1208" s="3">
        <v>14</v>
      </c>
      <c r="P1208" s="3">
        <v>1</v>
      </c>
      <c r="Q1208" s="3"/>
      <c r="R1208" s="3" t="s">
        <v>1002</v>
      </c>
      <c r="S1208" s="3" t="s">
        <v>2392</v>
      </c>
      <c r="T1208" s="3" t="s">
        <v>21</v>
      </c>
      <c r="U1208" s="11">
        <v>293</v>
      </c>
      <c r="V1208" s="3" t="s">
        <v>2234</v>
      </c>
      <c r="W1208" s="8" t="s">
        <v>7834</v>
      </c>
    </row>
    <row r="1209" spans="1:23" x14ac:dyDescent="0.25">
      <c r="A1209" s="2">
        <v>531</v>
      </c>
      <c r="B1209" s="3" t="s">
        <v>2234</v>
      </c>
      <c r="C1209" s="3">
        <v>2024</v>
      </c>
      <c r="D1209" s="3" t="s">
        <v>1034</v>
      </c>
      <c r="E1209" s="3" t="s">
        <v>15</v>
      </c>
      <c r="F1209" s="1" t="s">
        <v>7834</v>
      </c>
      <c r="G1209" s="10"/>
      <c r="H1209" s="10"/>
      <c r="I1209" s="10"/>
      <c r="J1209" s="10"/>
      <c r="K1209" s="10"/>
      <c r="L1209" s="3" t="s">
        <v>2393</v>
      </c>
      <c r="M1209" s="3" t="s">
        <v>2394</v>
      </c>
      <c r="N1209" s="3" t="s">
        <v>2395</v>
      </c>
      <c r="O1209" s="3"/>
      <c r="P1209" s="3"/>
      <c r="Q1209" s="3"/>
      <c r="R1209" s="3" t="s">
        <v>2396</v>
      </c>
      <c r="S1209" s="3" t="s">
        <v>2397</v>
      </c>
      <c r="T1209" s="3" t="s">
        <v>21</v>
      </c>
      <c r="U1209" s="11">
        <v>294</v>
      </c>
      <c r="V1209" s="3" t="s">
        <v>2234</v>
      </c>
      <c r="W1209" s="8" t="s">
        <v>7834</v>
      </c>
    </row>
    <row r="1210" spans="1:23" x14ac:dyDescent="0.25">
      <c r="A1210" s="2">
        <v>532</v>
      </c>
      <c r="B1210" s="3" t="s">
        <v>2234</v>
      </c>
      <c r="C1210" s="3">
        <v>2024</v>
      </c>
      <c r="D1210" s="3" t="s">
        <v>1563</v>
      </c>
      <c r="E1210" s="3" t="s">
        <v>15</v>
      </c>
      <c r="F1210" s="1" t="s">
        <v>7834</v>
      </c>
      <c r="G1210" s="10">
        <v>41</v>
      </c>
      <c r="H1210" s="10"/>
      <c r="I1210" s="10"/>
      <c r="J1210" s="10"/>
      <c r="K1210" s="10"/>
      <c r="L1210" s="3" t="s">
        <v>2398</v>
      </c>
      <c r="M1210" s="3" t="s">
        <v>2399</v>
      </c>
      <c r="N1210" s="3" t="s">
        <v>2400</v>
      </c>
      <c r="O1210" s="3">
        <v>34</v>
      </c>
      <c r="P1210" s="3">
        <v>1</v>
      </c>
      <c r="Q1210" s="3"/>
      <c r="R1210" s="3" t="s">
        <v>1567</v>
      </c>
      <c r="S1210" s="3" t="s">
        <v>1568</v>
      </c>
      <c r="T1210" s="3" t="s">
        <v>21</v>
      </c>
      <c r="U1210" s="11">
        <v>295</v>
      </c>
      <c r="V1210" s="3" t="s">
        <v>2234</v>
      </c>
      <c r="W1210" s="8" t="s">
        <v>7834</v>
      </c>
    </row>
    <row r="1211" spans="1:23" x14ac:dyDescent="0.25">
      <c r="A1211" s="2">
        <v>533</v>
      </c>
      <c r="B1211" s="3" t="s">
        <v>2401</v>
      </c>
      <c r="C1211" s="3">
        <v>2024</v>
      </c>
      <c r="D1211" s="3" t="s">
        <v>796</v>
      </c>
      <c r="E1211" s="3" t="s">
        <v>15</v>
      </c>
      <c r="F1211" s="1" t="s">
        <v>7834</v>
      </c>
      <c r="G1211" s="10"/>
      <c r="H1211" s="10"/>
      <c r="I1211" s="10"/>
      <c r="J1211" s="10"/>
      <c r="K1211" s="10"/>
      <c r="L1211" s="3" t="s">
        <v>2402</v>
      </c>
      <c r="M1211" s="3" t="s">
        <v>2403</v>
      </c>
      <c r="N1211" s="3" t="s">
        <v>2404</v>
      </c>
      <c r="O1211" s="3">
        <v>19</v>
      </c>
      <c r="P1211" s="3" t="s">
        <v>2405</v>
      </c>
      <c r="Q1211" s="3" t="s">
        <v>2406</v>
      </c>
      <c r="R1211" s="3" t="s">
        <v>2407</v>
      </c>
      <c r="S1211" s="3" t="s">
        <v>2408</v>
      </c>
      <c r="T1211" s="3" t="s">
        <v>21</v>
      </c>
      <c r="U1211" s="11">
        <v>296</v>
      </c>
      <c r="V1211" s="3" t="s">
        <v>2401</v>
      </c>
      <c r="W1211" s="8" t="s">
        <v>7834</v>
      </c>
    </row>
    <row r="1212" spans="1:23" x14ac:dyDescent="0.25">
      <c r="A1212" s="2">
        <v>534</v>
      </c>
      <c r="B1212" s="3" t="s">
        <v>2401</v>
      </c>
      <c r="C1212" s="3">
        <v>2024</v>
      </c>
      <c r="D1212" s="3" t="s">
        <v>2067</v>
      </c>
      <c r="E1212" s="3" t="s">
        <v>15</v>
      </c>
      <c r="F1212" s="1" t="s">
        <v>7834</v>
      </c>
      <c r="G1212" s="10"/>
      <c r="H1212" s="10"/>
      <c r="I1212" s="10"/>
      <c r="J1212" s="10"/>
      <c r="K1212" s="10"/>
      <c r="L1212" s="3" t="s">
        <v>2409</v>
      </c>
      <c r="M1212" s="3" t="s">
        <v>2403</v>
      </c>
      <c r="N1212" s="3" t="s">
        <v>2410</v>
      </c>
      <c r="O1212" s="3">
        <v>132</v>
      </c>
      <c r="P1212" s="3">
        <v>202301</v>
      </c>
      <c r="Q1212" s="3" t="s">
        <v>2411</v>
      </c>
      <c r="R1212" s="3" t="s">
        <v>2412</v>
      </c>
      <c r="S1212" s="3" t="s">
        <v>2413</v>
      </c>
      <c r="T1212" s="3" t="s">
        <v>21</v>
      </c>
      <c r="U1212" s="11">
        <v>297</v>
      </c>
      <c r="V1212" s="3" t="s">
        <v>2401</v>
      </c>
      <c r="W1212" s="8" t="s">
        <v>7834</v>
      </c>
    </row>
    <row r="1213" spans="1:23" x14ac:dyDescent="0.25">
      <c r="A1213" s="2">
        <v>535</v>
      </c>
      <c r="B1213" s="3" t="s">
        <v>2401</v>
      </c>
      <c r="C1213" s="3">
        <v>2024</v>
      </c>
      <c r="D1213" s="3" t="s">
        <v>2414</v>
      </c>
      <c r="E1213" s="3" t="s">
        <v>15</v>
      </c>
      <c r="F1213" s="1" t="s">
        <v>7834</v>
      </c>
      <c r="G1213" s="10"/>
      <c r="H1213" s="10"/>
      <c r="I1213" s="10"/>
      <c r="J1213" s="10"/>
      <c r="K1213" s="10"/>
      <c r="L1213" s="3" t="s">
        <v>2415</v>
      </c>
      <c r="M1213" s="3" t="s">
        <v>2416</v>
      </c>
      <c r="N1213" s="3" t="s">
        <v>2410</v>
      </c>
      <c r="O1213" s="3">
        <v>132</v>
      </c>
      <c r="P1213" s="3">
        <v>102301</v>
      </c>
      <c r="Q1213" s="3" t="s">
        <v>2417</v>
      </c>
      <c r="R1213" s="3" t="s">
        <v>2412</v>
      </c>
      <c r="S1213" s="3" t="s">
        <v>2418</v>
      </c>
      <c r="T1213" s="3" t="s">
        <v>21</v>
      </c>
      <c r="U1213" s="11">
        <v>298</v>
      </c>
      <c r="V1213" s="3" t="s">
        <v>2401</v>
      </c>
      <c r="W1213" s="8" t="s">
        <v>7834</v>
      </c>
    </row>
    <row r="1214" spans="1:23" x14ac:dyDescent="0.25">
      <c r="A1214" s="2">
        <v>536</v>
      </c>
      <c r="B1214" s="3" t="s">
        <v>2401</v>
      </c>
      <c r="C1214" s="3">
        <v>2024</v>
      </c>
      <c r="D1214" s="3" t="s">
        <v>2419</v>
      </c>
      <c r="E1214" s="3" t="s">
        <v>15</v>
      </c>
      <c r="F1214" s="1" t="s">
        <v>7834</v>
      </c>
      <c r="G1214" s="10"/>
      <c r="H1214" s="10"/>
      <c r="I1214" s="10"/>
      <c r="J1214" s="10"/>
      <c r="K1214" s="10"/>
      <c r="L1214" s="3" t="s">
        <v>2420</v>
      </c>
      <c r="M1214" s="3" t="s">
        <v>2403</v>
      </c>
      <c r="N1214" s="3" t="s">
        <v>2421</v>
      </c>
      <c r="O1214" s="3">
        <v>84</v>
      </c>
      <c r="P1214" s="3">
        <v>315</v>
      </c>
      <c r="Q1214" s="3" t="s">
        <v>2422</v>
      </c>
      <c r="R1214" s="3" t="s">
        <v>2423</v>
      </c>
      <c r="S1214" s="3" t="s">
        <v>2424</v>
      </c>
      <c r="T1214" s="3" t="s">
        <v>21</v>
      </c>
      <c r="U1214" s="11">
        <v>299</v>
      </c>
      <c r="V1214" s="3" t="s">
        <v>2401</v>
      </c>
      <c r="W1214" s="8" t="s">
        <v>7834</v>
      </c>
    </row>
    <row r="1215" spans="1:23" x14ac:dyDescent="0.25">
      <c r="A1215" s="2">
        <v>537</v>
      </c>
      <c r="B1215" s="3" t="s">
        <v>2401</v>
      </c>
      <c r="C1215" s="3">
        <v>2024</v>
      </c>
      <c r="D1215" s="3" t="s">
        <v>2425</v>
      </c>
      <c r="E1215" s="3" t="s">
        <v>15</v>
      </c>
      <c r="F1215" s="1" t="s">
        <v>7834</v>
      </c>
      <c r="G1215" s="10"/>
      <c r="H1215" s="10"/>
      <c r="I1215" s="10"/>
      <c r="J1215" s="10"/>
      <c r="K1215" s="10"/>
      <c r="L1215" s="3" t="s">
        <v>2426</v>
      </c>
      <c r="M1215" s="3" t="s">
        <v>2403</v>
      </c>
      <c r="N1215" s="3" t="s">
        <v>2427</v>
      </c>
      <c r="O1215" s="3">
        <v>48</v>
      </c>
      <c r="P1215" s="3">
        <v>2</v>
      </c>
      <c r="Q1215" s="3" t="s">
        <v>2428</v>
      </c>
      <c r="R1215" s="3" t="s">
        <v>2429</v>
      </c>
      <c r="S1215" s="3" t="s">
        <v>2430</v>
      </c>
      <c r="T1215" s="3" t="s">
        <v>21</v>
      </c>
      <c r="U1215" s="11">
        <v>300</v>
      </c>
      <c r="V1215" s="3" t="s">
        <v>2401</v>
      </c>
      <c r="W1215" s="8" t="s">
        <v>7834</v>
      </c>
    </row>
    <row r="1216" spans="1:23" x14ac:dyDescent="0.25">
      <c r="A1216" s="2">
        <v>538</v>
      </c>
      <c r="B1216" s="3" t="s">
        <v>2401</v>
      </c>
      <c r="C1216" s="3">
        <v>2024</v>
      </c>
      <c r="D1216" s="3" t="s">
        <v>2431</v>
      </c>
      <c r="E1216" s="3" t="s">
        <v>15</v>
      </c>
      <c r="F1216" s="1" t="s">
        <v>7834</v>
      </c>
      <c r="G1216" s="10"/>
      <c r="H1216" s="10"/>
      <c r="I1216" s="10"/>
      <c r="J1216" s="10"/>
      <c r="K1216" s="10"/>
      <c r="L1216" s="3" t="s">
        <v>2432</v>
      </c>
      <c r="M1216" s="3" t="s">
        <v>2403</v>
      </c>
      <c r="N1216" s="3" t="s">
        <v>2433</v>
      </c>
      <c r="O1216" s="3">
        <v>109</v>
      </c>
      <c r="P1216" s="3">
        <v>112012</v>
      </c>
      <c r="Q1216" s="3" t="s">
        <v>2434</v>
      </c>
      <c r="R1216" s="3" t="s">
        <v>2435</v>
      </c>
      <c r="S1216" s="3" t="s">
        <v>2436</v>
      </c>
      <c r="T1216" s="3" t="s">
        <v>21</v>
      </c>
      <c r="U1216" s="11">
        <v>301</v>
      </c>
      <c r="V1216" s="3" t="s">
        <v>2401</v>
      </c>
      <c r="W1216" s="8" t="s">
        <v>7834</v>
      </c>
    </row>
    <row r="1217" spans="1:23" x14ac:dyDescent="0.25">
      <c r="A1217" s="2">
        <v>539</v>
      </c>
      <c r="B1217" s="3" t="s">
        <v>2401</v>
      </c>
      <c r="C1217" s="3">
        <v>2024</v>
      </c>
      <c r="D1217" s="3" t="s">
        <v>903</v>
      </c>
      <c r="E1217" s="3" t="s">
        <v>15</v>
      </c>
      <c r="F1217" s="1" t="s">
        <v>7834</v>
      </c>
      <c r="G1217" s="10"/>
      <c r="H1217" s="10"/>
      <c r="I1217" s="10"/>
      <c r="J1217" s="10"/>
      <c r="K1217" s="10"/>
      <c r="L1217" s="3" t="s">
        <v>2437</v>
      </c>
      <c r="M1217" s="3" t="s">
        <v>2403</v>
      </c>
      <c r="N1217" s="3" t="s">
        <v>2438</v>
      </c>
      <c r="O1217" s="3">
        <v>8</v>
      </c>
      <c r="P1217" s="3">
        <v>7</v>
      </c>
      <c r="Q1217" s="3" t="s">
        <v>2439</v>
      </c>
      <c r="R1217" s="3" t="s">
        <v>2440</v>
      </c>
      <c r="S1217" s="3" t="s">
        <v>2441</v>
      </c>
      <c r="T1217" s="3" t="s">
        <v>21</v>
      </c>
      <c r="U1217" s="11">
        <v>302</v>
      </c>
      <c r="V1217" s="3" t="s">
        <v>2401</v>
      </c>
      <c r="W1217" s="8" t="s">
        <v>7834</v>
      </c>
    </row>
    <row r="1218" spans="1:23" x14ac:dyDescent="0.25">
      <c r="A1218" s="2">
        <v>540</v>
      </c>
      <c r="B1218" s="3" t="s">
        <v>2401</v>
      </c>
      <c r="C1218" s="3">
        <v>2024</v>
      </c>
      <c r="D1218" s="3" t="s">
        <v>1762</v>
      </c>
      <c r="E1218" s="3" t="s">
        <v>15</v>
      </c>
      <c r="F1218" s="1" t="s">
        <v>7834</v>
      </c>
      <c r="G1218" s="10"/>
      <c r="H1218" s="10"/>
      <c r="I1218" s="10"/>
      <c r="J1218" s="10"/>
      <c r="K1218" s="10"/>
      <c r="L1218" s="3" t="s">
        <v>2442</v>
      </c>
      <c r="M1218" s="3" t="s">
        <v>2403</v>
      </c>
      <c r="N1218" s="3" t="s">
        <v>2410</v>
      </c>
      <c r="O1218" s="3">
        <v>132</v>
      </c>
      <c r="P1218" s="3">
        <v>81801</v>
      </c>
      <c r="Q1218" s="3" t="s">
        <v>2443</v>
      </c>
      <c r="R1218" s="3" t="s">
        <v>2412</v>
      </c>
      <c r="S1218" s="3" t="s">
        <v>2444</v>
      </c>
      <c r="T1218" s="3" t="s">
        <v>21</v>
      </c>
      <c r="U1218" s="11">
        <v>303</v>
      </c>
      <c r="V1218" s="3" t="s">
        <v>2401</v>
      </c>
      <c r="W1218" s="8" t="s">
        <v>7834</v>
      </c>
    </row>
    <row r="1219" spans="1:23" x14ac:dyDescent="0.25">
      <c r="A1219" s="2">
        <v>541</v>
      </c>
      <c r="B1219" s="3" t="s">
        <v>2401</v>
      </c>
      <c r="C1219" s="3">
        <v>2024</v>
      </c>
      <c r="D1219" s="3" t="s">
        <v>1945</v>
      </c>
      <c r="E1219" s="3" t="s">
        <v>15</v>
      </c>
      <c r="F1219" s="1" t="s">
        <v>7834</v>
      </c>
      <c r="G1219" s="10"/>
      <c r="H1219" s="10"/>
      <c r="I1219" s="10"/>
      <c r="J1219" s="10"/>
      <c r="K1219" s="10"/>
      <c r="L1219" s="3" t="s">
        <v>2445</v>
      </c>
      <c r="M1219" s="3" t="s">
        <v>2403</v>
      </c>
      <c r="N1219" s="3" t="s">
        <v>2446</v>
      </c>
      <c r="O1219" s="3">
        <v>2</v>
      </c>
      <c r="P1219" s="3">
        <v>107</v>
      </c>
      <c r="Q1219" s="3" t="s">
        <v>2447</v>
      </c>
      <c r="R1219" s="3" t="s">
        <v>2448</v>
      </c>
      <c r="S1219" s="3" t="s">
        <v>2449</v>
      </c>
      <c r="T1219" s="3" t="s">
        <v>21</v>
      </c>
      <c r="U1219" s="11">
        <v>304</v>
      </c>
      <c r="V1219" s="3" t="s">
        <v>2401</v>
      </c>
      <c r="W1219" s="8" t="s">
        <v>7834</v>
      </c>
    </row>
    <row r="1220" spans="1:23" x14ac:dyDescent="0.25">
      <c r="A1220" s="2">
        <v>542</v>
      </c>
      <c r="B1220" s="3" t="s">
        <v>2401</v>
      </c>
      <c r="C1220" s="3">
        <v>2024</v>
      </c>
      <c r="D1220" s="3" t="s">
        <v>894</v>
      </c>
      <c r="E1220" s="3" t="s">
        <v>15</v>
      </c>
      <c r="F1220" s="1" t="s">
        <v>7834</v>
      </c>
      <c r="G1220" s="10"/>
      <c r="H1220" s="10"/>
      <c r="I1220" s="10"/>
      <c r="J1220" s="10"/>
      <c r="K1220" s="10"/>
      <c r="L1220" s="3" t="s">
        <v>2450</v>
      </c>
      <c r="M1220" s="3" t="s">
        <v>2403</v>
      </c>
      <c r="N1220" s="3" t="s">
        <v>2451</v>
      </c>
      <c r="O1220" s="3">
        <v>849</v>
      </c>
      <c r="P1220" s="3">
        <v>138469</v>
      </c>
      <c r="Q1220" s="3" t="s">
        <v>2428</v>
      </c>
      <c r="R1220" s="3" t="s">
        <v>2452</v>
      </c>
      <c r="S1220" s="3" t="s">
        <v>2453</v>
      </c>
      <c r="T1220" s="3" t="s">
        <v>21</v>
      </c>
      <c r="U1220" s="11">
        <v>305</v>
      </c>
      <c r="V1220" s="3" t="s">
        <v>2401</v>
      </c>
      <c r="W1220" s="8" t="s">
        <v>7834</v>
      </c>
    </row>
    <row r="1221" spans="1:23" x14ac:dyDescent="0.25">
      <c r="A1221" s="2">
        <v>543</v>
      </c>
      <c r="B1221" s="3" t="s">
        <v>2401</v>
      </c>
      <c r="C1221" s="3">
        <v>2024</v>
      </c>
      <c r="D1221" s="3" t="s">
        <v>2454</v>
      </c>
      <c r="E1221" s="3" t="s">
        <v>15</v>
      </c>
      <c r="F1221" s="1" t="s">
        <v>7834</v>
      </c>
      <c r="G1221" s="10"/>
      <c r="H1221" s="10"/>
      <c r="I1221" s="10"/>
      <c r="J1221" s="10"/>
      <c r="K1221" s="10"/>
      <c r="L1221" s="3" t="s">
        <v>2455</v>
      </c>
      <c r="M1221" s="3" t="s">
        <v>2403</v>
      </c>
      <c r="N1221" s="3" t="s">
        <v>2433</v>
      </c>
      <c r="O1221" s="3">
        <v>109</v>
      </c>
      <c r="P1221" s="3">
        <v>32010</v>
      </c>
      <c r="Q1221" s="3" t="s">
        <v>2456</v>
      </c>
      <c r="R1221" s="3" t="s">
        <v>2435</v>
      </c>
      <c r="S1221" s="3" t="s">
        <v>2457</v>
      </c>
      <c r="T1221" s="3" t="s">
        <v>21</v>
      </c>
      <c r="U1221" s="11">
        <v>306</v>
      </c>
      <c r="V1221" s="3" t="s">
        <v>2401</v>
      </c>
      <c r="W1221" s="8" t="s">
        <v>7834</v>
      </c>
    </row>
    <row r="1222" spans="1:23" x14ac:dyDescent="0.25">
      <c r="A1222" s="2">
        <v>544</v>
      </c>
      <c r="B1222" s="3" t="s">
        <v>2401</v>
      </c>
      <c r="C1222" s="3">
        <v>2024</v>
      </c>
      <c r="D1222" s="3" t="s">
        <v>1945</v>
      </c>
      <c r="E1222" s="3" t="s">
        <v>15</v>
      </c>
      <c r="F1222" s="1" t="s">
        <v>7834</v>
      </c>
      <c r="G1222" s="10"/>
      <c r="H1222" s="10"/>
      <c r="I1222" s="10"/>
      <c r="J1222" s="10"/>
      <c r="K1222" s="10"/>
      <c r="L1222" s="3" t="s">
        <v>2458</v>
      </c>
      <c r="M1222" s="3" t="s">
        <v>2403</v>
      </c>
      <c r="N1222" s="3" t="s">
        <v>2421</v>
      </c>
      <c r="O1222" s="3">
        <v>84</v>
      </c>
      <c r="P1222" s="3">
        <v>157</v>
      </c>
      <c r="Q1222" s="3" t="s">
        <v>2411</v>
      </c>
      <c r="R1222" s="3" t="s">
        <v>2423</v>
      </c>
      <c r="S1222" s="3" t="s">
        <v>2459</v>
      </c>
      <c r="T1222" s="3" t="s">
        <v>21</v>
      </c>
      <c r="U1222" s="11">
        <v>307</v>
      </c>
      <c r="V1222" s="3" t="s">
        <v>2401</v>
      </c>
      <c r="W1222" s="8" t="s">
        <v>7834</v>
      </c>
    </row>
    <row r="1223" spans="1:23" x14ac:dyDescent="0.25">
      <c r="A1223" s="2">
        <v>545</v>
      </c>
      <c r="B1223" s="3" t="s">
        <v>2401</v>
      </c>
      <c r="C1223" s="3">
        <v>2024</v>
      </c>
      <c r="D1223" s="3" t="s">
        <v>2116</v>
      </c>
      <c r="E1223" s="3" t="s">
        <v>15</v>
      </c>
      <c r="F1223" s="1" t="s">
        <v>7834</v>
      </c>
      <c r="G1223" s="10"/>
      <c r="H1223" s="10"/>
      <c r="I1223" s="10"/>
      <c r="J1223" s="10"/>
      <c r="K1223" s="10"/>
      <c r="L1223" s="3" t="s">
        <v>2460</v>
      </c>
      <c r="M1223" s="3" t="s">
        <v>2403</v>
      </c>
      <c r="N1223" s="3" t="s">
        <v>2421</v>
      </c>
      <c r="O1223" s="3">
        <v>84</v>
      </c>
      <c r="P1223" s="3">
        <v>818</v>
      </c>
      <c r="Q1223" s="3" t="s">
        <v>2439</v>
      </c>
      <c r="R1223" s="3" t="s">
        <v>2423</v>
      </c>
      <c r="S1223" s="3" t="s">
        <v>2461</v>
      </c>
      <c r="T1223" s="3" t="s">
        <v>21</v>
      </c>
      <c r="U1223" s="11">
        <v>308</v>
      </c>
      <c r="V1223" s="3" t="s">
        <v>2401</v>
      </c>
      <c r="W1223" s="8" t="s">
        <v>7834</v>
      </c>
    </row>
    <row r="1224" spans="1:23" x14ac:dyDescent="0.25">
      <c r="A1224" s="2">
        <v>546</v>
      </c>
      <c r="B1224" s="3" t="s">
        <v>2401</v>
      </c>
      <c r="C1224" s="3">
        <v>2024</v>
      </c>
      <c r="D1224" s="3" t="s">
        <v>2462</v>
      </c>
      <c r="E1224" s="3" t="s">
        <v>15</v>
      </c>
      <c r="F1224" s="1" t="s">
        <v>7834</v>
      </c>
      <c r="G1224" s="10"/>
      <c r="H1224" s="10"/>
      <c r="I1224" s="10"/>
      <c r="J1224" s="10"/>
      <c r="K1224" s="10"/>
      <c r="L1224" s="3" t="s">
        <v>2463</v>
      </c>
      <c r="M1224" s="3" t="s">
        <v>2403</v>
      </c>
      <c r="N1224" s="3" t="s">
        <v>2421</v>
      </c>
      <c r="O1224" s="3">
        <v>84</v>
      </c>
      <c r="P1224" s="3">
        <v>169</v>
      </c>
      <c r="Q1224" s="3" t="s">
        <v>2464</v>
      </c>
      <c r="R1224" s="3" t="s">
        <v>2423</v>
      </c>
      <c r="S1224" s="3" t="s">
        <v>2465</v>
      </c>
      <c r="T1224" s="3" t="s">
        <v>21</v>
      </c>
      <c r="U1224" s="11">
        <v>309</v>
      </c>
      <c r="V1224" s="3" t="s">
        <v>2401</v>
      </c>
      <c r="W1224" s="8" t="s">
        <v>7834</v>
      </c>
    </row>
    <row r="1225" spans="1:23" x14ac:dyDescent="0.25">
      <c r="A1225" s="2">
        <v>547</v>
      </c>
      <c r="B1225" s="3" t="s">
        <v>2401</v>
      </c>
      <c r="C1225" s="3">
        <v>2024</v>
      </c>
      <c r="D1225" s="3" t="s">
        <v>2466</v>
      </c>
      <c r="E1225" s="3" t="s">
        <v>15</v>
      </c>
      <c r="F1225" s="1" t="s">
        <v>7834</v>
      </c>
      <c r="G1225" s="10"/>
      <c r="H1225" s="10"/>
      <c r="I1225" s="10"/>
      <c r="J1225" s="10"/>
      <c r="K1225" s="10"/>
      <c r="L1225" s="3" t="s">
        <v>2467</v>
      </c>
      <c r="M1225" s="3" t="s">
        <v>2403</v>
      </c>
      <c r="N1225" s="3" t="s">
        <v>2410</v>
      </c>
      <c r="O1225" s="3">
        <v>133</v>
      </c>
      <c r="P1225" s="3">
        <v>161804</v>
      </c>
      <c r="Q1225" s="3" t="s">
        <v>2443</v>
      </c>
      <c r="R1225" s="3" t="s">
        <v>2412</v>
      </c>
      <c r="S1225" s="3" t="s">
        <v>2468</v>
      </c>
      <c r="T1225" s="3" t="s">
        <v>21</v>
      </c>
      <c r="U1225" s="11">
        <v>310</v>
      </c>
      <c r="V1225" s="3" t="s">
        <v>2401</v>
      </c>
      <c r="W1225" s="8" t="s">
        <v>7834</v>
      </c>
    </row>
    <row r="1226" spans="1:23" x14ac:dyDescent="0.25">
      <c r="A1226" s="2">
        <v>548</v>
      </c>
      <c r="B1226" s="3" t="s">
        <v>2401</v>
      </c>
      <c r="C1226" s="3">
        <v>2024</v>
      </c>
      <c r="D1226" s="3" t="s">
        <v>2469</v>
      </c>
      <c r="E1226" s="3" t="s">
        <v>15</v>
      </c>
      <c r="F1226" s="1" t="s">
        <v>7834</v>
      </c>
      <c r="G1226" s="10"/>
      <c r="H1226" s="10"/>
      <c r="I1226" s="10"/>
      <c r="J1226" s="10"/>
      <c r="K1226" s="10"/>
      <c r="L1226" s="3" t="s">
        <v>2470</v>
      </c>
      <c r="M1226" s="3" t="s">
        <v>2403</v>
      </c>
      <c r="N1226" s="3" t="s">
        <v>2446</v>
      </c>
      <c r="O1226" s="3">
        <v>5</v>
      </c>
      <c r="P1226" s="3">
        <v>105</v>
      </c>
      <c r="Q1226" s="3" t="s">
        <v>2471</v>
      </c>
      <c r="R1226" s="3" t="s">
        <v>2448</v>
      </c>
      <c r="S1226" s="3" t="s">
        <v>2472</v>
      </c>
      <c r="T1226" s="3" t="s">
        <v>21</v>
      </c>
      <c r="U1226" s="11">
        <v>311</v>
      </c>
      <c r="V1226" s="3" t="s">
        <v>2401</v>
      </c>
      <c r="W1226" s="8" t="s">
        <v>7834</v>
      </c>
    </row>
    <row r="1227" spans="1:23" x14ac:dyDescent="0.25">
      <c r="A1227" s="2">
        <v>549</v>
      </c>
      <c r="B1227" s="3" t="s">
        <v>2401</v>
      </c>
      <c r="C1227" s="3">
        <v>2024</v>
      </c>
      <c r="D1227" s="3" t="s">
        <v>1267</v>
      </c>
      <c r="E1227" s="3" t="s">
        <v>15</v>
      </c>
      <c r="F1227" s="1" t="s">
        <v>7834</v>
      </c>
      <c r="G1227" s="10"/>
      <c r="H1227" s="10"/>
      <c r="I1227" s="10"/>
      <c r="J1227" s="10"/>
      <c r="K1227" s="10"/>
      <c r="L1227" s="3" t="s">
        <v>2473</v>
      </c>
      <c r="M1227" s="3" t="s">
        <v>2403</v>
      </c>
      <c r="N1227" s="3" t="s">
        <v>2446</v>
      </c>
      <c r="O1227" s="3">
        <v>5</v>
      </c>
      <c r="P1227" s="3">
        <v>162</v>
      </c>
      <c r="Q1227" s="3" t="s">
        <v>2471</v>
      </c>
      <c r="R1227" s="3" t="s">
        <v>2448</v>
      </c>
      <c r="S1227" s="3" t="s">
        <v>2474</v>
      </c>
      <c r="T1227" s="3" t="s">
        <v>21</v>
      </c>
      <c r="U1227" s="11">
        <v>312</v>
      </c>
      <c r="V1227" s="3" t="s">
        <v>2401</v>
      </c>
      <c r="W1227" s="8" t="s">
        <v>7834</v>
      </c>
    </row>
    <row r="1228" spans="1:23" x14ac:dyDescent="0.25">
      <c r="A1228" s="2">
        <v>550</v>
      </c>
      <c r="B1228" s="3" t="s">
        <v>2401</v>
      </c>
      <c r="C1228" s="3">
        <v>2024</v>
      </c>
      <c r="D1228" s="3" t="s">
        <v>1177</v>
      </c>
      <c r="E1228" s="3" t="s">
        <v>15</v>
      </c>
      <c r="F1228" s="1" t="s">
        <v>7834</v>
      </c>
      <c r="G1228" s="10"/>
      <c r="H1228" s="10"/>
      <c r="I1228" s="10"/>
      <c r="J1228" s="10"/>
      <c r="K1228" s="10"/>
      <c r="L1228" s="3" t="s">
        <v>2475</v>
      </c>
      <c r="M1228" s="3" t="s">
        <v>2403</v>
      </c>
      <c r="N1228" s="3" t="s">
        <v>2438</v>
      </c>
      <c r="O1228" s="3">
        <v>8</v>
      </c>
      <c r="P1228" s="3">
        <v>9</v>
      </c>
      <c r="Q1228" s="3" t="s">
        <v>2411</v>
      </c>
      <c r="R1228" s="3" t="s">
        <v>2440</v>
      </c>
      <c r="S1228" s="3" t="s">
        <v>2476</v>
      </c>
      <c r="T1228" s="3" t="s">
        <v>21</v>
      </c>
      <c r="U1228" s="11">
        <v>313</v>
      </c>
      <c r="V1228" s="3" t="s">
        <v>2401</v>
      </c>
      <c r="W1228" s="8" t="s">
        <v>7834</v>
      </c>
    </row>
    <row r="1229" spans="1:23" x14ac:dyDescent="0.25">
      <c r="A1229" s="2">
        <v>551</v>
      </c>
      <c r="B1229" s="3" t="s">
        <v>2401</v>
      </c>
      <c r="C1229" s="3">
        <v>2024</v>
      </c>
      <c r="D1229" s="3" t="s">
        <v>2477</v>
      </c>
      <c r="E1229" s="3" t="s">
        <v>15</v>
      </c>
      <c r="F1229" s="1" t="s">
        <v>7834</v>
      </c>
      <c r="G1229" s="10"/>
      <c r="H1229" s="10"/>
      <c r="I1229" s="10"/>
      <c r="J1229" s="10"/>
      <c r="K1229" s="10"/>
      <c r="L1229" s="3" t="s">
        <v>2478</v>
      </c>
      <c r="M1229" s="3" t="s">
        <v>2403</v>
      </c>
      <c r="N1229" s="3" t="s">
        <v>2451</v>
      </c>
      <c r="O1229" s="3">
        <v>848</v>
      </c>
      <c r="P1229" s="3">
        <v>138376</v>
      </c>
      <c r="Q1229" s="3" t="s">
        <v>2428</v>
      </c>
      <c r="R1229" s="3" t="s">
        <v>2452</v>
      </c>
      <c r="S1229" s="3" t="s">
        <v>2479</v>
      </c>
      <c r="T1229" s="3" t="s">
        <v>21</v>
      </c>
      <c r="U1229" s="11">
        <v>314</v>
      </c>
      <c r="V1229" s="3" t="s">
        <v>2401</v>
      </c>
      <c r="W1229" s="8" t="s">
        <v>7834</v>
      </c>
    </row>
    <row r="1230" spans="1:23" x14ac:dyDescent="0.25">
      <c r="A1230" s="2">
        <v>552</v>
      </c>
      <c r="B1230" s="3" t="s">
        <v>2401</v>
      </c>
      <c r="C1230" s="3">
        <v>2024</v>
      </c>
      <c r="D1230" s="3" t="s">
        <v>1838</v>
      </c>
      <c r="E1230" s="3" t="s">
        <v>15</v>
      </c>
      <c r="F1230" s="1" t="s">
        <v>7834</v>
      </c>
      <c r="G1230" s="10"/>
      <c r="H1230" s="10"/>
      <c r="I1230" s="10"/>
      <c r="J1230" s="10"/>
      <c r="K1230" s="10"/>
      <c r="L1230" s="3" t="s">
        <v>2480</v>
      </c>
      <c r="M1230" s="3" t="s">
        <v>2403</v>
      </c>
      <c r="N1230" s="3" t="s">
        <v>2451</v>
      </c>
      <c r="O1230" s="3">
        <v>848</v>
      </c>
      <c r="P1230" s="3">
        <v>138400</v>
      </c>
      <c r="Q1230" s="3" t="s">
        <v>2481</v>
      </c>
      <c r="R1230" s="3" t="s">
        <v>2452</v>
      </c>
      <c r="S1230" s="3" t="s">
        <v>2482</v>
      </c>
      <c r="T1230" s="3" t="s">
        <v>21</v>
      </c>
      <c r="U1230" s="11">
        <v>315</v>
      </c>
      <c r="V1230" s="3" t="s">
        <v>2401</v>
      </c>
      <c r="W1230" s="8" t="s">
        <v>7834</v>
      </c>
    </row>
    <row r="1231" spans="1:23" x14ac:dyDescent="0.25">
      <c r="A1231" s="2">
        <v>553</v>
      </c>
      <c r="B1231" s="3" t="s">
        <v>2401</v>
      </c>
      <c r="C1231" s="3">
        <v>2024</v>
      </c>
      <c r="D1231" s="3" t="s">
        <v>2466</v>
      </c>
      <c r="E1231" s="3" t="s">
        <v>15</v>
      </c>
      <c r="F1231" s="1" t="s">
        <v>7834</v>
      </c>
      <c r="G1231" s="10"/>
      <c r="H1231" s="10"/>
      <c r="I1231" s="10"/>
      <c r="J1231" s="10"/>
      <c r="K1231" s="10"/>
      <c r="L1231" s="3" t="s">
        <v>2483</v>
      </c>
      <c r="M1231" s="3" t="s">
        <v>2416</v>
      </c>
      <c r="N1231" s="3" t="s">
        <v>2446</v>
      </c>
      <c r="O1231" s="3">
        <v>10</v>
      </c>
      <c r="P1231" s="3">
        <v>130</v>
      </c>
      <c r="Q1231" s="3" t="s">
        <v>2484</v>
      </c>
      <c r="R1231" s="3" t="s">
        <v>2448</v>
      </c>
      <c r="S1231" s="3" t="s">
        <v>2485</v>
      </c>
      <c r="T1231" s="3" t="s">
        <v>21</v>
      </c>
      <c r="U1231" s="11">
        <v>316</v>
      </c>
      <c r="V1231" s="3" t="s">
        <v>2401</v>
      </c>
      <c r="W1231" s="8" t="s">
        <v>7834</v>
      </c>
    </row>
    <row r="1232" spans="1:23" x14ac:dyDescent="0.25">
      <c r="A1232" s="2">
        <v>554</v>
      </c>
      <c r="B1232" s="3" t="s">
        <v>2401</v>
      </c>
      <c r="C1232" s="3">
        <v>2024</v>
      </c>
      <c r="D1232" s="3" t="s">
        <v>93</v>
      </c>
      <c r="E1232" s="3" t="s">
        <v>15</v>
      </c>
      <c r="F1232" s="1" t="s">
        <v>7834</v>
      </c>
      <c r="G1232" s="10"/>
      <c r="H1232" s="10"/>
      <c r="I1232" s="10"/>
      <c r="J1232" s="10"/>
      <c r="K1232" s="10"/>
      <c r="L1232" s="3" t="s">
        <v>2486</v>
      </c>
      <c r="M1232" s="3" t="s">
        <v>2403</v>
      </c>
      <c r="N1232" s="3" t="s">
        <v>2451</v>
      </c>
      <c r="O1232" s="3">
        <v>854</v>
      </c>
      <c r="P1232" s="3">
        <v>138726</v>
      </c>
      <c r="Q1232" s="3" t="s">
        <v>2417</v>
      </c>
      <c r="R1232" s="3" t="s">
        <v>2452</v>
      </c>
      <c r="S1232" s="3" t="s">
        <v>2487</v>
      </c>
      <c r="T1232" s="3" t="s">
        <v>21</v>
      </c>
      <c r="U1232" s="11">
        <v>317</v>
      </c>
      <c r="V1232" s="3" t="s">
        <v>2401</v>
      </c>
      <c r="W1232" s="8" t="s">
        <v>7834</v>
      </c>
    </row>
    <row r="1233" spans="1:23" x14ac:dyDescent="0.25">
      <c r="A1233" s="2">
        <v>555</v>
      </c>
      <c r="B1233" s="3" t="s">
        <v>2401</v>
      </c>
      <c r="C1233" s="3">
        <v>2024</v>
      </c>
      <c r="D1233" s="3" t="s">
        <v>1459</v>
      </c>
      <c r="E1233" s="3" t="s">
        <v>15</v>
      </c>
      <c r="F1233" s="1" t="s">
        <v>7834</v>
      </c>
      <c r="G1233" s="10"/>
      <c r="H1233" s="10"/>
      <c r="I1233" s="10"/>
      <c r="J1233" s="10"/>
      <c r="K1233" s="10"/>
      <c r="L1233" s="3" t="s">
        <v>2488</v>
      </c>
      <c r="M1233" s="3" t="s">
        <v>2403</v>
      </c>
      <c r="N1233" s="3" t="s">
        <v>2446</v>
      </c>
      <c r="O1233" s="3">
        <v>7</v>
      </c>
      <c r="P1233" s="3">
        <v>163</v>
      </c>
      <c r="Q1233" s="3" t="s">
        <v>2489</v>
      </c>
      <c r="R1233" s="3" t="s">
        <v>2448</v>
      </c>
      <c r="S1233" s="3" t="s">
        <v>2490</v>
      </c>
      <c r="T1233" s="3" t="s">
        <v>21</v>
      </c>
      <c r="U1233" s="11">
        <v>318</v>
      </c>
      <c r="V1233" s="3" t="s">
        <v>2401</v>
      </c>
      <c r="W1233" s="8" t="s">
        <v>7834</v>
      </c>
    </row>
    <row r="1234" spans="1:23" x14ac:dyDescent="0.25">
      <c r="A1234" s="2">
        <v>556</v>
      </c>
      <c r="B1234" s="3" t="s">
        <v>2401</v>
      </c>
      <c r="C1234" s="3">
        <v>2024</v>
      </c>
      <c r="D1234" s="3" t="s">
        <v>1459</v>
      </c>
      <c r="E1234" s="3" t="s">
        <v>15</v>
      </c>
      <c r="F1234" s="1" t="s">
        <v>7834</v>
      </c>
      <c r="G1234" s="10"/>
      <c r="H1234" s="10"/>
      <c r="I1234" s="10"/>
      <c r="J1234" s="10"/>
      <c r="K1234" s="10"/>
      <c r="L1234" s="3" t="s">
        <v>2488</v>
      </c>
      <c r="M1234" s="3" t="s">
        <v>2403</v>
      </c>
      <c r="N1234" s="3" t="s">
        <v>2446</v>
      </c>
      <c r="O1234" s="3">
        <v>7</v>
      </c>
      <c r="P1234" s="3">
        <v>163</v>
      </c>
      <c r="Q1234" s="3" t="s">
        <v>2489</v>
      </c>
      <c r="R1234" s="3" t="s">
        <v>2448</v>
      </c>
      <c r="S1234" s="3" t="s">
        <v>2490</v>
      </c>
      <c r="T1234" s="3" t="s">
        <v>21</v>
      </c>
      <c r="U1234" s="11">
        <v>319</v>
      </c>
      <c r="V1234" s="3" t="s">
        <v>2401</v>
      </c>
      <c r="W1234" s="8" t="s">
        <v>7834</v>
      </c>
    </row>
    <row r="1235" spans="1:23" x14ac:dyDescent="0.25">
      <c r="A1235" s="2">
        <v>557</v>
      </c>
      <c r="B1235" s="3" t="s">
        <v>2401</v>
      </c>
      <c r="C1235" s="3">
        <v>2024</v>
      </c>
      <c r="D1235" s="3" t="s">
        <v>2491</v>
      </c>
      <c r="E1235" s="3" t="s">
        <v>15</v>
      </c>
      <c r="F1235" s="1" t="s">
        <v>7834</v>
      </c>
      <c r="G1235" s="10"/>
      <c r="H1235" s="10"/>
      <c r="I1235" s="10"/>
      <c r="J1235" s="10"/>
      <c r="K1235" s="10"/>
      <c r="L1235" s="3" t="s">
        <v>2492</v>
      </c>
      <c r="M1235" s="3" t="s">
        <v>2416</v>
      </c>
      <c r="N1235" s="3" t="s">
        <v>2433</v>
      </c>
      <c r="O1235" s="3">
        <v>109</v>
      </c>
      <c r="P1235" s="3">
        <v>112016</v>
      </c>
      <c r="Q1235" s="3" t="s">
        <v>2493</v>
      </c>
      <c r="R1235" s="3" t="s">
        <v>2435</v>
      </c>
      <c r="S1235" s="3" t="s">
        <v>2494</v>
      </c>
      <c r="T1235" s="3" t="s">
        <v>21</v>
      </c>
      <c r="U1235" s="11">
        <v>320</v>
      </c>
      <c r="V1235" s="3" t="s">
        <v>2401</v>
      </c>
      <c r="W1235" s="8" t="s">
        <v>7834</v>
      </c>
    </row>
    <row r="1236" spans="1:23" x14ac:dyDescent="0.25">
      <c r="A1236" s="2">
        <v>558</v>
      </c>
      <c r="B1236" s="3" t="s">
        <v>2401</v>
      </c>
      <c r="C1236" s="3">
        <v>2024</v>
      </c>
      <c r="D1236" s="3" t="s">
        <v>2495</v>
      </c>
      <c r="E1236" s="3" t="s">
        <v>15</v>
      </c>
      <c r="F1236" s="1" t="s">
        <v>7834</v>
      </c>
      <c r="G1236" s="10"/>
      <c r="H1236" s="10"/>
      <c r="I1236" s="10"/>
      <c r="J1236" s="10"/>
      <c r="K1236" s="10"/>
      <c r="L1236" s="3" t="s">
        <v>2496</v>
      </c>
      <c r="M1236" s="3" t="s">
        <v>2403</v>
      </c>
      <c r="N1236" s="3" t="s">
        <v>2410</v>
      </c>
      <c r="O1236" s="3">
        <v>132</v>
      </c>
      <c r="P1236" s="3">
        <v>131802</v>
      </c>
      <c r="Q1236" s="3" t="s">
        <v>2443</v>
      </c>
      <c r="R1236" s="3" t="s">
        <v>2412</v>
      </c>
      <c r="S1236" s="3" t="s">
        <v>2497</v>
      </c>
      <c r="T1236" s="3" t="s">
        <v>21</v>
      </c>
      <c r="U1236" s="11">
        <v>321</v>
      </c>
      <c r="V1236" s="3" t="s">
        <v>2401</v>
      </c>
      <c r="W1236" s="8" t="s">
        <v>7834</v>
      </c>
    </row>
    <row r="1237" spans="1:23" x14ac:dyDescent="0.25">
      <c r="A1237" s="2">
        <v>559</v>
      </c>
      <c r="B1237" s="3" t="s">
        <v>2401</v>
      </c>
      <c r="C1237" s="3">
        <v>2024</v>
      </c>
      <c r="D1237" s="3" t="s">
        <v>2498</v>
      </c>
      <c r="E1237" s="3" t="s">
        <v>15</v>
      </c>
      <c r="F1237" s="1" t="s">
        <v>7834</v>
      </c>
      <c r="G1237" s="10"/>
      <c r="H1237" s="10"/>
      <c r="I1237" s="10"/>
      <c r="J1237" s="10"/>
      <c r="K1237" s="10"/>
      <c r="L1237" s="3" t="s">
        <v>2499</v>
      </c>
      <c r="M1237" s="3" t="s">
        <v>2403</v>
      </c>
      <c r="N1237" s="3" t="s">
        <v>2446</v>
      </c>
      <c r="O1237" s="3">
        <v>7</v>
      </c>
      <c r="P1237" s="3">
        <v>250</v>
      </c>
      <c r="Q1237" s="3" t="s">
        <v>2493</v>
      </c>
      <c r="R1237" s="3" t="s">
        <v>2448</v>
      </c>
      <c r="S1237" s="3" t="s">
        <v>2500</v>
      </c>
      <c r="T1237" s="3" t="s">
        <v>21</v>
      </c>
      <c r="U1237" s="11">
        <v>322</v>
      </c>
      <c r="V1237" s="3" t="s">
        <v>2401</v>
      </c>
      <c r="W1237" s="8" t="s">
        <v>7834</v>
      </c>
    </row>
    <row r="1238" spans="1:23" x14ac:dyDescent="0.25">
      <c r="A1238" s="2">
        <v>560</v>
      </c>
      <c r="B1238" s="3" t="s">
        <v>2401</v>
      </c>
      <c r="C1238" s="3">
        <v>2024</v>
      </c>
      <c r="D1238" s="3" t="s">
        <v>1622</v>
      </c>
      <c r="E1238" s="3" t="s">
        <v>15</v>
      </c>
      <c r="F1238" s="1" t="s">
        <v>7834</v>
      </c>
      <c r="G1238" s="10"/>
      <c r="H1238" s="10"/>
      <c r="I1238" s="10"/>
      <c r="J1238" s="10"/>
      <c r="K1238" s="10"/>
      <c r="L1238" s="3" t="s">
        <v>2501</v>
      </c>
      <c r="M1238" s="3" t="s">
        <v>2502</v>
      </c>
      <c r="N1238" s="3" t="s">
        <v>2446</v>
      </c>
      <c r="O1238" s="3">
        <v>11</v>
      </c>
      <c r="P1238" s="3">
        <v>97</v>
      </c>
      <c r="Q1238" s="3" t="s">
        <v>2503</v>
      </c>
      <c r="R1238" s="3" t="s">
        <v>2448</v>
      </c>
      <c r="S1238" s="3" t="s">
        <v>2504</v>
      </c>
      <c r="T1238" s="3" t="s">
        <v>21</v>
      </c>
      <c r="U1238" s="11">
        <v>323</v>
      </c>
      <c r="V1238" s="3" t="s">
        <v>2401</v>
      </c>
      <c r="W1238" s="8" t="s">
        <v>7834</v>
      </c>
    </row>
    <row r="1239" spans="1:23" x14ac:dyDescent="0.25">
      <c r="A1239" s="2">
        <v>561</v>
      </c>
      <c r="B1239" s="3" t="s">
        <v>2401</v>
      </c>
      <c r="C1239" s="3">
        <v>2024</v>
      </c>
      <c r="D1239" s="3" t="s">
        <v>2469</v>
      </c>
      <c r="E1239" s="3" t="s">
        <v>15</v>
      </c>
      <c r="F1239" s="1" t="s">
        <v>7834</v>
      </c>
      <c r="G1239" s="10"/>
      <c r="H1239" s="10"/>
      <c r="I1239" s="10"/>
      <c r="J1239" s="10"/>
      <c r="K1239" s="10"/>
      <c r="L1239" s="3" t="s">
        <v>2505</v>
      </c>
      <c r="M1239" s="3" t="s">
        <v>2403</v>
      </c>
      <c r="N1239" s="3" t="s">
        <v>2446</v>
      </c>
      <c r="O1239" s="3">
        <v>5</v>
      </c>
      <c r="P1239" s="3">
        <v>106</v>
      </c>
      <c r="Q1239" s="3" t="s">
        <v>2506</v>
      </c>
      <c r="R1239" s="3" t="s">
        <v>2448</v>
      </c>
      <c r="S1239" s="3" t="s">
        <v>2507</v>
      </c>
      <c r="T1239" s="3" t="s">
        <v>21</v>
      </c>
      <c r="U1239" s="11">
        <v>324</v>
      </c>
      <c r="V1239" s="3" t="s">
        <v>2401</v>
      </c>
      <c r="W1239" s="8" t="s">
        <v>7834</v>
      </c>
    </row>
    <row r="1240" spans="1:23" x14ac:dyDescent="0.25">
      <c r="A1240" s="2">
        <v>562</v>
      </c>
      <c r="B1240" s="3" t="s">
        <v>2401</v>
      </c>
      <c r="C1240" s="3">
        <v>2024</v>
      </c>
      <c r="D1240" s="3" t="s">
        <v>1434</v>
      </c>
      <c r="E1240" s="3" t="s">
        <v>15</v>
      </c>
      <c r="F1240" s="1" t="s">
        <v>7834</v>
      </c>
      <c r="G1240" s="10"/>
      <c r="H1240" s="10"/>
      <c r="I1240" s="10"/>
      <c r="J1240" s="10"/>
      <c r="K1240" s="10"/>
      <c r="L1240" s="3" t="s">
        <v>2508</v>
      </c>
      <c r="M1240" s="3" t="s">
        <v>2403</v>
      </c>
      <c r="N1240" s="3" t="s">
        <v>2446</v>
      </c>
      <c r="O1240" s="3">
        <v>5</v>
      </c>
      <c r="P1240" s="3">
        <v>150</v>
      </c>
      <c r="Q1240" s="3" t="s">
        <v>2471</v>
      </c>
      <c r="R1240" s="3" t="s">
        <v>2448</v>
      </c>
      <c r="S1240" s="3" t="s">
        <v>2509</v>
      </c>
      <c r="T1240" s="3" t="s">
        <v>21</v>
      </c>
      <c r="U1240" s="11">
        <v>325</v>
      </c>
      <c r="V1240" s="3" t="s">
        <v>2401</v>
      </c>
      <c r="W1240" s="8" t="s">
        <v>7834</v>
      </c>
    </row>
    <row r="1241" spans="1:23" x14ac:dyDescent="0.25">
      <c r="A1241" s="2">
        <v>563</v>
      </c>
      <c r="B1241" s="3" t="s">
        <v>2401</v>
      </c>
      <c r="C1241" s="3">
        <v>2024</v>
      </c>
      <c r="D1241" s="3" t="s">
        <v>2510</v>
      </c>
      <c r="E1241" s="3" t="s">
        <v>15</v>
      </c>
      <c r="F1241" s="1" t="s">
        <v>7834</v>
      </c>
      <c r="G1241" s="10"/>
      <c r="H1241" s="10"/>
      <c r="I1241" s="10"/>
      <c r="J1241" s="10"/>
      <c r="K1241" s="10"/>
      <c r="L1241" s="3" t="s">
        <v>2511</v>
      </c>
      <c r="M1241" s="3" t="s">
        <v>2416</v>
      </c>
      <c r="N1241" s="3" t="s">
        <v>2410</v>
      </c>
      <c r="O1241" s="3">
        <v>133</v>
      </c>
      <c r="P1241" s="3">
        <v>141801</v>
      </c>
      <c r="Q1241" s="3" t="s">
        <v>2417</v>
      </c>
      <c r="R1241" s="3" t="s">
        <v>2412</v>
      </c>
      <c r="S1241" s="3" t="s">
        <v>2512</v>
      </c>
      <c r="T1241" s="3" t="s">
        <v>21</v>
      </c>
      <c r="U1241" s="11">
        <v>326</v>
      </c>
      <c r="V1241" s="3" t="s">
        <v>2401</v>
      </c>
      <c r="W1241" s="8" t="s">
        <v>7834</v>
      </c>
    </row>
    <row r="1242" spans="1:23" x14ac:dyDescent="0.25">
      <c r="A1242" s="2">
        <v>564</v>
      </c>
      <c r="B1242" s="3" t="s">
        <v>2401</v>
      </c>
      <c r="C1242" s="3">
        <v>2024</v>
      </c>
      <c r="D1242" s="3" t="s">
        <v>2513</v>
      </c>
      <c r="E1242" s="3" t="s">
        <v>15</v>
      </c>
      <c r="F1242" s="1" t="s">
        <v>7834</v>
      </c>
      <c r="G1242" s="10"/>
      <c r="H1242" s="10"/>
      <c r="I1242" s="10"/>
      <c r="J1242" s="10"/>
      <c r="K1242" s="10"/>
      <c r="L1242" s="3" t="s">
        <v>2514</v>
      </c>
      <c r="M1242" s="3" t="s">
        <v>2403</v>
      </c>
      <c r="N1242" s="3" t="s">
        <v>2410</v>
      </c>
      <c r="O1242" s="3">
        <v>132</v>
      </c>
      <c r="P1242" s="3">
        <v>221801</v>
      </c>
      <c r="Q1242" s="3" t="s">
        <v>2481</v>
      </c>
      <c r="R1242" s="3" t="s">
        <v>2412</v>
      </c>
      <c r="S1242" s="3" t="s">
        <v>2515</v>
      </c>
      <c r="T1242" s="3" t="s">
        <v>21</v>
      </c>
      <c r="U1242" s="11">
        <v>327</v>
      </c>
      <c r="V1242" s="3" t="s">
        <v>2401</v>
      </c>
      <c r="W1242" s="8" t="s">
        <v>7834</v>
      </c>
    </row>
    <row r="1243" spans="1:23" x14ac:dyDescent="0.25">
      <c r="A1243" s="2">
        <v>565</v>
      </c>
      <c r="B1243" s="3" t="s">
        <v>2401</v>
      </c>
      <c r="C1243" s="3">
        <v>2024</v>
      </c>
      <c r="D1243" s="3" t="s">
        <v>1022</v>
      </c>
      <c r="E1243" s="3" t="s">
        <v>15</v>
      </c>
      <c r="F1243" s="1" t="s">
        <v>7834</v>
      </c>
      <c r="G1243" s="10"/>
      <c r="H1243" s="10"/>
      <c r="I1243" s="10"/>
      <c r="J1243" s="10"/>
      <c r="K1243" s="10"/>
      <c r="L1243" s="3" t="s">
        <v>2516</v>
      </c>
      <c r="M1243" s="3" t="s">
        <v>2416</v>
      </c>
      <c r="N1243" s="3" t="s">
        <v>2517</v>
      </c>
      <c r="O1243" s="3">
        <v>3</v>
      </c>
      <c r="P1243" s="3">
        <v>139</v>
      </c>
      <c r="Q1243" s="3" t="s">
        <v>2406</v>
      </c>
      <c r="R1243" s="3" t="s">
        <v>2448</v>
      </c>
      <c r="S1243" s="3" t="s">
        <v>2518</v>
      </c>
      <c r="T1243" s="3" t="s">
        <v>21</v>
      </c>
      <c r="U1243" s="11">
        <v>328</v>
      </c>
      <c r="V1243" s="3" t="s">
        <v>2401</v>
      </c>
      <c r="W1243" s="8" t="s">
        <v>7834</v>
      </c>
    </row>
    <row r="1244" spans="1:23" x14ac:dyDescent="0.25">
      <c r="A1244" s="2">
        <v>566</v>
      </c>
      <c r="B1244" s="3" t="s">
        <v>2401</v>
      </c>
      <c r="C1244" s="3">
        <v>2024</v>
      </c>
      <c r="D1244" s="3" t="s">
        <v>93</v>
      </c>
      <c r="E1244" s="3" t="s">
        <v>15</v>
      </c>
      <c r="F1244" s="1" t="s">
        <v>7834</v>
      </c>
      <c r="G1244" s="10"/>
      <c r="H1244" s="10"/>
      <c r="I1244" s="10"/>
      <c r="J1244" s="10"/>
      <c r="K1244" s="10"/>
      <c r="L1244" s="3" t="s">
        <v>2519</v>
      </c>
      <c r="M1244" s="3" t="s">
        <v>2403</v>
      </c>
      <c r="N1244" s="3" t="s">
        <v>2451</v>
      </c>
      <c r="O1244" s="3">
        <v>854</v>
      </c>
      <c r="P1244" s="3">
        <v>138736</v>
      </c>
      <c r="Q1244" s="3" t="s">
        <v>2481</v>
      </c>
      <c r="R1244" s="3" t="s">
        <v>2452</v>
      </c>
      <c r="S1244" s="3" t="s">
        <v>2520</v>
      </c>
      <c r="T1244" s="3" t="s">
        <v>21</v>
      </c>
      <c r="U1244" s="11">
        <v>329</v>
      </c>
      <c r="V1244" s="3" t="s">
        <v>2401</v>
      </c>
      <c r="W1244" s="8" t="s">
        <v>7834</v>
      </c>
    </row>
    <row r="1245" spans="1:23" x14ac:dyDescent="0.25">
      <c r="A1245" s="2">
        <v>567</v>
      </c>
      <c r="B1245" s="3" t="s">
        <v>2401</v>
      </c>
      <c r="C1245" s="3">
        <v>2024</v>
      </c>
      <c r="D1245" s="3" t="s">
        <v>161</v>
      </c>
      <c r="E1245" s="3" t="s">
        <v>15</v>
      </c>
      <c r="F1245" s="1" t="s">
        <v>7834</v>
      </c>
      <c r="G1245" s="10"/>
      <c r="H1245" s="10"/>
      <c r="I1245" s="10"/>
      <c r="J1245" s="10"/>
      <c r="K1245" s="10"/>
      <c r="L1245" s="3" t="s">
        <v>2521</v>
      </c>
      <c r="M1245" s="3" t="s">
        <v>2403</v>
      </c>
      <c r="N1245" s="3" t="s">
        <v>2404</v>
      </c>
      <c r="O1245" s="3">
        <v>19</v>
      </c>
      <c r="P1245" s="3" t="s">
        <v>2522</v>
      </c>
      <c r="Q1245" s="3" t="s">
        <v>2523</v>
      </c>
      <c r="R1245" s="3" t="s">
        <v>2407</v>
      </c>
      <c r="S1245" s="3" t="s">
        <v>2524</v>
      </c>
      <c r="T1245" s="3" t="s">
        <v>21</v>
      </c>
      <c r="U1245" s="11">
        <v>330</v>
      </c>
      <c r="V1245" s="3" t="s">
        <v>2401</v>
      </c>
      <c r="W1245" s="8" t="s">
        <v>7834</v>
      </c>
    </row>
    <row r="1246" spans="1:23" x14ac:dyDescent="0.25">
      <c r="A1246" s="2">
        <v>568</v>
      </c>
      <c r="B1246" s="3" t="s">
        <v>2401</v>
      </c>
      <c r="C1246" s="3">
        <v>2024</v>
      </c>
      <c r="D1246" s="3" t="s">
        <v>780</v>
      </c>
      <c r="E1246" s="3" t="s">
        <v>15</v>
      </c>
      <c r="F1246" s="1" t="s">
        <v>7834</v>
      </c>
      <c r="G1246" s="10"/>
      <c r="H1246" s="10"/>
      <c r="I1246" s="10"/>
      <c r="J1246" s="10"/>
      <c r="K1246" s="10"/>
      <c r="L1246" s="3" t="s">
        <v>2525</v>
      </c>
      <c r="M1246" s="3" t="s">
        <v>2403</v>
      </c>
      <c r="N1246" s="3" t="s">
        <v>2446</v>
      </c>
      <c r="O1246" s="3">
        <v>5</v>
      </c>
      <c r="P1246" s="3">
        <v>131</v>
      </c>
      <c r="Q1246" s="3" t="s">
        <v>2526</v>
      </c>
      <c r="R1246" s="3" t="s">
        <v>2448</v>
      </c>
      <c r="S1246" s="3" t="s">
        <v>2527</v>
      </c>
      <c r="T1246" s="3" t="s">
        <v>21</v>
      </c>
      <c r="U1246" s="11">
        <v>331</v>
      </c>
      <c r="V1246" s="3" t="s">
        <v>2401</v>
      </c>
      <c r="W1246" s="8" t="s">
        <v>7834</v>
      </c>
    </row>
    <row r="1247" spans="1:23" x14ac:dyDescent="0.25">
      <c r="A1247" s="2">
        <v>569</v>
      </c>
      <c r="B1247" s="3" t="s">
        <v>2401</v>
      </c>
      <c r="C1247" s="3">
        <v>2024</v>
      </c>
      <c r="D1247" s="3" t="s">
        <v>2498</v>
      </c>
      <c r="E1247" s="3" t="s">
        <v>15</v>
      </c>
      <c r="F1247" s="1" t="s">
        <v>7834</v>
      </c>
      <c r="G1247" s="10"/>
      <c r="H1247" s="10"/>
      <c r="I1247" s="10"/>
      <c r="J1247" s="10"/>
      <c r="K1247" s="10"/>
      <c r="L1247" s="3" t="s">
        <v>2528</v>
      </c>
      <c r="M1247" s="3" t="s">
        <v>2416</v>
      </c>
      <c r="N1247" s="3" t="s">
        <v>2421</v>
      </c>
      <c r="O1247" s="3">
        <v>84</v>
      </c>
      <c r="P1247" s="3">
        <v>742</v>
      </c>
      <c r="Q1247" s="3" t="s">
        <v>2529</v>
      </c>
      <c r="R1247" s="3" t="s">
        <v>2423</v>
      </c>
      <c r="S1247" s="3" t="s">
        <v>2530</v>
      </c>
      <c r="T1247" s="3" t="s">
        <v>21</v>
      </c>
      <c r="U1247" s="11">
        <v>332</v>
      </c>
      <c r="V1247" s="3" t="s">
        <v>2401</v>
      </c>
      <c r="W1247" s="8" t="s">
        <v>7834</v>
      </c>
    </row>
    <row r="1248" spans="1:23" x14ac:dyDescent="0.25">
      <c r="A1248" s="2">
        <v>570</v>
      </c>
      <c r="B1248" s="3" t="s">
        <v>2401</v>
      </c>
      <c r="C1248" s="3">
        <v>2024</v>
      </c>
      <c r="D1248" s="3" t="s">
        <v>2531</v>
      </c>
      <c r="E1248" s="3" t="s">
        <v>15</v>
      </c>
      <c r="F1248" s="1" t="s">
        <v>7834</v>
      </c>
      <c r="G1248" s="10"/>
      <c r="H1248" s="10"/>
      <c r="I1248" s="10"/>
      <c r="J1248" s="10"/>
      <c r="K1248" s="10"/>
      <c r="L1248" s="3" t="s">
        <v>2532</v>
      </c>
      <c r="M1248" s="3" t="s">
        <v>2403</v>
      </c>
      <c r="N1248" s="3" t="s">
        <v>2446</v>
      </c>
      <c r="O1248" s="3">
        <v>4</v>
      </c>
      <c r="P1248" s="3">
        <v>26</v>
      </c>
      <c r="Q1248" s="3" t="s">
        <v>2533</v>
      </c>
      <c r="R1248" s="3" t="s">
        <v>2448</v>
      </c>
      <c r="S1248" s="3" t="s">
        <v>2534</v>
      </c>
      <c r="T1248" s="3" t="s">
        <v>21</v>
      </c>
      <c r="U1248" s="11">
        <v>333</v>
      </c>
      <c r="V1248" s="3" t="s">
        <v>2401</v>
      </c>
      <c r="W1248" s="8" t="s">
        <v>7834</v>
      </c>
    </row>
    <row r="1249" spans="1:23" x14ac:dyDescent="0.25">
      <c r="A1249" s="2">
        <v>571</v>
      </c>
      <c r="B1249" s="3" t="s">
        <v>2401</v>
      </c>
      <c r="C1249" s="3">
        <v>2024</v>
      </c>
      <c r="D1249" s="3" t="s">
        <v>2535</v>
      </c>
      <c r="E1249" s="3" t="s">
        <v>15</v>
      </c>
      <c r="F1249" s="1" t="s">
        <v>7834</v>
      </c>
      <c r="G1249" s="10"/>
      <c r="H1249" s="10"/>
      <c r="I1249" s="10"/>
      <c r="J1249" s="10"/>
      <c r="K1249" s="10"/>
      <c r="L1249" s="3" t="s">
        <v>2536</v>
      </c>
      <c r="M1249" s="3" t="s">
        <v>2403</v>
      </c>
      <c r="N1249" s="3" t="s">
        <v>2451</v>
      </c>
      <c r="O1249" s="3">
        <v>854</v>
      </c>
      <c r="P1249" s="3">
        <v>138705</v>
      </c>
      <c r="Q1249" s="3" t="s">
        <v>2428</v>
      </c>
      <c r="R1249" s="3" t="s">
        <v>2452</v>
      </c>
      <c r="S1249" s="3" t="s">
        <v>2537</v>
      </c>
      <c r="T1249" s="3" t="s">
        <v>21</v>
      </c>
      <c r="U1249" s="11">
        <v>334</v>
      </c>
      <c r="V1249" s="3" t="s">
        <v>2401</v>
      </c>
      <c r="W1249" s="8" t="s">
        <v>7834</v>
      </c>
    </row>
    <row r="1250" spans="1:23" x14ac:dyDescent="0.25">
      <c r="A1250" s="2">
        <v>572</v>
      </c>
      <c r="B1250" s="3" t="s">
        <v>2401</v>
      </c>
      <c r="C1250" s="3">
        <v>2024</v>
      </c>
      <c r="D1250" s="3" t="s">
        <v>2498</v>
      </c>
      <c r="E1250" s="3" t="s">
        <v>15</v>
      </c>
      <c r="F1250" s="1" t="s">
        <v>7834</v>
      </c>
      <c r="G1250" s="10"/>
      <c r="H1250" s="10"/>
      <c r="I1250" s="10"/>
      <c r="J1250" s="10"/>
      <c r="K1250" s="10"/>
      <c r="L1250" s="3" t="s">
        <v>2528</v>
      </c>
      <c r="M1250" s="3" t="s">
        <v>2403</v>
      </c>
      <c r="N1250" s="3" t="s">
        <v>2421</v>
      </c>
      <c r="O1250" s="3">
        <v>84</v>
      </c>
      <c r="P1250" s="3">
        <v>742</v>
      </c>
      <c r="Q1250" s="3" t="s">
        <v>2529</v>
      </c>
      <c r="R1250" s="3" t="s">
        <v>2423</v>
      </c>
      <c r="S1250" s="3" t="s">
        <v>2530</v>
      </c>
      <c r="T1250" s="3" t="s">
        <v>21</v>
      </c>
      <c r="U1250" s="11">
        <v>335</v>
      </c>
      <c r="V1250" s="3" t="s">
        <v>2401</v>
      </c>
      <c r="W1250" s="8" t="s">
        <v>7834</v>
      </c>
    </row>
    <row r="1251" spans="1:23" x14ac:dyDescent="0.25">
      <c r="A1251" s="2">
        <v>573</v>
      </c>
      <c r="B1251" s="3" t="s">
        <v>2401</v>
      </c>
      <c r="C1251" s="3">
        <v>2024</v>
      </c>
      <c r="D1251" s="3" t="s">
        <v>2538</v>
      </c>
      <c r="E1251" s="3" t="s">
        <v>15</v>
      </c>
      <c r="F1251" s="1" t="s">
        <v>7834</v>
      </c>
      <c r="G1251" s="10"/>
      <c r="H1251" s="10"/>
      <c r="I1251" s="10"/>
      <c r="J1251" s="10"/>
      <c r="K1251" s="10"/>
      <c r="L1251" s="3" t="s">
        <v>2539</v>
      </c>
      <c r="M1251" s="3" t="s">
        <v>2416</v>
      </c>
      <c r="N1251" s="3" t="s">
        <v>2451</v>
      </c>
      <c r="O1251" s="3">
        <v>850</v>
      </c>
      <c r="P1251" s="3">
        <v>138536</v>
      </c>
      <c r="Q1251" s="3" t="s">
        <v>2481</v>
      </c>
      <c r="R1251" s="3" t="s">
        <v>2452</v>
      </c>
      <c r="S1251" s="3" t="s">
        <v>2540</v>
      </c>
      <c r="T1251" s="3" t="s">
        <v>21</v>
      </c>
      <c r="U1251" s="11">
        <v>336</v>
      </c>
      <c r="V1251" s="3" t="s">
        <v>2401</v>
      </c>
      <c r="W1251" s="8" t="s">
        <v>7834</v>
      </c>
    </row>
    <row r="1252" spans="1:23" x14ac:dyDescent="0.25">
      <c r="A1252" s="2">
        <v>574</v>
      </c>
      <c r="B1252" s="3" t="s">
        <v>2401</v>
      </c>
      <c r="C1252" s="3">
        <v>2024</v>
      </c>
      <c r="D1252" s="3" t="s">
        <v>1520</v>
      </c>
      <c r="E1252" s="3" t="s">
        <v>15</v>
      </c>
      <c r="F1252" s="1" t="s">
        <v>7834</v>
      </c>
      <c r="G1252" s="10"/>
      <c r="H1252" s="10"/>
      <c r="I1252" s="10"/>
      <c r="J1252" s="10"/>
      <c r="K1252" s="10"/>
      <c r="L1252" s="3" t="s">
        <v>2541</v>
      </c>
      <c r="M1252" s="3" t="s">
        <v>2403</v>
      </c>
      <c r="N1252" s="3" t="s">
        <v>2451</v>
      </c>
      <c r="O1252" s="3">
        <v>855</v>
      </c>
      <c r="P1252" s="3">
        <v>138817</v>
      </c>
      <c r="Q1252" s="3" t="s">
        <v>2456</v>
      </c>
      <c r="R1252" s="3" t="s">
        <v>2452</v>
      </c>
      <c r="S1252" s="3" t="s">
        <v>2542</v>
      </c>
      <c r="T1252" s="3" t="s">
        <v>21</v>
      </c>
      <c r="U1252" s="11">
        <v>337</v>
      </c>
      <c r="V1252" s="3" t="s">
        <v>2401</v>
      </c>
      <c r="W1252" s="8" t="s">
        <v>7834</v>
      </c>
    </row>
    <row r="1253" spans="1:23" x14ac:dyDescent="0.25">
      <c r="A1253" s="2">
        <v>575</v>
      </c>
      <c r="B1253" s="3" t="s">
        <v>2401</v>
      </c>
      <c r="C1253" s="3">
        <v>2024</v>
      </c>
      <c r="D1253" s="3" t="s">
        <v>2543</v>
      </c>
      <c r="E1253" s="3" t="s">
        <v>15</v>
      </c>
      <c r="F1253" s="1" t="s">
        <v>7834</v>
      </c>
      <c r="G1253" s="10"/>
      <c r="H1253" s="10"/>
      <c r="I1253" s="10"/>
      <c r="J1253" s="10"/>
      <c r="K1253" s="10"/>
      <c r="L1253" s="3" t="s">
        <v>2544</v>
      </c>
      <c r="M1253" s="3" t="s">
        <v>2403</v>
      </c>
      <c r="N1253" s="3" t="s">
        <v>2421</v>
      </c>
      <c r="O1253" s="3">
        <v>84</v>
      </c>
      <c r="P1253" s="3">
        <v>719</v>
      </c>
      <c r="Q1253" s="3" t="s">
        <v>2545</v>
      </c>
      <c r="R1253" s="3" t="s">
        <v>2423</v>
      </c>
      <c r="S1253" s="3" t="s">
        <v>2546</v>
      </c>
      <c r="T1253" s="3" t="s">
        <v>21</v>
      </c>
      <c r="U1253" s="11">
        <v>338</v>
      </c>
      <c r="V1253" s="3" t="s">
        <v>2401</v>
      </c>
      <c r="W1253" s="8" t="s">
        <v>7834</v>
      </c>
    </row>
    <row r="1254" spans="1:23" x14ac:dyDescent="0.25">
      <c r="A1254" s="2">
        <v>576</v>
      </c>
      <c r="B1254" s="3" t="s">
        <v>2401</v>
      </c>
      <c r="C1254" s="3">
        <v>2024</v>
      </c>
      <c r="D1254" s="3" t="s">
        <v>2547</v>
      </c>
      <c r="E1254" s="3" t="s">
        <v>15</v>
      </c>
      <c r="F1254" s="1" t="s">
        <v>7834</v>
      </c>
      <c r="G1254" s="10"/>
      <c r="H1254" s="10"/>
      <c r="I1254" s="10"/>
      <c r="J1254" s="10"/>
      <c r="K1254" s="10"/>
      <c r="L1254" s="3" t="s">
        <v>2548</v>
      </c>
      <c r="M1254" s="3" t="s">
        <v>2403</v>
      </c>
      <c r="N1254" s="3" t="s">
        <v>2410</v>
      </c>
      <c r="O1254" s="3">
        <v>132</v>
      </c>
      <c r="P1254" s="3">
        <v>81801</v>
      </c>
      <c r="Q1254" s="3" t="s">
        <v>2443</v>
      </c>
      <c r="R1254" s="3" t="s">
        <v>2412</v>
      </c>
      <c r="S1254" s="3" t="s">
        <v>2444</v>
      </c>
      <c r="T1254" s="3" t="s">
        <v>21</v>
      </c>
      <c r="U1254" s="11">
        <v>339</v>
      </c>
      <c r="V1254" s="3" t="s">
        <v>2401</v>
      </c>
      <c r="W1254" s="8" t="s">
        <v>7834</v>
      </c>
    </row>
    <row r="1255" spans="1:23" x14ac:dyDescent="0.25">
      <c r="A1255" s="2">
        <v>577</v>
      </c>
      <c r="B1255" s="3" t="s">
        <v>2401</v>
      </c>
      <c r="C1255" s="3">
        <v>2024</v>
      </c>
      <c r="D1255" s="3" t="s">
        <v>1386</v>
      </c>
      <c r="E1255" s="3" t="s">
        <v>15</v>
      </c>
      <c r="F1255" s="1" t="s">
        <v>7834</v>
      </c>
      <c r="G1255" s="10"/>
      <c r="H1255" s="10"/>
      <c r="I1255" s="10"/>
      <c r="J1255" s="10"/>
      <c r="K1255" s="10"/>
      <c r="L1255" s="3" t="s">
        <v>2549</v>
      </c>
      <c r="M1255" s="3" t="s">
        <v>2403</v>
      </c>
      <c r="N1255" s="3" t="s">
        <v>2550</v>
      </c>
      <c r="O1255" s="3">
        <v>5</v>
      </c>
      <c r="P1255" s="3">
        <v>35051</v>
      </c>
      <c r="Q1255" s="3" t="s">
        <v>2551</v>
      </c>
      <c r="R1255" s="3" t="s">
        <v>2552</v>
      </c>
      <c r="S1255" s="3" t="s">
        <v>2553</v>
      </c>
      <c r="T1255" s="3" t="s">
        <v>21</v>
      </c>
      <c r="U1255" s="11">
        <v>340</v>
      </c>
      <c r="V1255" s="3" t="s">
        <v>2401</v>
      </c>
      <c r="W1255" s="8" t="s">
        <v>7834</v>
      </c>
    </row>
    <row r="1256" spans="1:23" x14ac:dyDescent="0.25">
      <c r="A1256" s="2">
        <v>578</v>
      </c>
      <c r="B1256" s="3" t="s">
        <v>2401</v>
      </c>
      <c r="C1256" s="3">
        <v>2024</v>
      </c>
      <c r="D1256" s="3" t="s">
        <v>2554</v>
      </c>
      <c r="E1256" s="3" t="s">
        <v>15</v>
      </c>
      <c r="F1256" s="1" t="s">
        <v>7834</v>
      </c>
      <c r="G1256" s="10"/>
      <c r="H1256" s="10"/>
      <c r="I1256" s="10"/>
      <c r="J1256" s="10"/>
      <c r="K1256" s="10"/>
      <c r="L1256" s="3" t="s">
        <v>2555</v>
      </c>
      <c r="M1256" s="3" t="s">
        <v>2403</v>
      </c>
      <c r="N1256" s="3" t="s">
        <v>2556</v>
      </c>
      <c r="O1256" s="3" t="s">
        <v>2557</v>
      </c>
      <c r="P1256" s="3"/>
      <c r="Q1256" s="3" t="s">
        <v>2558</v>
      </c>
      <c r="R1256" s="3" t="s">
        <v>2559</v>
      </c>
      <c r="S1256" s="3" t="s">
        <v>2560</v>
      </c>
      <c r="T1256" s="3" t="s">
        <v>21</v>
      </c>
      <c r="U1256" s="11">
        <v>341</v>
      </c>
      <c r="V1256" s="3" t="s">
        <v>2401</v>
      </c>
      <c r="W1256" s="8" t="s">
        <v>7834</v>
      </c>
    </row>
    <row r="1257" spans="1:23" x14ac:dyDescent="0.25">
      <c r="A1257" s="2">
        <v>579</v>
      </c>
      <c r="B1257" s="3" t="s">
        <v>2401</v>
      </c>
      <c r="C1257" s="3">
        <v>2024</v>
      </c>
      <c r="D1257" s="3" t="s">
        <v>2268</v>
      </c>
      <c r="E1257" s="3" t="s">
        <v>15</v>
      </c>
      <c r="F1257" s="1" t="s">
        <v>7834</v>
      </c>
      <c r="G1257" s="10"/>
      <c r="H1257" s="10"/>
      <c r="I1257" s="10"/>
      <c r="J1257" s="10"/>
      <c r="K1257" s="10"/>
      <c r="L1257" s="3" t="s">
        <v>2561</v>
      </c>
      <c r="M1257" s="3" t="s">
        <v>2403</v>
      </c>
      <c r="N1257" s="3" t="s">
        <v>2446</v>
      </c>
      <c r="O1257" s="3">
        <v>2</v>
      </c>
      <c r="P1257" s="3">
        <v>128</v>
      </c>
      <c r="Q1257" s="3" t="s">
        <v>2562</v>
      </c>
      <c r="R1257" s="3" t="s">
        <v>2448</v>
      </c>
      <c r="S1257" s="3" t="s">
        <v>2563</v>
      </c>
      <c r="T1257" s="3" t="s">
        <v>21</v>
      </c>
      <c r="U1257" s="11">
        <v>342</v>
      </c>
      <c r="V1257" s="3" t="s">
        <v>2401</v>
      </c>
      <c r="W1257" s="8" t="s">
        <v>7834</v>
      </c>
    </row>
    <row r="1258" spans="1:23" x14ac:dyDescent="0.25">
      <c r="A1258" s="2">
        <v>580</v>
      </c>
      <c r="B1258" s="3" t="s">
        <v>2401</v>
      </c>
      <c r="C1258" s="3">
        <v>2024</v>
      </c>
      <c r="D1258" s="3" t="s">
        <v>1450</v>
      </c>
      <c r="E1258" s="3" t="s">
        <v>15</v>
      </c>
      <c r="F1258" s="1" t="s">
        <v>7834</v>
      </c>
      <c r="G1258" s="10"/>
      <c r="H1258" s="10"/>
      <c r="I1258" s="10"/>
      <c r="J1258" s="10"/>
      <c r="K1258" s="10"/>
      <c r="L1258" s="3" t="s">
        <v>2564</v>
      </c>
      <c r="M1258" s="3" t="s">
        <v>2403</v>
      </c>
      <c r="N1258" s="3" t="s">
        <v>2421</v>
      </c>
      <c r="O1258" s="3">
        <v>84</v>
      </c>
      <c r="P1258" s="3">
        <v>455</v>
      </c>
      <c r="Q1258" s="3" t="s">
        <v>2565</v>
      </c>
      <c r="R1258" s="3" t="s">
        <v>2423</v>
      </c>
      <c r="S1258" s="3" t="s">
        <v>2566</v>
      </c>
      <c r="T1258" s="3" t="s">
        <v>21</v>
      </c>
      <c r="U1258" s="11">
        <v>343</v>
      </c>
      <c r="V1258" s="3" t="s">
        <v>2401</v>
      </c>
      <c r="W1258" s="8" t="s">
        <v>7834</v>
      </c>
    </row>
    <row r="1259" spans="1:23" x14ac:dyDescent="0.25">
      <c r="A1259" s="2">
        <v>581</v>
      </c>
      <c r="B1259" s="3" t="s">
        <v>2401</v>
      </c>
      <c r="C1259" s="3">
        <v>2024</v>
      </c>
      <c r="D1259" s="3" t="s">
        <v>2567</v>
      </c>
      <c r="E1259" s="3" t="s">
        <v>15</v>
      </c>
      <c r="F1259" s="1" t="s">
        <v>7834</v>
      </c>
      <c r="G1259" s="10"/>
      <c r="H1259" s="10"/>
      <c r="I1259" s="10"/>
      <c r="J1259" s="10"/>
      <c r="K1259" s="10"/>
      <c r="L1259" s="3" t="s">
        <v>2568</v>
      </c>
      <c r="M1259" s="3" t="s">
        <v>2416</v>
      </c>
      <c r="N1259" s="3" t="s">
        <v>2421</v>
      </c>
      <c r="O1259" s="3">
        <v>84</v>
      </c>
      <c r="P1259" s="3">
        <v>195</v>
      </c>
      <c r="Q1259" s="3" t="s">
        <v>2545</v>
      </c>
      <c r="R1259" s="3" t="s">
        <v>2423</v>
      </c>
      <c r="S1259" s="3" t="s">
        <v>2569</v>
      </c>
      <c r="T1259" s="3" t="s">
        <v>21</v>
      </c>
      <c r="U1259" s="11">
        <v>344</v>
      </c>
      <c r="V1259" s="3" t="s">
        <v>2401</v>
      </c>
      <c r="W1259" s="8" t="s">
        <v>7834</v>
      </c>
    </row>
    <row r="1260" spans="1:23" x14ac:dyDescent="0.25">
      <c r="A1260" s="2">
        <v>582</v>
      </c>
      <c r="B1260" s="3" t="s">
        <v>2401</v>
      </c>
      <c r="C1260" s="3">
        <v>2024</v>
      </c>
      <c r="D1260" s="3" t="s">
        <v>1973</v>
      </c>
      <c r="E1260" s="3" t="s">
        <v>15</v>
      </c>
      <c r="F1260" s="1" t="s">
        <v>7834</v>
      </c>
      <c r="G1260" s="10"/>
      <c r="H1260" s="10"/>
      <c r="I1260" s="10"/>
      <c r="J1260" s="10"/>
      <c r="K1260" s="10"/>
      <c r="L1260" s="3" t="s">
        <v>2570</v>
      </c>
      <c r="M1260" s="3" t="s">
        <v>2403</v>
      </c>
      <c r="N1260" s="3" t="s">
        <v>2446</v>
      </c>
      <c r="O1260" s="3">
        <v>1</v>
      </c>
      <c r="P1260" s="3">
        <v>66</v>
      </c>
      <c r="Q1260" s="3" t="s">
        <v>2571</v>
      </c>
      <c r="R1260" s="3" t="s">
        <v>2448</v>
      </c>
      <c r="S1260" s="3" t="s">
        <v>2572</v>
      </c>
      <c r="T1260" s="3" t="s">
        <v>21</v>
      </c>
      <c r="U1260" s="11">
        <v>345</v>
      </c>
      <c r="V1260" s="3" t="s">
        <v>2401</v>
      </c>
      <c r="W1260" s="8" t="s">
        <v>7834</v>
      </c>
    </row>
    <row r="1261" spans="1:23" x14ac:dyDescent="0.25">
      <c r="A1261" s="2">
        <v>583</v>
      </c>
      <c r="B1261" s="3" t="s">
        <v>2401</v>
      </c>
      <c r="C1261" s="3">
        <v>2024</v>
      </c>
      <c r="D1261" s="3" t="s">
        <v>1151</v>
      </c>
      <c r="E1261" s="3" t="s">
        <v>15</v>
      </c>
      <c r="F1261" s="1" t="s">
        <v>7834</v>
      </c>
      <c r="G1261" s="10"/>
      <c r="H1261" s="10"/>
      <c r="I1261" s="10"/>
      <c r="J1261" s="10"/>
      <c r="K1261" s="10"/>
      <c r="L1261" s="3" t="s">
        <v>2573</v>
      </c>
      <c r="M1261" s="3" t="s">
        <v>2403</v>
      </c>
      <c r="N1261" s="3" t="s">
        <v>2446</v>
      </c>
      <c r="O1261" s="3">
        <v>2</v>
      </c>
      <c r="P1261" s="3">
        <v>37</v>
      </c>
      <c r="Q1261" s="3" t="s">
        <v>2571</v>
      </c>
      <c r="R1261" s="3" t="s">
        <v>2448</v>
      </c>
      <c r="S1261" s="3" t="s">
        <v>2574</v>
      </c>
      <c r="T1261" s="3" t="s">
        <v>21</v>
      </c>
      <c r="U1261" s="11">
        <v>346</v>
      </c>
      <c r="V1261" s="3" t="s">
        <v>2401</v>
      </c>
      <c r="W1261" s="8" t="s">
        <v>7834</v>
      </c>
    </row>
    <row r="1262" spans="1:23" x14ac:dyDescent="0.25">
      <c r="A1262" s="2">
        <v>584</v>
      </c>
      <c r="B1262" s="3" t="s">
        <v>2401</v>
      </c>
      <c r="C1262" s="3">
        <v>2024</v>
      </c>
      <c r="D1262" s="3" t="s">
        <v>818</v>
      </c>
      <c r="E1262" s="3" t="s">
        <v>15</v>
      </c>
      <c r="F1262" s="1" t="s">
        <v>7834</v>
      </c>
      <c r="G1262" s="10"/>
      <c r="H1262" s="10"/>
      <c r="I1262" s="10"/>
      <c r="J1262" s="10"/>
      <c r="K1262" s="10"/>
      <c r="L1262" s="3" t="s">
        <v>2575</v>
      </c>
      <c r="M1262" s="3" t="s">
        <v>2403</v>
      </c>
      <c r="N1262" s="3" t="s">
        <v>2451</v>
      </c>
      <c r="O1262" s="3">
        <v>855</v>
      </c>
      <c r="P1262" s="3">
        <v>138764</v>
      </c>
      <c r="Q1262" s="3" t="s">
        <v>2443</v>
      </c>
      <c r="R1262" s="3" t="s">
        <v>2452</v>
      </c>
      <c r="S1262" s="3" t="s">
        <v>2576</v>
      </c>
      <c r="T1262" s="3" t="s">
        <v>21</v>
      </c>
      <c r="U1262" s="11">
        <v>347</v>
      </c>
      <c r="V1262" s="3" t="s">
        <v>2401</v>
      </c>
      <c r="W1262" s="8" t="s">
        <v>7834</v>
      </c>
    </row>
    <row r="1263" spans="1:23" x14ac:dyDescent="0.25">
      <c r="A1263" s="2">
        <v>585</v>
      </c>
      <c r="B1263" s="3" t="s">
        <v>2401</v>
      </c>
      <c r="C1263" s="3">
        <v>2024</v>
      </c>
      <c r="D1263" s="3" t="s">
        <v>2577</v>
      </c>
      <c r="E1263" s="3" t="s">
        <v>15</v>
      </c>
      <c r="F1263" s="1" t="s">
        <v>7834</v>
      </c>
      <c r="G1263" s="10"/>
      <c r="H1263" s="10"/>
      <c r="I1263" s="10"/>
      <c r="J1263" s="10"/>
      <c r="K1263" s="10"/>
      <c r="L1263" s="3" t="s">
        <v>2578</v>
      </c>
      <c r="M1263" s="3" t="s">
        <v>2403</v>
      </c>
      <c r="N1263" s="3" t="s">
        <v>2451</v>
      </c>
      <c r="O1263" s="3">
        <v>848</v>
      </c>
      <c r="P1263" s="3">
        <v>138394</v>
      </c>
      <c r="Q1263" s="3" t="s">
        <v>2443</v>
      </c>
      <c r="R1263" s="3" t="s">
        <v>2452</v>
      </c>
      <c r="S1263" s="3" t="s">
        <v>2579</v>
      </c>
      <c r="T1263" s="3" t="s">
        <v>21</v>
      </c>
      <c r="U1263" s="11">
        <v>348</v>
      </c>
      <c r="V1263" s="3" t="s">
        <v>2401</v>
      </c>
      <c r="W1263" s="8" t="s">
        <v>7834</v>
      </c>
    </row>
    <row r="1264" spans="1:23" x14ac:dyDescent="0.25">
      <c r="A1264" s="2">
        <v>586</v>
      </c>
      <c r="B1264" s="3" t="s">
        <v>2401</v>
      </c>
      <c r="C1264" s="3">
        <v>2024</v>
      </c>
      <c r="D1264" s="3" t="s">
        <v>1929</v>
      </c>
      <c r="E1264" s="3" t="s">
        <v>15</v>
      </c>
      <c r="F1264" s="1" t="s">
        <v>7834</v>
      </c>
      <c r="G1264" s="10"/>
      <c r="H1264" s="10"/>
      <c r="I1264" s="10"/>
      <c r="J1264" s="10"/>
      <c r="K1264" s="10"/>
      <c r="L1264" s="3" t="s">
        <v>2580</v>
      </c>
      <c r="M1264" s="3" t="s">
        <v>2403</v>
      </c>
      <c r="N1264" s="3" t="s">
        <v>2410</v>
      </c>
      <c r="O1264" s="3">
        <v>132</v>
      </c>
      <c r="P1264" s="3">
        <v>21803</v>
      </c>
      <c r="Q1264" s="3" t="s">
        <v>2411</v>
      </c>
      <c r="R1264" s="3" t="s">
        <v>2412</v>
      </c>
      <c r="S1264" s="3" t="s">
        <v>2581</v>
      </c>
      <c r="T1264" s="3" t="s">
        <v>21</v>
      </c>
      <c r="U1264" s="11">
        <v>349</v>
      </c>
      <c r="V1264" s="3" t="s">
        <v>2401</v>
      </c>
      <c r="W1264" s="8" t="s">
        <v>7834</v>
      </c>
    </row>
    <row r="1265" spans="1:23" x14ac:dyDescent="0.25">
      <c r="A1265" s="2">
        <v>587</v>
      </c>
      <c r="B1265" s="3" t="s">
        <v>2401</v>
      </c>
      <c r="C1265" s="3">
        <v>2024</v>
      </c>
      <c r="D1265" s="3" t="s">
        <v>415</v>
      </c>
      <c r="E1265" s="3" t="s">
        <v>15</v>
      </c>
      <c r="F1265" s="1" t="s">
        <v>7834</v>
      </c>
      <c r="G1265" s="10"/>
      <c r="H1265" s="10"/>
      <c r="I1265" s="10"/>
      <c r="J1265" s="10"/>
      <c r="K1265" s="10"/>
      <c r="L1265" s="3" t="s">
        <v>2582</v>
      </c>
      <c r="M1265" s="3" t="s">
        <v>2583</v>
      </c>
      <c r="N1265" s="3" t="s">
        <v>2584</v>
      </c>
      <c r="O1265" s="3">
        <v>133</v>
      </c>
      <c r="P1265" s="3">
        <v>12</v>
      </c>
      <c r="Q1265" s="3">
        <v>121803</v>
      </c>
      <c r="R1265" s="3" t="s">
        <v>2412</v>
      </c>
      <c r="S1265" s="3" t="s">
        <v>2585</v>
      </c>
      <c r="T1265" s="3" t="s">
        <v>21</v>
      </c>
      <c r="U1265" s="11">
        <v>350</v>
      </c>
      <c r="V1265" s="3" t="s">
        <v>2401</v>
      </c>
      <c r="W1265" s="8" t="s">
        <v>7834</v>
      </c>
    </row>
    <row r="1266" spans="1:23" x14ac:dyDescent="0.25">
      <c r="A1266" s="2">
        <v>588</v>
      </c>
      <c r="B1266" s="3" t="s">
        <v>2401</v>
      </c>
      <c r="C1266" s="3">
        <v>2024</v>
      </c>
      <c r="D1266" s="3" t="s">
        <v>1973</v>
      </c>
      <c r="E1266" s="3" t="s">
        <v>15</v>
      </c>
      <c r="F1266" s="1" t="s">
        <v>7834</v>
      </c>
      <c r="G1266" s="10"/>
      <c r="H1266" s="10"/>
      <c r="I1266" s="10"/>
      <c r="J1266" s="10"/>
      <c r="K1266" s="10"/>
      <c r="L1266" s="3" t="s">
        <v>2586</v>
      </c>
      <c r="M1266" s="3" t="s">
        <v>2403</v>
      </c>
      <c r="N1266" s="3" t="s">
        <v>2584</v>
      </c>
      <c r="O1266" s="3">
        <v>132</v>
      </c>
      <c r="P1266" s="3"/>
      <c r="Q1266" s="3">
        <v>21802</v>
      </c>
      <c r="R1266" s="3" t="s">
        <v>2587</v>
      </c>
      <c r="S1266" s="3" t="s">
        <v>2588</v>
      </c>
      <c r="T1266" s="3" t="s">
        <v>21</v>
      </c>
      <c r="U1266" s="11">
        <v>351</v>
      </c>
      <c r="V1266" s="3" t="s">
        <v>2401</v>
      </c>
      <c r="W1266" s="8" t="s">
        <v>7834</v>
      </c>
    </row>
    <row r="1267" spans="1:23" x14ac:dyDescent="0.25">
      <c r="A1267" s="2">
        <v>589</v>
      </c>
      <c r="B1267" s="3" t="s">
        <v>2401</v>
      </c>
      <c r="C1267" s="3">
        <v>2024</v>
      </c>
      <c r="D1267" s="3" t="s">
        <v>2589</v>
      </c>
      <c r="E1267" s="3" t="s">
        <v>15</v>
      </c>
      <c r="F1267" s="1" t="s">
        <v>7834</v>
      </c>
      <c r="G1267" s="10"/>
      <c r="H1267" s="10"/>
      <c r="I1267" s="10"/>
      <c r="J1267" s="10"/>
      <c r="K1267" s="10"/>
      <c r="L1267" s="3" t="s">
        <v>2590</v>
      </c>
      <c r="M1267" s="3" t="s">
        <v>2591</v>
      </c>
      <c r="N1267" s="3" t="s">
        <v>2433</v>
      </c>
      <c r="O1267" s="3">
        <v>2024</v>
      </c>
      <c r="P1267" s="3">
        <v>109</v>
      </c>
      <c r="Q1267" s="3" t="s">
        <v>2592</v>
      </c>
      <c r="R1267" s="3" t="s">
        <v>2435</v>
      </c>
      <c r="S1267" s="3" t="s">
        <v>2593</v>
      </c>
      <c r="T1267" s="3" t="s">
        <v>21</v>
      </c>
      <c r="U1267" s="11">
        <v>352</v>
      </c>
      <c r="V1267" s="3" t="s">
        <v>2401</v>
      </c>
      <c r="W1267" s="8" t="s">
        <v>7834</v>
      </c>
    </row>
    <row r="1268" spans="1:23" x14ac:dyDescent="0.25">
      <c r="A1268" s="2">
        <v>590</v>
      </c>
      <c r="B1268" s="3" t="s">
        <v>2401</v>
      </c>
      <c r="C1268" s="3">
        <v>2024</v>
      </c>
      <c r="D1268" s="3" t="s">
        <v>2547</v>
      </c>
      <c r="E1268" s="3" t="s">
        <v>15</v>
      </c>
      <c r="F1268" s="1" t="s">
        <v>7834</v>
      </c>
      <c r="G1268" s="10"/>
      <c r="H1268" s="10"/>
      <c r="I1268" s="10"/>
      <c r="J1268" s="10"/>
      <c r="K1268" s="10"/>
      <c r="L1268" s="3" t="s">
        <v>2594</v>
      </c>
      <c r="M1268" s="3" t="s">
        <v>2595</v>
      </c>
      <c r="N1268" s="3" t="s">
        <v>2596</v>
      </c>
      <c r="O1268" s="3">
        <v>2026</v>
      </c>
      <c r="P1268" s="3">
        <v>16</v>
      </c>
      <c r="Q1268" s="3">
        <v>702</v>
      </c>
      <c r="R1268" s="3" t="s">
        <v>2597</v>
      </c>
      <c r="S1268" s="3" t="s">
        <v>2598</v>
      </c>
      <c r="T1268" s="3" t="s">
        <v>21</v>
      </c>
      <c r="U1268" s="11">
        <v>353</v>
      </c>
      <c r="V1268" s="3" t="s">
        <v>2401</v>
      </c>
      <c r="W1268" s="8" t="s">
        <v>7834</v>
      </c>
    </row>
    <row r="1269" spans="1:23" x14ac:dyDescent="0.25">
      <c r="A1269" s="2">
        <v>591</v>
      </c>
      <c r="B1269" s="3" t="s">
        <v>2401</v>
      </c>
      <c r="C1269" s="3">
        <v>2024</v>
      </c>
      <c r="D1269" s="3" t="s">
        <v>508</v>
      </c>
      <c r="E1269" s="3" t="s">
        <v>15</v>
      </c>
      <c r="F1269" s="1" t="s">
        <v>7834</v>
      </c>
      <c r="G1269" s="10"/>
      <c r="H1269" s="10"/>
      <c r="I1269" s="10"/>
      <c r="J1269" s="10"/>
      <c r="K1269" s="10"/>
      <c r="L1269" s="3" t="s">
        <v>2599</v>
      </c>
      <c r="M1269" s="3" t="s">
        <v>2416</v>
      </c>
      <c r="N1269" s="3" t="s">
        <v>2451</v>
      </c>
      <c r="O1269" s="3">
        <v>856</v>
      </c>
      <c r="P1269" s="3">
        <v>138865</v>
      </c>
      <c r="Q1269" s="3" t="s">
        <v>2481</v>
      </c>
      <c r="R1269" s="3" t="s">
        <v>2452</v>
      </c>
      <c r="S1269" s="3" t="s">
        <v>2600</v>
      </c>
      <c r="T1269" s="3" t="s">
        <v>21</v>
      </c>
      <c r="U1269" s="11">
        <v>354</v>
      </c>
      <c r="V1269" s="3" t="s">
        <v>2401</v>
      </c>
      <c r="W1269" s="8" t="s">
        <v>7834</v>
      </c>
    </row>
    <row r="1270" spans="1:23" x14ac:dyDescent="0.25">
      <c r="A1270" s="2">
        <v>592</v>
      </c>
      <c r="B1270" s="3" t="s">
        <v>2401</v>
      </c>
      <c r="C1270" s="3">
        <v>2024</v>
      </c>
      <c r="D1270" s="3" t="s">
        <v>2466</v>
      </c>
      <c r="E1270" s="3" t="s">
        <v>15</v>
      </c>
      <c r="F1270" s="1" t="s">
        <v>7834</v>
      </c>
      <c r="G1270" s="10"/>
      <c r="H1270" s="10"/>
      <c r="I1270" s="10"/>
      <c r="J1270" s="10"/>
      <c r="K1270" s="10"/>
      <c r="L1270" s="3" t="s">
        <v>2601</v>
      </c>
      <c r="M1270" s="3" t="s">
        <v>2416</v>
      </c>
      <c r="N1270" s="3" t="s">
        <v>2410</v>
      </c>
      <c r="O1270" s="3">
        <v>133</v>
      </c>
      <c r="P1270" s="3">
        <v>161803</v>
      </c>
      <c r="Q1270" s="3" t="s">
        <v>2481</v>
      </c>
      <c r="R1270" s="3" t="s">
        <v>2412</v>
      </c>
      <c r="S1270" s="3" t="s">
        <v>2602</v>
      </c>
      <c r="T1270" s="3" t="s">
        <v>21</v>
      </c>
      <c r="U1270" s="11">
        <v>355</v>
      </c>
      <c r="V1270" s="3" t="s">
        <v>2401</v>
      </c>
      <c r="W1270" s="8" t="s">
        <v>7834</v>
      </c>
    </row>
    <row r="1271" spans="1:23" x14ac:dyDescent="0.25">
      <c r="A1271" s="2">
        <v>593</v>
      </c>
      <c r="B1271" s="3" t="s">
        <v>2401</v>
      </c>
      <c r="C1271" s="3">
        <v>2024</v>
      </c>
      <c r="D1271" s="3" t="s">
        <v>729</v>
      </c>
      <c r="E1271" s="3" t="s">
        <v>15</v>
      </c>
      <c r="F1271" s="1" t="s">
        <v>7834</v>
      </c>
      <c r="G1271" s="10"/>
      <c r="H1271" s="10"/>
      <c r="I1271" s="10"/>
      <c r="J1271" s="10"/>
      <c r="K1271" s="10"/>
      <c r="L1271" s="3" t="s">
        <v>2603</v>
      </c>
      <c r="M1271" s="3" t="s">
        <v>2403</v>
      </c>
      <c r="N1271" s="3" t="s">
        <v>2446</v>
      </c>
      <c r="O1271" s="3">
        <v>10</v>
      </c>
      <c r="P1271" s="3">
        <v>191</v>
      </c>
      <c r="Q1271" s="3" t="s">
        <v>2604</v>
      </c>
      <c r="R1271" s="3" t="s">
        <v>2448</v>
      </c>
      <c r="S1271" s="3" t="s">
        <v>2605</v>
      </c>
      <c r="T1271" s="3" t="s">
        <v>21</v>
      </c>
      <c r="U1271" s="11">
        <v>356</v>
      </c>
      <c r="V1271" s="3" t="s">
        <v>2401</v>
      </c>
      <c r="W1271" s="8" t="s">
        <v>7834</v>
      </c>
    </row>
    <row r="1272" spans="1:23" x14ac:dyDescent="0.25">
      <c r="A1272" s="2">
        <v>594</v>
      </c>
      <c r="B1272" s="3" t="s">
        <v>2401</v>
      </c>
      <c r="C1272" s="3">
        <v>2024</v>
      </c>
      <c r="D1272" s="3" t="s">
        <v>2606</v>
      </c>
      <c r="E1272" s="3" t="s">
        <v>15</v>
      </c>
      <c r="F1272" s="1" t="s">
        <v>7834</v>
      </c>
      <c r="G1272" s="10"/>
      <c r="H1272" s="10"/>
      <c r="I1272" s="10"/>
      <c r="J1272" s="10"/>
      <c r="K1272" s="10"/>
      <c r="L1272" s="3" t="s">
        <v>2607</v>
      </c>
      <c r="M1272" s="3" t="s">
        <v>2403</v>
      </c>
      <c r="N1272" s="3" t="s">
        <v>2433</v>
      </c>
      <c r="O1272" s="3">
        <v>110</v>
      </c>
      <c r="P1272" s="3">
        <v>12014</v>
      </c>
      <c r="Q1272" s="3" t="s">
        <v>2562</v>
      </c>
      <c r="R1272" s="3" t="s">
        <v>2435</v>
      </c>
      <c r="S1272" s="3" t="s">
        <v>2608</v>
      </c>
      <c r="T1272" s="3" t="s">
        <v>21</v>
      </c>
      <c r="U1272" s="11">
        <v>357</v>
      </c>
      <c r="V1272" s="3" t="s">
        <v>2401</v>
      </c>
      <c r="W1272" s="8" t="s">
        <v>7834</v>
      </c>
    </row>
    <row r="1273" spans="1:23" x14ac:dyDescent="0.25">
      <c r="A1273" s="2">
        <v>595</v>
      </c>
      <c r="B1273" s="3" t="s">
        <v>2401</v>
      </c>
      <c r="C1273" s="3">
        <v>2024</v>
      </c>
      <c r="D1273" s="3" t="s">
        <v>2498</v>
      </c>
      <c r="E1273" s="3" t="s">
        <v>15</v>
      </c>
      <c r="F1273" s="1" t="s">
        <v>7834</v>
      </c>
      <c r="G1273" s="10"/>
      <c r="H1273" s="10"/>
      <c r="I1273" s="10"/>
      <c r="J1273" s="10"/>
      <c r="K1273" s="10"/>
      <c r="L1273" s="3" t="s">
        <v>2609</v>
      </c>
      <c r="M1273" s="3" t="s">
        <v>2403</v>
      </c>
      <c r="N1273" s="3" t="s">
        <v>2446</v>
      </c>
      <c r="O1273" s="3">
        <v>7</v>
      </c>
      <c r="P1273" s="3">
        <v>254</v>
      </c>
      <c r="Q1273" s="3" t="s">
        <v>2610</v>
      </c>
      <c r="R1273" s="3" t="s">
        <v>2448</v>
      </c>
      <c r="S1273" s="3" t="s">
        <v>2611</v>
      </c>
      <c r="T1273" s="3" t="s">
        <v>21</v>
      </c>
      <c r="U1273" s="11">
        <v>358</v>
      </c>
      <c r="V1273" s="3" t="s">
        <v>2401</v>
      </c>
      <c r="W1273" s="8" t="s">
        <v>7834</v>
      </c>
    </row>
    <row r="1274" spans="1:23" x14ac:dyDescent="0.25">
      <c r="A1274" s="2">
        <v>596</v>
      </c>
      <c r="B1274" s="3" t="s">
        <v>2401</v>
      </c>
      <c r="C1274" s="3">
        <v>2024</v>
      </c>
      <c r="D1274" s="3" t="s">
        <v>633</v>
      </c>
      <c r="E1274" s="3" t="s">
        <v>15</v>
      </c>
      <c r="F1274" s="1" t="s">
        <v>7834</v>
      </c>
      <c r="G1274" s="10"/>
      <c r="H1274" s="10"/>
      <c r="I1274" s="10"/>
      <c r="J1274" s="10"/>
      <c r="K1274" s="10"/>
      <c r="L1274" s="3" t="s">
        <v>2612</v>
      </c>
      <c r="M1274" s="3" t="s">
        <v>2403</v>
      </c>
      <c r="N1274" s="3" t="s">
        <v>2446</v>
      </c>
      <c r="O1274" s="3">
        <v>8</v>
      </c>
      <c r="P1274" s="3">
        <v>223</v>
      </c>
      <c r="Q1274" s="3" t="s">
        <v>2613</v>
      </c>
      <c r="R1274" s="3" t="s">
        <v>2448</v>
      </c>
      <c r="S1274" s="3" t="s">
        <v>2614</v>
      </c>
      <c r="T1274" s="3" t="s">
        <v>21</v>
      </c>
      <c r="U1274" s="11">
        <v>359</v>
      </c>
      <c r="V1274" s="3" t="s">
        <v>2401</v>
      </c>
      <c r="W1274" s="8" t="s">
        <v>7834</v>
      </c>
    </row>
    <row r="1275" spans="1:23" x14ac:dyDescent="0.25">
      <c r="A1275" s="2">
        <v>597</v>
      </c>
      <c r="B1275" s="3" t="s">
        <v>2401</v>
      </c>
      <c r="C1275" s="3">
        <v>2024</v>
      </c>
      <c r="D1275" s="3" t="s">
        <v>2615</v>
      </c>
      <c r="E1275" s="3" t="s">
        <v>15</v>
      </c>
      <c r="F1275" s="1" t="s">
        <v>7834</v>
      </c>
      <c r="G1275" s="10"/>
      <c r="H1275" s="10"/>
      <c r="I1275" s="10"/>
      <c r="J1275" s="10"/>
      <c r="K1275" s="10"/>
      <c r="L1275" s="3" t="s">
        <v>2616</v>
      </c>
      <c r="M1275" s="3" t="s">
        <v>2403</v>
      </c>
      <c r="N1275" s="3" t="s">
        <v>2421</v>
      </c>
      <c r="O1275" s="3">
        <v>84</v>
      </c>
      <c r="P1275" s="3">
        <v>1064</v>
      </c>
      <c r="Q1275" s="3" t="s">
        <v>2434</v>
      </c>
      <c r="R1275" s="3" t="s">
        <v>2423</v>
      </c>
      <c r="S1275" s="3" t="s">
        <v>2617</v>
      </c>
      <c r="T1275" s="3" t="s">
        <v>21</v>
      </c>
      <c r="U1275" s="11">
        <v>360</v>
      </c>
      <c r="V1275" s="3" t="s">
        <v>2401</v>
      </c>
      <c r="W1275" s="8" t="s">
        <v>7834</v>
      </c>
    </row>
    <row r="1276" spans="1:23" x14ac:dyDescent="0.25">
      <c r="A1276" s="2">
        <v>598</v>
      </c>
      <c r="B1276" s="3" t="s">
        <v>2401</v>
      </c>
      <c r="C1276" s="3">
        <v>2024</v>
      </c>
      <c r="D1276" s="3" t="s">
        <v>2618</v>
      </c>
      <c r="E1276" s="3" t="s">
        <v>15</v>
      </c>
      <c r="F1276" s="1" t="s">
        <v>7834</v>
      </c>
      <c r="G1276" s="10"/>
      <c r="H1276" s="10"/>
      <c r="I1276" s="10"/>
      <c r="J1276" s="10"/>
      <c r="K1276" s="10"/>
      <c r="L1276" s="3" t="s">
        <v>2619</v>
      </c>
      <c r="M1276" s="3" t="s">
        <v>2403</v>
      </c>
      <c r="N1276" s="3" t="s">
        <v>2517</v>
      </c>
      <c r="O1276" s="3">
        <v>5</v>
      </c>
      <c r="P1276" s="3">
        <v>305</v>
      </c>
      <c r="Q1276" s="3" t="s">
        <v>2620</v>
      </c>
      <c r="R1276" s="3" t="s">
        <v>2448</v>
      </c>
      <c r="S1276" s="3" t="s">
        <v>2621</v>
      </c>
      <c r="T1276" s="3" t="s">
        <v>21</v>
      </c>
      <c r="U1276" s="11">
        <v>361</v>
      </c>
      <c r="V1276" s="3" t="s">
        <v>2401</v>
      </c>
      <c r="W1276" s="8" t="s">
        <v>7834</v>
      </c>
    </row>
    <row r="1277" spans="1:23" x14ac:dyDescent="0.25">
      <c r="A1277" s="2">
        <v>599</v>
      </c>
      <c r="B1277" s="3" t="s">
        <v>2401</v>
      </c>
      <c r="C1277" s="3">
        <v>2024</v>
      </c>
      <c r="D1277" s="3" t="s">
        <v>702</v>
      </c>
      <c r="E1277" s="3" t="s">
        <v>15</v>
      </c>
      <c r="F1277" s="1" t="s">
        <v>7834</v>
      </c>
      <c r="G1277" s="10"/>
      <c r="H1277" s="10"/>
      <c r="I1277" s="10"/>
      <c r="J1277" s="10"/>
      <c r="K1277" s="10"/>
      <c r="L1277" s="3" t="s">
        <v>2622</v>
      </c>
      <c r="M1277" s="3" t="s">
        <v>2403</v>
      </c>
      <c r="N1277" s="3" t="s">
        <v>2446</v>
      </c>
      <c r="O1277" s="3">
        <v>5</v>
      </c>
      <c r="P1277" s="3">
        <v>263</v>
      </c>
      <c r="Q1277" s="3" t="s">
        <v>2506</v>
      </c>
      <c r="R1277" s="3" t="s">
        <v>2448</v>
      </c>
      <c r="S1277" s="3" t="s">
        <v>2623</v>
      </c>
      <c r="T1277" s="3" t="s">
        <v>21</v>
      </c>
      <c r="U1277" s="11">
        <v>362</v>
      </c>
      <c r="V1277" s="3" t="s">
        <v>2401</v>
      </c>
      <c r="W1277" s="8" t="s">
        <v>7834</v>
      </c>
    </row>
    <row r="1278" spans="1:23" x14ac:dyDescent="0.25">
      <c r="A1278" s="2">
        <v>600</v>
      </c>
      <c r="B1278" s="3" t="s">
        <v>2401</v>
      </c>
      <c r="C1278" s="3">
        <v>2024</v>
      </c>
      <c r="D1278" s="3" t="s">
        <v>2615</v>
      </c>
      <c r="E1278" s="3" t="s">
        <v>15</v>
      </c>
      <c r="F1278" s="1" t="s">
        <v>7834</v>
      </c>
      <c r="G1278" s="10"/>
      <c r="H1278" s="10"/>
      <c r="I1278" s="10"/>
      <c r="J1278" s="10"/>
      <c r="K1278" s="10"/>
      <c r="L1278" s="3" t="s">
        <v>2624</v>
      </c>
      <c r="M1278" s="3" t="s">
        <v>2403</v>
      </c>
      <c r="N1278" s="3" t="s">
        <v>2433</v>
      </c>
      <c r="O1278" s="3">
        <v>110</v>
      </c>
      <c r="P1278" s="3">
        <v>72008</v>
      </c>
      <c r="Q1278" s="3" t="s">
        <v>2417</v>
      </c>
      <c r="R1278" s="3" t="s">
        <v>2435</v>
      </c>
      <c r="S1278" s="3" t="s">
        <v>2625</v>
      </c>
      <c r="T1278" s="3" t="s">
        <v>21</v>
      </c>
      <c r="U1278" s="11">
        <v>363</v>
      </c>
      <c r="V1278" s="3" t="s">
        <v>2401</v>
      </c>
      <c r="W1278" s="8" t="s">
        <v>7834</v>
      </c>
    </row>
    <row r="1279" spans="1:23" x14ac:dyDescent="0.25">
      <c r="A1279" s="2">
        <v>601</v>
      </c>
      <c r="B1279" s="3" t="s">
        <v>2401</v>
      </c>
      <c r="C1279" s="3">
        <v>2024</v>
      </c>
      <c r="D1279" s="3" t="s">
        <v>2626</v>
      </c>
      <c r="E1279" s="3" t="s">
        <v>15</v>
      </c>
      <c r="F1279" s="1" t="s">
        <v>7834</v>
      </c>
      <c r="G1279" s="10"/>
      <c r="H1279" s="10"/>
      <c r="I1279" s="10"/>
      <c r="J1279" s="10"/>
      <c r="K1279" s="10"/>
      <c r="L1279" s="3" t="s">
        <v>2627</v>
      </c>
      <c r="M1279" s="3" t="s">
        <v>2416</v>
      </c>
      <c r="N1279" s="3" t="s">
        <v>2451</v>
      </c>
      <c r="O1279" s="3">
        <v>858</v>
      </c>
      <c r="P1279" s="3">
        <v>2024</v>
      </c>
      <c r="Q1279" s="3">
        <v>139007</v>
      </c>
      <c r="R1279" s="3" t="s">
        <v>2452</v>
      </c>
      <c r="S1279" s="3" t="s">
        <v>2628</v>
      </c>
      <c r="T1279" s="3" t="s">
        <v>21</v>
      </c>
      <c r="U1279" s="11">
        <v>364</v>
      </c>
      <c r="V1279" s="3" t="s">
        <v>2401</v>
      </c>
      <c r="W1279" s="8" t="s">
        <v>7834</v>
      </c>
    </row>
    <row r="1280" spans="1:23" x14ac:dyDescent="0.25">
      <c r="A1280" s="2">
        <v>602</v>
      </c>
      <c r="B1280" s="3" t="s">
        <v>2401</v>
      </c>
      <c r="C1280" s="3">
        <v>2024</v>
      </c>
      <c r="D1280" s="3" t="s">
        <v>2629</v>
      </c>
      <c r="E1280" s="3" t="s">
        <v>15</v>
      </c>
      <c r="F1280" s="1" t="s">
        <v>7834</v>
      </c>
      <c r="G1280" s="10"/>
      <c r="H1280" s="10"/>
      <c r="I1280" s="10"/>
      <c r="J1280" s="10"/>
      <c r="K1280" s="10"/>
      <c r="L1280" s="3" t="s">
        <v>2630</v>
      </c>
      <c r="M1280" s="3" t="s">
        <v>2403</v>
      </c>
      <c r="N1280" s="3" t="s">
        <v>2421</v>
      </c>
      <c r="O1280" s="3">
        <v>84</v>
      </c>
      <c r="P1280" s="3">
        <v>2024</v>
      </c>
      <c r="Q1280" s="3">
        <v>1102</v>
      </c>
      <c r="R1280" s="3" t="s">
        <v>2423</v>
      </c>
      <c r="S1280" s="3" t="s">
        <v>2631</v>
      </c>
      <c r="T1280" s="3" t="s">
        <v>21</v>
      </c>
      <c r="U1280" s="11">
        <v>365</v>
      </c>
      <c r="V1280" s="3" t="s">
        <v>2401</v>
      </c>
      <c r="W1280" s="8" t="s">
        <v>7834</v>
      </c>
    </row>
    <row r="1281" spans="1:23" x14ac:dyDescent="0.25">
      <c r="A1281" s="2">
        <v>603</v>
      </c>
      <c r="B1281" s="3" t="s">
        <v>2401</v>
      </c>
      <c r="C1281" s="3">
        <v>2024</v>
      </c>
      <c r="D1281" s="3" t="s">
        <v>1247</v>
      </c>
      <c r="E1281" s="3" t="s">
        <v>15</v>
      </c>
      <c r="F1281" s="1" t="s">
        <v>7834</v>
      </c>
      <c r="G1281" s="10"/>
      <c r="H1281" s="10"/>
      <c r="I1281" s="10"/>
      <c r="J1281" s="10"/>
      <c r="K1281" s="10"/>
      <c r="L1281" s="3" t="s">
        <v>2632</v>
      </c>
      <c r="M1281" s="3" t="s">
        <v>2403</v>
      </c>
      <c r="N1281" s="3" t="s">
        <v>2446</v>
      </c>
      <c r="O1281" s="3">
        <v>11</v>
      </c>
      <c r="P1281" s="3">
        <v>2024</v>
      </c>
      <c r="Q1281" s="3">
        <v>47</v>
      </c>
      <c r="R1281" s="3" t="s">
        <v>2448</v>
      </c>
      <c r="S1281" s="3" t="s">
        <v>2633</v>
      </c>
      <c r="T1281" s="3" t="s">
        <v>21</v>
      </c>
      <c r="U1281" s="11">
        <v>366</v>
      </c>
      <c r="V1281" s="3" t="s">
        <v>2401</v>
      </c>
      <c r="W1281" s="8" t="s">
        <v>7834</v>
      </c>
    </row>
    <row r="1282" spans="1:23" x14ac:dyDescent="0.25">
      <c r="A1282" s="2">
        <v>604</v>
      </c>
      <c r="B1282" s="3" t="s">
        <v>2401</v>
      </c>
      <c r="C1282" s="3">
        <v>2024</v>
      </c>
      <c r="D1282" s="3" t="s">
        <v>395</v>
      </c>
      <c r="E1282" s="3" t="s">
        <v>15</v>
      </c>
      <c r="F1282" s="1" t="s">
        <v>7834</v>
      </c>
      <c r="G1282" s="10"/>
      <c r="H1282" s="10"/>
      <c r="I1282" s="10"/>
      <c r="J1282" s="10"/>
      <c r="K1282" s="10"/>
      <c r="L1282" s="3" t="s">
        <v>2634</v>
      </c>
      <c r="M1282" s="3" t="s">
        <v>2403</v>
      </c>
      <c r="N1282" s="3" t="s">
        <v>2404</v>
      </c>
      <c r="O1282" s="3">
        <v>19</v>
      </c>
      <c r="P1282" s="3"/>
      <c r="Q1282" s="3" t="s">
        <v>2635</v>
      </c>
      <c r="R1282" s="3" t="s">
        <v>2407</v>
      </c>
      <c r="S1282" s="3" t="s">
        <v>2636</v>
      </c>
      <c r="T1282" s="3" t="s">
        <v>21</v>
      </c>
      <c r="U1282" s="11">
        <v>367</v>
      </c>
      <c r="V1282" s="3" t="s">
        <v>2401</v>
      </c>
      <c r="W1282" s="8" t="s">
        <v>7834</v>
      </c>
    </row>
    <row r="1283" spans="1:23" x14ac:dyDescent="0.25">
      <c r="A1283" s="2">
        <v>605</v>
      </c>
      <c r="B1283" s="3" t="s">
        <v>2401</v>
      </c>
      <c r="C1283" s="3">
        <v>2024</v>
      </c>
      <c r="D1283" s="3" t="s">
        <v>818</v>
      </c>
      <c r="E1283" s="3" t="s">
        <v>15</v>
      </c>
      <c r="F1283" s="1" t="s">
        <v>7834</v>
      </c>
      <c r="G1283" s="10"/>
      <c r="H1283" s="10"/>
      <c r="I1283" s="10"/>
      <c r="J1283" s="10"/>
      <c r="K1283" s="10"/>
      <c r="L1283" s="3" t="s">
        <v>2637</v>
      </c>
      <c r="M1283" s="3" t="s">
        <v>2403</v>
      </c>
      <c r="N1283" s="3" t="s">
        <v>2451</v>
      </c>
      <c r="O1283" s="3">
        <v>855</v>
      </c>
      <c r="P1283" s="3">
        <v>138762</v>
      </c>
      <c r="Q1283" s="3" t="s">
        <v>2428</v>
      </c>
      <c r="R1283" s="3" t="s">
        <v>2452</v>
      </c>
      <c r="S1283" s="3" t="s">
        <v>2638</v>
      </c>
      <c r="T1283" s="3" t="s">
        <v>21</v>
      </c>
      <c r="U1283" s="11">
        <v>368</v>
      </c>
      <c r="V1283" s="3" t="s">
        <v>2401</v>
      </c>
      <c r="W1283" s="8" t="s">
        <v>7834</v>
      </c>
    </row>
    <row r="1284" spans="1:23" x14ac:dyDescent="0.25">
      <c r="A1284" s="2">
        <v>606</v>
      </c>
      <c r="B1284" s="3" t="s">
        <v>2401</v>
      </c>
      <c r="C1284" s="3">
        <v>2024</v>
      </c>
      <c r="D1284" s="3" t="s">
        <v>602</v>
      </c>
      <c r="E1284" s="3" t="s">
        <v>15</v>
      </c>
      <c r="F1284" s="1" t="s">
        <v>7834</v>
      </c>
      <c r="G1284" s="10"/>
      <c r="H1284" s="10"/>
      <c r="I1284" s="10"/>
      <c r="J1284" s="10"/>
      <c r="K1284" s="10"/>
      <c r="L1284" s="3" t="s">
        <v>2639</v>
      </c>
      <c r="M1284" s="3" t="s">
        <v>2403</v>
      </c>
      <c r="N1284" s="3" t="s">
        <v>2433</v>
      </c>
      <c r="O1284" s="3">
        <v>109</v>
      </c>
      <c r="P1284" s="3">
        <v>112008</v>
      </c>
      <c r="Q1284" s="3" t="s">
        <v>2456</v>
      </c>
      <c r="R1284" s="3" t="s">
        <v>2435</v>
      </c>
      <c r="S1284" s="3" t="s">
        <v>2640</v>
      </c>
      <c r="T1284" s="3" t="s">
        <v>21</v>
      </c>
      <c r="U1284" s="11">
        <v>369</v>
      </c>
      <c r="V1284" s="3" t="s">
        <v>2401</v>
      </c>
      <c r="W1284" s="8" t="s">
        <v>7834</v>
      </c>
    </row>
    <row r="1285" spans="1:23" x14ac:dyDescent="0.25">
      <c r="A1285" s="2">
        <v>607</v>
      </c>
      <c r="B1285" s="3" t="s">
        <v>2401</v>
      </c>
      <c r="C1285" s="3">
        <v>2024</v>
      </c>
      <c r="D1285" s="3" t="s">
        <v>2641</v>
      </c>
      <c r="E1285" s="3" t="s">
        <v>15</v>
      </c>
      <c r="F1285" s="1" t="s">
        <v>7834</v>
      </c>
      <c r="G1285" s="10"/>
      <c r="H1285" s="10"/>
      <c r="I1285" s="10"/>
      <c r="J1285" s="10"/>
      <c r="K1285" s="10"/>
      <c r="L1285" s="3" t="s">
        <v>2642</v>
      </c>
      <c r="M1285" s="3" t="s">
        <v>2643</v>
      </c>
      <c r="N1285" s="3" t="s">
        <v>2404</v>
      </c>
      <c r="O1285" s="3">
        <v>2024</v>
      </c>
      <c r="P1285" s="3"/>
      <c r="Q1285" s="3" t="s">
        <v>2644</v>
      </c>
      <c r="R1285" s="3" t="s">
        <v>2407</v>
      </c>
      <c r="S1285" s="3" t="s">
        <v>2645</v>
      </c>
      <c r="T1285" s="3" t="s">
        <v>21</v>
      </c>
      <c r="U1285" s="11">
        <v>370</v>
      </c>
      <c r="V1285" s="3" t="s">
        <v>2401</v>
      </c>
      <c r="W1285" s="8" t="s">
        <v>7834</v>
      </c>
    </row>
    <row r="1286" spans="1:23" x14ac:dyDescent="0.25">
      <c r="A1286" s="2">
        <v>608</v>
      </c>
      <c r="B1286" s="3" t="s">
        <v>2401</v>
      </c>
      <c r="C1286" s="3">
        <v>2024</v>
      </c>
      <c r="D1286" s="3" t="s">
        <v>2197</v>
      </c>
      <c r="E1286" s="3" t="s">
        <v>15</v>
      </c>
      <c r="F1286" s="1" t="s">
        <v>7834</v>
      </c>
      <c r="G1286" s="10"/>
      <c r="H1286" s="10"/>
      <c r="I1286" s="10"/>
      <c r="J1286" s="10"/>
      <c r="K1286" s="10"/>
      <c r="L1286" s="3" t="s">
        <v>2646</v>
      </c>
      <c r="M1286" s="3" t="s">
        <v>2647</v>
      </c>
      <c r="N1286" s="3" t="s">
        <v>2404</v>
      </c>
      <c r="O1286" s="3">
        <v>19</v>
      </c>
      <c r="P1286" s="3">
        <v>2024</v>
      </c>
      <c r="Q1286" s="3" t="s">
        <v>2648</v>
      </c>
      <c r="R1286" s="3" t="s">
        <v>2407</v>
      </c>
      <c r="S1286" s="3" t="s">
        <v>2649</v>
      </c>
      <c r="T1286" s="3" t="s">
        <v>21</v>
      </c>
      <c r="U1286" s="11">
        <v>371</v>
      </c>
      <c r="V1286" s="3" t="s">
        <v>2401</v>
      </c>
      <c r="W1286" s="8" t="s">
        <v>7834</v>
      </c>
    </row>
    <row r="1287" spans="1:23" x14ac:dyDescent="0.25">
      <c r="A1287" s="2">
        <v>609</v>
      </c>
      <c r="B1287" s="3" t="s">
        <v>2401</v>
      </c>
      <c r="C1287" s="3">
        <v>2024</v>
      </c>
      <c r="D1287" s="3" t="s">
        <v>2650</v>
      </c>
      <c r="E1287" s="3" t="s">
        <v>15</v>
      </c>
      <c r="F1287" s="1" t="s">
        <v>7834</v>
      </c>
      <c r="G1287" s="10"/>
      <c r="H1287" s="10"/>
      <c r="I1287" s="10"/>
      <c r="J1287" s="10"/>
      <c r="K1287" s="10"/>
      <c r="L1287" s="3" t="s">
        <v>2651</v>
      </c>
      <c r="M1287" s="3" t="s">
        <v>2647</v>
      </c>
      <c r="N1287" s="3" t="s">
        <v>2652</v>
      </c>
      <c r="O1287" s="3">
        <v>110</v>
      </c>
      <c r="P1287" s="3">
        <v>2024</v>
      </c>
      <c r="Q1287" s="3">
        <v>54912</v>
      </c>
      <c r="R1287" s="3" t="s">
        <v>2653</v>
      </c>
      <c r="S1287" s="3" t="s">
        <v>2654</v>
      </c>
      <c r="T1287" s="3" t="s">
        <v>21</v>
      </c>
      <c r="U1287" s="11">
        <v>372</v>
      </c>
      <c r="V1287" s="3" t="s">
        <v>2401</v>
      </c>
      <c r="W1287" s="8" t="s">
        <v>7834</v>
      </c>
    </row>
    <row r="1288" spans="1:23" x14ac:dyDescent="0.25">
      <c r="A1288" s="2">
        <v>610</v>
      </c>
      <c r="B1288" s="3" t="s">
        <v>2401</v>
      </c>
      <c r="C1288" s="3">
        <v>2024</v>
      </c>
      <c r="D1288" s="3" t="s">
        <v>822</v>
      </c>
      <c r="E1288" s="3" t="s">
        <v>15</v>
      </c>
      <c r="F1288" s="1" t="s">
        <v>7834</v>
      </c>
      <c r="G1288" s="10"/>
      <c r="H1288" s="10"/>
      <c r="I1288" s="10"/>
      <c r="J1288" s="10"/>
      <c r="K1288" s="10"/>
      <c r="L1288" s="3" t="s">
        <v>2655</v>
      </c>
      <c r="M1288" s="3" t="s">
        <v>2403</v>
      </c>
      <c r="N1288" s="3" t="s">
        <v>2446</v>
      </c>
      <c r="O1288" s="3">
        <v>11</v>
      </c>
      <c r="P1288" s="3">
        <v>2024</v>
      </c>
      <c r="Q1288" s="3">
        <v>36</v>
      </c>
      <c r="R1288" s="3" t="s">
        <v>2448</v>
      </c>
      <c r="S1288" s="3" t="s">
        <v>2656</v>
      </c>
      <c r="T1288" s="3" t="s">
        <v>21</v>
      </c>
      <c r="U1288" s="11">
        <v>373</v>
      </c>
      <c r="V1288" s="3" t="s">
        <v>2401</v>
      </c>
      <c r="W1288" s="8" t="s">
        <v>7834</v>
      </c>
    </row>
    <row r="1289" spans="1:23" x14ac:dyDescent="0.25">
      <c r="A1289" s="2">
        <v>611</v>
      </c>
      <c r="B1289" s="3" t="s">
        <v>2401</v>
      </c>
      <c r="C1289" s="3">
        <v>2024</v>
      </c>
      <c r="D1289" s="3" t="s">
        <v>2657</v>
      </c>
      <c r="E1289" s="3" t="s">
        <v>15</v>
      </c>
      <c r="F1289" s="1" t="s">
        <v>7834</v>
      </c>
      <c r="G1289" s="10"/>
      <c r="H1289" s="10"/>
      <c r="I1289" s="10"/>
      <c r="J1289" s="10"/>
      <c r="K1289" s="10"/>
      <c r="L1289" s="3" t="s">
        <v>2658</v>
      </c>
      <c r="M1289" s="3" t="s">
        <v>2403</v>
      </c>
      <c r="N1289" s="3" t="s">
        <v>2446</v>
      </c>
      <c r="O1289" s="3">
        <v>2024</v>
      </c>
      <c r="P1289" s="3">
        <v>182</v>
      </c>
      <c r="Q1289" s="3"/>
      <c r="R1289" s="3" t="s">
        <v>2448</v>
      </c>
      <c r="S1289" s="3" t="s">
        <v>2659</v>
      </c>
      <c r="T1289" s="3" t="s">
        <v>21</v>
      </c>
      <c r="U1289" s="11">
        <v>374</v>
      </c>
      <c r="V1289" s="3" t="s">
        <v>2401</v>
      </c>
      <c r="W1289" s="8" t="s">
        <v>7834</v>
      </c>
    </row>
    <row r="1290" spans="1:23" x14ac:dyDescent="0.25">
      <c r="A1290" s="2">
        <v>612</v>
      </c>
      <c r="B1290" s="3" t="s">
        <v>2401</v>
      </c>
      <c r="C1290" s="3">
        <v>2024</v>
      </c>
      <c r="D1290" s="3" t="s">
        <v>2626</v>
      </c>
      <c r="E1290" s="3" t="s">
        <v>15</v>
      </c>
      <c r="F1290" s="1" t="s">
        <v>7834</v>
      </c>
      <c r="G1290" s="10"/>
      <c r="H1290" s="10"/>
      <c r="I1290" s="10"/>
      <c r="J1290" s="10"/>
      <c r="K1290" s="10"/>
      <c r="L1290" s="3" t="s">
        <v>2660</v>
      </c>
      <c r="M1290" s="3" t="s">
        <v>2403</v>
      </c>
      <c r="N1290" s="3" t="s">
        <v>2433</v>
      </c>
      <c r="O1290" s="3">
        <v>110</v>
      </c>
      <c r="P1290" s="3">
        <v>2024</v>
      </c>
      <c r="Q1290" s="3">
        <v>92004</v>
      </c>
      <c r="R1290" s="3" t="s">
        <v>2435</v>
      </c>
      <c r="S1290" s="3" t="s">
        <v>2661</v>
      </c>
      <c r="T1290" s="3" t="s">
        <v>21</v>
      </c>
      <c r="U1290" s="11">
        <v>375</v>
      </c>
      <c r="V1290" s="3" t="s">
        <v>2401</v>
      </c>
      <c r="W1290" s="8" t="s">
        <v>7834</v>
      </c>
    </row>
    <row r="1291" spans="1:23" x14ac:dyDescent="0.25">
      <c r="A1291" s="2">
        <v>613</v>
      </c>
      <c r="B1291" s="3" t="s">
        <v>2401</v>
      </c>
      <c r="C1291" s="3">
        <v>2024</v>
      </c>
      <c r="D1291" s="3" t="s">
        <v>370</v>
      </c>
      <c r="E1291" s="3" t="s">
        <v>15</v>
      </c>
      <c r="F1291" s="1" t="s">
        <v>7834</v>
      </c>
      <c r="G1291" s="10"/>
      <c r="H1291" s="10"/>
      <c r="I1291" s="10"/>
      <c r="J1291" s="10"/>
      <c r="K1291" s="10"/>
      <c r="L1291" s="3" t="s">
        <v>2662</v>
      </c>
      <c r="M1291" s="3" t="s">
        <v>2403</v>
      </c>
      <c r="N1291" s="3" t="s">
        <v>2446</v>
      </c>
      <c r="O1291" s="3">
        <v>11</v>
      </c>
      <c r="P1291" s="3">
        <v>2024</v>
      </c>
      <c r="Q1291" s="3">
        <v>226</v>
      </c>
      <c r="R1291" s="3" t="s">
        <v>2448</v>
      </c>
      <c r="S1291" s="3" t="s">
        <v>2663</v>
      </c>
      <c r="T1291" s="3" t="s">
        <v>21</v>
      </c>
      <c r="U1291" s="11">
        <v>376</v>
      </c>
      <c r="V1291" s="3" t="s">
        <v>2401</v>
      </c>
      <c r="W1291" s="8" t="s">
        <v>7834</v>
      </c>
    </row>
    <row r="1292" spans="1:23" x14ac:dyDescent="0.25">
      <c r="A1292" s="2">
        <v>614</v>
      </c>
      <c r="B1292" s="3" t="s">
        <v>2401</v>
      </c>
      <c r="C1292" s="3">
        <v>2024</v>
      </c>
      <c r="D1292" s="3" t="s">
        <v>2664</v>
      </c>
      <c r="E1292" s="3" t="s">
        <v>15</v>
      </c>
      <c r="F1292" s="1" t="s">
        <v>7834</v>
      </c>
      <c r="G1292" s="10"/>
      <c r="H1292" s="10"/>
      <c r="I1292" s="10"/>
      <c r="J1292" s="10"/>
      <c r="K1292" s="10"/>
      <c r="L1292" s="3" t="s">
        <v>2665</v>
      </c>
      <c r="M1292" s="3" t="s">
        <v>2403</v>
      </c>
      <c r="N1292" s="3" t="s">
        <v>2446</v>
      </c>
      <c r="O1292" s="3">
        <v>8</v>
      </c>
      <c r="P1292" s="3">
        <v>2024</v>
      </c>
      <c r="Q1292" s="3">
        <v>153</v>
      </c>
      <c r="R1292" s="3" t="s">
        <v>2448</v>
      </c>
      <c r="S1292" s="3" t="s">
        <v>2666</v>
      </c>
      <c r="T1292" s="3" t="s">
        <v>21</v>
      </c>
      <c r="U1292" s="11">
        <v>377</v>
      </c>
      <c r="V1292" s="3" t="s">
        <v>2401</v>
      </c>
      <c r="W1292" s="8" t="s">
        <v>7834</v>
      </c>
    </row>
    <row r="1293" spans="1:23" x14ac:dyDescent="0.25">
      <c r="A1293" s="2">
        <v>615</v>
      </c>
      <c r="B1293" s="3" t="s">
        <v>2401</v>
      </c>
      <c r="C1293" s="3">
        <v>2024</v>
      </c>
      <c r="D1293" s="3" t="s">
        <v>807</v>
      </c>
      <c r="E1293" s="3" t="s">
        <v>15</v>
      </c>
      <c r="F1293" s="1" t="s">
        <v>7834</v>
      </c>
      <c r="G1293" s="10"/>
      <c r="H1293" s="10"/>
      <c r="I1293" s="10"/>
      <c r="J1293" s="10"/>
      <c r="K1293" s="10"/>
      <c r="L1293" s="3" t="s">
        <v>2667</v>
      </c>
      <c r="M1293" s="3" t="s">
        <v>2403</v>
      </c>
      <c r="N1293" s="3" t="s">
        <v>2668</v>
      </c>
      <c r="O1293" s="3">
        <v>110</v>
      </c>
      <c r="P1293" s="3">
        <v>2024</v>
      </c>
      <c r="Q1293" s="3">
        <v>72019</v>
      </c>
      <c r="R1293" s="3" t="s">
        <v>2435</v>
      </c>
      <c r="S1293" s="3" t="s">
        <v>2669</v>
      </c>
      <c r="T1293" s="3" t="s">
        <v>21</v>
      </c>
      <c r="U1293" s="11">
        <v>378</v>
      </c>
      <c r="V1293" s="3" t="s">
        <v>2401</v>
      </c>
      <c r="W1293" s="8" t="s">
        <v>7834</v>
      </c>
    </row>
    <row r="1294" spans="1:23" x14ac:dyDescent="0.25">
      <c r="A1294" s="2">
        <v>616</v>
      </c>
      <c r="B1294" s="3" t="s">
        <v>2401</v>
      </c>
      <c r="C1294" s="3">
        <v>2024</v>
      </c>
      <c r="D1294" s="3" t="s">
        <v>2431</v>
      </c>
      <c r="E1294" s="3" t="s">
        <v>15</v>
      </c>
      <c r="F1294" s="1" t="s">
        <v>7834</v>
      </c>
      <c r="G1294" s="10"/>
      <c r="H1294" s="10"/>
      <c r="I1294" s="10"/>
      <c r="J1294" s="10"/>
      <c r="K1294" s="10"/>
      <c r="L1294" s="3" t="s">
        <v>2670</v>
      </c>
      <c r="M1294" s="3" t="s">
        <v>2403</v>
      </c>
      <c r="N1294" s="3" t="s">
        <v>2404</v>
      </c>
      <c r="O1294" s="3">
        <v>19</v>
      </c>
      <c r="P1294" s="3"/>
      <c r="Q1294" s="3" t="s">
        <v>2671</v>
      </c>
      <c r="R1294" s="3" t="s">
        <v>2407</v>
      </c>
      <c r="S1294" s="3" t="s">
        <v>2672</v>
      </c>
      <c r="T1294" s="3" t="s">
        <v>21</v>
      </c>
      <c r="U1294" s="11">
        <v>379</v>
      </c>
      <c r="V1294" s="3" t="s">
        <v>2401</v>
      </c>
      <c r="W1294" s="8" t="s">
        <v>7834</v>
      </c>
    </row>
    <row r="1295" spans="1:23" x14ac:dyDescent="0.25">
      <c r="A1295" s="2">
        <v>617</v>
      </c>
      <c r="B1295" s="3" t="s">
        <v>2401</v>
      </c>
      <c r="C1295" s="3">
        <v>2024</v>
      </c>
      <c r="D1295" s="3" t="s">
        <v>2673</v>
      </c>
      <c r="E1295" s="3" t="s">
        <v>15</v>
      </c>
      <c r="F1295" s="1" t="s">
        <v>7834</v>
      </c>
      <c r="G1295" s="10"/>
      <c r="H1295" s="10"/>
      <c r="I1295" s="10"/>
      <c r="J1295" s="10"/>
      <c r="K1295" s="10"/>
      <c r="L1295" s="3" t="s">
        <v>2674</v>
      </c>
      <c r="M1295" s="3" t="s">
        <v>2416</v>
      </c>
      <c r="N1295" s="3" t="s">
        <v>2446</v>
      </c>
      <c r="O1295" s="3">
        <v>8</v>
      </c>
      <c r="P1295" s="3">
        <v>2024</v>
      </c>
      <c r="Q1295" s="3">
        <v>13</v>
      </c>
      <c r="R1295" s="3" t="s">
        <v>2448</v>
      </c>
      <c r="S1295" s="3" t="s">
        <v>2675</v>
      </c>
      <c r="T1295" s="3" t="s">
        <v>21</v>
      </c>
      <c r="U1295" s="11">
        <v>380</v>
      </c>
      <c r="V1295" s="3" t="s">
        <v>2401</v>
      </c>
      <c r="W1295" s="8" t="s">
        <v>7834</v>
      </c>
    </row>
    <row r="1296" spans="1:23" x14ac:dyDescent="0.25">
      <c r="A1296" s="2">
        <v>618</v>
      </c>
      <c r="B1296" s="3" t="s">
        <v>2401</v>
      </c>
      <c r="C1296" s="3">
        <v>2024</v>
      </c>
      <c r="D1296" s="3" t="s">
        <v>401</v>
      </c>
      <c r="E1296" s="3" t="s">
        <v>15</v>
      </c>
      <c r="F1296" s="1" t="s">
        <v>7834</v>
      </c>
      <c r="G1296" s="10"/>
      <c r="H1296" s="10"/>
      <c r="I1296" s="10"/>
      <c r="J1296" s="10"/>
      <c r="K1296" s="10"/>
      <c r="L1296" s="3" t="s">
        <v>2676</v>
      </c>
      <c r="M1296" s="3" t="s">
        <v>2403</v>
      </c>
      <c r="N1296" s="3" t="s">
        <v>2517</v>
      </c>
      <c r="O1296" s="3">
        <v>9</v>
      </c>
      <c r="P1296" s="3">
        <v>5</v>
      </c>
      <c r="Q1296" s="3" t="s">
        <v>2677</v>
      </c>
      <c r="R1296" s="3" t="s">
        <v>2448</v>
      </c>
      <c r="S1296" s="3" t="s">
        <v>2678</v>
      </c>
      <c r="T1296" s="3" t="s">
        <v>21</v>
      </c>
      <c r="U1296" s="11">
        <v>381</v>
      </c>
      <c r="V1296" s="3" t="s">
        <v>2401</v>
      </c>
      <c r="W1296" s="8" t="s">
        <v>7834</v>
      </c>
    </row>
    <row r="1297" spans="1:23" x14ac:dyDescent="0.25">
      <c r="A1297" s="2">
        <v>619</v>
      </c>
      <c r="B1297" s="3" t="s">
        <v>2401</v>
      </c>
      <c r="C1297" s="3">
        <v>2024</v>
      </c>
      <c r="D1297" s="3" t="s">
        <v>361</v>
      </c>
      <c r="E1297" s="3" t="s">
        <v>15</v>
      </c>
      <c r="F1297" s="1" t="s">
        <v>7834</v>
      </c>
      <c r="G1297" s="10"/>
      <c r="H1297" s="10"/>
      <c r="I1297" s="10"/>
      <c r="J1297" s="10"/>
      <c r="K1297" s="10"/>
      <c r="L1297" s="3" t="s">
        <v>2679</v>
      </c>
      <c r="M1297" s="3" t="s">
        <v>2403</v>
      </c>
      <c r="N1297" s="3" t="s">
        <v>2446</v>
      </c>
      <c r="O1297" s="3">
        <v>11</v>
      </c>
      <c r="P1297" s="3">
        <v>101</v>
      </c>
      <c r="Q1297" s="3" t="s">
        <v>2680</v>
      </c>
      <c r="R1297" s="3" t="s">
        <v>2448</v>
      </c>
      <c r="S1297" s="3" t="s">
        <v>2681</v>
      </c>
      <c r="T1297" s="3" t="s">
        <v>21</v>
      </c>
      <c r="U1297" s="11">
        <v>382</v>
      </c>
      <c r="V1297" s="3" t="s">
        <v>2401</v>
      </c>
      <c r="W1297" s="8" t="s">
        <v>7834</v>
      </c>
    </row>
    <row r="1298" spans="1:23" x14ac:dyDescent="0.25">
      <c r="A1298" s="2">
        <v>620</v>
      </c>
      <c r="B1298" s="3" t="s">
        <v>2401</v>
      </c>
      <c r="C1298" s="3">
        <v>2024</v>
      </c>
      <c r="D1298" s="3" t="s">
        <v>742</v>
      </c>
      <c r="E1298" s="3" t="s">
        <v>15</v>
      </c>
      <c r="F1298" s="1" t="s">
        <v>7834</v>
      </c>
      <c r="G1298" s="10"/>
      <c r="H1298" s="10"/>
      <c r="I1298" s="10"/>
      <c r="J1298" s="10"/>
      <c r="K1298" s="10"/>
      <c r="L1298" s="3" t="s">
        <v>2682</v>
      </c>
      <c r="M1298" s="3" t="s">
        <v>2403</v>
      </c>
      <c r="N1298" s="3" t="s">
        <v>2433</v>
      </c>
      <c r="O1298" s="3">
        <v>110</v>
      </c>
      <c r="P1298" s="3">
        <v>2024</v>
      </c>
      <c r="Q1298" s="3">
        <v>52009</v>
      </c>
      <c r="R1298" s="3" t="s">
        <v>2435</v>
      </c>
      <c r="S1298" s="3" t="s">
        <v>2683</v>
      </c>
      <c r="T1298" s="3" t="s">
        <v>21</v>
      </c>
      <c r="U1298" s="11">
        <v>383</v>
      </c>
      <c r="V1298" s="3" t="s">
        <v>2401</v>
      </c>
      <c r="W1298" s="8" t="s">
        <v>7834</v>
      </c>
    </row>
    <row r="1299" spans="1:23" x14ac:dyDescent="0.25">
      <c r="A1299" s="2">
        <v>621</v>
      </c>
      <c r="B1299" s="3" t="s">
        <v>2401</v>
      </c>
      <c r="C1299" s="3">
        <v>2024</v>
      </c>
      <c r="D1299" s="3" t="s">
        <v>502</v>
      </c>
      <c r="E1299" s="3" t="s">
        <v>15</v>
      </c>
      <c r="F1299" s="1" t="s">
        <v>7834</v>
      </c>
      <c r="G1299" s="10"/>
      <c r="H1299" s="10"/>
      <c r="I1299" s="10"/>
      <c r="J1299" s="10"/>
      <c r="K1299" s="10"/>
      <c r="L1299" s="3" t="s">
        <v>2684</v>
      </c>
      <c r="M1299" s="3" t="s">
        <v>2416</v>
      </c>
      <c r="N1299" s="3" t="s">
        <v>2446</v>
      </c>
      <c r="O1299" s="3">
        <v>8</v>
      </c>
      <c r="P1299" s="3">
        <v>2024</v>
      </c>
      <c r="Q1299" s="3">
        <v>164</v>
      </c>
      <c r="R1299" s="3" t="s">
        <v>2448</v>
      </c>
      <c r="S1299" s="3" t="s">
        <v>2685</v>
      </c>
      <c r="T1299" s="3" t="s">
        <v>21</v>
      </c>
      <c r="U1299" s="11">
        <v>384</v>
      </c>
      <c r="V1299" s="3" t="s">
        <v>2401</v>
      </c>
      <c r="W1299" s="8" t="s">
        <v>7834</v>
      </c>
    </row>
    <row r="1300" spans="1:23" x14ac:dyDescent="0.25">
      <c r="A1300" s="2">
        <v>622</v>
      </c>
      <c r="B1300" s="3" t="s">
        <v>2401</v>
      </c>
      <c r="C1300" s="3">
        <v>2024</v>
      </c>
      <c r="D1300" s="3" t="s">
        <v>2686</v>
      </c>
      <c r="E1300" s="3" t="s">
        <v>15</v>
      </c>
      <c r="F1300" s="1" t="s">
        <v>7834</v>
      </c>
      <c r="G1300" s="10"/>
      <c r="H1300" s="10"/>
      <c r="I1300" s="10"/>
      <c r="J1300" s="10"/>
      <c r="K1300" s="10"/>
      <c r="L1300" s="3" t="s">
        <v>2687</v>
      </c>
      <c r="M1300" s="3" t="s">
        <v>2416</v>
      </c>
      <c r="N1300" s="3" t="s">
        <v>2433</v>
      </c>
      <c r="O1300" s="3">
        <v>110</v>
      </c>
      <c r="P1300" s="3"/>
      <c r="Q1300" s="3">
        <v>32012</v>
      </c>
      <c r="R1300" s="3" t="s">
        <v>2435</v>
      </c>
      <c r="S1300" s="3" t="s">
        <v>2688</v>
      </c>
      <c r="T1300" s="3" t="s">
        <v>21</v>
      </c>
      <c r="U1300" s="11">
        <v>385</v>
      </c>
      <c r="V1300" s="3" t="s">
        <v>2401</v>
      </c>
      <c r="W1300" s="8" t="s">
        <v>7834</v>
      </c>
    </row>
    <row r="1301" spans="1:23" x14ac:dyDescent="0.25">
      <c r="A1301" s="2">
        <v>623</v>
      </c>
      <c r="B1301" s="3" t="s">
        <v>2401</v>
      </c>
      <c r="C1301" s="3">
        <v>2024</v>
      </c>
      <c r="D1301" s="3" t="s">
        <v>2689</v>
      </c>
      <c r="E1301" s="3" t="s">
        <v>15</v>
      </c>
      <c r="F1301" s="1" t="s">
        <v>7834</v>
      </c>
      <c r="G1301" s="10"/>
      <c r="H1301" s="10"/>
      <c r="I1301" s="10"/>
      <c r="J1301" s="10"/>
      <c r="K1301" s="10"/>
      <c r="L1301" s="3" t="s">
        <v>2690</v>
      </c>
      <c r="M1301" s="3" t="s">
        <v>2416</v>
      </c>
      <c r="N1301" s="3" t="s">
        <v>2421</v>
      </c>
      <c r="O1301" s="3">
        <v>84</v>
      </c>
      <c r="P1301" s="3">
        <v>1126</v>
      </c>
      <c r="Q1301" s="3">
        <v>1.6</v>
      </c>
      <c r="R1301" s="3" t="s">
        <v>2423</v>
      </c>
      <c r="S1301" s="3" t="s">
        <v>2691</v>
      </c>
      <c r="T1301" s="3" t="s">
        <v>21</v>
      </c>
      <c r="U1301" s="11">
        <v>386</v>
      </c>
      <c r="V1301" s="3" t="s">
        <v>2401</v>
      </c>
      <c r="W1301" s="8" t="s">
        <v>7834</v>
      </c>
    </row>
    <row r="1302" spans="1:23" x14ac:dyDescent="0.25">
      <c r="A1302" s="2">
        <v>624</v>
      </c>
      <c r="B1302" s="3" t="s">
        <v>2401</v>
      </c>
      <c r="C1302" s="3">
        <v>2024</v>
      </c>
      <c r="D1302" s="3" t="s">
        <v>349</v>
      </c>
      <c r="E1302" s="3" t="s">
        <v>15</v>
      </c>
      <c r="F1302" s="1" t="s">
        <v>7834</v>
      </c>
      <c r="G1302" s="10"/>
      <c r="H1302" s="10"/>
      <c r="I1302" s="10"/>
      <c r="J1302" s="10"/>
      <c r="K1302" s="10"/>
      <c r="L1302" s="3" t="s">
        <v>2692</v>
      </c>
      <c r="M1302" s="3" t="s">
        <v>2403</v>
      </c>
      <c r="N1302" s="3" t="s">
        <v>2693</v>
      </c>
      <c r="O1302" s="3">
        <v>11</v>
      </c>
      <c r="P1302" s="3">
        <v>1</v>
      </c>
      <c r="Q1302" s="3">
        <v>1.53</v>
      </c>
      <c r="R1302" s="3" t="s">
        <v>2694</v>
      </c>
      <c r="S1302" s="3" t="s">
        <v>2695</v>
      </c>
      <c r="T1302" s="3" t="s">
        <v>21</v>
      </c>
      <c r="U1302" s="11">
        <v>387</v>
      </c>
      <c r="V1302" s="3" t="s">
        <v>2401</v>
      </c>
      <c r="W1302" s="8" t="s">
        <v>7834</v>
      </c>
    </row>
    <row r="1303" spans="1:23" x14ac:dyDescent="0.25">
      <c r="A1303" s="2">
        <v>625</v>
      </c>
      <c r="B1303" s="3" t="s">
        <v>2401</v>
      </c>
      <c r="C1303" s="3">
        <v>2024</v>
      </c>
      <c r="D1303" s="3" t="s">
        <v>2425</v>
      </c>
      <c r="E1303" s="3" t="s">
        <v>15</v>
      </c>
      <c r="F1303" s="1" t="s">
        <v>7834</v>
      </c>
      <c r="G1303" s="10"/>
      <c r="H1303" s="10"/>
      <c r="I1303" s="10"/>
      <c r="J1303" s="10"/>
      <c r="K1303" s="10"/>
      <c r="L1303" s="3" t="s">
        <v>2696</v>
      </c>
      <c r="M1303" s="3" t="s">
        <v>2416</v>
      </c>
      <c r="N1303" s="3" t="s">
        <v>2451</v>
      </c>
      <c r="O1303" s="3">
        <v>856</v>
      </c>
      <c r="P1303" s="3">
        <v>138938</v>
      </c>
      <c r="Q1303" s="3">
        <v>1.24</v>
      </c>
      <c r="R1303" s="3" t="s">
        <v>2452</v>
      </c>
      <c r="S1303" s="3" t="s">
        <v>2697</v>
      </c>
      <c r="T1303" s="3" t="s">
        <v>21</v>
      </c>
      <c r="U1303" s="11">
        <v>388</v>
      </c>
      <c r="V1303" s="3" t="s">
        <v>2401</v>
      </c>
      <c r="W1303" s="8" t="s">
        <v>7834</v>
      </c>
    </row>
    <row r="1304" spans="1:23" x14ac:dyDescent="0.25">
      <c r="A1304" s="2">
        <v>626</v>
      </c>
      <c r="B1304" s="3" t="s">
        <v>2401</v>
      </c>
      <c r="C1304" s="3">
        <v>2024</v>
      </c>
      <c r="D1304" s="3" t="s">
        <v>508</v>
      </c>
      <c r="E1304" s="3" t="s">
        <v>15</v>
      </c>
      <c r="F1304" s="1" t="s">
        <v>7834</v>
      </c>
      <c r="G1304" s="10"/>
      <c r="H1304" s="10"/>
      <c r="I1304" s="10"/>
      <c r="J1304" s="10"/>
      <c r="K1304" s="10"/>
      <c r="L1304" s="3" t="s">
        <v>2696</v>
      </c>
      <c r="M1304" s="3" t="s">
        <v>2403</v>
      </c>
      <c r="N1304" s="3" t="s">
        <v>2451</v>
      </c>
      <c r="O1304" s="3">
        <v>856</v>
      </c>
      <c r="P1304" s="3">
        <v>138938</v>
      </c>
      <c r="Q1304" s="3">
        <v>1.24</v>
      </c>
      <c r="R1304" s="3" t="s">
        <v>2452</v>
      </c>
      <c r="S1304" s="3" t="s">
        <v>2697</v>
      </c>
      <c r="T1304" s="3" t="s">
        <v>21</v>
      </c>
      <c r="U1304" s="11">
        <v>389</v>
      </c>
      <c r="V1304" s="3" t="s">
        <v>2401</v>
      </c>
      <c r="W1304" s="8" t="s">
        <v>7834</v>
      </c>
    </row>
    <row r="1305" spans="1:23" x14ac:dyDescent="0.25">
      <c r="A1305" s="2">
        <v>627</v>
      </c>
      <c r="B1305" s="3" t="s">
        <v>2401</v>
      </c>
      <c r="C1305" s="3">
        <v>2024</v>
      </c>
      <c r="D1305" s="3" t="s">
        <v>2698</v>
      </c>
      <c r="E1305" s="3" t="s">
        <v>15</v>
      </c>
      <c r="F1305" s="1" t="s">
        <v>7834</v>
      </c>
      <c r="G1305" s="10"/>
      <c r="H1305" s="10"/>
      <c r="I1305" s="10"/>
      <c r="J1305" s="10"/>
      <c r="K1305" s="10"/>
      <c r="L1305" s="3" t="s">
        <v>2699</v>
      </c>
      <c r="M1305" s="3" t="s">
        <v>2502</v>
      </c>
      <c r="N1305" s="3" t="s">
        <v>2421</v>
      </c>
      <c r="O1305" s="3">
        <v>84</v>
      </c>
      <c r="P1305" s="3">
        <v>757</v>
      </c>
      <c r="Q1305" s="3">
        <v>1.42</v>
      </c>
      <c r="R1305" s="3" t="s">
        <v>2423</v>
      </c>
      <c r="S1305" s="3" t="s">
        <v>2700</v>
      </c>
      <c r="T1305" s="3" t="s">
        <v>21</v>
      </c>
      <c r="U1305" s="11">
        <v>390</v>
      </c>
      <c r="V1305" s="3" t="s">
        <v>2401</v>
      </c>
      <c r="W1305" s="8" t="s">
        <v>7834</v>
      </c>
    </row>
    <row r="1306" spans="1:23" x14ac:dyDescent="0.25">
      <c r="A1306" s="2">
        <v>628</v>
      </c>
      <c r="B1306" s="3" t="s">
        <v>2401</v>
      </c>
      <c r="C1306" s="3">
        <v>2024</v>
      </c>
      <c r="D1306" s="3" t="s">
        <v>2701</v>
      </c>
      <c r="E1306" s="3" t="s">
        <v>15</v>
      </c>
      <c r="F1306" s="1" t="s">
        <v>7834</v>
      </c>
      <c r="G1306" s="10"/>
      <c r="H1306" s="10"/>
      <c r="I1306" s="10"/>
      <c r="J1306" s="10"/>
      <c r="K1306" s="10"/>
      <c r="L1306" s="3" t="s">
        <v>2702</v>
      </c>
      <c r="M1306" s="3" t="s">
        <v>2416</v>
      </c>
      <c r="N1306" s="3" t="s">
        <v>2421</v>
      </c>
      <c r="O1306" s="3">
        <v>84</v>
      </c>
      <c r="P1306" s="3">
        <v>984</v>
      </c>
      <c r="Q1306" s="3" t="s">
        <v>2439</v>
      </c>
      <c r="R1306" s="3" t="s">
        <v>2423</v>
      </c>
      <c r="S1306" s="3" t="s">
        <v>2703</v>
      </c>
      <c r="T1306" s="3" t="s">
        <v>21</v>
      </c>
      <c r="U1306" s="11">
        <v>391</v>
      </c>
      <c r="V1306" s="3" t="s">
        <v>2401</v>
      </c>
      <c r="W1306" s="8" t="s">
        <v>7834</v>
      </c>
    </row>
    <row r="1307" spans="1:23" x14ac:dyDescent="0.25">
      <c r="A1307" s="2">
        <v>629</v>
      </c>
      <c r="B1307" s="3" t="s">
        <v>2401</v>
      </c>
      <c r="C1307" s="3">
        <v>2024</v>
      </c>
      <c r="D1307" s="3" t="s">
        <v>713</v>
      </c>
      <c r="E1307" s="3" t="s">
        <v>15</v>
      </c>
      <c r="F1307" s="1" t="s">
        <v>7834</v>
      </c>
      <c r="G1307" s="10"/>
      <c r="H1307" s="10"/>
      <c r="I1307" s="10"/>
      <c r="J1307" s="10"/>
      <c r="K1307" s="10"/>
      <c r="L1307" s="3" t="s">
        <v>2704</v>
      </c>
      <c r="M1307" s="3" t="s">
        <v>2705</v>
      </c>
      <c r="N1307" s="3" t="s">
        <v>2446</v>
      </c>
      <c r="O1307" s="3">
        <v>6</v>
      </c>
      <c r="P1307" s="3">
        <v>192</v>
      </c>
      <c r="Q1307" s="3">
        <v>1.55</v>
      </c>
      <c r="R1307" s="3" t="s">
        <v>2448</v>
      </c>
      <c r="S1307" s="3" t="s">
        <v>2706</v>
      </c>
      <c r="T1307" s="3" t="s">
        <v>21</v>
      </c>
      <c r="U1307" s="11">
        <v>392</v>
      </c>
      <c r="V1307" s="3" t="s">
        <v>2401</v>
      </c>
      <c r="W1307" s="8" t="s">
        <v>7834</v>
      </c>
    </row>
    <row r="1308" spans="1:23" x14ac:dyDescent="0.25">
      <c r="A1308" s="2">
        <v>630</v>
      </c>
      <c r="B1308" s="3" t="s">
        <v>2401</v>
      </c>
      <c r="C1308" s="3">
        <v>2024</v>
      </c>
      <c r="D1308" s="3" t="s">
        <v>2673</v>
      </c>
      <c r="E1308" s="3" t="s">
        <v>15</v>
      </c>
      <c r="F1308" s="1" t="s">
        <v>7834</v>
      </c>
      <c r="G1308" s="10"/>
      <c r="H1308" s="10"/>
      <c r="I1308" s="10"/>
      <c r="J1308" s="10"/>
      <c r="K1308" s="10"/>
      <c r="L1308" s="3" t="s">
        <v>2707</v>
      </c>
      <c r="M1308" s="3" t="s">
        <v>2416</v>
      </c>
      <c r="N1308" s="3" t="s">
        <v>2433</v>
      </c>
      <c r="O1308" s="3">
        <v>110</v>
      </c>
      <c r="P1308" s="3">
        <v>32002</v>
      </c>
      <c r="Q1308" s="3" t="s">
        <v>2464</v>
      </c>
      <c r="R1308" s="3" t="s">
        <v>2435</v>
      </c>
      <c r="S1308" s="3" t="s">
        <v>2708</v>
      </c>
      <c r="T1308" s="3" t="s">
        <v>21</v>
      </c>
      <c r="U1308" s="11">
        <v>393</v>
      </c>
      <c r="V1308" s="3" t="s">
        <v>2401</v>
      </c>
      <c r="W1308" s="8" t="s">
        <v>7834</v>
      </c>
    </row>
    <row r="1309" spans="1:23" x14ac:dyDescent="0.25">
      <c r="A1309" s="2">
        <v>631</v>
      </c>
      <c r="B1309" s="3" t="s">
        <v>2401</v>
      </c>
      <c r="C1309" s="3">
        <v>2024</v>
      </c>
      <c r="D1309" s="3" t="s">
        <v>2535</v>
      </c>
      <c r="E1309" s="3" t="s">
        <v>15</v>
      </c>
      <c r="F1309" s="1" t="s">
        <v>7834</v>
      </c>
      <c r="G1309" s="10"/>
      <c r="H1309" s="10"/>
      <c r="I1309" s="10"/>
      <c r="J1309" s="10"/>
      <c r="K1309" s="10"/>
      <c r="L1309" s="3" t="s">
        <v>2709</v>
      </c>
      <c r="M1309" s="3" t="s">
        <v>2403</v>
      </c>
      <c r="N1309" s="3" t="s">
        <v>2451</v>
      </c>
      <c r="O1309" s="3">
        <v>854</v>
      </c>
      <c r="P1309" s="3">
        <v>38725</v>
      </c>
      <c r="Q1309" s="3" t="s">
        <v>2710</v>
      </c>
      <c r="R1309" s="3" t="s">
        <v>2452</v>
      </c>
      <c r="S1309" s="3" t="s">
        <v>2711</v>
      </c>
      <c r="T1309" s="3" t="s">
        <v>21</v>
      </c>
      <c r="U1309" s="11">
        <v>394</v>
      </c>
      <c r="V1309" s="3" t="s">
        <v>2401</v>
      </c>
      <c r="W1309" s="8" t="s">
        <v>7834</v>
      </c>
    </row>
    <row r="1310" spans="1:23" x14ac:dyDescent="0.25">
      <c r="A1310" s="2">
        <v>632</v>
      </c>
      <c r="B1310" s="3" t="s">
        <v>2401</v>
      </c>
      <c r="C1310" s="3">
        <v>2024</v>
      </c>
      <c r="D1310" s="3" t="s">
        <v>2712</v>
      </c>
      <c r="E1310" s="3" t="s">
        <v>15</v>
      </c>
      <c r="F1310" s="1" t="s">
        <v>7834</v>
      </c>
      <c r="G1310" s="10"/>
      <c r="H1310" s="10"/>
      <c r="I1310" s="10"/>
      <c r="J1310" s="10"/>
      <c r="K1310" s="10"/>
      <c r="L1310" s="3" t="s">
        <v>2713</v>
      </c>
      <c r="M1310" s="3" t="s">
        <v>2416</v>
      </c>
      <c r="N1310" s="3" t="s">
        <v>2446</v>
      </c>
      <c r="O1310" s="3">
        <v>4</v>
      </c>
      <c r="P1310" s="3">
        <v>118</v>
      </c>
      <c r="Q1310" s="3" t="s">
        <v>2714</v>
      </c>
      <c r="R1310" s="3" t="s">
        <v>2448</v>
      </c>
      <c r="S1310" s="3" t="s">
        <v>2715</v>
      </c>
      <c r="T1310" s="3" t="s">
        <v>21</v>
      </c>
      <c r="U1310" s="11">
        <v>395</v>
      </c>
      <c r="V1310" s="3" t="s">
        <v>2401</v>
      </c>
      <c r="W1310" s="8" t="s">
        <v>7834</v>
      </c>
    </row>
    <row r="1311" spans="1:23" x14ac:dyDescent="0.25">
      <c r="A1311" s="2">
        <v>633</v>
      </c>
      <c r="B1311" s="3" t="s">
        <v>2401</v>
      </c>
      <c r="C1311" s="3">
        <v>2024</v>
      </c>
      <c r="D1311" s="3" t="s">
        <v>186</v>
      </c>
      <c r="E1311" s="3" t="s">
        <v>15</v>
      </c>
      <c r="F1311" s="1" t="s">
        <v>7834</v>
      </c>
      <c r="G1311" s="10"/>
      <c r="H1311" s="10"/>
      <c r="I1311" s="10"/>
      <c r="J1311" s="10"/>
      <c r="K1311" s="10"/>
      <c r="L1311" s="3" t="s">
        <v>2716</v>
      </c>
      <c r="M1311" s="3" t="s">
        <v>2416</v>
      </c>
      <c r="N1311" s="3" t="s">
        <v>2410</v>
      </c>
      <c r="O1311" s="3">
        <v>133</v>
      </c>
      <c r="P1311" s="3">
        <v>31802</v>
      </c>
      <c r="Q1311" s="3" t="s">
        <v>2717</v>
      </c>
      <c r="R1311" s="3" t="s">
        <v>2412</v>
      </c>
      <c r="S1311" s="3" t="s">
        <v>2718</v>
      </c>
      <c r="T1311" s="3" t="s">
        <v>21</v>
      </c>
      <c r="U1311" s="11">
        <v>396</v>
      </c>
      <c r="V1311" s="3" t="s">
        <v>2401</v>
      </c>
      <c r="W1311" s="8" t="s">
        <v>7834</v>
      </c>
    </row>
    <row r="1312" spans="1:23" x14ac:dyDescent="0.25">
      <c r="A1312" s="2">
        <v>634</v>
      </c>
      <c r="B1312" s="3" t="s">
        <v>2401</v>
      </c>
      <c r="C1312" s="3">
        <v>2024</v>
      </c>
      <c r="D1312" s="3" t="s">
        <v>713</v>
      </c>
      <c r="E1312" s="3" t="s">
        <v>15</v>
      </c>
      <c r="F1312" s="1" t="s">
        <v>7834</v>
      </c>
      <c r="G1312" s="10"/>
      <c r="H1312" s="10"/>
      <c r="I1312" s="10"/>
      <c r="J1312" s="10"/>
      <c r="K1312" s="10"/>
      <c r="L1312" s="3" t="s">
        <v>2719</v>
      </c>
      <c r="M1312" s="3" t="s">
        <v>2403</v>
      </c>
      <c r="N1312" s="3" t="s">
        <v>2410</v>
      </c>
      <c r="O1312" s="3">
        <v>132</v>
      </c>
      <c r="P1312" s="3">
        <v>261902</v>
      </c>
      <c r="Q1312" s="3" t="s">
        <v>2720</v>
      </c>
      <c r="R1312" s="3" t="s">
        <v>2412</v>
      </c>
      <c r="S1312" s="3" t="s">
        <v>2721</v>
      </c>
      <c r="T1312" s="3" t="s">
        <v>21</v>
      </c>
      <c r="U1312" s="11">
        <v>397</v>
      </c>
      <c r="V1312" s="3" t="s">
        <v>2401</v>
      </c>
      <c r="W1312" s="8" t="s">
        <v>7834</v>
      </c>
    </row>
    <row r="1313" spans="1:23" x14ac:dyDescent="0.25">
      <c r="A1313" s="2">
        <v>635</v>
      </c>
      <c r="B1313" s="3" t="s">
        <v>2401</v>
      </c>
      <c r="C1313" s="3">
        <v>2024</v>
      </c>
      <c r="D1313" s="3" t="s">
        <v>2535</v>
      </c>
      <c r="E1313" s="3" t="s">
        <v>15</v>
      </c>
      <c r="F1313" s="1" t="s">
        <v>7834</v>
      </c>
      <c r="G1313" s="10"/>
      <c r="H1313" s="10"/>
      <c r="I1313" s="10"/>
      <c r="J1313" s="10"/>
      <c r="K1313" s="10"/>
      <c r="L1313" s="3" t="s">
        <v>2722</v>
      </c>
      <c r="M1313" s="3" t="s">
        <v>2403</v>
      </c>
      <c r="N1313" s="3" t="s">
        <v>2451</v>
      </c>
      <c r="O1313" s="3">
        <v>854</v>
      </c>
      <c r="P1313" s="3">
        <v>138743</v>
      </c>
      <c r="Q1313" s="3" t="s">
        <v>2456</v>
      </c>
      <c r="R1313" s="3" t="s">
        <v>2452</v>
      </c>
      <c r="S1313" s="3" t="s">
        <v>2723</v>
      </c>
      <c r="T1313" s="3" t="s">
        <v>21</v>
      </c>
      <c r="U1313" s="11">
        <v>398</v>
      </c>
      <c r="V1313" s="3" t="s">
        <v>2401</v>
      </c>
      <c r="W1313" s="8" t="s">
        <v>7834</v>
      </c>
    </row>
    <row r="1314" spans="1:23" x14ac:dyDescent="0.25">
      <c r="A1314" s="2">
        <v>636</v>
      </c>
      <c r="B1314" s="3" t="s">
        <v>2401</v>
      </c>
      <c r="C1314" s="3">
        <v>2024</v>
      </c>
      <c r="D1314" s="3" t="s">
        <v>1872</v>
      </c>
      <c r="E1314" s="3" t="s">
        <v>15</v>
      </c>
      <c r="F1314" s="1" t="s">
        <v>7834</v>
      </c>
      <c r="G1314" s="10"/>
      <c r="H1314" s="10"/>
      <c r="I1314" s="10"/>
      <c r="J1314" s="10"/>
      <c r="K1314" s="10"/>
      <c r="L1314" s="3" t="s">
        <v>2724</v>
      </c>
      <c r="M1314" s="3" t="s">
        <v>2403</v>
      </c>
      <c r="N1314" s="3" t="s">
        <v>2446</v>
      </c>
      <c r="O1314" s="3">
        <v>5</v>
      </c>
      <c r="P1314" s="3">
        <v>3</v>
      </c>
      <c r="Q1314" s="3" t="s">
        <v>2725</v>
      </c>
      <c r="R1314" s="3" t="s">
        <v>2448</v>
      </c>
      <c r="S1314" s="3" t="s">
        <v>2726</v>
      </c>
      <c r="T1314" s="3" t="s">
        <v>21</v>
      </c>
      <c r="U1314" s="11">
        <v>399</v>
      </c>
      <c r="V1314" s="3" t="s">
        <v>2401</v>
      </c>
      <c r="W1314" s="8" t="s">
        <v>7834</v>
      </c>
    </row>
    <row r="1315" spans="1:23" x14ac:dyDescent="0.25">
      <c r="A1315" s="2">
        <v>637</v>
      </c>
      <c r="B1315" s="3" t="s">
        <v>2401</v>
      </c>
      <c r="C1315" s="3">
        <v>2024</v>
      </c>
      <c r="D1315" s="3" t="s">
        <v>438</v>
      </c>
      <c r="E1315" s="3" t="s">
        <v>15</v>
      </c>
      <c r="F1315" s="1" t="s">
        <v>7834</v>
      </c>
      <c r="G1315" s="10"/>
      <c r="H1315" s="10"/>
      <c r="I1315" s="10"/>
      <c r="J1315" s="10"/>
      <c r="K1315" s="10"/>
      <c r="L1315" s="3" t="s">
        <v>2727</v>
      </c>
      <c r="M1315" s="3" t="s">
        <v>2416</v>
      </c>
      <c r="N1315" s="3" t="s">
        <v>2410</v>
      </c>
      <c r="O1315" s="3">
        <v>133</v>
      </c>
      <c r="P1315" s="3">
        <v>101802</v>
      </c>
      <c r="Q1315" s="3" t="s">
        <v>2481</v>
      </c>
      <c r="R1315" s="3" t="s">
        <v>2412</v>
      </c>
      <c r="S1315" s="3" t="s">
        <v>2728</v>
      </c>
      <c r="T1315" s="3" t="s">
        <v>21</v>
      </c>
      <c r="U1315" s="11">
        <v>400</v>
      </c>
      <c r="V1315" s="3" t="s">
        <v>2401</v>
      </c>
      <c r="W1315" s="8" t="s">
        <v>7834</v>
      </c>
    </row>
    <row r="1316" spans="1:23" x14ac:dyDescent="0.25">
      <c r="A1316" s="2">
        <v>638</v>
      </c>
      <c r="B1316" s="3" t="s">
        <v>2401</v>
      </c>
      <c r="C1316" s="3">
        <v>2024</v>
      </c>
      <c r="D1316" s="3" t="s">
        <v>1542</v>
      </c>
      <c r="E1316" s="3" t="s">
        <v>15</v>
      </c>
      <c r="F1316" s="1" t="s">
        <v>7834</v>
      </c>
      <c r="G1316" s="10"/>
      <c r="H1316" s="10"/>
      <c r="I1316" s="10"/>
      <c r="J1316" s="10"/>
      <c r="K1316" s="10"/>
      <c r="L1316" s="3" t="s">
        <v>2729</v>
      </c>
      <c r="M1316" s="3" t="s">
        <v>2403</v>
      </c>
      <c r="N1316" s="3" t="s">
        <v>2451</v>
      </c>
      <c r="O1316" s="3">
        <v>859</v>
      </c>
      <c r="P1316" s="3">
        <v>139090</v>
      </c>
      <c r="Q1316" s="3" t="s">
        <v>2481</v>
      </c>
      <c r="R1316" s="3" t="s">
        <v>2452</v>
      </c>
      <c r="S1316" s="3" t="s">
        <v>2730</v>
      </c>
      <c r="T1316" s="3" t="s">
        <v>21</v>
      </c>
      <c r="U1316" s="11">
        <v>401</v>
      </c>
      <c r="V1316" s="3" t="s">
        <v>2401</v>
      </c>
      <c r="W1316" s="8" t="s">
        <v>7834</v>
      </c>
    </row>
    <row r="1317" spans="1:23" x14ac:dyDescent="0.25">
      <c r="A1317" s="2">
        <v>639</v>
      </c>
      <c r="B1317" s="3" t="s">
        <v>2401</v>
      </c>
      <c r="C1317" s="3">
        <v>2024</v>
      </c>
      <c r="D1317" s="3" t="s">
        <v>1459</v>
      </c>
      <c r="E1317" s="3" t="s">
        <v>15</v>
      </c>
      <c r="F1317" s="1" t="s">
        <v>7834</v>
      </c>
      <c r="G1317" s="10"/>
      <c r="H1317" s="10"/>
      <c r="I1317" s="10"/>
      <c r="J1317" s="10"/>
      <c r="K1317" s="10"/>
      <c r="L1317" s="3" t="s">
        <v>2731</v>
      </c>
      <c r="M1317" s="3" t="s">
        <v>2732</v>
      </c>
      <c r="N1317" s="3" t="s">
        <v>2733</v>
      </c>
      <c r="O1317" s="3">
        <v>450</v>
      </c>
      <c r="P1317" s="3">
        <v>164</v>
      </c>
      <c r="Q1317" s="3">
        <v>1</v>
      </c>
      <c r="R1317" s="3">
        <v>0</v>
      </c>
      <c r="S1317" s="3" t="s">
        <v>2734</v>
      </c>
      <c r="T1317" s="3" t="s">
        <v>21</v>
      </c>
      <c r="U1317" s="11">
        <v>402</v>
      </c>
      <c r="V1317" s="3" t="s">
        <v>2401</v>
      </c>
      <c r="W1317" s="8" t="s">
        <v>7834</v>
      </c>
    </row>
    <row r="1318" spans="1:23" x14ac:dyDescent="0.25">
      <c r="A1318" s="2">
        <v>640</v>
      </c>
      <c r="B1318" s="3" t="s">
        <v>2401</v>
      </c>
      <c r="C1318" s="3">
        <v>2024</v>
      </c>
      <c r="D1318" s="3" t="s">
        <v>38</v>
      </c>
      <c r="E1318" s="3" t="s">
        <v>15</v>
      </c>
      <c r="F1318" s="1" t="s">
        <v>7834</v>
      </c>
      <c r="G1318" s="10"/>
      <c r="H1318" s="10"/>
      <c r="I1318" s="10"/>
      <c r="J1318" s="10"/>
      <c r="K1318" s="10"/>
      <c r="L1318" s="3" t="s">
        <v>2735</v>
      </c>
      <c r="M1318" s="3" t="s">
        <v>2705</v>
      </c>
      <c r="N1318" s="3" t="s">
        <v>2427</v>
      </c>
      <c r="O1318" s="3">
        <v>48</v>
      </c>
      <c r="P1318" s="3">
        <v>2</v>
      </c>
      <c r="Q1318" s="3">
        <v>23001</v>
      </c>
      <c r="R1318" s="3">
        <v>23001</v>
      </c>
      <c r="S1318" s="3" t="s">
        <v>2430</v>
      </c>
      <c r="T1318" s="3" t="s">
        <v>21</v>
      </c>
      <c r="U1318" s="11">
        <v>403</v>
      </c>
      <c r="V1318" s="3" t="s">
        <v>2401</v>
      </c>
      <c r="W1318" s="8" t="s">
        <v>7834</v>
      </c>
    </row>
    <row r="1319" spans="1:23" x14ac:dyDescent="0.25">
      <c r="A1319" s="2">
        <v>641</v>
      </c>
      <c r="B1319" s="3" t="s">
        <v>2401</v>
      </c>
      <c r="C1319" s="3">
        <v>2024</v>
      </c>
      <c r="D1319" s="3" t="s">
        <v>2577</v>
      </c>
      <c r="E1319" s="3" t="s">
        <v>15</v>
      </c>
      <c r="F1319" s="1" t="s">
        <v>7834</v>
      </c>
      <c r="G1319" s="10"/>
      <c r="H1319" s="10"/>
      <c r="I1319" s="10"/>
      <c r="J1319" s="10"/>
      <c r="K1319" s="10"/>
      <c r="L1319" s="3" t="s">
        <v>2437</v>
      </c>
      <c r="M1319" s="3" t="s">
        <v>2705</v>
      </c>
      <c r="N1319" s="3" t="s">
        <v>2438</v>
      </c>
      <c r="O1319" s="3">
        <v>8</v>
      </c>
      <c r="P1319" s="3">
        <v>7</v>
      </c>
      <c r="Q1319" s="3">
        <v>2024</v>
      </c>
      <c r="R1319" s="3">
        <v>0</v>
      </c>
      <c r="S1319" s="3" t="s">
        <v>2441</v>
      </c>
      <c r="T1319" s="3" t="s">
        <v>21</v>
      </c>
      <c r="U1319" s="11">
        <v>404</v>
      </c>
      <c r="V1319" s="3" t="s">
        <v>2401</v>
      </c>
      <c r="W1319" s="8" t="s">
        <v>7834</v>
      </c>
    </row>
    <row r="1320" spans="1:23" x14ac:dyDescent="0.25">
      <c r="A1320" s="2">
        <v>643</v>
      </c>
      <c r="B1320" s="3" t="s">
        <v>2401</v>
      </c>
      <c r="C1320" s="3">
        <v>2024</v>
      </c>
      <c r="D1320" s="3" t="s">
        <v>2740</v>
      </c>
      <c r="E1320" s="3" t="s">
        <v>15</v>
      </c>
      <c r="F1320" s="1" t="s">
        <v>7834</v>
      </c>
      <c r="G1320" s="10"/>
      <c r="H1320" s="10"/>
      <c r="I1320" s="10"/>
      <c r="J1320" s="10"/>
      <c r="K1320" s="10"/>
      <c r="L1320" s="3" t="s">
        <v>2741</v>
      </c>
      <c r="M1320" s="3" t="s">
        <v>2742</v>
      </c>
      <c r="N1320" s="3" t="s">
        <v>2451</v>
      </c>
      <c r="O1320" s="3">
        <v>849</v>
      </c>
      <c r="P1320" s="3"/>
      <c r="Q1320" s="3">
        <v>138419</v>
      </c>
      <c r="R1320" s="3">
        <v>0</v>
      </c>
      <c r="S1320" s="3" t="s">
        <v>2743</v>
      </c>
      <c r="T1320" s="3" t="s">
        <v>21</v>
      </c>
      <c r="U1320" s="11">
        <v>405</v>
      </c>
      <c r="V1320" s="3" t="s">
        <v>2401</v>
      </c>
      <c r="W1320" s="8" t="s">
        <v>7834</v>
      </c>
    </row>
    <row r="1321" spans="1:23" x14ac:dyDescent="0.25">
      <c r="A1321" s="2">
        <v>645</v>
      </c>
      <c r="B1321" s="3" t="s">
        <v>2401</v>
      </c>
      <c r="C1321" s="3">
        <v>2024</v>
      </c>
      <c r="D1321" s="3" t="s">
        <v>1945</v>
      </c>
      <c r="E1321" s="3" t="s">
        <v>15</v>
      </c>
      <c r="F1321" s="1" t="s">
        <v>7834</v>
      </c>
      <c r="G1321" s="10"/>
      <c r="H1321" s="10"/>
      <c r="I1321" s="10"/>
      <c r="J1321" s="10"/>
      <c r="K1321" s="10"/>
      <c r="L1321" s="3" t="s">
        <v>2746</v>
      </c>
      <c r="M1321" s="3" t="s">
        <v>2403</v>
      </c>
      <c r="N1321" s="3" t="s">
        <v>2747</v>
      </c>
      <c r="O1321" s="3">
        <v>84</v>
      </c>
      <c r="P1321" s="3">
        <v>157</v>
      </c>
      <c r="Q1321" s="3"/>
      <c r="R1321" s="3">
        <v>0</v>
      </c>
      <c r="S1321" s="3" t="s">
        <v>2459</v>
      </c>
      <c r="T1321" s="3" t="s">
        <v>21</v>
      </c>
      <c r="U1321" s="11">
        <v>406</v>
      </c>
      <c r="V1321" s="3" t="s">
        <v>2401</v>
      </c>
      <c r="W1321" s="8" t="s">
        <v>7834</v>
      </c>
    </row>
    <row r="1322" spans="1:23" x14ac:dyDescent="0.25">
      <c r="A1322" s="2">
        <v>646</v>
      </c>
      <c r="B1322" s="3" t="s">
        <v>2401</v>
      </c>
      <c r="C1322" s="3">
        <v>2024</v>
      </c>
      <c r="D1322" s="3" t="s">
        <v>2462</v>
      </c>
      <c r="E1322" s="3" t="s">
        <v>15</v>
      </c>
      <c r="F1322" s="1" t="s">
        <v>7834</v>
      </c>
      <c r="G1322" s="10"/>
      <c r="H1322" s="10"/>
      <c r="I1322" s="10"/>
      <c r="J1322" s="10"/>
      <c r="K1322" s="10"/>
      <c r="L1322" s="3" t="s">
        <v>2463</v>
      </c>
      <c r="M1322" s="3" t="s">
        <v>2403</v>
      </c>
      <c r="N1322" s="3" t="s">
        <v>2747</v>
      </c>
      <c r="O1322" s="3">
        <v>84</v>
      </c>
      <c r="P1322" s="3">
        <v>169</v>
      </c>
      <c r="Q1322" s="3"/>
      <c r="R1322" s="3">
        <v>0</v>
      </c>
      <c r="S1322" s="3" t="s">
        <v>2465</v>
      </c>
      <c r="T1322" s="3" t="s">
        <v>21</v>
      </c>
      <c r="U1322" s="11">
        <v>407</v>
      </c>
      <c r="V1322" s="3" t="s">
        <v>2401</v>
      </c>
      <c r="W1322" s="8" t="s">
        <v>7834</v>
      </c>
    </row>
    <row r="1323" spans="1:23" x14ac:dyDescent="0.25">
      <c r="A1323" s="2">
        <v>647</v>
      </c>
      <c r="B1323" s="3" t="s">
        <v>2401</v>
      </c>
      <c r="C1323" s="3">
        <v>2024</v>
      </c>
      <c r="D1323" s="3" t="s">
        <v>2748</v>
      </c>
      <c r="E1323" s="3" t="s">
        <v>15</v>
      </c>
      <c r="F1323" s="1" t="s">
        <v>7834</v>
      </c>
      <c r="G1323" s="10"/>
      <c r="H1323" s="10"/>
      <c r="I1323" s="10"/>
      <c r="J1323" s="10"/>
      <c r="K1323" s="10"/>
      <c r="L1323" s="3" t="s">
        <v>2749</v>
      </c>
      <c r="M1323" s="3" t="s">
        <v>2403</v>
      </c>
      <c r="N1323" s="3" t="s">
        <v>2747</v>
      </c>
      <c r="O1323" s="3">
        <v>84</v>
      </c>
      <c r="P1323" s="3">
        <v>195</v>
      </c>
      <c r="Q1323" s="3"/>
      <c r="R1323" s="3">
        <v>0</v>
      </c>
      <c r="S1323" s="3" t="s">
        <v>2569</v>
      </c>
      <c r="T1323" s="3" t="s">
        <v>21</v>
      </c>
      <c r="U1323" s="11">
        <v>408</v>
      </c>
      <c r="V1323" s="3" t="s">
        <v>2401</v>
      </c>
      <c r="W1323" s="8" t="s">
        <v>7834</v>
      </c>
    </row>
    <row r="1324" spans="1:23" x14ac:dyDescent="0.25">
      <c r="A1324" s="2">
        <v>648</v>
      </c>
      <c r="B1324" s="3" t="s">
        <v>2401</v>
      </c>
      <c r="C1324" s="3">
        <v>2024</v>
      </c>
      <c r="D1324" s="3" t="s">
        <v>2750</v>
      </c>
      <c r="E1324" s="3" t="s">
        <v>15</v>
      </c>
      <c r="F1324" s="1" t="s">
        <v>7834</v>
      </c>
      <c r="G1324" s="10"/>
      <c r="H1324" s="10"/>
      <c r="I1324" s="10"/>
      <c r="J1324" s="10"/>
      <c r="K1324" s="10"/>
      <c r="L1324" s="3" t="s">
        <v>2751</v>
      </c>
      <c r="M1324" s="3" t="s">
        <v>2403</v>
      </c>
      <c r="N1324" s="3" t="s">
        <v>2747</v>
      </c>
      <c r="O1324" s="3">
        <v>84</v>
      </c>
      <c r="P1324" s="3">
        <v>315</v>
      </c>
      <c r="Q1324" s="3"/>
      <c r="R1324" s="3">
        <v>0</v>
      </c>
      <c r="S1324" s="3" t="s">
        <v>2424</v>
      </c>
      <c r="T1324" s="3" t="s">
        <v>21</v>
      </c>
      <c r="U1324" s="11">
        <v>409</v>
      </c>
      <c r="V1324" s="3" t="s">
        <v>2401</v>
      </c>
      <c r="W1324" s="8" t="s">
        <v>7834</v>
      </c>
    </row>
    <row r="1325" spans="1:23" x14ac:dyDescent="0.25">
      <c r="A1325" s="2">
        <v>649</v>
      </c>
      <c r="B1325" s="3" t="s">
        <v>2401</v>
      </c>
      <c r="C1325" s="3">
        <v>2024</v>
      </c>
      <c r="D1325" s="3" t="s">
        <v>2498</v>
      </c>
      <c r="E1325" s="3" t="s">
        <v>15</v>
      </c>
      <c r="F1325" s="1" t="s">
        <v>7834</v>
      </c>
      <c r="G1325" s="10"/>
      <c r="H1325" s="10"/>
      <c r="I1325" s="10"/>
      <c r="J1325" s="10"/>
      <c r="K1325" s="10"/>
      <c r="L1325" s="3" t="s">
        <v>2528</v>
      </c>
      <c r="M1325" s="3" t="s">
        <v>2403</v>
      </c>
      <c r="N1325" s="3" t="s">
        <v>2747</v>
      </c>
      <c r="O1325" s="3">
        <v>84</v>
      </c>
      <c r="P1325" s="3">
        <v>742</v>
      </c>
      <c r="Q1325" s="3"/>
      <c r="R1325" s="3">
        <v>0</v>
      </c>
      <c r="S1325" s="3" t="s">
        <v>2530</v>
      </c>
      <c r="T1325" s="3" t="s">
        <v>21</v>
      </c>
      <c r="U1325" s="11">
        <v>410</v>
      </c>
      <c r="V1325" s="3" t="s">
        <v>2401</v>
      </c>
      <c r="W1325" s="8" t="s">
        <v>7834</v>
      </c>
    </row>
    <row r="1326" spans="1:23" x14ac:dyDescent="0.25">
      <c r="A1326" s="2">
        <v>650</v>
      </c>
      <c r="B1326" s="3" t="s">
        <v>2401</v>
      </c>
      <c r="C1326" s="3">
        <v>2024</v>
      </c>
      <c r="D1326" s="3" t="s">
        <v>2615</v>
      </c>
      <c r="E1326" s="3" t="s">
        <v>15</v>
      </c>
      <c r="F1326" s="1" t="s">
        <v>7834</v>
      </c>
      <c r="G1326" s="10"/>
      <c r="H1326" s="10"/>
      <c r="I1326" s="10"/>
      <c r="J1326" s="10"/>
      <c r="K1326" s="10"/>
      <c r="L1326" s="3" t="s">
        <v>2752</v>
      </c>
      <c r="M1326" s="3" t="s">
        <v>2403</v>
      </c>
      <c r="N1326" s="3" t="s">
        <v>2747</v>
      </c>
      <c r="O1326" s="3">
        <v>84</v>
      </c>
      <c r="P1326" s="3">
        <v>1064</v>
      </c>
      <c r="Q1326" s="3"/>
      <c r="R1326" s="3">
        <v>0</v>
      </c>
      <c r="S1326" s="3" t="s">
        <v>2617</v>
      </c>
      <c r="T1326" s="3" t="s">
        <v>21</v>
      </c>
      <c r="U1326" s="11">
        <v>411</v>
      </c>
      <c r="V1326" s="3" t="s">
        <v>2401</v>
      </c>
      <c r="W1326" s="8" t="s">
        <v>7834</v>
      </c>
    </row>
    <row r="1327" spans="1:23" x14ac:dyDescent="0.25">
      <c r="A1327" s="2">
        <v>651</v>
      </c>
      <c r="B1327" s="3" t="s">
        <v>2401</v>
      </c>
      <c r="C1327" s="3">
        <v>2024</v>
      </c>
      <c r="D1327" s="3" t="s">
        <v>1450</v>
      </c>
      <c r="E1327" s="3" t="s">
        <v>15</v>
      </c>
      <c r="F1327" s="1" t="s">
        <v>7834</v>
      </c>
      <c r="G1327" s="10"/>
      <c r="H1327" s="10"/>
      <c r="I1327" s="10"/>
      <c r="J1327" s="10"/>
      <c r="K1327" s="10"/>
      <c r="L1327" s="3" t="s">
        <v>2564</v>
      </c>
      <c r="M1327" s="3" t="s">
        <v>2403</v>
      </c>
      <c r="N1327" s="3" t="s">
        <v>2747</v>
      </c>
      <c r="O1327" s="3">
        <v>84</v>
      </c>
      <c r="P1327" s="3">
        <v>455</v>
      </c>
      <c r="Q1327" s="3"/>
      <c r="R1327" s="3">
        <v>0</v>
      </c>
      <c r="S1327" s="3" t="s">
        <v>2566</v>
      </c>
      <c r="T1327" s="3" t="s">
        <v>21</v>
      </c>
      <c r="U1327" s="11">
        <v>412</v>
      </c>
      <c r="V1327" s="3" t="s">
        <v>2401</v>
      </c>
      <c r="W1327" s="8" t="s">
        <v>7834</v>
      </c>
    </row>
    <row r="1328" spans="1:23" x14ac:dyDescent="0.25">
      <c r="A1328" s="2">
        <v>652</v>
      </c>
      <c r="B1328" s="3" t="s">
        <v>2401</v>
      </c>
      <c r="C1328" s="3">
        <v>2024</v>
      </c>
      <c r="D1328" s="3" t="s">
        <v>2701</v>
      </c>
      <c r="E1328" s="3" t="s">
        <v>15</v>
      </c>
      <c r="F1328" s="1" t="s">
        <v>7834</v>
      </c>
      <c r="G1328" s="10"/>
      <c r="H1328" s="10"/>
      <c r="I1328" s="10"/>
      <c r="J1328" s="10"/>
      <c r="K1328" s="10"/>
      <c r="L1328" s="3" t="s">
        <v>2753</v>
      </c>
      <c r="M1328" s="3" t="s">
        <v>2403</v>
      </c>
      <c r="N1328" s="3" t="s">
        <v>2747</v>
      </c>
      <c r="O1328" s="3">
        <v>84</v>
      </c>
      <c r="P1328" s="3">
        <v>984</v>
      </c>
      <c r="Q1328" s="3"/>
      <c r="R1328" s="3">
        <v>0</v>
      </c>
      <c r="S1328" s="3" t="s">
        <v>2703</v>
      </c>
      <c r="T1328" s="3" t="s">
        <v>21</v>
      </c>
      <c r="U1328" s="11">
        <v>413</v>
      </c>
      <c r="V1328" s="3" t="s">
        <v>2401</v>
      </c>
      <c r="W1328" s="8" t="s">
        <v>7834</v>
      </c>
    </row>
    <row r="1329" spans="1:23" x14ac:dyDescent="0.25">
      <c r="A1329" s="2">
        <v>653</v>
      </c>
      <c r="B1329" s="3" t="s">
        <v>2401</v>
      </c>
      <c r="C1329" s="3">
        <v>2024</v>
      </c>
      <c r="D1329" s="3" t="s">
        <v>75</v>
      </c>
      <c r="E1329" s="3" t="s">
        <v>15</v>
      </c>
      <c r="F1329" s="1" t="s">
        <v>7834</v>
      </c>
      <c r="G1329" s="10"/>
      <c r="H1329" s="10"/>
      <c r="I1329" s="10"/>
      <c r="J1329" s="10"/>
      <c r="K1329" s="10"/>
      <c r="L1329" s="3" t="s">
        <v>2754</v>
      </c>
      <c r="M1329" s="3" t="s">
        <v>2403</v>
      </c>
      <c r="N1329" s="3" t="s">
        <v>2747</v>
      </c>
      <c r="O1329" s="3">
        <v>84</v>
      </c>
      <c r="P1329" s="3">
        <v>993</v>
      </c>
      <c r="Q1329" s="3"/>
      <c r="R1329" s="3">
        <v>0</v>
      </c>
      <c r="S1329" s="3" t="s">
        <v>2755</v>
      </c>
      <c r="T1329" s="3" t="s">
        <v>21</v>
      </c>
      <c r="U1329" s="11">
        <v>414</v>
      </c>
      <c r="V1329" s="3" t="s">
        <v>2401</v>
      </c>
      <c r="W1329" s="8" t="s">
        <v>7834</v>
      </c>
    </row>
    <row r="1330" spans="1:23" x14ac:dyDescent="0.25">
      <c r="A1330" s="2">
        <v>654</v>
      </c>
      <c r="B1330" s="3" t="s">
        <v>2401</v>
      </c>
      <c r="C1330" s="3">
        <v>2024</v>
      </c>
      <c r="D1330" s="3" t="s">
        <v>186</v>
      </c>
      <c r="E1330" s="3" t="s">
        <v>15</v>
      </c>
      <c r="F1330" s="1" t="s">
        <v>7834</v>
      </c>
      <c r="G1330" s="10"/>
      <c r="H1330" s="10"/>
      <c r="I1330" s="10"/>
      <c r="J1330" s="10"/>
      <c r="K1330" s="10"/>
      <c r="L1330" s="3" t="s">
        <v>2756</v>
      </c>
      <c r="M1330" s="3" t="s">
        <v>2757</v>
      </c>
      <c r="N1330" s="3" t="s">
        <v>2446</v>
      </c>
      <c r="O1330" s="3">
        <v>11</v>
      </c>
      <c r="P1330" s="3"/>
      <c r="Q1330" s="3">
        <v>162</v>
      </c>
      <c r="R1330" s="3">
        <v>0</v>
      </c>
      <c r="S1330" s="3" t="s">
        <v>2758</v>
      </c>
      <c r="T1330" s="3" t="s">
        <v>21</v>
      </c>
      <c r="U1330" s="11">
        <v>415</v>
      </c>
      <c r="V1330" s="3" t="s">
        <v>2401</v>
      </c>
      <c r="W1330" s="8" t="s">
        <v>7834</v>
      </c>
    </row>
    <row r="1331" spans="1:23" x14ac:dyDescent="0.25">
      <c r="A1331" s="2">
        <v>655</v>
      </c>
      <c r="B1331" s="3" t="s">
        <v>2401</v>
      </c>
      <c r="C1331" s="3">
        <v>2024</v>
      </c>
      <c r="D1331" s="3" t="s">
        <v>2759</v>
      </c>
      <c r="E1331" s="3" t="s">
        <v>15</v>
      </c>
      <c r="F1331" s="1" t="s">
        <v>7834</v>
      </c>
      <c r="G1331" s="10"/>
      <c r="H1331" s="10"/>
      <c r="I1331" s="10"/>
      <c r="J1331" s="10"/>
      <c r="K1331" s="10"/>
      <c r="L1331" s="3" t="s">
        <v>2760</v>
      </c>
      <c r="M1331" s="3" t="s">
        <v>2761</v>
      </c>
      <c r="N1331" s="3" t="s">
        <v>2446</v>
      </c>
      <c r="O1331" s="3">
        <v>8</v>
      </c>
      <c r="P1331" s="3"/>
      <c r="Q1331" s="3">
        <v>235</v>
      </c>
      <c r="R1331" s="3">
        <v>0</v>
      </c>
      <c r="S1331" s="3" t="s">
        <v>2762</v>
      </c>
      <c r="T1331" s="3" t="s">
        <v>21</v>
      </c>
      <c r="U1331" s="11">
        <v>416</v>
      </c>
      <c r="V1331" s="3" t="s">
        <v>2401</v>
      </c>
      <c r="W1331" s="8" t="s">
        <v>7834</v>
      </c>
    </row>
    <row r="1332" spans="1:23" x14ac:dyDescent="0.25">
      <c r="A1332" s="2">
        <v>656</v>
      </c>
      <c r="B1332" s="3" t="s">
        <v>2401</v>
      </c>
      <c r="C1332" s="3">
        <v>2024</v>
      </c>
      <c r="D1332" s="3" t="s">
        <v>1542</v>
      </c>
      <c r="E1332" s="3" t="s">
        <v>15</v>
      </c>
      <c r="F1332" s="1" t="s">
        <v>7834</v>
      </c>
      <c r="G1332" s="10"/>
      <c r="H1332" s="10"/>
      <c r="I1332" s="10"/>
      <c r="J1332" s="10"/>
      <c r="K1332" s="10"/>
      <c r="L1332" s="3" t="s">
        <v>2763</v>
      </c>
      <c r="M1332" s="3" t="s">
        <v>2742</v>
      </c>
      <c r="N1332" s="3" t="s">
        <v>2764</v>
      </c>
      <c r="O1332" s="3">
        <v>84</v>
      </c>
      <c r="P1332" s="3"/>
      <c r="Q1332" s="3">
        <v>1278</v>
      </c>
      <c r="R1332" s="3">
        <v>0</v>
      </c>
      <c r="S1332" s="3" t="s">
        <v>2765</v>
      </c>
      <c r="T1332" s="3" t="s">
        <v>21</v>
      </c>
      <c r="U1332" s="11">
        <v>417</v>
      </c>
      <c r="V1332" s="3" t="s">
        <v>2401</v>
      </c>
      <c r="W1332" s="8" t="s">
        <v>7834</v>
      </c>
    </row>
    <row r="1333" spans="1:23" x14ac:dyDescent="0.25">
      <c r="A1333" s="2">
        <v>657</v>
      </c>
      <c r="B1333" s="3" t="s">
        <v>2401</v>
      </c>
      <c r="C1333" s="3">
        <v>2024</v>
      </c>
      <c r="D1333" s="3" t="s">
        <v>1757</v>
      </c>
      <c r="E1333" s="3" t="s">
        <v>15</v>
      </c>
      <c r="F1333" s="1" t="s">
        <v>7834</v>
      </c>
      <c r="G1333" s="10"/>
      <c r="H1333" s="10"/>
      <c r="I1333" s="10"/>
      <c r="J1333" s="10"/>
      <c r="K1333" s="10"/>
      <c r="L1333" s="3" t="s">
        <v>2766</v>
      </c>
      <c r="M1333" s="3" t="s">
        <v>2502</v>
      </c>
      <c r="N1333" s="3" t="s">
        <v>2747</v>
      </c>
      <c r="O1333" s="3">
        <v>84</v>
      </c>
      <c r="P1333" s="3">
        <v>78</v>
      </c>
      <c r="Q1333" s="3"/>
      <c r="R1333" s="3">
        <v>0</v>
      </c>
      <c r="S1333" s="3" t="s">
        <v>2767</v>
      </c>
      <c r="T1333" s="3" t="s">
        <v>21</v>
      </c>
      <c r="U1333" s="11">
        <v>418</v>
      </c>
      <c r="V1333" s="3" t="s">
        <v>2401</v>
      </c>
      <c r="W1333" s="8" t="s">
        <v>7834</v>
      </c>
    </row>
    <row r="1334" spans="1:23" x14ac:dyDescent="0.25">
      <c r="A1334" s="2">
        <v>658</v>
      </c>
      <c r="B1334" s="3" t="s">
        <v>2401</v>
      </c>
      <c r="C1334" s="3">
        <v>2024</v>
      </c>
      <c r="D1334" s="3" t="s">
        <v>2247</v>
      </c>
      <c r="E1334" s="3" t="s">
        <v>15</v>
      </c>
      <c r="F1334" s="1" t="s">
        <v>7834</v>
      </c>
      <c r="G1334" s="10"/>
      <c r="H1334" s="10"/>
      <c r="I1334" s="10"/>
      <c r="J1334" s="10"/>
      <c r="K1334" s="10"/>
      <c r="L1334" s="3" t="s">
        <v>2768</v>
      </c>
      <c r="M1334" s="3" t="s">
        <v>2769</v>
      </c>
      <c r="N1334" s="3" t="s">
        <v>2446</v>
      </c>
      <c r="O1334" s="3">
        <v>2024</v>
      </c>
      <c r="P1334" s="3">
        <v>209</v>
      </c>
      <c r="Q1334" s="3">
        <v>1</v>
      </c>
      <c r="R1334" s="3">
        <v>0</v>
      </c>
      <c r="S1334" s="3" t="s">
        <v>2770</v>
      </c>
      <c r="T1334" s="3" t="s">
        <v>21</v>
      </c>
      <c r="U1334" s="11">
        <v>419</v>
      </c>
      <c r="V1334" s="3" t="s">
        <v>2401</v>
      </c>
      <c r="W1334" s="8" t="s">
        <v>7834</v>
      </c>
    </row>
    <row r="1335" spans="1:23" x14ac:dyDescent="0.25">
      <c r="A1335" s="2">
        <v>660</v>
      </c>
      <c r="B1335" s="3" t="s">
        <v>2401</v>
      </c>
      <c r="C1335" s="3">
        <v>2024</v>
      </c>
      <c r="D1335" s="3" t="s">
        <v>1973</v>
      </c>
      <c r="E1335" s="3" t="s">
        <v>15</v>
      </c>
      <c r="F1335" s="1" t="s">
        <v>7834</v>
      </c>
      <c r="G1335" s="10"/>
      <c r="H1335" s="10"/>
      <c r="I1335" s="10"/>
      <c r="J1335" s="10"/>
      <c r="K1335" s="10"/>
      <c r="L1335" s="3" t="s">
        <v>2775</v>
      </c>
      <c r="M1335" s="3" t="s">
        <v>2502</v>
      </c>
      <c r="N1335" s="3" t="s">
        <v>2517</v>
      </c>
      <c r="O1335" s="3">
        <v>2024</v>
      </c>
      <c r="P1335" s="3">
        <v>66</v>
      </c>
      <c r="Q1335" s="3"/>
      <c r="R1335" s="3" t="s">
        <v>2776</v>
      </c>
      <c r="S1335" s="3" t="s">
        <v>2572</v>
      </c>
      <c r="T1335" s="3" t="s">
        <v>21</v>
      </c>
      <c r="U1335" s="11">
        <v>420</v>
      </c>
      <c r="V1335" s="3" t="s">
        <v>2401</v>
      </c>
      <c r="W1335" s="8" t="s">
        <v>7834</v>
      </c>
    </row>
    <row r="1336" spans="1:23" x14ac:dyDescent="0.25">
      <c r="A1336" s="2">
        <v>661</v>
      </c>
      <c r="B1336" s="3" t="s">
        <v>2401</v>
      </c>
      <c r="C1336" s="3">
        <v>2024</v>
      </c>
      <c r="D1336" s="3" t="s">
        <v>1945</v>
      </c>
      <c r="E1336" s="3" t="s">
        <v>15</v>
      </c>
      <c r="F1336" s="1" t="s">
        <v>7834</v>
      </c>
      <c r="G1336" s="10"/>
      <c r="H1336" s="10"/>
      <c r="I1336" s="10"/>
      <c r="J1336" s="10"/>
      <c r="K1336" s="10"/>
      <c r="L1336" s="3" t="s">
        <v>2445</v>
      </c>
      <c r="M1336" s="3" t="s">
        <v>2403</v>
      </c>
      <c r="N1336" s="3" t="s">
        <v>2446</v>
      </c>
      <c r="O1336" s="3">
        <v>2024</v>
      </c>
      <c r="P1336" s="3">
        <v>107</v>
      </c>
      <c r="Q1336" s="3">
        <v>2024</v>
      </c>
      <c r="R1336" s="3">
        <v>0</v>
      </c>
      <c r="S1336" s="3" t="s">
        <v>2449</v>
      </c>
      <c r="T1336" s="3" t="s">
        <v>21</v>
      </c>
      <c r="U1336" s="11">
        <v>421</v>
      </c>
      <c r="V1336" s="3" t="s">
        <v>2401</v>
      </c>
      <c r="W1336" s="8" t="s">
        <v>7834</v>
      </c>
    </row>
    <row r="1337" spans="1:23" x14ac:dyDescent="0.25">
      <c r="A1337" s="2">
        <v>662</v>
      </c>
      <c r="B1337" s="3" t="s">
        <v>2401</v>
      </c>
      <c r="C1337" s="3">
        <v>2024</v>
      </c>
      <c r="D1337" s="3" t="s">
        <v>2047</v>
      </c>
      <c r="E1337" s="3" t="s">
        <v>15</v>
      </c>
      <c r="F1337" s="1" t="s">
        <v>7834</v>
      </c>
      <c r="G1337" s="10"/>
      <c r="H1337" s="10"/>
      <c r="I1337" s="10"/>
      <c r="J1337" s="10"/>
      <c r="K1337" s="10"/>
      <c r="L1337" s="3" t="s">
        <v>2777</v>
      </c>
      <c r="M1337" s="3" t="s">
        <v>2778</v>
      </c>
      <c r="N1337" s="3" t="s">
        <v>2779</v>
      </c>
      <c r="O1337" s="3">
        <v>423</v>
      </c>
      <c r="P1337" s="3"/>
      <c r="Q1337" s="3">
        <v>113189</v>
      </c>
      <c r="R1337" s="3">
        <v>0</v>
      </c>
      <c r="S1337" s="3" t="s">
        <v>2780</v>
      </c>
      <c r="T1337" s="3" t="s">
        <v>21</v>
      </c>
      <c r="U1337" s="11">
        <v>422</v>
      </c>
      <c r="V1337" s="3" t="s">
        <v>2401</v>
      </c>
      <c r="W1337" s="8" t="s">
        <v>7834</v>
      </c>
    </row>
    <row r="1338" spans="1:23" x14ac:dyDescent="0.25">
      <c r="A1338" s="2">
        <v>663</v>
      </c>
      <c r="B1338" s="3" t="s">
        <v>2401</v>
      </c>
      <c r="C1338" s="3">
        <v>2024</v>
      </c>
      <c r="D1338" s="3" t="s">
        <v>2781</v>
      </c>
      <c r="E1338" s="3" t="s">
        <v>15</v>
      </c>
      <c r="F1338" s="1" t="s">
        <v>7834</v>
      </c>
      <c r="G1338" s="10"/>
      <c r="H1338" s="10"/>
      <c r="I1338" s="10"/>
      <c r="J1338" s="10"/>
      <c r="K1338" s="10"/>
      <c r="L1338" s="3" t="s">
        <v>2782</v>
      </c>
      <c r="M1338" s="3" t="s">
        <v>2403</v>
      </c>
      <c r="N1338" s="3" t="s">
        <v>2517</v>
      </c>
      <c r="O1338" s="3">
        <v>2024</v>
      </c>
      <c r="P1338" s="3">
        <v>4</v>
      </c>
      <c r="Q1338" s="3">
        <v>2024</v>
      </c>
      <c r="R1338" s="3">
        <v>0</v>
      </c>
      <c r="S1338" s="3" t="s">
        <v>2783</v>
      </c>
      <c r="T1338" s="3" t="s">
        <v>21</v>
      </c>
      <c r="U1338" s="11">
        <v>423</v>
      </c>
      <c r="V1338" s="3" t="s">
        <v>2401</v>
      </c>
      <c r="W1338" s="8" t="s">
        <v>7834</v>
      </c>
    </row>
    <row r="1339" spans="1:23" x14ac:dyDescent="0.25">
      <c r="A1339" s="2">
        <v>664</v>
      </c>
      <c r="B1339" s="3" t="s">
        <v>2401</v>
      </c>
      <c r="C1339" s="3">
        <v>2024</v>
      </c>
      <c r="D1339" s="3" t="s">
        <v>1872</v>
      </c>
      <c r="E1339" s="3" t="s">
        <v>15</v>
      </c>
      <c r="F1339" s="1" t="s">
        <v>7834</v>
      </c>
      <c r="G1339" s="10"/>
      <c r="H1339" s="10"/>
      <c r="I1339" s="10"/>
      <c r="J1339" s="10"/>
      <c r="K1339" s="10"/>
      <c r="L1339" s="3" t="s">
        <v>2724</v>
      </c>
      <c r="M1339" s="3" t="s">
        <v>2403</v>
      </c>
      <c r="N1339" s="3" t="s">
        <v>2446</v>
      </c>
      <c r="O1339" s="3">
        <v>2024</v>
      </c>
      <c r="P1339" s="3">
        <v>3</v>
      </c>
      <c r="Q1339" s="3">
        <v>0</v>
      </c>
      <c r="R1339" s="3">
        <v>0</v>
      </c>
      <c r="S1339" s="3" t="s">
        <v>2726</v>
      </c>
      <c r="T1339" s="3" t="s">
        <v>21</v>
      </c>
      <c r="U1339" s="11">
        <v>424</v>
      </c>
      <c r="V1339" s="3" t="s">
        <v>2401</v>
      </c>
      <c r="W1339" s="8" t="s">
        <v>7834</v>
      </c>
    </row>
    <row r="1340" spans="1:23" x14ac:dyDescent="0.25">
      <c r="A1340" s="2">
        <v>666</v>
      </c>
      <c r="B1340" s="3" t="s">
        <v>2401</v>
      </c>
      <c r="C1340" s="3">
        <v>2024</v>
      </c>
      <c r="D1340" s="3" t="s">
        <v>2547</v>
      </c>
      <c r="E1340" s="3" t="s">
        <v>15</v>
      </c>
      <c r="F1340" s="1" t="s">
        <v>7834</v>
      </c>
      <c r="G1340" s="10"/>
      <c r="H1340" s="10"/>
      <c r="I1340" s="10"/>
      <c r="J1340" s="10"/>
      <c r="K1340" s="10"/>
      <c r="L1340" s="3" t="s">
        <v>2594</v>
      </c>
      <c r="M1340" s="3" t="s">
        <v>2788</v>
      </c>
      <c r="N1340" s="3" t="s">
        <v>2596</v>
      </c>
      <c r="O1340" s="3">
        <v>16</v>
      </c>
      <c r="P1340" s="3">
        <v>6</v>
      </c>
      <c r="Q1340" s="3">
        <v>702</v>
      </c>
      <c r="R1340" s="3" t="s">
        <v>2597</v>
      </c>
      <c r="S1340" s="3" t="s">
        <v>2598</v>
      </c>
      <c r="T1340" s="3" t="s">
        <v>21</v>
      </c>
      <c r="U1340" s="11">
        <v>425</v>
      </c>
      <c r="V1340" s="3" t="s">
        <v>2401</v>
      </c>
      <c r="W1340" s="8" t="s">
        <v>7834</v>
      </c>
    </row>
    <row r="1341" spans="1:23" x14ac:dyDescent="0.25">
      <c r="A1341" s="2">
        <v>667</v>
      </c>
      <c r="B1341" s="3" t="s">
        <v>2401</v>
      </c>
      <c r="C1341" s="3">
        <v>2024</v>
      </c>
      <c r="D1341" s="3" t="s">
        <v>2789</v>
      </c>
      <c r="E1341" s="3" t="s">
        <v>15</v>
      </c>
      <c r="F1341" s="1" t="s">
        <v>7834</v>
      </c>
      <c r="G1341" s="10"/>
      <c r="H1341" s="10"/>
      <c r="I1341" s="10"/>
      <c r="J1341" s="10"/>
      <c r="K1341" s="10"/>
      <c r="L1341" s="3" t="s">
        <v>2790</v>
      </c>
      <c r="M1341" s="3" t="s">
        <v>2791</v>
      </c>
      <c r="N1341" s="3" t="s">
        <v>2792</v>
      </c>
      <c r="O1341" s="3">
        <v>45</v>
      </c>
      <c r="P1341" s="3">
        <v>8</v>
      </c>
      <c r="Q1341" s="3">
        <v>0</v>
      </c>
      <c r="R1341" s="3" t="s">
        <v>2793</v>
      </c>
      <c r="S1341" s="3" t="s">
        <v>2794</v>
      </c>
      <c r="T1341" s="3" t="s">
        <v>21</v>
      </c>
      <c r="U1341" s="11">
        <v>426</v>
      </c>
      <c r="V1341" s="3" t="s">
        <v>2401</v>
      </c>
      <c r="W1341" s="8" t="s">
        <v>7834</v>
      </c>
    </row>
    <row r="1342" spans="1:23" x14ac:dyDescent="0.25">
      <c r="A1342" s="2">
        <v>668</v>
      </c>
      <c r="B1342" s="3" t="s">
        <v>2401</v>
      </c>
      <c r="C1342" s="3">
        <v>2024</v>
      </c>
      <c r="D1342" s="3" t="s">
        <v>2567</v>
      </c>
      <c r="E1342" s="3" t="s">
        <v>15</v>
      </c>
      <c r="F1342" s="1" t="s">
        <v>7834</v>
      </c>
      <c r="G1342" s="10"/>
      <c r="H1342" s="10"/>
      <c r="I1342" s="10"/>
      <c r="J1342" s="10"/>
      <c r="K1342" s="10"/>
      <c r="L1342" s="3" t="s">
        <v>2795</v>
      </c>
      <c r="M1342" s="3" t="s">
        <v>2796</v>
      </c>
      <c r="N1342" s="3" t="s">
        <v>2797</v>
      </c>
      <c r="O1342" s="3">
        <v>16</v>
      </c>
      <c r="P1342" s="3">
        <v>5</v>
      </c>
      <c r="Q1342" s="3">
        <v>633</v>
      </c>
      <c r="R1342" s="3" t="s">
        <v>2798</v>
      </c>
      <c r="S1342" s="3" t="s">
        <v>2799</v>
      </c>
      <c r="T1342" s="3" t="s">
        <v>21</v>
      </c>
      <c r="U1342" s="11">
        <v>427</v>
      </c>
      <c r="V1342" s="3" t="s">
        <v>2401</v>
      </c>
      <c r="W1342" s="8" t="s">
        <v>7834</v>
      </c>
    </row>
    <row r="1343" spans="1:23" x14ac:dyDescent="0.25">
      <c r="A1343" s="2">
        <v>669</v>
      </c>
      <c r="B1343" s="3" t="s">
        <v>2401</v>
      </c>
      <c r="C1343" s="3">
        <v>2024</v>
      </c>
      <c r="D1343" s="3" t="s">
        <v>2531</v>
      </c>
      <c r="E1343" s="3" t="s">
        <v>15</v>
      </c>
      <c r="F1343" s="1" t="s">
        <v>7834</v>
      </c>
      <c r="G1343" s="10"/>
      <c r="H1343" s="10"/>
      <c r="I1343" s="10"/>
      <c r="J1343" s="10"/>
      <c r="K1343" s="10"/>
      <c r="L1343" s="3" t="s">
        <v>2800</v>
      </c>
      <c r="M1343" s="3" t="s">
        <v>2403</v>
      </c>
      <c r="N1343" s="3" t="s">
        <v>2517</v>
      </c>
      <c r="O1343" s="3">
        <v>2024</v>
      </c>
      <c r="P1343" s="3">
        <v>26</v>
      </c>
      <c r="Q1343" s="3">
        <v>0</v>
      </c>
      <c r="R1343" s="3">
        <v>0</v>
      </c>
      <c r="S1343" s="3" t="s">
        <v>2534</v>
      </c>
      <c r="T1343" s="3" t="s">
        <v>21</v>
      </c>
      <c r="U1343" s="11">
        <v>428</v>
      </c>
      <c r="V1343" s="3" t="s">
        <v>2401</v>
      </c>
      <c r="W1343" s="8" t="s">
        <v>7834</v>
      </c>
    </row>
    <row r="1344" spans="1:23" x14ac:dyDescent="0.25">
      <c r="A1344" s="2">
        <v>670</v>
      </c>
      <c r="B1344" s="3" t="s">
        <v>2401</v>
      </c>
      <c r="C1344" s="3">
        <v>2024</v>
      </c>
      <c r="D1344" s="3" t="s">
        <v>2712</v>
      </c>
      <c r="E1344" s="3" t="s">
        <v>15</v>
      </c>
      <c r="F1344" s="1" t="s">
        <v>7834</v>
      </c>
      <c r="G1344" s="10"/>
      <c r="H1344" s="10"/>
      <c r="I1344" s="10"/>
      <c r="J1344" s="10"/>
      <c r="K1344" s="10"/>
      <c r="L1344" s="3" t="s">
        <v>2801</v>
      </c>
      <c r="M1344" s="3" t="s">
        <v>2403</v>
      </c>
      <c r="N1344" s="3" t="s">
        <v>2446</v>
      </c>
      <c r="O1344" s="3">
        <v>2024</v>
      </c>
      <c r="P1344" s="3">
        <v>118</v>
      </c>
      <c r="Q1344" s="3">
        <v>0</v>
      </c>
      <c r="R1344" s="3">
        <v>0</v>
      </c>
      <c r="S1344" s="3" t="s">
        <v>2715</v>
      </c>
      <c r="T1344" s="3" t="s">
        <v>21</v>
      </c>
      <c r="U1344" s="11">
        <v>429</v>
      </c>
      <c r="V1344" s="3" t="s">
        <v>2401</v>
      </c>
      <c r="W1344" s="8" t="s">
        <v>7834</v>
      </c>
    </row>
    <row r="1345" spans="1:23" x14ac:dyDescent="0.25">
      <c r="A1345" s="2">
        <v>671</v>
      </c>
      <c r="B1345" s="3" t="s">
        <v>2401</v>
      </c>
      <c r="C1345" s="3">
        <v>2024</v>
      </c>
      <c r="D1345" s="3" t="s">
        <v>2567</v>
      </c>
      <c r="E1345" s="3" t="s">
        <v>15</v>
      </c>
      <c r="F1345" s="1" t="s">
        <v>7834</v>
      </c>
      <c r="G1345" s="10"/>
      <c r="H1345" s="10"/>
      <c r="I1345" s="10"/>
      <c r="J1345" s="10"/>
      <c r="K1345" s="10"/>
      <c r="L1345" s="3" t="s">
        <v>2802</v>
      </c>
      <c r="M1345" s="3" t="s">
        <v>2705</v>
      </c>
      <c r="N1345" s="3" t="s">
        <v>2446</v>
      </c>
      <c r="O1345" s="3">
        <v>2024</v>
      </c>
      <c r="P1345" s="3">
        <v>197</v>
      </c>
      <c r="Q1345" s="3"/>
      <c r="R1345" s="5">
        <v>231104033</v>
      </c>
      <c r="S1345" s="3" t="s">
        <v>2803</v>
      </c>
      <c r="T1345" s="3" t="s">
        <v>21</v>
      </c>
      <c r="U1345" s="11">
        <v>430</v>
      </c>
      <c r="V1345" s="3" t="s">
        <v>2401</v>
      </c>
      <c r="W1345" s="8" t="s">
        <v>7834</v>
      </c>
    </row>
    <row r="1346" spans="1:23" x14ac:dyDescent="0.25">
      <c r="A1346" s="2">
        <v>672</v>
      </c>
      <c r="B1346" s="3" t="s">
        <v>2401</v>
      </c>
      <c r="C1346" s="3">
        <v>2024</v>
      </c>
      <c r="D1346" s="3" t="s">
        <v>1022</v>
      </c>
      <c r="E1346" s="3" t="s">
        <v>15</v>
      </c>
      <c r="F1346" s="1" t="s">
        <v>7834</v>
      </c>
      <c r="G1346" s="10"/>
      <c r="H1346" s="10"/>
      <c r="I1346" s="10"/>
      <c r="J1346" s="10"/>
      <c r="K1346" s="10"/>
      <c r="L1346" s="3" t="s">
        <v>2516</v>
      </c>
      <c r="M1346" s="3" t="s">
        <v>2403</v>
      </c>
      <c r="N1346" s="3" t="s">
        <v>2446</v>
      </c>
      <c r="O1346" s="3">
        <v>2024</v>
      </c>
      <c r="P1346" s="3">
        <v>139</v>
      </c>
      <c r="Q1346" s="3">
        <v>0</v>
      </c>
      <c r="R1346" s="3">
        <v>0</v>
      </c>
      <c r="S1346" s="3" t="s">
        <v>2518</v>
      </c>
      <c r="T1346" s="3" t="s">
        <v>21</v>
      </c>
      <c r="U1346" s="11">
        <v>431</v>
      </c>
      <c r="V1346" s="3" t="s">
        <v>2401</v>
      </c>
      <c r="W1346" s="8" t="s">
        <v>7834</v>
      </c>
    </row>
    <row r="1347" spans="1:23" x14ac:dyDescent="0.25">
      <c r="A1347" s="2">
        <v>673</v>
      </c>
      <c r="B1347" s="3" t="s">
        <v>2401</v>
      </c>
      <c r="C1347" s="3">
        <v>2024</v>
      </c>
      <c r="D1347" s="3" t="s">
        <v>1501</v>
      </c>
      <c r="E1347" s="3" t="s">
        <v>15</v>
      </c>
      <c r="F1347" s="1" t="s">
        <v>7834</v>
      </c>
      <c r="G1347" s="10"/>
      <c r="H1347" s="10"/>
      <c r="I1347" s="10"/>
      <c r="J1347" s="10"/>
      <c r="K1347" s="10"/>
      <c r="L1347" s="3" t="s">
        <v>2804</v>
      </c>
      <c r="M1347" s="3" t="s">
        <v>2595</v>
      </c>
      <c r="N1347" s="3" t="s">
        <v>2805</v>
      </c>
      <c r="O1347" s="3">
        <v>109</v>
      </c>
      <c r="P1347" s="3">
        <v>75021</v>
      </c>
      <c r="Q1347" s="3">
        <v>1.1599999999999999</v>
      </c>
      <c r="R1347" s="3" t="s">
        <v>2435</v>
      </c>
      <c r="S1347" s="3" t="s">
        <v>2806</v>
      </c>
      <c r="T1347" s="3" t="s">
        <v>21</v>
      </c>
      <c r="U1347" s="11">
        <v>432</v>
      </c>
      <c r="V1347" s="3" t="s">
        <v>2401</v>
      </c>
      <c r="W1347" s="8" t="s">
        <v>7834</v>
      </c>
    </row>
    <row r="1348" spans="1:23" x14ac:dyDescent="0.25">
      <c r="A1348" s="2">
        <v>674</v>
      </c>
      <c r="B1348" s="3" t="s">
        <v>2401</v>
      </c>
      <c r="C1348" s="3">
        <v>2024</v>
      </c>
      <c r="D1348" s="3" t="s">
        <v>2547</v>
      </c>
      <c r="E1348" s="3" t="s">
        <v>15</v>
      </c>
      <c r="F1348" s="1" t="s">
        <v>7834</v>
      </c>
      <c r="G1348" s="10"/>
      <c r="H1348" s="10"/>
      <c r="I1348" s="10"/>
      <c r="J1348" s="10"/>
      <c r="K1348" s="10"/>
      <c r="L1348" s="3" t="s">
        <v>2807</v>
      </c>
      <c r="M1348" s="3" t="s">
        <v>2808</v>
      </c>
      <c r="N1348" s="3" t="s">
        <v>2809</v>
      </c>
      <c r="O1348" s="3">
        <v>55</v>
      </c>
      <c r="P1348" s="3"/>
      <c r="Q1348" s="3">
        <v>469</v>
      </c>
      <c r="R1348" s="3" t="s">
        <v>2810</v>
      </c>
      <c r="S1348" s="3" t="s">
        <v>2811</v>
      </c>
      <c r="T1348" s="3" t="s">
        <v>21</v>
      </c>
      <c r="U1348" s="11">
        <v>433</v>
      </c>
      <c r="V1348" s="3" t="s">
        <v>2401</v>
      </c>
      <c r="W1348" s="8" t="s">
        <v>7834</v>
      </c>
    </row>
    <row r="1349" spans="1:23" x14ac:dyDescent="0.25">
      <c r="A1349" s="2">
        <v>675</v>
      </c>
      <c r="B1349" s="3" t="s">
        <v>2401</v>
      </c>
      <c r="C1349" s="3">
        <v>2024</v>
      </c>
      <c r="D1349" s="3" t="s">
        <v>2462</v>
      </c>
      <c r="E1349" s="3" t="s">
        <v>15</v>
      </c>
      <c r="F1349" s="1" t="s">
        <v>7834</v>
      </c>
      <c r="G1349" s="10"/>
      <c r="H1349" s="10"/>
      <c r="I1349" s="10"/>
      <c r="J1349" s="10"/>
      <c r="K1349" s="10"/>
      <c r="L1349" s="3" t="s">
        <v>2812</v>
      </c>
      <c r="M1349" s="3" t="s">
        <v>2813</v>
      </c>
      <c r="N1349" s="3" t="s">
        <v>2747</v>
      </c>
      <c r="O1349" s="3">
        <v>84</v>
      </c>
      <c r="P1349" s="3">
        <v>174</v>
      </c>
      <c r="Q1349" s="3"/>
      <c r="R1349" s="3" t="s">
        <v>2423</v>
      </c>
      <c r="S1349" s="3" t="s">
        <v>2814</v>
      </c>
      <c r="T1349" s="3" t="s">
        <v>21</v>
      </c>
      <c r="U1349" s="11">
        <v>434</v>
      </c>
      <c r="V1349" s="3" t="s">
        <v>2401</v>
      </c>
      <c r="W1349" s="8" t="s">
        <v>7834</v>
      </c>
    </row>
    <row r="1350" spans="1:23" x14ac:dyDescent="0.25">
      <c r="A1350" s="2">
        <v>676</v>
      </c>
      <c r="B1350" s="3" t="s">
        <v>2401</v>
      </c>
      <c r="C1350" s="3">
        <v>2024</v>
      </c>
      <c r="D1350" s="3" t="s">
        <v>856</v>
      </c>
      <c r="E1350" s="3" t="s">
        <v>15</v>
      </c>
      <c r="F1350" s="1" t="s">
        <v>7834</v>
      </c>
      <c r="G1350" s="10"/>
      <c r="H1350" s="10"/>
      <c r="I1350" s="10"/>
      <c r="J1350" s="10"/>
      <c r="K1350" s="10"/>
      <c r="L1350" s="3" t="s">
        <v>2815</v>
      </c>
      <c r="M1350" s="3" t="s">
        <v>2816</v>
      </c>
      <c r="N1350" s="3" t="s">
        <v>2817</v>
      </c>
      <c r="O1350" s="3">
        <v>46</v>
      </c>
      <c r="P1350" s="3"/>
      <c r="Q1350" s="3">
        <v>101650</v>
      </c>
      <c r="R1350" s="3" t="s">
        <v>2818</v>
      </c>
      <c r="S1350" s="3" t="s">
        <v>2819</v>
      </c>
      <c r="T1350" s="3" t="s">
        <v>21</v>
      </c>
      <c r="U1350" s="11">
        <v>435</v>
      </c>
      <c r="V1350" s="3" t="s">
        <v>2401</v>
      </c>
      <c r="W1350" s="8" t="s">
        <v>7834</v>
      </c>
    </row>
    <row r="1351" spans="1:23" x14ac:dyDescent="0.25">
      <c r="A1351" s="2">
        <v>677</v>
      </c>
      <c r="B1351" s="3" t="s">
        <v>2401</v>
      </c>
      <c r="C1351" s="3">
        <v>2024</v>
      </c>
      <c r="D1351" s="3" t="s">
        <v>2577</v>
      </c>
      <c r="E1351" s="3" t="s">
        <v>15</v>
      </c>
      <c r="F1351" s="1" t="s">
        <v>7834</v>
      </c>
      <c r="G1351" s="10"/>
      <c r="H1351" s="10"/>
      <c r="I1351" s="10"/>
      <c r="J1351" s="10"/>
      <c r="K1351" s="10"/>
      <c r="L1351" s="3" t="s">
        <v>2820</v>
      </c>
      <c r="M1351" s="3" t="s">
        <v>2821</v>
      </c>
      <c r="N1351" s="3" t="s">
        <v>2820</v>
      </c>
      <c r="O1351" s="3">
        <v>84</v>
      </c>
      <c r="P1351" s="3">
        <v>1</v>
      </c>
      <c r="Q1351" s="3">
        <v>90</v>
      </c>
      <c r="R1351" s="3" t="s">
        <v>2822</v>
      </c>
      <c r="S1351" s="3" t="s">
        <v>2823</v>
      </c>
      <c r="T1351" s="3" t="s">
        <v>21</v>
      </c>
      <c r="U1351" s="11">
        <v>436</v>
      </c>
      <c r="V1351" s="3" t="s">
        <v>2401</v>
      </c>
      <c r="W1351" s="8" t="s">
        <v>7834</v>
      </c>
    </row>
    <row r="1352" spans="1:23" x14ac:dyDescent="0.25">
      <c r="A1352" s="2">
        <v>678</v>
      </c>
      <c r="B1352" s="3" t="s">
        <v>2401</v>
      </c>
      <c r="C1352" s="3">
        <v>2024</v>
      </c>
      <c r="D1352" s="3" t="s">
        <v>2824</v>
      </c>
      <c r="E1352" s="3" t="s">
        <v>15</v>
      </c>
      <c r="F1352" s="1" t="s">
        <v>7834</v>
      </c>
      <c r="G1352" s="10"/>
      <c r="H1352" s="10"/>
      <c r="I1352" s="10"/>
      <c r="J1352" s="10"/>
      <c r="K1352" s="10"/>
      <c r="L1352" s="3" t="s">
        <v>2825</v>
      </c>
      <c r="M1352" s="3" t="s">
        <v>2826</v>
      </c>
      <c r="N1352" s="3" t="s">
        <v>2584</v>
      </c>
      <c r="O1352" s="3">
        <v>7</v>
      </c>
      <c r="P1352" s="3">
        <v>212</v>
      </c>
      <c r="Q1352" s="3"/>
      <c r="R1352" s="3" t="s">
        <v>2448</v>
      </c>
      <c r="S1352" s="3" t="s">
        <v>2827</v>
      </c>
      <c r="T1352" s="3" t="s">
        <v>21</v>
      </c>
      <c r="U1352" s="11">
        <v>437</v>
      </c>
      <c r="V1352" s="3" t="s">
        <v>2401</v>
      </c>
      <c r="W1352" s="8" t="s">
        <v>7834</v>
      </c>
    </row>
    <row r="1353" spans="1:23" x14ac:dyDescent="0.25">
      <c r="A1353" s="2">
        <v>679</v>
      </c>
      <c r="B1353" s="3" t="s">
        <v>2401</v>
      </c>
      <c r="C1353" s="3">
        <v>2024</v>
      </c>
      <c r="D1353" s="3" t="s">
        <v>2615</v>
      </c>
      <c r="E1353" s="3" t="s">
        <v>15</v>
      </c>
      <c r="F1353" s="1" t="s">
        <v>7834</v>
      </c>
      <c r="G1353" s="10"/>
      <c r="H1353" s="10"/>
      <c r="I1353" s="10"/>
      <c r="J1353" s="10"/>
      <c r="K1353" s="10"/>
      <c r="L1353" s="3" t="s">
        <v>2828</v>
      </c>
      <c r="M1353" s="3" t="s">
        <v>2829</v>
      </c>
      <c r="N1353" s="3" t="s">
        <v>2830</v>
      </c>
      <c r="O1353" s="3">
        <v>69</v>
      </c>
      <c r="P1353" s="3">
        <v>2024</v>
      </c>
      <c r="Q1353" s="3">
        <v>3005.30035</v>
      </c>
      <c r="R1353" s="3" t="s">
        <v>2831</v>
      </c>
      <c r="S1353" s="3" t="s">
        <v>2832</v>
      </c>
      <c r="T1353" s="3" t="s">
        <v>21</v>
      </c>
      <c r="U1353" s="11">
        <v>438</v>
      </c>
      <c r="V1353" s="3" t="s">
        <v>2401</v>
      </c>
      <c r="W1353" s="8" t="s">
        <v>7834</v>
      </c>
    </row>
    <row r="1354" spans="1:23" x14ac:dyDescent="0.25">
      <c r="A1354" s="2">
        <v>680</v>
      </c>
      <c r="B1354" s="3" t="s">
        <v>2401</v>
      </c>
      <c r="C1354" s="3">
        <v>2024</v>
      </c>
      <c r="D1354" s="3" t="s">
        <v>702</v>
      </c>
      <c r="E1354" s="3" t="s">
        <v>15</v>
      </c>
      <c r="F1354" s="1" t="s">
        <v>7834</v>
      </c>
      <c r="G1354" s="10"/>
      <c r="H1354" s="10"/>
      <c r="I1354" s="10"/>
      <c r="J1354" s="10"/>
      <c r="K1354" s="10"/>
      <c r="L1354" s="3" t="s">
        <v>2833</v>
      </c>
      <c r="M1354" s="3" t="s">
        <v>2403</v>
      </c>
      <c r="N1354" s="3" t="s">
        <v>2404</v>
      </c>
      <c r="O1354" s="3">
        <v>2024</v>
      </c>
      <c r="P1354" s="3">
        <v>19</v>
      </c>
      <c r="Q1354" s="3" t="s">
        <v>2834</v>
      </c>
      <c r="R1354" s="3" t="s">
        <v>2407</v>
      </c>
      <c r="S1354" s="3" t="s">
        <v>2835</v>
      </c>
      <c r="T1354" s="3" t="s">
        <v>21</v>
      </c>
      <c r="U1354" s="11">
        <v>439</v>
      </c>
      <c r="V1354" s="3" t="s">
        <v>2401</v>
      </c>
      <c r="W1354" s="8" t="s">
        <v>7834</v>
      </c>
    </row>
    <row r="1355" spans="1:23" x14ac:dyDescent="0.25">
      <c r="A1355" s="2">
        <v>681</v>
      </c>
      <c r="B1355" s="3" t="s">
        <v>2401</v>
      </c>
      <c r="C1355" s="3">
        <v>2024</v>
      </c>
      <c r="D1355" s="3" t="s">
        <v>2247</v>
      </c>
      <c r="E1355" s="3" t="s">
        <v>15</v>
      </c>
      <c r="F1355" s="1" t="s">
        <v>7834</v>
      </c>
      <c r="G1355" s="10"/>
      <c r="H1355" s="10"/>
      <c r="I1355" s="10"/>
      <c r="J1355" s="10"/>
      <c r="K1355" s="10"/>
      <c r="L1355" s="3" t="s">
        <v>2836</v>
      </c>
      <c r="M1355" s="3" t="s">
        <v>2837</v>
      </c>
      <c r="N1355" s="3" t="s">
        <v>2446</v>
      </c>
      <c r="O1355" s="3">
        <v>2024</v>
      </c>
      <c r="P1355" s="3">
        <v>212</v>
      </c>
      <c r="Q1355" s="4">
        <v>42005</v>
      </c>
      <c r="R1355" s="3" t="s">
        <v>2448</v>
      </c>
      <c r="S1355" s="3" t="s">
        <v>2838</v>
      </c>
      <c r="T1355" s="3" t="s">
        <v>21</v>
      </c>
      <c r="U1355" s="11">
        <v>440</v>
      </c>
      <c r="V1355" s="3" t="s">
        <v>2401</v>
      </c>
      <c r="W1355" s="8" t="s">
        <v>7834</v>
      </c>
    </row>
    <row r="1356" spans="1:23" x14ac:dyDescent="0.25">
      <c r="A1356" s="2">
        <v>682</v>
      </c>
      <c r="B1356" s="3" t="s">
        <v>2401</v>
      </c>
      <c r="C1356" s="3">
        <v>2024</v>
      </c>
      <c r="D1356" s="3" t="s">
        <v>2332</v>
      </c>
      <c r="E1356" s="3" t="s">
        <v>15</v>
      </c>
      <c r="F1356" s="1" t="s">
        <v>7834</v>
      </c>
      <c r="G1356" s="10"/>
      <c r="H1356" s="10"/>
      <c r="I1356" s="10"/>
      <c r="J1356" s="10"/>
      <c r="K1356" s="10"/>
      <c r="L1356" s="3" t="s">
        <v>2820</v>
      </c>
      <c r="M1356" s="3" t="s">
        <v>2839</v>
      </c>
      <c r="N1356" s="3" t="s">
        <v>2421</v>
      </c>
      <c r="O1356" s="3">
        <v>2024</v>
      </c>
      <c r="P1356" s="3">
        <v>84</v>
      </c>
      <c r="Q1356" s="3">
        <v>90</v>
      </c>
      <c r="R1356" s="3" t="s">
        <v>2423</v>
      </c>
      <c r="S1356" s="3" t="s">
        <v>2823</v>
      </c>
      <c r="T1356" s="3" t="s">
        <v>21</v>
      </c>
      <c r="U1356" s="11">
        <v>441</v>
      </c>
      <c r="V1356" s="3" t="s">
        <v>2401</v>
      </c>
      <c r="W1356" s="8" t="s">
        <v>7834</v>
      </c>
    </row>
    <row r="1357" spans="1:23" x14ac:dyDescent="0.25">
      <c r="A1357" s="2">
        <v>683</v>
      </c>
      <c r="B1357" s="3" t="s">
        <v>2401</v>
      </c>
      <c r="C1357" s="3">
        <v>2024</v>
      </c>
      <c r="D1357" s="3" t="s">
        <v>1283</v>
      </c>
      <c r="E1357" s="3" t="s">
        <v>15</v>
      </c>
      <c r="F1357" s="1" t="s">
        <v>7834</v>
      </c>
      <c r="G1357" s="10"/>
      <c r="H1357" s="10"/>
      <c r="I1357" s="10"/>
      <c r="J1357" s="10"/>
      <c r="K1357" s="10"/>
      <c r="L1357" s="3" t="s">
        <v>2840</v>
      </c>
      <c r="M1357" s="3" t="s">
        <v>2647</v>
      </c>
      <c r="N1357" s="3" t="s">
        <v>2433</v>
      </c>
      <c r="O1357" s="3">
        <v>110</v>
      </c>
      <c r="P1357" s="3">
        <v>112004</v>
      </c>
      <c r="Q1357" s="3">
        <v>1.33</v>
      </c>
      <c r="R1357" s="3" t="s">
        <v>2435</v>
      </c>
      <c r="S1357" s="3" t="s">
        <v>2841</v>
      </c>
      <c r="T1357" s="3" t="s">
        <v>21</v>
      </c>
      <c r="U1357" s="11">
        <v>442</v>
      </c>
      <c r="V1357" s="3" t="s">
        <v>2401</v>
      </c>
      <c r="W1357" s="8" t="s">
        <v>7834</v>
      </c>
    </row>
    <row r="1358" spans="1:23" x14ac:dyDescent="0.25">
      <c r="A1358" s="2">
        <v>684</v>
      </c>
      <c r="B1358" s="3" t="s">
        <v>2401</v>
      </c>
      <c r="C1358" s="3">
        <v>2024</v>
      </c>
      <c r="D1358" s="3" t="s">
        <v>691</v>
      </c>
      <c r="E1358" s="3" t="s">
        <v>15</v>
      </c>
      <c r="F1358" s="1" t="s">
        <v>7834</v>
      </c>
      <c r="G1358" s="10"/>
      <c r="H1358" s="10"/>
      <c r="I1358" s="10"/>
      <c r="J1358" s="10"/>
      <c r="K1358" s="10"/>
      <c r="L1358" s="3" t="s">
        <v>2842</v>
      </c>
      <c r="M1358" s="3" t="s">
        <v>2403</v>
      </c>
      <c r="N1358" s="3" t="s">
        <v>2584</v>
      </c>
      <c r="O1358" s="3">
        <v>133</v>
      </c>
      <c r="P1358" s="3">
        <v>2024</v>
      </c>
      <c r="Q1358" s="3">
        <v>101801</v>
      </c>
      <c r="R1358" s="3" t="s">
        <v>2412</v>
      </c>
      <c r="S1358" s="3" t="s">
        <v>2843</v>
      </c>
      <c r="T1358" s="3" t="s">
        <v>21</v>
      </c>
      <c r="U1358" s="11">
        <v>443</v>
      </c>
      <c r="V1358" s="3" t="s">
        <v>2401</v>
      </c>
      <c r="W1358" s="8" t="s">
        <v>7834</v>
      </c>
    </row>
    <row r="1359" spans="1:23" x14ac:dyDescent="0.25">
      <c r="A1359" s="2">
        <v>685</v>
      </c>
      <c r="B1359" s="3" t="s">
        <v>2401</v>
      </c>
      <c r="C1359" s="3">
        <v>2024</v>
      </c>
      <c r="D1359" s="3" t="s">
        <v>2844</v>
      </c>
      <c r="E1359" s="3" t="s">
        <v>15</v>
      </c>
      <c r="F1359" s="1" t="s">
        <v>7834</v>
      </c>
      <c r="G1359" s="10"/>
      <c r="H1359" s="10"/>
      <c r="I1359" s="10"/>
      <c r="J1359" s="10"/>
      <c r="K1359" s="10"/>
      <c r="L1359" s="3" t="s">
        <v>2845</v>
      </c>
      <c r="M1359" s="3" t="s">
        <v>2502</v>
      </c>
      <c r="N1359" s="3" t="s">
        <v>2446</v>
      </c>
      <c r="O1359" s="3">
        <v>10</v>
      </c>
      <c r="P1359" s="3">
        <v>2024</v>
      </c>
      <c r="Q1359" s="3">
        <v>104</v>
      </c>
      <c r="R1359" s="3" t="s">
        <v>2448</v>
      </c>
      <c r="S1359" s="3" t="s">
        <v>2846</v>
      </c>
      <c r="T1359" s="3" t="s">
        <v>21</v>
      </c>
      <c r="U1359" s="11">
        <v>444</v>
      </c>
      <c r="V1359" s="3" t="s">
        <v>2401</v>
      </c>
      <c r="W1359" s="8" t="s">
        <v>7834</v>
      </c>
    </row>
    <row r="1360" spans="1:23" x14ac:dyDescent="0.25">
      <c r="A1360" s="2">
        <v>686</v>
      </c>
      <c r="B1360" s="3" t="s">
        <v>2401</v>
      </c>
      <c r="C1360" s="3">
        <v>2024</v>
      </c>
      <c r="D1360" s="3" t="s">
        <v>557</v>
      </c>
      <c r="E1360" s="3" t="s">
        <v>15</v>
      </c>
      <c r="F1360" s="1" t="s">
        <v>7834</v>
      </c>
      <c r="G1360" s="10">
        <v>153</v>
      </c>
      <c r="H1360" s="10"/>
      <c r="I1360" s="10"/>
      <c r="J1360" s="10"/>
      <c r="K1360" s="10"/>
      <c r="L1360" s="3" t="s">
        <v>2847</v>
      </c>
      <c r="M1360" s="3" t="s">
        <v>2416</v>
      </c>
      <c r="N1360" s="3" t="s">
        <v>2433</v>
      </c>
      <c r="O1360" s="3">
        <v>110</v>
      </c>
      <c r="P1360" s="3"/>
      <c r="Q1360" s="3">
        <v>32015</v>
      </c>
      <c r="R1360" s="3" t="s">
        <v>2435</v>
      </c>
      <c r="S1360" s="3" t="s">
        <v>2848</v>
      </c>
      <c r="T1360" s="3" t="s">
        <v>21</v>
      </c>
      <c r="U1360" s="11">
        <v>445</v>
      </c>
      <c r="V1360" s="3" t="s">
        <v>2401</v>
      </c>
      <c r="W1360" s="8" t="s">
        <v>7834</v>
      </c>
    </row>
    <row r="1361" spans="1:23" x14ac:dyDescent="0.25">
      <c r="A1361" s="2">
        <v>665</v>
      </c>
      <c r="B1361" s="3" t="s">
        <v>2401</v>
      </c>
      <c r="C1361" s="3">
        <v>2024</v>
      </c>
      <c r="D1361" s="3" t="s">
        <v>2615</v>
      </c>
      <c r="E1361" s="3" t="s">
        <v>206</v>
      </c>
      <c r="F1361" s="1" t="s">
        <v>7834</v>
      </c>
      <c r="G1361" s="10"/>
      <c r="H1361" s="10"/>
      <c r="I1361" s="10"/>
      <c r="J1361" s="10"/>
      <c r="K1361" s="10">
        <v>1</v>
      </c>
      <c r="L1361" s="3" t="s">
        <v>2784</v>
      </c>
      <c r="M1361" s="3" t="s">
        <v>2778</v>
      </c>
      <c r="N1361" s="3" t="s">
        <v>2785</v>
      </c>
      <c r="O1361" s="3">
        <v>302</v>
      </c>
      <c r="P1361" s="3">
        <v>0</v>
      </c>
      <c r="Q1361" s="3">
        <v>0</v>
      </c>
      <c r="R1361" s="3" t="s">
        <v>2786</v>
      </c>
      <c r="S1361" s="3" t="s">
        <v>2787</v>
      </c>
      <c r="T1361" s="3" t="s">
        <v>21</v>
      </c>
      <c r="U1361" s="11">
        <v>446</v>
      </c>
      <c r="V1361" s="3" t="s">
        <v>2401</v>
      </c>
      <c r="W1361" s="8" t="s">
        <v>7834</v>
      </c>
    </row>
    <row r="1362" spans="1:23" x14ac:dyDescent="0.25">
      <c r="A1362" s="2">
        <v>687</v>
      </c>
      <c r="B1362" s="3" t="s">
        <v>2849</v>
      </c>
      <c r="C1362" s="3">
        <v>2024</v>
      </c>
      <c r="D1362" s="3" t="s">
        <v>2850</v>
      </c>
      <c r="E1362" s="3" t="s">
        <v>15</v>
      </c>
      <c r="F1362" s="1" t="s">
        <v>7834</v>
      </c>
      <c r="G1362" s="10"/>
      <c r="H1362" s="10"/>
      <c r="I1362" s="10"/>
      <c r="J1362" s="10"/>
      <c r="K1362" s="10"/>
      <c r="L1362" s="3" t="s">
        <v>2851</v>
      </c>
      <c r="M1362" s="3" t="s">
        <v>2852</v>
      </c>
      <c r="N1362" s="3" t="s">
        <v>2853</v>
      </c>
      <c r="O1362" s="3">
        <v>178</v>
      </c>
      <c r="P1362" s="3">
        <v>114311</v>
      </c>
      <c r="Q1362" s="3"/>
      <c r="R1362" s="3" t="s">
        <v>2854</v>
      </c>
      <c r="S1362" s="3" t="s">
        <v>2855</v>
      </c>
      <c r="T1362" s="3" t="s">
        <v>21</v>
      </c>
      <c r="U1362" s="11">
        <v>447</v>
      </c>
      <c r="V1362" s="3" t="s">
        <v>2849</v>
      </c>
      <c r="W1362" s="8" t="s">
        <v>7834</v>
      </c>
    </row>
    <row r="1363" spans="1:23" x14ac:dyDescent="0.25">
      <c r="A1363" s="2">
        <v>689</v>
      </c>
      <c r="B1363" s="3" t="s">
        <v>2849</v>
      </c>
      <c r="C1363" s="3">
        <v>2024</v>
      </c>
      <c r="D1363" s="3" t="s">
        <v>2861</v>
      </c>
      <c r="E1363" s="3" t="s">
        <v>15</v>
      </c>
      <c r="F1363" s="1" t="s">
        <v>7834</v>
      </c>
      <c r="G1363" s="10"/>
      <c r="H1363" s="10"/>
      <c r="I1363" s="10"/>
      <c r="J1363" s="10"/>
      <c r="K1363" s="10"/>
      <c r="L1363" s="3" t="s">
        <v>2862</v>
      </c>
      <c r="M1363" s="3" t="s">
        <v>2863</v>
      </c>
      <c r="N1363" s="3" t="s">
        <v>2864</v>
      </c>
      <c r="O1363" s="3">
        <v>26</v>
      </c>
      <c r="P1363" s="3">
        <v>13003</v>
      </c>
      <c r="Q1363" s="3"/>
      <c r="R1363" s="3" t="s">
        <v>2865</v>
      </c>
      <c r="S1363" s="3" t="s">
        <v>2866</v>
      </c>
      <c r="T1363" s="3" t="s">
        <v>21</v>
      </c>
      <c r="U1363" s="11">
        <v>448</v>
      </c>
      <c r="V1363" s="3" t="s">
        <v>2849</v>
      </c>
      <c r="W1363" s="8" t="s">
        <v>7834</v>
      </c>
    </row>
    <row r="1364" spans="1:23" x14ac:dyDescent="0.25">
      <c r="A1364" s="2">
        <v>691</v>
      </c>
      <c r="B1364" s="3" t="s">
        <v>2849</v>
      </c>
      <c r="C1364" s="3">
        <v>2024</v>
      </c>
      <c r="D1364" s="3" t="s">
        <v>1695</v>
      </c>
      <c r="E1364" s="3" t="s">
        <v>15</v>
      </c>
      <c r="F1364" s="1" t="s">
        <v>7834</v>
      </c>
      <c r="G1364" s="10"/>
      <c r="H1364" s="10"/>
      <c r="I1364" s="10"/>
      <c r="J1364" s="10"/>
      <c r="K1364" s="10"/>
      <c r="L1364" s="3" t="s">
        <v>2870</v>
      </c>
      <c r="M1364" s="3" t="s">
        <v>2871</v>
      </c>
      <c r="N1364" s="3" t="s">
        <v>2872</v>
      </c>
      <c r="O1364" s="3">
        <v>9</v>
      </c>
      <c r="P1364" s="3">
        <v>25016</v>
      </c>
      <c r="Q1364" s="3"/>
      <c r="R1364" s="3" t="s">
        <v>2873</v>
      </c>
      <c r="S1364" s="3" t="s">
        <v>2874</v>
      </c>
      <c r="T1364" s="3" t="s">
        <v>21</v>
      </c>
      <c r="U1364" s="11">
        <v>449</v>
      </c>
      <c r="V1364" s="3" t="s">
        <v>2849</v>
      </c>
      <c r="W1364" s="8" t="s">
        <v>7834</v>
      </c>
    </row>
    <row r="1365" spans="1:23" x14ac:dyDescent="0.25">
      <c r="A1365" s="2">
        <v>693</v>
      </c>
      <c r="B1365" s="3" t="s">
        <v>2849</v>
      </c>
      <c r="C1365" s="3">
        <v>2024</v>
      </c>
      <c r="D1365" s="3" t="s">
        <v>2513</v>
      </c>
      <c r="E1365" s="3" t="s">
        <v>15</v>
      </c>
      <c r="F1365" s="1" t="s">
        <v>7834</v>
      </c>
      <c r="G1365" s="10"/>
      <c r="H1365" s="10"/>
      <c r="I1365" s="10"/>
      <c r="J1365" s="10"/>
      <c r="K1365" s="10"/>
      <c r="L1365" s="3" t="s">
        <v>2878</v>
      </c>
      <c r="M1365" s="3" t="s">
        <v>2879</v>
      </c>
      <c r="N1365" s="3" t="s">
        <v>874</v>
      </c>
      <c r="O1365" s="3">
        <v>14</v>
      </c>
      <c r="P1365" s="3">
        <v>12435</v>
      </c>
      <c r="Q1365" s="3"/>
      <c r="R1365" s="3" t="s">
        <v>2880</v>
      </c>
      <c r="S1365" s="3" t="s">
        <v>2881</v>
      </c>
      <c r="T1365" s="3" t="s">
        <v>21</v>
      </c>
      <c r="U1365" s="11">
        <v>450</v>
      </c>
      <c r="V1365" s="3" t="s">
        <v>2849</v>
      </c>
      <c r="W1365" s="8" t="s">
        <v>7834</v>
      </c>
    </row>
    <row r="1366" spans="1:23" x14ac:dyDescent="0.25">
      <c r="A1366" s="2">
        <v>694</v>
      </c>
      <c r="B1366" s="3" t="s">
        <v>2849</v>
      </c>
      <c r="C1366" s="3">
        <v>2024</v>
      </c>
      <c r="D1366" s="3" t="s">
        <v>2626</v>
      </c>
      <c r="E1366" s="3" t="s">
        <v>15</v>
      </c>
      <c r="F1366" s="1" t="s">
        <v>7834</v>
      </c>
      <c r="G1366" s="10"/>
      <c r="H1366" s="10"/>
      <c r="I1366" s="10"/>
      <c r="J1366" s="10"/>
      <c r="K1366" s="10"/>
      <c r="L1366" s="3" t="s">
        <v>2882</v>
      </c>
      <c r="M1366" s="3" t="s">
        <v>2883</v>
      </c>
      <c r="N1366" s="3" t="s">
        <v>2884</v>
      </c>
      <c r="O1366" s="3">
        <v>1322</v>
      </c>
      <c r="P1366" s="3">
        <v>140612</v>
      </c>
      <c r="Q1366" s="3"/>
      <c r="R1366" s="3" t="s">
        <v>2885</v>
      </c>
      <c r="S1366" s="3" t="s">
        <v>2886</v>
      </c>
      <c r="T1366" s="3" t="s">
        <v>21</v>
      </c>
      <c r="U1366" s="11">
        <v>451</v>
      </c>
      <c r="V1366" s="3" t="s">
        <v>2849</v>
      </c>
      <c r="W1366" s="8" t="s">
        <v>7834</v>
      </c>
    </row>
    <row r="1367" spans="1:23" x14ac:dyDescent="0.25">
      <c r="A1367" s="2">
        <v>695</v>
      </c>
      <c r="B1367" s="3" t="s">
        <v>2849</v>
      </c>
      <c r="C1367" s="3">
        <v>2024</v>
      </c>
      <c r="D1367" s="3" t="s">
        <v>1982</v>
      </c>
      <c r="E1367" s="3" t="s">
        <v>15</v>
      </c>
      <c r="F1367" s="1" t="s">
        <v>7834</v>
      </c>
      <c r="G1367" s="10"/>
      <c r="H1367" s="10"/>
      <c r="I1367" s="10"/>
      <c r="J1367" s="10"/>
      <c r="K1367" s="10"/>
      <c r="L1367" s="3" t="s">
        <v>2887</v>
      </c>
      <c r="M1367" s="3" t="s">
        <v>2888</v>
      </c>
      <c r="N1367" s="3" t="s">
        <v>2889</v>
      </c>
      <c r="O1367" s="3">
        <v>317</v>
      </c>
      <c r="P1367" s="3">
        <v>129142</v>
      </c>
      <c r="Q1367" s="3"/>
      <c r="R1367" s="3" t="s">
        <v>2890</v>
      </c>
      <c r="S1367" s="3" t="s">
        <v>2891</v>
      </c>
      <c r="T1367" s="3" t="s">
        <v>21</v>
      </c>
      <c r="U1367" s="11">
        <v>452</v>
      </c>
      <c r="V1367" s="3" t="s">
        <v>2849</v>
      </c>
      <c r="W1367" s="8" t="s">
        <v>7834</v>
      </c>
    </row>
    <row r="1368" spans="1:23" x14ac:dyDescent="0.25">
      <c r="A1368" s="2">
        <v>696</v>
      </c>
      <c r="B1368" s="3" t="s">
        <v>2849</v>
      </c>
      <c r="C1368" s="3">
        <v>2024</v>
      </c>
      <c r="D1368" s="3" t="s">
        <v>240</v>
      </c>
      <c r="E1368" s="3" t="s">
        <v>15</v>
      </c>
      <c r="F1368" s="1" t="s">
        <v>7834</v>
      </c>
      <c r="G1368" s="10"/>
      <c r="H1368" s="10"/>
      <c r="I1368" s="10"/>
      <c r="J1368" s="10"/>
      <c r="K1368" s="10"/>
      <c r="L1368" s="3" t="s">
        <v>2892</v>
      </c>
      <c r="M1368" s="3" t="s">
        <v>2893</v>
      </c>
      <c r="N1368" s="3" t="s">
        <v>2894</v>
      </c>
      <c r="O1368" s="3">
        <v>15</v>
      </c>
      <c r="P1368" s="3"/>
      <c r="Q1368" s="3">
        <v>7449</v>
      </c>
      <c r="R1368" s="3" t="s">
        <v>2895</v>
      </c>
      <c r="S1368" s="3" t="s">
        <v>2896</v>
      </c>
      <c r="T1368" s="3" t="s">
        <v>21</v>
      </c>
      <c r="U1368" s="11">
        <v>453</v>
      </c>
      <c r="V1368" s="3" t="s">
        <v>2849</v>
      </c>
      <c r="W1368" s="8" t="s">
        <v>7834</v>
      </c>
    </row>
    <row r="1369" spans="1:23" x14ac:dyDescent="0.25">
      <c r="A1369" s="2">
        <v>698</v>
      </c>
      <c r="B1369" s="3" t="s">
        <v>2849</v>
      </c>
      <c r="C1369" s="3">
        <v>2024</v>
      </c>
      <c r="D1369" s="3" t="s">
        <v>2268</v>
      </c>
      <c r="E1369" s="3" t="s">
        <v>15</v>
      </c>
      <c r="F1369" s="1" t="s">
        <v>7834</v>
      </c>
      <c r="G1369" s="10"/>
      <c r="H1369" s="10"/>
      <c r="I1369" s="10"/>
      <c r="J1369" s="10"/>
      <c r="K1369" s="10"/>
      <c r="L1369" s="3" t="s">
        <v>2902</v>
      </c>
      <c r="M1369" s="3" t="s">
        <v>2903</v>
      </c>
      <c r="N1369" s="3" t="s">
        <v>2904</v>
      </c>
      <c r="O1369" s="3">
        <v>109</v>
      </c>
      <c r="P1369" s="3">
        <v>64308</v>
      </c>
      <c r="Q1369" s="3"/>
      <c r="R1369" s="3" t="s">
        <v>2905</v>
      </c>
      <c r="S1369" s="3" t="s">
        <v>2906</v>
      </c>
      <c r="T1369" s="3" t="s">
        <v>21</v>
      </c>
      <c r="U1369" s="11">
        <v>454</v>
      </c>
      <c r="V1369" s="3" t="s">
        <v>2849</v>
      </c>
      <c r="W1369" s="8" t="s">
        <v>7834</v>
      </c>
    </row>
    <row r="1370" spans="1:23" x14ac:dyDescent="0.25">
      <c r="A1370" s="2">
        <v>699</v>
      </c>
      <c r="B1370" s="3" t="s">
        <v>2849</v>
      </c>
      <c r="C1370" s="3">
        <v>2024</v>
      </c>
      <c r="D1370" s="3" t="s">
        <v>2907</v>
      </c>
      <c r="E1370" s="3" t="s">
        <v>15</v>
      </c>
      <c r="F1370" s="1" t="s">
        <v>7834</v>
      </c>
      <c r="G1370" s="10"/>
      <c r="H1370" s="10"/>
      <c r="I1370" s="10"/>
      <c r="J1370" s="10"/>
      <c r="K1370" s="10"/>
      <c r="L1370" s="3" t="s">
        <v>2908</v>
      </c>
      <c r="M1370" s="3" t="s">
        <v>2909</v>
      </c>
      <c r="N1370" s="3" t="s">
        <v>2584</v>
      </c>
      <c r="O1370" s="3">
        <v>133</v>
      </c>
      <c r="P1370" s="3">
        <v>116304</v>
      </c>
      <c r="Q1370" s="3"/>
      <c r="R1370" s="3" t="s">
        <v>2412</v>
      </c>
      <c r="S1370" s="3" t="s">
        <v>2910</v>
      </c>
      <c r="T1370" s="3" t="s">
        <v>21</v>
      </c>
      <c r="U1370" s="11">
        <v>455</v>
      </c>
      <c r="V1370" s="3" t="s">
        <v>2849</v>
      </c>
      <c r="W1370" s="8" t="s">
        <v>7834</v>
      </c>
    </row>
    <row r="1371" spans="1:23" x14ac:dyDescent="0.25">
      <c r="A1371" s="2">
        <v>700</v>
      </c>
      <c r="B1371" s="3" t="s">
        <v>2849</v>
      </c>
      <c r="C1371" s="3">
        <v>2024</v>
      </c>
      <c r="D1371" s="3" t="s">
        <v>1363</v>
      </c>
      <c r="E1371" s="3" t="s">
        <v>15</v>
      </c>
      <c r="F1371" s="1" t="s">
        <v>7834</v>
      </c>
      <c r="G1371" s="10"/>
      <c r="H1371" s="10"/>
      <c r="I1371" s="10"/>
      <c r="J1371" s="10"/>
      <c r="K1371" s="10"/>
      <c r="L1371" s="3" t="s">
        <v>2911</v>
      </c>
      <c r="M1371" s="3" t="s">
        <v>2912</v>
      </c>
      <c r="N1371" s="3" t="s">
        <v>2913</v>
      </c>
      <c r="O1371" s="3">
        <v>17</v>
      </c>
      <c r="P1371" s="3" t="s">
        <v>2914</v>
      </c>
      <c r="Q1371" s="3"/>
      <c r="R1371" s="3" t="s">
        <v>2915</v>
      </c>
      <c r="S1371" s="3" t="s">
        <v>2916</v>
      </c>
      <c r="T1371" s="3" t="s">
        <v>21</v>
      </c>
      <c r="U1371" s="11">
        <v>456</v>
      </c>
      <c r="V1371" s="3" t="s">
        <v>2849</v>
      </c>
      <c r="W1371" s="8" t="s">
        <v>7834</v>
      </c>
    </row>
    <row r="1372" spans="1:23" x14ac:dyDescent="0.25">
      <c r="A1372" s="2">
        <v>701</v>
      </c>
      <c r="B1372" s="3" t="s">
        <v>2849</v>
      </c>
      <c r="C1372" s="3">
        <v>2024</v>
      </c>
      <c r="D1372" s="3" t="s">
        <v>2197</v>
      </c>
      <c r="E1372" s="3" t="s">
        <v>15</v>
      </c>
      <c r="F1372" s="1" t="s">
        <v>7834</v>
      </c>
      <c r="G1372" s="10"/>
      <c r="H1372" s="10"/>
      <c r="I1372" s="10"/>
      <c r="J1372" s="10"/>
      <c r="K1372" s="10"/>
      <c r="L1372" s="3" t="s">
        <v>2917</v>
      </c>
      <c r="M1372" s="3" t="s">
        <v>2918</v>
      </c>
      <c r="N1372" s="3" t="s">
        <v>2919</v>
      </c>
      <c r="O1372" s="3">
        <v>6</v>
      </c>
      <c r="P1372" s="3">
        <v>33224</v>
      </c>
      <c r="Q1372" s="3"/>
      <c r="R1372" s="3" t="s">
        <v>2920</v>
      </c>
      <c r="S1372" s="3" t="s">
        <v>2921</v>
      </c>
      <c r="T1372" s="3" t="s">
        <v>21</v>
      </c>
      <c r="U1372" s="11">
        <v>457</v>
      </c>
      <c r="V1372" s="3" t="s">
        <v>2849</v>
      </c>
      <c r="W1372" s="8" t="s">
        <v>7834</v>
      </c>
    </row>
    <row r="1373" spans="1:23" x14ac:dyDescent="0.25">
      <c r="A1373" s="2">
        <v>702</v>
      </c>
      <c r="B1373" s="3" t="s">
        <v>2849</v>
      </c>
      <c r="C1373" s="3">
        <v>2024</v>
      </c>
      <c r="D1373" s="3" t="s">
        <v>1151</v>
      </c>
      <c r="E1373" s="3" t="s">
        <v>15</v>
      </c>
      <c r="F1373" s="1" t="s">
        <v>7834</v>
      </c>
      <c r="G1373" s="10"/>
      <c r="H1373" s="10"/>
      <c r="I1373" s="10"/>
      <c r="J1373" s="10"/>
      <c r="K1373" s="10"/>
      <c r="L1373" s="3" t="s">
        <v>2922</v>
      </c>
      <c r="M1373" s="3" t="s">
        <v>2923</v>
      </c>
      <c r="N1373" s="3" t="s">
        <v>2924</v>
      </c>
      <c r="O1373" s="3">
        <v>9</v>
      </c>
      <c r="P1373" s="3">
        <v>20801</v>
      </c>
      <c r="Q1373" s="3"/>
      <c r="R1373" s="3" t="s">
        <v>2925</v>
      </c>
      <c r="S1373" s="3" t="s">
        <v>2926</v>
      </c>
      <c r="T1373" s="3" t="s">
        <v>21</v>
      </c>
      <c r="U1373" s="11">
        <v>458</v>
      </c>
      <c r="V1373" s="3" t="s">
        <v>2849</v>
      </c>
      <c r="W1373" s="8" t="s">
        <v>7834</v>
      </c>
    </row>
    <row r="1374" spans="1:23" x14ac:dyDescent="0.25">
      <c r="A1374" s="2">
        <v>703</v>
      </c>
      <c r="B1374" s="3" t="s">
        <v>2849</v>
      </c>
      <c r="C1374" s="3">
        <v>2024</v>
      </c>
      <c r="D1374" s="3" t="s">
        <v>1022</v>
      </c>
      <c r="E1374" s="3" t="s">
        <v>15</v>
      </c>
      <c r="F1374" s="1" t="s">
        <v>7834</v>
      </c>
      <c r="G1374" s="10"/>
      <c r="H1374" s="10"/>
      <c r="I1374" s="10"/>
      <c r="J1374" s="10"/>
      <c r="K1374" s="10"/>
      <c r="L1374" s="3" t="s">
        <v>2927</v>
      </c>
      <c r="M1374" s="3" t="s">
        <v>2928</v>
      </c>
      <c r="N1374" s="3" t="s">
        <v>2929</v>
      </c>
      <c r="O1374" s="3">
        <v>12</v>
      </c>
      <c r="P1374" s="3">
        <v>112588</v>
      </c>
      <c r="Q1374" s="3"/>
      <c r="R1374" s="3" t="s">
        <v>2930</v>
      </c>
      <c r="S1374" s="3" t="s">
        <v>2931</v>
      </c>
      <c r="T1374" s="3" t="s">
        <v>21</v>
      </c>
      <c r="U1374" s="11">
        <v>459</v>
      </c>
      <c r="V1374" s="3" t="s">
        <v>2849</v>
      </c>
      <c r="W1374" s="8" t="s">
        <v>7834</v>
      </c>
    </row>
    <row r="1375" spans="1:23" x14ac:dyDescent="0.25">
      <c r="A1375" s="2">
        <v>704</v>
      </c>
      <c r="B1375" s="3" t="s">
        <v>2849</v>
      </c>
      <c r="C1375" s="3">
        <v>2024</v>
      </c>
      <c r="D1375" s="3" t="s">
        <v>2932</v>
      </c>
      <c r="E1375" s="3" t="s">
        <v>15</v>
      </c>
      <c r="F1375" s="1" t="s">
        <v>7834</v>
      </c>
      <c r="G1375" s="10"/>
      <c r="H1375" s="10"/>
      <c r="I1375" s="10"/>
      <c r="J1375" s="10"/>
      <c r="K1375" s="10"/>
      <c r="L1375" s="3" t="s">
        <v>2933</v>
      </c>
      <c r="M1375" s="3" t="s">
        <v>2934</v>
      </c>
      <c r="N1375" s="3" t="s">
        <v>2935</v>
      </c>
      <c r="O1375" s="3">
        <v>14</v>
      </c>
      <c r="P1375" s="3">
        <v>353</v>
      </c>
      <c r="Q1375" s="3"/>
      <c r="R1375" s="3" t="s">
        <v>2936</v>
      </c>
      <c r="S1375" s="3" t="s">
        <v>2937</v>
      </c>
      <c r="T1375" s="3" t="s">
        <v>21</v>
      </c>
      <c r="U1375" s="11">
        <v>460</v>
      </c>
      <c r="V1375" s="3" t="s">
        <v>2849</v>
      </c>
      <c r="W1375" s="8" t="s">
        <v>7834</v>
      </c>
    </row>
    <row r="1376" spans="1:23" x14ac:dyDescent="0.25">
      <c r="A1376" s="2">
        <v>705</v>
      </c>
      <c r="B1376" s="3" t="s">
        <v>2849</v>
      </c>
      <c r="C1376" s="3">
        <v>2024</v>
      </c>
      <c r="D1376" s="3" t="s">
        <v>579</v>
      </c>
      <c r="E1376" s="3" t="s">
        <v>15</v>
      </c>
      <c r="F1376" s="1" t="s">
        <v>7834</v>
      </c>
      <c r="G1376" s="10"/>
      <c r="H1376" s="10"/>
      <c r="I1376" s="10"/>
      <c r="J1376" s="10"/>
      <c r="K1376" s="10"/>
      <c r="L1376" s="3" t="s">
        <v>2938</v>
      </c>
      <c r="M1376" s="3" t="s">
        <v>2939</v>
      </c>
      <c r="N1376" s="3" t="s">
        <v>2899</v>
      </c>
      <c r="O1376" s="3">
        <v>32</v>
      </c>
      <c r="P1376" s="3">
        <v>29514</v>
      </c>
      <c r="Q1376" s="3"/>
      <c r="R1376" s="3" t="s">
        <v>2900</v>
      </c>
      <c r="S1376" s="3" t="s">
        <v>2940</v>
      </c>
      <c r="T1376" s="3" t="s">
        <v>21</v>
      </c>
      <c r="U1376" s="11">
        <v>461</v>
      </c>
      <c r="V1376" s="3" t="s">
        <v>2849</v>
      </c>
      <c r="W1376" s="8" t="s">
        <v>7834</v>
      </c>
    </row>
    <row r="1377" spans="1:23" x14ac:dyDescent="0.25">
      <c r="A1377" s="2">
        <v>706</v>
      </c>
      <c r="B1377" s="3" t="s">
        <v>2849</v>
      </c>
      <c r="C1377" s="3">
        <v>2024</v>
      </c>
      <c r="D1377" s="3" t="s">
        <v>2941</v>
      </c>
      <c r="E1377" s="3" t="s">
        <v>15</v>
      </c>
      <c r="F1377" s="1" t="s">
        <v>7834</v>
      </c>
      <c r="G1377" s="10"/>
      <c r="H1377" s="10"/>
      <c r="I1377" s="10"/>
      <c r="J1377" s="10"/>
      <c r="K1377" s="10"/>
      <c r="L1377" s="3" t="s">
        <v>2942</v>
      </c>
      <c r="M1377" s="3" t="s">
        <v>2943</v>
      </c>
      <c r="N1377" s="3" t="s">
        <v>2944</v>
      </c>
      <c r="O1377" s="3">
        <v>4</v>
      </c>
      <c r="P1377" s="3">
        <v>15404</v>
      </c>
      <c r="Q1377" s="3"/>
      <c r="R1377" s="3" t="s">
        <v>2945</v>
      </c>
      <c r="S1377" s="3" t="s">
        <v>2946</v>
      </c>
      <c r="T1377" s="3" t="s">
        <v>21</v>
      </c>
      <c r="U1377" s="11">
        <v>462</v>
      </c>
      <c r="V1377" s="3" t="s">
        <v>2849</v>
      </c>
      <c r="W1377" s="8" t="s">
        <v>7834</v>
      </c>
    </row>
    <row r="1378" spans="1:23" x14ac:dyDescent="0.25">
      <c r="A1378" s="2">
        <v>707</v>
      </c>
      <c r="B1378" s="3" t="s">
        <v>2849</v>
      </c>
      <c r="C1378" s="3">
        <v>2024</v>
      </c>
      <c r="D1378" s="3" t="s">
        <v>2531</v>
      </c>
      <c r="E1378" s="3" t="s">
        <v>15</v>
      </c>
      <c r="F1378" s="1" t="s">
        <v>7834</v>
      </c>
      <c r="G1378" s="10"/>
      <c r="H1378" s="10"/>
      <c r="I1378" s="10"/>
      <c r="J1378" s="10"/>
      <c r="K1378" s="10"/>
      <c r="L1378" s="3" t="s">
        <v>2947</v>
      </c>
      <c r="M1378" s="3" t="s">
        <v>2948</v>
      </c>
      <c r="N1378" s="3" t="s">
        <v>2949</v>
      </c>
      <c r="O1378" s="3">
        <v>24</v>
      </c>
      <c r="P1378" s="3"/>
      <c r="Q1378" s="3">
        <v>4595</v>
      </c>
      <c r="R1378" s="3" t="s">
        <v>2950</v>
      </c>
      <c r="S1378" s="3" t="s">
        <v>2951</v>
      </c>
      <c r="T1378" s="3" t="s">
        <v>21</v>
      </c>
      <c r="U1378" s="11">
        <v>463</v>
      </c>
      <c r="V1378" s="3" t="s">
        <v>2849</v>
      </c>
      <c r="W1378" s="8" t="s">
        <v>7834</v>
      </c>
    </row>
    <row r="1379" spans="1:23" x14ac:dyDescent="0.25">
      <c r="A1379" s="2">
        <v>711</v>
      </c>
      <c r="B1379" s="3" t="s">
        <v>2849</v>
      </c>
      <c r="C1379" s="3">
        <v>2024</v>
      </c>
      <c r="D1379" s="3" t="s">
        <v>2967</v>
      </c>
      <c r="E1379" s="3" t="s">
        <v>15</v>
      </c>
      <c r="F1379" s="1" t="s">
        <v>7834</v>
      </c>
      <c r="G1379" s="10"/>
      <c r="H1379" s="10"/>
      <c r="I1379" s="10"/>
      <c r="J1379" s="10"/>
      <c r="K1379" s="10"/>
      <c r="L1379" s="3" t="s">
        <v>2968</v>
      </c>
      <c r="M1379" s="3" t="s">
        <v>2969</v>
      </c>
      <c r="N1379" s="3" t="s">
        <v>2853</v>
      </c>
      <c r="O1379" s="3">
        <v>182</v>
      </c>
      <c r="P1379" s="3">
        <v>114851</v>
      </c>
      <c r="Q1379" s="3"/>
      <c r="R1379" s="3" t="s">
        <v>2854</v>
      </c>
      <c r="S1379" s="3" t="s">
        <v>2970</v>
      </c>
      <c r="T1379" s="3" t="s">
        <v>21</v>
      </c>
      <c r="U1379" s="11">
        <v>464</v>
      </c>
      <c r="V1379" s="3" t="s">
        <v>2849</v>
      </c>
      <c r="W1379" s="8" t="s">
        <v>7834</v>
      </c>
    </row>
    <row r="1380" spans="1:23" x14ac:dyDescent="0.25">
      <c r="A1380" s="2">
        <v>713</v>
      </c>
      <c r="B1380" s="3" t="s">
        <v>2849</v>
      </c>
      <c r="C1380" s="3">
        <v>2024</v>
      </c>
      <c r="D1380" s="3" t="s">
        <v>709</v>
      </c>
      <c r="E1380" s="3" t="s">
        <v>15</v>
      </c>
      <c r="F1380" s="1" t="s">
        <v>7834</v>
      </c>
      <c r="G1380" s="10"/>
      <c r="H1380" s="10"/>
      <c r="I1380" s="10"/>
      <c r="J1380" s="10"/>
      <c r="K1380" s="10"/>
      <c r="L1380" s="3" t="s">
        <v>2975</v>
      </c>
      <c r="M1380" s="3" t="s">
        <v>2976</v>
      </c>
      <c r="N1380" s="3" t="s">
        <v>2853</v>
      </c>
      <c r="O1380" s="3">
        <v>186</v>
      </c>
      <c r="P1380" s="3">
        <v>115244</v>
      </c>
      <c r="Q1380" s="3"/>
      <c r="R1380" s="3" t="s">
        <v>2854</v>
      </c>
      <c r="S1380" s="3" t="s">
        <v>2977</v>
      </c>
      <c r="T1380" s="3" t="s">
        <v>21</v>
      </c>
      <c r="U1380" s="11">
        <v>465</v>
      </c>
      <c r="V1380" s="3" t="s">
        <v>2849</v>
      </c>
      <c r="W1380" s="8" t="s">
        <v>7834</v>
      </c>
    </row>
    <row r="1381" spans="1:23" x14ac:dyDescent="0.25">
      <c r="A1381" s="2">
        <v>714</v>
      </c>
      <c r="B1381" s="3" t="s">
        <v>2849</v>
      </c>
      <c r="C1381" s="3">
        <v>2024</v>
      </c>
      <c r="D1381" s="3" t="s">
        <v>2626</v>
      </c>
      <c r="E1381" s="3" t="s">
        <v>15</v>
      </c>
      <c r="F1381" s="1" t="s">
        <v>7834</v>
      </c>
      <c r="G1381" s="10"/>
      <c r="H1381" s="10"/>
      <c r="I1381" s="10"/>
      <c r="J1381" s="10"/>
      <c r="K1381" s="10"/>
      <c r="L1381" s="3" t="s">
        <v>2978</v>
      </c>
      <c r="M1381" s="3" t="s">
        <v>2979</v>
      </c>
      <c r="N1381" s="3" t="s">
        <v>2410</v>
      </c>
      <c r="O1381" s="3">
        <v>133</v>
      </c>
      <c r="P1381" s="3">
        <v>207202</v>
      </c>
      <c r="Q1381" s="3"/>
      <c r="R1381" s="3" t="s">
        <v>2980</v>
      </c>
      <c r="S1381" s="3" t="s">
        <v>2981</v>
      </c>
      <c r="T1381" s="3" t="s">
        <v>21</v>
      </c>
      <c r="U1381" s="11">
        <v>466</v>
      </c>
      <c r="V1381" s="3" t="s">
        <v>2849</v>
      </c>
      <c r="W1381" s="8" t="s">
        <v>7834</v>
      </c>
    </row>
    <row r="1382" spans="1:23" x14ac:dyDescent="0.25">
      <c r="A1382" s="2">
        <v>716</v>
      </c>
      <c r="B1382" s="3" t="s">
        <v>2849</v>
      </c>
      <c r="C1382" s="3">
        <v>2024</v>
      </c>
      <c r="D1382" s="3" t="s">
        <v>2986</v>
      </c>
      <c r="E1382" s="3" t="s">
        <v>15</v>
      </c>
      <c r="F1382" s="1" t="s">
        <v>7834</v>
      </c>
      <c r="G1382" s="10"/>
      <c r="H1382" s="10"/>
      <c r="I1382" s="10"/>
      <c r="J1382" s="10"/>
      <c r="K1382" s="10"/>
      <c r="L1382" s="3" t="s">
        <v>2987</v>
      </c>
      <c r="M1382" s="3" t="s">
        <v>2988</v>
      </c>
      <c r="N1382" s="3" t="s">
        <v>2919</v>
      </c>
      <c r="O1382" s="3">
        <v>6</v>
      </c>
      <c r="P1382" s="3">
        <v>43303</v>
      </c>
      <c r="Q1382" s="3"/>
      <c r="R1382" s="3" t="s">
        <v>2980</v>
      </c>
      <c r="S1382" s="3" t="s">
        <v>2989</v>
      </c>
      <c r="T1382" s="3" t="s">
        <v>21</v>
      </c>
      <c r="U1382" s="11">
        <v>467</v>
      </c>
      <c r="V1382" s="3" t="s">
        <v>2849</v>
      </c>
      <c r="W1382" s="8" t="s">
        <v>7834</v>
      </c>
    </row>
    <row r="1383" spans="1:23" x14ac:dyDescent="0.25">
      <c r="A1383" s="2">
        <v>717</v>
      </c>
      <c r="B1383" s="3" t="s">
        <v>2849</v>
      </c>
      <c r="C1383" s="3">
        <v>2024</v>
      </c>
      <c r="D1383" s="3" t="s">
        <v>1973</v>
      </c>
      <c r="E1383" s="3" t="s">
        <v>15</v>
      </c>
      <c r="F1383" s="1" t="s">
        <v>7834</v>
      </c>
      <c r="G1383" s="10"/>
      <c r="H1383" s="10"/>
      <c r="I1383" s="10"/>
      <c r="J1383" s="10"/>
      <c r="K1383" s="10"/>
      <c r="L1383" s="3" t="s">
        <v>2990</v>
      </c>
      <c r="M1383" s="3" t="s">
        <v>2991</v>
      </c>
      <c r="N1383" s="3" t="s">
        <v>2992</v>
      </c>
      <c r="O1383" s="3">
        <v>131</v>
      </c>
      <c r="P1383" s="3">
        <v>107841</v>
      </c>
      <c r="Q1383" s="3"/>
      <c r="R1383" s="3" t="s">
        <v>2993</v>
      </c>
      <c r="S1383" s="3" t="s">
        <v>2994</v>
      </c>
      <c r="T1383" s="3" t="s">
        <v>21</v>
      </c>
      <c r="U1383" s="11">
        <v>468</v>
      </c>
      <c r="V1383" s="3" t="s">
        <v>2849</v>
      </c>
      <c r="W1383" s="8" t="s">
        <v>7834</v>
      </c>
    </row>
    <row r="1384" spans="1:23" x14ac:dyDescent="0.25">
      <c r="A1384" s="2">
        <v>718</v>
      </c>
      <c r="B1384" s="3" t="s">
        <v>2849</v>
      </c>
      <c r="C1384" s="3">
        <v>2024</v>
      </c>
      <c r="D1384" s="3" t="s">
        <v>22</v>
      </c>
      <c r="E1384" s="3" t="s">
        <v>15</v>
      </c>
      <c r="F1384" s="1" t="s">
        <v>7834</v>
      </c>
      <c r="G1384" s="10"/>
      <c r="H1384" s="10"/>
      <c r="I1384" s="10"/>
      <c r="J1384" s="10"/>
      <c r="K1384" s="10"/>
      <c r="L1384" s="3" t="s">
        <v>2995</v>
      </c>
      <c r="M1384" s="3" t="s">
        <v>2996</v>
      </c>
      <c r="N1384" s="3" t="s">
        <v>2853</v>
      </c>
      <c r="O1384" s="3">
        <v>180</v>
      </c>
      <c r="P1384" s="3">
        <v>114508</v>
      </c>
      <c r="Q1384" s="3"/>
      <c r="R1384" s="3" t="s">
        <v>2854</v>
      </c>
      <c r="S1384" s="3" t="s">
        <v>2997</v>
      </c>
      <c r="T1384" s="3" t="s">
        <v>21</v>
      </c>
      <c r="U1384" s="11">
        <v>469</v>
      </c>
      <c r="V1384" s="3" t="s">
        <v>2849</v>
      </c>
      <c r="W1384" s="8" t="s">
        <v>7834</v>
      </c>
    </row>
    <row r="1385" spans="1:23" x14ac:dyDescent="0.25">
      <c r="A1385" s="2">
        <v>719</v>
      </c>
      <c r="B1385" s="3" t="s">
        <v>2849</v>
      </c>
      <c r="C1385" s="3">
        <v>2024</v>
      </c>
      <c r="D1385" s="3" t="s">
        <v>2998</v>
      </c>
      <c r="E1385" s="3" t="s">
        <v>15</v>
      </c>
      <c r="F1385" s="1" t="s">
        <v>7834</v>
      </c>
      <c r="G1385" s="10"/>
      <c r="H1385" s="10"/>
      <c r="I1385" s="10"/>
      <c r="J1385" s="10"/>
      <c r="K1385" s="10"/>
      <c r="L1385" s="3" t="s">
        <v>2999</v>
      </c>
      <c r="M1385" s="3" t="s">
        <v>3000</v>
      </c>
      <c r="N1385" s="3" t="s">
        <v>3001</v>
      </c>
      <c r="O1385" s="3">
        <v>7</v>
      </c>
      <c r="P1385" s="3">
        <v>195</v>
      </c>
      <c r="Q1385" s="3"/>
      <c r="R1385" s="3" t="s">
        <v>3002</v>
      </c>
      <c r="S1385" s="3" t="s">
        <v>3003</v>
      </c>
      <c r="T1385" s="3" t="s">
        <v>21</v>
      </c>
      <c r="U1385" s="11">
        <v>470</v>
      </c>
      <c r="V1385" s="3" t="s">
        <v>2849</v>
      </c>
      <c r="W1385" s="8" t="s">
        <v>7834</v>
      </c>
    </row>
    <row r="1386" spans="1:23" x14ac:dyDescent="0.25">
      <c r="A1386" s="2">
        <v>720</v>
      </c>
      <c r="B1386" s="3" t="s">
        <v>2849</v>
      </c>
      <c r="C1386" s="3">
        <v>2024</v>
      </c>
      <c r="D1386" s="3" t="s">
        <v>161</v>
      </c>
      <c r="E1386" s="3" t="s">
        <v>15</v>
      </c>
      <c r="F1386" s="1" t="s">
        <v>7834</v>
      </c>
      <c r="G1386" s="10"/>
      <c r="H1386" s="10"/>
      <c r="I1386" s="10"/>
      <c r="J1386" s="10"/>
      <c r="K1386" s="10"/>
      <c r="L1386" s="3" t="s">
        <v>3004</v>
      </c>
      <c r="M1386" s="3" t="s">
        <v>3005</v>
      </c>
      <c r="N1386" s="3" t="s">
        <v>874</v>
      </c>
      <c r="O1386" s="3">
        <v>14</v>
      </c>
      <c r="P1386" s="3">
        <v>14635</v>
      </c>
      <c r="Q1386" s="3"/>
      <c r="R1386" s="3" t="s">
        <v>1760</v>
      </c>
      <c r="S1386" s="3" t="s">
        <v>3006</v>
      </c>
      <c r="T1386" s="3" t="s">
        <v>21</v>
      </c>
      <c r="U1386" s="11">
        <v>471</v>
      </c>
      <c r="V1386" s="3" t="s">
        <v>2849</v>
      </c>
      <c r="W1386" s="8" t="s">
        <v>7834</v>
      </c>
    </row>
    <row r="1387" spans="1:23" x14ac:dyDescent="0.25">
      <c r="A1387" s="2">
        <v>721</v>
      </c>
      <c r="B1387" s="3" t="s">
        <v>2849</v>
      </c>
      <c r="C1387" s="3">
        <v>2024</v>
      </c>
      <c r="D1387" s="3" t="s">
        <v>508</v>
      </c>
      <c r="E1387" s="3" t="s">
        <v>15</v>
      </c>
      <c r="F1387" s="1" t="s">
        <v>7834</v>
      </c>
      <c r="G1387" s="10"/>
      <c r="H1387" s="10"/>
      <c r="I1387" s="10"/>
      <c r="J1387" s="10"/>
      <c r="K1387" s="10"/>
      <c r="L1387" s="3" t="s">
        <v>3007</v>
      </c>
      <c r="M1387" s="3" t="s">
        <v>3008</v>
      </c>
      <c r="N1387" s="3" t="s">
        <v>2853</v>
      </c>
      <c r="O1387" s="3">
        <v>188</v>
      </c>
      <c r="P1387" s="3">
        <v>115447</v>
      </c>
      <c r="Q1387" s="3"/>
      <c r="R1387" s="3" t="s">
        <v>2854</v>
      </c>
      <c r="S1387" s="3" t="s">
        <v>3009</v>
      </c>
      <c r="T1387" s="3" t="s">
        <v>21</v>
      </c>
      <c r="U1387" s="11">
        <v>472</v>
      </c>
      <c r="V1387" s="3" t="s">
        <v>2849</v>
      </c>
      <c r="W1387" s="8" t="s">
        <v>7834</v>
      </c>
    </row>
    <row r="1388" spans="1:23" x14ac:dyDescent="0.25">
      <c r="A1388" s="2">
        <v>722</v>
      </c>
      <c r="B1388" s="3" t="s">
        <v>2849</v>
      </c>
      <c r="C1388" s="3">
        <v>2024</v>
      </c>
      <c r="D1388" s="3" t="s">
        <v>822</v>
      </c>
      <c r="E1388" s="3" t="s">
        <v>15</v>
      </c>
      <c r="F1388" s="1" t="s">
        <v>7834</v>
      </c>
      <c r="G1388" s="10"/>
      <c r="H1388" s="10"/>
      <c r="I1388" s="10"/>
      <c r="J1388" s="10"/>
      <c r="K1388" s="10"/>
      <c r="L1388" s="3" t="s">
        <v>3010</v>
      </c>
      <c r="M1388" s="3" t="s">
        <v>3011</v>
      </c>
      <c r="N1388" s="3" t="s">
        <v>2992</v>
      </c>
      <c r="O1388" s="3">
        <v>140</v>
      </c>
      <c r="P1388" s="3">
        <v>108420</v>
      </c>
      <c r="Q1388" s="3"/>
      <c r="R1388" s="3" t="s">
        <v>2993</v>
      </c>
      <c r="S1388" s="3" t="s">
        <v>3012</v>
      </c>
      <c r="T1388" s="3" t="s">
        <v>21</v>
      </c>
      <c r="U1388" s="11">
        <v>473</v>
      </c>
      <c r="V1388" s="3" t="s">
        <v>2849</v>
      </c>
      <c r="W1388" s="8" t="s">
        <v>7834</v>
      </c>
    </row>
    <row r="1389" spans="1:23" x14ac:dyDescent="0.25">
      <c r="A1389" s="2">
        <v>723</v>
      </c>
      <c r="B1389" s="3" t="s">
        <v>2849</v>
      </c>
      <c r="C1389" s="3">
        <v>2024</v>
      </c>
      <c r="D1389" s="3" t="s">
        <v>1363</v>
      </c>
      <c r="E1389" s="3" t="s">
        <v>15</v>
      </c>
      <c r="F1389" s="1" t="s">
        <v>7834</v>
      </c>
      <c r="G1389" s="10"/>
      <c r="H1389" s="10"/>
      <c r="I1389" s="10"/>
      <c r="J1389" s="10"/>
      <c r="K1389" s="10"/>
      <c r="L1389" s="3" t="s">
        <v>3013</v>
      </c>
      <c r="M1389" s="3" t="s">
        <v>3014</v>
      </c>
      <c r="N1389" s="3" t="s">
        <v>3015</v>
      </c>
      <c r="O1389" s="3">
        <v>87</v>
      </c>
      <c r="P1389" s="3">
        <v>120502</v>
      </c>
      <c r="Q1389" s="3"/>
      <c r="R1389" s="3" t="s">
        <v>3016</v>
      </c>
      <c r="S1389" s="3" t="s">
        <v>3017</v>
      </c>
      <c r="T1389" s="3" t="s">
        <v>21</v>
      </c>
      <c r="U1389" s="11">
        <v>474</v>
      </c>
      <c r="V1389" s="3" t="s">
        <v>2849</v>
      </c>
      <c r="W1389" s="8" t="s">
        <v>7834</v>
      </c>
    </row>
    <row r="1390" spans="1:23" x14ac:dyDescent="0.25">
      <c r="A1390" s="2">
        <v>724</v>
      </c>
      <c r="B1390" s="3" t="s">
        <v>2849</v>
      </c>
      <c r="C1390" s="3">
        <v>2024</v>
      </c>
      <c r="D1390" s="3" t="s">
        <v>2056</v>
      </c>
      <c r="E1390" s="3" t="s">
        <v>15</v>
      </c>
      <c r="F1390" s="1" t="s">
        <v>7834</v>
      </c>
      <c r="G1390" s="10"/>
      <c r="H1390" s="10"/>
      <c r="I1390" s="10"/>
      <c r="J1390" s="10"/>
      <c r="K1390" s="10"/>
      <c r="L1390" s="3" t="s">
        <v>3018</v>
      </c>
      <c r="M1390" s="3" t="s">
        <v>3019</v>
      </c>
      <c r="N1390" s="3" t="s">
        <v>1769</v>
      </c>
      <c r="O1390" s="3">
        <v>59</v>
      </c>
      <c r="P1390" s="3"/>
      <c r="Q1390" s="3">
        <v>103978</v>
      </c>
      <c r="R1390" s="3" t="s">
        <v>1770</v>
      </c>
      <c r="S1390" s="3" t="s">
        <v>3020</v>
      </c>
      <c r="T1390" s="3" t="s">
        <v>21</v>
      </c>
      <c r="U1390" s="11">
        <v>475</v>
      </c>
      <c r="V1390" s="3" t="s">
        <v>2849</v>
      </c>
      <c r="W1390" s="8" t="s">
        <v>7834</v>
      </c>
    </row>
    <row r="1391" spans="1:23" x14ac:dyDescent="0.25">
      <c r="A1391" s="2">
        <v>727</v>
      </c>
      <c r="B1391" s="3" t="s">
        <v>3027</v>
      </c>
      <c r="C1391" s="3">
        <v>2024</v>
      </c>
      <c r="D1391" s="3" t="s">
        <v>3028</v>
      </c>
      <c r="E1391" s="3" t="s">
        <v>15</v>
      </c>
      <c r="F1391" s="1" t="s">
        <v>7834</v>
      </c>
      <c r="G1391" s="10"/>
      <c r="H1391" s="10"/>
      <c r="I1391" s="10"/>
      <c r="J1391" s="10"/>
      <c r="K1391" s="10"/>
      <c r="L1391" s="3" t="s">
        <v>3029</v>
      </c>
      <c r="M1391" s="3" t="s">
        <v>3030</v>
      </c>
      <c r="N1391" s="3" t="s">
        <v>3031</v>
      </c>
      <c r="O1391" s="3">
        <v>651</v>
      </c>
      <c r="P1391" s="3"/>
      <c r="Q1391" s="3"/>
      <c r="R1391" s="3" t="s">
        <v>3032</v>
      </c>
      <c r="S1391" s="3" t="s">
        <v>3033</v>
      </c>
      <c r="T1391" s="3" t="s">
        <v>21</v>
      </c>
      <c r="U1391" s="11">
        <v>476</v>
      </c>
      <c r="V1391" s="3" t="s">
        <v>3027</v>
      </c>
      <c r="W1391" s="8" t="s">
        <v>7834</v>
      </c>
    </row>
    <row r="1392" spans="1:23" x14ac:dyDescent="0.25">
      <c r="A1392" s="2">
        <v>733</v>
      </c>
      <c r="B1392" s="3" t="s">
        <v>3027</v>
      </c>
      <c r="C1392" s="3">
        <v>2024</v>
      </c>
      <c r="D1392" s="3" t="s">
        <v>3061</v>
      </c>
      <c r="E1392" s="3" t="s">
        <v>15</v>
      </c>
      <c r="F1392" s="1" t="s">
        <v>7834</v>
      </c>
      <c r="G1392" s="10"/>
      <c r="H1392" s="10"/>
      <c r="I1392" s="10"/>
      <c r="J1392" s="10"/>
      <c r="K1392" s="10"/>
      <c r="L1392" s="3" t="s">
        <v>3062</v>
      </c>
      <c r="M1392" s="3" t="s">
        <v>3063</v>
      </c>
      <c r="N1392" s="3" t="s">
        <v>3064</v>
      </c>
      <c r="O1392" s="3"/>
      <c r="P1392" s="3"/>
      <c r="Q1392" s="3"/>
      <c r="R1392" s="3" t="s">
        <v>342</v>
      </c>
      <c r="S1392" s="3" t="s">
        <v>3065</v>
      </c>
      <c r="T1392" s="3" t="s">
        <v>21</v>
      </c>
      <c r="U1392" s="11">
        <v>477</v>
      </c>
      <c r="V1392" s="3" t="s">
        <v>3027</v>
      </c>
      <c r="W1392" s="8" t="s">
        <v>7834</v>
      </c>
    </row>
    <row r="1393" spans="1:23" x14ac:dyDescent="0.25">
      <c r="A1393" s="2">
        <v>734</v>
      </c>
      <c r="B1393" s="3" t="s">
        <v>3027</v>
      </c>
      <c r="C1393" s="3">
        <v>2024</v>
      </c>
      <c r="D1393" s="3" t="s">
        <v>1277</v>
      </c>
      <c r="E1393" s="3" t="s">
        <v>15</v>
      </c>
      <c r="F1393" s="1" t="s">
        <v>7834</v>
      </c>
      <c r="G1393" s="10"/>
      <c r="H1393" s="10"/>
      <c r="I1393" s="10"/>
      <c r="J1393" s="10"/>
      <c r="K1393" s="10"/>
      <c r="L1393" s="3" t="s">
        <v>3066</v>
      </c>
      <c r="M1393" s="3" t="s">
        <v>3067</v>
      </c>
      <c r="N1393" s="3" t="s">
        <v>3068</v>
      </c>
      <c r="O1393" s="3"/>
      <c r="P1393" s="3"/>
      <c r="Q1393" s="3"/>
      <c r="R1393" s="3" t="s">
        <v>3069</v>
      </c>
      <c r="S1393" s="3" t="s">
        <v>3070</v>
      </c>
      <c r="T1393" s="3" t="s">
        <v>21</v>
      </c>
      <c r="U1393" s="11">
        <v>478</v>
      </c>
      <c r="V1393" s="3" t="s">
        <v>3027</v>
      </c>
      <c r="W1393" s="8" t="s">
        <v>7834</v>
      </c>
    </row>
    <row r="1394" spans="1:23" x14ac:dyDescent="0.25">
      <c r="A1394" s="2">
        <v>736</v>
      </c>
      <c r="B1394" s="3" t="s">
        <v>3027</v>
      </c>
      <c r="C1394" s="3">
        <v>2024</v>
      </c>
      <c r="D1394" s="3" t="s">
        <v>3076</v>
      </c>
      <c r="E1394" s="3" t="s">
        <v>15</v>
      </c>
      <c r="F1394" s="1" t="s">
        <v>7834</v>
      </c>
      <c r="G1394" s="10"/>
      <c r="H1394" s="10"/>
      <c r="I1394" s="10"/>
      <c r="J1394" s="10"/>
      <c r="K1394" s="10"/>
      <c r="L1394" s="3" t="s">
        <v>3077</v>
      </c>
      <c r="M1394" s="3" t="s">
        <v>3078</v>
      </c>
      <c r="N1394" s="3" t="s">
        <v>3079</v>
      </c>
      <c r="O1394" s="3"/>
      <c r="P1394" s="3"/>
      <c r="Q1394" s="3"/>
      <c r="R1394" s="3" t="s">
        <v>3080</v>
      </c>
      <c r="S1394" s="3" t="s">
        <v>3081</v>
      </c>
      <c r="T1394" s="3" t="s">
        <v>21</v>
      </c>
      <c r="U1394" s="11">
        <v>479</v>
      </c>
      <c r="V1394" s="3" t="s">
        <v>3027</v>
      </c>
      <c r="W1394" s="8" t="s">
        <v>7834</v>
      </c>
    </row>
    <row r="1395" spans="1:23" x14ac:dyDescent="0.25">
      <c r="A1395" s="2">
        <v>738</v>
      </c>
      <c r="B1395" s="3" t="s">
        <v>3027</v>
      </c>
      <c r="C1395" s="3">
        <v>2024</v>
      </c>
      <c r="D1395" s="3" t="s">
        <v>3086</v>
      </c>
      <c r="E1395" s="3" t="s">
        <v>15</v>
      </c>
      <c r="F1395" s="1" t="s">
        <v>7834</v>
      </c>
      <c r="G1395" s="10"/>
      <c r="H1395" s="10"/>
      <c r="I1395" s="10"/>
      <c r="J1395" s="10"/>
      <c r="K1395" s="10"/>
      <c r="L1395" s="3" t="s">
        <v>3087</v>
      </c>
      <c r="M1395" s="3" t="s">
        <v>3088</v>
      </c>
      <c r="N1395" s="3" t="s">
        <v>3089</v>
      </c>
      <c r="O1395" s="3"/>
      <c r="P1395" s="3"/>
      <c r="Q1395" s="3"/>
      <c r="R1395" s="3" t="s">
        <v>3090</v>
      </c>
      <c r="S1395" s="3" t="s">
        <v>3091</v>
      </c>
      <c r="T1395" s="3" t="s">
        <v>21</v>
      </c>
      <c r="U1395" s="11">
        <v>480</v>
      </c>
      <c r="V1395" s="3" t="s">
        <v>3027</v>
      </c>
      <c r="W1395" s="8" t="s">
        <v>7834</v>
      </c>
    </row>
    <row r="1396" spans="1:23" x14ac:dyDescent="0.25">
      <c r="A1396" s="2">
        <v>739</v>
      </c>
      <c r="B1396" s="3" t="s">
        <v>3027</v>
      </c>
      <c r="C1396" s="3">
        <v>2024</v>
      </c>
      <c r="D1396" s="3" t="s">
        <v>825</v>
      </c>
      <c r="E1396" s="3" t="s">
        <v>15</v>
      </c>
      <c r="F1396" s="1" t="s">
        <v>7834</v>
      </c>
      <c r="G1396" s="10"/>
      <c r="H1396" s="10"/>
      <c r="I1396" s="10"/>
      <c r="J1396" s="10"/>
      <c r="K1396" s="10"/>
      <c r="L1396" s="3" t="s">
        <v>3092</v>
      </c>
      <c r="M1396" s="3" t="s">
        <v>3093</v>
      </c>
      <c r="N1396" s="3" t="s">
        <v>3094</v>
      </c>
      <c r="O1396" s="3"/>
      <c r="P1396" s="3"/>
      <c r="Q1396" s="3"/>
      <c r="R1396" s="3" t="s">
        <v>3059</v>
      </c>
      <c r="S1396" s="3" t="s">
        <v>3095</v>
      </c>
      <c r="T1396" s="3" t="s">
        <v>21</v>
      </c>
      <c r="U1396" s="11">
        <v>481</v>
      </c>
      <c r="V1396" s="3" t="s">
        <v>3027</v>
      </c>
      <c r="W1396" s="8" t="s">
        <v>7834</v>
      </c>
    </row>
    <row r="1397" spans="1:23" x14ac:dyDescent="0.25">
      <c r="A1397" s="2">
        <v>742</v>
      </c>
      <c r="B1397" s="3" t="s">
        <v>3027</v>
      </c>
      <c r="C1397" s="3">
        <v>2024</v>
      </c>
      <c r="D1397" s="3" t="s">
        <v>2554</v>
      </c>
      <c r="E1397" s="3" t="s">
        <v>15</v>
      </c>
      <c r="F1397" s="1" t="s">
        <v>7834</v>
      </c>
      <c r="G1397" s="10"/>
      <c r="H1397" s="10"/>
      <c r="I1397" s="10"/>
      <c r="J1397" s="10"/>
      <c r="K1397" s="10"/>
      <c r="L1397" s="3" t="s">
        <v>3105</v>
      </c>
      <c r="M1397" s="3" t="s">
        <v>3106</v>
      </c>
      <c r="N1397" s="3" t="s">
        <v>3107</v>
      </c>
      <c r="O1397" s="3"/>
      <c r="P1397" s="3"/>
      <c r="Q1397" s="3"/>
      <c r="R1397" s="3" t="s">
        <v>3108</v>
      </c>
      <c r="S1397" s="3" t="s">
        <v>3109</v>
      </c>
      <c r="T1397" s="3" t="s">
        <v>21</v>
      </c>
      <c r="U1397" s="11">
        <v>482</v>
      </c>
      <c r="V1397" s="3" t="s">
        <v>3027</v>
      </c>
      <c r="W1397" s="8" t="s">
        <v>7834</v>
      </c>
    </row>
    <row r="1398" spans="1:23" x14ac:dyDescent="0.25">
      <c r="A1398" s="2">
        <v>744</v>
      </c>
      <c r="B1398" s="3" t="s">
        <v>3027</v>
      </c>
      <c r="C1398" s="3">
        <v>2024</v>
      </c>
      <c r="D1398" s="3" t="s">
        <v>3114</v>
      </c>
      <c r="E1398" s="3" t="s">
        <v>15</v>
      </c>
      <c r="F1398" s="1" t="s">
        <v>7834</v>
      </c>
      <c r="G1398" s="10"/>
      <c r="H1398" s="10"/>
      <c r="I1398" s="10"/>
      <c r="J1398" s="10"/>
      <c r="K1398" s="10"/>
      <c r="L1398" s="3" t="s">
        <v>3115</v>
      </c>
      <c r="M1398" s="3" t="s">
        <v>3116</v>
      </c>
      <c r="N1398" s="3" t="s">
        <v>3117</v>
      </c>
      <c r="O1398" s="3"/>
      <c r="P1398" s="3"/>
      <c r="Q1398" s="3"/>
      <c r="R1398" s="3" t="s">
        <v>3118</v>
      </c>
      <c r="S1398" s="3" t="s">
        <v>3119</v>
      </c>
      <c r="T1398" s="3" t="s">
        <v>21</v>
      </c>
      <c r="U1398" s="11">
        <v>483</v>
      </c>
      <c r="V1398" s="3" t="s">
        <v>3027</v>
      </c>
      <c r="W1398" s="8" t="s">
        <v>7834</v>
      </c>
    </row>
    <row r="1399" spans="1:23" x14ac:dyDescent="0.25">
      <c r="A1399" s="2">
        <v>745</v>
      </c>
      <c r="B1399" s="3" t="s">
        <v>3027</v>
      </c>
      <c r="C1399" s="3">
        <v>2024</v>
      </c>
      <c r="D1399" s="3" t="s">
        <v>1563</v>
      </c>
      <c r="E1399" s="3" t="s">
        <v>15</v>
      </c>
      <c r="F1399" s="1" t="s">
        <v>7834</v>
      </c>
      <c r="G1399" s="10"/>
      <c r="H1399" s="10"/>
      <c r="I1399" s="10"/>
      <c r="J1399" s="10"/>
      <c r="K1399" s="10"/>
      <c r="L1399" s="3" t="s">
        <v>3120</v>
      </c>
      <c r="M1399" s="3" t="s">
        <v>3121</v>
      </c>
      <c r="N1399" s="3" t="s">
        <v>3031</v>
      </c>
      <c r="O1399" s="3"/>
      <c r="P1399" s="3"/>
      <c r="Q1399" s="3"/>
      <c r="R1399" s="3" t="s">
        <v>3122</v>
      </c>
      <c r="S1399" s="3" t="s">
        <v>3123</v>
      </c>
      <c r="T1399" s="3" t="s">
        <v>21</v>
      </c>
      <c r="U1399" s="11">
        <v>484</v>
      </c>
      <c r="V1399" s="3" t="s">
        <v>3027</v>
      </c>
      <c r="W1399" s="8" t="s">
        <v>7834</v>
      </c>
    </row>
    <row r="1400" spans="1:23" x14ac:dyDescent="0.25">
      <c r="A1400" s="2">
        <v>746</v>
      </c>
      <c r="B1400" s="3" t="s">
        <v>3027</v>
      </c>
      <c r="C1400" s="3">
        <v>2024</v>
      </c>
      <c r="D1400" s="3" t="s">
        <v>848</v>
      </c>
      <c r="E1400" s="3" t="s">
        <v>15</v>
      </c>
      <c r="F1400" s="1" t="s">
        <v>7834</v>
      </c>
      <c r="G1400" s="10"/>
      <c r="H1400" s="10"/>
      <c r="I1400" s="10"/>
      <c r="J1400" s="10"/>
      <c r="K1400" s="10"/>
      <c r="L1400" s="3" t="s">
        <v>3124</v>
      </c>
      <c r="M1400" s="3" t="s">
        <v>3125</v>
      </c>
      <c r="N1400" s="3" t="s">
        <v>3094</v>
      </c>
      <c r="O1400" s="3"/>
      <c r="P1400" s="3"/>
      <c r="Q1400" s="3"/>
      <c r="R1400" s="3" t="s">
        <v>3126</v>
      </c>
      <c r="S1400" s="3" t="s">
        <v>3127</v>
      </c>
      <c r="T1400" s="3" t="s">
        <v>21</v>
      </c>
      <c r="U1400" s="11">
        <v>485</v>
      </c>
      <c r="V1400" s="3" t="s">
        <v>3027</v>
      </c>
      <c r="W1400" s="8" t="s">
        <v>7834</v>
      </c>
    </row>
    <row r="1401" spans="1:23" x14ac:dyDescent="0.25">
      <c r="A1401" s="2">
        <v>747</v>
      </c>
      <c r="B1401" s="3" t="s">
        <v>3027</v>
      </c>
      <c r="C1401" s="3">
        <v>2024</v>
      </c>
      <c r="D1401" s="3" t="s">
        <v>215</v>
      </c>
      <c r="E1401" s="3" t="s">
        <v>15</v>
      </c>
      <c r="F1401" s="1" t="s">
        <v>7834</v>
      </c>
      <c r="G1401" s="10">
        <v>17</v>
      </c>
      <c r="H1401" s="10"/>
      <c r="I1401" s="10"/>
      <c r="J1401" s="10"/>
      <c r="K1401" s="10"/>
      <c r="L1401" s="3" t="s">
        <v>3128</v>
      </c>
      <c r="M1401" s="3" t="s">
        <v>3129</v>
      </c>
      <c r="N1401" s="3" t="s">
        <v>3031</v>
      </c>
      <c r="O1401" s="3"/>
      <c r="P1401" s="3"/>
      <c r="Q1401" s="3"/>
      <c r="R1401" s="3" t="s">
        <v>3032</v>
      </c>
      <c r="S1401" s="3" t="s">
        <v>3130</v>
      </c>
      <c r="T1401" s="3" t="s">
        <v>21</v>
      </c>
      <c r="U1401" s="11">
        <v>486</v>
      </c>
      <c r="V1401" s="3" t="s">
        <v>3027</v>
      </c>
      <c r="W1401" s="8" t="s">
        <v>7834</v>
      </c>
    </row>
    <row r="1402" spans="1:23" x14ac:dyDescent="0.25">
      <c r="A1402" s="2">
        <v>748</v>
      </c>
      <c r="B1402" s="3" t="s">
        <v>3131</v>
      </c>
      <c r="C1402" s="3">
        <v>2024</v>
      </c>
      <c r="D1402" s="3" t="s">
        <v>389</v>
      </c>
      <c r="E1402" s="3" t="s">
        <v>15</v>
      </c>
      <c r="F1402" s="1" t="s">
        <v>7834</v>
      </c>
      <c r="G1402" s="10"/>
      <c r="H1402" s="10"/>
      <c r="I1402" s="10"/>
      <c r="J1402" s="10"/>
      <c r="K1402" s="10"/>
      <c r="L1402" s="3" t="s">
        <v>390</v>
      </c>
      <c r="M1402" s="3" t="s">
        <v>3132</v>
      </c>
      <c r="N1402" s="3" t="s">
        <v>3133</v>
      </c>
      <c r="O1402" s="3">
        <v>5</v>
      </c>
      <c r="P1402" s="3">
        <v>319</v>
      </c>
      <c r="Q1402" s="3">
        <v>1</v>
      </c>
      <c r="R1402" s="3" t="s">
        <v>3134</v>
      </c>
      <c r="S1402" s="3" t="s">
        <v>394</v>
      </c>
      <c r="T1402" s="3" t="s">
        <v>21</v>
      </c>
      <c r="U1402" s="11">
        <v>487</v>
      </c>
      <c r="V1402" s="3" t="s">
        <v>3131</v>
      </c>
      <c r="W1402" s="8" t="s">
        <v>7834</v>
      </c>
    </row>
    <row r="1403" spans="1:23" x14ac:dyDescent="0.25">
      <c r="A1403" s="2">
        <v>749</v>
      </c>
      <c r="B1403" s="3" t="s">
        <v>3131</v>
      </c>
      <c r="C1403" s="3">
        <v>2024</v>
      </c>
      <c r="D1403" s="3" t="s">
        <v>330</v>
      </c>
      <c r="E1403" s="3" t="s">
        <v>15</v>
      </c>
      <c r="F1403" s="1" t="s">
        <v>7834</v>
      </c>
      <c r="G1403" s="10"/>
      <c r="H1403" s="10"/>
      <c r="I1403" s="10"/>
      <c r="J1403" s="10"/>
      <c r="K1403" s="10"/>
      <c r="L1403" s="3" t="s">
        <v>331</v>
      </c>
      <c r="M1403" s="3" t="s">
        <v>332</v>
      </c>
      <c r="N1403" s="3" t="s">
        <v>3135</v>
      </c>
      <c r="O1403" s="3">
        <v>123</v>
      </c>
      <c r="P1403" s="3" t="s">
        <v>3136</v>
      </c>
      <c r="Q1403" s="3">
        <v>812</v>
      </c>
      <c r="R1403" s="3" t="s">
        <v>3137</v>
      </c>
      <c r="S1403" s="3" t="s">
        <v>337</v>
      </c>
      <c r="T1403" s="3" t="s">
        <v>21</v>
      </c>
      <c r="U1403" s="11">
        <v>488</v>
      </c>
      <c r="V1403" s="3" t="s">
        <v>3131</v>
      </c>
      <c r="W1403" s="8" t="s">
        <v>7834</v>
      </c>
    </row>
    <row r="1404" spans="1:23" x14ac:dyDescent="0.25">
      <c r="A1404" s="2">
        <v>750</v>
      </c>
      <c r="B1404" s="3" t="s">
        <v>3131</v>
      </c>
      <c r="C1404" s="3">
        <v>2024</v>
      </c>
      <c r="D1404" s="3" t="s">
        <v>323</v>
      </c>
      <c r="E1404" s="3" t="s">
        <v>15</v>
      </c>
      <c r="F1404" s="1" t="s">
        <v>7834</v>
      </c>
      <c r="G1404" s="10"/>
      <c r="H1404" s="10"/>
      <c r="I1404" s="10"/>
      <c r="J1404" s="10"/>
      <c r="K1404" s="10"/>
      <c r="L1404" s="3" t="s">
        <v>324</v>
      </c>
      <c r="M1404" s="3" t="s">
        <v>325</v>
      </c>
      <c r="N1404" s="3" t="s">
        <v>3138</v>
      </c>
      <c r="O1404" s="3">
        <v>69</v>
      </c>
      <c r="P1404" s="3"/>
      <c r="Q1404" s="3">
        <v>1115</v>
      </c>
      <c r="R1404" s="3" t="s">
        <v>314</v>
      </c>
      <c r="S1404" s="3" t="s">
        <v>329</v>
      </c>
      <c r="T1404" s="3" t="s">
        <v>21</v>
      </c>
      <c r="U1404" s="11">
        <v>489</v>
      </c>
      <c r="V1404" s="3" t="s">
        <v>3131</v>
      </c>
      <c r="W1404" s="8" t="s">
        <v>7834</v>
      </c>
    </row>
    <row r="1405" spans="1:23" x14ac:dyDescent="0.25">
      <c r="A1405" s="2">
        <v>752</v>
      </c>
      <c r="B1405" s="3" t="s">
        <v>3131</v>
      </c>
      <c r="C1405" s="3">
        <v>2024</v>
      </c>
      <c r="D1405" s="3" t="s">
        <v>1151</v>
      </c>
      <c r="E1405" s="3" t="s">
        <v>15</v>
      </c>
      <c r="F1405" s="1" t="s">
        <v>7834</v>
      </c>
      <c r="G1405" s="10"/>
      <c r="H1405" s="10"/>
      <c r="I1405" s="10"/>
      <c r="J1405" s="10"/>
      <c r="K1405" s="10"/>
      <c r="L1405" s="3" t="s">
        <v>3144</v>
      </c>
      <c r="M1405" s="3" t="s">
        <v>3145</v>
      </c>
      <c r="N1405" s="3" t="s">
        <v>3146</v>
      </c>
      <c r="O1405" s="3">
        <v>16</v>
      </c>
      <c r="P1405" s="3">
        <v>2</v>
      </c>
      <c r="Q1405" s="3">
        <v>108</v>
      </c>
      <c r="R1405" s="3" t="s">
        <v>306</v>
      </c>
      <c r="S1405" s="3" t="s">
        <v>3147</v>
      </c>
      <c r="T1405" s="3" t="s">
        <v>21</v>
      </c>
      <c r="U1405" s="11">
        <v>490</v>
      </c>
      <c r="V1405" s="3" t="s">
        <v>3131</v>
      </c>
      <c r="W1405" s="8" t="s">
        <v>7834</v>
      </c>
    </row>
    <row r="1406" spans="1:23" x14ac:dyDescent="0.25">
      <c r="A1406" s="2">
        <v>753</v>
      </c>
      <c r="B1406" s="3" t="s">
        <v>3131</v>
      </c>
      <c r="C1406" s="3">
        <v>2024</v>
      </c>
      <c r="D1406" s="3" t="s">
        <v>316</v>
      </c>
      <c r="E1406" s="3" t="s">
        <v>15</v>
      </c>
      <c r="F1406" s="1" t="s">
        <v>7834</v>
      </c>
      <c r="G1406" s="10"/>
      <c r="H1406" s="10"/>
      <c r="I1406" s="10"/>
      <c r="J1406" s="10"/>
      <c r="K1406" s="10"/>
      <c r="L1406" s="3" t="s">
        <v>317</v>
      </c>
      <c r="M1406" s="3" t="s">
        <v>3148</v>
      </c>
      <c r="N1406" s="3" t="s">
        <v>319</v>
      </c>
      <c r="O1406" s="3">
        <v>14</v>
      </c>
      <c r="P1406" s="3">
        <v>12366</v>
      </c>
      <c r="Q1406" s="3">
        <v>1</v>
      </c>
      <c r="R1406" s="3" t="s">
        <v>1002</v>
      </c>
      <c r="S1406" s="3" t="s">
        <v>322</v>
      </c>
      <c r="T1406" s="3" t="s">
        <v>21</v>
      </c>
      <c r="U1406" s="11">
        <v>491</v>
      </c>
      <c r="V1406" s="3" t="s">
        <v>3131</v>
      </c>
      <c r="W1406" s="8" t="s">
        <v>7834</v>
      </c>
    </row>
    <row r="1407" spans="1:23" x14ac:dyDescent="0.25">
      <c r="A1407" s="2">
        <v>755</v>
      </c>
      <c r="B1407" s="3" t="s">
        <v>3154</v>
      </c>
      <c r="C1407" s="3">
        <v>2024</v>
      </c>
      <c r="D1407" s="3" t="s">
        <v>3155</v>
      </c>
      <c r="E1407" s="3" t="s">
        <v>15</v>
      </c>
      <c r="F1407" s="1" t="s">
        <v>7834</v>
      </c>
      <c r="G1407" s="10"/>
      <c r="H1407" s="10"/>
      <c r="I1407" s="10"/>
      <c r="J1407" s="10"/>
      <c r="K1407" s="10"/>
      <c r="L1407" s="3" t="s">
        <v>3156</v>
      </c>
      <c r="M1407" s="3" t="s">
        <v>3157</v>
      </c>
      <c r="N1407" s="3" t="s">
        <v>3158</v>
      </c>
      <c r="O1407" s="3">
        <v>14</v>
      </c>
      <c r="P1407" s="3">
        <v>0</v>
      </c>
      <c r="Q1407" s="3">
        <v>1145</v>
      </c>
      <c r="R1407" s="3" t="s">
        <v>3159</v>
      </c>
      <c r="S1407" s="3" t="s">
        <v>3160</v>
      </c>
      <c r="T1407" s="3" t="s">
        <v>21</v>
      </c>
      <c r="U1407" s="11">
        <v>492</v>
      </c>
      <c r="V1407" s="3" t="s">
        <v>3154</v>
      </c>
      <c r="W1407" s="8" t="s">
        <v>7834</v>
      </c>
    </row>
    <row r="1408" spans="1:23" x14ac:dyDescent="0.25">
      <c r="A1408" s="2">
        <v>757</v>
      </c>
      <c r="B1408" s="3" t="s">
        <v>3154</v>
      </c>
      <c r="C1408" s="3">
        <v>2024</v>
      </c>
      <c r="D1408" s="3" t="s">
        <v>1838</v>
      </c>
      <c r="E1408" s="3" t="s">
        <v>15</v>
      </c>
      <c r="F1408" s="1" t="s">
        <v>7834</v>
      </c>
      <c r="G1408" s="10"/>
      <c r="H1408" s="10"/>
      <c r="I1408" s="10"/>
      <c r="J1408" s="10"/>
      <c r="K1408" s="10"/>
      <c r="L1408" s="3" t="s">
        <v>3163</v>
      </c>
      <c r="M1408" s="3" t="s">
        <v>3164</v>
      </c>
      <c r="N1408" s="3" t="s">
        <v>2935</v>
      </c>
      <c r="O1408" s="3">
        <v>14</v>
      </c>
      <c r="P1408" s="3">
        <v>2</v>
      </c>
      <c r="Q1408" s="3">
        <v>143</v>
      </c>
      <c r="R1408" s="3" t="s">
        <v>2936</v>
      </c>
      <c r="S1408" s="3" t="s">
        <v>3165</v>
      </c>
      <c r="T1408" s="3" t="s">
        <v>21</v>
      </c>
      <c r="U1408" s="11">
        <v>493</v>
      </c>
      <c r="V1408" s="3" t="s">
        <v>3154</v>
      </c>
      <c r="W1408" s="8" t="s">
        <v>7834</v>
      </c>
    </row>
    <row r="1409" spans="1:23" x14ac:dyDescent="0.25">
      <c r="A1409" s="2">
        <v>758</v>
      </c>
      <c r="B1409" s="3" t="s">
        <v>3154</v>
      </c>
      <c r="C1409" s="3">
        <v>2024</v>
      </c>
      <c r="D1409" s="3" t="s">
        <v>1470</v>
      </c>
      <c r="E1409" s="3" t="s">
        <v>15</v>
      </c>
      <c r="F1409" s="1" t="s">
        <v>7834</v>
      </c>
      <c r="G1409" s="10"/>
      <c r="H1409" s="10"/>
      <c r="I1409" s="10"/>
      <c r="J1409" s="10"/>
      <c r="K1409" s="10"/>
      <c r="L1409" s="3" t="s">
        <v>3166</v>
      </c>
      <c r="M1409" s="3" t="s">
        <v>3167</v>
      </c>
      <c r="N1409" s="3" t="s">
        <v>2935</v>
      </c>
      <c r="O1409" s="3">
        <v>14</v>
      </c>
      <c r="P1409" s="3">
        <v>0</v>
      </c>
      <c r="Q1409" s="3">
        <v>1</v>
      </c>
      <c r="R1409" s="3" t="s">
        <v>2936</v>
      </c>
      <c r="S1409" s="3" t="s">
        <v>3168</v>
      </c>
      <c r="T1409" s="3" t="s">
        <v>21</v>
      </c>
      <c r="U1409" s="11">
        <v>494</v>
      </c>
      <c r="V1409" s="3" t="s">
        <v>3154</v>
      </c>
      <c r="W1409" s="8" t="s">
        <v>7834</v>
      </c>
    </row>
    <row r="1410" spans="1:23" x14ac:dyDescent="0.25">
      <c r="A1410" s="2">
        <v>761</v>
      </c>
      <c r="B1410" s="3" t="s">
        <v>3154</v>
      </c>
      <c r="C1410" s="3">
        <v>2024</v>
      </c>
      <c r="D1410" s="3" t="s">
        <v>2771</v>
      </c>
      <c r="E1410" s="3" t="s">
        <v>15</v>
      </c>
      <c r="F1410" s="1" t="s">
        <v>7834</v>
      </c>
      <c r="G1410" s="10"/>
      <c r="H1410" s="10"/>
      <c r="I1410" s="10"/>
      <c r="J1410" s="10"/>
      <c r="K1410" s="10"/>
      <c r="L1410" s="3" t="s">
        <v>3177</v>
      </c>
      <c r="M1410" s="3" t="s">
        <v>3178</v>
      </c>
      <c r="N1410" s="3" t="s">
        <v>3179</v>
      </c>
      <c r="O1410" s="3">
        <v>30</v>
      </c>
      <c r="P1410" s="3">
        <v>0</v>
      </c>
      <c r="Q1410" s="3">
        <v>1900</v>
      </c>
      <c r="R1410" s="3" t="s">
        <v>3180</v>
      </c>
      <c r="S1410" s="3" t="s">
        <v>3181</v>
      </c>
      <c r="T1410" s="3" t="s">
        <v>21</v>
      </c>
      <c r="U1410" s="11">
        <v>495</v>
      </c>
      <c r="V1410" s="3" t="s">
        <v>3154</v>
      </c>
      <c r="W1410" s="8" t="s">
        <v>7834</v>
      </c>
    </row>
    <row r="1411" spans="1:23" x14ac:dyDescent="0.25">
      <c r="A1411" s="2">
        <v>762</v>
      </c>
      <c r="B1411" s="3" t="s">
        <v>3154</v>
      </c>
      <c r="C1411" s="3">
        <v>2024</v>
      </c>
      <c r="D1411" s="3" t="s">
        <v>14</v>
      </c>
      <c r="E1411" s="3" t="s">
        <v>15</v>
      </c>
      <c r="F1411" s="1" t="s">
        <v>7834</v>
      </c>
      <c r="G1411" s="10"/>
      <c r="H1411" s="10"/>
      <c r="I1411" s="10"/>
      <c r="J1411" s="10"/>
      <c r="K1411" s="10"/>
      <c r="L1411" s="3" t="s">
        <v>3182</v>
      </c>
      <c r="M1411" s="3" t="s">
        <v>3183</v>
      </c>
      <c r="N1411" s="3" t="s">
        <v>3184</v>
      </c>
      <c r="O1411" s="3">
        <v>45</v>
      </c>
      <c r="P1411" s="3">
        <v>1</v>
      </c>
      <c r="Q1411" s="3">
        <v>31</v>
      </c>
      <c r="R1411" s="3" t="s">
        <v>3185</v>
      </c>
      <c r="S1411" s="3" t="s">
        <v>3186</v>
      </c>
      <c r="T1411" s="3" t="s">
        <v>21</v>
      </c>
      <c r="U1411" s="11">
        <v>496</v>
      </c>
      <c r="V1411" s="3" t="s">
        <v>3154</v>
      </c>
      <c r="W1411" s="8" t="s">
        <v>7834</v>
      </c>
    </row>
    <row r="1412" spans="1:23" x14ac:dyDescent="0.25">
      <c r="A1412" s="2">
        <v>763</v>
      </c>
      <c r="B1412" s="3" t="s">
        <v>3154</v>
      </c>
      <c r="C1412" s="3">
        <v>2024</v>
      </c>
      <c r="D1412" s="3" t="s">
        <v>2197</v>
      </c>
      <c r="E1412" s="3" t="s">
        <v>15</v>
      </c>
      <c r="F1412" s="1" t="s">
        <v>7834</v>
      </c>
      <c r="G1412" s="10"/>
      <c r="H1412" s="10"/>
      <c r="I1412" s="10"/>
      <c r="J1412" s="10"/>
      <c r="K1412" s="10"/>
      <c r="L1412" s="3" t="s">
        <v>3187</v>
      </c>
      <c r="M1412" s="3" t="s">
        <v>3188</v>
      </c>
      <c r="N1412" s="3" t="s">
        <v>3189</v>
      </c>
      <c r="O1412" s="3">
        <v>5</v>
      </c>
      <c r="P1412" s="3">
        <v>0</v>
      </c>
      <c r="Q1412" s="3">
        <v>1447014</v>
      </c>
      <c r="R1412" s="3">
        <v>0</v>
      </c>
      <c r="S1412" s="3" t="s">
        <v>3190</v>
      </c>
      <c r="T1412" s="3" t="s">
        <v>21</v>
      </c>
      <c r="U1412" s="11">
        <v>497</v>
      </c>
      <c r="V1412" s="3" t="s">
        <v>3154</v>
      </c>
      <c r="W1412" s="8" t="s">
        <v>7834</v>
      </c>
    </row>
    <row r="1413" spans="1:23" x14ac:dyDescent="0.25">
      <c r="A1413" s="2">
        <v>768</v>
      </c>
      <c r="B1413" s="3" t="s">
        <v>3154</v>
      </c>
      <c r="C1413" s="3">
        <v>2024</v>
      </c>
      <c r="D1413" s="3" t="s">
        <v>14</v>
      </c>
      <c r="E1413" s="3" t="s">
        <v>15</v>
      </c>
      <c r="F1413" s="1" t="s">
        <v>7834</v>
      </c>
      <c r="G1413" s="10"/>
      <c r="H1413" s="10"/>
      <c r="I1413" s="10"/>
      <c r="J1413" s="10"/>
      <c r="K1413" s="10"/>
      <c r="L1413" s="3" t="s">
        <v>3208</v>
      </c>
      <c r="M1413" s="3" t="s">
        <v>3209</v>
      </c>
      <c r="N1413" s="3" t="s">
        <v>3210</v>
      </c>
      <c r="O1413" s="3">
        <v>103</v>
      </c>
      <c r="P1413" s="3">
        <v>105169</v>
      </c>
      <c r="Q1413" s="3">
        <v>1</v>
      </c>
      <c r="R1413" s="3" t="s">
        <v>3211</v>
      </c>
      <c r="S1413" s="3" t="s">
        <v>3212</v>
      </c>
      <c r="T1413" s="3" t="s">
        <v>21</v>
      </c>
      <c r="U1413" s="11">
        <v>498</v>
      </c>
      <c r="V1413" s="3" t="s">
        <v>3154</v>
      </c>
      <c r="W1413" s="8" t="s">
        <v>7834</v>
      </c>
    </row>
    <row r="1414" spans="1:23" x14ac:dyDescent="0.25">
      <c r="A1414" s="2">
        <v>769</v>
      </c>
      <c r="B1414" s="3" t="s">
        <v>3154</v>
      </c>
      <c r="C1414" s="3">
        <v>2024</v>
      </c>
      <c r="D1414" s="3" t="s">
        <v>3213</v>
      </c>
      <c r="E1414" s="3" t="s">
        <v>15</v>
      </c>
      <c r="F1414" s="1" t="s">
        <v>7834</v>
      </c>
      <c r="G1414" s="10"/>
      <c r="H1414" s="10"/>
      <c r="I1414" s="10"/>
      <c r="J1414" s="10"/>
      <c r="K1414" s="10"/>
      <c r="L1414" s="3" t="s">
        <v>3214</v>
      </c>
      <c r="M1414" s="3" t="s">
        <v>3215</v>
      </c>
      <c r="N1414" s="3" t="s">
        <v>3216</v>
      </c>
      <c r="O1414" s="3">
        <v>607</v>
      </c>
      <c r="P1414" s="3">
        <v>234493</v>
      </c>
      <c r="Q1414" s="3">
        <v>1</v>
      </c>
      <c r="R1414" s="3" t="s">
        <v>3217</v>
      </c>
      <c r="S1414" s="3" t="s">
        <v>3218</v>
      </c>
      <c r="T1414" s="3" t="s">
        <v>21</v>
      </c>
      <c r="U1414" s="11">
        <v>499</v>
      </c>
      <c r="V1414" s="3" t="s">
        <v>3154</v>
      </c>
      <c r="W1414" s="8" t="s">
        <v>7834</v>
      </c>
    </row>
    <row r="1415" spans="1:23" x14ac:dyDescent="0.25">
      <c r="A1415" s="2">
        <v>770</v>
      </c>
      <c r="B1415" s="3" t="s">
        <v>3154</v>
      </c>
      <c r="C1415" s="3">
        <v>2024</v>
      </c>
      <c r="D1415" s="3" t="s">
        <v>107</v>
      </c>
      <c r="E1415" s="3" t="s">
        <v>15</v>
      </c>
      <c r="F1415" s="1" t="s">
        <v>7834</v>
      </c>
      <c r="G1415" s="10"/>
      <c r="H1415" s="10"/>
      <c r="I1415" s="10"/>
      <c r="J1415" s="10"/>
      <c r="K1415" s="10"/>
      <c r="L1415" s="3" t="s">
        <v>3219</v>
      </c>
      <c r="M1415" s="3" t="s">
        <v>3220</v>
      </c>
      <c r="N1415" s="3" t="s">
        <v>3221</v>
      </c>
      <c r="O1415" s="3">
        <v>313</v>
      </c>
      <c r="P1415" s="3">
        <v>133996</v>
      </c>
      <c r="Q1415" s="3">
        <v>133996</v>
      </c>
      <c r="R1415" s="3" t="s">
        <v>3222</v>
      </c>
      <c r="S1415" s="3" t="s">
        <v>3223</v>
      </c>
      <c r="T1415" s="3" t="s">
        <v>21</v>
      </c>
      <c r="U1415" s="11">
        <v>500</v>
      </c>
      <c r="V1415" s="3" t="s">
        <v>3154</v>
      </c>
      <c r="W1415" s="8" t="s">
        <v>7834</v>
      </c>
    </row>
    <row r="1416" spans="1:23" x14ac:dyDescent="0.25">
      <c r="A1416" s="2">
        <v>774</v>
      </c>
      <c r="B1416" s="3" t="s">
        <v>3154</v>
      </c>
      <c r="C1416" s="3">
        <v>2024</v>
      </c>
      <c r="D1416" s="3" t="s">
        <v>825</v>
      </c>
      <c r="E1416" s="3" t="s">
        <v>15</v>
      </c>
      <c r="F1416" s="1" t="s">
        <v>7834</v>
      </c>
      <c r="G1416" s="10"/>
      <c r="H1416" s="10"/>
      <c r="I1416" s="10"/>
      <c r="J1416" s="10"/>
      <c r="K1416" s="10"/>
      <c r="L1416" s="3" t="s">
        <v>3237</v>
      </c>
      <c r="M1416" s="3" t="s">
        <v>3238</v>
      </c>
      <c r="N1416" s="3" t="s">
        <v>3239</v>
      </c>
      <c r="O1416" s="3">
        <v>247</v>
      </c>
      <c r="P1416" s="3"/>
      <c r="Q1416" s="3">
        <v>113431</v>
      </c>
      <c r="R1416" s="3" t="s">
        <v>3240</v>
      </c>
      <c r="S1416" s="3" t="s">
        <v>3241</v>
      </c>
      <c r="T1416" s="3" t="s">
        <v>21</v>
      </c>
      <c r="U1416" s="11">
        <v>501</v>
      </c>
      <c r="V1416" s="3" t="s">
        <v>3154</v>
      </c>
      <c r="W1416" s="8" t="s">
        <v>7834</v>
      </c>
    </row>
    <row r="1417" spans="1:23" x14ac:dyDescent="0.25">
      <c r="A1417" s="2">
        <v>776</v>
      </c>
      <c r="B1417" s="3" t="s">
        <v>3154</v>
      </c>
      <c r="C1417" s="3">
        <v>2024</v>
      </c>
      <c r="D1417" s="3" t="s">
        <v>508</v>
      </c>
      <c r="E1417" s="3" t="s">
        <v>15</v>
      </c>
      <c r="F1417" s="1" t="s">
        <v>7834</v>
      </c>
      <c r="G1417" s="10"/>
      <c r="H1417" s="10"/>
      <c r="I1417" s="10"/>
      <c r="J1417" s="10"/>
      <c r="K1417" s="10"/>
      <c r="L1417" s="3" t="s">
        <v>3248</v>
      </c>
      <c r="M1417" s="3" t="s">
        <v>3249</v>
      </c>
      <c r="N1417" s="3" t="s">
        <v>2935</v>
      </c>
      <c r="O1417" s="3">
        <v>14</v>
      </c>
      <c r="P1417" s="3">
        <v>0</v>
      </c>
      <c r="Q1417" s="3">
        <v>1465</v>
      </c>
      <c r="R1417" s="3" t="s">
        <v>2936</v>
      </c>
      <c r="S1417" s="3" t="s">
        <v>3250</v>
      </c>
      <c r="T1417" s="3" t="s">
        <v>21</v>
      </c>
      <c r="U1417" s="11">
        <v>502</v>
      </c>
      <c r="V1417" s="3" t="s">
        <v>3154</v>
      </c>
      <c r="W1417" s="8" t="s">
        <v>7834</v>
      </c>
    </row>
    <row r="1418" spans="1:23" x14ac:dyDescent="0.25">
      <c r="A1418" s="2">
        <v>779</v>
      </c>
      <c r="B1418" s="3" t="s">
        <v>3154</v>
      </c>
      <c r="C1418" s="3">
        <v>2024</v>
      </c>
      <c r="D1418" s="3" t="s">
        <v>2491</v>
      </c>
      <c r="E1418" s="3" t="s">
        <v>15</v>
      </c>
      <c r="F1418" s="1" t="s">
        <v>7834</v>
      </c>
      <c r="G1418" s="10"/>
      <c r="H1418" s="10"/>
      <c r="I1418" s="10"/>
      <c r="J1418" s="10"/>
      <c r="K1418" s="10"/>
      <c r="L1418" s="3" t="s">
        <v>3259</v>
      </c>
      <c r="M1418" s="3" t="s">
        <v>3260</v>
      </c>
      <c r="N1418" s="3" t="s">
        <v>3261</v>
      </c>
      <c r="O1418" s="3">
        <v>39</v>
      </c>
      <c r="P1418" s="3">
        <v>10</v>
      </c>
      <c r="Q1418" s="3">
        <v>12755</v>
      </c>
      <c r="R1418" s="3" t="s">
        <v>3262</v>
      </c>
      <c r="S1418" s="3" t="s">
        <v>3263</v>
      </c>
      <c r="T1418" s="3" t="s">
        <v>21</v>
      </c>
      <c r="U1418" s="11">
        <v>503</v>
      </c>
      <c r="V1418" s="3" t="s">
        <v>3154</v>
      </c>
      <c r="W1418" s="8" t="s">
        <v>7834</v>
      </c>
    </row>
    <row r="1419" spans="1:23" x14ac:dyDescent="0.25">
      <c r="A1419" s="2">
        <v>780</v>
      </c>
      <c r="B1419" s="3" t="s">
        <v>3154</v>
      </c>
      <c r="C1419" s="3">
        <v>2024</v>
      </c>
      <c r="D1419" s="3" t="s">
        <v>1520</v>
      </c>
      <c r="E1419" s="3" t="s">
        <v>15</v>
      </c>
      <c r="F1419" s="1" t="s">
        <v>7834</v>
      </c>
      <c r="G1419" s="10"/>
      <c r="H1419" s="10"/>
      <c r="I1419" s="10"/>
      <c r="J1419" s="10"/>
      <c r="K1419" s="10"/>
      <c r="L1419" s="3" t="s">
        <v>3264</v>
      </c>
      <c r="M1419" s="3" t="s">
        <v>3265</v>
      </c>
      <c r="N1419" s="3" t="s">
        <v>3266</v>
      </c>
      <c r="O1419" s="3">
        <v>12</v>
      </c>
      <c r="P1419" s="3">
        <v>0</v>
      </c>
      <c r="Q1419" s="3" t="s">
        <v>3267</v>
      </c>
      <c r="R1419" s="3" t="s">
        <v>3268</v>
      </c>
      <c r="S1419" s="3" t="s">
        <v>3269</v>
      </c>
      <c r="T1419" s="3" t="s">
        <v>21</v>
      </c>
      <c r="U1419" s="11">
        <v>504</v>
      </c>
      <c r="V1419" s="3" t="s">
        <v>3154</v>
      </c>
      <c r="W1419" s="8" t="s">
        <v>7834</v>
      </c>
    </row>
    <row r="1420" spans="1:23" x14ac:dyDescent="0.25">
      <c r="A1420" s="2">
        <v>783</v>
      </c>
      <c r="B1420" s="3" t="s">
        <v>3154</v>
      </c>
      <c r="C1420" s="3">
        <v>2024</v>
      </c>
      <c r="D1420" s="3" t="s">
        <v>894</v>
      </c>
      <c r="E1420" s="3" t="s">
        <v>15</v>
      </c>
      <c r="F1420" s="1" t="s">
        <v>7834</v>
      </c>
      <c r="G1420" s="10"/>
      <c r="H1420" s="10"/>
      <c r="I1420" s="10"/>
      <c r="J1420" s="10"/>
      <c r="K1420" s="10"/>
      <c r="L1420" s="3" t="s">
        <v>3282</v>
      </c>
      <c r="M1420" s="3" t="s">
        <v>3283</v>
      </c>
      <c r="N1420" s="3" t="s">
        <v>1769</v>
      </c>
      <c r="O1420" s="3">
        <v>58</v>
      </c>
      <c r="P1420" s="3"/>
      <c r="Q1420" s="3">
        <v>103687</v>
      </c>
      <c r="R1420" s="3" t="s">
        <v>1770</v>
      </c>
      <c r="S1420" s="3" t="s">
        <v>3284</v>
      </c>
      <c r="T1420" s="3" t="s">
        <v>21</v>
      </c>
      <c r="U1420" s="11">
        <v>505</v>
      </c>
      <c r="V1420" s="3" t="s">
        <v>3154</v>
      </c>
      <c r="W1420" s="8" t="s">
        <v>7834</v>
      </c>
    </row>
    <row r="1421" spans="1:23" x14ac:dyDescent="0.25">
      <c r="A1421" s="2">
        <v>784</v>
      </c>
      <c r="B1421" s="3" t="s">
        <v>3154</v>
      </c>
      <c r="C1421" s="3">
        <v>2024</v>
      </c>
      <c r="D1421" s="3" t="s">
        <v>1838</v>
      </c>
      <c r="E1421" s="3" t="s">
        <v>15</v>
      </c>
      <c r="F1421" s="1" t="s">
        <v>7834</v>
      </c>
      <c r="G1421" s="10"/>
      <c r="H1421" s="10"/>
      <c r="I1421" s="10"/>
      <c r="J1421" s="10"/>
      <c r="K1421" s="10"/>
      <c r="L1421" s="3" t="s">
        <v>3285</v>
      </c>
      <c r="M1421" s="3" t="s">
        <v>3286</v>
      </c>
      <c r="N1421" s="3" t="s">
        <v>3287</v>
      </c>
      <c r="O1421" s="3">
        <v>184</v>
      </c>
      <c r="P1421" s="3">
        <v>0</v>
      </c>
      <c r="Q1421" s="3">
        <v>113881</v>
      </c>
      <c r="R1421" s="3" t="s">
        <v>3288</v>
      </c>
      <c r="S1421" s="3" t="s">
        <v>3289</v>
      </c>
      <c r="T1421" s="3" t="s">
        <v>21</v>
      </c>
      <c r="U1421" s="11">
        <v>506</v>
      </c>
      <c r="V1421" s="3" t="s">
        <v>3154</v>
      </c>
      <c r="W1421" s="8" t="s">
        <v>7834</v>
      </c>
    </row>
    <row r="1422" spans="1:23" x14ac:dyDescent="0.25">
      <c r="A1422" s="2">
        <v>782</v>
      </c>
      <c r="B1422" s="3" t="s">
        <v>3154</v>
      </c>
      <c r="C1422" s="3">
        <v>2024</v>
      </c>
      <c r="D1422" s="3" t="s">
        <v>3276</v>
      </c>
      <c r="E1422" s="3" t="s">
        <v>206</v>
      </c>
      <c r="F1422" s="1" t="s">
        <v>7834</v>
      </c>
      <c r="G1422" s="10"/>
      <c r="H1422" s="10"/>
      <c r="I1422" s="10"/>
      <c r="J1422" s="10"/>
      <c r="K1422" s="10">
        <v>1</v>
      </c>
      <c r="L1422" s="3" t="s">
        <v>3277</v>
      </c>
      <c r="M1422" s="3" t="s">
        <v>3278</v>
      </c>
      <c r="N1422" s="3" t="s">
        <v>3279</v>
      </c>
      <c r="O1422" s="3">
        <v>678</v>
      </c>
      <c r="P1422" s="3"/>
      <c r="Q1422" s="3">
        <v>161049</v>
      </c>
      <c r="R1422" s="3" t="s">
        <v>3280</v>
      </c>
      <c r="S1422" s="3" t="s">
        <v>3281</v>
      </c>
      <c r="T1422" s="3" t="s">
        <v>21</v>
      </c>
      <c r="U1422" s="11">
        <v>507</v>
      </c>
      <c r="V1422" s="3" t="s">
        <v>3154</v>
      </c>
      <c r="W1422" s="8" t="s">
        <v>7834</v>
      </c>
    </row>
    <row r="1423" spans="1:23" x14ac:dyDescent="0.25">
      <c r="A1423" s="2">
        <v>789</v>
      </c>
      <c r="B1423" s="3" t="s">
        <v>3295</v>
      </c>
      <c r="C1423" s="3">
        <v>2024</v>
      </c>
      <c r="D1423" s="3" t="s">
        <v>295</v>
      </c>
      <c r="E1423" s="3" t="s">
        <v>15</v>
      </c>
      <c r="F1423" s="1" t="s">
        <v>7834</v>
      </c>
      <c r="G1423" s="10"/>
      <c r="H1423" s="10"/>
      <c r="I1423" s="10"/>
      <c r="J1423" s="10"/>
      <c r="K1423" s="10"/>
      <c r="L1423" s="3" t="s">
        <v>3311</v>
      </c>
      <c r="M1423" s="3" t="s">
        <v>3312</v>
      </c>
      <c r="N1423" s="3" t="s">
        <v>3313</v>
      </c>
      <c r="O1423" s="3"/>
      <c r="P1423" s="3"/>
      <c r="Q1423" s="3"/>
      <c r="R1423" s="3" t="s">
        <v>3314</v>
      </c>
      <c r="S1423" s="3" t="s">
        <v>3314</v>
      </c>
      <c r="T1423" s="3" t="s">
        <v>21</v>
      </c>
      <c r="U1423" s="11">
        <v>508</v>
      </c>
      <c r="V1423" s="3" t="s">
        <v>3295</v>
      </c>
      <c r="W1423" s="8" t="s">
        <v>7834</v>
      </c>
    </row>
    <row r="1424" spans="1:23" x14ac:dyDescent="0.25">
      <c r="A1424" s="2">
        <v>790</v>
      </c>
      <c r="B1424" s="3" t="s">
        <v>3295</v>
      </c>
      <c r="C1424" s="3">
        <v>2024</v>
      </c>
      <c r="D1424" s="3" t="s">
        <v>59</v>
      </c>
      <c r="E1424" s="3" t="s">
        <v>15</v>
      </c>
      <c r="F1424" s="1" t="s">
        <v>7834</v>
      </c>
      <c r="G1424" s="10"/>
      <c r="H1424" s="10"/>
      <c r="I1424" s="10"/>
      <c r="J1424" s="10"/>
      <c r="K1424" s="10"/>
      <c r="L1424" s="3" t="s">
        <v>3315</v>
      </c>
      <c r="M1424" s="3" t="s">
        <v>3316</v>
      </c>
      <c r="N1424" s="3" t="s">
        <v>3317</v>
      </c>
      <c r="O1424" s="3"/>
      <c r="P1424" s="3"/>
      <c r="Q1424" s="3"/>
      <c r="R1424" s="3" t="s">
        <v>3318</v>
      </c>
      <c r="S1424" s="3" t="s">
        <v>3319</v>
      </c>
      <c r="T1424" s="3" t="s">
        <v>21</v>
      </c>
      <c r="U1424" s="11">
        <v>509</v>
      </c>
      <c r="V1424" s="3" t="s">
        <v>3295</v>
      </c>
      <c r="W1424" s="8" t="s">
        <v>7834</v>
      </c>
    </row>
    <row r="1425" spans="1:23" x14ac:dyDescent="0.25">
      <c r="A1425" s="2">
        <v>791</v>
      </c>
      <c r="B1425" s="3" t="s">
        <v>3295</v>
      </c>
      <c r="C1425" s="3">
        <v>2024</v>
      </c>
      <c r="D1425" s="3" t="s">
        <v>818</v>
      </c>
      <c r="E1425" s="3" t="s">
        <v>15</v>
      </c>
      <c r="F1425" s="1" t="s">
        <v>7834</v>
      </c>
      <c r="G1425" s="10"/>
      <c r="H1425" s="10"/>
      <c r="I1425" s="10"/>
      <c r="J1425" s="10"/>
      <c r="K1425" s="10"/>
      <c r="L1425" s="3" t="s">
        <v>3320</v>
      </c>
      <c r="M1425" s="3" t="s">
        <v>3321</v>
      </c>
      <c r="N1425" s="3" t="s">
        <v>3322</v>
      </c>
      <c r="O1425" s="3"/>
      <c r="P1425" s="3"/>
      <c r="Q1425" s="3"/>
      <c r="R1425" s="3" t="s">
        <v>3323</v>
      </c>
      <c r="S1425" s="3" t="s">
        <v>3323</v>
      </c>
      <c r="T1425" s="3" t="s">
        <v>21</v>
      </c>
      <c r="U1425" s="11">
        <v>510</v>
      </c>
      <c r="V1425" s="3" t="s">
        <v>3295</v>
      </c>
      <c r="W1425" s="8" t="s">
        <v>7834</v>
      </c>
    </row>
    <row r="1426" spans="1:23" x14ac:dyDescent="0.25">
      <c r="A1426" s="2">
        <v>792</v>
      </c>
      <c r="B1426" s="3" t="s">
        <v>3295</v>
      </c>
      <c r="C1426" s="3">
        <v>2024</v>
      </c>
      <c r="D1426" s="3" t="s">
        <v>691</v>
      </c>
      <c r="E1426" s="3" t="s">
        <v>15</v>
      </c>
      <c r="F1426" s="1" t="s">
        <v>7834</v>
      </c>
      <c r="G1426" s="10"/>
      <c r="H1426" s="10"/>
      <c r="I1426" s="10"/>
      <c r="J1426" s="10"/>
      <c r="K1426" s="10"/>
      <c r="L1426" s="3" t="s">
        <v>3324</v>
      </c>
      <c r="M1426" s="3" t="s">
        <v>3325</v>
      </c>
      <c r="N1426" s="3" t="s">
        <v>3326</v>
      </c>
      <c r="O1426" s="3"/>
      <c r="P1426" s="3"/>
      <c r="Q1426" s="3"/>
      <c r="R1426" s="3" t="s">
        <v>3327</v>
      </c>
      <c r="S1426" s="3" t="s">
        <v>3327</v>
      </c>
      <c r="T1426" s="3" t="s">
        <v>21</v>
      </c>
      <c r="U1426" s="11">
        <v>511</v>
      </c>
      <c r="V1426" s="3" t="s">
        <v>3295</v>
      </c>
      <c r="W1426" s="8" t="s">
        <v>7834</v>
      </c>
    </row>
    <row r="1427" spans="1:23" x14ac:dyDescent="0.25">
      <c r="A1427" s="2">
        <v>794</v>
      </c>
      <c r="B1427" s="3" t="s">
        <v>3295</v>
      </c>
      <c r="C1427" s="3">
        <v>2024</v>
      </c>
      <c r="D1427" s="3" t="s">
        <v>1757</v>
      </c>
      <c r="E1427" s="3" t="s">
        <v>15</v>
      </c>
      <c r="F1427" s="1" t="s">
        <v>7834</v>
      </c>
      <c r="G1427" s="10"/>
      <c r="H1427" s="10"/>
      <c r="I1427" s="10"/>
      <c r="J1427" s="10"/>
      <c r="K1427" s="10"/>
      <c r="L1427" s="3" t="s">
        <v>3332</v>
      </c>
      <c r="M1427" s="3" t="s">
        <v>3333</v>
      </c>
      <c r="N1427" s="3" t="s">
        <v>3334</v>
      </c>
      <c r="O1427" s="3"/>
      <c r="P1427" s="3"/>
      <c r="Q1427" s="3"/>
      <c r="R1427" s="3" t="s">
        <v>3335</v>
      </c>
      <c r="S1427" s="3" t="s">
        <v>3336</v>
      </c>
      <c r="T1427" s="3" t="s">
        <v>21</v>
      </c>
      <c r="U1427" s="11">
        <v>512</v>
      </c>
      <c r="V1427" s="3" t="s">
        <v>3295</v>
      </c>
      <c r="W1427" s="8" t="s">
        <v>7834</v>
      </c>
    </row>
    <row r="1428" spans="1:23" x14ac:dyDescent="0.25">
      <c r="A1428" s="2">
        <v>796</v>
      </c>
      <c r="B1428" s="3" t="s">
        <v>3295</v>
      </c>
      <c r="C1428" s="3">
        <v>2024</v>
      </c>
      <c r="D1428" s="3" t="s">
        <v>63</v>
      </c>
      <c r="E1428" s="3" t="s">
        <v>15</v>
      </c>
      <c r="F1428" s="1" t="s">
        <v>7834</v>
      </c>
      <c r="G1428" s="10"/>
      <c r="H1428" s="10"/>
      <c r="I1428" s="10"/>
      <c r="J1428" s="10"/>
      <c r="K1428" s="10"/>
      <c r="L1428" s="3" t="s">
        <v>3342</v>
      </c>
      <c r="M1428" s="3" t="s">
        <v>3343</v>
      </c>
      <c r="N1428" s="3" t="s">
        <v>3344</v>
      </c>
      <c r="O1428" s="3"/>
      <c r="P1428" s="3"/>
      <c r="Q1428" s="3"/>
      <c r="R1428" s="3" t="s">
        <v>3345</v>
      </c>
      <c r="S1428" s="3" t="s">
        <v>3346</v>
      </c>
      <c r="T1428" s="3" t="s">
        <v>21</v>
      </c>
      <c r="U1428" s="11">
        <v>513</v>
      </c>
      <c r="V1428" s="3" t="s">
        <v>3295</v>
      </c>
      <c r="W1428" s="8" t="s">
        <v>7834</v>
      </c>
    </row>
    <row r="1429" spans="1:23" x14ac:dyDescent="0.25">
      <c r="A1429" s="2">
        <v>806</v>
      </c>
      <c r="B1429" s="3" t="s">
        <v>3295</v>
      </c>
      <c r="C1429" s="3">
        <v>2024</v>
      </c>
      <c r="D1429" s="3" t="s">
        <v>835</v>
      </c>
      <c r="E1429" s="3" t="s">
        <v>15</v>
      </c>
      <c r="F1429" s="1" t="s">
        <v>7834</v>
      </c>
      <c r="G1429" s="10"/>
      <c r="H1429" s="10"/>
      <c r="I1429" s="10"/>
      <c r="J1429" s="10"/>
      <c r="K1429" s="10"/>
      <c r="L1429" s="3" t="s">
        <v>3384</v>
      </c>
      <c r="M1429" s="3" t="s">
        <v>3385</v>
      </c>
      <c r="N1429" s="3" t="s">
        <v>3386</v>
      </c>
      <c r="O1429" s="3"/>
      <c r="P1429" s="3"/>
      <c r="Q1429" s="3"/>
      <c r="R1429" s="3" t="s">
        <v>3387</v>
      </c>
      <c r="S1429" s="3" t="s">
        <v>3388</v>
      </c>
      <c r="T1429" s="3" t="s">
        <v>21</v>
      </c>
      <c r="U1429" s="11">
        <v>514</v>
      </c>
      <c r="V1429" s="3" t="s">
        <v>3295</v>
      </c>
      <c r="W1429" s="8" t="s">
        <v>7834</v>
      </c>
    </row>
    <row r="1430" spans="1:23" x14ac:dyDescent="0.25">
      <c r="A1430" s="2">
        <v>810</v>
      </c>
      <c r="B1430" s="3" t="s">
        <v>3295</v>
      </c>
      <c r="C1430" s="3">
        <v>2024</v>
      </c>
      <c r="D1430" s="3" t="s">
        <v>2629</v>
      </c>
      <c r="E1430" s="3" t="s">
        <v>15</v>
      </c>
      <c r="F1430" s="1" t="s">
        <v>7834</v>
      </c>
      <c r="G1430" s="10"/>
      <c r="H1430" s="10"/>
      <c r="I1430" s="10"/>
      <c r="J1430" s="10"/>
      <c r="K1430" s="10"/>
      <c r="L1430" s="3" t="s">
        <v>3403</v>
      </c>
      <c r="M1430" s="3" t="s">
        <v>3404</v>
      </c>
      <c r="N1430" s="3" t="s">
        <v>3405</v>
      </c>
      <c r="O1430" s="3"/>
      <c r="P1430" s="3"/>
      <c r="Q1430" s="3"/>
      <c r="R1430" s="3" t="s">
        <v>3406</v>
      </c>
      <c r="S1430" s="3" t="s">
        <v>3407</v>
      </c>
      <c r="T1430" s="3" t="s">
        <v>21</v>
      </c>
      <c r="U1430" s="11">
        <v>515</v>
      </c>
      <c r="V1430" s="3" t="s">
        <v>3295</v>
      </c>
      <c r="W1430" s="8" t="s">
        <v>7834</v>
      </c>
    </row>
    <row r="1431" spans="1:23" x14ac:dyDescent="0.25">
      <c r="A1431" s="2">
        <v>811</v>
      </c>
      <c r="B1431" s="3" t="s">
        <v>3295</v>
      </c>
      <c r="C1431" s="3">
        <v>2024</v>
      </c>
      <c r="D1431" s="3" t="s">
        <v>156</v>
      </c>
      <c r="E1431" s="3" t="s">
        <v>15</v>
      </c>
      <c r="F1431" s="1" t="s">
        <v>7834</v>
      </c>
      <c r="G1431" s="10"/>
      <c r="H1431" s="10"/>
      <c r="I1431" s="10"/>
      <c r="J1431" s="10"/>
      <c r="K1431" s="10"/>
      <c r="L1431" s="3" t="s">
        <v>3408</v>
      </c>
      <c r="M1431" s="3" t="s">
        <v>3409</v>
      </c>
      <c r="N1431" s="3" t="s">
        <v>1649</v>
      </c>
      <c r="O1431" s="3"/>
      <c r="P1431" s="3"/>
      <c r="Q1431" s="3"/>
      <c r="R1431" s="3" t="s">
        <v>2328</v>
      </c>
      <c r="S1431" s="3" t="s">
        <v>3410</v>
      </c>
      <c r="T1431" s="3" t="s">
        <v>21</v>
      </c>
      <c r="U1431" s="11">
        <v>516</v>
      </c>
      <c r="V1431" s="3" t="s">
        <v>3295</v>
      </c>
      <c r="W1431" s="8" t="s">
        <v>7834</v>
      </c>
    </row>
    <row r="1432" spans="1:23" x14ac:dyDescent="0.25">
      <c r="A1432" s="2">
        <v>812</v>
      </c>
      <c r="B1432" s="3" t="s">
        <v>3295</v>
      </c>
      <c r="C1432" s="3">
        <v>2024</v>
      </c>
      <c r="D1432" s="3" t="s">
        <v>1252</v>
      </c>
      <c r="E1432" s="3" t="s">
        <v>15</v>
      </c>
      <c r="F1432" s="1" t="s">
        <v>7834</v>
      </c>
      <c r="G1432" s="10"/>
      <c r="H1432" s="10"/>
      <c r="I1432" s="10"/>
      <c r="J1432" s="10"/>
      <c r="K1432" s="10"/>
      <c r="L1432" s="3" t="s">
        <v>3411</v>
      </c>
      <c r="M1432" s="3" t="s">
        <v>3412</v>
      </c>
      <c r="N1432" s="3" t="s">
        <v>1677</v>
      </c>
      <c r="O1432" s="3"/>
      <c r="P1432" s="3"/>
      <c r="Q1432" s="3"/>
      <c r="R1432" s="3" t="s">
        <v>1678</v>
      </c>
      <c r="S1432" s="3" t="s">
        <v>3413</v>
      </c>
      <c r="T1432" s="3" t="s">
        <v>21</v>
      </c>
      <c r="U1432" s="11">
        <v>517</v>
      </c>
      <c r="V1432" s="3" t="s">
        <v>3295</v>
      </c>
      <c r="W1432" s="8" t="s">
        <v>7834</v>
      </c>
    </row>
    <row r="1433" spans="1:23" x14ac:dyDescent="0.25">
      <c r="A1433" s="2">
        <v>814</v>
      </c>
      <c r="B1433" s="3" t="s">
        <v>3295</v>
      </c>
      <c r="C1433" s="3">
        <v>2024</v>
      </c>
      <c r="D1433" s="3" t="s">
        <v>302</v>
      </c>
      <c r="E1433" s="3" t="s">
        <v>15</v>
      </c>
      <c r="F1433" s="1" t="s">
        <v>7834</v>
      </c>
      <c r="G1433" s="10"/>
      <c r="H1433" s="10"/>
      <c r="I1433" s="10"/>
      <c r="J1433" s="10"/>
      <c r="K1433" s="10"/>
      <c r="L1433" s="3" t="s">
        <v>3419</v>
      </c>
      <c r="M1433" s="3" t="s">
        <v>3420</v>
      </c>
      <c r="N1433" s="3" t="s">
        <v>3421</v>
      </c>
      <c r="O1433" s="3">
        <v>93</v>
      </c>
      <c r="P1433" s="3">
        <v>2</v>
      </c>
      <c r="Q1433" s="3">
        <v>751</v>
      </c>
      <c r="R1433" s="3" t="s">
        <v>3422</v>
      </c>
      <c r="S1433" s="3" t="s">
        <v>3423</v>
      </c>
      <c r="T1433" s="3" t="s">
        <v>21</v>
      </c>
      <c r="U1433" s="11">
        <v>518</v>
      </c>
      <c r="V1433" s="3" t="s">
        <v>3295</v>
      </c>
      <c r="W1433" s="8" t="s">
        <v>7834</v>
      </c>
    </row>
    <row r="1434" spans="1:23" x14ac:dyDescent="0.25">
      <c r="A1434" s="2">
        <v>816</v>
      </c>
      <c r="B1434" s="3" t="s">
        <v>3295</v>
      </c>
      <c r="C1434" s="3">
        <v>2024</v>
      </c>
      <c r="D1434" s="3" t="s">
        <v>2781</v>
      </c>
      <c r="E1434" s="3" t="s">
        <v>15</v>
      </c>
      <c r="F1434" s="1" t="s">
        <v>7834</v>
      </c>
      <c r="G1434" s="10"/>
      <c r="H1434" s="10"/>
      <c r="I1434" s="10"/>
      <c r="J1434" s="10"/>
      <c r="K1434" s="10"/>
      <c r="L1434" s="3" t="s">
        <v>3427</v>
      </c>
      <c r="M1434" s="3" t="s">
        <v>3428</v>
      </c>
      <c r="N1434" s="3" t="s">
        <v>874</v>
      </c>
      <c r="O1434" s="3"/>
      <c r="P1434" s="3"/>
      <c r="Q1434" s="3"/>
      <c r="R1434" s="3" t="s">
        <v>1002</v>
      </c>
      <c r="S1434" s="3" t="s">
        <v>3429</v>
      </c>
      <c r="T1434" s="3" t="s">
        <v>21</v>
      </c>
      <c r="U1434" s="11">
        <v>519</v>
      </c>
      <c r="V1434" s="3" t="s">
        <v>3295</v>
      </c>
      <c r="W1434" s="8" t="s">
        <v>7834</v>
      </c>
    </row>
    <row r="1435" spans="1:23" x14ac:dyDescent="0.25">
      <c r="A1435" s="2">
        <v>817</v>
      </c>
      <c r="B1435" s="3" t="s">
        <v>3295</v>
      </c>
      <c r="C1435" s="3">
        <v>2024</v>
      </c>
      <c r="D1435" s="3" t="s">
        <v>14</v>
      </c>
      <c r="E1435" s="3" t="s">
        <v>15</v>
      </c>
      <c r="F1435" s="1" t="s">
        <v>7834</v>
      </c>
      <c r="G1435" s="10"/>
      <c r="H1435" s="10"/>
      <c r="I1435" s="10"/>
      <c r="J1435" s="10"/>
      <c r="K1435" s="10"/>
      <c r="L1435" s="3" t="s">
        <v>3430</v>
      </c>
      <c r="M1435" s="3" t="s">
        <v>3431</v>
      </c>
      <c r="N1435" s="3" t="s">
        <v>1209</v>
      </c>
      <c r="O1435" s="3"/>
      <c r="P1435" s="3"/>
      <c r="Q1435" s="3"/>
      <c r="R1435" s="3" t="s">
        <v>1210</v>
      </c>
      <c r="S1435" s="3" t="s">
        <v>3432</v>
      </c>
      <c r="T1435" s="3" t="s">
        <v>21</v>
      </c>
      <c r="U1435" s="11">
        <v>520</v>
      </c>
      <c r="V1435" s="3" t="s">
        <v>3295</v>
      </c>
      <c r="W1435" s="8" t="s">
        <v>7834</v>
      </c>
    </row>
    <row r="1436" spans="1:23" x14ac:dyDescent="0.25">
      <c r="A1436" s="2">
        <v>818</v>
      </c>
      <c r="B1436" s="3" t="s">
        <v>3295</v>
      </c>
      <c r="C1436" s="3">
        <v>2024</v>
      </c>
      <c r="D1436" s="3" t="s">
        <v>1067</v>
      </c>
      <c r="E1436" s="3" t="s">
        <v>15</v>
      </c>
      <c r="F1436" s="1" t="s">
        <v>7834</v>
      </c>
      <c r="G1436" s="10"/>
      <c r="H1436" s="10"/>
      <c r="I1436" s="10"/>
      <c r="J1436" s="10"/>
      <c r="K1436" s="10"/>
      <c r="L1436" s="3" t="s">
        <v>3433</v>
      </c>
      <c r="M1436" s="3" t="s">
        <v>3434</v>
      </c>
      <c r="N1436" s="3" t="s">
        <v>3435</v>
      </c>
      <c r="O1436" s="3"/>
      <c r="P1436" s="3"/>
      <c r="Q1436" s="3"/>
      <c r="R1436" s="3" t="s">
        <v>3387</v>
      </c>
      <c r="S1436" s="3" t="s">
        <v>3436</v>
      </c>
      <c r="T1436" s="3" t="s">
        <v>21</v>
      </c>
      <c r="U1436" s="11">
        <v>521</v>
      </c>
      <c r="V1436" s="3" t="s">
        <v>3295</v>
      </c>
      <c r="W1436" s="8" t="s">
        <v>7834</v>
      </c>
    </row>
    <row r="1437" spans="1:23" x14ac:dyDescent="0.25">
      <c r="A1437" s="2">
        <v>823</v>
      </c>
      <c r="B1437" s="3" t="s">
        <v>3295</v>
      </c>
      <c r="C1437" s="3">
        <v>2024</v>
      </c>
      <c r="D1437" s="3" t="s">
        <v>3456</v>
      </c>
      <c r="E1437" s="3" t="s">
        <v>15</v>
      </c>
      <c r="F1437" s="1" t="s">
        <v>7834</v>
      </c>
      <c r="G1437" s="10"/>
      <c r="H1437" s="10"/>
      <c r="I1437" s="10"/>
      <c r="J1437" s="10"/>
      <c r="K1437" s="10"/>
      <c r="L1437" s="3" t="s">
        <v>3457</v>
      </c>
      <c r="M1437" s="3" t="s">
        <v>3458</v>
      </c>
      <c r="N1437" s="3" t="s">
        <v>3386</v>
      </c>
      <c r="O1437" s="3"/>
      <c r="P1437" s="3"/>
      <c r="Q1437" s="3"/>
      <c r="R1437" s="3" t="s">
        <v>3387</v>
      </c>
      <c r="S1437" s="3" t="s">
        <v>3459</v>
      </c>
      <c r="T1437" s="3" t="s">
        <v>21</v>
      </c>
      <c r="U1437" s="11">
        <v>522</v>
      </c>
      <c r="V1437" s="3" t="s">
        <v>3295</v>
      </c>
      <c r="W1437" s="8" t="s">
        <v>7834</v>
      </c>
    </row>
    <row r="1438" spans="1:23" x14ac:dyDescent="0.25">
      <c r="A1438" s="2">
        <v>824</v>
      </c>
      <c r="B1438" s="3" t="s">
        <v>3295</v>
      </c>
      <c r="C1438" s="3">
        <v>2024</v>
      </c>
      <c r="D1438" s="3" t="s">
        <v>14</v>
      </c>
      <c r="E1438" s="3" t="s">
        <v>15</v>
      </c>
      <c r="F1438" s="1" t="s">
        <v>7834</v>
      </c>
      <c r="G1438" s="10"/>
      <c r="H1438" s="10"/>
      <c r="I1438" s="10"/>
      <c r="J1438" s="10"/>
      <c r="K1438" s="10"/>
      <c r="L1438" s="3" t="s">
        <v>3460</v>
      </c>
      <c r="M1438" s="3" t="s">
        <v>3461</v>
      </c>
      <c r="N1438" s="3" t="s">
        <v>3462</v>
      </c>
      <c r="O1438" s="3"/>
      <c r="P1438" s="3"/>
      <c r="Q1438" s="3"/>
      <c r="R1438" s="3" t="s">
        <v>3463</v>
      </c>
      <c r="S1438" s="3" t="s">
        <v>3464</v>
      </c>
      <c r="T1438" s="3" t="s">
        <v>21</v>
      </c>
      <c r="U1438" s="11">
        <v>523</v>
      </c>
      <c r="V1438" s="3" t="s">
        <v>3295</v>
      </c>
      <c r="W1438" s="8" t="s">
        <v>7834</v>
      </c>
    </row>
    <row r="1439" spans="1:23" x14ac:dyDescent="0.25">
      <c r="A1439" s="2">
        <v>827</v>
      </c>
      <c r="B1439" s="3" t="s">
        <v>3295</v>
      </c>
      <c r="C1439" s="3">
        <v>2024</v>
      </c>
      <c r="D1439" s="3" t="s">
        <v>1267</v>
      </c>
      <c r="E1439" s="3" t="s">
        <v>15</v>
      </c>
      <c r="F1439" s="1" t="s">
        <v>7834</v>
      </c>
      <c r="G1439" s="10"/>
      <c r="H1439" s="10"/>
      <c r="I1439" s="10"/>
      <c r="J1439" s="10"/>
      <c r="K1439" s="10"/>
      <c r="L1439" s="3" t="s">
        <v>3475</v>
      </c>
      <c r="M1439" s="3" t="s">
        <v>3476</v>
      </c>
      <c r="N1439" s="3" t="s">
        <v>1421</v>
      </c>
      <c r="O1439" s="3"/>
      <c r="P1439" s="3"/>
      <c r="Q1439" s="3"/>
      <c r="R1439" s="3" t="s">
        <v>1422</v>
      </c>
      <c r="S1439" s="3" t="s">
        <v>3477</v>
      </c>
      <c r="T1439" s="3" t="s">
        <v>21</v>
      </c>
      <c r="U1439" s="11">
        <v>524</v>
      </c>
      <c r="V1439" s="3" t="s">
        <v>3295</v>
      </c>
      <c r="W1439" s="8" t="s">
        <v>7834</v>
      </c>
    </row>
    <row r="1440" spans="1:23" x14ac:dyDescent="0.25">
      <c r="A1440" s="2">
        <v>833</v>
      </c>
      <c r="B1440" s="3" t="s">
        <v>3295</v>
      </c>
      <c r="C1440" s="3">
        <v>2024</v>
      </c>
      <c r="D1440" s="3" t="s">
        <v>825</v>
      </c>
      <c r="E1440" s="3" t="s">
        <v>15</v>
      </c>
      <c r="F1440" s="1" t="s">
        <v>7834</v>
      </c>
      <c r="G1440" s="10"/>
      <c r="H1440" s="10"/>
      <c r="I1440" s="10"/>
      <c r="J1440" s="10"/>
      <c r="K1440" s="10"/>
      <c r="L1440" s="3" t="s">
        <v>3500</v>
      </c>
      <c r="M1440" s="3" t="s">
        <v>3501</v>
      </c>
      <c r="N1440" s="3" t="s">
        <v>3317</v>
      </c>
      <c r="O1440" s="3"/>
      <c r="P1440" s="3"/>
      <c r="Q1440" s="3"/>
      <c r="R1440" s="3" t="s">
        <v>3502</v>
      </c>
      <c r="S1440" s="3" t="s">
        <v>3503</v>
      </c>
      <c r="T1440" s="3" t="s">
        <v>21</v>
      </c>
      <c r="U1440" s="11">
        <v>525</v>
      </c>
      <c r="V1440" s="3" t="s">
        <v>3295</v>
      </c>
      <c r="W1440" s="8" t="s">
        <v>7834</v>
      </c>
    </row>
    <row r="1441" spans="1:23" x14ac:dyDescent="0.25">
      <c r="A1441" s="2">
        <v>835</v>
      </c>
      <c r="B1441" s="3" t="s">
        <v>3295</v>
      </c>
      <c r="C1441" s="3">
        <v>2024</v>
      </c>
      <c r="D1441" s="3" t="s">
        <v>31</v>
      </c>
      <c r="E1441" s="3" t="s">
        <v>15</v>
      </c>
      <c r="F1441" s="1" t="s">
        <v>7834</v>
      </c>
      <c r="G1441" s="10"/>
      <c r="H1441" s="10"/>
      <c r="I1441" s="10"/>
      <c r="J1441" s="10"/>
      <c r="K1441" s="10"/>
      <c r="L1441" s="3" t="s">
        <v>3509</v>
      </c>
      <c r="M1441" s="3" t="s">
        <v>3510</v>
      </c>
      <c r="N1441" s="3" t="s">
        <v>3386</v>
      </c>
      <c r="O1441" s="3"/>
      <c r="P1441" s="3"/>
      <c r="Q1441" s="3"/>
      <c r="R1441" s="3" t="s">
        <v>3387</v>
      </c>
      <c r="S1441" s="3" t="s">
        <v>3511</v>
      </c>
      <c r="T1441" s="3" t="s">
        <v>21</v>
      </c>
      <c r="U1441" s="11">
        <v>526</v>
      </c>
      <c r="V1441" s="3" t="s">
        <v>3295</v>
      </c>
      <c r="W1441" s="8" t="s">
        <v>7834</v>
      </c>
    </row>
    <row r="1442" spans="1:23" x14ac:dyDescent="0.25">
      <c r="A1442" s="2">
        <v>837</v>
      </c>
      <c r="B1442" s="3" t="s">
        <v>3295</v>
      </c>
      <c r="C1442" s="3">
        <v>2024</v>
      </c>
      <c r="D1442" s="3" t="s">
        <v>3517</v>
      </c>
      <c r="E1442" s="3" t="s">
        <v>15</v>
      </c>
      <c r="F1442" s="1" t="s">
        <v>7834</v>
      </c>
      <c r="G1442" s="10"/>
      <c r="H1442" s="10"/>
      <c r="I1442" s="10"/>
      <c r="J1442" s="10"/>
      <c r="K1442" s="10"/>
      <c r="L1442" s="3" t="s">
        <v>3518</v>
      </c>
      <c r="M1442" s="3" t="s">
        <v>3519</v>
      </c>
      <c r="N1442" s="3" t="s">
        <v>18</v>
      </c>
      <c r="O1442" s="3"/>
      <c r="P1442" s="3"/>
      <c r="Q1442" s="3"/>
      <c r="R1442" s="3" t="s">
        <v>159</v>
      </c>
      <c r="S1442" s="3" t="s">
        <v>3520</v>
      </c>
      <c r="T1442" s="3" t="s">
        <v>21</v>
      </c>
      <c r="U1442" s="11">
        <v>527</v>
      </c>
      <c r="V1442" s="3" t="s">
        <v>3295</v>
      </c>
      <c r="W1442" s="8" t="s">
        <v>7834</v>
      </c>
    </row>
    <row r="1443" spans="1:23" x14ac:dyDescent="0.25">
      <c r="A1443" s="2">
        <v>839</v>
      </c>
      <c r="B1443" s="3" t="s">
        <v>3295</v>
      </c>
      <c r="C1443" s="3">
        <v>2024</v>
      </c>
      <c r="D1443" s="3" t="s">
        <v>120</v>
      </c>
      <c r="E1443" s="3" t="s">
        <v>15</v>
      </c>
      <c r="F1443" s="1" t="s">
        <v>7834</v>
      </c>
      <c r="G1443" s="10"/>
      <c r="H1443" s="10"/>
      <c r="I1443" s="10"/>
      <c r="J1443" s="10"/>
      <c r="K1443" s="10"/>
      <c r="L1443" s="3" t="s">
        <v>3526</v>
      </c>
      <c r="M1443" s="3" t="s">
        <v>3527</v>
      </c>
      <c r="N1443" s="3" t="s">
        <v>3528</v>
      </c>
      <c r="O1443" s="3"/>
      <c r="P1443" s="3"/>
      <c r="Q1443" s="3"/>
      <c r="R1443" s="3" t="s">
        <v>3529</v>
      </c>
      <c r="S1443" s="3" t="s">
        <v>3530</v>
      </c>
      <c r="T1443" s="3" t="s">
        <v>21</v>
      </c>
      <c r="U1443" s="11">
        <v>528</v>
      </c>
      <c r="V1443" s="3" t="s">
        <v>3295</v>
      </c>
      <c r="W1443" s="8" t="s">
        <v>7834</v>
      </c>
    </row>
    <row r="1444" spans="1:23" x14ac:dyDescent="0.25">
      <c r="A1444" s="2">
        <v>840</v>
      </c>
      <c r="B1444" s="3" t="s">
        <v>3295</v>
      </c>
      <c r="C1444" s="3">
        <v>2024</v>
      </c>
      <c r="D1444" s="3" t="s">
        <v>215</v>
      </c>
      <c r="E1444" s="3" t="s">
        <v>15</v>
      </c>
      <c r="F1444" s="1" t="s">
        <v>7834</v>
      </c>
      <c r="G1444" s="10"/>
      <c r="H1444" s="10"/>
      <c r="I1444" s="10"/>
      <c r="J1444" s="10"/>
      <c r="K1444" s="10"/>
      <c r="L1444" s="3" t="s">
        <v>3531</v>
      </c>
      <c r="M1444" s="3" t="s">
        <v>3532</v>
      </c>
      <c r="N1444" s="3" t="s">
        <v>3386</v>
      </c>
      <c r="O1444" s="3"/>
      <c r="P1444" s="3"/>
      <c r="Q1444" s="3"/>
      <c r="R1444" s="3" t="s">
        <v>3387</v>
      </c>
      <c r="S1444" s="3" t="s">
        <v>3533</v>
      </c>
      <c r="T1444" s="3" t="s">
        <v>21</v>
      </c>
      <c r="U1444" s="11">
        <v>529</v>
      </c>
      <c r="V1444" s="3" t="s">
        <v>3295</v>
      </c>
      <c r="W1444" s="8" t="s">
        <v>7834</v>
      </c>
    </row>
    <row r="1445" spans="1:23" x14ac:dyDescent="0.25">
      <c r="A1445" s="2">
        <v>841</v>
      </c>
      <c r="B1445" s="3" t="s">
        <v>3295</v>
      </c>
      <c r="C1445" s="3">
        <v>2024</v>
      </c>
      <c r="D1445" s="3" t="s">
        <v>3534</v>
      </c>
      <c r="E1445" s="3" t="s">
        <v>15</v>
      </c>
      <c r="F1445" s="1" t="s">
        <v>7834</v>
      </c>
      <c r="G1445" s="10"/>
      <c r="H1445" s="10"/>
      <c r="I1445" s="10"/>
      <c r="J1445" s="10"/>
      <c r="K1445" s="10"/>
      <c r="L1445" s="3" t="s">
        <v>3535</v>
      </c>
      <c r="M1445" s="3" t="s">
        <v>3536</v>
      </c>
      <c r="N1445" s="3" t="s">
        <v>3537</v>
      </c>
      <c r="O1445" s="3"/>
      <c r="P1445" s="3"/>
      <c r="Q1445" s="3"/>
      <c r="R1445" s="3" t="s">
        <v>3538</v>
      </c>
      <c r="S1445" s="3" t="s">
        <v>3539</v>
      </c>
      <c r="T1445" s="3" t="s">
        <v>21</v>
      </c>
      <c r="U1445" s="11">
        <v>530</v>
      </c>
      <c r="V1445" s="3" t="s">
        <v>3295</v>
      </c>
      <c r="W1445" s="8" t="s">
        <v>7834</v>
      </c>
    </row>
    <row r="1446" spans="1:23" x14ac:dyDescent="0.25">
      <c r="A1446" s="2">
        <v>842</v>
      </c>
      <c r="B1446" s="3" t="s">
        <v>3295</v>
      </c>
      <c r="C1446" s="3">
        <v>2024</v>
      </c>
      <c r="D1446" s="3" t="s">
        <v>120</v>
      </c>
      <c r="E1446" s="3" t="s">
        <v>15</v>
      </c>
      <c r="F1446" s="1" t="s">
        <v>7834</v>
      </c>
      <c r="G1446" s="10"/>
      <c r="H1446" s="10"/>
      <c r="I1446" s="10"/>
      <c r="J1446" s="10"/>
      <c r="K1446" s="10"/>
      <c r="L1446" s="3" t="s">
        <v>1217</v>
      </c>
      <c r="M1446" s="3" t="s">
        <v>1218</v>
      </c>
      <c r="N1446" s="3" t="s">
        <v>1219</v>
      </c>
      <c r="O1446" s="3"/>
      <c r="P1446" s="3"/>
      <c r="Q1446" s="3"/>
      <c r="R1446" s="3" t="s">
        <v>1220</v>
      </c>
      <c r="S1446" s="3" t="s">
        <v>1221</v>
      </c>
      <c r="T1446" s="3" t="s">
        <v>21</v>
      </c>
      <c r="U1446" s="11">
        <v>531</v>
      </c>
      <c r="V1446" s="3" t="s">
        <v>3295</v>
      </c>
      <c r="W1446" s="8" t="s">
        <v>7834</v>
      </c>
    </row>
    <row r="1447" spans="1:23" x14ac:dyDescent="0.25">
      <c r="A1447" s="2">
        <v>845</v>
      </c>
      <c r="B1447" s="3" t="s">
        <v>3295</v>
      </c>
      <c r="C1447" s="3">
        <v>2024</v>
      </c>
      <c r="D1447" s="3" t="s">
        <v>903</v>
      </c>
      <c r="E1447" s="3" t="s">
        <v>15</v>
      </c>
      <c r="F1447" s="1" t="s">
        <v>7834</v>
      </c>
      <c r="G1447" s="10"/>
      <c r="H1447" s="10"/>
      <c r="I1447" s="10"/>
      <c r="J1447" s="10"/>
      <c r="K1447" s="10"/>
      <c r="L1447" s="3" t="s">
        <v>3546</v>
      </c>
      <c r="M1447" s="3" t="s">
        <v>3547</v>
      </c>
      <c r="N1447" s="3" t="s">
        <v>874</v>
      </c>
      <c r="O1447" s="3"/>
      <c r="P1447" s="3"/>
      <c r="Q1447" s="3"/>
      <c r="R1447" s="3" t="s">
        <v>1002</v>
      </c>
      <c r="S1447" s="3" t="s">
        <v>3548</v>
      </c>
      <c r="T1447" s="3" t="s">
        <v>21</v>
      </c>
      <c r="U1447" s="11">
        <v>532</v>
      </c>
      <c r="V1447" s="3" t="s">
        <v>3295</v>
      </c>
      <c r="W1447" s="8" t="s">
        <v>7834</v>
      </c>
    </row>
    <row r="1448" spans="1:23" x14ac:dyDescent="0.25">
      <c r="A1448" s="2">
        <v>846</v>
      </c>
      <c r="B1448" s="3" t="s">
        <v>3295</v>
      </c>
      <c r="C1448" s="3">
        <v>2024</v>
      </c>
      <c r="D1448" s="3" t="s">
        <v>215</v>
      </c>
      <c r="E1448" s="3" t="s">
        <v>15</v>
      </c>
      <c r="F1448" s="1" t="s">
        <v>7834</v>
      </c>
      <c r="G1448" s="10">
        <v>44</v>
      </c>
      <c r="H1448" s="10"/>
      <c r="I1448" s="10"/>
      <c r="J1448" s="10"/>
      <c r="K1448" s="10"/>
      <c r="L1448" s="3" t="s">
        <v>3549</v>
      </c>
      <c r="M1448" s="3" t="s">
        <v>3550</v>
      </c>
      <c r="N1448" s="3" t="s">
        <v>3421</v>
      </c>
      <c r="O1448" s="3"/>
      <c r="P1448" s="3"/>
      <c r="Q1448" s="3"/>
      <c r="R1448" s="3" t="s">
        <v>3422</v>
      </c>
      <c r="S1448" s="3" t="s">
        <v>3551</v>
      </c>
      <c r="T1448" s="3" t="s">
        <v>21</v>
      </c>
      <c r="U1448" s="11">
        <v>533</v>
      </c>
      <c r="V1448" s="3" t="s">
        <v>3295</v>
      </c>
      <c r="W1448" s="8" t="s">
        <v>7834</v>
      </c>
    </row>
    <row r="1449" spans="1:23" x14ac:dyDescent="0.25">
      <c r="A1449" s="2">
        <v>847</v>
      </c>
      <c r="B1449" s="3" t="s">
        <v>3552</v>
      </c>
      <c r="C1449" s="3">
        <v>2024</v>
      </c>
      <c r="D1449" s="3" t="s">
        <v>120</v>
      </c>
      <c r="E1449" s="3" t="s">
        <v>15</v>
      </c>
      <c r="F1449" s="1" t="s">
        <v>7834</v>
      </c>
      <c r="G1449" s="10"/>
      <c r="H1449" s="10"/>
      <c r="I1449" s="10"/>
      <c r="J1449" s="10"/>
      <c r="K1449" s="10"/>
      <c r="L1449" s="3" t="s">
        <v>3553</v>
      </c>
      <c r="M1449" s="3" t="s">
        <v>3554</v>
      </c>
      <c r="N1449" s="3" t="s">
        <v>3555</v>
      </c>
      <c r="O1449" s="3"/>
      <c r="P1449" s="3"/>
      <c r="Q1449" s="3"/>
      <c r="R1449" s="3" t="s">
        <v>3556</v>
      </c>
      <c r="S1449" s="3" t="s">
        <v>3557</v>
      </c>
      <c r="T1449" s="3" t="s">
        <v>21</v>
      </c>
      <c r="U1449" s="11">
        <v>534</v>
      </c>
      <c r="V1449" s="3" t="s">
        <v>3552</v>
      </c>
      <c r="W1449" s="8" t="s">
        <v>7834</v>
      </c>
    </row>
    <row r="1450" spans="1:23" x14ac:dyDescent="0.25">
      <c r="A1450" s="2">
        <v>848</v>
      </c>
      <c r="B1450" s="3" t="s">
        <v>3552</v>
      </c>
      <c r="C1450" s="3">
        <v>2024</v>
      </c>
      <c r="D1450" s="3" t="s">
        <v>3558</v>
      </c>
      <c r="E1450" s="3" t="s">
        <v>15</v>
      </c>
      <c r="F1450" s="1" t="s">
        <v>7834</v>
      </c>
      <c r="G1450" s="10"/>
      <c r="H1450" s="10"/>
      <c r="I1450" s="10"/>
      <c r="J1450" s="10"/>
      <c r="K1450" s="10"/>
      <c r="L1450" s="3" t="s">
        <v>3559</v>
      </c>
      <c r="M1450" s="3" t="s">
        <v>3560</v>
      </c>
      <c r="N1450" s="3" t="s">
        <v>3561</v>
      </c>
      <c r="O1450" s="3"/>
      <c r="P1450" s="3"/>
      <c r="Q1450" s="3"/>
      <c r="R1450" s="3" t="s">
        <v>3562</v>
      </c>
      <c r="S1450" s="3" t="s">
        <v>3563</v>
      </c>
      <c r="T1450" s="3" t="s">
        <v>21</v>
      </c>
      <c r="U1450" s="11">
        <v>535</v>
      </c>
      <c r="V1450" s="3" t="s">
        <v>3552</v>
      </c>
      <c r="W1450" s="8" t="s">
        <v>7834</v>
      </c>
    </row>
    <row r="1451" spans="1:23" x14ac:dyDescent="0.25">
      <c r="A1451" s="2">
        <v>849</v>
      </c>
      <c r="B1451" s="3" t="s">
        <v>3552</v>
      </c>
      <c r="C1451" s="3">
        <v>2024</v>
      </c>
      <c r="D1451" s="3" t="s">
        <v>568</v>
      </c>
      <c r="E1451" s="3" t="s">
        <v>15</v>
      </c>
      <c r="F1451" s="1" t="s">
        <v>7834</v>
      </c>
      <c r="G1451" s="10"/>
      <c r="H1451" s="10"/>
      <c r="I1451" s="10"/>
      <c r="J1451" s="10"/>
      <c r="K1451" s="10"/>
      <c r="L1451" s="3" t="s">
        <v>3564</v>
      </c>
      <c r="M1451" s="3" t="s">
        <v>3565</v>
      </c>
      <c r="N1451" s="3" t="s">
        <v>3566</v>
      </c>
      <c r="O1451" s="3"/>
      <c r="P1451" s="3"/>
      <c r="Q1451" s="3"/>
      <c r="R1451" s="3" t="s">
        <v>3567</v>
      </c>
      <c r="S1451" s="3" t="s">
        <v>3568</v>
      </c>
      <c r="T1451" s="3" t="s">
        <v>21</v>
      </c>
      <c r="U1451" s="11">
        <v>536</v>
      </c>
      <c r="V1451" s="3" t="s">
        <v>3552</v>
      </c>
      <c r="W1451" s="8" t="s">
        <v>7834</v>
      </c>
    </row>
    <row r="1452" spans="1:23" x14ac:dyDescent="0.25">
      <c r="A1452" s="2">
        <v>850</v>
      </c>
      <c r="B1452" s="3" t="s">
        <v>3552</v>
      </c>
      <c r="C1452" s="3">
        <v>2024</v>
      </c>
      <c r="D1452" s="3" t="s">
        <v>22</v>
      </c>
      <c r="E1452" s="3" t="s">
        <v>15</v>
      </c>
      <c r="F1452" s="1" t="s">
        <v>7834</v>
      </c>
      <c r="G1452" s="10"/>
      <c r="H1452" s="10"/>
      <c r="I1452" s="10"/>
      <c r="J1452" s="10"/>
      <c r="K1452" s="10"/>
      <c r="L1452" s="3" t="s">
        <v>3569</v>
      </c>
      <c r="M1452" s="3" t="s">
        <v>3570</v>
      </c>
      <c r="N1452" s="3" t="s">
        <v>3571</v>
      </c>
      <c r="O1452" s="3"/>
      <c r="P1452" s="3"/>
      <c r="Q1452" s="3"/>
      <c r="R1452" s="3" t="s">
        <v>3572</v>
      </c>
      <c r="S1452" s="3" t="s">
        <v>3573</v>
      </c>
      <c r="T1452" s="3" t="s">
        <v>21</v>
      </c>
      <c r="U1452" s="11">
        <v>537</v>
      </c>
      <c r="V1452" s="3" t="s">
        <v>3552</v>
      </c>
      <c r="W1452" s="8" t="s">
        <v>7834</v>
      </c>
    </row>
    <row r="1453" spans="1:23" x14ac:dyDescent="0.25">
      <c r="A1453" s="2">
        <v>851</v>
      </c>
      <c r="B1453" s="3" t="s">
        <v>3552</v>
      </c>
      <c r="C1453" s="3">
        <v>2024</v>
      </c>
      <c r="D1453" s="3" t="s">
        <v>999</v>
      </c>
      <c r="E1453" s="3" t="s">
        <v>15</v>
      </c>
      <c r="F1453" s="1" t="s">
        <v>7834</v>
      </c>
      <c r="G1453" s="10"/>
      <c r="H1453" s="10"/>
      <c r="I1453" s="10"/>
      <c r="J1453" s="10"/>
      <c r="K1453" s="10"/>
      <c r="L1453" s="3" t="s">
        <v>3574</v>
      </c>
      <c r="M1453" s="3" t="s">
        <v>3575</v>
      </c>
      <c r="N1453" s="3" t="s">
        <v>3576</v>
      </c>
      <c r="O1453" s="3"/>
      <c r="P1453" s="3"/>
      <c r="Q1453" s="3"/>
      <c r="R1453" s="3" t="s">
        <v>3577</v>
      </c>
      <c r="S1453" s="3" t="s">
        <v>3578</v>
      </c>
      <c r="T1453" s="3" t="s">
        <v>21</v>
      </c>
      <c r="U1453" s="11">
        <v>538</v>
      </c>
      <c r="V1453" s="3" t="s">
        <v>3552</v>
      </c>
      <c r="W1453" s="8" t="s">
        <v>7834</v>
      </c>
    </row>
    <row r="1454" spans="1:23" x14ac:dyDescent="0.25">
      <c r="A1454" s="2">
        <v>854</v>
      </c>
      <c r="B1454" s="3" t="s">
        <v>3552</v>
      </c>
      <c r="C1454" s="3">
        <v>2024</v>
      </c>
      <c r="D1454" s="3" t="s">
        <v>2686</v>
      </c>
      <c r="E1454" s="3" t="s">
        <v>15</v>
      </c>
      <c r="F1454" s="1" t="s">
        <v>7834</v>
      </c>
      <c r="G1454" s="10"/>
      <c r="H1454" s="10"/>
      <c r="I1454" s="10"/>
      <c r="J1454" s="10"/>
      <c r="K1454" s="10"/>
      <c r="L1454" s="3" t="s">
        <v>3590</v>
      </c>
      <c r="M1454" s="3" t="s">
        <v>3591</v>
      </c>
      <c r="N1454" s="3" t="s">
        <v>3592</v>
      </c>
      <c r="O1454" s="3"/>
      <c r="P1454" s="3"/>
      <c r="Q1454" s="3"/>
      <c r="R1454" s="3" t="s">
        <v>2328</v>
      </c>
      <c r="S1454" s="3" t="s">
        <v>3593</v>
      </c>
      <c r="T1454" s="3" t="s">
        <v>21</v>
      </c>
      <c r="U1454" s="11">
        <v>539</v>
      </c>
      <c r="V1454" s="3" t="s">
        <v>3552</v>
      </c>
      <c r="W1454" s="8" t="s">
        <v>7834</v>
      </c>
    </row>
    <row r="1455" spans="1:23" x14ac:dyDescent="0.25">
      <c r="A1455" s="2">
        <v>855</v>
      </c>
      <c r="B1455" s="3" t="s">
        <v>3552</v>
      </c>
      <c r="C1455" s="3">
        <v>2024</v>
      </c>
      <c r="D1455" s="3" t="s">
        <v>2287</v>
      </c>
      <c r="E1455" s="3" t="s">
        <v>15</v>
      </c>
      <c r="F1455" s="1" t="s">
        <v>7834</v>
      </c>
      <c r="G1455" s="10"/>
      <c r="H1455" s="10"/>
      <c r="I1455" s="10"/>
      <c r="J1455" s="10"/>
      <c r="K1455" s="10"/>
      <c r="L1455" s="3" t="s">
        <v>3594</v>
      </c>
      <c r="M1455" s="3" t="s">
        <v>3595</v>
      </c>
      <c r="N1455" s="3" t="s">
        <v>3592</v>
      </c>
      <c r="O1455" s="3"/>
      <c r="P1455" s="3"/>
      <c r="Q1455" s="3"/>
      <c r="R1455" s="3" t="s">
        <v>2328</v>
      </c>
      <c r="S1455" s="3" t="s">
        <v>3596</v>
      </c>
      <c r="T1455" s="3" t="s">
        <v>21</v>
      </c>
      <c r="U1455" s="11">
        <v>540</v>
      </c>
      <c r="V1455" s="3" t="s">
        <v>3552</v>
      </c>
      <c r="W1455" s="8" t="s">
        <v>7834</v>
      </c>
    </row>
    <row r="1456" spans="1:23" x14ac:dyDescent="0.25">
      <c r="A1456" s="2">
        <v>856</v>
      </c>
      <c r="B1456" s="3" t="s">
        <v>3552</v>
      </c>
      <c r="C1456" s="3">
        <v>2024</v>
      </c>
      <c r="D1456" s="3" t="s">
        <v>3597</v>
      </c>
      <c r="E1456" s="3" t="s">
        <v>15</v>
      </c>
      <c r="F1456" s="1" t="s">
        <v>7834</v>
      </c>
      <c r="G1456" s="10"/>
      <c r="H1456" s="10"/>
      <c r="I1456" s="10"/>
      <c r="J1456" s="10"/>
      <c r="K1456" s="10"/>
      <c r="L1456" s="3" t="s">
        <v>3598</v>
      </c>
      <c r="M1456" s="3" t="s">
        <v>3599</v>
      </c>
      <c r="N1456" s="3" t="s">
        <v>3576</v>
      </c>
      <c r="O1456" s="3"/>
      <c r="P1456" s="3"/>
      <c r="Q1456" s="3"/>
      <c r="R1456" s="3" t="s">
        <v>3577</v>
      </c>
      <c r="S1456" s="3" t="s">
        <v>3600</v>
      </c>
      <c r="T1456" s="3" t="s">
        <v>21</v>
      </c>
      <c r="U1456" s="11">
        <v>541</v>
      </c>
      <c r="V1456" s="3" t="s">
        <v>3552</v>
      </c>
      <c r="W1456" s="8" t="s">
        <v>7834</v>
      </c>
    </row>
    <row r="1457" spans="1:23" x14ac:dyDescent="0.25">
      <c r="A1457" s="2">
        <v>857</v>
      </c>
      <c r="B1457" s="3" t="s">
        <v>3552</v>
      </c>
      <c r="C1457" s="3">
        <v>2024</v>
      </c>
      <c r="D1457" s="3" t="s">
        <v>2498</v>
      </c>
      <c r="E1457" s="3" t="s">
        <v>15</v>
      </c>
      <c r="F1457" s="1" t="s">
        <v>7834</v>
      </c>
      <c r="G1457" s="10"/>
      <c r="H1457" s="10"/>
      <c r="I1457" s="10"/>
      <c r="J1457" s="10"/>
      <c r="K1457" s="10"/>
      <c r="L1457" s="3" t="s">
        <v>3601</v>
      </c>
      <c r="M1457" s="3" t="s">
        <v>3602</v>
      </c>
      <c r="N1457" s="3" t="s">
        <v>3576</v>
      </c>
      <c r="O1457" s="3"/>
      <c r="P1457" s="3"/>
      <c r="Q1457" s="3"/>
      <c r="R1457" s="3" t="s">
        <v>3603</v>
      </c>
      <c r="S1457" s="3" t="s">
        <v>3604</v>
      </c>
      <c r="T1457" s="3" t="s">
        <v>21</v>
      </c>
      <c r="U1457" s="11">
        <v>542</v>
      </c>
      <c r="V1457" s="3" t="s">
        <v>3552</v>
      </c>
      <c r="W1457" s="8" t="s">
        <v>7834</v>
      </c>
    </row>
    <row r="1458" spans="1:23" x14ac:dyDescent="0.25">
      <c r="A1458" s="2">
        <v>858</v>
      </c>
      <c r="B1458" s="3" t="s">
        <v>3552</v>
      </c>
      <c r="C1458" s="3">
        <v>2024</v>
      </c>
      <c r="D1458" s="3" t="s">
        <v>3605</v>
      </c>
      <c r="E1458" s="3" t="s">
        <v>15</v>
      </c>
      <c r="F1458" s="1" t="s">
        <v>7834</v>
      </c>
      <c r="G1458" s="10"/>
      <c r="H1458" s="10"/>
      <c r="I1458" s="10"/>
      <c r="J1458" s="10"/>
      <c r="K1458" s="10"/>
      <c r="L1458" s="3" t="s">
        <v>3606</v>
      </c>
      <c r="M1458" s="3" t="s">
        <v>3607</v>
      </c>
      <c r="N1458" s="3" t="s">
        <v>3608</v>
      </c>
      <c r="O1458" s="3"/>
      <c r="P1458" s="3"/>
      <c r="Q1458" s="3"/>
      <c r="R1458" s="3" t="s">
        <v>2328</v>
      </c>
      <c r="S1458" s="3" t="s">
        <v>3609</v>
      </c>
      <c r="T1458" s="3" t="s">
        <v>21</v>
      </c>
      <c r="U1458" s="11">
        <v>543</v>
      </c>
      <c r="V1458" s="3" t="s">
        <v>3552</v>
      </c>
      <c r="W1458" s="8" t="s">
        <v>7834</v>
      </c>
    </row>
    <row r="1459" spans="1:23" x14ac:dyDescent="0.25">
      <c r="A1459" s="2">
        <v>859</v>
      </c>
      <c r="B1459" s="3" t="s">
        <v>3552</v>
      </c>
      <c r="C1459" s="3">
        <v>2024</v>
      </c>
      <c r="D1459" s="3" t="s">
        <v>3610</v>
      </c>
      <c r="E1459" s="3" t="s">
        <v>15</v>
      </c>
      <c r="F1459" s="1" t="s">
        <v>7834</v>
      </c>
      <c r="G1459" s="10"/>
      <c r="H1459" s="10"/>
      <c r="I1459" s="10"/>
      <c r="J1459" s="10"/>
      <c r="K1459" s="10"/>
      <c r="L1459" s="3" t="s">
        <v>3611</v>
      </c>
      <c r="M1459" s="3" t="s">
        <v>3612</v>
      </c>
      <c r="N1459" s="3" t="s">
        <v>3613</v>
      </c>
      <c r="O1459" s="3"/>
      <c r="P1459" s="3"/>
      <c r="Q1459" s="3"/>
      <c r="R1459" s="3" t="s">
        <v>3614</v>
      </c>
      <c r="S1459" s="3" t="s">
        <v>3615</v>
      </c>
      <c r="T1459" s="3" t="s">
        <v>21</v>
      </c>
      <c r="U1459" s="11">
        <v>544</v>
      </c>
      <c r="V1459" s="3" t="s">
        <v>3552</v>
      </c>
      <c r="W1459" s="8" t="s">
        <v>7834</v>
      </c>
    </row>
    <row r="1460" spans="1:23" x14ac:dyDescent="0.25">
      <c r="A1460" s="2">
        <v>861</v>
      </c>
      <c r="B1460" s="3" t="s">
        <v>3552</v>
      </c>
      <c r="C1460" s="3">
        <v>2024</v>
      </c>
      <c r="D1460" s="3" t="s">
        <v>2861</v>
      </c>
      <c r="E1460" s="3" t="s">
        <v>15</v>
      </c>
      <c r="F1460" s="1" t="s">
        <v>7834</v>
      </c>
      <c r="G1460" s="10"/>
      <c r="H1460" s="10"/>
      <c r="I1460" s="10"/>
      <c r="J1460" s="10"/>
      <c r="K1460" s="10"/>
      <c r="L1460" s="3" t="s">
        <v>3621</v>
      </c>
      <c r="M1460" s="3" t="s">
        <v>3622</v>
      </c>
      <c r="N1460" s="3" t="s">
        <v>3623</v>
      </c>
      <c r="O1460" s="3"/>
      <c r="P1460" s="3"/>
      <c r="Q1460" s="3"/>
      <c r="R1460" s="3" t="s">
        <v>3624</v>
      </c>
      <c r="S1460" s="3" t="s">
        <v>3625</v>
      </c>
      <c r="T1460" s="3" t="s">
        <v>21</v>
      </c>
      <c r="U1460" s="11">
        <v>545</v>
      </c>
      <c r="V1460" s="3" t="s">
        <v>3552</v>
      </c>
      <c r="W1460" s="8" t="s">
        <v>7834</v>
      </c>
    </row>
    <row r="1461" spans="1:23" x14ac:dyDescent="0.25">
      <c r="A1461" s="2">
        <v>862</v>
      </c>
      <c r="B1461" s="3" t="s">
        <v>3552</v>
      </c>
      <c r="C1461" s="3">
        <v>2024</v>
      </c>
      <c r="D1461" s="3" t="s">
        <v>38</v>
      </c>
      <c r="E1461" s="3" t="s">
        <v>15</v>
      </c>
      <c r="F1461" s="1" t="s">
        <v>7834</v>
      </c>
      <c r="G1461" s="10"/>
      <c r="H1461" s="10"/>
      <c r="I1461" s="10"/>
      <c r="J1461" s="10"/>
      <c r="K1461" s="10"/>
      <c r="L1461" s="3" t="s">
        <v>3626</v>
      </c>
      <c r="M1461" s="3" t="s">
        <v>3627</v>
      </c>
      <c r="N1461" s="3" t="s">
        <v>3628</v>
      </c>
      <c r="O1461" s="3"/>
      <c r="P1461" s="3"/>
      <c r="Q1461" s="3"/>
      <c r="R1461" s="3" t="s">
        <v>3629</v>
      </c>
      <c r="S1461" s="3" t="s">
        <v>3630</v>
      </c>
      <c r="T1461" s="3" t="s">
        <v>21</v>
      </c>
      <c r="U1461" s="11">
        <v>546</v>
      </c>
      <c r="V1461" s="3" t="s">
        <v>3552</v>
      </c>
      <c r="W1461" s="8" t="s">
        <v>7834</v>
      </c>
    </row>
    <row r="1462" spans="1:23" x14ac:dyDescent="0.25">
      <c r="A1462" s="2">
        <v>864</v>
      </c>
      <c r="B1462" s="3" t="s">
        <v>3552</v>
      </c>
      <c r="C1462" s="3">
        <v>2024</v>
      </c>
      <c r="D1462" s="3" t="s">
        <v>3636</v>
      </c>
      <c r="E1462" s="3" t="s">
        <v>15</v>
      </c>
      <c r="F1462" s="1" t="s">
        <v>7834</v>
      </c>
      <c r="G1462" s="10"/>
      <c r="H1462" s="10"/>
      <c r="I1462" s="10"/>
      <c r="J1462" s="10"/>
      <c r="K1462" s="10"/>
      <c r="L1462" s="3" t="s">
        <v>3637</v>
      </c>
      <c r="M1462" s="3" t="s">
        <v>3638</v>
      </c>
      <c r="N1462" s="3" t="s">
        <v>2327</v>
      </c>
      <c r="O1462" s="3"/>
      <c r="P1462" s="3"/>
      <c r="Q1462" s="3"/>
      <c r="R1462" s="3" t="s">
        <v>2328</v>
      </c>
      <c r="S1462" s="3" t="s">
        <v>3639</v>
      </c>
      <c r="T1462" s="3" t="s">
        <v>21</v>
      </c>
      <c r="U1462" s="11">
        <v>547</v>
      </c>
      <c r="V1462" s="3" t="s">
        <v>3552</v>
      </c>
      <c r="W1462" s="8" t="s">
        <v>7834</v>
      </c>
    </row>
    <row r="1463" spans="1:23" x14ac:dyDescent="0.25">
      <c r="A1463" s="2">
        <v>865</v>
      </c>
      <c r="B1463" s="3" t="s">
        <v>3552</v>
      </c>
      <c r="C1463" s="3">
        <v>2024</v>
      </c>
      <c r="D1463" s="3" t="s">
        <v>1395</v>
      </c>
      <c r="E1463" s="3" t="s">
        <v>15</v>
      </c>
      <c r="F1463" s="1" t="s">
        <v>7834</v>
      </c>
      <c r="G1463" s="10"/>
      <c r="H1463" s="10"/>
      <c r="I1463" s="10"/>
      <c r="J1463" s="10"/>
      <c r="K1463" s="10"/>
      <c r="L1463" s="3" t="s">
        <v>3640</v>
      </c>
      <c r="M1463" s="3" t="s">
        <v>3641</v>
      </c>
      <c r="N1463" s="3" t="s">
        <v>3642</v>
      </c>
      <c r="O1463" s="3"/>
      <c r="P1463" s="3"/>
      <c r="Q1463" s="3"/>
      <c r="R1463" s="3" t="s">
        <v>3643</v>
      </c>
      <c r="S1463" s="3" t="s">
        <v>3644</v>
      </c>
      <c r="T1463" s="3" t="s">
        <v>21</v>
      </c>
      <c r="U1463" s="11">
        <v>548</v>
      </c>
      <c r="V1463" s="3" t="s">
        <v>3552</v>
      </c>
      <c r="W1463" s="8" t="s">
        <v>7834</v>
      </c>
    </row>
    <row r="1464" spans="1:23" x14ac:dyDescent="0.25">
      <c r="A1464" s="2">
        <v>869</v>
      </c>
      <c r="B1464" s="3" t="s">
        <v>3552</v>
      </c>
      <c r="C1464" s="3">
        <v>2024</v>
      </c>
      <c r="D1464" s="3" t="s">
        <v>3660</v>
      </c>
      <c r="E1464" s="3" t="s">
        <v>15</v>
      </c>
      <c r="F1464" s="1" t="s">
        <v>7834</v>
      </c>
      <c r="G1464" s="10"/>
      <c r="H1464" s="10"/>
      <c r="I1464" s="10"/>
      <c r="J1464" s="10"/>
      <c r="K1464" s="10"/>
      <c r="L1464" s="3" t="s">
        <v>3661</v>
      </c>
      <c r="M1464" s="3" t="s">
        <v>3662</v>
      </c>
      <c r="N1464" s="3" t="s">
        <v>3663</v>
      </c>
      <c r="O1464" s="3"/>
      <c r="P1464" s="3"/>
      <c r="Q1464" s="3"/>
      <c r="R1464" s="3" t="s">
        <v>3664</v>
      </c>
      <c r="S1464" s="3" t="s">
        <v>3665</v>
      </c>
      <c r="T1464" s="3" t="s">
        <v>21</v>
      </c>
      <c r="U1464" s="11">
        <v>549</v>
      </c>
      <c r="V1464" s="3" t="s">
        <v>3552</v>
      </c>
      <c r="W1464" s="8" t="s">
        <v>7834</v>
      </c>
    </row>
    <row r="1465" spans="1:23" x14ac:dyDescent="0.25">
      <c r="A1465" s="2">
        <v>870</v>
      </c>
      <c r="B1465" s="3" t="s">
        <v>3552</v>
      </c>
      <c r="C1465" s="3">
        <v>2024</v>
      </c>
      <c r="D1465" s="3" t="s">
        <v>999</v>
      </c>
      <c r="E1465" s="3" t="s">
        <v>15</v>
      </c>
      <c r="F1465" s="1" t="s">
        <v>7834</v>
      </c>
      <c r="G1465" s="10"/>
      <c r="H1465" s="10"/>
      <c r="I1465" s="10"/>
      <c r="J1465" s="10"/>
      <c r="K1465" s="10"/>
      <c r="L1465" s="3" t="s">
        <v>3666</v>
      </c>
      <c r="M1465" s="3" t="s">
        <v>3667</v>
      </c>
      <c r="N1465" s="3" t="s">
        <v>3668</v>
      </c>
      <c r="O1465" s="3"/>
      <c r="P1465" s="3"/>
      <c r="Q1465" s="3"/>
      <c r="R1465" s="3" t="s">
        <v>3669</v>
      </c>
      <c r="S1465" s="3" t="s">
        <v>3670</v>
      </c>
      <c r="T1465" s="3" t="s">
        <v>21</v>
      </c>
      <c r="U1465" s="11">
        <v>550</v>
      </c>
      <c r="V1465" s="3" t="s">
        <v>3552</v>
      </c>
      <c r="W1465" s="8" t="s">
        <v>7834</v>
      </c>
    </row>
    <row r="1466" spans="1:23" x14ac:dyDescent="0.25">
      <c r="A1466" s="2">
        <v>872</v>
      </c>
      <c r="B1466" s="3" t="s">
        <v>3552</v>
      </c>
      <c r="C1466" s="3">
        <v>2024</v>
      </c>
      <c r="D1466" s="3" t="s">
        <v>3674</v>
      </c>
      <c r="E1466" s="3" t="s">
        <v>15</v>
      </c>
      <c r="F1466" s="1" t="s">
        <v>7834</v>
      </c>
      <c r="G1466" s="10"/>
      <c r="H1466" s="10"/>
      <c r="I1466" s="10"/>
      <c r="J1466" s="10"/>
      <c r="K1466" s="10"/>
      <c r="L1466" s="3" t="s">
        <v>3675</v>
      </c>
      <c r="M1466" s="3" t="s">
        <v>3676</v>
      </c>
      <c r="N1466" s="3" t="s">
        <v>3677</v>
      </c>
      <c r="O1466" s="3"/>
      <c r="P1466" s="3"/>
      <c r="Q1466" s="3"/>
      <c r="R1466" s="3" t="s">
        <v>3678</v>
      </c>
      <c r="S1466" s="3" t="s">
        <v>3679</v>
      </c>
      <c r="T1466" s="3" t="s">
        <v>21</v>
      </c>
      <c r="U1466" s="11">
        <v>551</v>
      </c>
      <c r="V1466" s="3" t="s">
        <v>3552</v>
      </c>
      <c r="W1466" s="8" t="s">
        <v>7834</v>
      </c>
    </row>
    <row r="1467" spans="1:23" x14ac:dyDescent="0.25">
      <c r="A1467" s="2">
        <v>874</v>
      </c>
      <c r="B1467" s="3" t="s">
        <v>3552</v>
      </c>
      <c r="C1467" s="3">
        <v>2024</v>
      </c>
      <c r="D1467" s="3" t="s">
        <v>1464</v>
      </c>
      <c r="E1467" s="3" t="s">
        <v>15</v>
      </c>
      <c r="F1467" s="1" t="s">
        <v>7834</v>
      </c>
      <c r="G1467" s="10"/>
      <c r="H1467" s="10"/>
      <c r="I1467" s="10"/>
      <c r="J1467" s="10"/>
      <c r="K1467" s="10"/>
      <c r="L1467" s="3" t="s">
        <v>3684</v>
      </c>
      <c r="M1467" s="3" t="s">
        <v>3685</v>
      </c>
      <c r="N1467" s="3" t="s">
        <v>3686</v>
      </c>
      <c r="O1467" s="3"/>
      <c r="P1467" s="3"/>
      <c r="Q1467" s="3"/>
      <c r="R1467" s="3" t="s">
        <v>3577</v>
      </c>
      <c r="S1467" s="3" t="s">
        <v>3687</v>
      </c>
      <c r="T1467" s="3" t="s">
        <v>21</v>
      </c>
      <c r="U1467" s="11">
        <v>552</v>
      </c>
      <c r="V1467" s="3" t="s">
        <v>3552</v>
      </c>
      <c r="W1467" s="8" t="s">
        <v>7834</v>
      </c>
    </row>
    <row r="1468" spans="1:23" x14ac:dyDescent="0.25">
      <c r="A1468" s="2">
        <v>875</v>
      </c>
      <c r="B1468" s="3" t="s">
        <v>3552</v>
      </c>
      <c r="C1468" s="3">
        <v>2024</v>
      </c>
      <c r="D1468" s="3" t="s">
        <v>3688</v>
      </c>
      <c r="E1468" s="3" t="s">
        <v>15</v>
      </c>
      <c r="F1468" s="1" t="s">
        <v>7834</v>
      </c>
      <c r="G1468" s="10"/>
      <c r="H1468" s="10"/>
      <c r="I1468" s="10"/>
      <c r="J1468" s="10"/>
      <c r="K1468" s="10"/>
      <c r="L1468" s="3" t="s">
        <v>3689</v>
      </c>
      <c r="M1468" s="3" t="s">
        <v>3690</v>
      </c>
      <c r="N1468" s="3" t="s">
        <v>3628</v>
      </c>
      <c r="O1468" s="3"/>
      <c r="P1468" s="3"/>
      <c r="Q1468" s="3"/>
      <c r="R1468" s="3" t="s">
        <v>3629</v>
      </c>
      <c r="S1468" s="3" t="s">
        <v>3691</v>
      </c>
      <c r="T1468" s="3" t="s">
        <v>21</v>
      </c>
      <c r="U1468" s="11">
        <v>553</v>
      </c>
      <c r="V1468" s="3" t="s">
        <v>3552</v>
      </c>
      <c r="W1468" s="8" t="s">
        <v>7834</v>
      </c>
    </row>
    <row r="1469" spans="1:23" x14ac:dyDescent="0.25">
      <c r="A1469" s="2">
        <v>876</v>
      </c>
      <c r="B1469" s="3" t="s">
        <v>3552</v>
      </c>
      <c r="C1469" s="3">
        <v>2024</v>
      </c>
      <c r="D1469" s="3" t="s">
        <v>86</v>
      </c>
      <c r="E1469" s="3" t="s">
        <v>15</v>
      </c>
      <c r="F1469" s="1" t="s">
        <v>7834</v>
      </c>
      <c r="G1469" s="10"/>
      <c r="H1469" s="10"/>
      <c r="I1469" s="10"/>
      <c r="J1469" s="10"/>
      <c r="K1469" s="10"/>
      <c r="L1469" s="3" t="s">
        <v>3692</v>
      </c>
      <c r="M1469" s="3" t="s">
        <v>3693</v>
      </c>
      <c r="N1469" s="3" t="s">
        <v>3694</v>
      </c>
      <c r="O1469" s="3"/>
      <c r="P1469" s="3"/>
      <c r="Q1469" s="3"/>
      <c r="R1469" s="3" t="s">
        <v>3695</v>
      </c>
      <c r="S1469" s="3" t="s">
        <v>3696</v>
      </c>
      <c r="T1469" s="3" t="s">
        <v>21</v>
      </c>
      <c r="U1469" s="11">
        <v>554</v>
      </c>
      <c r="V1469" s="3" t="s">
        <v>3552</v>
      </c>
      <c r="W1469" s="8" t="s">
        <v>7834</v>
      </c>
    </row>
    <row r="1470" spans="1:23" x14ac:dyDescent="0.25">
      <c r="A1470" s="2">
        <v>877</v>
      </c>
      <c r="B1470" s="3" t="s">
        <v>3552</v>
      </c>
      <c r="C1470" s="3">
        <v>2024</v>
      </c>
      <c r="D1470" s="3" t="s">
        <v>63</v>
      </c>
      <c r="E1470" s="3" t="s">
        <v>15</v>
      </c>
      <c r="F1470" s="1" t="s">
        <v>7834</v>
      </c>
      <c r="G1470" s="10"/>
      <c r="H1470" s="10"/>
      <c r="I1470" s="10"/>
      <c r="J1470" s="10"/>
      <c r="K1470" s="10"/>
      <c r="L1470" s="3" t="s">
        <v>3697</v>
      </c>
      <c r="M1470" s="3" t="s">
        <v>3698</v>
      </c>
      <c r="N1470" s="3" t="s">
        <v>3699</v>
      </c>
      <c r="O1470" s="3"/>
      <c r="P1470" s="3"/>
      <c r="Q1470" s="3"/>
      <c r="R1470" s="3" t="s">
        <v>3700</v>
      </c>
      <c r="S1470" s="3" t="s">
        <v>3701</v>
      </c>
      <c r="T1470" s="3" t="s">
        <v>21</v>
      </c>
      <c r="U1470" s="11">
        <v>555</v>
      </c>
      <c r="V1470" s="3" t="s">
        <v>3552</v>
      </c>
      <c r="W1470" s="8" t="s">
        <v>7834</v>
      </c>
    </row>
    <row r="1471" spans="1:23" x14ac:dyDescent="0.25">
      <c r="A1471" s="2">
        <v>880</v>
      </c>
      <c r="B1471" s="3" t="s">
        <v>3552</v>
      </c>
      <c r="C1471" s="3">
        <v>2024</v>
      </c>
      <c r="D1471" s="3" t="s">
        <v>1470</v>
      </c>
      <c r="E1471" s="3" t="s">
        <v>15</v>
      </c>
      <c r="F1471" s="1" t="s">
        <v>7834</v>
      </c>
      <c r="G1471" s="10"/>
      <c r="H1471" s="10"/>
      <c r="I1471" s="10"/>
      <c r="J1471" s="10"/>
      <c r="K1471" s="10"/>
      <c r="L1471" s="3" t="s">
        <v>3712</v>
      </c>
      <c r="M1471" s="3" t="s">
        <v>3713</v>
      </c>
      <c r="N1471" s="3" t="s">
        <v>3714</v>
      </c>
      <c r="O1471" s="3"/>
      <c r="P1471" s="3"/>
      <c r="Q1471" s="3"/>
      <c r="R1471" s="3" t="s">
        <v>3715</v>
      </c>
      <c r="S1471" s="3" t="s">
        <v>3716</v>
      </c>
      <c r="T1471" s="3" t="s">
        <v>21</v>
      </c>
      <c r="U1471" s="11">
        <v>556</v>
      </c>
      <c r="V1471" s="3" t="s">
        <v>3552</v>
      </c>
      <c r="W1471" s="8" t="s">
        <v>7834</v>
      </c>
    </row>
    <row r="1472" spans="1:23" x14ac:dyDescent="0.25">
      <c r="A1472" s="2">
        <v>881</v>
      </c>
      <c r="B1472" s="3" t="s">
        <v>3552</v>
      </c>
      <c r="C1472" s="3">
        <v>2024</v>
      </c>
      <c r="D1472" s="3" t="s">
        <v>970</v>
      </c>
      <c r="E1472" s="3" t="s">
        <v>15</v>
      </c>
      <c r="F1472" s="1" t="s">
        <v>7834</v>
      </c>
      <c r="G1472" s="10"/>
      <c r="H1472" s="10"/>
      <c r="I1472" s="10"/>
      <c r="J1472" s="10"/>
      <c r="K1472" s="10"/>
      <c r="L1472" s="3" t="s">
        <v>3717</v>
      </c>
      <c r="M1472" s="3" t="s">
        <v>3718</v>
      </c>
      <c r="N1472" s="3" t="s">
        <v>3686</v>
      </c>
      <c r="O1472" s="3"/>
      <c r="P1472" s="3"/>
      <c r="Q1472" s="3"/>
      <c r="R1472" s="3" t="s">
        <v>3577</v>
      </c>
      <c r="S1472" s="3" t="s">
        <v>3719</v>
      </c>
      <c r="T1472" s="3" t="s">
        <v>21</v>
      </c>
      <c r="U1472" s="11">
        <v>557</v>
      </c>
      <c r="V1472" s="3" t="s">
        <v>3552</v>
      </c>
      <c r="W1472" s="8" t="s">
        <v>7834</v>
      </c>
    </row>
    <row r="1473" spans="1:23" x14ac:dyDescent="0.25">
      <c r="A1473" s="2">
        <v>882</v>
      </c>
      <c r="B1473" s="3" t="s">
        <v>3552</v>
      </c>
      <c r="C1473" s="3">
        <v>2024</v>
      </c>
      <c r="D1473" s="3" t="s">
        <v>2626</v>
      </c>
      <c r="E1473" s="3" t="s">
        <v>15</v>
      </c>
      <c r="F1473" s="1" t="s">
        <v>7834</v>
      </c>
      <c r="G1473" s="10"/>
      <c r="H1473" s="10"/>
      <c r="I1473" s="10"/>
      <c r="J1473" s="10"/>
      <c r="K1473" s="10"/>
      <c r="L1473" s="3" t="s">
        <v>3720</v>
      </c>
      <c r="M1473" s="3" t="s">
        <v>3721</v>
      </c>
      <c r="N1473" s="3" t="s">
        <v>3722</v>
      </c>
      <c r="O1473" s="3"/>
      <c r="P1473" s="3"/>
      <c r="Q1473" s="3"/>
      <c r="R1473" s="3" t="s">
        <v>1607</v>
      </c>
      <c r="S1473" s="3" t="s">
        <v>3723</v>
      </c>
      <c r="T1473" s="3" t="s">
        <v>21</v>
      </c>
      <c r="U1473" s="11">
        <v>558</v>
      </c>
      <c r="V1473" s="3" t="s">
        <v>3552</v>
      </c>
      <c r="W1473" s="8" t="s">
        <v>7834</v>
      </c>
    </row>
    <row r="1474" spans="1:23" x14ac:dyDescent="0.25">
      <c r="A1474" s="2">
        <v>883</v>
      </c>
      <c r="B1474" s="3" t="s">
        <v>3552</v>
      </c>
      <c r="C1474" s="3">
        <v>2024</v>
      </c>
      <c r="D1474" s="3" t="s">
        <v>3724</v>
      </c>
      <c r="E1474" s="3" t="s">
        <v>15</v>
      </c>
      <c r="F1474" s="1" t="s">
        <v>7834</v>
      </c>
      <c r="G1474" s="10"/>
      <c r="H1474" s="10"/>
      <c r="I1474" s="10"/>
      <c r="J1474" s="10"/>
      <c r="K1474" s="10"/>
      <c r="L1474" s="3" t="s">
        <v>3725</v>
      </c>
      <c r="M1474" s="3" t="s">
        <v>3726</v>
      </c>
      <c r="N1474" s="3" t="s">
        <v>3727</v>
      </c>
      <c r="O1474" s="3"/>
      <c r="P1474" s="3"/>
      <c r="Q1474" s="3"/>
      <c r="R1474" s="3" t="s">
        <v>3728</v>
      </c>
      <c r="S1474" s="3" t="s">
        <v>3729</v>
      </c>
      <c r="T1474" s="3" t="s">
        <v>21</v>
      </c>
      <c r="U1474" s="11">
        <v>559</v>
      </c>
      <c r="V1474" s="3" t="s">
        <v>3552</v>
      </c>
      <c r="W1474" s="8" t="s">
        <v>7834</v>
      </c>
    </row>
    <row r="1475" spans="1:23" x14ac:dyDescent="0.25">
      <c r="A1475" s="2">
        <v>884</v>
      </c>
      <c r="B1475" s="3" t="s">
        <v>3552</v>
      </c>
      <c r="C1475" s="3">
        <v>2024</v>
      </c>
      <c r="D1475" s="3" t="s">
        <v>2712</v>
      </c>
      <c r="E1475" s="3" t="s">
        <v>15</v>
      </c>
      <c r="F1475" s="1" t="s">
        <v>7834</v>
      </c>
      <c r="G1475" s="10"/>
      <c r="H1475" s="10"/>
      <c r="I1475" s="10"/>
      <c r="J1475" s="10"/>
      <c r="K1475" s="10"/>
      <c r="L1475" s="3" t="s">
        <v>3730</v>
      </c>
      <c r="M1475" s="3" t="s">
        <v>3731</v>
      </c>
      <c r="N1475" s="3" t="s">
        <v>3732</v>
      </c>
      <c r="O1475" s="3"/>
      <c r="P1475" s="3"/>
      <c r="Q1475" s="3"/>
      <c r="R1475" s="3" t="s">
        <v>3733</v>
      </c>
      <c r="S1475" s="3" t="s">
        <v>3734</v>
      </c>
      <c r="T1475" s="3" t="s">
        <v>21</v>
      </c>
      <c r="U1475" s="11">
        <v>560</v>
      </c>
      <c r="V1475" s="3" t="s">
        <v>3552</v>
      </c>
      <c r="W1475" s="8" t="s">
        <v>7834</v>
      </c>
    </row>
    <row r="1476" spans="1:23" x14ac:dyDescent="0.25">
      <c r="A1476" s="2">
        <v>887</v>
      </c>
      <c r="B1476" s="3" t="s">
        <v>3552</v>
      </c>
      <c r="C1476" s="3">
        <v>2024</v>
      </c>
      <c r="D1476" s="3" t="s">
        <v>660</v>
      </c>
      <c r="E1476" s="3" t="s">
        <v>15</v>
      </c>
      <c r="F1476" s="1" t="s">
        <v>7834</v>
      </c>
      <c r="G1476" s="10"/>
      <c r="H1476" s="10"/>
      <c r="I1476" s="10"/>
      <c r="J1476" s="10"/>
      <c r="K1476" s="10"/>
      <c r="L1476" s="3" t="s">
        <v>3744</v>
      </c>
      <c r="M1476" s="3" t="s">
        <v>3745</v>
      </c>
      <c r="N1476" s="3" t="s">
        <v>3576</v>
      </c>
      <c r="O1476" s="3"/>
      <c r="P1476" s="3"/>
      <c r="Q1476" s="3"/>
      <c r="R1476" s="3" t="s">
        <v>3577</v>
      </c>
      <c r="S1476" s="3" t="s">
        <v>3746</v>
      </c>
      <c r="T1476" s="3" t="s">
        <v>21</v>
      </c>
      <c r="U1476" s="11">
        <v>561</v>
      </c>
      <c r="V1476" s="3" t="s">
        <v>3552</v>
      </c>
      <c r="W1476" s="8" t="s">
        <v>7834</v>
      </c>
    </row>
    <row r="1477" spans="1:23" x14ac:dyDescent="0.25">
      <c r="A1477" s="2">
        <v>888</v>
      </c>
      <c r="B1477" s="3" t="s">
        <v>3552</v>
      </c>
      <c r="C1477" s="3">
        <v>2024</v>
      </c>
      <c r="D1477" s="3" t="s">
        <v>2554</v>
      </c>
      <c r="E1477" s="3" t="s">
        <v>15</v>
      </c>
      <c r="F1477" s="1" t="s">
        <v>7834</v>
      </c>
      <c r="G1477" s="10"/>
      <c r="H1477" s="10"/>
      <c r="I1477" s="10"/>
      <c r="J1477" s="10"/>
      <c r="K1477" s="10"/>
      <c r="L1477" s="3" t="s">
        <v>3747</v>
      </c>
      <c r="M1477" s="3" t="s">
        <v>3748</v>
      </c>
      <c r="N1477" s="3" t="s">
        <v>3749</v>
      </c>
      <c r="O1477" s="3"/>
      <c r="P1477" s="3"/>
      <c r="Q1477" s="3"/>
      <c r="R1477" s="3" t="s">
        <v>3750</v>
      </c>
      <c r="S1477" s="3" t="s">
        <v>3751</v>
      </c>
      <c r="T1477" s="3" t="s">
        <v>21</v>
      </c>
      <c r="U1477" s="11">
        <v>562</v>
      </c>
      <c r="V1477" s="3" t="s">
        <v>3552</v>
      </c>
      <c r="W1477" s="8" t="s">
        <v>7834</v>
      </c>
    </row>
    <row r="1478" spans="1:23" x14ac:dyDescent="0.25">
      <c r="A1478" s="2">
        <v>889</v>
      </c>
      <c r="B1478" s="3" t="s">
        <v>3552</v>
      </c>
      <c r="C1478" s="3">
        <v>2024</v>
      </c>
      <c r="D1478" s="3" t="s">
        <v>557</v>
      </c>
      <c r="E1478" s="3" t="s">
        <v>15</v>
      </c>
      <c r="F1478" s="1" t="s">
        <v>7834</v>
      </c>
      <c r="G1478" s="10"/>
      <c r="H1478" s="10"/>
      <c r="I1478" s="10"/>
      <c r="J1478" s="10"/>
      <c r="K1478" s="10"/>
      <c r="L1478" s="3" t="s">
        <v>3752</v>
      </c>
      <c r="M1478" s="3" t="s">
        <v>3753</v>
      </c>
      <c r="N1478" s="3" t="s">
        <v>3754</v>
      </c>
      <c r="O1478" s="3"/>
      <c r="P1478" s="3"/>
      <c r="Q1478" s="3"/>
      <c r="R1478" s="3" t="s">
        <v>3755</v>
      </c>
      <c r="S1478" s="3" t="s">
        <v>3756</v>
      </c>
      <c r="T1478" s="3" t="s">
        <v>21</v>
      </c>
      <c r="U1478" s="11">
        <v>563</v>
      </c>
      <c r="V1478" s="3" t="s">
        <v>3552</v>
      </c>
      <c r="W1478" s="8" t="s">
        <v>7834</v>
      </c>
    </row>
    <row r="1479" spans="1:23" x14ac:dyDescent="0.25">
      <c r="A1479" s="2">
        <v>892</v>
      </c>
      <c r="B1479" s="3" t="s">
        <v>3552</v>
      </c>
      <c r="C1479" s="3">
        <v>2024</v>
      </c>
      <c r="D1479" s="3" t="s">
        <v>22</v>
      </c>
      <c r="E1479" s="3" t="s">
        <v>15</v>
      </c>
      <c r="F1479" s="1" t="s">
        <v>7834</v>
      </c>
      <c r="G1479" s="10"/>
      <c r="H1479" s="10"/>
      <c r="I1479" s="10"/>
      <c r="J1479" s="10"/>
      <c r="K1479" s="10"/>
      <c r="L1479" s="3" t="s">
        <v>3765</v>
      </c>
      <c r="M1479" s="3" t="s">
        <v>3766</v>
      </c>
      <c r="N1479" s="3" t="s">
        <v>3576</v>
      </c>
      <c r="O1479" s="3"/>
      <c r="P1479" s="3"/>
      <c r="Q1479" s="3"/>
      <c r="R1479" s="3" t="s">
        <v>3577</v>
      </c>
      <c r="S1479" s="3" t="s">
        <v>3767</v>
      </c>
      <c r="T1479" s="3" t="s">
        <v>21</v>
      </c>
      <c r="U1479" s="11">
        <v>564</v>
      </c>
      <c r="V1479" s="3" t="s">
        <v>3552</v>
      </c>
      <c r="W1479" s="8" t="s">
        <v>7834</v>
      </c>
    </row>
    <row r="1480" spans="1:23" x14ac:dyDescent="0.25">
      <c r="A1480" s="2">
        <v>893</v>
      </c>
      <c r="B1480" s="3" t="s">
        <v>3552</v>
      </c>
      <c r="C1480" s="3">
        <v>2024</v>
      </c>
      <c r="D1480" s="3" t="s">
        <v>3768</v>
      </c>
      <c r="E1480" s="3" t="s">
        <v>15</v>
      </c>
      <c r="F1480" s="1" t="s">
        <v>7834</v>
      </c>
      <c r="G1480" s="10"/>
      <c r="H1480" s="10"/>
      <c r="I1480" s="10"/>
      <c r="J1480" s="10"/>
      <c r="K1480" s="10"/>
      <c r="L1480" s="3" t="s">
        <v>3769</v>
      </c>
      <c r="M1480" s="3" t="s">
        <v>3770</v>
      </c>
      <c r="N1480" s="3" t="s">
        <v>3771</v>
      </c>
      <c r="O1480" s="3"/>
      <c r="P1480" s="3"/>
      <c r="Q1480" s="3"/>
      <c r="R1480" s="3" t="s">
        <v>3772</v>
      </c>
      <c r="S1480" s="3" t="s">
        <v>3773</v>
      </c>
      <c r="T1480" s="3" t="s">
        <v>21</v>
      </c>
      <c r="U1480" s="11">
        <v>565</v>
      </c>
      <c r="V1480" s="3" t="s">
        <v>3552</v>
      </c>
      <c r="W1480" s="8" t="s">
        <v>7834</v>
      </c>
    </row>
    <row r="1481" spans="1:23" x14ac:dyDescent="0.25">
      <c r="A1481" s="2">
        <v>894</v>
      </c>
      <c r="B1481" s="3" t="s">
        <v>3552</v>
      </c>
      <c r="C1481" s="3">
        <v>2024</v>
      </c>
      <c r="D1481" s="3" t="s">
        <v>3774</v>
      </c>
      <c r="E1481" s="3" t="s">
        <v>15</v>
      </c>
      <c r="F1481" s="1" t="s">
        <v>7834</v>
      </c>
      <c r="G1481" s="10"/>
      <c r="H1481" s="10"/>
      <c r="I1481" s="10"/>
      <c r="J1481" s="10"/>
      <c r="K1481" s="10"/>
      <c r="L1481" s="3" t="s">
        <v>3775</v>
      </c>
      <c r="M1481" s="3" t="s">
        <v>3776</v>
      </c>
      <c r="N1481" s="3" t="s">
        <v>3777</v>
      </c>
      <c r="O1481" s="3"/>
      <c r="P1481" s="3"/>
      <c r="Q1481" s="3"/>
      <c r="R1481" s="3" t="s">
        <v>3778</v>
      </c>
      <c r="S1481" s="3" t="s">
        <v>3779</v>
      </c>
      <c r="T1481" s="3" t="s">
        <v>21</v>
      </c>
      <c r="U1481" s="11">
        <v>566</v>
      </c>
      <c r="V1481" s="3" t="s">
        <v>3552</v>
      </c>
      <c r="W1481" s="8" t="s">
        <v>7834</v>
      </c>
    </row>
    <row r="1482" spans="1:23" x14ac:dyDescent="0.25">
      <c r="A1482" s="2">
        <v>895</v>
      </c>
      <c r="B1482" s="3" t="s">
        <v>3552</v>
      </c>
      <c r="C1482" s="3">
        <v>2024</v>
      </c>
      <c r="D1482" s="3" t="s">
        <v>3774</v>
      </c>
      <c r="E1482" s="3" t="s">
        <v>15</v>
      </c>
      <c r="F1482" s="1" t="s">
        <v>7834</v>
      </c>
      <c r="G1482" s="10"/>
      <c r="H1482" s="10"/>
      <c r="I1482" s="10"/>
      <c r="J1482" s="10"/>
      <c r="K1482" s="10"/>
      <c r="L1482" s="3" t="s">
        <v>3780</v>
      </c>
      <c r="M1482" s="3" t="s">
        <v>3781</v>
      </c>
      <c r="N1482" s="3" t="s">
        <v>3782</v>
      </c>
      <c r="O1482" s="3"/>
      <c r="P1482" s="3"/>
      <c r="Q1482" s="3"/>
      <c r="R1482" s="3" t="s">
        <v>3783</v>
      </c>
      <c r="S1482" s="3" t="s">
        <v>3784</v>
      </c>
      <c r="T1482" s="3" t="s">
        <v>21</v>
      </c>
      <c r="U1482" s="11">
        <v>567</v>
      </c>
      <c r="V1482" s="3" t="s">
        <v>3552</v>
      </c>
      <c r="W1482" s="8" t="s">
        <v>7834</v>
      </c>
    </row>
    <row r="1483" spans="1:23" x14ac:dyDescent="0.25">
      <c r="A1483" s="2">
        <v>896</v>
      </c>
      <c r="B1483" s="3" t="s">
        <v>3552</v>
      </c>
      <c r="C1483" s="3">
        <v>2024</v>
      </c>
      <c r="D1483" s="3" t="s">
        <v>2056</v>
      </c>
      <c r="E1483" s="3" t="s">
        <v>15</v>
      </c>
      <c r="F1483" s="1" t="s">
        <v>7834</v>
      </c>
      <c r="G1483" s="10"/>
      <c r="H1483" s="10"/>
      <c r="I1483" s="10"/>
      <c r="J1483" s="10"/>
      <c r="K1483" s="10"/>
      <c r="L1483" s="3" t="s">
        <v>3785</v>
      </c>
      <c r="M1483" s="3" t="s">
        <v>3786</v>
      </c>
      <c r="N1483" s="3" t="s">
        <v>3555</v>
      </c>
      <c r="O1483" s="3"/>
      <c r="P1483" s="3"/>
      <c r="Q1483" s="3"/>
      <c r="R1483" s="3" t="s">
        <v>3556</v>
      </c>
      <c r="S1483" s="3" t="s">
        <v>3787</v>
      </c>
      <c r="T1483" s="3" t="s">
        <v>21</v>
      </c>
      <c r="U1483" s="11">
        <v>568</v>
      </c>
      <c r="V1483" s="3" t="s">
        <v>3552</v>
      </c>
      <c r="W1483" s="8" t="s">
        <v>7834</v>
      </c>
    </row>
    <row r="1484" spans="1:23" x14ac:dyDescent="0.25">
      <c r="A1484" s="2">
        <v>898</v>
      </c>
      <c r="B1484" s="3" t="s">
        <v>3552</v>
      </c>
      <c r="C1484" s="3">
        <v>2024</v>
      </c>
      <c r="D1484" s="3" t="s">
        <v>2641</v>
      </c>
      <c r="E1484" s="3" t="s">
        <v>15</v>
      </c>
      <c r="F1484" s="1" t="s">
        <v>7834</v>
      </c>
      <c r="G1484" s="10"/>
      <c r="H1484" s="10"/>
      <c r="I1484" s="10"/>
      <c r="J1484" s="10"/>
      <c r="K1484" s="10"/>
      <c r="L1484" s="3" t="s">
        <v>3793</v>
      </c>
      <c r="M1484" s="3" t="s">
        <v>3794</v>
      </c>
      <c r="N1484" s="3" t="s">
        <v>874</v>
      </c>
      <c r="O1484" s="3"/>
      <c r="P1484" s="3"/>
      <c r="Q1484" s="3"/>
      <c r="R1484" s="3" t="s">
        <v>1002</v>
      </c>
      <c r="S1484" s="3" t="s">
        <v>3795</v>
      </c>
      <c r="T1484" s="3" t="s">
        <v>21</v>
      </c>
      <c r="U1484" s="11">
        <v>569</v>
      </c>
      <c r="V1484" s="3" t="s">
        <v>3552</v>
      </c>
      <c r="W1484" s="8" t="s">
        <v>7834</v>
      </c>
    </row>
    <row r="1485" spans="1:23" x14ac:dyDescent="0.25">
      <c r="A1485" s="2">
        <v>899</v>
      </c>
      <c r="B1485" s="3" t="s">
        <v>3552</v>
      </c>
      <c r="C1485" s="3">
        <v>2024</v>
      </c>
      <c r="D1485" s="3" t="s">
        <v>2748</v>
      </c>
      <c r="E1485" s="3" t="s">
        <v>15</v>
      </c>
      <c r="F1485" s="1" t="s">
        <v>7834</v>
      </c>
      <c r="G1485" s="10"/>
      <c r="H1485" s="10"/>
      <c r="I1485" s="10"/>
      <c r="J1485" s="10"/>
      <c r="K1485" s="10"/>
      <c r="L1485" s="3" t="s">
        <v>3796</v>
      </c>
      <c r="M1485" s="3" t="s">
        <v>3797</v>
      </c>
      <c r="N1485" s="3" t="s">
        <v>3798</v>
      </c>
      <c r="O1485" s="3"/>
      <c r="P1485" s="3"/>
      <c r="Q1485" s="3"/>
      <c r="R1485" s="3" t="s">
        <v>1825</v>
      </c>
      <c r="S1485" s="3" t="s">
        <v>3799</v>
      </c>
      <c r="T1485" s="3" t="s">
        <v>21</v>
      </c>
      <c r="U1485" s="11">
        <v>570</v>
      </c>
      <c r="V1485" s="3" t="s">
        <v>3552</v>
      </c>
      <c r="W1485" s="8" t="s">
        <v>7834</v>
      </c>
    </row>
    <row r="1486" spans="1:23" x14ac:dyDescent="0.25">
      <c r="A1486" s="2">
        <v>900</v>
      </c>
      <c r="B1486" s="3" t="s">
        <v>3552</v>
      </c>
      <c r="C1486" s="3">
        <v>2024</v>
      </c>
      <c r="D1486" s="3" t="s">
        <v>38</v>
      </c>
      <c r="E1486" s="3" t="s">
        <v>15</v>
      </c>
      <c r="F1486" s="1" t="s">
        <v>7834</v>
      </c>
      <c r="G1486" s="10"/>
      <c r="H1486" s="10"/>
      <c r="I1486" s="10"/>
      <c r="J1486" s="10"/>
      <c r="K1486" s="10"/>
      <c r="L1486" s="3" t="s">
        <v>3800</v>
      </c>
      <c r="M1486" s="3" t="s">
        <v>3801</v>
      </c>
      <c r="N1486" s="3" t="s">
        <v>3802</v>
      </c>
      <c r="O1486" s="3"/>
      <c r="P1486" s="3"/>
      <c r="Q1486" s="3"/>
      <c r="R1486" s="3" t="s">
        <v>3803</v>
      </c>
      <c r="S1486" s="3" t="s">
        <v>3804</v>
      </c>
      <c r="T1486" s="3" t="s">
        <v>21</v>
      </c>
      <c r="U1486" s="11">
        <v>571</v>
      </c>
      <c r="V1486" s="3" t="s">
        <v>3552</v>
      </c>
      <c r="W1486" s="8" t="s">
        <v>7834</v>
      </c>
    </row>
    <row r="1487" spans="1:23" x14ac:dyDescent="0.25">
      <c r="A1487" s="2">
        <v>901</v>
      </c>
      <c r="B1487" s="3" t="s">
        <v>3552</v>
      </c>
      <c r="C1487" s="3">
        <v>2024</v>
      </c>
      <c r="D1487" s="3" t="s">
        <v>2618</v>
      </c>
      <c r="E1487" s="3" t="s">
        <v>15</v>
      </c>
      <c r="F1487" s="1" t="s">
        <v>7834</v>
      </c>
      <c r="G1487" s="10"/>
      <c r="H1487" s="10"/>
      <c r="I1487" s="10"/>
      <c r="J1487" s="10"/>
      <c r="K1487" s="10"/>
      <c r="L1487" s="3" t="s">
        <v>3805</v>
      </c>
      <c r="M1487" s="3" t="s">
        <v>3806</v>
      </c>
      <c r="N1487" s="3" t="s">
        <v>3807</v>
      </c>
      <c r="O1487" s="3"/>
      <c r="P1487" s="3"/>
      <c r="Q1487" s="3"/>
      <c r="R1487" s="3" t="s">
        <v>2275</v>
      </c>
      <c r="S1487" s="3" t="s">
        <v>3808</v>
      </c>
      <c r="T1487" s="3" t="s">
        <v>21</v>
      </c>
      <c r="U1487" s="11">
        <v>572</v>
      </c>
      <c r="V1487" s="3" t="s">
        <v>3552</v>
      </c>
      <c r="W1487" s="8" t="s">
        <v>7834</v>
      </c>
    </row>
    <row r="1488" spans="1:23" x14ac:dyDescent="0.25">
      <c r="A1488" s="2">
        <v>902</v>
      </c>
      <c r="B1488" s="3" t="s">
        <v>3552</v>
      </c>
      <c r="C1488" s="3">
        <v>2024</v>
      </c>
      <c r="D1488" s="3" t="s">
        <v>1960</v>
      </c>
      <c r="E1488" s="3" t="s">
        <v>15</v>
      </c>
      <c r="F1488" s="1" t="s">
        <v>7834</v>
      </c>
      <c r="G1488" s="10"/>
      <c r="H1488" s="10"/>
      <c r="I1488" s="10"/>
      <c r="J1488" s="10"/>
      <c r="K1488" s="10"/>
      <c r="L1488" s="3" t="s">
        <v>3809</v>
      </c>
      <c r="M1488" s="3" t="s">
        <v>3810</v>
      </c>
      <c r="N1488" s="3" t="s">
        <v>3811</v>
      </c>
      <c r="O1488" s="3"/>
      <c r="P1488" s="3"/>
      <c r="Q1488" s="3"/>
      <c r="R1488" s="3" t="s">
        <v>3812</v>
      </c>
      <c r="S1488" s="3" t="s">
        <v>3813</v>
      </c>
      <c r="T1488" s="3" t="s">
        <v>21</v>
      </c>
      <c r="U1488" s="11">
        <v>573</v>
      </c>
      <c r="V1488" s="3" t="s">
        <v>3552</v>
      </c>
      <c r="W1488" s="8" t="s">
        <v>7834</v>
      </c>
    </row>
    <row r="1489" spans="1:23" x14ac:dyDescent="0.25">
      <c r="A1489" s="2">
        <v>903</v>
      </c>
      <c r="B1489" s="3" t="s">
        <v>3552</v>
      </c>
      <c r="C1489" s="3">
        <v>2024</v>
      </c>
      <c r="D1489" s="3" t="s">
        <v>3276</v>
      </c>
      <c r="E1489" s="3" t="s">
        <v>15</v>
      </c>
      <c r="F1489" s="1" t="s">
        <v>7834</v>
      </c>
      <c r="G1489" s="10"/>
      <c r="H1489" s="10"/>
      <c r="I1489" s="10"/>
      <c r="J1489" s="10"/>
      <c r="K1489" s="10"/>
      <c r="L1489" s="3" t="s">
        <v>3814</v>
      </c>
      <c r="M1489" s="3" t="s">
        <v>3815</v>
      </c>
      <c r="N1489" s="3" t="s">
        <v>874</v>
      </c>
      <c r="O1489" s="3"/>
      <c r="P1489" s="3"/>
      <c r="Q1489" s="3"/>
      <c r="R1489" s="3" t="s">
        <v>1002</v>
      </c>
      <c r="S1489" s="3" t="s">
        <v>3816</v>
      </c>
      <c r="T1489" s="3" t="s">
        <v>21</v>
      </c>
      <c r="U1489" s="11">
        <v>574</v>
      </c>
      <c r="V1489" s="3" t="s">
        <v>3552</v>
      </c>
      <c r="W1489" s="8" t="s">
        <v>7834</v>
      </c>
    </row>
    <row r="1490" spans="1:23" x14ac:dyDescent="0.25">
      <c r="A1490" s="2">
        <v>904</v>
      </c>
      <c r="B1490" s="3" t="s">
        <v>3552</v>
      </c>
      <c r="C1490" s="3">
        <v>2024</v>
      </c>
      <c r="D1490" s="3" t="s">
        <v>2629</v>
      </c>
      <c r="E1490" s="3" t="s">
        <v>15</v>
      </c>
      <c r="F1490" s="1" t="s">
        <v>7834</v>
      </c>
      <c r="G1490" s="10"/>
      <c r="H1490" s="10"/>
      <c r="I1490" s="10"/>
      <c r="J1490" s="10"/>
      <c r="K1490" s="10"/>
      <c r="L1490" s="3" t="s">
        <v>3817</v>
      </c>
      <c r="M1490" s="3" t="s">
        <v>3818</v>
      </c>
      <c r="N1490" s="3" t="s">
        <v>3668</v>
      </c>
      <c r="O1490" s="3"/>
      <c r="P1490" s="3"/>
      <c r="Q1490" s="3"/>
      <c r="R1490" s="3" t="s">
        <v>3669</v>
      </c>
      <c r="S1490" s="3" t="s">
        <v>3819</v>
      </c>
      <c r="T1490" s="3" t="s">
        <v>21</v>
      </c>
      <c r="U1490" s="11">
        <v>575</v>
      </c>
      <c r="V1490" s="3" t="s">
        <v>3552</v>
      </c>
      <c r="W1490" s="8" t="s">
        <v>7834</v>
      </c>
    </row>
    <row r="1491" spans="1:23" x14ac:dyDescent="0.25">
      <c r="A1491" s="2">
        <v>905</v>
      </c>
      <c r="B1491" s="3" t="s">
        <v>3552</v>
      </c>
      <c r="C1491" s="3">
        <v>2024</v>
      </c>
      <c r="D1491" s="3" t="s">
        <v>2686</v>
      </c>
      <c r="E1491" s="3" t="s">
        <v>15</v>
      </c>
      <c r="F1491" s="1" t="s">
        <v>7834</v>
      </c>
      <c r="G1491" s="10"/>
      <c r="H1491" s="10"/>
      <c r="I1491" s="10"/>
      <c r="J1491" s="10"/>
      <c r="K1491" s="10"/>
      <c r="L1491" s="3" t="s">
        <v>3820</v>
      </c>
      <c r="M1491" s="3" t="s">
        <v>3821</v>
      </c>
      <c r="N1491" s="3" t="s">
        <v>1649</v>
      </c>
      <c r="O1491" s="3"/>
      <c r="P1491" s="3"/>
      <c r="Q1491" s="3"/>
      <c r="R1491" s="3" t="s">
        <v>1650</v>
      </c>
      <c r="S1491" s="3" t="s">
        <v>3593</v>
      </c>
      <c r="T1491" s="3" t="s">
        <v>21</v>
      </c>
      <c r="U1491" s="11">
        <v>576</v>
      </c>
      <c r="V1491" s="3" t="s">
        <v>3552</v>
      </c>
      <c r="W1491" s="8" t="s">
        <v>7834</v>
      </c>
    </row>
    <row r="1492" spans="1:23" x14ac:dyDescent="0.25">
      <c r="A1492" s="2">
        <v>906</v>
      </c>
      <c r="B1492" s="3" t="s">
        <v>3552</v>
      </c>
      <c r="C1492" s="3">
        <v>2024</v>
      </c>
      <c r="D1492" s="3" t="s">
        <v>14</v>
      </c>
      <c r="E1492" s="3" t="s">
        <v>15</v>
      </c>
      <c r="F1492" s="1" t="s">
        <v>7834</v>
      </c>
      <c r="G1492" s="10">
        <v>59</v>
      </c>
      <c r="H1492" s="10"/>
      <c r="I1492" s="10"/>
      <c r="J1492" s="10"/>
      <c r="K1492" s="10"/>
      <c r="L1492" s="3" t="s">
        <v>3822</v>
      </c>
      <c r="M1492" s="3" t="s">
        <v>3823</v>
      </c>
      <c r="N1492" s="3" t="s">
        <v>1850</v>
      </c>
      <c r="O1492" s="3"/>
      <c r="P1492" s="3"/>
      <c r="Q1492" s="3"/>
      <c r="R1492" s="3" t="s">
        <v>3824</v>
      </c>
      <c r="S1492" s="3" t="s">
        <v>3825</v>
      </c>
      <c r="T1492" s="3" t="s">
        <v>21</v>
      </c>
      <c r="U1492" s="11">
        <v>577</v>
      </c>
      <c r="V1492" s="3" t="s">
        <v>3552</v>
      </c>
      <c r="W1492" s="8" t="s">
        <v>7834</v>
      </c>
    </row>
    <row r="1493" spans="1:23" x14ac:dyDescent="0.25">
      <c r="A1493" s="2">
        <v>907</v>
      </c>
      <c r="B1493" s="3" t="s">
        <v>3826</v>
      </c>
      <c r="C1493" s="3">
        <v>2024</v>
      </c>
      <c r="D1493" s="3" t="s">
        <v>3827</v>
      </c>
      <c r="E1493" s="3" t="s">
        <v>15</v>
      </c>
      <c r="F1493" s="1" t="s">
        <v>7834</v>
      </c>
      <c r="G1493" s="10"/>
      <c r="H1493" s="10"/>
      <c r="I1493" s="10"/>
      <c r="J1493" s="10"/>
      <c r="K1493" s="10"/>
      <c r="L1493" s="3" t="s">
        <v>3828</v>
      </c>
      <c r="M1493" s="3" t="s">
        <v>3829</v>
      </c>
      <c r="N1493" s="3" t="s">
        <v>3830</v>
      </c>
      <c r="O1493" s="3">
        <v>29</v>
      </c>
      <c r="P1493" s="3">
        <v>40</v>
      </c>
      <c r="Q1493" s="3"/>
      <c r="R1493" s="3" t="s">
        <v>3831</v>
      </c>
      <c r="S1493" s="3" t="s">
        <v>3832</v>
      </c>
      <c r="T1493" s="3" t="s">
        <v>21</v>
      </c>
      <c r="U1493" s="11">
        <v>578</v>
      </c>
      <c r="V1493" s="3" t="s">
        <v>3826</v>
      </c>
      <c r="W1493" s="8" t="s">
        <v>7834</v>
      </c>
    </row>
    <row r="1494" spans="1:23" x14ac:dyDescent="0.25">
      <c r="A1494" s="2">
        <v>908</v>
      </c>
      <c r="B1494" s="3" t="s">
        <v>3826</v>
      </c>
      <c r="C1494" s="3">
        <v>2024</v>
      </c>
      <c r="D1494" s="3" t="s">
        <v>1542</v>
      </c>
      <c r="E1494" s="3" t="s">
        <v>15</v>
      </c>
      <c r="F1494" s="1" t="s">
        <v>7834</v>
      </c>
      <c r="G1494" s="10"/>
      <c r="H1494" s="10"/>
      <c r="I1494" s="10"/>
      <c r="J1494" s="10"/>
      <c r="K1494" s="10"/>
      <c r="L1494" s="3" t="s">
        <v>3833</v>
      </c>
      <c r="M1494" s="3" t="s">
        <v>3834</v>
      </c>
      <c r="N1494" s="3" t="s">
        <v>3835</v>
      </c>
      <c r="O1494" s="3">
        <v>14</v>
      </c>
      <c r="P1494" s="3">
        <v>2.15824402413018E+16</v>
      </c>
      <c r="Q1494" s="3"/>
      <c r="R1494" s="3" t="s">
        <v>3836</v>
      </c>
      <c r="S1494" s="3" t="s">
        <v>3837</v>
      </c>
      <c r="T1494" s="3" t="s">
        <v>21</v>
      </c>
      <c r="U1494" s="11">
        <v>579</v>
      </c>
      <c r="V1494" s="3" t="s">
        <v>3826</v>
      </c>
      <c r="W1494" s="8" t="s">
        <v>7834</v>
      </c>
    </row>
    <row r="1495" spans="1:23" x14ac:dyDescent="0.25">
      <c r="A1495" s="2">
        <v>909</v>
      </c>
      <c r="B1495" s="3" t="s">
        <v>3826</v>
      </c>
      <c r="C1495" s="3">
        <v>2024</v>
      </c>
      <c r="D1495" s="3" t="s">
        <v>964</v>
      </c>
      <c r="E1495" s="3" t="s">
        <v>15</v>
      </c>
      <c r="F1495" s="1" t="s">
        <v>7834</v>
      </c>
      <c r="G1495" s="10"/>
      <c r="H1495" s="10"/>
      <c r="I1495" s="10"/>
      <c r="J1495" s="10"/>
      <c r="K1495" s="10"/>
      <c r="L1495" s="3" t="s">
        <v>3838</v>
      </c>
      <c r="M1495" s="3" t="s">
        <v>3839</v>
      </c>
      <c r="N1495" s="3" t="s">
        <v>3840</v>
      </c>
      <c r="O1495" s="3">
        <v>21</v>
      </c>
      <c r="P1495" s="3"/>
      <c r="Q1495" s="3">
        <v>2029</v>
      </c>
      <c r="R1495" s="3" t="s">
        <v>3841</v>
      </c>
      <c r="S1495" s="3" t="s">
        <v>3842</v>
      </c>
      <c r="T1495" s="3" t="s">
        <v>21</v>
      </c>
      <c r="U1495" s="11">
        <v>580</v>
      </c>
      <c r="V1495" s="3" t="s">
        <v>3826</v>
      </c>
      <c r="W1495" s="8" t="s">
        <v>7834</v>
      </c>
    </row>
    <row r="1496" spans="1:23" x14ac:dyDescent="0.25">
      <c r="A1496" s="2">
        <v>912</v>
      </c>
      <c r="B1496" s="3" t="s">
        <v>3826</v>
      </c>
      <c r="C1496" s="3">
        <v>2024</v>
      </c>
      <c r="D1496" s="3" t="s">
        <v>3851</v>
      </c>
      <c r="E1496" s="3" t="s">
        <v>15</v>
      </c>
      <c r="F1496" s="1" t="s">
        <v>7834</v>
      </c>
      <c r="G1496" s="10"/>
      <c r="H1496" s="10"/>
      <c r="I1496" s="10"/>
      <c r="J1496" s="10"/>
      <c r="K1496" s="10"/>
      <c r="L1496" s="3" t="s">
        <v>3852</v>
      </c>
      <c r="M1496" s="3" t="s">
        <v>3853</v>
      </c>
      <c r="N1496" s="3" t="s">
        <v>3854</v>
      </c>
      <c r="O1496" s="3">
        <v>30</v>
      </c>
      <c r="P1496" s="3"/>
      <c r="Q1496" s="3">
        <v>1</v>
      </c>
      <c r="R1496" s="3" t="s">
        <v>3855</v>
      </c>
      <c r="S1496" s="3" t="s">
        <v>3856</v>
      </c>
      <c r="T1496" s="3" t="s">
        <v>21</v>
      </c>
      <c r="U1496" s="11">
        <v>581</v>
      </c>
      <c r="V1496" s="3" t="s">
        <v>3826</v>
      </c>
      <c r="W1496" s="8" t="s">
        <v>7834</v>
      </c>
    </row>
    <row r="1497" spans="1:23" x14ac:dyDescent="0.25">
      <c r="A1497" s="2">
        <v>913</v>
      </c>
      <c r="B1497" s="3" t="s">
        <v>3826</v>
      </c>
      <c r="C1497" s="3">
        <v>2024</v>
      </c>
      <c r="D1497" s="3" t="s">
        <v>994</v>
      </c>
      <c r="E1497" s="3" t="s">
        <v>15</v>
      </c>
      <c r="F1497" s="1" t="s">
        <v>7834</v>
      </c>
      <c r="G1497" s="10"/>
      <c r="H1497" s="10"/>
      <c r="I1497" s="10"/>
      <c r="J1497" s="10"/>
      <c r="K1497" s="10"/>
      <c r="L1497" s="3" t="s">
        <v>3857</v>
      </c>
      <c r="M1497" s="3" t="s">
        <v>3858</v>
      </c>
      <c r="N1497" s="3" t="s">
        <v>3859</v>
      </c>
      <c r="O1497" s="3">
        <v>198</v>
      </c>
      <c r="P1497" s="3">
        <v>114429</v>
      </c>
      <c r="Q1497" s="3"/>
      <c r="R1497" s="3" t="s">
        <v>3860</v>
      </c>
      <c r="S1497" s="3" t="s">
        <v>3861</v>
      </c>
      <c r="T1497" s="3" t="s">
        <v>21</v>
      </c>
      <c r="U1497" s="11">
        <v>582</v>
      </c>
      <c r="V1497" s="3" t="s">
        <v>3826</v>
      </c>
      <c r="W1497" s="8" t="s">
        <v>7834</v>
      </c>
    </row>
    <row r="1498" spans="1:23" x14ac:dyDescent="0.25">
      <c r="A1498" s="2">
        <v>914</v>
      </c>
      <c r="B1498" s="3" t="s">
        <v>3826</v>
      </c>
      <c r="C1498" s="3">
        <v>2024</v>
      </c>
      <c r="D1498" s="3" t="s">
        <v>3862</v>
      </c>
      <c r="E1498" s="3" t="s">
        <v>15</v>
      </c>
      <c r="F1498" s="1" t="s">
        <v>7834</v>
      </c>
      <c r="G1498" s="10"/>
      <c r="H1498" s="10"/>
      <c r="I1498" s="10"/>
      <c r="J1498" s="10"/>
      <c r="K1498" s="10"/>
      <c r="L1498" s="3" t="s">
        <v>3863</v>
      </c>
      <c r="M1498" s="3" t="s">
        <v>3864</v>
      </c>
      <c r="N1498" s="3" t="s">
        <v>1677</v>
      </c>
      <c r="O1498" s="3">
        <v>13</v>
      </c>
      <c r="P1498" s="3">
        <v>1258</v>
      </c>
      <c r="Q1498" s="3"/>
      <c r="R1498" s="3" t="s">
        <v>1678</v>
      </c>
      <c r="S1498" s="3" t="s">
        <v>3865</v>
      </c>
      <c r="T1498" s="3" t="s">
        <v>21</v>
      </c>
      <c r="U1498" s="11">
        <v>583</v>
      </c>
      <c r="V1498" s="3" t="s">
        <v>3826</v>
      </c>
      <c r="W1498" s="8" t="s">
        <v>7834</v>
      </c>
    </row>
    <row r="1499" spans="1:23" x14ac:dyDescent="0.25">
      <c r="A1499" s="2">
        <v>915</v>
      </c>
      <c r="B1499" s="3" t="s">
        <v>3826</v>
      </c>
      <c r="C1499" s="3">
        <v>2024</v>
      </c>
      <c r="D1499" s="3" t="s">
        <v>14</v>
      </c>
      <c r="E1499" s="3" t="s">
        <v>15</v>
      </c>
      <c r="F1499" s="1" t="s">
        <v>7834</v>
      </c>
      <c r="G1499" s="10"/>
      <c r="H1499" s="10"/>
      <c r="I1499" s="10"/>
      <c r="J1499" s="10"/>
      <c r="K1499" s="10"/>
      <c r="L1499" s="3" t="s">
        <v>3866</v>
      </c>
      <c r="M1499" s="3" t="s">
        <v>3867</v>
      </c>
      <c r="N1499" s="3" t="s">
        <v>3868</v>
      </c>
      <c r="O1499" s="3">
        <v>171</v>
      </c>
      <c r="P1499" s="3">
        <v>36</v>
      </c>
      <c r="Q1499" s="3"/>
      <c r="R1499" s="3" t="s">
        <v>3869</v>
      </c>
      <c r="S1499" s="3" t="s">
        <v>3870</v>
      </c>
      <c r="T1499" s="3" t="s">
        <v>21</v>
      </c>
      <c r="U1499" s="11">
        <v>584</v>
      </c>
      <c r="V1499" s="3" t="s">
        <v>3826</v>
      </c>
      <c r="W1499" s="8" t="s">
        <v>7834</v>
      </c>
    </row>
    <row r="1500" spans="1:23" x14ac:dyDescent="0.25">
      <c r="A1500" s="2">
        <v>918</v>
      </c>
      <c r="B1500" s="3" t="s">
        <v>3826</v>
      </c>
      <c r="C1500" s="3">
        <v>2024</v>
      </c>
      <c r="D1500" s="3" t="s">
        <v>14</v>
      </c>
      <c r="E1500" s="3" t="s">
        <v>15</v>
      </c>
      <c r="F1500" s="1" t="s">
        <v>7834</v>
      </c>
      <c r="G1500" s="10"/>
      <c r="H1500" s="10"/>
      <c r="I1500" s="10"/>
      <c r="J1500" s="10"/>
      <c r="K1500" s="10"/>
      <c r="L1500" s="3" t="s">
        <v>3878</v>
      </c>
      <c r="M1500" s="3" t="s">
        <v>3879</v>
      </c>
      <c r="N1500" s="3" t="s">
        <v>1829</v>
      </c>
      <c r="O1500" s="3">
        <v>340</v>
      </c>
      <c r="P1500" s="3">
        <v>122798</v>
      </c>
      <c r="Q1500" s="3"/>
      <c r="R1500" s="3" t="s">
        <v>1830</v>
      </c>
      <c r="S1500" s="3" t="s">
        <v>3880</v>
      </c>
      <c r="T1500" s="3" t="s">
        <v>21</v>
      </c>
      <c r="U1500" s="11">
        <v>585</v>
      </c>
      <c r="V1500" s="3" t="s">
        <v>3826</v>
      </c>
      <c r="W1500" s="8" t="s">
        <v>7834</v>
      </c>
    </row>
    <row r="1501" spans="1:23" x14ac:dyDescent="0.25">
      <c r="A1501" s="2">
        <v>919</v>
      </c>
      <c r="B1501" s="3" t="s">
        <v>3826</v>
      </c>
      <c r="C1501" s="3">
        <v>2024</v>
      </c>
      <c r="D1501" s="3" t="s">
        <v>14</v>
      </c>
      <c r="E1501" s="3" t="s">
        <v>15</v>
      </c>
      <c r="F1501" s="1" t="s">
        <v>7834</v>
      </c>
      <c r="G1501" s="10"/>
      <c r="H1501" s="10"/>
      <c r="I1501" s="10"/>
      <c r="J1501" s="10"/>
      <c r="K1501" s="10"/>
      <c r="L1501" s="3" t="s">
        <v>3881</v>
      </c>
      <c r="M1501" s="3" t="s">
        <v>3882</v>
      </c>
      <c r="N1501" s="3" t="s">
        <v>3883</v>
      </c>
      <c r="O1501" s="3">
        <v>158</v>
      </c>
      <c r="P1501" s="3">
        <v>111336</v>
      </c>
      <c r="Q1501" s="3"/>
      <c r="R1501" s="3" t="s">
        <v>3884</v>
      </c>
      <c r="S1501" s="3" t="s">
        <v>3885</v>
      </c>
      <c r="T1501" s="3" t="s">
        <v>21</v>
      </c>
      <c r="U1501" s="11">
        <v>586</v>
      </c>
      <c r="V1501" s="3" t="s">
        <v>3826</v>
      </c>
      <c r="W1501" s="8" t="s">
        <v>7834</v>
      </c>
    </row>
    <row r="1502" spans="1:23" x14ac:dyDescent="0.25">
      <c r="A1502" s="2">
        <v>920</v>
      </c>
      <c r="B1502" s="3" t="s">
        <v>3826</v>
      </c>
      <c r="C1502" s="3">
        <v>2024</v>
      </c>
      <c r="D1502" s="3" t="s">
        <v>22</v>
      </c>
      <c r="E1502" s="3" t="s">
        <v>15</v>
      </c>
      <c r="F1502" s="1" t="s">
        <v>7834</v>
      </c>
      <c r="G1502" s="10"/>
      <c r="H1502" s="10"/>
      <c r="I1502" s="10"/>
      <c r="J1502" s="10"/>
      <c r="K1502" s="10"/>
      <c r="L1502" s="3" t="s">
        <v>3886</v>
      </c>
      <c r="M1502" s="3" t="s">
        <v>3887</v>
      </c>
      <c r="N1502" s="3" t="s">
        <v>3888</v>
      </c>
      <c r="O1502" s="3">
        <v>160</v>
      </c>
      <c r="P1502" s="3">
        <v>105964</v>
      </c>
      <c r="Q1502" s="3"/>
      <c r="R1502" s="3" t="s">
        <v>3889</v>
      </c>
      <c r="S1502" s="3" t="s">
        <v>3890</v>
      </c>
      <c r="T1502" s="3" t="s">
        <v>21</v>
      </c>
      <c r="U1502" s="11">
        <v>587</v>
      </c>
      <c r="V1502" s="3" t="s">
        <v>3826</v>
      </c>
      <c r="W1502" s="8" t="s">
        <v>7834</v>
      </c>
    </row>
    <row r="1503" spans="1:23" x14ac:dyDescent="0.25">
      <c r="A1503" s="2">
        <v>921</v>
      </c>
      <c r="B1503" s="3" t="s">
        <v>3826</v>
      </c>
      <c r="C1503" s="3">
        <v>2024</v>
      </c>
      <c r="D1503" s="3" t="s">
        <v>14</v>
      </c>
      <c r="E1503" s="3" t="s">
        <v>15</v>
      </c>
      <c r="F1503" s="1" t="s">
        <v>7834</v>
      </c>
      <c r="G1503" s="10"/>
      <c r="H1503" s="10"/>
      <c r="I1503" s="10"/>
      <c r="J1503" s="10"/>
      <c r="K1503" s="10"/>
      <c r="L1503" s="3" t="s">
        <v>3891</v>
      </c>
      <c r="M1503" s="3" t="s">
        <v>3892</v>
      </c>
      <c r="N1503" s="3" t="s">
        <v>3893</v>
      </c>
      <c r="O1503" s="3">
        <v>53</v>
      </c>
      <c r="P1503" s="3"/>
      <c r="Q1503" s="3">
        <v>175</v>
      </c>
      <c r="R1503" s="3" t="s">
        <v>3894</v>
      </c>
      <c r="S1503" s="3" t="s">
        <v>3895</v>
      </c>
      <c r="T1503" s="3" t="s">
        <v>21</v>
      </c>
      <c r="U1503" s="11">
        <v>588</v>
      </c>
      <c r="V1503" s="3" t="s">
        <v>3826</v>
      </c>
      <c r="W1503" s="8" t="s">
        <v>7834</v>
      </c>
    </row>
    <row r="1504" spans="1:23" x14ac:dyDescent="0.25">
      <c r="A1504" s="2">
        <v>922</v>
      </c>
      <c r="B1504" s="3" t="s">
        <v>3826</v>
      </c>
      <c r="C1504" s="3">
        <v>2024</v>
      </c>
      <c r="D1504" s="3" t="s">
        <v>3660</v>
      </c>
      <c r="E1504" s="3" t="s">
        <v>15</v>
      </c>
      <c r="F1504" s="1" t="s">
        <v>7834</v>
      </c>
      <c r="G1504" s="10"/>
      <c r="H1504" s="10"/>
      <c r="I1504" s="10"/>
      <c r="J1504" s="10"/>
      <c r="K1504" s="10"/>
      <c r="L1504" s="3" t="s">
        <v>3896</v>
      </c>
      <c r="M1504" s="3" t="s">
        <v>3897</v>
      </c>
      <c r="N1504" s="3" t="s">
        <v>915</v>
      </c>
      <c r="O1504" s="3">
        <v>254</v>
      </c>
      <c r="P1504" s="3">
        <v>107175</v>
      </c>
      <c r="Q1504" s="3"/>
      <c r="R1504" s="3" t="s">
        <v>3898</v>
      </c>
      <c r="S1504" s="3" t="s">
        <v>3899</v>
      </c>
      <c r="T1504" s="3" t="s">
        <v>21</v>
      </c>
      <c r="U1504" s="11">
        <v>589</v>
      </c>
      <c r="V1504" s="3" t="s">
        <v>3826</v>
      </c>
      <c r="W1504" s="8" t="s">
        <v>7834</v>
      </c>
    </row>
    <row r="1505" spans="1:23" x14ac:dyDescent="0.25">
      <c r="A1505" s="2">
        <v>926</v>
      </c>
      <c r="B1505" s="3" t="s">
        <v>3826</v>
      </c>
      <c r="C1505" s="3">
        <v>2024</v>
      </c>
      <c r="D1505" s="3" t="s">
        <v>1052</v>
      </c>
      <c r="E1505" s="3" t="s">
        <v>15</v>
      </c>
      <c r="F1505" s="1" t="s">
        <v>7834</v>
      </c>
      <c r="G1505" s="10"/>
      <c r="H1505" s="10"/>
      <c r="I1505" s="10"/>
      <c r="J1505" s="10"/>
      <c r="K1505" s="10"/>
      <c r="L1505" s="3" t="s">
        <v>3913</v>
      </c>
      <c r="M1505" s="3" t="s">
        <v>3914</v>
      </c>
      <c r="N1505" s="3" t="s">
        <v>3915</v>
      </c>
      <c r="O1505" s="3">
        <v>6</v>
      </c>
      <c r="P1505" s="3" t="s">
        <v>3916</v>
      </c>
      <c r="Q1505" s="3"/>
      <c r="R1505" s="3" t="s">
        <v>3917</v>
      </c>
      <c r="S1505" s="3" t="s">
        <v>3918</v>
      </c>
      <c r="T1505" s="3" t="s">
        <v>21</v>
      </c>
      <c r="U1505" s="11">
        <v>590</v>
      </c>
      <c r="V1505" s="3" t="s">
        <v>3826</v>
      </c>
      <c r="W1505" s="8" t="s">
        <v>7834</v>
      </c>
    </row>
    <row r="1506" spans="1:23" x14ac:dyDescent="0.25">
      <c r="A1506" s="2">
        <v>927</v>
      </c>
      <c r="B1506" s="3" t="s">
        <v>3826</v>
      </c>
      <c r="C1506" s="3">
        <v>2024</v>
      </c>
      <c r="D1506" s="3" t="s">
        <v>22</v>
      </c>
      <c r="E1506" s="3" t="s">
        <v>15</v>
      </c>
      <c r="F1506" s="1" t="s">
        <v>7834</v>
      </c>
      <c r="G1506" s="10"/>
      <c r="H1506" s="10"/>
      <c r="I1506" s="10"/>
      <c r="J1506" s="10"/>
      <c r="K1506" s="10"/>
      <c r="L1506" s="3" t="s">
        <v>3919</v>
      </c>
      <c r="M1506" s="3" t="s">
        <v>3920</v>
      </c>
      <c r="N1506" s="3" t="s">
        <v>3921</v>
      </c>
      <c r="O1506" s="3">
        <v>105</v>
      </c>
      <c r="P1506" s="3">
        <v>103192</v>
      </c>
      <c r="Q1506" s="3"/>
      <c r="R1506" s="3" t="s">
        <v>3922</v>
      </c>
      <c r="S1506" s="3" t="s">
        <v>3923</v>
      </c>
      <c r="T1506" s="3" t="s">
        <v>21</v>
      </c>
      <c r="U1506" s="11">
        <v>591</v>
      </c>
      <c r="V1506" s="3" t="s">
        <v>3826</v>
      </c>
      <c r="W1506" s="8" t="s">
        <v>7834</v>
      </c>
    </row>
    <row r="1507" spans="1:23" x14ac:dyDescent="0.25">
      <c r="A1507" s="2">
        <v>932</v>
      </c>
      <c r="B1507" s="3" t="s">
        <v>3826</v>
      </c>
      <c r="C1507" s="3">
        <v>2024</v>
      </c>
      <c r="D1507" s="3" t="s">
        <v>59</v>
      </c>
      <c r="E1507" s="3" t="s">
        <v>15</v>
      </c>
      <c r="F1507" s="1" t="s">
        <v>7834</v>
      </c>
      <c r="G1507" s="10"/>
      <c r="H1507" s="10"/>
      <c r="I1507" s="10"/>
      <c r="J1507" s="10"/>
      <c r="K1507" s="10"/>
      <c r="L1507" s="3" t="s">
        <v>3941</v>
      </c>
      <c r="M1507" s="3" t="s">
        <v>3942</v>
      </c>
      <c r="N1507" s="3" t="s">
        <v>980</v>
      </c>
      <c r="O1507" s="3">
        <v>196</v>
      </c>
      <c r="P1507" s="3">
        <v>106422</v>
      </c>
      <c r="Q1507" s="3"/>
      <c r="R1507" s="3" t="s">
        <v>347</v>
      </c>
      <c r="S1507" s="3" t="s">
        <v>3943</v>
      </c>
      <c r="T1507" s="3" t="s">
        <v>21</v>
      </c>
      <c r="U1507" s="11">
        <v>592</v>
      </c>
      <c r="V1507" s="3" t="s">
        <v>3826</v>
      </c>
      <c r="W1507" s="8" t="s">
        <v>7834</v>
      </c>
    </row>
    <row r="1508" spans="1:23" x14ac:dyDescent="0.25">
      <c r="A1508" s="2">
        <v>933</v>
      </c>
      <c r="B1508" s="3" t="s">
        <v>3826</v>
      </c>
      <c r="C1508" s="3">
        <v>2024</v>
      </c>
      <c r="D1508" s="3" t="s">
        <v>3930</v>
      </c>
      <c r="E1508" s="3" t="s">
        <v>15</v>
      </c>
      <c r="F1508" s="1" t="s">
        <v>7834</v>
      </c>
      <c r="G1508" s="10"/>
      <c r="H1508" s="10"/>
      <c r="I1508" s="10"/>
      <c r="J1508" s="10"/>
      <c r="K1508" s="10"/>
      <c r="L1508" s="3" t="s">
        <v>3944</v>
      </c>
      <c r="M1508" s="3" t="s">
        <v>3945</v>
      </c>
      <c r="N1508" s="3" t="s">
        <v>3946</v>
      </c>
      <c r="O1508" s="3">
        <v>189</v>
      </c>
      <c r="P1508" s="3">
        <v>104456</v>
      </c>
      <c r="Q1508" s="3"/>
      <c r="R1508" s="3" t="s">
        <v>3947</v>
      </c>
      <c r="S1508" s="3" t="s">
        <v>3948</v>
      </c>
      <c r="T1508" s="3" t="s">
        <v>21</v>
      </c>
      <c r="U1508" s="11">
        <v>593</v>
      </c>
      <c r="V1508" s="3" t="s">
        <v>3826</v>
      </c>
      <c r="W1508" s="8" t="s">
        <v>7834</v>
      </c>
    </row>
    <row r="1509" spans="1:23" x14ac:dyDescent="0.25">
      <c r="A1509" s="2">
        <v>935</v>
      </c>
      <c r="B1509" s="3" t="s">
        <v>3826</v>
      </c>
      <c r="C1509" s="3">
        <v>2024</v>
      </c>
      <c r="D1509" s="3" t="s">
        <v>2744</v>
      </c>
      <c r="E1509" s="3" t="s">
        <v>15</v>
      </c>
      <c r="F1509" s="1" t="s">
        <v>7834</v>
      </c>
      <c r="G1509" s="10"/>
      <c r="H1509" s="10"/>
      <c r="I1509" s="10"/>
      <c r="J1509" s="10"/>
      <c r="K1509" s="10"/>
      <c r="L1509" s="3" t="s">
        <v>3954</v>
      </c>
      <c r="M1509" s="3" t="s">
        <v>3955</v>
      </c>
      <c r="N1509" s="3" t="s">
        <v>3956</v>
      </c>
      <c r="O1509" s="3">
        <v>20</v>
      </c>
      <c r="P1509" s="3">
        <v>2329562</v>
      </c>
      <c r="Q1509" s="3"/>
      <c r="R1509" s="3" t="s">
        <v>3957</v>
      </c>
      <c r="S1509" s="3" t="s">
        <v>3958</v>
      </c>
      <c r="T1509" s="3" t="s">
        <v>21</v>
      </c>
      <c r="U1509" s="11">
        <v>594</v>
      </c>
      <c r="V1509" s="3" t="s">
        <v>3826</v>
      </c>
      <c r="W1509" s="8" t="s">
        <v>7834</v>
      </c>
    </row>
    <row r="1510" spans="1:23" x14ac:dyDescent="0.25">
      <c r="A1510" s="2">
        <v>936</v>
      </c>
      <c r="B1510" s="3" t="s">
        <v>3826</v>
      </c>
      <c r="C1510" s="3">
        <v>2024</v>
      </c>
      <c r="D1510" s="3" t="s">
        <v>3959</v>
      </c>
      <c r="E1510" s="3" t="s">
        <v>15</v>
      </c>
      <c r="F1510" s="1" t="s">
        <v>7834</v>
      </c>
      <c r="G1510" s="10"/>
      <c r="H1510" s="10"/>
      <c r="I1510" s="10"/>
      <c r="J1510" s="10"/>
      <c r="K1510" s="10"/>
      <c r="L1510" s="3" t="s">
        <v>3960</v>
      </c>
      <c r="M1510" s="3" t="s">
        <v>3961</v>
      </c>
      <c r="N1510" s="3" t="s">
        <v>3962</v>
      </c>
      <c r="O1510" s="3">
        <v>60</v>
      </c>
      <c r="P1510" s="3" t="s">
        <v>3963</v>
      </c>
      <c r="Q1510" s="3"/>
      <c r="R1510" s="3" t="s">
        <v>3964</v>
      </c>
      <c r="S1510" s="3" t="s">
        <v>3965</v>
      </c>
      <c r="T1510" s="3" t="s">
        <v>21</v>
      </c>
      <c r="U1510" s="11">
        <v>595</v>
      </c>
      <c r="V1510" s="3" t="s">
        <v>3826</v>
      </c>
      <c r="W1510" s="8" t="s">
        <v>7834</v>
      </c>
    </row>
    <row r="1511" spans="1:23" x14ac:dyDescent="0.25">
      <c r="A1511" s="2">
        <v>937</v>
      </c>
      <c r="B1511" s="3" t="s">
        <v>3826</v>
      </c>
      <c r="C1511" s="3">
        <v>2024</v>
      </c>
      <c r="D1511" s="3" t="s">
        <v>1395</v>
      </c>
      <c r="E1511" s="3" t="s">
        <v>15</v>
      </c>
      <c r="F1511" s="1" t="s">
        <v>7834</v>
      </c>
      <c r="G1511" s="10"/>
      <c r="H1511" s="10"/>
      <c r="I1511" s="10"/>
      <c r="J1511" s="10"/>
      <c r="K1511" s="10"/>
      <c r="L1511" s="3" t="s">
        <v>971</v>
      </c>
      <c r="M1511" s="3" t="s">
        <v>3966</v>
      </c>
      <c r="N1511" s="3" t="s">
        <v>973</v>
      </c>
      <c r="O1511" s="3">
        <v>33</v>
      </c>
      <c r="P1511" s="3" t="s">
        <v>3967</v>
      </c>
      <c r="Q1511" s="3"/>
      <c r="R1511" s="3" t="s">
        <v>367</v>
      </c>
      <c r="S1511" s="3" t="s">
        <v>974</v>
      </c>
      <c r="T1511" s="3" t="s">
        <v>21</v>
      </c>
      <c r="U1511" s="11">
        <v>596</v>
      </c>
      <c r="V1511" s="3" t="s">
        <v>3826</v>
      </c>
      <c r="W1511" s="8" t="s">
        <v>7834</v>
      </c>
    </row>
    <row r="1512" spans="1:23" x14ac:dyDescent="0.25">
      <c r="A1512" s="2">
        <v>938</v>
      </c>
      <c r="B1512" s="3" t="s">
        <v>3826</v>
      </c>
      <c r="C1512" s="3">
        <v>2024</v>
      </c>
      <c r="D1512" s="3" t="s">
        <v>1096</v>
      </c>
      <c r="E1512" s="3" t="s">
        <v>15</v>
      </c>
      <c r="F1512" s="1" t="s">
        <v>7834</v>
      </c>
      <c r="G1512" s="10"/>
      <c r="H1512" s="10"/>
      <c r="I1512" s="10"/>
      <c r="J1512" s="10"/>
      <c r="K1512" s="10"/>
      <c r="L1512" s="3" t="s">
        <v>3968</v>
      </c>
      <c r="M1512" s="3" t="s">
        <v>3969</v>
      </c>
      <c r="N1512" s="3" t="s">
        <v>1083</v>
      </c>
      <c r="O1512" s="3">
        <v>80</v>
      </c>
      <c r="P1512" s="3">
        <v>102481</v>
      </c>
      <c r="Q1512" s="3"/>
      <c r="R1512" s="3" t="s">
        <v>3970</v>
      </c>
      <c r="S1512" s="3" t="s">
        <v>3971</v>
      </c>
      <c r="T1512" s="3" t="s">
        <v>21</v>
      </c>
      <c r="U1512" s="11">
        <v>597</v>
      </c>
      <c r="V1512" s="3" t="s">
        <v>3826</v>
      </c>
      <c r="W1512" s="8" t="s">
        <v>7834</v>
      </c>
    </row>
    <row r="1513" spans="1:23" x14ac:dyDescent="0.25">
      <c r="A1513" s="2">
        <v>940</v>
      </c>
      <c r="B1513" s="3" t="s">
        <v>3826</v>
      </c>
      <c r="C1513" s="3">
        <v>2024</v>
      </c>
      <c r="D1513" s="3" t="s">
        <v>660</v>
      </c>
      <c r="E1513" s="3" t="s">
        <v>15</v>
      </c>
      <c r="F1513" s="1" t="s">
        <v>7834</v>
      </c>
      <c r="G1513" s="10"/>
      <c r="H1513" s="10"/>
      <c r="I1513" s="10"/>
      <c r="J1513" s="10"/>
      <c r="K1513" s="10"/>
      <c r="L1513" s="3" t="s">
        <v>3977</v>
      </c>
      <c r="M1513" s="3" t="s">
        <v>3978</v>
      </c>
      <c r="N1513" s="3" t="s">
        <v>3979</v>
      </c>
      <c r="O1513" s="3">
        <v>13</v>
      </c>
      <c r="P1513" s="3">
        <v>618</v>
      </c>
      <c r="Q1513" s="3"/>
      <c r="R1513" s="3" t="s">
        <v>3980</v>
      </c>
      <c r="S1513" s="3" t="s">
        <v>3981</v>
      </c>
      <c r="T1513" s="3" t="s">
        <v>21</v>
      </c>
      <c r="U1513" s="11">
        <v>598</v>
      </c>
      <c r="V1513" s="3" t="s">
        <v>3826</v>
      </c>
      <c r="W1513" s="8" t="s">
        <v>7834</v>
      </c>
    </row>
    <row r="1514" spans="1:23" x14ac:dyDescent="0.25">
      <c r="A1514" s="2">
        <v>941</v>
      </c>
      <c r="B1514" s="3" t="s">
        <v>3826</v>
      </c>
      <c r="C1514" s="3">
        <v>2024</v>
      </c>
      <c r="D1514" s="3" t="s">
        <v>1294</v>
      </c>
      <c r="E1514" s="3" t="s">
        <v>15</v>
      </c>
      <c r="F1514" s="1" t="s">
        <v>7834</v>
      </c>
      <c r="G1514" s="10"/>
      <c r="H1514" s="10"/>
      <c r="I1514" s="10"/>
      <c r="J1514" s="10"/>
      <c r="K1514" s="10"/>
      <c r="L1514" s="3" t="s">
        <v>3982</v>
      </c>
      <c r="M1514" s="3" t="s">
        <v>3983</v>
      </c>
      <c r="N1514" s="3" t="s">
        <v>874</v>
      </c>
      <c r="O1514" s="3">
        <v>14</v>
      </c>
      <c r="P1514" s="3">
        <v>11826</v>
      </c>
      <c r="Q1514" s="3"/>
      <c r="R1514" s="3" t="s">
        <v>1002</v>
      </c>
      <c r="S1514" s="3" t="s">
        <v>3984</v>
      </c>
      <c r="T1514" s="3" t="s">
        <v>21</v>
      </c>
      <c r="U1514" s="11">
        <v>599</v>
      </c>
      <c r="V1514" s="3" t="s">
        <v>3826</v>
      </c>
      <c r="W1514" s="8" t="s">
        <v>7834</v>
      </c>
    </row>
    <row r="1515" spans="1:23" x14ac:dyDescent="0.25">
      <c r="A1515" s="2">
        <v>942</v>
      </c>
      <c r="B1515" s="3" t="s">
        <v>3826</v>
      </c>
      <c r="C1515" s="3">
        <v>2024</v>
      </c>
      <c r="D1515" s="3" t="s">
        <v>316</v>
      </c>
      <c r="E1515" s="3" t="s">
        <v>15</v>
      </c>
      <c r="F1515" s="1" t="s">
        <v>7834</v>
      </c>
      <c r="G1515" s="10"/>
      <c r="H1515" s="10"/>
      <c r="I1515" s="10"/>
      <c r="J1515" s="10"/>
      <c r="K1515" s="10"/>
      <c r="L1515" s="3" t="s">
        <v>3985</v>
      </c>
      <c r="M1515" s="3" t="s">
        <v>3986</v>
      </c>
      <c r="N1515" s="3" t="s">
        <v>874</v>
      </c>
      <c r="O1515" s="3">
        <v>14</v>
      </c>
      <c r="P1515" s="3">
        <v>12366</v>
      </c>
      <c r="Q1515" s="3"/>
      <c r="R1515" s="3" t="s">
        <v>1002</v>
      </c>
      <c r="S1515" s="3" t="s">
        <v>322</v>
      </c>
      <c r="T1515" s="3" t="s">
        <v>21</v>
      </c>
      <c r="U1515" s="11">
        <v>600</v>
      </c>
      <c r="V1515" s="3" t="s">
        <v>3826</v>
      </c>
      <c r="W1515" s="8" t="s">
        <v>7834</v>
      </c>
    </row>
    <row r="1516" spans="1:23" x14ac:dyDescent="0.25">
      <c r="A1516" s="2">
        <v>943</v>
      </c>
      <c r="B1516" s="3" t="s">
        <v>3826</v>
      </c>
      <c r="C1516" s="3">
        <v>2024</v>
      </c>
      <c r="D1516" s="3" t="s">
        <v>82</v>
      </c>
      <c r="E1516" s="3" t="s">
        <v>15</v>
      </c>
      <c r="F1516" s="1" t="s">
        <v>7834</v>
      </c>
      <c r="G1516" s="10"/>
      <c r="H1516" s="10"/>
      <c r="I1516" s="10"/>
      <c r="J1516" s="10"/>
      <c r="K1516" s="10"/>
      <c r="L1516" s="3" t="s">
        <v>3987</v>
      </c>
      <c r="M1516" s="3" t="s">
        <v>3988</v>
      </c>
      <c r="N1516" s="3" t="s">
        <v>980</v>
      </c>
      <c r="O1516" s="3">
        <v>198</v>
      </c>
      <c r="P1516" s="3">
        <v>106489</v>
      </c>
      <c r="Q1516" s="3"/>
      <c r="R1516" s="3" t="s">
        <v>347</v>
      </c>
      <c r="S1516" s="3" t="s">
        <v>3989</v>
      </c>
      <c r="T1516" s="3" t="s">
        <v>21</v>
      </c>
      <c r="U1516" s="11">
        <v>601</v>
      </c>
      <c r="V1516" s="3" t="s">
        <v>3826</v>
      </c>
      <c r="W1516" s="8" t="s">
        <v>7834</v>
      </c>
    </row>
    <row r="1517" spans="1:23" x14ac:dyDescent="0.25">
      <c r="A1517" s="2">
        <v>944</v>
      </c>
      <c r="B1517" s="3" t="s">
        <v>3826</v>
      </c>
      <c r="C1517" s="3">
        <v>2024</v>
      </c>
      <c r="D1517" s="3" t="s">
        <v>161</v>
      </c>
      <c r="E1517" s="3" t="s">
        <v>15</v>
      </c>
      <c r="F1517" s="1" t="s">
        <v>7834</v>
      </c>
      <c r="G1517" s="10"/>
      <c r="H1517" s="10"/>
      <c r="I1517" s="10"/>
      <c r="J1517" s="10"/>
      <c r="K1517" s="10"/>
      <c r="L1517" s="3" t="s">
        <v>390</v>
      </c>
      <c r="M1517" s="3" t="s">
        <v>3990</v>
      </c>
      <c r="N1517" s="3" t="s">
        <v>3991</v>
      </c>
      <c r="O1517" s="3">
        <v>5</v>
      </c>
      <c r="P1517" s="3">
        <v>319</v>
      </c>
      <c r="Q1517" s="3"/>
      <c r="R1517" s="3" t="s">
        <v>3992</v>
      </c>
      <c r="S1517" s="3" t="s">
        <v>394</v>
      </c>
      <c r="T1517" s="3" t="s">
        <v>21</v>
      </c>
      <c r="U1517" s="11">
        <v>602</v>
      </c>
      <c r="V1517" s="3" t="s">
        <v>3826</v>
      </c>
      <c r="W1517" s="8" t="s">
        <v>7834</v>
      </c>
    </row>
    <row r="1518" spans="1:23" x14ac:dyDescent="0.25">
      <c r="A1518" s="2">
        <v>945</v>
      </c>
      <c r="B1518" s="3" t="s">
        <v>3826</v>
      </c>
      <c r="C1518" s="3">
        <v>2024</v>
      </c>
      <c r="D1518" s="3" t="s">
        <v>713</v>
      </c>
      <c r="E1518" s="3" t="s">
        <v>15</v>
      </c>
      <c r="F1518" s="1" t="s">
        <v>7834</v>
      </c>
      <c r="G1518" s="10"/>
      <c r="H1518" s="10"/>
      <c r="I1518" s="10"/>
      <c r="J1518" s="10"/>
      <c r="K1518" s="10"/>
      <c r="L1518" s="3" t="s">
        <v>3993</v>
      </c>
      <c r="M1518" s="3" t="s">
        <v>3994</v>
      </c>
      <c r="N1518" s="3" t="s">
        <v>3956</v>
      </c>
      <c r="O1518" s="3">
        <v>20</v>
      </c>
      <c r="P1518" s="3">
        <v>2358471</v>
      </c>
      <c r="Q1518" s="3"/>
      <c r="R1518" s="3" t="s">
        <v>3957</v>
      </c>
      <c r="S1518" s="3" t="s">
        <v>3995</v>
      </c>
      <c r="T1518" s="3" t="s">
        <v>21</v>
      </c>
      <c r="U1518" s="11">
        <v>603</v>
      </c>
      <c r="V1518" s="3" t="s">
        <v>3826</v>
      </c>
      <c r="W1518" s="8" t="s">
        <v>7834</v>
      </c>
    </row>
    <row r="1519" spans="1:23" x14ac:dyDescent="0.25">
      <c r="A1519" s="2">
        <v>947</v>
      </c>
      <c r="B1519" s="3" t="s">
        <v>3826</v>
      </c>
      <c r="C1519" s="3">
        <v>2024</v>
      </c>
      <c r="D1519" s="3" t="s">
        <v>2431</v>
      </c>
      <c r="E1519" s="3" t="s">
        <v>15</v>
      </c>
      <c r="F1519" s="1" t="s">
        <v>7834</v>
      </c>
      <c r="G1519" s="10"/>
      <c r="H1519" s="10"/>
      <c r="I1519" s="10"/>
      <c r="J1519" s="10"/>
      <c r="K1519" s="10"/>
      <c r="L1519" s="3" t="s">
        <v>4001</v>
      </c>
      <c r="M1519" s="3" t="s">
        <v>4002</v>
      </c>
      <c r="N1519" s="3" t="s">
        <v>4003</v>
      </c>
      <c r="O1519" s="3">
        <v>275</v>
      </c>
      <c r="P1519" s="3">
        <v>107026</v>
      </c>
      <c r="Q1519" s="3"/>
      <c r="R1519" s="3" t="s">
        <v>4004</v>
      </c>
      <c r="S1519" s="3" t="s">
        <v>4005</v>
      </c>
      <c r="T1519" s="3" t="s">
        <v>21</v>
      </c>
      <c r="U1519" s="11">
        <v>604</v>
      </c>
      <c r="V1519" s="3" t="s">
        <v>3826</v>
      </c>
      <c r="W1519" s="8" t="s">
        <v>7834</v>
      </c>
    </row>
    <row r="1520" spans="1:23" x14ac:dyDescent="0.25">
      <c r="A1520" s="2">
        <v>949</v>
      </c>
      <c r="B1520" s="3" t="s">
        <v>3826</v>
      </c>
      <c r="C1520" s="3">
        <v>2024</v>
      </c>
      <c r="D1520" s="3" t="s">
        <v>3045</v>
      </c>
      <c r="E1520" s="3" t="s">
        <v>15</v>
      </c>
      <c r="F1520" s="1" t="s">
        <v>7834</v>
      </c>
      <c r="G1520" s="10"/>
      <c r="H1520" s="10"/>
      <c r="I1520" s="10"/>
      <c r="J1520" s="10"/>
      <c r="K1520" s="10"/>
      <c r="L1520" s="3" t="s">
        <v>4010</v>
      </c>
      <c r="M1520" s="3" t="s">
        <v>4011</v>
      </c>
      <c r="N1520" s="3" t="s">
        <v>4012</v>
      </c>
      <c r="O1520" s="3">
        <v>7</v>
      </c>
      <c r="P1520" s="3"/>
      <c r="Q1520" s="3">
        <v>1656</v>
      </c>
      <c r="R1520" s="3" t="s">
        <v>4013</v>
      </c>
      <c r="S1520" s="3" t="s">
        <v>4014</v>
      </c>
      <c r="T1520" s="3" t="s">
        <v>21</v>
      </c>
      <c r="U1520" s="11">
        <v>605</v>
      </c>
      <c r="V1520" s="3" t="s">
        <v>3826</v>
      </c>
      <c r="W1520" s="8" t="s">
        <v>7834</v>
      </c>
    </row>
    <row r="1521" spans="1:23" x14ac:dyDescent="0.25">
      <c r="A1521" s="2">
        <v>951</v>
      </c>
      <c r="B1521" s="3" t="s">
        <v>3826</v>
      </c>
      <c r="C1521" s="3">
        <v>2024</v>
      </c>
      <c r="D1521" s="3" t="s">
        <v>1799</v>
      </c>
      <c r="E1521" s="3" t="s">
        <v>15</v>
      </c>
      <c r="F1521" s="1" t="s">
        <v>7834</v>
      </c>
      <c r="G1521" s="10"/>
      <c r="H1521" s="10"/>
      <c r="I1521" s="10"/>
      <c r="J1521" s="10"/>
      <c r="K1521" s="10"/>
      <c r="L1521" s="3" t="s">
        <v>4018</v>
      </c>
      <c r="M1521" s="3" t="s">
        <v>4019</v>
      </c>
      <c r="N1521" s="3" t="s">
        <v>4020</v>
      </c>
      <c r="O1521" s="3">
        <v>365</v>
      </c>
      <c r="P1521" s="3">
        <v>121566</v>
      </c>
      <c r="Q1521" s="3"/>
      <c r="R1521" s="3" t="s">
        <v>4021</v>
      </c>
      <c r="S1521" s="3" t="s">
        <v>4022</v>
      </c>
      <c r="T1521" s="3" t="s">
        <v>21</v>
      </c>
      <c r="U1521" s="11">
        <v>606</v>
      </c>
      <c r="V1521" s="3" t="s">
        <v>3826</v>
      </c>
      <c r="W1521" s="8" t="s">
        <v>7834</v>
      </c>
    </row>
    <row r="1522" spans="1:23" x14ac:dyDescent="0.25">
      <c r="A1522" s="2">
        <v>952</v>
      </c>
      <c r="B1522" s="3" t="s">
        <v>3826</v>
      </c>
      <c r="C1522" s="3">
        <v>2024</v>
      </c>
      <c r="D1522" s="3" t="s">
        <v>2543</v>
      </c>
      <c r="E1522" s="3" t="s">
        <v>15</v>
      </c>
      <c r="F1522" s="1" t="s">
        <v>7834</v>
      </c>
      <c r="G1522" s="10"/>
      <c r="H1522" s="10"/>
      <c r="I1522" s="10"/>
      <c r="J1522" s="10"/>
      <c r="K1522" s="10"/>
      <c r="L1522" s="3" t="s">
        <v>4023</v>
      </c>
      <c r="M1522" s="3" t="s">
        <v>4024</v>
      </c>
      <c r="N1522" s="3" t="s">
        <v>4025</v>
      </c>
      <c r="O1522" s="3">
        <v>16</v>
      </c>
      <c r="P1522" s="3">
        <v>2360</v>
      </c>
      <c r="Q1522" s="3"/>
      <c r="R1522" s="3" t="s">
        <v>4026</v>
      </c>
      <c r="S1522" s="3" t="s">
        <v>4027</v>
      </c>
      <c r="T1522" s="3" t="s">
        <v>21</v>
      </c>
      <c r="U1522" s="11">
        <v>607</v>
      </c>
      <c r="V1522" s="3" t="s">
        <v>3826</v>
      </c>
      <c r="W1522" s="8" t="s">
        <v>7834</v>
      </c>
    </row>
    <row r="1523" spans="1:23" x14ac:dyDescent="0.25">
      <c r="A1523" s="2">
        <v>953</v>
      </c>
      <c r="B1523" s="3" t="s">
        <v>3826</v>
      </c>
      <c r="C1523" s="3">
        <v>2024</v>
      </c>
      <c r="D1523" s="3" t="s">
        <v>1832</v>
      </c>
      <c r="E1523" s="3" t="s">
        <v>15</v>
      </c>
      <c r="F1523" s="1" t="s">
        <v>7834</v>
      </c>
      <c r="G1523" s="10"/>
      <c r="H1523" s="10"/>
      <c r="I1523" s="10"/>
      <c r="J1523" s="10"/>
      <c r="K1523" s="10"/>
      <c r="L1523" s="3" t="s">
        <v>4028</v>
      </c>
      <c r="M1523" s="3" t="s">
        <v>4029</v>
      </c>
      <c r="N1523" s="3" t="s">
        <v>4030</v>
      </c>
      <c r="O1523" s="3">
        <v>187</v>
      </c>
      <c r="P1523" s="3">
        <v>114342</v>
      </c>
      <c r="Q1523" s="3"/>
      <c r="R1523" s="3" t="s">
        <v>4031</v>
      </c>
      <c r="S1523" s="3" t="s">
        <v>4032</v>
      </c>
      <c r="T1523" s="3" t="s">
        <v>21</v>
      </c>
      <c r="U1523" s="11">
        <v>608</v>
      </c>
      <c r="V1523" s="3" t="s">
        <v>3826</v>
      </c>
      <c r="W1523" s="8" t="s">
        <v>7834</v>
      </c>
    </row>
    <row r="1524" spans="1:23" x14ac:dyDescent="0.25">
      <c r="A1524" s="2">
        <v>954</v>
      </c>
      <c r="B1524" s="3" t="s">
        <v>3826</v>
      </c>
      <c r="C1524" s="3">
        <v>2024</v>
      </c>
      <c r="D1524" s="3" t="s">
        <v>2657</v>
      </c>
      <c r="E1524" s="3" t="s">
        <v>15</v>
      </c>
      <c r="F1524" s="1" t="s">
        <v>7834</v>
      </c>
      <c r="G1524" s="10"/>
      <c r="H1524" s="10"/>
      <c r="I1524" s="10"/>
      <c r="J1524" s="10"/>
      <c r="K1524" s="10"/>
      <c r="L1524" s="3" t="s">
        <v>4033</v>
      </c>
      <c r="M1524" s="3" t="s">
        <v>4034</v>
      </c>
      <c r="N1524" s="3" t="s">
        <v>1099</v>
      </c>
      <c r="O1524" s="3">
        <v>11</v>
      </c>
      <c r="P1524" s="3">
        <v>1419800</v>
      </c>
      <c r="Q1524" s="3"/>
      <c r="R1524" s="3" t="s">
        <v>399</v>
      </c>
      <c r="S1524" s="3" t="s">
        <v>4035</v>
      </c>
      <c r="T1524" s="3" t="s">
        <v>21</v>
      </c>
      <c r="U1524" s="11">
        <v>609</v>
      </c>
      <c r="V1524" s="3" t="s">
        <v>3826</v>
      </c>
      <c r="W1524" s="8" t="s">
        <v>7834</v>
      </c>
    </row>
    <row r="1525" spans="1:23" x14ac:dyDescent="0.25">
      <c r="A1525" s="2">
        <v>956</v>
      </c>
      <c r="B1525" s="3" t="s">
        <v>3826</v>
      </c>
      <c r="C1525" s="3">
        <v>2024</v>
      </c>
      <c r="D1525" s="3" t="s">
        <v>1459</v>
      </c>
      <c r="E1525" s="3" t="s">
        <v>15</v>
      </c>
      <c r="F1525" s="1" t="s">
        <v>7834</v>
      </c>
      <c r="G1525" s="10"/>
      <c r="H1525" s="10"/>
      <c r="I1525" s="10"/>
      <c r="J1525" s="10"/>
      <c r="K1525" s="10"/>
      <c r="L1525" s="3" t="s">
        <v>4040</v>
      </c>
      <c r="M1525" s="3" t="s">
        <v>4041</v>
      </c>
      <c r="N1525" s="3" t="s">
        <v>1682</v>
      </c>
      <c r="O1525" s="3">
        <v>245</v>
      </c>
      <c r="P1525" s="3">
        <v>103999</v>
      </c>
      <c r="Q1525" s="3"/>
      <c r="R1525" s="3" t="s">
        <v>1683</v>
      </c>
      <c r="S1525" s="3" t="s">
        <v>4042</v>
      </c>
      <c r="T1525" s="3" t="s">
        <v>21</v>
      </c>
      <c r="U1525" s="11">
        <v>610</v>
      </c>
      <c r="V1525" s="3" t="s">
        <v>3826</v>
      </c>
      <c r="W1525" s="8" t="s">
        <v>7834</v>
      </c>
    </row>
    <row r="1526" spans="1:23" x14ac:dyDescent="0.25">
      <c r="A1526" s="2">
        <v>957</v>
      </c>
      <c r="B1526" s="3" t="s">
        <v>3826</v>
      </c>
      <c r="C1526" s="3">
        <v>2024</v>
      </c>
      <c r="D1526" s="3" t="s">
        <v>295</v>
      </c>
      <c r="E1526" s="3" t="s">
        <v>15</v>
      </c>
      <c r="F1526" s="1" t="s">
        <v>7834</v>
      </c>
      <c r="G1526" s="10"/>
      <c r="H1526" s="10"/>
      <c r="I1526" s="10"/>
      <c r="J1526" s="10"/>
      <c r="K1526" s="10"/>
      <c r="L1526" s="3" t="s">
        <v>4043</v>
      </c>
      <c r="M1526" s="3" t="s">
        <v>4044</v>
      </c>
      <c r="N1526" s="3" t="s">
        <v>4045</v>
      </c>
      <c r="O1526" s="3">
        <v>10</v>
      </c>
      <c r="P1526" s="3">
        <v>100494</v>
      </c>
      <c r="Q1526" s="3"/>
      <c r="R1526" s="3" t="s">
        <v>4046</v>
      </c>
      <c r="S1526" s="3" t="s">
        <v>4047</v>
      </c>
      <c r="T1526" s="3" t="s">
        <v>21</v>
      </c>
      <c r="U1526" s="11">
        <v>611</v>
      </c>
      <c r="V1526" s="3" t="s">
        <v>3826</v>
      </c>
      <c r="W1526" s="8" t="s">
        <v>7834</v>
      </c>
    </row>
    <row r="1527" spans="1:23" x14ac:dyDescent="0.25">
      <c r="A1527" s="2">
        <v>958</v>
      </c>
      <c r="B1527" s="3" t="s">
        <v>3826</v>
      </c>
      <c r="C1527" s="3">
        <v>2024</v>
      </c>
      <c r="D1527" s="3" t="s">
        <v>1482</v>
      </c>
      <c r="E1527" s="3" t="s">
        <v>15</v>
      </c>
      <c r="F1527" s="1" t="s">
        <v>7834</v>
      </c>
      <c r="G1527" s="10"/>
      <c r="H1527" s="10"/>
      <c r="I1527" s="10"/>
      <c r="J1527" s="10"/>
      <c r="K1527" s="10"/>
      <c r="L1527" s="3" t="s">
        <v>4048</v>
      </c>
      <c r="M1527" s="3" t="s">
        <v>4049</v>
      </c>
      <c r="N1527" s="3" t="s">
        <v>4050</v>
      </c>
      <c r="O1527" s="3">
        <v>84</v>
      </c>
      <c r="P1527" s="3">
        <v>103785</v>
      </c>
      <c r="Q1527" s="3"/>
      <c r="R1527" s="3" t="s">
        <v>4051</v>
      </c>
      <c r="S1527" s="3" t="s">
        <v>4052</v>
      </c>
      <c r="T1527" s="3" t="s">
        <v>21</v>
      </c>
      <c r="U1527" s="11">
        <v>612</v>
      </c>
      <c r="V1527" s="3" t="s">
        <v>3826</v>
      </c>
      <c r="W1527" s="8" t="s">
        <v>7834</v>
      </c>
    </row>
    <row r="1528" spans="1:23" x14ac:dyDescent="0.25">
      <c r="A1528" s="2">
        <v>959</v>
      </c>
      <c r="B1528" s="3" t="s">
        <v>3826</v>
      </c>
      <c r="C1528" s="3">
        <v>2024</v>
      </c>
      <c r="D1528" s="3" t="s">
        <v>4053</v>
      </c>
      <c r="E1528" s="3" t="s">
        <v>15</v>
      </c>
      <c r="F1528" s="1" t="s">
        <v>7834</v>
      </c>
      <c r="G1528" s="10"/>
      <c r="H1528" s="10"/>
      <c r="I1528" s="10"/>
      <c r="J1528" s="10"/>
      <c r="K1528" s="10"/>
      <c r="L1528" s="3" t="s">
        <v>4054</v>
      </c>
      <c r="M1528" s="3" t="s">
        <v>4055</v>
      </c>
      <c r="N1528" s="3" t="s">
        <v>4056</v>
      </c>
      <c r="O1528" s="3">
        <v>12</v>
      </c>
      <c r="P1528" s="3">
        <v>1893</v>
      </c>
      <c r="Q1528" s="3"/>
      <c r="R1528" s="3" t="s">
        <v>4057</v>
      </c>
      <c r="S1528" s="3" t="s">
        <v>4058</v>
      </c>
      <c r="T1528" s="3" t="s">
        <v>21</v>
      </c>
      <c r="U1528" s="11">
        <v>613</v>
      </c>
      <c r="V1528" s="3" t="s">
        <v>3826</v>
      </c>
      <c r="W1528" s="8" t="s">
        <v>7834</v>
      </c>
    </row>
    <row r="1529" spans="1:23" x14ac:dyDescent="0.25">
      <c r="A1529" s="2">
        <v>960</v>
      </c>
      <c r="B1529" s="3" t="s">
        <v>3826</v>
      </c>
      <c r="C1529" s="3">
        <v>2024</v>
      </c>
      <c r="D1529" s="3" t="s">
        <v>3456</v>
      </c>
      <c r="E1529" s="3" t="s">
        <v>15</v>
      </c>
      <c r="F1529" s="1" t="s">
        <v>7834</v>
      </c>
      <c r="G1529" s="10"/>
      <c r="H1529" s="10"/>
      <c r="I1529" s="10"/>
      <c r="J1529" s="10"/>
      <c r="K1529" s="10"/>
      <c r="L1529" s="3" t="s">
        <v>4059</v>
      </c>
      <c r="M1529" s="3" t="s">
        <v>4060</v>
      </c>
      <c r="N1529" s="3" t="s">
        <v>4061</v>
      </c>
      <c r="O1529" s="3">
        <v>38</v>
      </c>
      <c r="P1529" s="3" t="s">
        <v>4062</v>
      </c>
      <c r="Q1529" s="3"/>
      <c r="R1529" s="3" t="s">
        <v>4063</v>
      </c>
      <c r="S1529" s="3" t="s">
        <v>4064</v>
      </c>
      <c r="T1529" s="3" t="s">
        <v>21</v>
      </c>
      <c r="U1529" s="11">
        <v>614</v>
      </c>
      <c r="V1529" s="3" t="s">
        <v>3826</v>
      </c>
      <c r="W1529" s="8" t="s">
        <v>7834</v>
      </c>
    </row>
    <row r="1530" spans="1:23" x14ac:dyDescent="0.25">
      <c r="A1530" s="2">
        <v>961</v>
      </c>
      <c r="B1530" s="3" t="s">
        <v>3826</v>
      </c>
      <c r="C1530" s="3">
        <v>2024</v>
      </c>
      <c r="D1530" s="3" t="s">
        <v>86</v>
      </c>
      <c r="E1530" s="3" t="s">
        <v>15</v>
      </c>
      <c r="F1530" s="1" t="s">
        <v>7834</v>
      </c>
      <c r="G1530" s="10"/>
      <c r="H1530" s="10"/>
      <c r="I1530" s="10"/>
      <c r="J1530" s="10"/>
      <c r="K1530" s="10"/>
      <c r="L1530" s="3" t="s">
        <v>4065</v>
      </c>
      <c r="M1530" s="3" t="s">
        <v>4066</v>
      </c>
      <c r="N1530" s="3" t="s">
        <v>1083</v>
      </c>
      <c r="O1530" s="3">
        <v>83</v>
      </c>
      <c r="P1530" s="3">
        <v>102814</v>
      </c>
      <c r="Q1530" s="3"/>
      <c r="R1530" s="3" t="s">
        <v>3970</v>
      </c>
      <c r="S1530" s="3" t="s">
        <v>4067</v>
      </c>
      <c r="T1530" s="3" t="s">
        <v>21</v>
      </c>
      <c r="U1530" s="11">
        <v>615</v>
      </c>
      <c r="V1530" s="3" t="s">
        <v>3826</v>
      </c>
      <c r="W1530" s="8" t="s">
        <v>7834</v>
      </c>
    </row>
    <row r="1531" spans="1:23" x14ac:dyDescent="0.25">
      <c r="A1531" s="2">
        <v>962</v>
      </c>
      <c r="B1531" s="3" t="s">
        <v>3826</v>
      </c>
      <c r="C1531" s="3">
        <v>2024</v>
      </c>
      <c r="D1531" s="3" t="s">
        <v>627</v>
      </c>
      <c r="E1531" s="3" t="s">
        <v>15</v>
      </c>
      <c r="F1531" s="1" t="s">
        <v>7834</v>
      </c>
      <c r="G1531" s="10"/>
      <c r="H1531" s="10"/>
      <c r="I1531" s="10"/>
      <c r="J1531" s="10"/>
      <c r="K1531" s="10"/>
      <c r="L1531" s="3" t="s">
        <v>4068</v>
      </c>
      <c r="M1531" s="3" t="s">
        <v>4069</v>
      </c>
      <c r="N1531" s="3" t="s">
        <v>874</v>
      </c>
      <c r="O1531" s="3">
        <v>14</v>
      </c>
      <c r="P1531" s="3">
        <v>21401</v>
      </c>
      <c r="Q1531" s="3"/>
      <c r="R1531" s="3" t="s">
        <v>1002</v>
      </c>
      <c r="S1531" s="3" t="s">
        <v>4070</v>
      </c>
      <c r="T1531" s="3" t="s">
        <v>21</v>
      </c>
      <c r="U1531" s="11">
        <v>616</v>
      </c>
      <c r="V1531" s="3" t="s">
        <v>3826</v>
      </c>
      <c r="W1531" s="8" t="s">
        <v>7834</v>
      </c>
    </row>
    <row r="1532" spans="1:23" x14ac:dyDescent="0.25">
      <c r="A1532" s="2">
        <v>963</v>
      </c>
      <c r="B1532" s="3" t="s">
        <v>3826</v>
      </c>
      <c r="C1532" s="3">
        <v>2024</v>
      </c>
      <c r="D1532" s="3" t="s">
        <v>415</v>
      </c>
      <c r="E1532" s="3" t="s">
        <v>15</v>
      </c>
      <c r="F1532" s="1" t="s">
        <v>7834</v>
      </c>
      <c r="G1532" s="10"/>
      <c r="H1532" s="10"/>
      <c r="I1532" s="10"/>
      <c r="J1532" s="10"/>
      <c r="K1532" s="10"/>
      <c r="L1532" s="3" t="s">
        <v>4071</v>
      </c>
      <c r="M1532" s="3" t="s">
        <v>4072</v>
      </c>
      <c r="N1532" s="3" t="s">
        <v>4073</v>
      </c>
      <c r="O1532" s="3">
        <v>14</v>
      </c>
      <c r="P1532" s="3">
        <v>21942</v>
      </c>
      <c r="Q1532" s="3"/>
      <c r="R1532" s="3" t="s">
        <v>1002</v>
      </c>
      <c r="S1532" s="3" t="s">
        <v>4074</v>
      </c>
      <c r="T1532" s="3" t="s">
        <v>21</v>
      </c>
      <c r="U1532" s="11">
        <v>617</v>
      </c>
      <c r="V1532" s="3" t="s">
        <v>3826</v>
      </c>
      <c r="W1532" s="8" t="s">
        <v>7834</v>
      </c>
    </row>
    <row r="1533" spans="1:23" x14ac:dyDescent="0.25">
      <c r="A1533" s="2">
        <v>964</v>
      </c>
      <c r="B1533" s="3" t="s">
        <v>3826</v>
      </c>
      <c r="C1533" s="3">
        <v>2024</v>
      </c>
      <c r="D1533" s="3" t="s">
        <v>2657</v>
      </c>
      <c r="E1533" s="3" t="s">
        <v>15</v>
      </c>
      <c r="F1533" s="1" t="s">
        <v>7834</v>
      </c>
      <c r="G1533" s="10"/>
      <c r="H1533" s="10"/>
      <c r="I1533" s="10"/>
      <c r="J1533" s="10"/>
      <c r="K1533" s="10"/>
      <c r="L1533" s="3" t="s">
        <v>4075</v>
      </c>
      <c r="M1533" s="3" t="s">
        <v>4076</v>
      </c>
      <c r="N1533" s="3" t="s">
        <v>4077</v>
      </c>
      <c r="O1533" s="3">
        <v>306</v>
      </c>
      <c r="P1533" s="3">
        <v>108897</v>
      </c>
      <c r="Q1533" s="3"/>
      <c r="R1533" s="3" t="s">
        <v>4078</v>
      </c>
      <c r="S1533" s="3" t="s">
        <v>4079</v>
      </c>
      <c r="T1533" s="3" t="s">
        <v>21</v>
      </c>
      <c r="U1533" s="11">
        <v>618</v>
      </c>
      <c r="V1533" s="3" t="s">
        <v>3826</v>
      </c>
      <c r="W1533" s="8" t="s">
        <v>7834</v>
      </c>
    </row>
    <row r="1534" spans="1:23" x14ac:dyDescent="0.25">
      <c r="A1534" s="2">
        <v>967</v>
      </c>
      <c r="B1534" s="3" t="s">
        <v>3826</v>
      </c>
      <c r="C1534" s="3">
        <v>2024</v>
      </c>
      <c r="D1534" s="3" t="s">
        <v>4091</v>
      </c>
      <c r="E1534" s="3" t="s">
        <v>15</v>
      </c>
      <c r="F1534" s="1" t="s">
        <v>7834</v>
      </c>
      <c r="G1534" s="10"/>
      <c r="H1534" s="10"/>
      <c r="I1534" s="10"/>
      <c r="J1534" s="10"/>
      <c r="K1534" s="10"/>
      <c r="L1534" s="3" t="s">
        <v>344</v>
      </c>
      <c r="M1534" s="3" t="s">
        <v>4092</v>
      </c>
      <c r="N1534" s="3" t="s">
        <v>980</v>
      </c>
      <c r="O1534" s="3">
        <v>202</v>
      </c>
      <c r="P1534" s="3">
        <v>106727</v>
      </c>
      <c r="Q1534" s="3"/>
      <c r="R1534" s="3" t="s">
        <v>347</v>
      </c>
      <c r="S1534" s="3" t="s">
        <v>348</v>
      </c>
      <c r="T1534" s="3" t="s">
        <v>21</v>
      </c>
      <c r="U1534" s="11">
        <v>619</v>
      </c>
      <c r="V1534" s="3" t="s">
        <v>3826</v>
      </c>
      <c r="W1534" s="8" t="s">
        <v>7834</v>
      </c>
    </row>
    <row r="1535" spans="1:23" x14ac:dyDescent="0.25">
      <c r="A1535" s="2">
        <v>968</v>
      </c>
      <c r="B1535" s="3" t="s">
        <v>3826</v>
      </c>
      <c r="C1535" s="3">
        <v>2024</v>
      </c>
      <c r="D1535" s="3" t="s">
        <v>4093</v>
      </c>
      <c r="E1535" s="3" t="s">
        <v>15</v>
      </c>
      <c r="F1535" s="1" t="s">
        <v>7834</v>
      </c>
      <c r="G1535" s="10"/>
      <c r="H1535" s="10"/>
      <c r="I1535" s="10"/>
      <c r="J1535" s="10"/>
      <c r="K1535" s="10"/>
      <c r="L1535" s="3" t="s">
        <v>4094</v>
      </c>
      <c r="M1535" s="3" t="s">
        <v>4095</v>
      </c>
      <c r="N1535" s="3" t="s">
        <v>2279</v>
      </c>
      <c r="O1535" s="3">
        <v>15</v>
      </c>
      <c r="P1535" s="3">
        <v>7449</v>
      </c>
      <c r="Q1535" s="3"/>
      <c r="R1535" s="3" t="s">
        <v>4096</v>
      </c>
      <c r="S1535" s="3" t="s">
        <v>4097</v>
      </c>
      <c r="T1535" s="3" t="s">
        <v>21</v>
      </c>
      <c r="U1535" s="11">
        <v>620</v>
      </c>
      <c r="V1535" s="3" t="s">
        <v>3826</v>
      </c>
      <c r="W1535" s="8" t="s">
        <v>7834</v>
      </c>
    </row>
    <row r="1536" spans="1:23" x14ac:dyDescent="0.25">
      <c r="A1536" s="2">
        <v>969</v>
      </c>
      <c r="B1536" s="3" t="s">
        <v>3826</v>
      </c>
      <c r="C1536" s="3">
        <v>2024</v>
      </c>
      <c r="D1536" s="3" t="s">
        <v>3534</v>
      </c>
      <c r="E1536" s="3" t="s">
        <v>15</v>
      </c>
      <c r="F1536" s="1" t="s">
        <v>7834</v>
      </c>
      <c r="G1536" s="10"/>
      <c r="H1536" s="10"/>
      <c r="I1536" s="10"/>
      <c r="J1536" s="10"/>
      <c r="K1536" s="10"/>
      <c r="L1536" s="3" t="s">
        <v>4098</v>
      </c>
      <c r="M1536" s="3" t="s">
        <v>4099</v>
      </c>
      <c r="N1536" s="3" t="s">
        <v>874</v>
      </c>
      <c r="O1536" s="3">
        <v>14</v>
      </c>
      <c r="P1536" s="3">
        <v>21081</v>
      </c>
      <c r="Q1536" s="3"/>
      <c r="R1536" s="3" t="s">
        <v>1002</v>
      </c>
      <c r="S1536" s="3" t="s">
        <v>4100</v>
      </c>
      <c r="T1536" s="3" t="s">
        <v>21</v>
      </c>
      <c r="U1536" s="11">
        <v>621</v>
      </c>
      <c r="V1536" s="3" t="s">
        <v>3826</v>
      </c>
      <c r="W1536" s="8" t="s">
        <v>7834</v>
      </c>
    </row>
    <row r="1537" spans="1:23" x14ac:dyDescent="0.25">
      <c r="A1537" s="2">
        <v>970</v>
      </c>
      <c r="B1537" s="3" t="s">
        <v>3826</v>
      </c>
      <c r="C1537" s="3">
        <v>2024</v>
      </c>
      <c r="D1537" s="3" t="s">
        <v>215</v>
      </c>
      <c r="E1537" s="3" t="s">
        <v>15</v>
      </c>
      <c r="F1537" s="1" t="s">
        <v>7834</v>
      </c>
      <c r="G1537" s="10"/>
      <c r="H1537" s="10"/>
      <c r="I1537" s="10"/>
      <c r="J1537" s="10"/>
      <c r="K1537" s="10"/>
      <c r="L1537" s="3" t="s">
        <v>4101</v>
      </c>
      <c r="M1537" s="3" t="s">
        <v>4102</v>
      </c>
      <c r="N1537" s="3" t="s">
        <v>828</v>
      </c>
      <c r="O1537" s="3">
        <v>954</v>
      </c>
      <c r="P1537" s="3">
        <v>176772</v>
      </c>
      <c r="Q1537" s="3"/>
      <c r="R1537" s="3" t="s">
        <v>4103</v>
      </c>
      <c r="S1537" s="3" t="s">
        <v>343</v>
      </c>
      <c r="T1537" s="3" t="s">
        <v>21</v>
      </c>
      <c r="U1537" s="11">
        <v>622</v>
      </c>
      <c r="V1537" s="3" t="s">
        <v>3826</v>
      </c>
      <c r="W1537" s="8" t="s">
        <v>7834</v>
      </c>
    </row>
    <row r="1538" spans="1:23" x14ac:dyDescent="0.25">
      <c r="A1538" s="2">
        <v>972</v>
      </c>
      <c r="B1538" s="3" t="s">
        <v>3826</v>
      </c>
      <c r="C1538" s="3">
        <v>2024</v>
      </c>
      <c r="D1538" s="3" t="s">
        <v>691</v>
      </c>
      <c r="E1538" s="3" t="s">
        <v>15</v>
      </c>
      <c r="F1538" s="1" t="s">
        <v>7834</v>
      </c>
      <c r="G1538" s="10"/>
      <c r="H1538" s="10"/>
      <c r="I1538" s="10"/>
      <c r="J1538" s="10"/>
      <c r="K1538" s="10"/>
      <c r="L1538" s="3" t="s">
        <v>4110</v>
      </c>
      <c r="M1538" s="3" t="s">
        <v>4111</v>
      </c>
      <c r="N1538" s="3" t="s">
        <v>4112</v>
      </c>
      <c r="O1538" s="3">
        <v>21</v>
      </c>
      <c r="P1538" s="3"/>
      <c r="Q1538" s="3">
        <v>3927</v>
      </c>
      <c r="R1538" s="3" t="s">
        <v>3841</v>
      </c>
      <c r="S1538" s="3" t="s">
        <v>388</v>
      </c>
      <c r="T1538" s="3" t="s">
        <v>21</v>
      </c>
      <c r="U1538" s="11">
        <v>623</v>
      </c>
      <c r="V1538" s="3" t="s">
        <v>3826</v>
      </c>
      <c r="W1538" s="8" t="s">
        <v>7834</v>
      </c>
    </row>
    <row r="1539" spans="1:23" x14ac:dyDescent="0.25">
      <c r="A1539" s="2">
        <v>974</v>
      </c>
      <c r="B1539" s="3" t="s">
        <v>3826</v>
      </c>
      <c r="C1539" s="3">
        <v>2024</v>
      </c>
      <c r="D1539" s="3" t="s">
        <v>302</v>
      </c>
      <c r="E1539" s="3" t="s">
        <v>15</v>
      </c>
      <c r="F1539" s="1" t="s">
        <v>7834</v>
      </c>
      <c r="G1539" s="10"/>
      <c r="H1539" s="10"/>
      <c r="I1539" s="10"/>
      <c r="J1539" s="10"/>
      <c r="K1539" s="10"/>
      <c r="L1539" s="3" t="s">
        <v>4118</v>
      </c>
      <c r="M1539" s="3" t="s">
        <v>4119</v>
      </c>
      <c r="N1539" s="3" t="s">
        <v>4120</v>
      </c>
      <c r="O1539" s="3">
        <v>38</v>
      </c>
      <c r="P1539" s="3">
        <v>1</v>
      </c>
      <c r="Q1539" s="3"/>
      <c r="R1539" s="3" t="s">
        <v>4121</v>
      </c>
      <c r="S1539" s="3" t="s">
        <v>4122</v>
      </c>
      <c r="T1539" s="3" t="s">
        <v>21</v>
      </c>
      <c r="U1539" s="11">
        <v>624</v>
      </c>
      <c r="V1539" s="3" t="s">
        <v>3826</v>
      </c>
      <c r="W1539" s="8" t="s">
        <v>7834</v>
      </c>
    </row>
    <row r="1540" spans="1:23" x14ac:dyDescent="0.25">
      <c r="A1540" s="2">
        <v>977</v>
      </c>
      <c r="B1540" s="3" t="s">
        <v>3826</v>
      </c>
      <c r="C1540" s="3">
        <v>2024</v>
      </c>
      <c r="D1540" s="3" t="s">
        <v>82</v>
      </c>
      <c r="E1540" s="3" t="s">
        <v>15</v>
      </c>
      <c r="F1540" s="1" t="s">
        <v>7834</v>
      </c>
      <c r="G1540" s="10"/>
      <c r="H1540" s="10"/>
      <c r="I1540" s="10"/>
      <c r="J1540" s="10"/>
      <c r="K1540" s="10"/>
      <c r="L1540" s="3" t="s">
        <v>4131</v>
      </c>
      <c r="M1540" s="3" t="s">
        <v>4132</v>
      </c>
      <c r="N1540" s="3" t="s">
        <v>4133</v>
      </c>
      <c r="O1540" s="3">
        <v>13</v>
      </c>
      <c r="P1540" s="3"/>
      <c r="Q1540" s="3">
        <v>425</v>
      </c>
      <c r="R1540" s="3" t="s">
        <v>4134</v>
      </c>
      <c r="S1540" s="3" t="s">
        <v>4135</v>
      </c>
      <c r="T1540" s="3" t="s">
        <v>21</v>
      </c>
      <c r="U1540" s="11">
        <v>625</v>
      </c>
      <c r="V1540" s="3" t="s">
        <v>3826</v>
      </c>
      <c r="W1540" s="8" t="s">
        <v>7834</v>
      </c>
    </row>
    <row r="1541" spans="1:23" x14ac:dyDescent="0.25">
      <c r="A1541" s="2">
        <v>978</v>
      </c>
      <c r="B1541" s="3" t="s">
        <v>3826</v>
      </c>
      <c r="C1541" s="3">
        <v>2024</v>
      </c>
      <c r="D1541" s="3" t="s">
        <v>3045</v>
      </c>
      <c r="E1541" s="3" t="s">
        <v>15</v>
      </c>
      <c r="F1541" s="1" t="s">
        <v>7834</v>
      </c>
      <c r="G1541" s="10"/>
      <c r="H1541" s="10"/>
      <c r="I1541" s="10"/>
      <c r="J1541" s="10"/>
      <c r="K1541" s="10"/>
      <c r="L1541" s="3" t="s">
        <v>4136</v>
      </c>
      <c r="M1541" s="3" t="s">
        <v>4137</v>
      </c>
      <c r="N1541" s="3" t="s">
        <v>4012</v>
      </c>
      <c r="O1541" s="3">
        <v>7</v>
      </c>
      <c r="P1541" s="3"/>
      <c r="Q1541" s="3">
        <v>1820</v>
      </c>
      <c r="R1541" s="3" t="s">
        <v>4013</v>
      </c>
      <c r="S1541" s="3" t="s">
        <v>4138</v>
      </c>
      <c r="T1541" s="3" t="s">
        <v>21</v>
      </c>
      <c r="U1541" s="11">
        <v>626</v>
      </c>
      <c r="V1541" s="3" t="s">
        <v>3826</v>
      </c>
      <c r="W1541" s="8" t="s">
        <v>7834</v>
      </c>
    </row>
    <row r="1542" spans="1:23" x14ac:dyDescent="0.25">
      <c r="A1542" s="2">
        <v>981</v>
      </c>
      <c r="B1542" s="3" t="s">
        <v>3826</v>
      </c>
      <c r="C1542" s="3">
        <v>2024</v>
      </c>
      <c r="D1542" s="3" t="s">
        <v>4145</v>
      </c>
      <c r="E1542" s="3" t="s">
        <v>15</v>
      </c>
      <c r="F1542" s="1" t="s">
        <v>7834</v>
      </c>
      <c r="G1542" s="10"/>
      <c r="H1542" s="10"/>
      <c r="I1542" s="10"/>
      <c r="J1542" s="10"/>
      <c r="K1542" s="10"/>
      <c r="L1542" s="3" t="s">
        <v>4146</v>
      </c>
      <c r="M1542" s="3" t="s">
        <v>4147</v>
      </c>
      <c r="N1542" s="3" t="s">
        <v>4148</v>
      </c>
      <c r="O1542" s="3">
        <v>61</v>
      </c>
      <c r="P1542" s="3"/>
      <c r="Q1542" s="3">
        <v>2328</v>
      </c>
      <c r="R1542" s="3" t="s">
        <v>4149</v>
      </c>
      <c r="S1542" s="3" t="s">
        <v>4150</v>
      </c>
      <c r="T1542" s="3" t="s">
        <v>21</v>
      </c>
      <c r="U1542" s="11">
        <v>627</v>
      </c>
      <c r="V1542" s="3" t="s">
        <v>3826</v>
      </c>
      <c r="W1542" s="8" t="s">
        <v>7834</v>
      </c>
    </row>
    <row r="1543" spans="1:23" x14ac:dyDescent="0.25">
      <c r="A1543" s="2">
        <v>982</v>
      </c>
      <c r="B1543" s="3" t="s">
        <v>3826</v>
      </c>
      <c r="C1543" s="3">
        <v>2024</v>
      </c>
      <c r="D1543" s="3" t="s">
        <v>265</v>
      </c>
      <c r="E1543" s="3" t="s">
        <v>15</v>
      </c>
      <c r="F1543" s="1" t="s">
        <v>7834</v>
      </c>
      <c r="G1543" s="10">
        <v>64</v>
      </c>
      <c r="H1543" s="10"/>
      <c r="I1543" s="10"/>
      <c r="J1543" s="10"/>
      <c r="K1543" s="10"/>
      <c r="L1543" s="3" t="s">
        <v>4151</v>
      </c>
      <c r="M1543" s="3" t="s">
        <v>4152</v>
      </c>
      <c r="N1543" s="3" t="s">
        <v>4153</v>
      </c>
      <c r="O1543" s="3">
        <v>13</v>
      </c>
      <c r="P1543" s="3">
        <v>887</v>
      </c>
      <c r="Q1543" s="3"/>
      <c r="R1543" s="3" t="s">
        <v>4154</v>
      </c>
      <c r="S1543" s="3" t="s">
        <v>4155</v>
      </c>
      <c r="T1543" s="3" t="s">
        <v>21</v>
      </c>
      <c r="U1543" s="11">
        <v>628</v>
      </c>
      <c r="V1543" s="3" t="s">
        <v>3826</v>
      </c>
      <c r="W1543" s="8" t="s">
        <v>7834</v>
      </c>
    </row>
    <row r="1544" spans="1:23" x14ac:dyDescent="0.25">
      <c r="A1544" s="2">
        <v>986</v>
      </c>
      <c r="B1544" s="3" t="s">
        <v>4166</v>
      </c>
      <c r="C1544" s="3">
        <v>2024</v>
      </c>
      <c r="D1544" s="3" t="s">
        <v>775</v>
      </c>
      <c r="E1544" s="3" t="s">
        <v>15</v>
      </c>
      <c r="F1544" s="1" t="s">
        <v>7834</v>
      </c>
      <c r="G1544" s="10"/>
      <c r="H1544" s="10"/>
      <c r="I1544" s="10"/>
      <c r="J1544" s="10"/>
      <c r="K1544" s="10"/>
      <c r="L1544" s="3" t="s">
        <v>4172</v>
      </c>
      <c r="M1544" s="3" t="s">
        <v>4173</v>
      </c>
      <c r="N1544" s="3" t="s">
        <v>4174</v>
      </c>
      <c r="O1544" s="3"/>
      <c r="P1544" s="3"/>
      <c r="Q1544" s="3">
        <v>1</v>
      </c>
      <c r="R1544" s="3" t="s">
        <v>4175</v>
      </c>
      <c r="S1544" s="3" t="s">
        <v>4176</v>
      </c>
      <c r="T1544" s="3" t="s">
        <v>21</v>
      </c>
      <c r="U1544" s="11">
        <v>629</v>
      </c>
      <c r="V1544" s="3" t="s">
        <v>4166</v>
      </c>
      <c r="W1544" s="8" t="s">
        <v>7834</v>
      </c>
    </row>
    <row r="1545" spans="1:23" x14ac:dyDescent="0.25">
      <c r="A1545" s="2">
        <v>1007</v>
      </c>
      <c r="B1545" s="3" t="s">
        <v>4166</v>
      </c>
      <c r="C1545" s="3">
        <v>2024</v>
      </c>
      <c r="D1545" s="3" t="s">
        <v>627</v>
      </c>
      <c r="E1545" s="3" t="s">
        <v>15</v>
      </c>
      <c r="F1545" s="1" t="s">
        <v>7834</v>
      </c>
      <c r="G1545" s="10"/>
      <c r="H1545" s="10"/>
      <c r="I1545" s="10"/>
      <c r="J1545" s="10"/>
      <c r="K1545" s="10"/>
      <c r="L1545" s="3" t="s">
        <v>4266</v>
      </c>
      <c r="M1545" s="3" t="s">
        <v>4267</v>
      </c>
      <c r="N1545" s="3" t="s">
        <v>4268</v>
      </c>
      <c r="O1545" s="3"/>
      <c r="P1545" s="3"/>
      <c r="Q1545" s="3">
        <v>1</v>
      </c>
      <c r="R1545" s="3" t="s">
        <v>4269</v>
      </c>
      <c r="S1545" s="3" t="s">
        <v>4270</v>
      </c>
      <c r="T1545" s="3" t="s">
        <v>21</v>
      </c>
      <c r="U1545" s="11">
        <v>630</v>
      </c>
      <c r="V1545" s="3" t="s">
        <v>4166</v>
      </c>
      <c r="W1545" s="8" t="s">
        <v>7834</v>
      </c>
    </row>
    <row r="1546" spans="1:23" x14ac:dyDescent="0.25">
      <c r="A1546" s="2">
        <v>1009</v>
      </c>
      <c r="B1546" s="3" t="s">
        <v>4166</v>
      </c>
      <c r="C1546" s="3">
        <v>2024</v>
      </c>
      <c r="D1546" s="3" t="s">
        <v>2606</v>
      </c>
      <c r="E1546" s="3" t="s">
        <v>15</v>
      </c>
      <c r="F1546" s="1" t="s">
        <v>7834</v>
      </c>
      <c r="G1546" s="10"/>
      <c r="H1546" s="10"/>
      <c r="I1546" s="10"/>
      <c r="J1546" s="10"/>
      <c r="K1546" s="10"/>
      <c r="L1546" s="3" t="s">
        <v>4276</v>
      </c>
      <c r="M1546" s="3" t="s">
        <v>4277</v>
      </c>
      <c r="N1546" s="3" t="s">
        <v>4278</v>
      </c>
      <c r="O1546" s="3"/>
      <c r="P1546" s="3"/>
      <c r="Q1546" s="3">
        <v>1</v>
      </c>
      <c r="R1546" s="3" t="s">
        <v>4279</v>
      </c>
      <c r="S1546" s="3" t="s">
        <v>4280</v>
      </c>
      <c r="T1546" s="3" t="s">
        <v>21</v>
      </c>
      <c r="U1546" s="11">
        <v>631</v>
      </c>
      <c r="V1546" s="3" t="s">
        <v>4166</v>
      </c>
      <c r="W1546" s="8" t="s">
        <v>7834</v>
      </c>
    </row>
    <row r="1547" spans="1:23" x14ac:dyDescent="0.25">
      <c r="A1547" s="2">
        <v>1016</v>
      </c>
      <c r="B1547" s="3" t="s">
        <v>4166</v>
      </c>
      <c r="C1547" s="3">
        <v>2024</v>
      </c>
      <c r="D1547" s="3" t="s">
        <v>1863</v>
      </c>
      <c r="E1547" s="3" t="s">
        <v>15</v>
      </c>
      <c r="F1547" s="1" t="s">
        <v>7834</v>
      </c>
      <c r="G1547" s="10"/>
      <c r="H1547" s="10"/>
      <c r="I1547" s="10"/>
      <c r="J1547" s="10"/>
      <c r="K1547" s="10"/>
      <c r="L1547" s="3" t="s">
        <v>4310</v>
      </c>
      <c r="M1547" s="3" t="s">
        <v>4311</v>
      </c>
      <c r="N1547" s="3" t="s">
        <v>4312</v>
      </c>
      <c r="O1547" s="3"/>
      <c r="P1547" s="3"/>
      <c r="Q1547" s="3">
        <v>1</v>
      </c>
      <c r="R1547" s="3" t="s">
        <v>4313</v>
      </c>
      <c r="S1547" s="3" t="s">
        <v>4314</v>
      </c>
      <c r="T1547" s="3" t="s">
        <v>21</v>
      </c>
      <c r="U1547" s="11">
        <v>632</v>
      </c>
      <c r="V1547" s="3" t="s">
        <v>4166</v>
      </c>
      <c r="W1547" s="8" t="s">
        <v>7834</v>
      </c>
    </row>
    <row r="1548" spans="1:23" x14ac:dyDescent="0.25">
      <c r="A1548" s="2">
        <v>1025</v>
      </c>
      <c r="B1548" s="3" t="s">
        <v>4166</v>
      </c>
      <c r="C1548" s="3">
        <v>2024</v>
      </c>
      <c r="D1548" s="3" t="s">
        <v>1177</v>
      </c>
      <c r="E1548" s="3" t="s">
        <v>15</v>
      </c>
      <c r="F1548" s="1" t="s">
        <v>7834</v>
      </c>
      <c r="G1548" s="10"/>
      <c r="H1548" s="10"/>
      <c r="I1548" s="10"/>
      <c r="J1548" s="10"/>
      <c r="K1548" s="10"/>
      <c r="L1548" s="3" t="s">
        <v>4353</v>
      </c>
      <c r="M1548" s="3" t="s">
        <v>4354</v>
      </c>
      <c r="N1548" s="3" t="s">
        <v>4355</v>
      </c>
      <c r="O1548" s="3">
        <v>33</v>
      </c>
      <c r="P1548" s="3"/>
      <c r="Q1548" s="3">
        <v>100726</v>
      </c>
      <c r="R1548" s="3" t="s">
        <v>1879</v>
      </c>
      <c r="S1548" s="3" t="s">
        <v>4356</v>
      </c>
      <c r="T1548" s="3" t="s">
        <v>21</v>
      </c>
      <c r="U1548" s="11">
        <v>633</v>
      </c>
      <c r="V1548" s="3" t="s">
        <v>4166</v>
      </c>
      <c r="W1548" s="8" t="s">
        <v>7834</v>
      </c>
    </row>
    <row r="1549" spans="1:23" x14ac:dyDescent="0.25">
      <c r="A1549" s="2">
        <v>1034</v>
      </c>
      <c r="B1549" s="3" t="s">
        <v>4166</v>
      </c>
      <c r="C1549" s="3">
        <v>2024</v>
      </c>
      <c r="D1549" s="3" t="s">
        <v>508</v>
      </c>
      <c r="E1549" s="3" t="s">
        <v>15</v>
      </c>
      <c r="F1549" s="1" t="s">
        <v>7834</v>
      </c>
      <c r="G1549" s="10"/>
      <c r="H1549" s="10"/>
      <c r="I1549" s="10"/>
      <c r="J1549" s="10"/>
      <c r="K1549" s="10"/>
      <c r="L1549" s="3" t="s">
        <v>4385</v>
      </c>
      <c r="M1549" s="3" t="s">
        <v>4386</v>
      </c>
      <c r="N1549" s="3" t="s">
        <v>4387</v>
      </c>
      <c r="O1549" s="3">
        <v>19</v>
      </c>
      <c r="P1549" s="3">
        <v>9</v>
      </c>
      <c r="Q1549" s="3" t="s">
        <v>4388</v>
      </c>
      <c r="R1549" s="3" t="s">
        <v>359</v>
      </c>
      <c r="S1549" s="3" t="s">
        <v>4389</v>
      </c>
      <c r="T1549" s="3" t="s">
        <v>21</v>
      </c>
      <c r="U1549" s="11">
        <v>634</v>
      </c>
      <c r="V1549" s="3" t="s">
        <v>4166</v>
      </c>
      <c r="W1549" s="8" t="s">
        <v>7834</v>
      </c>
    </row>
    <row r="1550" spans="1:23" x14ac:dyDescent="0.25">
      <c r="A1550" s="2">
        <v>1037</v>
      </c>
      <c r="B1550" s="3" t="s">
        <v>4166</v>
      </c>
      <c r="C1550" s="3">
        <v>2024</v>
      </c>
      <c r="D1550" s="3" t="s">
        <v>3579</v>
      </c>
      <c r="E1550" s="3" t="s">
        <v>15</v>
      </c>
      <c r="F1550" s="1" t="s">
        <v>7834</v>
      </c>
      <c r="G1550" s="10"/>
      <c r="H1550" s="10"/>
      <c r="I1550" s="10"/>
      <c r="J1550" s="10"/>
      <c r="K1550" s="10"/>
      <c r="L1550" s="3" t="s">
        <v>4398</v>
      </c>
      <c r="M1550" s="3" t="s">
        <v>4399</v>
      </c>
      <c r="N1550" s="3" t="s">
        <v>4400</v>
      </c>
      <c r="O1550" s="3">
        <v>35</v>
      </c>
      <c r="P1550" s="3" t="s">
        <v>4401</v>
      </c>
      <c r="Q1550" s="3">
        <v>240</v>
      </c>
      <c r="R1550" s="3" t="s">
        <v>4402</v>
      </c>
      <c r="S1550" s="3" t="s">
        <v>4403</v>
      </c>
      <c r="T1550" s="3" t="s">
        <v>21</v>
      </c>
      <c r="U1550" s="11">
        <v>635</v>
      </c>
      <c r="V1550" s="3" t="s">
        <v>4166</v>
      </c>
      <c r="W1550" s="8" t="s">
        <v>7834</v>
      </c>
    </row>
    <row r="1551" spans="1:23" x14ac:dyDescent="0.25">
      <c r="A1551" s="2">
        <v>1039</v>
      </c>
      <c r="B1551" s="3" t="s">
        <v>4166</v>
      </c>
      <c r="C1551" s="3">
        <v>2024</v>
      </c>
      <c r="D1551" s="3" t="s">
        <v>2462</v>
      </c>
      <c r="E1551" s="3" t="s">
        <v>15</v>
      </c>
      <c r="F1551" s="1" t="s">
        <v>7834</v>
      </c>
      <c r="G1551" s="10"/>
      <c r="H1551" s="10"/>
      <c r="I1551" s="10"/>
      <c r="J1551" s="10"/>
      <c r="K1551" s="10"/>
      <c r="L1551" s="3" t="s">
        <v>4408</v>
      </c>
      <c r="M1551" s="3" t="s">
        <v>4409</v>
      </c>
      <c r="N1551" s="3" t="s">
        <v>4410</v>
      </c>
      <c r="O1551" s="3">
        <v>33</v>
      </c>
      <c r="P1551" s="3">
        <v>1</v>
      </c>
      <c r="Q1551" s="3">
        <v>89</v>
      </c>
      <c r="R1551" s="3" t="s">
        <v>4411</v>
      </c>
      <c r="S1551" s="3" t="s">
        <v>4412</v>
      </c>
      <c r="T1551" s="3" t="s">
        <v>21</v>
      </c>
      <c r="U1551" s="11">
        <v>636</v>
      </c>
      <c r="V1551" s="3" t="s">
        <v>4166</v>
      </c>
      <c r="W1551" s="8" t="s">
        <v>7834</v>
      </c>
    </row>
    <row r="1552" spans="1:23" x14ac:dyDescent="0.25">
      <c r="A1552" s="2">
        <v>1041</v>
      </c>
      <c r="B1552" s="3" t="s">
        <v>4166</v>
      </c>
      <c r="C1552" s="3">
        <v>2024</v>
      </c>
      <c r="D1552" s="3" t="s">
        <v>2781</v>
      </c>
      <c r="E1552" s="3" t="s">
        <v>15</v>
      </c>
      <c r="F1552" s="1" t="s">
        <v>7834</v>
      </c>
      <c r="G1552" s="10"/>
      <c r="H1552" s="10"/>
      <c r="I1552" s="10"/>
      <c r="J1552" s="10"/>
      <c r="K1552" s="10"/>
      <c r="L1552" s="3" t="s">
        <v>4418</v>
      </c>
      <c r="M1552" s="3" t="s">
        <v>4419</v>
      </c>
      <c r="N1552" s="3" t="s">
        <v>4420</v>
      </c>
      <c r="O1552" s="3">
        <v>37</v>
      </c>
      <c r="P1552" s="3">
        <v>2</v>
      </c>
      <c r="Q1552" s="3" t="s">
        <v>4421</v>
      </c>
      <c r="R1552" s="3" t="s">
        <v>4422</v>
      </c>
      <c r="S1552" s="3" t="s">
        <v>4423</v>
      </c>
      <c r="T1552" s="3" t="s">
        <v>21</v>
      </c>
      <c r="U1552" s="11">
        <v>637</v>
      </c>
      <c r="V1552" s="3" t="s">
        <v>4166</v>
      </c>
      <c r="W1552" s="8" t="s">
        <v>7834</v>
      </c>
    </row>
    <row r="1553" spans="1:23" x14ac:dyDescent="0.25">
      <c r="A1553" s="2">
        <v>1048</v>
      </c>
      <c r="B1553" s="3" t="s">
        <v>4166</v>
      </c>
      <c r="C1553" s="3">
        <v>2024</v>
      </c>
      <c r="D1553" s="3" t="s">
        <v>1872</v>
      </c>
      <c r="E1553" s="3" t="s">
        <v>15</v>
      </c>
      <c r="F1553" s="1" t="s">
        <v>7834</v>
      </c>
      <c r="G1553" s="10"/>
      <c r="H1553" s="10"/>
      <c r="I1553" s="10"/>
      <c r="J1553" s="10"/>
      <c r="K1553" s="10"/>
      <c r="L1553" s="3" t="s">
        <v>4448</v>
      </c>
      <c r="M1553" s="3" t="s">
        <v>4449</v>
      </c>
      <c r="N1553" s="3" t="s">
        <v>4450</v>
      </c>
      <c r="O1553" s="3"/>
      <c r="P1553" s="3"/>
      <c r="Q1553" s="3">
        <v>1</v>
      </c>
      <c r="R1553" s="3" t="s">
        <v>4451</v>
      </c>
      <c r="S1553" s="3" t="s">
        <v>4452</v>
      </c>
      <c r="T1553" s="3" t="s">
        <v>21</v>
      </c>
      <c r="U1553" s="11">
        <v>638</v>
      </c>
      <c r="V1553" s="3" t="s">
        <v>4166</v>
      </c>
      <c r="W1553" s="8" t="s">
        <v>7834</v>
      </c>
    </row>
    <row r="1554" spans="1:23" x14ac:dyDescent="0.25">
      <c r="A1554" s="2">
        <v>1051</v>
      </c>
      <c r="B1554" s="3" t="s">
        <v>4166</v>
      </c>
      <c r="C1554" s="3">
        <v>2024</v>
      </c>
      <c r="D1554" s="3" t="s">
        <v>1497</v>
      </c>
      <c r="E1554" s="3" t="s">
        <v>15</v>
      </c>
      <c r="F1554" s="1" t="s">
        <v>7834</v>
      </c>
      <c r="G1554" s="10"/>
      <c r="H1554" s="10"/>
      <c r="I1554" s="10"/>
      <c r="J1554" s="10"/>
      <c r="K1554" s="10"/>
      <c r="L1554" s="3" t="s">
        <v>4463</v>
      </c>
      <c r="M1554" s="3" t="s">
        <v>4464</v>
      </c>
      <c r="N1554" s="3" t="s">
        <v>4465</v>
      </c>
      <c r="O1554" s="3">
        <v>31</v>
      </c>
      <c r="P1554" s="3">
        <v>8</v>
      </c>
      <c r="Q1554" s="3">
        <v>1</v>
      </c>
      <c r="R1554" s="3" t="s">
        <v>4466</v>
      </c>
      <c r="S1554" s="3" t="s">
        <v>4467</v>
      </c>
      <c r="T1554" s="3" t="s">
        <v>21</v>
      </c>
      <c r="U1554" s="11">
        <v>639</v>
      </c>
      <c r="V1554" s="3" t="s">
        <v>4166</v>
      </c>
      <c r="W1554" s="8" t="s">
        <v>7834</v>
      </c>
    </row>
    <row r="1555" spans="1:23" x14ac:dyDescent="0.25">
      <c r="A1555" s="2">
        <v>1053</v>
      </c>
      <c r="B1555" s="3" t="s">
        <v>4166</v>
      </c>
      <c r="C1555" s="3">
        <v>2024</v>
      </c>
      <c r="D1555" s="3" t="s">
        <v>389</v>
      </c>
      <c r="E1555" s="3" t="s">
        <v>15</v>
      </c>
      <c r="F1555" s="1" t="s">
        <v>7834</v>
      </c>
      <c r="G1555" s="10"/>
      <c r="H1555" s="10"/>
      <c r="I1555" s="10"/>
      <c r="J1555" s="10"/>
      <c r="K1555" s="10"/>
      <c r="L1555" s="3" t="s">
        <v>4474</v>
      </c>
      <c r="M1555" s="3" t="s">
        <v>4475</v>
      </c>
      <c r="N1555" s="3" t="s">
        <v>4476</v>
      </c>
      <c r="O1555" s="3"/>
      <c r="P1555" s="3"/>
      <c r="Q1555" s="3">
        <v>1</v>
      </c>
      <c r="R1555" s="3" t="s">
        <v>4477</v>
      </c>
      <c r="S1555" s="3" t="s">
        <v>4478</v>
      </c>
      <c r="T1555" s="3" t="s">
        <v>21</v>
      </c>
      <c r="U1555" s="11">
        <v>640</v>
      </c>
      <c r="V1555" s="3" t="s">
        <v>4166</v>
      </c>
      <c r="W1555" s="8" t="s">
        <v>7834</v>
      </c>
    </row>
    <row r="1556" spans="1:23" x14ac:dyDescent="0.25">
      <c r="A1556" s="2">
        <v>1056</v>
      </c>
      <c r="B1556" s="3" t="s">
        <v>4166</v>
      </c>
      <c r="C1556" s="3">
        <v>2024</v>
      </c>
      <c r="D1556" s="3" t="s">
        <v>2712</v>
      </c>
      <c r="E1556" s="3" t="s">
        <v>15</v>
      </c>
      <c r="F1556" s="1" t="s">
        <v>7834</v>
      </c>
      <c r="G1556" s="10"/>
      <c r="H1556" s="10"/>
      <c r="I1556" s="10"/>
      <c r="J1556" s="10"/>
      <c r="K1556" s="10"/>
      <c r="L1556" s="3" t="s">
        <v>4487</v>
      </c>
      <c r="M1556" s="3" t="s">
        <v>4488</v>
      </c>
      <c r="N1556" s="3" t="s">
        <v>4489</v>
      </c>
      <c r="O1556" s="3"/>
      <c r="P1556" s="3">
        <v>46</v>
      </c>
      <c r="Q1556" s="3" t="s">
        <v>4490</v>
      </c>
      <c r="R1556" s="3" t="s">
        <v>4491</v>
      </c>
      <c r="S1556" s="3" t="s">
        <v>4492</v>
      </c>
      <c r="T1556" s="3" t="s">
        <v>21</v>
      </c>
      <c r="U1556" s="11">
        <v>641</v>
      </c>
      <c r="V1556" s="3" t="s">
        <v>4166</v>
      </c>
      <c r="W1556" s="8" t="s">
        <v>7834</v>
      </c>
    </row>
    <row r="1557" spans="1:23" x14ac:dyDescent="0.25">
      <c r="A1557" s="2">
        <v>1059</v>
      </c>
      <c r="B1557" s="3" t="s">
        <v>4166</v>
      </c>
      <c r="C1557" s="3">
        <v>2024</v>
      </c>
      <c r="D1557" s="3" t="s">
        <v>4502</v>
      </c>
      <c r="E1557" s="3" t="s">
        <v>15</v>
      </c>
      <c r="F1557" s="1" t="s">
        <v>7834</v>
      </c>
      <c r="G1557" s="10"/>
      <c r="H1557" s="10"/>
      <c r="I1557" s="10"/>
      <c r="J1557" s="10"/>
      <c r="K1557" s="10"/>
      <c r="L1557" s="3" t="s">
        <v>4503</v>
      </c>
      <c r="M1557" s="3" t="s">
        <v>4504</v>
      </c>
      <c r="N1557" s="3" t="s">
        <v>4505</v>
      </c>
      <c r="O1557" s="3"/>
      <c r="P1557" s="3"/>
      <c r="Q1557" s="3"/>
      <c r="R1557" s="3" t="s">
        <v>4506</v>
      </c>
      <c r="S1557" s="3" t="s">
        <v>4507</v>
      </c>
      <c r="T1557" s="3" t="s">
        <v>21</v>
      </c>
      <c r="U1557" s="11">
        <v>642</v>
      </c>
      <c r="V1557" s="3" t="s">
        <v>4166</v>
      </c>
      <c r="W1557" s="8" t="s">
        <v>7834</v>
      </c>
    </row>
    <row r="1558" spans="1:23" x14ac:dyDescent="0.25">
      <c r="A1558" s="2">
        <v>1062</v>
      </c>
      <c r="B1558" s="3" t="s">
        <v>4166</v>
      </c>
      <c r="C1558" s="3">
        <v>2024</v>
      </c>
      <c r="D1558" s="3" t="s">
        <v>295</v>
      </c>
      <c r="E1558" s="3" t="s">
        <v>15</v>
      </c>
      <c r="F1558" s="1" t="s">
        <v>7834</v>
      </c>
      <c r="G1558" s="10"/>
      <c r="H1558" s="10"/>
      <c r="I1558" s="10"/>
      <c r="J1558" s="10"/>
      <c r="K1558" s="10"/>
      <c r="L1558" s="3" t="s">
        <v>4518</v>
      </c>
      <c r="M1558" s="3" t="s">
        <v>4519</v>
      </c>
      <c r="N1558" s="3" t="s">
        <v>4400</v>
      </c>
      <c r="O1558" s="3">
        <v>36</v>
      </c>
      <c r="P1558" s="3" t="s">
        <v>4401</v>
      </c>
      <c r="Q1558" s="3">
        <v>98</v>
      </c>
      <c r="R1558" s="3" t="s">
        <v>4402</v>
      </c>
      <c r="S1558" s="3" t="s">
        <v>4520</v>
      </c>
      <c r="T1558" s="3" t="s">
        <v>21</v>
      </c>
      <c r="U1558" s="11">
        <v>643</v>
      </c>
      <c r="V1558" s="3" t="s">
        <v>4166</v>
      </c>
      <c r="W1558" s="8" t="s">
        <v>7834</v>
      </c>
    </row>
    <row r="1559" spans="1:23" x14ac:dyDescent="0.25">
      <c r="A1559" s="2">
        <v>1063</v>
      </c>
      <c r="B1559" s="3" t="s">
        <v>4166</v>
      </c>
      <c r="C1559" s="3">
        <v>2024</v>
      </c>
      <c r="D1559" s="3" t="s">
        <v>295</v>
      </c>
      <c r="E1559" s="3" t="s">
        <v>15</v>
      </c>
      <c r="F1559" s="1" t="s">
        <v>7834</v>
      </c>
      <c r="G1559" s="10"/>
      <c r="H1559" s="10"/>
      <c r="I1559" s="10"/>
      <c r="J1559" s="10"/>
      <c r="K1559" s="10"/>
      <c r="L1559" s="3" t="s">
        <v>4521</v>
      </c>
      <c r="M1559" s="3" t="s">
        <v>4522</v>
      </c>
      <c r="N1559" s="3" t="s">
        <v>4400</v>
      </c>
      <c r="O1559" s="3">
        <v>36</v>
      </c>
      <c r="P1559" s="3" t="s">
        <v>4401</v>
      </c>
      <c r="Q1559" s="3">
        <v>122</v>
      </c>
      <c r="R1559" s="3" t="s">
        <v>4402</v>
      </c>
      <c r="S1559" s="3" t="s">
        <v>4523</v>
      </c>
      <c r="T1559" s="3" t="s">
        <v>21</v>
      </c>
      <c r="U1559" s="11">
        <v>644</v>
      </c>
      <c r="V1559" s="3" t="s">
        <v>4166</v>
      </c>
      <c r="W1559" s="8" t="s">
        <v>7834</v>
      </c>
    </row>
    <row r="1560" spans="1:23" x14ac:dyDescent="0.25">
      <c r="A1560" s="2">
        <v>1064</v>
      </c>
      <c r="B1560" s="3" t="s">
        <v>4166</v>
      </c>
      <c r="C1560" s="3">
        <v>2024</v>
      </c>
      <c r="D1560" s="3" t="s">
        <v>295</v>
      </c>
      <c r="E1560" s="3" t="s">
        <v>15</v>
      </c>
      <c r="F1560" s="1" t="s">
        <v>7834</v>
      </c>
      <c r="G1560" s="10"/>
      <c r="H1560" s="10"/>
      <c r="I1560" s="10"/>
      <c r="J1560" s="10"/>
      <c r="K1560" s="10"/>
      <c r="L1560" s="3" t="s">
        <v>4524</v>
      </c>
      <c r="M1560" s="3" t="s">
        <v>4525</v>
      </c>
      <c r="N1560" s="3" t="s">
        <v>4400</v>
      </c>
      <c r="O1560" s="3">
        <v>36</v>
      </c>
      <c r="P1560" s="3" t="s">
        <v>4401</v>
      </c>
      <c r="Q1560" s="3">
        <v>97</v>
      </c>
      <c r="R1560" s="3" t="s">
        <v>4402</v>
      </c>
      <c r="S1560" s="3" t="s">
        <v>4526</v>
      </c>
      <c r="T1560" s="3" t="s">
        <v>21</v>
      </c>
      <c r="U1560" s="11">
        <v>645</v>
      </c>
      <c r="V1560" s="3" t="s">
        <v>4166</v>
      </c>
      <c r="W1560" s="8" t="s">
        <v>7834</v>
      </c>
    </row>
    <row r="1561" spans="1:23" x14ac:dyDescent="0.25">
      <c r="A1561" s="2">
        <v>1065</v>
      </c>
      <c r="B1561" s="3" t="s">
        <v>4166</v>
      </c>
      <c r="C1561" s="3">
        <v>2024</v>
      </c>
      <c r="D1561" s="3" t="s">
        <v>295</v>
      </c>
      <c r="E1561" s="3" t="s">
        <v>15</v>
      </c>
      <c r="F1561" s="1" t="s">
        <v>7834</v>
      </c>
      <c r="G1561" s="10"/>
      <c r="H1561" s="10"/>
      <c r="I1561" s="10"/>
      <c r="J1561" s="10"/>
      <c r="K1561" s="10"/>
      <c r="L1561" s="3" t="s">
        <v>4527</v>
      </c>
      <c r="M1561" s="3" t="s">
        <v>4528</v>
      </c>
      <c r="N1561" s="3" t="s">
        <v>4400</v>
      </c>
      <c r="O1561" s="3">
        <v>36</v>
      </c>
      <c r="P1561" s="3" t="s">
        <v>4401</v>
      </c>
      <c r="Q1561" s="3">
        <v>96</v>
      </c>
      <c r="R1561" s="3" t="s">
        <v>4402</v>
      </c>
      <c r="S1561" s="3" t="s">
        <v>4529</v>
      </c>
      <c r="T1561" s="3" t="s">
        <v>21</v>
      </c>
      <c r="U1561" s="11">
        <v>646</v>
      </c>
      <c r="V1561" s="3" t="s">
        <v>4166</v>
      </c>
      <c r="W1561" s="8" t="s">
        <v>7834</v>
      </c>
    </row>
    <row r="1562" spans="1:23" x14ac:dyDescent="0.25">
      <c r="A1562" s="2">
        <v>1066</v>
      </c>
      <c r="B1562" s="3" t="s">
        <v>4166</v>
      </c>
      <c r="C1562" s="3">
        <v>2024</v>
      </c>
      <c r="D1562" s="3" t="s">
        <v>295</v>
      </c>
      <c r="E1562" s="3" t="s">
        <v>15</v>
      </c>
      <c r="F1562" s="1" t="s">
        <v>7834</v>
      </c>
      <c r="G1562" s="10"/>
      <c r="H1562" s="10"/>
      <c r="I1562" s="10"/>
      <c r="J1562" s="10"/>
      <c r="K1562" s="10"/>
      <c r="L1562" s="3" t="s">
        <v>4530</v>
      </c>
      <c r="M1562" s="3" t="s">
        <v>4531</v>
      </c>
      <c r="N1562" s="3" t="s">
        <v>4400</v>
      </c>
      <c r="O1562" s="3">
        <v>36</v>
      </c>
      <c r="P1562" s="3" t="s">
        <v>4401</v>
      </c>
      <c r="Q1562" s="3">
        <v>53</v>
      </c>
      <c r="R1562" s="3" t="s">
        <v>4402</v>
      </c>
      <c r="S1562" s="3" t="s">
        <v>4532</v>
      </c>
      <c r="T1562" s="3" t="s">
        <v>21</v>
      </c>
      <c r="U1562" s="11">
        <v>647</v>
      </c>
      <c r="V1562" s="3" t="s">
        <v>4166</v>
      </c>
      <c r="W1562" s="8" t="s">
        <v>7834</v>
      </c>
    </row>
    <row r="1563" spans="1:23" x14ac:dyDescent="0.25">
      <c r="A1563" s="2">
        <v>1067</v>
      </c>
      <c r="B1563" s="3" t="s">
        <v>4166</v>
      </c>
      <c r="C1563" s="3">
        <v>2024</v>
      </c>
      <c r="D1563" s="3" t="s">
        <v>295</v>
      </c>
      <c r="E1563" s="3" t="s">
        <v>15</v>
      </c>
      <c r="F1563" s="1" t="s">
        <v>7834</v>
      </c>
      <c r="G1563" s="10">
        <v>47</v>
      </c>
      <c r="H1563" s="10"/>
      <c r="I1563" s="10"/>
      <c r="J1563" s="10"/>
      <c r="K1563" s="10"/>
      <c r="L1563" s="3" t="s">
        <v>4533</v>
      </c>
      <c r="M1563" s="3" t="s">
        <v>4534</v>
      </c>
      <c r="N1563" s="3" t="s">
        <v>4400</v>
      </c>
      <c r="O1563" s="3">
        <v>36</v>
      </c>
      <c r="P1563" s="3" t="s">
        <v>4401</v>
      </c>
      <c r="Q1563" s="3">
        <v>52</v>
      </c>
      <c r="R1563" s="3" t="s">
        <v>4402</v>
      </c>
      <c r="S1563" s="3" t="s">
        <v>4535</v>
      </c>
      <c r="T1563" s="3" t="s">
        <v>21</v>
      </c>
      <c r="U1563" s="11">
        <v>648</v>
      </c>
      <c r="V1563" s="3" t="s">
        <v>4166</v>
      </c>
      <c r="W1563" s="8" t="s">
        <v>7834</v>
      </c>
    </row>
    <row r="1564" spans="1:23" x14ac:dyDescent="0.25">
      <c r="A1564" s="2">
        <v>1005</v>
      </c>
      <c r="B1564" s="3" t="s">
        <v>4166</v>
      </c>
      <c r="C1564" s="3">
        <v>2024</v>
      </c>
      <c r="D1564" s="3" t="s">
        <v>4053</v>
      </c>
      <c r="E1564" s="3" t="s">
        <v>206</v>
      </c>
      <c r="F1564" s="1" t="s">
        <v>7834</v>
      </c>
      <c r="G1564" s="10"/>
      <c r="H1564" s="10"/>
      <c r="I1564" s="10"/>
      <c r="J1564" s="10"/>
      <c r="K1564" s="10"/>
      <c r="L1564" s="3" t="s">
        <v>4256</v>
      </c>
      <c r="M1564" s="3" t="s">
        <v>4257</v>
      </c>
      <c r="N1564" s="3" t="s">
        <v>4258</v>
      </c>
      <c r="O1564" s="3">
        <v>24</v>
      </c>
      <c r="P1564" s="3"/>
      <c r="Q1564" s="3">
        <v>1</v>
      </c>
      <c r="R1564" s="3" t="s">
        <v>4259</v>
      </c>
      <c r="S1564" s="3" t="s">
        <v>4260</v>
      </c>
      <c r="T1564" s="3" t="s">
        <v>21</v>
      </c>
      <c r="U1564" s="11">
        <v>649</v>
      </c>
      <c r="V1564" s="3" t="s">
        <v>4166</v>
      </c>
      <c r="W1564" s="8" t="s">
        <v>7834</v>
      </c>
    </row>
    <row r="1565" spans="1:23" x14ac:dyDescent="0.25">
      <c r="A1565" s="2">
        <v>1008</v>
      </c>
      <c r="B1565" s="3" t="s">
        <v>4166</v>
      </c>
      <c r="C1565" s="3">
        <v>2024</v>
      </c>
      <c r="D1565" s="3" t="s">
        <v>1262</v>
      </c>
      <c r="E1565" s="3" t="s">
        <v>206</v>
      </c>
      <c r="F1565" s="1" t="s">
        <v>7834</v>
      </c>
      <c r="G1565" s="10"/>
      <c r="H1565" s="10"/>
      <c r="I1565" s="10"/>
      <c r="J1565" s="10"/>
      <c r="K1565" s="10"/>
      <c r="L1565" s="3" t="s">
        <v>4271</v>
      </c>
      <c r="M1565" s="3" t="s">
        <v>4272</v>
      </c>
      <c r="N1565" s="3" t="s">
        <v>4273</v>
      </c>
      <c r="O1565" s="3"/>
      <c r="P1565" s="3"/>
      <c r="Q1565" s="3">
        <v>1</v>
      </c>
      <c r="R1565" s="3" t="s">
        <v>4274</v>
      </c>
      <c r="S1565" s="3" t="s">
        <v>4275</v>
      </c>
      <c r="T1565" s="3" t="s">
        <v>21</v>
      </c>
      <c r="U1565" s="11">
        <v>650</v>
      </c>
      <c r="V1565" s="3" t="s">
        <v>4166</v>
      </c>
      <c r="W1565" s="8" t="s">
        <v>7834</v>
      </c>
    </row>
    <row r="1566" spans="1:23" x14ac:dyDescent="0.25">
      <c r="A1566" s="2">
        <v>1070</v>
      </c>
      <c r="B1566" s="3" t="s">
        <v>4536</v>
      </c>
      <c r="C1566" s="3">
        <v>2024</v>
      </c>
      <c r="D1566" s="3" t="s">
        <v>120</v>
      </c>
      <c r="E1566" s="3" t="s">
        <v>15</v>
      </c>
      <c r="F1566" s="1" t="s">
        <v>7834</v>
      </c>
      <c r="G1566" s="10"/>
      <c r="H1566" s="10"/>
      <c r="I1566" s="10"/>
      <c r="J1566" s="10"/>
      <c r="K1566" s="10"/>
      <c r="L1566" s="3" t="s">
        <v>613</v>
      </c>
      <c r="M1566" s="3" t="s">
        <v>614</v>
      </c>
      <c r="N1566" s="3" t="s">
        <v>4546</v>
      </c>
      <c r="O1566" s="3">
        <v>33</v>
      </c>
      <c r="P1566" s="3">
        <v>4</v>
      </c>
      <c r="Q1566" s="3">
        <v>869</v>
      </c>
      <c r="R1566" s="3" t="s">
        <v>4547</v>
      </c>
      <c r="S1566" s="3" t="s">
        <v>617</v>
      </c>
      <c r="T1566" s="3" t="s">
        <v>21</v>
      </c>
      <c r="U1566" s="11">
        <v>651</v>
      </c>
      <c r="V1566" s="3" t="s">
        <v>4536</v>
      </c>
      <c r="W1566" s="8" t="s">
        <v>7834</v>
      </c>
    </row>
    <row r="1567" spans="1:23" x14ac:dyDescent="0.25">
      <c r="A1567" s="2">
        <v>1073</v>
      </c>
      <c r="B1567" s="3" t="s">
        <v>4536</v>
      </c>
      <c r="C1567" s="3">
        <v>2024</v>
      </c>
      <c r="D1567" s="3" t="s">
        <v>22</v>
      </c>
      <c r="E1567" s="3" t="s">
        <v>15</v>
      </c>
      <c r="F1567" s="1" t="s">
        <v>7834</v>
      </c>
      <c r="G1567" s="10"/>
      <c r="H1567" s="10"/>
      <c r="I1567" s="10"/>
      <c r="J1567" s="10"/>
      <c r="K1567" s="10"/>
      <c r="L1567" s="3" t="s">
        <v>4554</v>
      </c>
      <c r="M1567" s="3" t="s">
        <v>4555</v>
      </c>
      <c r="N1567" s="3" t="s">
        <v>4556</v>
      </c>
      <c r="O1567" s="3">
        <v>17</v>
      </c>
      <c r="P1567" s="3"/>
      <c r="Q1567" s="3">
        <v>31</v>
      </c>
      <c r="R1567" s="3" t="s">
        <v>4557</v>
      </c>
      <c r="S1567" s="3" t="s">
        <v>4558</v>
      </c>
      <c r="T1567" s="3" t="s">
        <v>21</v>
      </c>
      <c r="U1567" s="11">
        <v>652</v>
      </c>
      <c r="V1567" s="3" t="s">
        <v>4536</v>
      </c>
      <c r="W1567" s="8" t="s">
        <v>7834</v>
      </c>
    </row>
    <row r="1568" spans="1:23" x14ac:dyDescent="0.25">
      <c r="A1568" s="2">
        <v>1075</v>
      </c>
      <c r="B1568" s="3" t="s">
        <v>4536</v>
      </c>
      <c r="C1568" s="3">
        <v>2024</v>
      </c>
      <c r="D1568" s="3" t="s">
        <v>63</v>
      </c>
      <c r="E1568" s="3" t="s">
        <v>15</v>
      </c>
      <c r="F1568" s="1" t="s">
        <v>7834</v>
      </c>
      <c r="G1568" s="10"/>
      <c r="H1568" s="10"/>
      <c r="I1568" s="10"/>
      <c r="J1568" s="10"/>
      <c r="K1568" s="10"/>
      <c r="L1568" s="3" t="s">
        <v>4564</v>
      </c>
      <c r="M1568" s="3" t="s">
        <v>4565</v>
      </c>
      <c r="N1568" s="3" t="s">
        <v>4566</v>
      </c>
      <c r="O1568" s="3"/>
      <c r="P1568" s="3">
        <v>209</v>
      </c>
      <c r="Q1568" s="3"/>
      <c r="R1568" s="3" t="s">
        <v>4567</v>
      </c>
      <c r="S1568" s="3" t="s">
        <v>4568</v>
      </c>
      <c r="T1568" s="3" t="s">
        <v>21</v>
      </c>
      <c r="U1568" s="11">
        <v>653</v>
      </c>
      <c r="V1568" s="3" t="s">
        <v>4536</v>
      </c>
      <c r="W1568" s="8" t="s">
        <v>7834</v>
      </c>
    </row>
    <row r="1569" spans="1:23" x14ac:dyDescent="0.25">
      <c r="A1569" s="2">
        <v>1076</v>
      </c>
      <c r="B1569" s="3" t="s">
        <v>4536</v>
      </c>
      <c r="C1569" s="3">
        <v>2024</v>
      </c>
      <c r="D1569" s="3" t="s">
        <v>14</v>
      </c>
      <c r="E1569" s="3" t="s">
        <v>15</v>
      </c>
      <c r="F1569" s="1" t="s">
        <v>7834</v>
      </c>
      <c r="G1569" s="10"/>
      <c r="H1569" s="10"/>
      <c r="I1569" s="10"/>
      <c r="J1569" s="10"/>
      <c r="K1569" s="10"/>
      <c r="L1569" s="3" t="s">
        <v>4569</v>
      </c>
      <c r="M1569" s="3" t="s">
        <v>4570</v>
      </c>
      <c r="N1569" s="3" t="s">
        <v>4571</v>
      </c>
      <c r="O1569" s="3">
        <v>104</v>
      </c>
      <c r="P1569" s="3"/>
      <c r="Q1569" s="3"/>
      <c r="R1569" s="3" t="s">
        <v>4572</v>
      </c>
      <c r="S1569" s="3" t="s">
        <v>4573</v>
      </c>
      <c r="T1569" s="3" t="s">
        <v>21</v>
      </c>
      <c r="U1569" s="11">
        <v>654</v>
      </c>
      <c r="V1569" s="3" t="s">
        <v>4536</v>
      </c>
      <c r="W1569" s="8" t="s">
        <v>7834</v>
      </c>
    </row>
    <row r="1570" spans="1:23" x14ac:dyDescent="0.25">
      <c r="A1570" s="2">
        <v>1081</v>
      </c>
      <c r="B1570" s="3" t="s">
        <v>4536</v>
      </c>
      <c r="C1570" s="3">
        <v>2024</v>
      </c>
      <c r="D1570" s="3" t="s">
        <v>2332</v>
      </c>
      <c r="E1570" s="3" t="s">
        <v>15</v>
      </c>
      <c r="F1570" s="1" t="s">
        <v>7834</v>
      </c>
      <c r="G1570" s="10"/>
      <c r="H1570" s="10"/>
      <c r="I1570" s="10"/>
      <c r="J1570" s="10"/>
      <c r="K1570" s="10"/>
      <c r="L1570" s="3" t="s">
        <v>4587</v>
      </c>
      <c r="M1570" s="3" t="s">
        <v>4588</v>
      </c>
      <c r="N1570" s="3" t="s">
        <v>4589</v>
      </c>
      <c r="O1570" s="3">
        <v>28</v>
      </c>
      <c r="P1570" s="3">
        <v>2</v>
      </c>
      <c r="Q1570" s="3">
        <v>143</v>
      </c>
      <c r="R1570" s="3" t="s">
        <v>4590</v>
      </c>
      <c r="S1570" s="3" t="s">
        <v>4591</v>
      </c>
      <c r="T1570" s="3" t="s">
        <v>21</v>
      </c>
      <c r="U1570" s="11">
        <v>655</v>
      </c>
      <c r="V1570" s="3" t="s">
        <v>4536</v>
      </c>
      <c r="W1570" s="8" t="s">
        <v>7834</v>
      </c>
    </row>
    <row r="1571" spans="1:23" x14ac:dyDescent="0.25">
      <c r="A1571" s="2">
        <v>1085</v>
      </c>
      <c r="B1571" s="3" t="s">
        <v>4536</v>
      </c>
      <c r="C1571" s="3">
        <v>2024</v>
      </c>
      <c r="D1571" s="3" t="s">
        <v>1142</v>
      </c>
      <c r="E1571" s="3" t="s">
        <v>15</v>
      </c>
      <c r="F1571" s="1" t="s">
        <v>7834</v>
      </c>
      <c r="G1571" s="10"/>
      <c r="H1571" s="10"/>
      <c r="I1571" s="10"/>
      <c r="J1571" s="10"/>
      <c r="K1571" s="10"/>
      <c r="L1571" s="3" t="s">
        <v>4605</v>
      </c>
      <c r="M1571" s="3" t="s">
        <v>4606</v>
      </c>
      <c r="N1571" s="3" t="s">
        <v>4607</v>
      </c>
      <c r="O1571" s="3"/>
      <c r="P1571" s="3">
        <v>9</v>
      </c>
      <c r="Q1571" s="3">
        <v>435</v>
      </c>
      <c r="R1571" s="3" t="s">
        <v>4608</v>
      </c>
      <c r="S1571" s="3" t="s">
        <v>4609</v>
      </c>
      <c r="T1571" s="3" t="s">
        <v>21</v>
      </c>
      <c r="U1571" s="11">
        <v>656</v>
      </c>
      <c r="V1571" s="3" t="s">
        <v>4536</v>
      </c>
      <c r="W1571" s="8" t="s">
        <v>7834</v>
      </c>
    </row>
    <row r="1572" spans="1:23" x14ac:dyDescent="0.25">
      <c r="A1572" s="2">
        <v>1099</v>
      </c>
      <c r="B1572" s="3" t="s">
        <v>4536</v>
      </c>
      <c r="C1572" s="3">
        <v>2024</v>
      </c>
      <c r="D1572" s="3" t="s">
        <v>519</v>
      </c>
      <c r="E1572" s="3" t="s">
        <v>15</v>
      </c>
      <c r="F1572" s="1" t="s">
        <v>7834</v>
      </c>
      <c r="G1572" s="10"/>
      <c r="H1572" s="10"/>
      <c r="I1572" s="10"/>
      <c r="J1572" s="10"/>
      <c r="K1572" s="10"/>
      <c r="L1572" s="3" t="s">
        <v>4663</v>
      </c>
      <c r="M1572" s="3" t="s">
        <v>4664</v>
      </c>
      <c r="N1572" s="3" t="s">
        <v>4665</v>
      </c>
      <c r="O1572" s="3">
        <v>8</v>
      </c>
      <c r="P1572" s="3"/>
      <c r="Q1572" s="3"/>
      <c r="R1572" s="3" t="s">
        <v>4666</v>
      </c>
      <c r="S1572" s="3" t="s">
        <v>524</v>
      </c>
      <c r="T1572" s="3" t="s">
        <v>21</v>
      </c>
      <c r="U1572" s="11">
        <v>657</v>
      </c>
      <c r="V1572" s="3" t="s">
        <v>4536</v>
      </c>
      <c r="W1572" s="8" t="s">
        <v>7834</v>
      </c>
    </row>
    <row r="1573" spans="1:23" x14ac:dyDescent="0.25">
      <c r="A1573" s="2">
        <v>1103</v>
      </c>
      <c r="B1573" s="3" t="s">
        <v>4536</v>
      </c>
      <c r="C1573" s="3">
        <v>2024</v>
      </c>
      <c r="D1573" s="3" t="s">
        <v>702</v>
      </c>
      <c r="E1573" s="3" t="s">
        <v>15</v>
      </c>
      <c r="F1573" s="1" t="s">
        <v>7834</v>
      </c>
      <c r="G1573" s="10"/>
      <c r="H1573" s="10"/>
      <c r="I1573" s="10"/>
      <c r="J1573" s="10"/>
      <c r="K1573" s="10"/>
      <c r="L1573" s="3" t="s">
        <v>703</v>
      </c>
      <c r="M1573" s="3" t="s">
        <v>4675</v>
      </c>
      <c r="N1573" s="3" t="s">
        <v>705</v>
      </c>
      <c r="O1573" s="3">
        <v>67</v>
      </c>
      <c r="P1573" s="3">
        <v>1</v>
      </c>
      <c r="Q1573" s="3" t="s">
        <v>4676</v>
      </c>
      <c r="R1573" s="3" t="s">
        <v>4677</v>
      </c>
      <c r="S1573" s="3" t="s">
        <v>708</v>
      </c>
      <c r="T1573" s="3" t="s">
        <v>21</v>
      </c>
      <c r="U1573" s="11">
        <v>658</v>
      </c>
      <c r="V1573" s="3" t="s">
        <v>4536</v>
      </c>
      <c r="W1573" s="8" t="s">
        <v>7834</v>
      </c>
    </row>
    <row r="1574" spans="1:23" x14ac:dyDescent="0.25">
      <c r="A1574" s="2">
        <v>1112</v>
      </c>
      <c r="B1574" s="3" t="s">
        <v>4536</v>
      </c>
      <c r="C1574" s="3">
        <v>2024</v>
      </c>
      <c r="D1574" s="3" t="s">
        <v>964</v>
      </c>
      <c r="E1574" s="3" t="s">
        <v>15</v>
      </c>
      <c r="F1574" s="1" t="s">
        <v>7834</v>
      </c>
      <c r="G1574" s="10"/>
      <c r="H1574" s="10"/>
      <c r="I1574" s="10"/>
      <c r="J1574" s="10"/>
      <c r="K1574" s="10"/>
      <c r="L1574" s="3" t="s">
        <v>4703</v>
      </c>
      <c r="M1574" s="3" t="s">
        <v>4704</v>
      </c>
      <c r="N1574" s="3" t="s">
        <v>4705</v>
      </c>
      <c r="O1574" s="3">
        <v>36</v>
      </c>
      <c r="P1574" s="3"/>
      <c r="Q1574" s="3"/>
      <c r="R1574" s="3" t="s">
        <v>4706</v>
      </c>
      <c r="S1574" s="3" t="s">
        <v>4707</v>
      </c>
      <c r="T1574" s="3" t="s">
        <v>21</v>
      </c>
      <c r="U1574" s="11">
        <v>659</v>
      </c>
      <c r="V1574" s="3" t="s">
        <v>4536</v>
      </c>
      <c r="W1574" s="8" t="s">
        <v>7834</v>
      </c>
    </row>
    <row r="1575" spans="1:23" x14ac:dyDescent="0.25">
      <c r="A1575" s="2">
        <v>1130</v>
      </c>
      <c r="B1575" s="3" t="s">
        <v>4536</v>
      </c>
      <c r="C1575" s="3">
        <v>2024</v>
      </c>
      <c r="D1575" s="3" t="s">
        <v>894</v>
      </c>
      <c r="E1575" s="3" t="s">
        <v>15</v>
      </c>
      <c r="F1575" s="1" t="s">
        <v>7834</v>
      </c>
      <c r="G1575" s="10"/>
      <c r="H1575" s="10"/>
      <c r="I1575" s="10"/>
      <c r="J1575" s="10"/>
      <c r="K1575" s="10"/>
      <c r="L1575" s="3" t="s">
        <v>4766</v>
      </c>
      <c r="M1575" s="3" t="s">
        <v>4767</v>
      </c>
      <c r="N1575" s="3" t="s">
        <v>1649</v>
      </c>
      <c r="O1575" s="3">
        <v>25</v>
      </c>
      <c r="P1575" s="3">
        <v>4</v>
      </c>
      <c r="Q1575" s="3">
        <v>1992</v>
      </c>
      <c r="R1575" s="3" t="s">
        <v>4768</v>
      </c>
      <c r="S1575" s="3" t="s">
        <v>4769</v>
      </c>
      <c r="T1575" s="3" t="s">
        <v>21</v>
      </c>
      <c r="U1575" s="11">
        <v>660</v>
      </c>
      <c r="V1575" s="3" t="s">
        <v>4536</v>
      </c>
      <c r="W1575" s="8" t="s">
        <v>7834</v>
      </c>
    </row>
    <row r="1576" spans="1:23" x14ac:dyDescent="0.25">
      <c r="A1576" s="2">
        <v>1132</v>
      </c>
      <c r="B1576" s="3" t="s">
        <v>4536</v>
      </c>
      <c r="C1576" s="3">
        <v>2024</v>
      </c>
      <c r="D1576" s="3" t="s">
        <v>82</v>
      </c>
      <c r="E1576" s="3" t="s">
        <v>15</v>
      </c>
      <c r="F1576" s="1" t="s">
        <v>7834</v>
      </c>
      <c r="G1576" s="10"/>
      <c r="H1576" s="10"/>
      <c r="I1576" s="10"/>
      <c r="J1576" s="10"/>
      <c r="K1576" s="10"/>
      <c r="L1576" s="3" t="s">
        <v>650</v>
      </c>
      <c r="M1576" s="3" t="s">
        <v>4774</v>
      </c>
      <c r="N1576" s="3" t="s">
        <v>652</v>
      </c>
      <c r="O1576" s="3"/>
      <c r="P1576" s="3">
        <v>155</v>
      </c>
      <c r="Q1576" s="3"/>
      <c r="R1576" s="3" t="s">
        <v>4775</v>
      </c>
      <c r="S1576" s="3" t="s">
        <v>654</v>
      </c>
      <c r="T1576" s="3" t="s">
        <v>21</v>
      </c>
      <c r="U1576" s="11">
        <v>661</v>
      </c>
      <c r="V1576" s="3" t="s">
        <v>4536</v>
      </c>
      <c r="W1576" s="8" t="s">
        <v>7834</v>
      </c>
    </row>
    <row r="1577" spans="1:23" x14ac:dyDescent="0.25">
      <c r="A1577" s="2">
        <v>1134</v>
      </c>
      <c r="B1577" s="3" t="s">
        <v>4536</v>
      </c>
      <c r="C1577" s="3">
        <v>2024</v>
      </c>
      <c r="D1577" s="3" t="s">
        <v>38</v>
      </c>
      <c r="E1577" s="3" t="s">
        <v>15</v>
      </c>
      <c r="F1577" s="1" t="s">
        <v>7834</v>
      </c>
      <c r="G1577" s="10"/>
      <c r="H1577" s="10"/>
      <c r="I1577" s="10"/>
      <c r="J1577" s="10"/>
      <c r="K1577" s="10"/>
      <c r="L1577" s="3" t="s">
        <v>4779</v>
      </c>
      <c r="M1577" s="3" t="s">
        <v>4780</v>
      </c>
      <c r="N1577" s="3" t="s">
        <v>544</v>
      </c>
      <c r="O1577" s="3">
        <v>127</v>
      </c>
      <c r="P1577" s="3"/>
      <c r="Q1577" s="3"/>
      <c r="R1577" s="3" t="s">
        <v>545</v>
      </c>
      <c r="S1577" s="3" t="s">
        <v>4781</v>
      </c>
      <c r="T1577" s="3" t="s">
        <v>21</v>
      </c>
      <c r="U1577" s="11">
        <v>662</v>
      </c>
      <c r="V1577" s="3" t="s">
        <v>4536</v>
      </c>
      <c r="W1577" s="8" t="s">
        <v>7834</v>
      </c>
    </row>
    <row r="1578" spans="1:23" x14ac:dyDescent="0.25">
      <c r="A1578" s="2">
        <v>1138</v>
      </c>
      <c r="B1578" s="3" t="s">
        <v>4536</v>
      </c>
      <c r="C1578" s="3">
        <v>2024</v>
      </c>
      <c r="D1578" s="3" t="s">
        <v>2824</v>
      </c>
      <c r="E1578" s="3" t="s">
        <v>15</v>
      </c>
      <c r="F1578" s="1" t="s">
        <v>7834</v>
      </c>
      <c r="G1578" s="10"/>
      <c r="H1578" s="10"/>
      <c r="I1578" s="10"/>
      <c r="J1578" s="10"/>
      <c r="K1578" s="10"/>
      <c r="L1578" s="3" t="s">
        <v>4791</v>
      </c>
      <c r="M1578" s="3" t="s">
        <v>4792</v>
      </c>
      <c r="N1578" s="3" t="s">
        <v>4793</v>
      </c>
      <c r="O1578" s="3">
        <v>16</v>
      </c>
      <c r="P1578" s="3">
        <v>11</v>
      </c>
      <c r="Q1578" s="3">
        <v>1559</v>
      </c>
      <c r="R1578" s="3" t="s">
        <v>4794</v>
      </c>
      <c r="S1578" s="3" t="s">
        <v>4795</v>
      </c>
      <c r="T1578" s="3" t="s">
        <v>21</v>
      </c>
      <c r="U1578" s="11">
        <v>663</v>
      </c>
      <c r="V1578" s="3" t="s">
        <v>4536</v>
      </c>
      <c r="W1578" s="8" t="s">
        <v>7834</v>
      </c>
    </row>
    <row r="1579" spans="1:23" x14ac:dyDescent="0.25">
      <c r="A1579" s="2">
        <v>1139</v>
      </c>
      <c r="B1579" s="3" t="s">
        <v>4536</v>
      </c>
      <c r="C1579" s="3">
        <v>2024</v>
      </c>
      <c r="D1579" s="3" t="s">
        <v>75</v>
      </c>
      <c r="E1579" s="3" t="s">
        <v>15</v>
      </c>
      <c r="F1579" s="1" t="s">
        <v>7834</v>
      </c>
      <c r="G1579" s="10"/>
      <c r="H1579" s="10"/>
      <c r="I1579" s="10"/>
      <c r="J1579" s="10"/>
      <c r="K1579" s="10"/>
      <c r="L1579" s="3" t="s">
        <v>4796</v>
      </c>
      <c r="M1579" s="3" t="s">
        <v>4797</v>
      </c>
      <c r="N1579" s="3" t="s">
        <v>721</v>
      </c>
      <c r="O1579" s="3">
        <v>119</v>
      </c>
      <c r="P1579" s="3">
        <v>10</v>
      </c>
      <c r="Q1579" s="3">
        <v>1784</v>
      </c>
      <c r="R1579" s="3" t="s">
        <v>4798</v>
      </c>
      <c r="S1579" s="3" t="s">
        <v>723</v>
      </c>
      <c r="T1579" s="3" t="s">
        <v>21</v>
      </c>
      <c r="U1579" s="11">
        <v>664</v>
      </c>
      <c r="V1579" s="3" t="s">
        <v>4536</v>
      </c>
      <c r="W1579" s="8" t="s">
        <v>7834</v>
      </c>
    </row>
    <row r="1580" spans="1:23" x14ac:dyDescent="0.25">
      <c r="A1580" s="2">
        <v>1140</v>
      </c>
      <c r="B1580" s="3" t="s">
        <v>4536</v>
      </c>
      <c r="C1580" s="3">
        <v>2024</v>
      </c>
      <c r="D1580" s="3" t="s">
        <v>63</v>
      </c>
      <c r="E1580" s="3" t="s">
        <v>15</v>
      </c>
      <c r="F1580" s="1" t="s">
        <v>7834</v>
      </c>
      <c r="G1580" s="10"/>
      <c r="H1580" s="10"/>
      <c r="I1580" s="10"/>
      <c r="J1580" s="10"/>
      <c r="K1580" s="10"/>
      <c r="L1580" s="3" t="s">
        <v>4799</v>
      </c>
      <c r="M1580" s="3" t="s">
        <v>4800</v>
      </c>
      <c r="N1580" s="3" t="s">
        <v>4801</v>
      </c>
      <c r="O1580" s="3">
        <v>333</v>
      </c>
      <c r="P1580" s="3"/>
      <c r="Q1580" s="3"/>
      <c r="R1580" s="3" t="s">
        <v>4802</v>
      </c>
      <c r="S1580" s="3" t="s">
        <v>4803</v>
      </c>
      <c r="T1580" s="3" t="s">
        <v>21</v>
      </c>
      <c r="U1580" s="11">
        <v>665</v>
      </c>
      <c r="V1580" s="3" t="s">
        <v>4536</v>
      </c>
      <c r="W1580" s="8" t="s">
        <v>7834</v>
      </c>
    </row>
    <row r="1581" spans="1:23" x14ac:dyDescent="0.25">
      <c r="A1581" s="2">
        <v>1141</v>
      </c>
      <c r="B1581" s="3" t="s">
        <v>4536</v>
      </c>
      <c r="C1581" s="3">
        <v>2024</v>
      </c>
      <c r="D1581" s="3" t="s">
        <v>513</v>
      </c>
      <c r="E1581" s="3" t="s">
        <v>15</v>
      </c>
      <c r="F1581" s="1" t="s">
        <v>7834</v>
      </c>
      <c r="G1581" s="10"/>
      <c r="H1581" s="10"/>
      <c r="I1581" s="10"/>
      <c r="J1581" s="10"/>
      <c r="K1581" s="10"/>
      <c r="L1581" s="3" t="s">
        <v>4804</v>
      </c>
      <c r="M1581" s="3" t="s">
        <v>4805</v>
      </c>
      <c r="N1581" s="3" t="s">
        <v>516</v>
      </c>
      <c r="O1581" s="3">
        <v>361</v>
      </c>
      <c r="P1581" s="3"/>
      <c r="Q1581" s="3">
        <v>674</v>
      </c>
      <c r="R1581" s="3" t="s">
        <v>4806</v>
      </c>
      <c r="S1581" s="3" t="s">
        <v>518</v>
      </c>
      <c r="T1581" s="3" t="s">
        <v>21</v>
      </c>
      <c r="U1581" s="11">
        <v>666</v>
      </c>
      <c r="V1581" s="3" t="s">
        <v>4536</v>
      </c>
      <c r="W1581" s="8" t="s">
        <v>7834</v>
      </c>
    </row>
    <row r="1582" spans="1:23" x14ac:dyDescent="0.25">
      <c r="A1582" s="2">
        <v>1142</v>
      </c>
      <c r="B1582" s="3" t="s">
        <v>4536</v>
      </c>
      <c r="C1582" s="3">
        <v>2024</v>
      </c>
      <c r="D1582" s="3" t="s">
        <v>395</v>
      </c>
      <c r="E1582" s="3" t="s">
        <v>15</v>
      </c>
      <c r="F1582" s="1" t="s">
        <v>7834</v>
      </c>
      <c r="G1582" s="10"/>
      <c r="H1582" s="10"/>
      <c r="I1582" s="10"/>
      <c r="J1582" s="10"/>
      <c r="K1582" s="10"/>
      <c r="L1582" s="3" t="s">
        <v>4807</v>
      </c>
      <c r="M1582" s="3" t="s">
        <v>4808</v>
      </c>
      <c r="N1582" s="3" t="s">
        <v>688</v>
      </c>
      <c r="O1582" s="3"/>
      <c r="P1582" s="3"/>
      <c r="Q1582" s="3"/>
      <c r="R1582" s="3" t="s">
        <v>4809</v>
      </c>
      <c r="S1582" s="3" t="s">
        <v>690</v>
      </c>
      <c r="T1582" s="3" t="s">
        <v>21</v>
      </c>
      <c r="U1582" s="11">
        <v>667</v>
      </c>
      <c r="V1582" s="3" t="s">
        <v>4536</v>
      </c>
      <c r="W1582" s="8" t="s">
        <v>7834</v>
      </c>
    </row>
    <row r="1583" spans="1:23" x14ac:dyDescent="0.25">
      <c r="A1583" s="2">
        <v>1144</v>
      </c>
      <c r="B1583" s="3" t="s">
        <v>4536</v>
      </c>
      <c r="C1583" s="3">
        <v>2024</v>
      </c>
      <c r="D1583" s="3" t="s">
        <v>579</v>
      </c>
      <c r="E1583" s="3" t="s">
        <v>15</v>
      </c>
      <c r="F1583" s="1" t="s">
        <v>7834</v>
      </c>
      <c r="G1583" s="10"/>
      <c r="H1583" s="10"/>
      <c r="I1583" s="10"/>
      <c r="J1583" s="10"/>
      <c r="K1583" s="10"/>
      <c r="L1583" s="3" t="s">
        <v>4815</v>
      </c>
      <c r="M1583" s="3" t="s">
        <v>4816</v>
      </c>
      <c r="N1583" s="3" t="s">
        <v>582</v>
      </c>
      <c r="O1583" s="3"/>
      <c r="P1583" s="3"/>
      <c r="Q1583" s="3"/>
      <c r="R1583" s="3" t="s">
        <v>4817</v>
      </c>
      <c r="S1583" s="3" t="s">
        <v>4818</v>
      </c>
      <c r="T1583" s="3" t="s">
        <v>21</v>
      </c>
      <c r="U1583" s="11">
        <v>668</v>
      </c>
      <c r="V1583" s="3" t="s">
        <v>4536</v>
      </c>
      <c r="W1583" s="8" t="s">
        <v>7834</v>
      </c>
    </row>
    <row r="1584" spans="1:23" x14ac:dyDescent="0.25">
      <c r="A1584" s="2">
        <v>1147</v>
      </c>
      <c r="B1584" s="3" t="s">
        <v>4536</v>
      </c>
      <c r="C1584" s="3">
        <v>2024</v>
      </c>
      <c r="D1584" s="3" t="s">
        <v>38</v>
      </c>
      <c r="E1584" s="3" t="s">
        <v>15</v>
      </c>
      <c r="F1584" s="1" t="s">
        <v>7834</v>
      </c>
      <c r="G1584" s="10"/>
      <c r="H1584" s="10"/>
      <c r="I1584" s="10"/>
      <c r="J1584" s="10"/>
      <c r="K1584" s="10"/>
      <c r="L1584" s="3" t="s">
        <v>4824</v>
      </c>
      <c r="M1584" s="3" t="s">
        <v>4825</v>
      </c>
      <c r="N1584" s="3" t="s">
        <v>516</v>
      </c>
      <c r="O1584" s="3">
        <v>352</v>
      </c>
      <c r="P1584" s="3"/>
      <c r="Q1584" s="3">
        <v>536</v>
      </c>
      <c r="R1584" s="3" t="s">
        <v>4826</v>
      </c>
      <c r="S1584" s="3" t="s">
        <v>4827</v>
      </c>
      <c r="T1584" s="3" t="s">
        <v>21</v>
      </c>
      <c r="U1584" s="11">
        <v>669</v>
      </c>
      <c r="V1584" s="3" t="s">
        <v>4536</v>
      </c>
      <c r="W1584" s="8" t="s">
        <v>7834</v>
      </c>
    </row>
    <row r="1585" spans="1:23" x14ac:dyDescent="0.25">
      <c r="A1585" s="2">
        <v>1149</v>
      </c>
      <c r="B1585" s="3" t="s">
        <v>4536</v>
      </c>
      <c r="C1585" s="3">
        <v>2024</v>
      </c>
      <c r="D1585" s="3" t="s">
        <v>709</v>
      </c>
      <c r="E1585" s="3" t="s">
        <v>15</v>
      </c>
      <c r="F1585" s="1" t="s">
        <v>7834</v>
      </c>
      <c r="G1585" s="10"/>
      <c r="H1585" s="10"/>
      <c r="I1585" s="10"/>
      <c r="J1585" s="10"/>
      <c r="K1585" s="10"/>
      <c r="L1585" s="3" t="s">
        <v>710</v>
      </c>
      <c r="M1585" s="3" t="s">
        <v>4833</v>
      </c>
      <c r="N1585" s="3" t="s">
        <v>4834</v>
      </c>
      <c r="O1585" s="3">
        <v>59</v>
      </c>
      <c r="P1585" s="3"/>
      <c r="Q1585" s="3">
        <v>1</v>
      </c>
      <c r="R1585" s="3" t="s">
        <v>4835</v>
      </c>
      <c r="S1585" s="3" t="s">
        <v>712</v>
      </c>
      <c r="T1585" s="3" t="s">
        <v>21</v>
      </c>
      <c r="U1585" s="11">
        <v>670</v>
      </c>
      <c r="V1585" s="3" t="s">
        <v>4536</v>
      </c>
      <c r="W1585" s="8" t="s">
        <v>7834</v>
      </c>
    </row>
    <row r="1586" spans="1:23" x14ac:dyDescent="0.25">
      <c r="A1586" s="2">
        <v>1153</v>
      </c>
      <c r="B1586" s="3" t="s">
        <v>4536</v>
      </c>
      <c r="C1586" s="3">
        <v>2024</v>
      </c>
      <c r="D1586" s="3" t="s">
        <v>389</v>
      </c>
      <c r="E1586" s="3" t="s">
        <v>15</v>
      </c>
      <c r="F1586" s="1" t="s">
        <v>7834</v>
      </c>
      <c r="G1586" s="10"/>
      <c r="H1586" s="10"/>
      <c r="I1586" s="10"/>
      <c r="J1586" s="10"/>
      <c r="K1586" s="10"/>
      <c r="L1586" s="3" t="s">
        <v>4842</v>
      </c>
      <c r="M1586" s="3" t="s">
        <v>543</v>
      </c>
      <c r="N1586" s="3" t="s">
        <v>544</v>
      </c>
      <c r="O1586" s="3">
        <v>129</v>
      </c>
      <c r="P1586" s="3"/>
      <c r="Q1586" s="3"/>
      <c r="R1586" s="3" t="s">
        <v>4843</v>
      </c>
      <c r="S1586" s="3" t="s">
        <v>546</v>
      </c>
      <c r="T1586" s="3" t="s">
        <v>21</v>
      </c>
      <c r="U1586" s="11">
        <v>671</v>
      </c>
      <c r="V1586" s="3" t="s">
        <v>4536</v>
      </c>
      <c r="W1586" s="8" t="s">
        <v>7834</v>
      </c>
    </row>
    <row r="1587" spans="1:23" x14ac:dyDescent="0.25">
      <c r="A1587" s="2">
        <v>1163</v>
      </c>
      <c r="B1587" s="3" t="s">
        <v>4536</v>
      </c>
      <c r="C1587" s="3">
        <v>2024</v>
      </c>
      <c r="D1587" s="3" t="s">
        <v>573</v>
      </c>
      <c r="E1587" s="3" t="s">
        <v>15</v>
      </c>
      <c r="F1587" s="1" t="s">
        <v>7834</v>
      </c>
      <c r="G1587" s="10"/>
      <c r="H1587" s="10"/>
      <c r="I1587" s="10"/>
      <c r="J1587" s="10"/>
      <c r="K1587" s="10"/>
      <c r="L1587" s="3" t="s">
        <v>4881</v>
      </c>
      <c r="M1587" s="3" t="s">
        <v>4882</v>
      </c>
      <c r="N1587" s="3" t="s">
        <v>4834</v>
      </c>
      <c r="O1587" s="3"/>
      <c r="P1587" s="3"/>
      <c r="Q1587" s="3"/>
      <c r="R1587" s="3" t="s">
        <v>4835</v>
      </c>
      <c r="S1587" s="3" t="s">
        <v>589</v>
      </c>
      <c r="T1587" s="3" t="s">
        <v>21</v>
      </c>
      <c r="U1587" s="11">
        <v>672</v>
      </c>
      <c r="V1587" s="3" t="s">
        <v>4536</v>
      </c>
      <c r="W1587" s="8" t="s">
        <v>7834</v>
      </c>
    </row>
    <row r="1588" spans="1:23" x14ac:dyDescent="0.25">
      <c r="A1588" s="2">
        <v>1164</v>
      </c>
      <c r="B1588" s="3" t="s">
        <v>4536</v>
      </c>
      <c r="C1588" s="3">
        <v>2024</v>
      </c>
      <c r="D1588" s="3" t="s">
        <v>14</v>
      </c>
      <c r="E1588" s="3" t="s">
        <v>15</v>
      </c>
      <c r="F1588" s="1" t="s">
        <v>7834</v>
      </c>
      <c r="G1588" s="10"/>
      <c r="H1588" s="10"/>
      <c r="I1588" s="10"/>
      <c r="J1588" s="10"/>
      <c r="K1588" s="10"/>
      <c r="L1588" s="3" t="s">
        <v>4883</v>
      </c>
      <c r="M1588" s="3" t="s">
        <v>4884</v>
      </c>
      <c r="N1588" s="3" t="s">
        <v>4885</v>
      </c>
      <c r="O1588" s="3"/>
      <c r="P1588" s="3"/>
      <c r="Q1588" s="3">
        <v>1</v>
      </c>
      <c r="R1588" s="3" t="s">
        <v>4886</v>
      </c>
      <c r="S1588" s="3" t="s">
        <v>4887</v>
      </c>
      <c r="T1588" s="3" t="s">
        <v>21</v>
      </c>
      <c r="U1588" s="11">
        <v>673</v>
      </c>
      <c r="V1588" s="3" t="s">
        <v>4536</v>
      </c>
      <c r="W1588" s="8" t="s">
        <v>7834</v>
      </c>
    </row>
    <row r="1589" spans="1:23" x14ac:dyDescent="0.25">
      <c r="A1589" s="2">
        <v>1175</v>
      </c>
      <c r="B1589" s="3" t="s">
        <v>4536</v>
      </c>
      <c r="C1589" s="3">
        <v>2024</v>
      </c>
      <c r="D1589" s="3" t="s">
        <v>502</v>
      </c>
      <c r="E1589" s="3" t="s">
        <v>15</v>
      </c>
      <c r="F1589" s="1" t="s">
        <v>7834</v>
      </c>
      <c r="G1589" s="10"/>
      <c r="H1589" s="10"/>
      <c r="I1589" s="10"/>
      <c r="J1589" s="10"/>
      <c r="K1589" s="10"/>
      <c r="L1589" s="3" t="s">
        <v>4923</v>
      </c>
      <c r="M1589" s="3" t="s">
        <v>504</v>
      </c>
      <c r="N1589" s="3" t="s">
        <v>4924</v>
      </c>
      <c r="O1589" s="3">
        <v>204</v>
      </c>
      <c r="P1589" s="3">
        <v>85</v>
      </c>
      <c r="Q1589" s="3"/>
      <c r="R1589" s="3" t="s">
        <v>506</v>
      </c>
      <c r="S1589" s="3" t="s">
        <v>4925</v>
      </c>
      <c r="T1589" s="3" t="s">
        <v>21</v>
      </c>
      <c r="U1589" s="11">
        <v>674</v>
      </c>
      <c r="V1589" s="3" t="s">
        <v>4536</v>
      </c>
      <c r="W1589" s="8" t="s">
        <v>7834</v>
      </c>
    </row>
    <row r="1590" spans="1:23" x14ac:dyDescent="0.25">
      <c r="A1590" s="2">
        <v>1176</v>
      </c>
      <c r="B1590" s="3" t="s">
        <v>4536</v>
      </c>
      <c r="C1590" s="3">
        <v>2024</v>
      </c>
      <c r="D1590" s="3" t="s">
        <v>627</v>
      </c>
      <c r="E1590" s="3" t="s">
        <v>15</v>
      </c>
      <c r="F1590" s="1" t="s">
        <v>7834</v>
      </c>
      <c r="G1590" s="10"/>
      <c r="H1590" s="10"/>
      <c r="I1590" s="10"/>
      <c r="J1590" s="10"/>
      <c r="K1590" s="10"/>
      <c r="L1590" s="3" t="s">
        <v>4926</v>
      </c>
      <c r="M1590" s="3" t="s">
        <v>4927</v>
      </c>
      <c r="N1590" s="3" t="s">
        <v>4928</v>
      </c>
      <c r="O1590" s="3"/>
      <c r="P1590" s="3"/>
      <c r="Q1590" s="3"/>
      <c r="R1590" s="3" t="s">
        <v>4929</v>
      </c>
      <c r="S1590" s="3" t="s">
        <v>4930</v>
      </c>
      <c r="T1590" s="3" t="s">
        <v>21</v>
      </c>
      <c r="U1590" s="11">
        <v>675</v>
      </c>
      <c r="V1590" s="3" t="s">
        <v>4536</v>
      </c>
      <c r="W1590" s="8" t="s">
        <v>7834</v>
      </c>
    </row>
    <row r="1591" spans="1:23" x14ac:dyDescent="0.25">
      <c r="A1591" s="2">
        <v>1179</v>
      </c>
      <c r="B1591" s="3" t="s">
        <v>4536</v>
      </c>
      <c r="C1591" s="3">
        <v>2024</v>
      </c>
      <c r="D1591" s="3" t="s">
        <v>3959</v>
      </c>
      <c r="E1591" s="3" t="s">
        <v>15</v>
      </c>
      <c r="F1591" s="1" t="s">
        <v>7834</v>
      </c>
      <c r="G1591" s="10"/>
      <c r="H1591" s="10"/>
      <c r="I1591" s="10"/>
      <c r="J1591" s="10"/>
      <c r="K1591" s="10"/>
      <c r="L1591" s="3" t="s">
        <v>4939</v>
      </c>
      <c r="M1591" s="3" t="s">
        <v>4940</v>
      </c>
      <c r="N1591" s="3" t="s">
        <v>4941</v>
      </c>
      <c r="O1591" s="3">
        <v>19</v>
      </c>
      <c r="P1591" s="3">
        <v>3</v>
      </c>
      <c r="Q1591" s="3" t="s">
        <v>4942</v>
      </c>
      <c r="R1591" s="3" t="s">
        <v>4943</v>
      </c>
      <c r="S1591" s="3" t="s">
        <v>4944</v>
      </c>
      <c r="T1591" s="3" t="s">
        <v>21</v>
      </c>
      <c r="U1591" s="11">
        <v>676</v>
      </c>
      <c r="V1591" s="3" t="s">
        <v>4536</v>
      </c>
      <c r="W1591" s="8" t="s">
        <v>7834</v>
      </c>
    </row>
    <row r="1592" spans="1:23" x14ac:dyDescent="0.25">
      <c r="A1592" s="2">
        <v>1189</v>
      </c>
      <c r="B1592" s="3" t="s">
        <v>4536</v>
      </c>
      <c r="C1592" s="3">
        <v>2024</v>
      </c>
      <c r="D1592" s="3" t="s">
        <v>316</v>
      </c>
      <c r="E1592" s="3" t="s">
        <v>15</v>
      </c>
      <c r="F1592" s="1" t="s">
        <v>7834</v>
      </c>
      <c r="G1592" s="10">
        <v>68</v>
      </c>
      <c r="H1592" s="10"/>
      <c r="I1592" s="10"/>
      <c r="J1592" s="10"/>
      <c r="K1592" s="10"/>
      <c r="L1592" s="3" t="s">
        <v>4982</v>
      </c>
      <c r="M1592" s="3" t="s">
        <v>4983</v>
      </c>
      <c r="N1592" s="3" t="s">
        <v>4984</v>
      </c>
      <c r="O1592" s="3">
        <v>17</v>
      </c>
      <c r="P1592" s="3">
        <v>31</v>
      </c>
      <c r="Q1592" s="3"/>
      <c r="R1592" s="3" t="s">
        <v>611</v>
      </c>
      <c r="S1592" s="3" t="s">
        <v>4985</v>
      </c>
      <c r="T1592" s="3" t="s">
        <v>21</v>
      </c>
      <c r="U1592" s="11">
        <v>677</v>
      </c>
      <c r="V1592" s="3" t="s">
        <v>4536</v>
      </c>
      <c r="W1592" s="8" t="s">
        <v>7834</v>
      </c>
    </row>
    <row r="1593" spans="1:23" x14ac:dyDescent="0.25">
      <c r="A1593" s="2">
        <v>1094</v>
      </c>
      <c r="B1593" s="3" t="s">
        <v>4536</v>
      </c>
      <c r="C1593" s="3">
        <v>2024</v>
      </c>
      <c r="D1593" s="3" t="s">
        <v>38</v>
      </c>
      <c r="E1593" s="3" t="s">
        <v>206</v>
      </c>
      <c r="F1593" s="1" t="s">
        <v>7834</v>
      </c>
      <c r="G1593" s="10"/>
      <c r="H1593" s="10"/>
      <c r="I1593" s="10"/>
      <c r="J1593" s="10"/>
      <c r="K1593" s="10"/>
      <c r="L1593" s="3" t="s">
        <v>4353</v>
      </c>
      <c r="M1593" s="3" t="s">
        <v>4646</v>
      </c>
      <c r="N1593" s="3" t="s">
        <v>4355</v>
      </c>
      <c r="O1593" s="3">
        <v>33</v>
      </c>
      <c r="P1593" s="3"/>
      <c r="Q1593" s="3"/>
      <c r="R1593" s="3" t="s">
        <v>1879</v>
      </c>
      <c r="S1593" s="3" t="s">
        <v>4356</v>
      </c>
      <c r="T1593" s="3" t="s">
        <v>21</v>
      </c>
      <c r="U1593" s="11">
        <v>678</v>
      </c>
      <c r="V1593" s="3" t="s">
        <v>4536</v>
      </c>
      <c r="W1593" s="8" t="s">
        <v>7834</v>
      </c>
    </row>
    <row r="1594" spans="1:23" x14ac:dyDescent="0.25">
      <c r="A1594" s="2">
        <v>1146</v>
      </c>
      <c r="B1594" s="3" t="s">
        <v>4536</v>
      </c>
      <c r="C1594" s="3">
        <v>2024</v>
      </c>
      <c r="D1594" s="3" t="s">
        <v>93</v>
      </c>
      <c r="E1594" s="3" t="s">
        <v>206</v>
      </c>
      <c r="F1594" s="1" t="s">
        <v>7834</v>
      </c>
      <c r="G1594" s="10"/>
      <c r="H1594" s="10"/>
      <c r="I1594" s="10"/>
      <c r="J1594" s="10"/>
      <c r="K1594" s="10"/>
      <c r="L1594" s="3" t="s">
        <v>4820</v>
      </c>
      <c r="M1594" s="3" t="s">
        <v>4821</v>
      </c>
      <c r="N1594" s="3" t="s">
        <v>4822</v>
      </c>
      <c r="O1594" s="3"/>
      <c r="P1594" s="3"/>
      <c r="Q1594" s="3"/>
      <c r="R1594" s="3" t="s">
        <v>555</v>
      </c>
      <c r="S1594" s="3" t="s">
        <v>4823</v>
      </c>
      <c r="T1594" s="3" t="s">
        <v>21</v>
      </c>
      <c r="U1594" s="11">
        <v>679</v>
      </c>
      <c r="V1594" s="3" t="s">
        <v>4536</v>
      </c>
      <c r="W1594" s="8" t="s">
        <v>7834</v>
      </c>
    </row>
    <row r="1595" spans="1:23" x14ac:dyDescent="0.25">
      <c r="A1595" s="2">
        <v>1191</v>
      </c>
      <c r="B1595" s="3" t="s">
        <v>4986</v>
      </c>
      <c r="C1595" s="3">
        <v>2024</v>
      </c>
      <c r="D1595" s="3" t="s">
        <v>86</v>
      </c>
      <c r="E1595" s="3" t="s">
        <v>15</v>
      </c>
      <c r="F1595" s="1" t="s">
        <v>7834</v>
      </c>
      <c r="G1595" s="10"/>
      <c r="H1595" s="10"/>
      <c r="I1595" s="10"/>
      <c r="J1595" s="10"/>
      <c r="K1595" s="10"/>
      <c r="L1595" s="3" t="s">
        <v>468</v>
      </c>
      <c r="M1595" s="3" t="s">
        <v>469</v>
      </c>
      <c r="N1595" s="3" t="s">
        <v>470</v>
      </c>
      <c r="O1595" s="3"/>
      <c r="P1595" s="3"/>
      <c r="Q1595" s="3"/>
      <c r="R1595" s="3" t="s">
        <v>471</v>
      </c>
      <c r="S1595" s="3" t="s">
        <v>472</v>
      </c>
      <c r="T1595" s="3" t="s">
        <v>21</v>
      </c>
      <c r="U1595" s="11">
        <v>680</v>
      </c>
      <c r="V1595" s="3" t="s">
        <v>4986</v>
      </c>
      <c r="W1595" s="8" t="s">
        <v>7834</v>
      </c>
    </row>
    <row r="1596" spans="1:23" x14ac:dyDescent="0.25">
      <c r="A1596" s="2">
        <v>1192</v>
      </c>
      <c r="B1596" s="3" t="s">
        <v>4986</v>
      </c>
      <c r="C1596" s="3">
        <v>2024</v>
      </c>
      <c r="D1596" s="3" t="s">
        <v>484</v>
      </c>
      <c r="E1596" s="3" t="s">
        <v>15</v>
      </c>
      <c r="F1596" s="1" t="s">
        <v>7834</v>
      </c>
      <c r="G1596" s="10"/>
      <c r="H1596" s="10"/>
      <c r="I1596" s="10"/>
      <c r="J1596" s="10"/>
      <c r="K1596" s="10"/>
      <c r="L1596" s="3" t="s">
        <v>485</v>
      </c>
      <c r="M1596" s="3" t="s">
        <v>486</v>
      </c>
      <c r="N1596" s="3" t="s">
        <v>487</v>
      </c>
      <c r="O1596" s="3"/>
      <c r="P1596" s="3"/>
      <c r="Q1596" s="3"/>
      <c r="R1596" s="3" t="s">
        <v>488</v>
      </c>
      <c r="S1596" s="3" t="s">
        <v>489</v>
      </c>
      <c r="T1596" s="3" t="s">
        <v>21</v>
      </c>
      <c r="U1596" s="11">
        <v>681</v>
      </c>
      <c r="V1596" s="3" t="s">
        <v>4986</v>
      </c>
      <c r="W1596" s="8" t="s">
        <v>7834</v>
      </c>
    </row>
    <row r="1597" spans="1:23" x14ac:dyDescent="0.25">
      <c r="A1597" s="2">
        <v>1193</v>
      </c>
      <c r="B1597" s="3" t="s">
        <v>4986</v>
      </c>
      <c r="C1597" s="3">
        <v>2024</v>
      </c>
      <c r="D1597" s="3" t="s">
        <v>409</v>
      </c>
      <c r="E1597" s="3" t="s">
        <v>15</v>
      </c>
      <c r="F1597" s="1" t="s">
        <v>7834</v>
      </c>
      <c r="G1597" s="10"/>
      <c r="H1597" s="10"/>
      <c r="I1597" s="10"/>
      <c r="J1597" s="10"/>
      <c r="K1597" s="10"/>
      <c r="L1597" s="3" t="s">
        <v>410</v>
      </c>
      <c r="M1597" s="3" t="s">
        <v>411</v>
      </c>
      <c r="N1597" s="3" t="s">
        <v>412</v>
      </c>
      <c r="O1597" s="3"/>
      <c r="P1597" s="3"/>
      <c r="Q1597" s="3"/>
      <c r="R1597" s="3" t="s">
        <v>4987</v>
      </c>
      <c r="S1597" s="3" t="s">
        <v>414</v>
      </c>
      <c r="T1597" s="3" t="s">
        <v>21</v>
      </c>
      <c r="U1597" s="11">
        <v>682</v>
      </c>
      <c r="V1597" s="3" t="s">
        <v>4986</v>
      </c>
      <c r="W1597" s="8" t="s">
        <v>7834</v>
      </c>
    </row>
    <row r="1598" spans="1:23" x14ac:dyDescent="0.25">
      <c r="A1598" s="2">
        <v>1194</v>
      </c>
      <c r="B1598" s="3" t="s">
        <v>4986</v>
      </c>
      <c r="C1598" s="3">
        <v>2024</v>
      </c>
      <c r="D1598" s="3" t="s">
        <v>415</v>
      </c>
      <c r="E1598" s="3" t="s">
        <v>15</v>
      </c>
      <c r="F1598" s="1" t="s">
        <v>7834</v>
      </c>
      <c r="G1598" s="10"/>
      <c r="H1598" s="10"/>
      <c r="I1598" s="10"/>
      <c r="J1598" s="10"/>
      <c r="K1598" s="10"/>
      <c r="L1598" s="3" t="s">
        <v>416</v>
      </c>
      <c r="M1598" s="3" t="s">
        <v>417</v>
      </c>
      <c r="N1598" s="3" t="s">
        <v>418</v>
      </c>
      <c r="O1598" s="3"/>
      <c r="P1598" s="3"/>
      <c r="Q1598" s="3"/>
      <c r="R1598" s="3" t="s">
        <v>4988</v>
      </c>
      <c r="S1598" s="3" t="s">
        <v>419</v>
      </c>
      <c r="T1598" s="3" t="s">
        <v>21</v>
      </c>
      <c r="U1598" s="11">
        <v>683</v>
      </c>
      <c r="V1598" s="3" t="s">
        <v>4986</v>
      </c>
      <c r="W1598" s="8" t="s">
        <v>7834</v>
      </c>
    </row>
    <row r="1599" spans="1:23" x14ac:dyDescent="0.25">
      <c r="A1599" s="2">
        <v>1195</v>
      </c>
      <c r="B1599" s="3" t="s">
        <v>4986</v>
      </c>
      <c r="C1599" s="3">
        <v>2024</v>
      </c>
      <c r="D1599" s="3" t="s">
        <v>86</v>
      </c>
      <c r="E1599" s="3" t="s">
        <v>15</v>
      </c>
      <c r="F1599" s="1" t="s">
        <v>7834</v>
      </c>
      <c r="G1599" s="10"/>
      <c r="H1599" s="10"/>
      <c r="I1599" s="10"/>
      <c r="J1599" s="10"/>
      <c r="K1599" s="10"/>
      <c r="L1599" s="3" t="s">
        <v>453</v>
      </c>
      <c r="M1599" s="3" t="s">
        <v>454</v>
      </c>
      <c r="N1599" s="3" t="s">
        <v>455</v>
      </c>
      <c r="O1599" s="3"/>
      <c r="P1599" s="3"/>
      <c r="Q1599" s="3"/>
      <c r="R1599" s="3" t="s">
        <v>4989</v>
      </c>
      <c r="S1599" s="3" t="s">
        <v>457</v>
      </c>
      <c r="T1599" s="3" t="s">
        <v>21</v>
      </c>
      <c r="U1599" s="11">
        <v>684</v>
      </c>
      <c r="V1599" s="3" t="s">
        <v>4986</v>
      </c>
      <c r="W1599" s="8" t="s">
        <v>7834</v>
      </c>
    </row>
    <row r="1600" spans="1:23" x14ac:dyDescent="0.25">
      <c r="A1600" s="2">
        <v>1196</v>
      </c>
      <c r="B1600" s="3" t="s">
        <v>4986</v>
      </c>
      <c r="C1600" s="3">
        <v>2024</v>
      </c>
      <c r="D1600" s="3" t="s">
        <v>4990</v>
      </c>
      <c r="E1600" s="3" t="s">
        <v>15</v>
      </c>
      <c r="F1600" s="1" t="s">
        <v>7834</v>
      </c>
      <c r="G1600" s="10"/>
      <c r="H1600" s="10"/>
      <c r="I1600" s="10"/>
      <c r="J1600" s="10"/>
      <c r="K1600" s="10"/>
      <c r="L1600" s="3" t="s">
        <v>420</v>
      </c>
      <c r="M1600" s="3" t="s">
        <v>421</v>
      </c>
      <c r="N1600" s="3" t="s">
        <v>422</v>
      </c>
      <c r="O1600" s="3"/>
      <c r="P1600" s="3"/>
      <c r="Q1600" s="3"/>
      <c r="R1600" s="3" t="s">
        <v>423</v>
      </c>
      <c r="S1600" s="3" t="s">
        <v>424</v>
      </c>
      <c r="T1600" s="3" t="s">
        <v>21</v>
      </c>
      <c r="U1600" s="11">
        <v>685</v>
      </c>
      <c r="V1600" s="3" t="s">
        <v>4986</v>
      </c>
      <c r="W1600" s="8" t="s">
        <v>7834</v>
      </c>
    </row>
    <row r="1601" spans="1:23" x14ac:dyDescent="0.25">
      <c r="A1601" s="2">
        <v>1197</v>
      </c>
      <c r="B1601" s="3" t="s">
        <v>4986</v>
      </c>
      <c r="C1601" s="3">
        <v>2024</v>
      </c>
      <c r="D1601" s="3" t="s">
        <v>2531</v>
      </c>
      <c r="E1601" s="3" t="s">
        <v>15</v>
      </c>
      <c r="F1601" s="1" t="s">
        <v>7834</v>
      </c>
      <c r="G1601" s="10"/>
      <c r="H1601" s="10"/>
      <c r="I1601" s="10"/>
      <c r="J1601" s="10"/>
      <c r="K1601" s="10"/>
      <c r="L1601" s="3" t="s">
        <v>4991</v>
      </c>
      <c r="M1601" s="3" t="s">
        <v>4992</v>
      </c>
      <c r="N1601" s="3" t="s">
        <v>4993</v>
      </c>
      <c r="O1601" s="3"/>
      <c r="P1601" s="3"/>
      <c r="Q1601" s="3"/>
      <c r="R1601" s="3" t="s">
        <v>4994</v>
      </c>
      <c r="S1601" s="3" t="s">
        <v>4995</v>
      </c>
      <c r="T1601" s="3" t="s">
        <v>21</v>
      </c>
      <c r="U1601" s="11">
        <v>686</v>
      </c>
      <c r="V1601" s="3" t="s">
        <v>4986</v>
      </c>
      <c r="W1601" s="8" t="s">
        <v>7834</v>
      </c>
    </row>
    <row r="1602" spans="1:23" x14ac:dyDescent="0.25">
      <c r="A1602" s="2">
        <v>1198</v>
      </c>
      <c r="B1602" s="3" t="s">
        <v>4986</v>
      </c>
      <c r="C1602" s="3">
        <v>2024</v>
      </c>
      <c r="D1602" s="3" t="s">
        <v>530</v>
      </c>
      <c r="E1602" s="3" t="s">
        <v>15</v>
      </c>
      <c r="F1602" s="1" t="s">
        <v>7834</v>
      </c>
      <c r="G1602" s="10"/>
      <c r="H1602" s="10"/>
      <c r="I1602" s="10"/>
      <c r="J1602" s="10"/>
      <c r="K1602" s="10"/>
      <c r="L1602" s="3" t="s">
        <v>4996</v>
      </c>
      <c r="M1602" s="3" t="s">
        <v>4997</v>
      </c>
      <c r="N1602" s="3" t="s">
        <v>4998</v>
      </c>
      <c r="O1602" s="3"/>
      <c r="P1602" s="3"/>
      <c r="Q1602" s="3"/>
      <c r="R1602" s="3" t="s">
        <v>4999</v>
      </c>
      <c r="S1602" s="3" t="s">
        <v>5000</v>
      </c>
      <c r="T1602" s="3" t="s">
        <v>21</v>
      </c>
      <c r="U1602" s="11">
        <v>687</v>
      </c>
      <c r="V1602" s="3" t="s">
        <v>4986</v>
      </c>
      <c r="W1602" s="8" t="s">
        <v>7834</v>
      </c>
    </row>
    <row r="1603" spans="1:23" x14ac:dyDescent="0.25">
      <c r="A1603" s="2">
        <v>1200</v>
      </c>
      <c r="B1603" s="3" t="s">
        <v>4986</v>
      </c>
      <c r="C1603" s="3">
        <v>2024</v>
      </c>
      <c r="D1603" s="3" t="s">
        <v>840</v>
      </c>
      <c r="E1603" s="3" t="s">
        <v>15</v>
      </c>
      <c r="F1603" s="1" t="s">
        <v>7834</v>
      </c>
      <c r="G1603" s="10"/>
      <c r="H1603" s="10"/>
      <c r="I1603" s="10"/>
      <c r="J1603" s="10"/>
      <c r="K1603" s="10"/>
      <c r="L1603" s="3" t="s">
        <v>458</v>
      </c>
      <c r="M1603" s="3" t="s">
        <v>5006</v>
      </c>
      <c r="N1603" s="3" t="s">
        <v>460</v>
      </c>
      <c r="O1603" s="3"/>
      <c r="P1603" s="3"/>
      <c r="Q1603" s="3"/>
      <c r="R1603" s="3" t="s">
        <v>461</v>
      </c>
      <c r="S1603" s="3" t="s">
        <v>462</v>
      </c>
      <c r="T1603" s="3" t="s">
        <v>21</v>
      </c>
      <c r="U1603" s="11">
        <v>688</v>
      </c>
      <c r="V1603" s="3" t="s">
        <v>4986</v>
      </c>
      <c r="W1603" s="8" t="s">
        <v>7834</v>
      </c>
    </row>
    <row r="1604" spans="1:23" x14ac:dyDescent="0.25">
      <c r="A1604" s="2">
        <v>1201</v>
      </c>
      <c r="B1604" s="3" t="s">
        <v>4986</v>
      </c>
      <c r="C1604" s="3">
        <v>2024</v>
      </c>
      <c r="D1604" s="3" t="s">
        <v>215</v>
      </c>
      <c r="E1604" s="3" t="s">
        <v>15</v>
      </c>
      <c r="F1604" s="1" t="s">
        <v>7834</v>
      </c>
      <c r="G1604" s="10"/>
      <c r="H1604" s="10"/>
      <c r="I1604" s="10"/>
      <c r="J1604" s="10"/>
      <c r="K1604" s="10"/>
      <c r="L1604" s="3" t="s">
        <v>448</v>
      </c>
      <c r="M1604" s="3" t="s">
        <v>449</v>
      </c>
      <c r="N1604" s="3" t="s">
        <v>450</v>
      </c>
      <c r="O1604" s="3"/>
      <c r="P1604" s="3"/>
      <c r="Q1604" s="3"/>
      <c r="R1604" s="3" t="s">
        <v>451</v>
      </c>
      <c r="S1604" s="3" t="s">
        <v>452</v>
      </c>
      <c r="T1604" s="3" t="s">
        <v>21</v>
      </c>
      <c r="U1604" s="11">
        <v>689</v>
      </c>
      <c r="V1604" s="3" t="s">
        <v>4986</v>
      </c>
      <c r="W1604" s="8" t="s">
        <v>7834</v>
      </c>
    </row>
    <row r="1605" spans="1:23" x14ac:dyDescent="0.25">
      <c r="A1605" s="2">
        <v>1203</v>
      </c>
      <c r="B1605" s="3" t="s">
        <v>4986</v>
      </c>
      <c r="C1605" s="3">
        <v>2024</v>
      </c>
      <c r="D1605" s="3" t="s">
        <v>120</v>
      </c>
      <c r="E1605" s="3" t="s">
        <v>15</v>
      </c>
      <c r="F1605" s="1" t="s">
        <v>7834</v>
      </c>
      <c r="G1605" s="10"/>
      <c r="H1605" s="10"/>
      <c r="I1605" s="10"/>
      <c r="J1605" s="10"/>
      <c r="K1605" s="10"/>
      <c r="L1605" s="3" t="s">
        <v>443</v>
      </c>
      <c r="M1605" s="3" t="s">
        <v>5011</v>
      </c>
      <c r="N1605" s="3" t="s">
        <v>445</v>
      </c>
      <c r="O1605" s="3"/>
      <c r="P1605" s="3"/>
      <c r="Q1605" s="3"/>
      <c r="R1605" s="3" t="s">
        <v>446</v>
      </c>
      <c r="S1605" s="3" t="s">
        <v>447</v>
      </c>
      <c r="T1605" s="3" t="s">
        <v>21</v>
      </c>
      <c r="U1605" s="11">
        <v>690</v>
      </c>
      <c r="V1605" s="3" t="s">
        <v>4986</v>
      </c>
      <c r="W1605" s="8" t="s">
        <v>7834</v>
      </c>
    </row>
    <row r="1606" spans="1:23" x14ac:dyDescent="0.25">
      <c r="A1606" s="2">
        <v>1204</v>
      </c>
      <c r="B1606" s="3" t="s">
        <v>4986</v>
      </c>
      <c r="C1606" s="3">
        <v>2024</v>
      </c>
      <c r="D1606" s="3" t="s">
        <v>530</v>
      </c>
      <c r="E1606" s="3" t="s">
        <v>15</v>
      </c>
      <c r="F1606" s="1" t="s">
        <v>7834</v>
      </c>
      <c r="G1606" s="10"/>
      <c r="H1606" s="10"/>
      <c r="I1606" s="10"/>
      <c r="J1606" s="10"/>
      <c r="K1606" s="10"/>
      <c r="L1606" s="3" t="s">
        <v>425</v>
      </c>
      <c r="M1606" s="3" t="s">
        <v>426</v>
      </c>
      <c r="N1606" s="3" t="s">
        <v>5012</v>
      </c>
      <c r="O1606" s="3"/>
      <c r="P1606" s="3"/>
      <c r="Q1606" s="3"/>
      <c r="R1606" s="3" t="s">
        <v>5013</v>
      </c>
      <c r="S1606" s="3" t="s">
        <v>427</v>
      </c>
      <c r="T1606" s="3" t="s">
        <v>21</v>
      </c>
      <c r="U1606" s="11">
        <v>691</v>
      </c>
      <c r="V1606" s="3" t="s">
        <v>4986</v>
      </c>
      <c r="W1606" s="8" t="s">
        <v>7834</v>
      </c>
    </row>
    <row r="1607" spans="1:23" x14ac:dyDescent="0.25">
      <c r="A1607" s="2">
        <v>1205</v>
      </c>
      <c r="B1607" s="3" t="s">
        <v>4986</v>
      </c>
      <c r="C1607" s="3">
        <v>2024</v>
      </c>
      <c r="D1607" s="3" t="s">
        <v>31</v>
      </c>
      <c r="E1607" s="3" t="s">
        <v>15</v>
      </c>
      <c r="F1607" s="1" t="s">
        <v>7834</v>
      </c>
      <c r="G1607" s="10"/>
      <c r="H1607" s="10"/>
      <c r="I1607" s="10"/>
      <c r="J1607" s="10"/>
      <c r="K1607" s="10"/>
      <c r="L1607" s="3" t="s">
        <v>433</v>
      </c>
      <c r="M1607" s="3" t="s">
        <v>434</v>
      </c>
      <c r="N1607" s="3" t="s">
        <v>435</v>
      </c>
      <c r="O1607" s="3"/>
      <c r="P1607" s="3"/>
      <c r="Q1607" s="3"/>
      <c r="R1607" s="3" t="s">
        <v>436</v>
      </c>
      <c r="S1607" s="3" t="s">
        <v>437</v>
      </c>
      <c r="T1607" s="3" t="s">
        <v>21</v>
      </c>
      <c r="U1607" s="11">
        <v>692</v>
      </c>
      <c r="V1607" s="3" t="s">
        <v>4986</v>
      </c>
      <c r="W1607" s="8" t="s">
        <v>7834</v>
      </c>
    </row>
    <row r="1608" spans="1:23" x14ac:dyDescent="0.25">
      <c r="A1608" s="2">
        <v>1206</v>
      </c>
      <c r="B1608" s="3" t="s">
        <v>4986</v>
      </c>
      <c r="C1608" s="3">
        <v>2024</v>
      </c>
      <c r="D1608" s="3" t="s">
        <v>93</v>
      </c>
      <c r="E1608" s="3" t="s">
        <v>15</v>
      </c>
      <c r="F1608" s="1" t="s">
        <v>7834</v>
      </c>
      <c r="G1608" s="10"/>
      <c r="H1608" s="10"/>
      <c r="I1608" s="10"/>
      <c r="J1608" s="10"/>
      <c r="K1608" s="10"/>
      <c r="L1608" s="3" t="s">
        <v>428</v>
      </c>
      <c r="M1608" s="3" t="s">
        <v>429</v>
      </c>
      <c r="N1608" s="3" t="s">
        <v>430</v>
      </c>
      <c r="O1608" s="3"/>
      <c r="P1608" s="3"/>
      <c r="Q1608" s="3"/>
      <c r="R1608" s="3" t="s">
        <v>431</v>
      </c>
      <c r="S1608" s="3" t="s">
        <v>432</v>
      </c>
      <c r="T1608" s="3" t="s">
        <v>21</v>
      </c>
      <c r="U1608" s="11">
        <v>693</v>
      </c>
      <c r="V1608" s="3" t="s">
        <v>4986</v>
      </c>
      <c r="W1608" s="8" t="s">
        <v>7834</v>
      </c>
    </row>
    <row r="1609" spans="1:23" x14ac:dyDescent="0.25">
      <c r="A1609" s="2">
        <v>1207</v>
      </c>
      <c r="B1609" s="3" t="s">
        <v>4986</v>
      </c>
      <c r="C1609" s="3">
        <v>2024</v>
      </c>
      <c r="D1609" s="3" t="s">
        <v>361</v>
      </c>
      <c r="E1609" s="3" t="s">
        <v>15</v>
      </c>
      <c r="F1609" s="1" t="s">
        <v>7834</v>
      </c>
      <c r="G1609" s="10"/>
      <c r="H1609" s="10"/>
      <c r="I1609" s="10"/>
      <c r="J1609" s="10"/>
      <c r="K1609" s="10"/>
      <c r="L1609" s="3" t="s">
        <v>463</v>
      </c>
      <c r="M1609" s="3" t="s">
        <v>464</v>
      </c>
      <c r="N1609" s="3" t="s">
        <v>465</v>
      </c>
      <c r="O1609" s="3"/>
      <c r="P1609" s="3"/>
      <c r="Q1609" s="3"/>
      <c r="R1609" s="3" t="s">
        <v>5014</v>
      </c>
      <c r="S1609" s="3" t="s">
        <v>467</v>
      </c>
      <c r="T1609" s="3" t="s">
        <v>21</v>
      </c>
      <c r="U1609" s="11">
        <v>694</v>
      </c>
      <c r="V1609" s="3" t="s">
        <v>4986</v>
      </c>
      <c r="W1609" s="8" t="s">
        <v>7834</v>
      </c>
    </row>
    <row r="1610" spans="1:23" x14ac:dyDescent="0.25">
      <c r="A1610" s="2">
        <v>1208</v>
      </c>
      <c r="B1610" s="3" t="s">
        <v>4986</v>
      </c>
      <c r="C1610" s="3">
        <v>2024</v>
      </c>
      <c r="D1610" s="3" t="s">
        <v>14</v>
      </c>
      <c r="E1610" s="3" t="s">
        <v>15</v>
      </c>
      <c r="F1610" s="1" t="s">
        <v>7834</v>
      </c>
      <c r="G1610" s="10"/>
      <c r="H1610" s="10"/>
      <c r="I1610" s="10"/>
      <c r="J1610" s="10"/>
      <c r="K1610" s="10"/>
      <c r="L1610" s="3" t="s">
        <v>5015</v>
      </c>
      <c r="M1610" s="3" t="s">
        <v>5016</v>
      </c>
      <c r="N1610" s="3" t="s">
        <v>5017</v>
      </c>
      <c r="O1610" s="3"/>
      <c r="P1610" s="3"/>
      <c r="Q1610" s="3"/>
      <c r="R1610" s="3" t="s">
        <v>5018</v>
      </c>
      <c r="S1610" s="3" t="s">
        <v>5019</v>
      </c>
      <c r="T1610" s="3" t="s">
        <v>21</v>
      </c>
      <c r="U1610" s="11">
        <v>695</v>
      </c>
      <c r="V1610" s="3" t="s">
        <v>4986</v>
      </c>
      <c r="W1610" s="8" t="s">
        <v>7834</v>
      </c>
    </row>
    <row r="1611" spans="1:23" x14ac:dyDescent="0.25">
      <c r="A1611" s="2">
        <v>1210</v>
      </c>
      <c r="B1611" s="3" t="s">
        <v>4986</v>
      </c>
      <c r="C1611" s="3">
        <v>2024</v>
      </c>
      <c r="D1611" s="3" t="s">
        <v>438</v>
      </c>
      <c r="E1611" s="3" t="s">
        <v>15</v>
      </c>
      <c r="F1611" s="1" t="s">
        <v>7834</v>
      </c>
      <c r="G1611" s="10"/>
      <c r="H1611" s="10"/>
      <c r="I1611" s="10"/>
      <c r="J1611" s="10"/>
      <c r="K1611" s="10"/>
      <c r="L1611" s="3" t="s">
        <v>439</v>
      </c>
      <c r="M1611" s="3" t="s">
        <v>440</v>
      </c>
      <c r="N1611" s="3" t="s">
        <v>441</v>
      </c>
      <c r="O1611" s="3"/>
      <c r="P1611" s="3"/>
      <c r="Q1611" s="3"/>
      <c r="R1611" s="3" t="s">
        <v>442</v>
      </c>
      <c r="S1611" s="3" t="s">
        <v>442</v>
      </c>
      <c r="T1611" s="3" t="s">
        <v>21</v>
      </c>
      <c r="U1611" s="11">
        <v>696</v>
      </c>
      <c r="V1611" s="3" t="s">
        <v>4986</v>
      </c>
      <c r="W1611" s="8" t="s">
        <v>7834</v>
      </c>
    </row>
    <row r="1612" spans="1:23" x14ac:dyDescent="0.25">
      <c r="A1612" s="2">
        <v>1211</v>
      </c>
      <c r="B1612" s="3" t="s">
        <v>4986</v>
      </c>
      <c r="C1612" s="3">
        <v>2024</v>
      </c>
      <c r="D1612" s="3" t="s">
        <v>93</v>
      </c>
      <c r="E1612" s="3" t="s">
        <v>15</v>
      </c>
      <c r="F1612" s="1" t="s">
        <v>7834</v>
      </c>
      <c r="G1612" s="10"/>
      <c r="H1612" s="10"/>
      <c r="I1612" s="10"/>
      <c r="J1612" s="10"/>
      <c r="K1612" s="10"/>
      <c r="L1612" s="3" t="s">
        <v>473</v>
      </c>
      <c r="M1612" s="3" t="s">
        <v>474</v>
      </c>
      <c r="N1612" s="3" t="s">
        <v>475</v>
      </c>
      <c r="O1612" s="3"/>
      <c r="P1612" s="3"/>
      <c r="Q1612" s="3"/>
      <c r="R1612" s="3" t="s">
        <v>476</v>
      </c>
      <c r="S1612" s="3" t="s">
        <v>477</v>
      </c>
      <c r="T1612" s="3" t="s">
        <v>21</v>
      </c>
      <c r="U1612" s="11">
        <v>697</v>
      </c>
      <c r="V1612" s="3" t="s">
        <v>4986</v>
      </c>
      <c r="W1612" s="8" t="s">
        <v>7834</v>
      </c>
    </row>
    <row r="1613" spans="1:23" x14ac:dyDescent="0.25">
      <c r="A1613" s="2">
        <v>1212</v>
      </c>
      <c r="B1613" s="3" t="s">
        <v>4986</v>
      </c>
      <c r="C1613" s="3">
        <v>2024</v>
      </c>
      <c r="D1613" s="3" t="s">
        <v>107</v>
      </c>
      <c r="E1613" s="3" t="s">
        <v>15</v>
      </c>
      <c r="F1613" s="1" t="s">
        <v>7834</v>
      </c>
      <c r="G1613" s="10">
        <v>21</v>
      </c>
      <c r="H1613" s="10"/>
      <c r="I1613" s="10"/>
      <c r="J1613" s="10"/>
      <c r="K1613" s="10"/>
      <c r="L1613" s="3" t="s">
        <v>490</v>
      </c>
      <c r="M1613" s="3" t="s">
        <v>491</v>
      </c>
      <c r="N1613" s="3" t="s">
        <v>492</v>
      </c>
      <c r="O1613" s="3"/>
      <c r="P1613" s="3"/>
      <c r="Q1613" s="3"/>
      <c r="R1613" s="3" t="s">
        <v>493</v>
      </c>
      <c r="S1613" s="3" t="s">
        <v>494</v>
      </c>
      <c r="T1613" s="3" t="s">
        <v>21</v>
      </c>
      <c r="U1613" s="11">
        <v>698</v>
      </c>
      <c r="V1613" s="3" t="s">
        <v>4986</v>
      </c>
      <c r="W1613" s="8" t="s">
        <v>7834</v>
      </c>
    </row>
    <row r="1614" spans="1:23" x14ac:dyDescent="0.25">
      <c r="A1614" s="2">
        <v>1217</v>
      </c>
      <c r="B1614" s="3" t="s">
        <v>5020</v>
      </c>
      <c r="C1614" s="3">
        <v>2024</v>
      </c>
      <c r="D1614" s="3" t="s">
        <v>14</v>
      </c>
      <c r="E1614" s="3" t="s">
        <v>15</v>
      </c>
      <c r="F1614" s="1" t="s">
        <v>7834</v>
      </c>
      <c r="G1614" s="10"/>
      <c r="H1614" s="10"/>
      <c r="I1614" s="10"/>
      <c r="J1614" s="10"/>
      <c r="K1614" s="10"/>
      <c r="L1614" s="3" t="s">
        <v>5037</v>
      </c>
      <c r="M1614" s="3" t="s">
        <v>5038</v>
      </c>
      <c r="N1614" s="3" t="s">
        <v>5039</v>
      </c>
      <c r="O1614" s="3" t="s">
        <v>5040</v>
      </c>
      <c r="P1614" s="3" t="s">
        <v>5041</v>
      </c>
      <c r="Q1614" s="3"/>
      <c r="R1614" s="3" t="s">
        <v>5042</v>
      </c>
      <c r="S1614" s="3" t="s">
        <v>5043</v>
      </c>
      <c r="T1614" s="3" t="s">
        <v>21</v>
      </c>
      <c r="U1614" s="11">
        <v>699</v>
      </c>
      <c r="V1614" s="3" t="s">
        <v>5020</v>
      </c>
      <c r="W1614" s="8" t="s">
        <v>7834</v>
      </c>
    </row>
    <row r="1615" spans="1:23" x14ac:dyDescent="0.25">
      <c r="A1615" s="2">
        <v>1218</v>
      </c>
      <c r="B1615" s="3" t="s">
        <v>5020</v>
      </c>
      <c r="C1615" s="3">
        <v>2024</v>
      </c>
      <c r="D1615" s="3" t="s">
        <v>14</v>
      </c>
      <c r="E1615" s="3" t="s">
        <v>15</v>
      </c>
      <c r="F1615" s="1" t="s">
        <v>7834</v>
      </c>
      <c r="G1615" s="10"/>
      <c r="H1615" s="10"/>
      <c r="I1615" s="10"/>
      <c r="J1615" s="10"/>
      <c r="K1615" s="10"/>
      <c r="L1615" s="3" t="s">
        <v>5044</v>
      </c>
      <c r="M1615" s="3" t="s">
        <v>5045</v>
      </c>
      <c r="N1615" s="3" t="s">
        <v>5039</v>
      </c>
      <c r="O1615" s="3" t="s">
        <v>5040</v>
      </c>
      <c r="P1615" s="3" t="s">
        <v>5041</v>
      </c>
      <c r="Q1615" s="3"/>
      <c r="R1615" s="3" t="s">
        <v>5042</v>
      </c>
      <c r="S1615" s="3" t="s">
        <v>5046</v>
      </c>
      <c r="T1615" s="3" t="s">
        <v>21</v>
      </c>
      <c r="U1615" s="11">
        <v>700</v>
      </c>
      <c r="V1615" s="3" t="s">
        <v>5020</v>
      </c>
      <c r="W1615" s="8" t="s">
        <v>7834</v>
      </c>
    </row>
    <row r="1616" spans="1:23" x14ac:dyDescent="0.25">
      <c r="A1616" s="2">
        <v>1219</v>
      </c>
      <c r="B1616" s="3" t="s">
        <v>5020</v>
      </c>
      <c r="C1616" s="3">
        <v>2024</v>
      </c>
      <c r="D1616" s="3" t="s">
        <v>840</v>
      </c>
      <c r="E1616" s="3" t="s">
        <v>15</v>
      </c>
      <c r="F1616" s="1" t="s">
        <v>7834</v>
      </c>
      <c r="G1616" s="10"/>
      <c r="H1616" s="10"/>
      <c r="I1616" s="10"/>
      <c r="J1616" s="10"/>
      <c r="K1616" s="10"/>
      <c r="L1616" s="3" t="s">
        <v>5047</v>
      </c>
      <c r="M1616" s="3" t="s">
        <v>5006</v>
      </c>
      <c r="N1616" s="3" t="s">
        <v>5048</v>
      </c>
      <c r="O1616" s="3"/>
      <c r="P1616" s="3"/>
      <c r="Q1616" s="3"/>
      <c r="R1616" s="3" t="s">
        <v>5049</v>
      </c>
      <c r="S1616" s="3" t="s">
        <v>5050</v>
      </c>
      <c r="T1616" s="3" t="s">
        <v>21</v>
      </c>
      <c r="U1616" s="11">
        <v>701</v>
      </c>
      <c r="V1616" s="3" t="s">
        <v>5020</v>
      </c>
      <c r="W1616" s="8" t="s">
        <v>7834</v>
      </c>
    </row>
    <row r="1617" spans="1:23" x14ac:dyDescent="0.25">
      <c r="A1617" s="2">
        <v>1221</v>
      </c>
      <c r="B1617" s="3" t="s">
        <v>5020</v>
      </c>
      <c r="C1617" s="3">
        <v>2024</v>
      </c>
      <c r="D1617" s="3" t="s">
        <v>2657</v>
      </c>
      <c r="E1617" s="3" t="s">
        <v>15</v>
      </c>
      <c r="F1617" s="1" t="s">
        <v>7834</v>
      </c>
      <c r="G1617" s="10"/>
      <c r="H1617" s="10"/>
      <c r="I1617" s="10"/>
      <c r="J1617" s="10"/>
      <c r="K1617" s="10"/>
      <c r="L1617" s="3" t="s">
        <v>5057</v>
      </c>
      <c r="M1617" s="3" t="s">
        <v>5058</v>
      </c>
      <c r="N1617" s="3" t="s">
        <v>5059</v>
      </c>
      <c r="O1617" s="3">
        <v>13</v>
      </c>
      <c r="P1617" s="3">
        <v>22</v>
      </c>
      <c r="Q1617" s="3" t="s">
        <v>5060</v>
      </c>
      <c r="R1617" s="3" t="s">
        <v>5061</v>
      </c>
      <c r="S1617" s="3" t="s">
        <v>5062</v>
      </c>
      <c r="T1617" s="3" t="s">
        <v>21</v>
      </c>
      <c r="U1617" s="11">
        <v>702</v>
      </c>
      <c r="V1617" s="3" t="s">
        <v>5020</v>
      </c>
      <c r="W1617" s="8" t="s">
        <v>7834</v>
      </c>
    </row>
    <row r="1618" spans="1:23" x14ac:dyDescent="0.25">
      <c r="A1618" s="2">
        <v>1224</v>
      </c>
      <c r="B1618" s="3" t="s">
        <v>5020</v>
      </c>
      <c r="C1618" s="3">
        <v>2024</v>
      </c>
      <c r="D1618" s="3" t="s">
        <v>14</v>
      </c>
      <c r="E1618" s="3" t="s">
        <v>15</v>
      </c>
      <c r="F1618" s="1" t="s">
        <v>7834</v>
      </c>
      <c r="G1618" s="10"/>
      <c r="H1618" s="10"/>
      <c r="I1618" s="10"/>
      <c r="J1618" s="10"/>
      <c r="K1618" s="10"/>
      <c r="L1618" s="3" t="s">
        <v>5073</v>
      </c>
      <c r="M1618" s="3" t="s">
        <v>5045</v>
      </c>
      <c r="N1618" s="3" t="s">
        <v>5039</v>
      </c>
      <c r="O1618" s="3" t="s">
        <v>5040</v>
      </c>
      <c r="P1618" s="3" t="s">
        <v>5041</v>
      </c>
      <c r="Q1618" s="3"/>
      <c r="R1618" s="3" t="s">
        <v>5042</v>
      </c>
      <c r="S1618" s="3" t="s">
        <v>5074</v>
      </c>
      <c r="T1618" s="3" t="s">
        <v>21</v>
      </c>
      <c r="U1618" s="11">
        <v>703</v>
      </c>
      <c r="V1618" s="3" t="s">
        <v>5020</v>
      </c>
      <c r="W1618" s="8" t="s">
        <v>7834</v>
      </c>
    </row>
    <row r="1619" spans="1:23" x14ac:dyDescent="0.25">
      <c r="A1619" s="2">
        <v>1227</v>
      </c>
      <c r="B1619" s="3" t="s">
        <v>5020</v>
      </c>
      <c r="C1619" s="3">
        <v>2024</v>
      </c>
      <c r="D1619" s="3" t="s">
        <v>14</v>
      </c>
      <c r="E1619" s="3" t="s">
        <v>15</v>
      </c>
      <c r="F1619" s="1" t="s">
        <v>7834</v>
      </c>
      <c r="G1619" s="10"/>
      <c r="H1619" s="10"/>
      <c r="I1619" s="10"/>
      <c r="J1619" s="10"/>
      <c r="K1619" s="10"/>
      <c r="L1619" s="3" t="s">
        <v>5085</v>
      </c>
      <c r="M1619" s="3" t="s">
        <v>5045</v>
      </c>
      <c r="N1619" s="3" t="s">
        <v>5039</v>
      </c>
      <c r="O1619" s="3"/>
      <c r="P1619" s="3" t="s">
        <v>5041</v>
      </c>
      <c r="Q1619" s="3"/>
      <c r="R1619" s="3" t="s">
        <v>5042</v>
      </c>
      <c r="S1619" s="3" t="s">
        <v>5086</v>
      </c>
      <c r="T1619" s="3" t="s">
        <v>21</v>
      </c>
      <c r="U1619" s="11">
        <v>704</v>
      </c>
      <c r="V1619" s="3" t="s">
        <v>5020</v>
      </c>
      <c r="W1619" s="8" t="s">
        <v>7834</v>
      </c>
    </row>
    <row r="1620" spans="1:23" x14ac:dyDescent="0.25">
      <c r="A1620" s="2">
        <v>1242</v>
      </c>
      <c r="B1620" s="3" t="s">
        <v>5020</v>
      </c>
      <c r="C1620" s="3">
        <v>2024</v>
      </c>
      <c r="D1620" s="3" t="s">
        <v>389</v>
      </c>
      <c r="E1620" s="3" t="s">
        <v>15</v>
      </c>
      <c r="F1620" s="1" t="s">
        <v>7834</v>
      </c>
      <c r="G1620" s="10"/>
      <c r="H1620" s="10"/>
      <c r="I1620" s="10"/>
      <c r="J1620" s="10"/>
      <c r="K1620" s="10"/>
      <c r="L1620" s="3" t="s">
        <v>1400</v>
      </c>
      <c r="M1620" s="3" t="s">
        <v>5148</v>
      </c>
      <c r="N1620" s="3" t="s">
        <v>1726</v>
      </c>
      <c r="O1620" s="3">
        <v>19</v>
      </c>
      <c r="P1620" s="3">
        <v>6</v>
      </c>
      <c r="Q1620" s="3"/>
      <c r="R1620" s="3" t="s">
        <v>359</v>
      </c>
      <c r="S1620" s="3" t="s">
        <v>1403</v>
      </c>
      <c r="T1620" s="3" t="s">
        <v>21</v>
      </c>
      <c r="U1620" s="11">
        <v>705</v>
      </c>
      <c r="V1620" s="3" t="s">
        <v>5020</v>
      </c>
      <c r="W1620" s="8" t="s">
        <v>7834</v>
      </c>
    </row>
    <row r="1621" spans="1:23" x14ac:dyDescent="0.25">
      <c r="A1621" s="2">
        <v>1243</v>
      </c>
      <c r="B1621" s="3" t="s">
        <v>5020</v>
      </c>
      <c r="C1621" s="3">
        <v>2024</v>
      </c>
      <c r="D1621" s="3" t="s">
        <v>5149</v>
      </c>
      <c r="E1621" s="3" t="s">
        <v>15</v>
      </c>
      <c r="F1621" s="1" t="s">
        <v>7834</v>
      </c>
      <c r="G1621" s="10"/>
      <c r="H1621" s="10"/>
      <c r="I1621" s="10"/>
      <c r="J1621" s="10"/>
      <c r="K1621" s="10"/>
      <c r="L1621" s="3" t="s">
        <v>5150</v>
      </c>
      <c r="M1621" s="3" t="s">
        <v>5151</v>
      </c>
      <c r="N1621" s="3" t="s">
        <v>5152</v>
      </c>
      <c r="O1621" s="3">
        <v>41</v>
      </c>
      <c r="P1621" s="3">
        <v>4</v>
      </c>
      <c r="Q1621" s="3">
        <v>672</v>
      </c>
      <c r="R1621" s="3" t="s">
        <v>5153</v>
      </c>
      <c r="S1621" s="3" t="s">
        <v>5154</v>
      </c>
      <c r="T1621" s="3" t="s">
        <v>21</v>
      </c>
      <c r="U1621" s="11">
        <v>706</v>
      </c>
      <c r="V1621" s="3" t="s">
        <v>5020</v>
      </c>
      <c r="W1621" s="8" t="s">
        <v>7834</v>
      </c>
    </row>
    <row r="1622" spans="1:23" x14ac:dyDescent="0.25">
      <c r="A1622" s="2">
        <v>1244</v>
      </c>
      <c r="B1622" s="3" t="s">
        <v>5020</v>
      </c>
      <c r="C1622" s="3">
        <v>2024</v>
      </c>
      <c r="D1622" s="3" t="s">
        <v>75</v>
      </c>
      <c r="E1622" s="3" t="s">
        <v>15</v>
      </c>
      <c r="F1622" s="1" t="s">
        <v>7834</v>
      </c>
      <c r="G1622" s="10"/>
      <c r="H1622" s="10"/>
      <c r="I1622" s="10"/>
      <c r="J1622" s="10"/>
      <c r="K1622" s="10"/>
      <c r="L1622" s="3" t="s">
        <v>5155</v>
      </c>
      <c r="M1622" s="3" t="s">
        <v>1430</v>
      </c>
      <c r="N1622" s="3" t="s">
        <v>1431</v>
      </c>
      <c r="O1622" s="3">
        <v>66</v>
      </c>
      <c r="P1622" s="3">
        <v>2</v>
      </c>
      <c r="Q1622" s="3">
        <v>72</v>
      </c>
      <c r="R1622" s="3" t="s">
        <v>1432</v>
      </c>
      <c r="S1622" s="3" t="s">
        <v>5156</v>
      </c>
      <c r="T1622" s="3" t="s">
        <v>21</v>
      </c>
      <c r="U1622" s="11">
        <v>707</v>
      </c>
      <c r="V1622" s="3" t="s">
        <v>5020</v>
      </c>
      <c r="W1622" s="8" t="s">
        <v>7834</v>
      </c>
    </row>
    <row r="1623" spans="1:23" x14ac:dyDescent="0.25">
      <c r="A1623" s="2">
        <v>1245</v>
      </c>
      <c r="B1623" s="3" t="s">
        <v>5020</v>
      </c>
      <c r="C1623" s="3">
        <v>2024</v>
      </c>
      <c r="D1623" s="3" t="s">
        <v>120</v>
      </c>
      <c r="E1623" s="3" t="s">
        <v>15</v>
      </c>
      <c r="F1623" s="1" t="s">
        <v>7834</v>
      </c>
      <c r="G1623" s="10"/>
      <c r="H1623" s="10"/>
      <c r="I1623" s="10"/>
      <c r="J1623" s="10"/>
      <c r="K1623" s="10"/>
      <c r="L1623" s="3" t="s">
        <v>5157</v>
      </c>
      <c r="M1623" s="3" t="s">
        <v>5158</v>
      </c>
      <c r="N1623" s="3" t="s">
        <v>1323</v>
      </c>
      <c r="O1623" s="3">
        <v>67</v>
      </c>
      <c r="P1623" s="3">
        <v>8</v>
      </c>
      <c r="Q1623" s="3">
        <v>78</v>
      </c>
      <c r="R1623" s="3" t="s">
        <v>5159</v>
      </c>
      <c r="S1623" s="3" t="s">
        <v>1516</v>
      </c>
      <c r="T1623" s="3" t="s">
        <v>21</v>
      </c>
      <c r="U1623" s="11">
        <v>708</v>
      </c>
      <c r="V1623" s="3" t="s">
        <v>5020</v>
      </c>
      <c r="W1623" s="8" t="s">
        <v>7834</v>
      </c>
    </row>
    <row r="1624" spans="1:23" x14ac:dyDescent="0.25">
      <c r="A1624" s="2">
        <v>1249</v>
      </c>
      <c r="B1624" s="3" t="s">
        <v>5020</v>
      </c>
      <c r="C1624" s="3">
        <v>2024</v>
      </c>
      <c r="D1624" s="3" t="s">
        <v>82</v>
      </c>
      <c r="E1624" s="3" t="s">
        <v>15</v>
      </c>
      <c r="F1624" s="1" t="s">
        <v>7834</v>
      </c>
      <c r="G1624" s="10"/>
      <c r="H1624" s="10"/>
      <c r="I1624" s="10"/>
      <c r="J1624" s="10"/>
      <c r="K1624" s="10"/>
      <c r="L1624" s="3" t="s">
        <v>5170</v>
      </c>
      <c r="M1624" s="3" t="s">
        <v>5171</v>
      </c>
      <c r="N1624" s="3" t="s">
        <v>5172</v>
      </c>
      <c r="O1624" s="3">
        <v>70</v>
      </c>
      <c r="P1624" s="3"/>
      <c r="Q1624" s="3"/>
      <c r="R1624" s="3" t="s">
        <v>5173</v>
      </c>
      <c r="S1624" s="3" t="s">
        <v>5174</v>
      </c>
      <c r="T1624" s="3" t="s">
        <v>21</v>
      </c>
      <c r="U1624" s="11">
        <v>709</v>
      </c>
      <c r="V1624" s="3" t="s">
        <v>5020</v>
      </c>
      <c r="W1624" s="8" t="s">
        <v>7834</v>
      </c>
    </row>
    <row r="1625" spans="1:23" x14ac:dyDescent="0.25">
      <c r="A1625" s="2">
        <v>1261</v>
      </c>
      <c r="B1625" s="3" t="s">
        <v>5020</v>
      </c>
      <c r="C1625" s="3">
        <v>2024</v>
      </c>
      <c r="D1625" s="3" t="s">
        <v>265</v>
      </c>
      <c r="E1625" s="3" t="s">
        <v>15</v>
      </c>
      <c r="F1625" s="1" t="s">
        <v>7834</v>
      </c>
      <c r="G1625" s="10">
        <v>20</v>
      </c>
      <c r="H1625" s="10"/>
      <c r="I1625" s="10"/>
      <c r="J1625" s="10"/>
      <c r="K1625" s="10"/>
      <c r="L1625" s="3" t="s">
        <v>5221</v>
      </c>
      <c r="M1625" s="3" t="s">
        <v>5222</v>
      </c>
      <c r="N1625" s="3" t="s">
        <v>5223</v>
      </c>
      <c r="O1625" s="3">
        <v>13</v>
      </c>
      <c r="P1625" s="3">
        <v>3</v>
      </c>
      <c r="Q1625" s="3">
        <v>703</v>
      </c>
      <c r="R1625" s="3" t="s">
        <v>5164</v>
      </c>
      <c r="S1625" s="3" t="s">
        <v>5224</v>
      </c>
      <c r="T1625" s="3" t="s">
        <v>21</v>
      </c>
      <c r="U1625" s="11">
        <v>710</v>
      </c>
      <c r="V1625" s="3" t="s">
        <v>5020</v>
      </c>
      <c r="W1625" s="8" t="s">
        <v>7834</v>
      </c>
    </row>
    <row r="1626" spans="1:23" x14ac:dyDescent="0.25">
      <c r="A1626" s="2">
        <v>1235</v>
      </c>
      <c r="B1626" s="3" t="s">
        <v>5020</v>
      </c>
      <c r="C1626" s="3">
        <v>2024</v>
      </c>
      <c r="D1626" s="3" t="s">
        <v>215</v>
      </c>
      <c r="E1626" s="3" t="s">
        <v>496</v>
      </c>
      <c r="F1626" s="1" t="s">
        <v>7834</v>
      </c>
      <c r="G1626" s="10"/>
      <c r="H1626" s="10"/>
      <c r="I1626" s="10"/>
      <c r="J1626" s="10"/>
      <c r="K1626" s="10"/>
      <c r="L1626" s="3" t="s">
        <v>5116</v>
      </c>
      <c r="M1626" s="3" t="s">
        <v>5117</v>
      </c>
      <c r="N1626" s="3" t="s">
        <v>5118</v>
      </c>
      <c r="O1626" s="3"/>
      <c r="P1626" s="3"/>
      <c r="Q1626" s="3">
        <v>268</v>
      </c>
      <c r="R1626" s="3"/>
      <c r="S1626" s="3" t="s">
        <v>5119</v>
      </c>
      <c r="T1626" s="3" t="s">
        <v>21</v>
      </c>
      <c r="U1626" s="11">
        <v>711</v>
      </c>
      <c r="V1626" s="3" t="s">
        <v>5020</v>
      </c>
      <c r="W1626" s="8" t="s">
        <v>7834</v>
      </c>
    </row>
    <row r="1627" spans="1:23" x14ac:dyDescent="0.25">
      <c r="A1627" s="2">
        <v>1259</v>
      </c>
      <c r="B1627" s="3" t="s">
        <v>5020</v>
      </c>
      <c r="C1627" s="3">
        <v>2024</v>
      </c>
      <c r="D1627" s="3" t="s">
        <v>82</v>
      </c>
      <c r="E1627" s="3" t="s">
        <v>206</v>
      </c>
      <c r="F1627" s="1" t="s">
        <v>7834</v>
      </c>
      <c r="G1627" s="10"/>
      <c r="H1627" s="10"/>
      <c r="I1627" s="10"/>
      <c r="J1627" s="10"/>
      <c r="K1627" s="10"/>
      <c r="L1627" s="3" t="s">
        <v>5212</v>
      </c>
      <c r="M1627" s="3" t="s">
        <v>5213</v>
      </c>
      <c r="N1627" s="3" t="s">
        <v>5214</v>
      </c>
      <c r="O1627" s="3">
        <v>18</v>
      </c>
      <c r="P1627" s="3">
        <v>2</v>
      </c>
      <c r="Q1627" s="3">
        <v>177</v>
      </c>
      <c r="R1627" s="3"/>
      <c r="S1627" s="3" t="s">
        <v>5215</v>
      </c>
      <c r="T1627" s="3" t="s">
        <v>21</v>
      </c>
      <c r="U1627" s="11">
        <v>712</v>
      </c>
      <c r="V1627" s="3" t="s">
        <v>5020</v>
      </c>
      <c r="W1627" s="8" t="s">
        <v>7834</v>
      </c>
    </row>
    <row r="1628" spans="1:23" x14ac:dyDescent="0.25">
      <c r="A1628" s="2">
        <v>1264</v>
      </c>
      <c r="B1628" s="3" t="s">
        <v>5020</v>
      </c>
      <c r="C1628" s="3">
        <v>2024</v>
      </c>
      <c r="D1628" s="3" t="s">
        <v>93</v>
      </c>
      <c r="E1628" s="3" t="s">
        <v>206</v>
      </c>
      <c r="F1628" s="1" t="s">
        <v>7834</v>
      </c>
      <c r="G1628" s="10"/>
      <c r="H1628" s="10"/>
      <c r="I1628" s="10"/>
      <c r="J1628" s="10"/>
      <c r="K1628" s="10">
        <v>10</v>
      </c>
      <c r="L1628" s="3" t="s">
        <v>5233</v>
      </c>
      <c r="M1628" s="3" t="s">
        <v>5234</v>
      </c>
      <c r="N1628" s="3" t="s">
        <v>5235</v>
      </c>
      <c r="O1628" s="3"/>
      <c r="P1628" s="3"/>
      <c r="Q1628" s="3">
        <v>1</v>
      </c>
      <c r="R1628" s="3"/>
      <c r="S1628" s="3" t="s">
        <v>5236</v>
      </c>
      <c r="T1628" s="3" t="s">
        <v>21</v>
      </c>
      <c r="U1628" s="11">
        <v>713</v>
      </c>
      <c r="V1628" s="3" t="s">
        <v>5020</v>
      </c>
      <c r="W1628" s="8" t="s">
        <v>7834</v>
      </c>
    </row>
    <row r="1629" spans="1:23" x14ac:dyDescent="0.25">
      <c r="A1629" s="2">
        <v>1265</v>
      </c>
      <c r="B1629" s="3" t="s">
        <v>5237</v>
      </c>
      <c r="C1629" s="3">
        <v>2024</v>
      </c>
      <c r="D1629" s="3" t="s">
        <v>1034</v>
      </c>
      <c r="E1629" s="3" t="s">
        <v>15</v>
      </c>
      <c r="F1629" s="1" t="s">
        <v>7834</v>
      </c>
      <c r="G1629" s="10"/>
      <c r="H1629" s="10"/>
      <c r="I1629" s="10"/>
      <c r="J1629" s="10"/>
      <c r="K1629" s="10"/>
      <c r="L1629" s="3" t="s">
        <v>5238</v>
      </c>
      <c r="M1629" s="3" t="s">
        <v>5239</v>
      </c>
      <c r="N1629" s="3" t="s">
        <v>5240</v>
      </c>
      <c r="O1629" s="3"/>
      <c r="P1629" s="3"/>
      <c r="Q1629" s="3"/>
      <c r="R1629" s="3" t="s">
        <v>5241</v>
      </c>
      <c r="S1629" s="3" t="s">
        <v>5242</v>
      </c>
      <c r="T1629" s="3" t="s">
        <v>21</v>
      </c>
      <c r="U1629" s="11">
        <v>29</v>
      </c>
      <c r="V1629" s="3" t="s">
        <v>5237</v>
      </c>
      <c r="W1629" s="8" t="s">
        <v>7834</v>
      </c>
    </row>
    <row r="1630" spans="1:23" x14ac:dyDescent="0.25">
      <c r="A1630" s="2">
        <v>1266</v>
      </c>
      <c r="B1630" s="3" t="s">
        <v>5237</v>
      </c>
      <c r="C1630" s="3">
        <v>2024</v>
      </c>
      <c r="D1630" s="3" t="s">
        <v>866</v>
      </c>
      <c r="E1630" s="3" t="s">
        <v>15</v>
      </c>
      <c r="F1630" s="1" t="s">
        <v>7834</v>
      </c>
      <c r="G1630" s="10"/>
      <c r="H1630" s="10"/>
      <c r="I1630" s="10"/>
      <c r="J1630" s="10"/>
      <c r="K1630" s="10"/>
      <c r="L1630" s="3" t="s">
        <v>5243</v>
      </c>
      <c r="M1630" s="3" t="s">
        <v>5244</v>
      </c>
      <c r="N1630" s="3" t="s">
        <v>5245</v>
      </c>
      <c r="O1630" s="3"/>
      <c r="P1630" s="3"/>
      <c r="Q1630" s="3"/>
      <c r="R1630" s="3" t="s">
        <v>5246</v>
      </c>
      <c r="S1630" s="3" t="s">
        <v>5247</v>
      </c>
      <c r="T1630" s="3" t="s">
        <v>21</v>
      </c>
      <c r="U1630" s="11">
        <v>30</v>
      </c>
      <c r="V1630" s="3" t="s">
        <v>5237</v>
      </c>
      <c r="W1630" s="8" t="s">
        <v>7834</v>
      </c>
    </row>
    <row r="1631" spans="1:23" x14ac:dyDescent="0.25">
      <c r="A1631" s="2">
        <v>1269</v>
      </c>
      <c r="B1631" s="3" t="s">
        <v>5237</v>
      </c>
      <c r="C1631" s="3">
        <v>2024</v>
      </c>
      <c r="D1631" s="3" t="s">
        <v>22</v>
      </c>
      <c r="E1631" s="3" t="s">
        <v>15</v>
      </c>
      <c r="F1631" s="1" t="s">
        <v>7834</v>
      </c>
      <c r="G1631" s="10"/>
      <c r="H1631" s="10"/>
      <c r="I1631" s="10"/>
      <c r="J1631" s="10"/>
      <c r="K1631" s="10"/>
      <c r="L1631" s="3" t="s">
        <v>5255</v>
      </c>
      <c r="M1631" s="3" t="s">
        <v>5256</v>
      </c>
      <c r="N1631" s="3" t="s">
        <v>5257</v>
      </c>
      <c r="O1631" s="3">
        <v>248</v>
      </c>
      <c r="P1631" s="3"/>
      <c r="Q1631" s="3"/>
      <c r="R1631" s="3">
        <v>9645691</v>
      </c>
      <c r="S1631" s="3" t="s">
        <v>916</v>
      </c>
      <c r="T1631" s="3" t="s">
        <v>21</v>
      </c>
      <c r="U1631" s="11">
        <v>31</v>
      </c>
      <c r="V1631" s="3" t="s">
        <v>5237</v>
      </c>
      <c r="W1631" s="8" t="s">
        <v>7834</v>
      </c>
    </row>
    <row r="1632" spans="1:23" x14ac:dyDescent="0.25">
      <c r="A1632" s="2">
        <v>1270</v>
      </c>
      <c r="B1632" s="3" t="s">
        <v>5237</v>
      </c>
      <c r="C1632" s="3">
        <v>2024</v>
      </c>
      <c r="D1632" s="3" t="s">
        <v>3774</v>
      </c>
      <c r="E1632" s="3" t="s">
        <v>15</v>
      </c>
      <c r="F1632" s="1" t="s">
        <v>7834</v>
      </c>
      <c r="G1632" s="10"/>
      <c r="H1632" s="10"/>
      <c r="I1632" s="10"/>
      <c r="J1632" s="10"/>
      <c r="K1632" s="10"/>
      <c r="L1632" s="3" t="s">
        <v>5258</v>
      </c>
      <c r="M1632" s="3" t="s">
        <v>5259</v>
      </c>
      <c r="N1632" s="3" t="s">
        <v>5260</v>
      </c>
      <c r="O1632" s="3">
        <v>10</v>
      </c>
      <c r="P1632" s="3"/>
      <c r="Q1632" s="3"/>
      <c r="R1632" s="3">
        <v>22967745</v>
      </c>
      <c r="S1632" s="3" t="s">
        <v>5261</v>
      </c>
      <c r="T1632" s="3" t="s">
        <v>21</v>
      </c>
      <c r="U1632" s="11">
        <v>32</v>
      </c>
      <c r="V1632" s="3" t="s">
        <v>5237</v>
      </c>
      <c r="W1632" s="8" t="s">
        <v>7834</v>
      </c>
    </row>
    <row r="1633" spans="1:23" x14ac:dyDescent="0.25">
      <c r="A1633" s="2">
        <v>1272</v>
      </c>
      <c r="B1633" s="3" t="s">
        <v>5237</v>
      </c>
      <c r="C1633" s="3">
        <v>2024</v>
      </c>
      <c r="D1633" s="3" t="s">
        <v>2577</v>
      </c>
      <c r="E1633" s="3" t="s">
        <v>15</v>
      </c>
      <c r="F1633" s="1" t="s">
        <v>7834</v>
      </c>
      <c r="G1633" s="10"/>
      <c r="H1633" s="10"/>
      <c r="I1633" s="10"/>
      <c r="J1633" s="10"/>
      <c r="K1633" s="10"/>
      <c r="L1633" s="3" t="s">
        <v>5266</v>
      </c>
      <c r="M1633" s="3" t="s">
        <v>5267</v>
      </c>
      <c r="N1633" s="3" t="s">
        <v>5268</v>
      </c>
      <c r="O1633" s="3">
        <v>190</v>
      </c>
      <c r="P1633" s="3"/>
      <c r="Q1633" s="3"/>
      <c r="R1633" s="3" t="s">
        <v>5269</v>
      </c>
      <c r="S1633" s="3" t="s">
        <v>5270</v>
      </c>
      <c r="T1633" s="3" t="s">
        <v>21</v>
      </c>
      <c r="U1633" s="11">
        <v>33</v>
      </c>
      <c r="V1633" s="3" t="s">
        <v>5237</v>
      </c>
      <c r="W1633" s="8" t="s">
        <v>7834</v>
      </c>
    </row>
    <row r="1634" spans="1:23" x14ac:dyDescent="0.25">
      <c r="A1634" s="2">
        <v>1273</v>
      </c>
      <c r="B1634" s="3" t="s">
        <v>5237</v>
      </c>
      <c r="C1634" s="3">
        <v>2024</v>
      </c>
      <c r="D1634" s="3" t="s">
        <v>840</v>
      </c>
      <c r="E1634" s="3" t="s">
        <v>15</v>
      </c>
      <c r="F1634" s="1" t="s">
        <v>7834</v>
      </c>
      <c r="G1634" s="10"/>
      <c r="H1634" s="10"/>
      <c r="I1634" s="10"/>
      <c r="J1634" s="10"/>
      <c r="K1634" s="10"/>
      <c r="L1634" s="3" t="s">
        <v>5271</v>
      </c>
      <c r="M1634" s="3" t="s">
        <v>5272</v>
      </c>
      <c r="N1634" s="3" t="s">
        <v>5273</v>
      </c>
      <c r="O1634" s="3">
        <v>7</v>
      </c>
      <c r="P1634" s="3">
        <v>2</v>
      </c>
      <c r="Q1634" s="3">
        <v>829</v>
      </c>
      <c r="R1634" s="3">
        <v>25719408</v>
      </c>
      <c r="S1634" s="3" t="s">
        <v>5274</v>
      </c>
      <c r="T1634" s="3" t="s">
        <v>21</v>
      </c>
      <c r="U1634" s="11">
        <v>34</v>
      </c>
      <c r="V1634" s="3" t="s">
        <v>5237</v>
      </c>
      <c r="W1634" s="8" t="s">
        <v>7834</v>
      </c>
    </row>
    <row r="1635" spans="1:23" x14ac:dyDescent="0.25">
      <c r="A1635" s="2">
        <v>1277</v>
      </c>
      <c r="B1635" s="3" t="s">
        <v>5237</v>
      </c>
      <c r="C1635" s="3">
        <v>2024</v>
      </c>
      <c r="D1635" s="3" t="s">
        <v>788</v>
      </c>
      <c r="E1635" s="3" t="s">
        <v>15</v>
      </c>
      <c r="F1635" s="1" t="s">
        <v>7834</v>
      </c>
      <c r="G1635" s="10"/>
      <c r="H1635" s="10"/>
      <c r="I1635" s="10"/>
      <c r="J1635" s="10"/>
      <c r="K1635" s="10"/>
      <c r="L1635" s="3" t="s">
        <v>5288</v>
      </c>
      <c r="M1635" s="3" t="s">
        <v>5289</v>
      </c>
      <c r="N1635" s="3" t="s">
        <v>5290</v>
      </c>
      <c r="O1635" s="3"/>
      <c r="P1635" s="3"/>
      <c r="Q1635" s="3"/>
      <c r="R1635" s="3" t="s">
        <v>5291</v>
      </c>
      <c r="S1635" s="3" t="s">
        <v>5292</v>
      </c>
      <c r="T1635" s="3" t="s">
        <v>21</v>
      </c>
      <c r="U1635" s="11">
        <v>35</v>
      </c>
      <c r="V1635" s="3" t="s">
        <v>5237</v>
      </c>
      <c r="W1635" s="8" t="s">
        <v>7834</v>
      </c>
    </row>
    <row r="1636" spans="1:23" x14ac:dyDescent="0.25">
      <c r="A1636" s="2">
        <v>1278</v>
      </c>
      <c r="B1636" s="3" t="s">
        <v>5237</v>
      </c>
      <c r="C1636" s="3">
        <v>2024</v>
      </c>
      <c r="D1636" s="3" t="s">
        <v>161</v>
      </c>
      <c r="E1636" s="3" t="s">
        <v>15</v>
      </c>
      <c r="F1636" s="1" t="s">
        <v>7834</v>
      </c>
      <c r="G1636" s="10"/>
      <c r="H1636" s="10"/>
      <c r="I1636" s="10"/>
      <c r="J1636" s="10"/>
      <c r="K1636" s="10"/>
      <c r="L1636" s="3" t="s">
        <v>5293</v>
      </c>
      <c r="M1636" s="3" t="s">
        <v>5294</v>
      </c>
      <c r="N1636" s="3" t="s">
        <v>976</v>
      </c>
      <c r="O1636" s="3"/>
      <c r="P1636" s="3"/>
      <c r="Q1636" s="3"/>
      <c r="R1636" s="3">
        <v>20457758</v>
      </c>
      <c r="S1636" s="3" t="s">
        <v>5295</v>
      </c>
      <c r="T1636" s="3" t="s">
        <v>21</v>
      </c>
      <c r="U1636" s="11">
        <v>36</v>
      </c>
      <c r="V1636" s="3" t="s">
        <v>5237</v>
      </c>
      <c r="W1636" s="8" t="s">
        <v>7834</v>
      </c>
    </row>
    <row r="1637" spans="1:23" x14ac:dyDescent="0.25">
      <c r="A1637" s="2">
        <v>1281</v>
      </c>
      <c r="B1637" s="3" t="s">
        <v>5237</v>
      </c>
      <c r="C1637" s="3">
        <v>2024</v>
      </c>
      <c r="D1637" s="3" t="s">
        <v>2535</v>
      </c>
      <c r="E1637" s="3" t="s">
        <v>15</v>
      </c>
      <c r="F1637" s="1" t="s">
        <v>7834</v>
      </c>
      <c r="G1637" s="10"/>
      <c r="H1637" s="10"/>
      <c r="I1637" s="10"/>
      <c r="J1637" s="10"/>
      <c r="K1637" s="10"/>
      <c r="L1637" s="3" t="s">
        <v>5304</v>
      </c>
      <c r="M1637" s="3" t="s">
        <v>5305</v>
      </c>
      <c r="N1637" s="3" t="s">
        <v>3883</v>
      </c>
      <c r="O1637" s="3">
        <v>164</v>
      </c>
      <c r="P1637" s="3"/>
      <c r="Q1637" s="7">
        <v>112153</v>
      </c>
      <c r="R1637" s="3" t="s">
        <v>3884</v>
      </c>
      <c r="S1637" s="3" t="s">
        <v>5306</v>
      </c>
      <c r="T1637" s="3" t="s">
        <v>21</v>
      </c>
      <c r="U1637" s="11">
        <v>37</v>
      </c>
      <c r="V1637" s="3" t="s">
        <v>5237</v>
      </c>
      <c r="W1637" s="8" t="s">
        <v>7834</v>
      </c>
    </row>
    <row r="1638" spans="1:23" x14ac:dyDescent="0.25">
      <c r="A1638" s="2">
        <v>1282</v>
      </c>
      <c r="B1638" s="3" t="s">
        <v>5237</v>
      </c>
      <c r="C1638" s="3">
        <v>2024</v>
      </c>
      <c r="D1638" s="3" t="s">
        <v>3724</v>
      </c>
      <c r="E1638" s="3" t="s">
        <v>15</v>
      </c>
      <c r="F1638" s="1" t="s">
        <v>7834</v>
      </c>
      <c r="G1638" s="10"/>
      <c r="H1638" s="10"/>
      <c r="I1638" s="10"/>
      <c r="J1638" s="10"/>
      <c r="K1638" s="10"/>
      <c r="L1638" s="3" t="s">
        <v>5307</v>
      </c>
      <c r="M1638" s="3" t="s">
        <v>5308</v>
      </c>
      <c r="N1638" s="3" t="s">
        <v>906</v>
      </c>
      <c r="O1638" s="3">
        <v>12</v>
      </c>
      <c r="P1638" s="3"/>
      <c r="Q1638" s="3" t="s">
        <v>5309</v>
      </c>
      <c r="R1638" s="3" t="s">
        <v>907</v>
      </c>
      <c r="S1638" s="3" t="s">
        <v>5310</v>
      </c>
      <c r="T1638" s="3" t="s">
        <v>21</v>
      </c>
      <c r="U1638" s="11">
        <v>38</v>
      </c>
      <c r="V1638" s="3" t="s">
        <v>5237</v>
      </c>
      <c r="W1638" s="8" t="s">
        <v>7834</v>
      </c>
    </row>
    <row r="1639" spans="1:23" x14ac:dyDescent="0.25">
      <c r="A1639" s="2">
        <v>1284</v>
      </c>
      <c r="B1639" s="3" t="s">
        <v>5237</v>
      </c>
      <c r="C1639" s="3">
        <v>2024</v>
      </c>
      <c r="D1639" s="3" t="s">
        <v>4217</v>
      </c>
      <c r="E1639" s="3" t="s">
        <v>15</v>
      </c>
      <c r="F1639" s="1" t="s">
        <v>7834</v>
      </c>
      <c r="G1639" s="10"/>
      <c r="H1639" s="10"/>
      <c r="I1639" s="10"/>
      <c r="J1639" s="10"/>
      <c r="K1639" s="10"/>
      <c r="L1639" s="3" t="s">
        <v>5315</v>
      </c>
      <c r="M1639" s="3" t="s">
        <v>5316</v>
      </c>
      <c r="N1639" s="3" t="s">
        <v>5317</v>
      </c>
      <c r="O1639" s="3"/>
      <c r="P1639" s="3"/>
      <c r="Q1639" s="3"/>
      <c r="R1639" s="3" t="s">
        <v>5318</v>
      </c>
      <c r="S1639" s="3" t="s">
        <v>5319</v>
      </c>
      <c r="T1639" s="3" t="s">
        <v>21</v>
      </c>
      <c r="U1639" s="11">
        <v>39</v>
      </c>
      <c r="V1639" s="3" t="s">
        <v>5237</v>
      </c>
      <c r="W1639" s="8" t="s">
        <v>7834</v>
      </c>
    </row>
    <row r="1640" spans="1:23" x14ac:dyDescent="0.25">
      <c r="A1640" s="2">
        <v>1288</v>
      </c>
      <c r="B1640" s="3" t="s">
        <v>5237</v>
      </c>
      <c r="C1640" s="3">
        <v>2024</v>
      </c>
      <c r="D1640" s="3" t="s">
        <v>1440</v>
      </c>
      <c r="E1640" s="3" t="s">
        <v>15</v>
      </c>
      <c r="F1640" s="1" t="s">
        <v>7834</v>
      </c>
      <c r="G1640" s="10"/>
      <c r="H1640" s="10"/>
      <c r="I1640" s="10"/>
      <c r="J1640" s="10"/>
      <c r="K1640" s="10"/>
      <c r="L1640" s="3" t="s">
        <v>5335</v>
      </c>
      <c r="M1640" s="3" t="s">
        <v>5336</v>
      </c>
      <c r="N1640" s="3" t="s">
        <v>980</v>
      </c>
      <c r="O1640" s="3">
        <v>202</v>
      </c>
      <c r="P1640" s="3"/>
      <c r="Q1640" s="3"/>
      <c r="R1640" s="3" t="s">
        <v>5246</v>
      </c>
      <c r="S1640" s="3" t="s">
        <v>5337</v>
      </c>
      <c r="T1640" s="3" t="s">
        <v>21</v>
      </c>
      <c r="U1640" s="11">
        <v>40</v>
      </c>
      <c r="V1640" s="3" t="s">
        <v>5237</v>
      </c>
      <c r="W1640" s="8" t="s">
        <v>7834</v>
      </c>
    </row>
    <row r="1641" spans="1:23" x14ac:dyDescent="0.25">
      <c r="A1641" s="2">
        <v>1290</v>
      </c>
      <c r="B1641" s="3" t="s">
        <v>5237</v>
      </c>
      <c r="C1641" s="3">
        <v>2024</v>
      </c>
      <c r="D1641" s="3" t="s">
        <v>5342</v>
      </c>
      <c r="E1641" s="3" t="s">
        <v>15</v>
      </c>
      <c r="F1641" s="1" t="s">
        <v>7834</v>
      </c>
      <c r="G1641" s="10"/>
      <c r="H1641" s="10"/>
      <c r="I1641" s="10"/>
      <c r="J1641" s="10"/>
      <c r="K1641" s="10"/>
      <c r="L1641" s="3" t="s">
        <v>5343</v>
      </c>
      <c r="M1641" s="3" t="s">
        <v>5344</v>
      </c>
      <c r="N1641" s="3" t="s">
        <v>5268</v>
      </c>
      <c r="O1641" s="3">
        <v>189</v>
      </c>
      <c r="P1641" s="3"/>
      <c r="Q1641" s="3">
        <v>107932</v>
      </c>
      <c r="R1641" s="3" t="s">
        <v>5269</v>
      </c>
      <c r="S1641" s="3" t="s">
        <v>5345</v>
      </c>
      <c r="T1641" s="3" t="s">
        <v>21</v>
      </c>
      <c r="U1641" s="11">
        <v>41</v>
      </c>
      <c r="V1641" s="3" t="s">
        <v>5237</v>
      </c>
      <c r="W1641" s="8" t="s">
        <v>7834</v>
      </c>
    </row>
    <row r="1642" spans="1:23" x14ac:dyDescent="0.25">
      <c r="A1642" s="2">
        <v>1293</v>
      </c>
      <c r="B1642" s="3" t="s">
        <v>5237</v>
      </c>
      <c r="C1642" s="3">
        <v>2024</v>
      </c>
      <c r="D1642" s="3" t="s">
        <v>792</v>
      </c>
      <c r="E1642" s="3" t="s">
        <v>15</v>
      </c>
      <c r="F1642" s="1" t="s">
        <v>7834</v>
      </c>
      <c r="G1642" s="10"/>
      <c r="H1642" s="10"/>
      <c r="I1642" s="10"/>
      <c r="J1642" s="10"/>
      <c r="K1642" s="10"/>
      <c r="L1642" s="3" t="s">
        <v>1548</v>
      </c>
      <c r="M1642" s="3" t="s">
        <v>1549</v>
      </c>
      <c r="N1642" s="3" t="s">
        <v>1550</v>
      </c>
      <c r="O1642" s="3"/>
      <c r="P1642" s="3"/>
      <c r="Q1642" s="3"/>
      <c r="R1642" s="3">
        <v>448486</v>
      </c>
      <c r="S1642" s="3" t="s">
        <v>1552</v>
      </c>
      <c r="T1642" s="3" t="s">
        <v>21</v>
      </c>
      <c r="U1642" s="11">
        <v>42</v>
      </c>
      <c r="V1642" s="3" t="s">
        <v>5237</v>
      </c>
      <c r="W1642" s="8" t="s">
        <v>7834</v>
      </c>
    </row>
    <row r="1643" spans="1:23" x14ac:dyDescent="0.25">
      <c r="A1643" s="2">
        <v>1294</v>
      </c>
      <c r="B1643" s="3" t="s">
        <v>5237</v>
      </c>
      <c r="C1643" s="3">
        <v>2024</v>
      </c>
      <c r="D1643" s="3" t="s">
        <v>1151</v>
      </c>
      <c r="E1643" s="3" t="s">
        <v>15</v>
      </c>
      <c r="F1643" s="1" t="s">
        <v>7834</v>
      </c>
      <c r="G1643" s="10"/>
      <c r="H1643" s="10"/>
      <c r="I1643" s="10"/>
      <c r="J1643" s="10"/>
      <c r="K1643" s="10"/>
      <c r="L1643" s="3" t="s">
        <v>3144</v>
      </c>
      <c r="M1643" s="3" t="s">
        <v>5356</v>
      </c>
      <c r="N1643" s="3" t="s">
        <v>911</v>
      </c>
      <c r="O1643" s="3">
        <v>16</v>
      </c>
      <c r="P1643" s="3">
        <v>2</v>
      </c>
      <c r="Q1643" s="3"/>
      <c r="R1643" s="3">
        <v>14242818</v>
      </c>
      <c r="S1643" s="3" t="s">
        <v>3147</v>
      </c>
      <c r="T1643" s="3" t="s">
        <v>21</v>
      </c>
      <c r="U1643" s="11">
        <v>43</v>
      </c>
      <c r="V1643" s="3" t="s">
        <v>5237</v>
      </c>
      <c r="W1643" s="8" t="s">
        <v>7834</v>
      </c>
    </row>
    <row r="1644" spans="1:23" x14ac:dyDescent="0.25">
      <c r="A1644" s="2">
        <v>1296</v>
      </c>
      <c r="B1644" s="3" t="s">
        <v>5237</v>
      </c>
      <c r="C1644" s="3">
        <v>2024</v>
      </c>
      <c r="D1644" s="3" t="s">
        <v>5362</v>
      </c>
      <c r="E1644" s="3" t="s">
        <v>15</v>
      </c>
      <c r="F1644" s="1" t="s">
        <v>7834</v>
      </c>
      <c r="G1644" s="10"/>
      <c r="H1644" s="10"/>
      <c r="I1644" s="10"/>
      <c r="J1644" s="10"/>
      <c r="K1644" s="10"/>
      <c r="L1644" s="3" t="s">
        <v>5363</v>
      </c>
      <c r="M1644" s="3" t="s">
        <v>5364</v>
      </c>
      <c r="N1644" s="3" t="s">
        <v>911</v>
      </c>
      <c r="O1644" s="3"/>
      <c r="P1644" s="3"/>
      <c r="Q1644" s="3"/>
      <c r="R1644" s="3">
        <v>14242818</v>
      </c>
      <c r="S1644" s="3" t="s">
        <v>307</v>
      </c>
      <c r="T1644" s="3" t="s">
        <v>21</v>
      </c>
      <c r="U1644" s="11">
        <v>44</v>
      </c>
      <c r="V1644" s="3" t="s">
        <v>5237</v>
      </c>
      <c r="W1644" s="8" t="s">
        <v>7834</v>
      </c>
    </row>
    <row r="1645" spans="1:23" x14ac:dyDescent="0.25">
      <c r="A1645" s="2">
        <v>1298</v>
      </c>
      <c r="B1645" s="3" t="s">
        <v>5237</v>
      </c>
      <c r="C1645" s="3">
        <v>2024</v>
      </c>
      <c r="D1645" s="3" t="s">
        <v>818</v>
      </c>
      <c r="E1645" s="3" t="s">
        <v>15</v>
      </c>
      <c r="F1645" s="1" t="s">
        <v>7834</v>
      </c>
      <c r="G1645" s="10"/>
      <c r="H1645" s="10"/>
      <c r="I1645" s="10"/>
      <c r="J1645" s="10"/>
      <c r="K1645" s="10"/>
      <c r="L1645" s="3" t="s">
        <v>5369</v>
      </c>
      <c r="M1645" s="3" t="s">
        <v>5370</v>
      </c>
      <c r="N1645" s="3" t="s">
        <v>5371</v>
      </c>
      <c r="O1645" s="3">
        <v>58</v>
      </c>
      <c r="P1645" s="3"/>
      <c r="Q1645" s="3"/>
      <c r="R1645" s="3" t="s">
        <v>5372</v>
      </c>
      <c r="S1645" s="3" t="s">
        <v>5373</v>
      </c>
      <c r="T1645" s="3" t="s">
        <v>21</v>
      </c>
      <c r="U1645" s="11">
        <v>45</v>
      </c>
      <c r="V1645" s="3" t="s">
        <v>5237</v>
      </c>
      <c r="W1645" s="8" t="s">
        <v>7834</v>
      </c>
    </row>
    <row r="1646" spans="1:23" x14ac:dyDescent="0.25">
      <c r="A1646" s="2">
        <v>1299</v>
      </c>
      <c r="B1646" s="3" t="s">
        <v>5237</v>
      </c>
      <c r="C1646" s="3">
        <v>2024</v>
      </c>
      <c r="D1646" s="3" t="s">
        <v>2824</v>
      </c>
      <c r="E1646" s="3" t="s">
        <v>15</v>
      </c>
      <c r="F1646" s="1" t="s">
        <v>7834</v>
      </c>
      <c r="G1646" s="10"/>
      <c r="H1646" s="10"/>
      <c r="I1646" s="10"/>
      <c r="J1646" s="10"/>
      <c r="K1646" s="10"/>
      <c r="L1646" s="3" t="s">
        <v>5374</v>
      </c>
      <c r="M1646" s="3" t="s">
        <v>5375</v>
      </c>
      <c r="N1646" s="3" t="s">
        <v>5376</v>
      </c>
      <c r="O1646" s="3">
        <v>164</v>
      </c>
      <c r="P1646" s="3"/>
      <c r="Q1646" s="3">
        <v>110590</v>
      </c>
      <c r="R1646" s="3">
        <v>9567135</v>
      </c>
      <c r="S1646" s="3" t="s">
        <v>5377</v>
      </c>
      <c r="T1646" s="3" t="s">
        <v>21</v>
      </c>
      <c r="U1646" s="11">
        <v>46</v>
      </c>
      <c r="V1646" s="3" t="s">
        <v>5237</v>
      </c>
      <c r="W1646" s="8" t="s">
        <v>7834</v>
      </c>
    </row>
    <row r="1647" spans="1:23" x14ac:dyDescent="0.25">
      <c r="A1647" s="2">
        <v>1300</v>
      </c>
      <c r="B1647" s="3" t="s">
        <v>5237</v>
      </c>
      <c r="C1647" s="3">
        <v>2024</v>
      </c>
      <c r="D1647" s="3" t="s">
        <v>713</v>
      </c>
      <c r="E1647" s="3" t="s">
        <v>15</v>
      </c>
      <c r="F1647" s="1" t="s">
        <v>7834</v>
      </c>
      <c r="G1647" s="10"/>
      <c r="H1647" s="10"/>
      <c r="I1647" s="10"/>
      <c r="J1647" s="10"/>
      <c r="K1647" s="10"/>
      <c r="L1647" s="3" t="s">
        <v>5378</v>
      </c>
      <c r="M1647" s="3" t="s">
        <v>5379</v>
      </c>
      <c r="N1647" s="3" t="s">
        <v>5380</v>
      </c>
      <c r="O1647" s="3">
        <v>19</v>
      </c>
      <c r="P1647" s="3">
        <v>6</v>
      </c>
      <c r="Q1647" s="3" t="s">
        <v>5381</v>
      </c>
      <c r="R1647" s="3">
        <v>19326203</v>
      </c>
      <c r="S1647" s="3" t="s">
        <v>5382</v>
      </c>
      <c r="T1647" s="3" t="s">
        <v>21</v>
      </c>
      <c r="U1647" s="11">
        <v>47</v>
      </c>
      <c r="V1647" s="3" t="s">
        <v>5237</v>
      </c>
      <c r="W1647" s="8" t="s">
        <v>7834</v>
      </c>
    </row>
    <row r="1648" spans="1:23" x14ac:dyDescent="0.25">
      <c r="A1648" s="2">
        <v>1301</v>
      </c>
      <c r="B1648" s="3" t="s">
        <v>5237</v>
      </c>
      <c r="C1648" s="3">
        <v>2024</v>
      </c>
      <c r="D1648" s="3" t="s">
        <v>2495</v>
      </c>
      <c r="E1648" s="3" t="s">
        <v>15</v>
      </c>
      <c r="F1648" s="1" t="s">
        <v>7834</v>
      </c>
      <c r="G1648" s="10"/>
      <c r="H1648" s="10"/>
      <c r="I1648" s="10"/>
      <c r="J1648" s="10"/>
      <c r="K1648" s="10"/>
      <c r="L1648" s="3" t="s">
        <v>5383</v>
      </c>
      <c r="M1648" s="3" t="s">
        <v>5384</v>
      </c>
      <c r="N1648" s="3" t="s">
        <v>5385</v>
      </c>
      <c r="O1648" s="3">
        <v>355</v>
      </c>
      <c r="P1648" s="3"/>
      <c r="Q1648" s="3">
        <v>141816</v>
      </c>
      <c r="R1648" s="3" t="s">
        <v>5386</v>
      </c>
      <c r="S1648" s="3" t="s">
        <v>5387</v>
      </c>
      <c r="T1648" s="3" t="s">
        <v>21</v>
      </c>
      <c r="U1648" s="11">
        <v>48</v>
      </c>
      <c r="V1648" s="3" t="s">
        <v>5237</v>
      </c>
      <c r="W1648" s="8" t="s">
        <v>7834</v>
      </c>
    </row>
    <row r="1649" spans="1:23" x14ac:dyDescent="0.25">
      <c r="A1649" s="2">
        <v>1303</v>
      </c>
      <c r="B1649" s="3" t="s">
        <v>5237</v>
      </c>
      <c r="C1649" s="3">
        <v>2024</v>
      </c>
      <c r="D1649" s="3" t="s">
        <v>851</v>
      </c>
      <c r="E1649" s="3" t="s">
        <v>15</v>
      </c>
      <c r="F1649" s="1" t="s">
        <v>7834</v>
      </c>
      <c r="G1649" s="10"/>
      <c r="H1649" s="10"/>
      <c r="I1649" s="10"/>
      <c r="J1649" s="10"/>
      <c r="K1649" s="10"/>
      <c r="L1649" s="3" t="s">
        <v>5392</v>
      </c>
      <c r="M1649" s="3" t="s">
        <v>5393</v>
      </c>
      <c r="N1649" s="3" t="s">
        <v>980</v>
      </c>
      <c r="O1649" s="3">
        <v>199</v>
      </c>
      <c r="P1649" s="3"/>
      <c r="Q1649" s="3">
        <v>106541</v>
      </c>
      <c r="R1649" s="3" t="s">
        <v>5246</v>
      </c>
      <c r="S1649" s="3" t="s">
        <v>5394</v>
      </c>
      <c r="T1649" s="3" t="s">
        <v>21</v>
      </c>
      <c r="U1649" s="11">
        <v>49</v>
      </c>
      <c r="V1649" s="3" t="s">
        <v>5237</v>
      </c>
      <c r="W1649" s="8" t="s">
        <v>7834</v>
      </c>
    </row>
    <row r="1650" spans="1:23" x14ac:dyDescent="0.25">
      <c r="A1650" s="2">
        <v>1305</v>
      </c>
      <c r="B1650" s="3" t="s">
        <v>5237</v>
      </c>
      <c r="C1650" s="3">
        <v>2024</v>
      </c>
      <c r="D1650" s="3" t="s">
        <v>871</v>
      </c>
      <c r="E1650" s="3" t="s">
        <v>15</v>
      </c>
      <c r="F1650" s="1" t="s">
        <v>7834</v>
      </c>
      <c r="G1650" s="10"/>
      <c r="H1650" s="10"/>
      <c r="I1650" s="10"/>
      <c r="J1650" s="10"/>
      <c r="K1650" s="10"/>
      <c r="L1650" s="3" t="s">
        <v>5399</v>
      </c>
      <c r="M1650" s="3" t="s">
        <v>5400</v>
      </c>
      <c r="N1650" s="3" t="s">
        <v>5401</v>
      </c>
      <c r="O1650" s="3">
        <v>17</v>
      </c>
      <c r="P1650" s="3">
        <v>1</v>
      </c>
      <c r="Q1650" s="3">
        <v>485</v>
      </c>
      <c r="R1650" s="3">
        <v>17563305</v>
      </c>
      <c r="S1650" s="3" t="s">
        <v>5402</v>
      </c>
      <c r="T1650" s="3" t="s">
        <v>21</v>
      </c>
      <c r="U1650" s="11">
        <v>50</v>
      </c>
      <c r="V1650" s="3" t="s">
        <v>5237</v>
      </c>
      <c r="W1650" s="8" t="s">
        <v>7834</v>
      </c>
    </row>
    <row r="1651" spans="1:23" x14ac:dyDescent="0.25">
      <c r="A1651" s="2">
        <v>1306</v>
      </c>
      <c r="B1651" s="3" t="s">
        <v>5237</v>
      </c>
      <c r="C1651" s="3">
        <v>2024</v>
      </c>
      <c r="D1651" s="3" t="s">
        <v>3076</v>
      </c>
      <c r="E1651" s="3" t="s">
        <v>15</v>
      </c>
      <c r="F1651" s="1" t="s">
        <v>7834</v>
      </c>
      <c r="G1651" s="10"/>
      <c r="H1651" s="10"/>
      <c r="I1651" s="10"/>
      <c r="J1651" s="10"/>
      <c r="K1651" s="10"/>
      <c r="L1651" s="3" t="s">
        <v>831</v>
      </c>
      <c r="M1651" s="3" t="s">
        <v>5403</v>
      </c>
      <c r="N1651" s="3" t="s">
        <v>833</v>
      </c>
      <c r="O1651" s="3">
        <v>12</v>
      </c>
      <c r="P1651" s="3"/>
      <c r="Q1651" s="3">
        <v>1438057</v>
      </c>
      <c r="R1651" s="3" t="s">
        <v>5404</v>
      </c>
      <c r="S1651" s="3" t="s">
        <v>834</v>
      </c>
      <c r="T1651" s="3" t="s">
        <v>21</v>
      </c>
      <c r="U1651" s="11">
        <v>51</v>
      </c>
      <c r="V1651" s="3" t="s">
        <v>5237</v>
      </c>
      <c r="W1651" s="8" t="s">
        <v>7834</v>
      </c>
    </row>
    <row r="1652" spans="1:23" x14ac:dyDescent="0.25">
      <c r="A1652" s="2">
        <v>1308</v>
      </c>
      <c r="B1652" s="3" t="s">
        <v>5237</v>
      </c>
      <c r="C1652" s="3">
        <v>2024</v>
      </c>
      <c r="D1652" s="3" t="s">
        <v>792</v>
      </c>
      <c r="E1652" s="3" t="s">
        <v>15</v>
      </c>
      <c r="F1652" s="1" t="s">
        <v>7834</v>
      </c>
      <c r="G1652" s="10"/>
      <c r="H1652" s="10"/>
      <c r="I1652" s="10"/>
      <c r="J1652" s="10"/>
      <c r="K1652" s="10"/>
      <c r="L1652" s="3" t="s">
        <v>5408</v>
      </c>
      <c r="M1652" s="3" t="s">
        <v>5409</v>
      </c>
      <c r="N1652" s="3" t="s">
        <v>949</v>
      </c>
      <c r="O1652" s="3">
        <v>17</v>
      </c>
      <c r="P1652" s="3">
        <v>3</v>
      </c>
      <c r="Q1652" s="3">
        <v>551</v>
      </c>
      <c r="R1652" s="3" t="s">
        <v>5410</v>
      </c>
      <c r="S1652" s="3" t="s">
        <v>951</v>
      </c>
      <c r="T1652" s="3" t="s">
        <v>21</v>
      </c>
      <c r="U1652" s="11">
        <v>52</v>
      </c>
      <c r="V1652" s="3" t="s">
        <v>5237</v>
      </c>
      <c r="W1652" s="8" t="s">
        <v>7834</v>
      </c>
    </row>
    <row r="1653" spans="1:23" x14ac:dyDescent="0.25">
      <c r="A1653" s="2">
        <v>1309</v>
      </c>
      <c r="B1653" s="3" t="s">
        <v>5237</v>
      </c>
      <c r="C1653" s="3">
        <v>2024</v>
      </c>
      <c r="D1653" s="3" t="s">
        <v>796</v>
      </c>
      <c r="E1653" s="3" t="s">
        <v>15</v>
      </c>
      <c r="F1653" s="1" t="s">
        <v>7834</v>
      </c>
      <c r="G1653" s="10"/>
      <c r="H1653" s="10"/>
      <c r="I1653" s="10"/>
      <c r="J1653" s="10"/>
      <c r="K1653" s="10"/>
      <c r="L1653" s="3" t="s">
        <v>5411</v>
      </c>
      <c r="M1653" s="3" t="s">
        <v>5412</v>
      </c>
      <c r="N1653" s="3" t="s">
        <v>976</v>
      </c>
      <c r="O1653" s="3">
        <v>14</v>
      </c>
      <c r="P1653" s="3">
        <v>2</v>
      </c>
      <c r="Q1653" s="3" t="s">
        <v>5413</v>
      </c>
      <c r="R1653" s="3">
        <v>20457758</v>
      </c>
      <c r="S1653" s="3" t="s">
        <v>977</v>
      </c>
      <c r="T1653" s="3" t="s">
        <v>21</v>
      </c>
      <c r="U1653" s="11">
        <v>53</v>
      </c>
      <c r="V1653" s="3" t="s">
        <v>5237</v>
      </c>
      <c r="W1653" s="8" t="s">
        <v>7834</v>
      </c>
    </row>
    <row r="1654" spans="1:23" x14ac:dyDescent="0.25">
      <c r="A1654" s="2">
        <v>1310</v>
      </c>
      <c r="B1654" s="3" t="s">
        <v>5237</v>
      </c>
      <c r="C1654" s="3">
        <v>2024</v>
      </c>
      <c r="D1654" s="3" t="s">
        <v>22</v>
      </c>
      <c r="E1654" s="3" t="s">
        <v>15</v>
      </c>
      <c r="F1654" s="1" t="s">
        <v>7834</v>
      </c>
      <c r="G1654" s="10"/>
      <c r="H1654" s="10"/>
      <c r="I1654" s="10"/>
      <c r="J1654" s="10"/>
      <c r="K1654" s="10"/>
      <c r="L1654" s="3" t="s">
        <v>938</v>
      </c>
      <c r="M1654" s="3" t="s">
        <v>5414</v>
      </c>
      <c r="N1654" s="3" t="s">
        <v>940</v>
      </c>
      <c r="O1654" s="3">
        <v>15</v>
      </c>
      <c r="P1654" s="3">
        <v>2</v>
      </c>
      <c r="Q1654" s="3">
        <v>97</v>
      </c>
      <c r="R1654" s="3">
        <v>20754450</v>
      </c>
      <c r="S1654" s="3" t="s">
        <v>942</v>
      </c>
      <c r="T1654" s="3" t="s">
        <v>21</v>
      </c>
      <c r="U1654" s="11">
        <v>54</v>
      </c>
      <c r="V1654" s="3" t="s">
        <v>5237</v>
      </c>
      <c r="W1654" s="8" t="s">
        <v>7834</v>
      </c>
    </row>
    <row r="1655" spans="1:23" x14ac:dyDescent="0.25">
      <c r="A1655" s="2">
        <v>1312</v>
      </c>
      <c r="B1655" s="3" t="s">
        <v>5237</v>
      </c>
      <c r="C1655" s="3">
        <v>2024</v>
      </c>
      <c r="D1655" s="3" t="s">
        <v>1889</v>
      </c>
      <c r="E1655" s="3" t="s">
        <v>15</v>
      </c>
      <c r="F1655" s="1" t="s">
        <v>7834</v>
      </c>
      <c r="G1655" s="10"/>
      <c r="H1655" s="10"/>
      <c r="I1655" s="10"/>
      <c r="J1655" s="10"/>
      <c r="K1655" s="10"/>
      <c r="L1655" s="3" t="s">
        <v>5419</v>
      </c>
      <c r="M1655" s="3" t="s">
        <v>5420</v>
      </c>
      <c r="N1655" s="3" t="s">
        <v>1550</v>
      </c>
      <c r="O1655" s="3">
        <v>581</v>
      </c>
      <c r="P1655" s="3"/>
      <c r="Q1655" s="3"/>
      <c r="R1655" s="3">
        <v>448486</v>
      </c>
      <c r="S1655" s="3" t="s">
        <v>5421</v>
      </c>
      <c r="T1655" s="3" t="s">
        <v>21</v>
      </c>
      <c r="U1655" s="11">
        <v>55</v>
      </c>
      <c r="V1655" s="3" t="s">
        <v>5237</v>
      </c>
      <c r="W1655" s="8" t="s">
        <v>7834</v>
      </c>
    </row>
    <row r="1656" spans="1:23" x14ac:dyDescent="0.25">
      <c r="A1656" s="2">
        <v>1313</v>
      </c>
      <c r="B1656" s="3" t="s">
        <v>5237</v>
      </c>
      <c r="C1656" s="3">
        <v>2024</v>
      </c>
      <c r="D1656" s="3" t="s">
        <v>1889</v>
      </c>
      <c r="E1656" s="3" t="s">
        <v>15</v>
      </c>
      <c r="F1656" s="1" t="s">
        <v>7834</v>
      </c>
      <c r="G1656" s="10"/>
      <c r="H1656" s="10"/>
      <c r="I1656" s="10"/>
      <c r="J1656" s="10"/>
      <c r="K1656" s="10"/>
      <c r="L1656" s="3" t="s">
        <v>5422</v>
      </c>
      <c r="M1656" s="3" t="s">
        <v>5423</v>
      </c>
      <c r="N1656" s="3" t="s">
        <v>1550</v>
      </c>
      <c r="O1656" s="3">
        <v>581</v>
      </c>
      <c r="P1656" s="3"/>
      <c r="Q1656" s="3"/>
      <c r="R1656" s="3">
        <v>448486</v>
      </c>
      <c r="S1656" s="3" t="s">
        <v>5424</v>
      </c>
      <c r="T1656" s="3" t="s">
        <v>21</v>
      </c>
      <c r="U1656" s="11">
        <v>56</v>
      </c>
      <c r="V1656" s="3" t="s">
        <v>5237</v>
      </c>
      <c r="W1656" s="8" t="s">
        <v>7834</v>
      </c>
    </row>
    <row r="1657" spans="1:23" x14ac:dyDescent="0.25">
      <c r="A1657" s="2">
        <v>1314</v>
      </c>
      <c r="B1657" s="3" t="s">
        <v>5237</v>
      </c>
      <c r="C1657" s="3">
        <v>2024</v>
      </c>
      <c r="D1657" s="3" t="s">
        <v>4726</v>
      </c>
      <c r="E1657" s="3" t="s">
        <v>15</v>
      </c>
      <c r="F1657" s="1" t="s">
        <v>7834</v>
      </c>
      <c r="G1657" s="10"/>
      <c r="H1657" s="10"/>
      <c r="I1657" s="10"/>
      <c r="J1657" s="10"/>
      <c r="K1657" s="10"/>
      <c r="L1657" s="3" t="s">
        <v>5425</v>
      </c>
      <c r="M1657" s="3" t="s">
        <v>5426</v>
      </c>
      <c r="N1657" s="3" t="s">
        <v>1550</v>
      </c>
      <c r="O1657" s="3">
        <v>584</v>
      </c>
      <c r="P1657" s="3"/>
      <c r="Q1657" s="3"/>
      <c r="R1657" s="3">
        <v>448486</v>
      </c>
      <c r="S1657" s="3" t="s">
        <v>5427</v>
      </c>
      <c r="T1657" s="3" t="s">
        <v>21</v>
      </c>
      <c r="U1657" s="11">
        <v>57</v>
      </c>
      <c r="V1657" s="3" t="s">
        <v>5237</v>
      </c>
      <c r="W1657" s="8" t="s">
        <v>7834</v>
      </c>
    </row>
    <row r="1658" spans="1:23" x14ac:dyDescent="0.25">
      <c r="A1658" s="2">
        <v>1316</v>
      </c>
      <c r="B1658" s="3" t="s">
        <v>5237</v>
      </c>
      <c r="C1658" s="3">
        <v>2024</v>
      </c>
      <c r="D1658" s="3" t="s">
        <v>844</v>
      </c>
      <c r="E1658" s="3" t="s">
        <v>15</v>
      </c>
      <c r="F1658" s="1" t="s">
        <v>7834</v>
      </c>
      <c r="G1658" s="10"/>
      <c r="H1658" s="10"/>
      <c r="I1658" s="10"/>
      <c r="J1658" s="10"/>
      <c r="K1658" s="10"/>
      <c r="L1658" s="3" t="s">
        <v>5431</v>
      </c>
      <c r="M1658" s="3" t="s">
        <v>5432</v>
      </c>
      <c r="N1658" s="3" t="s">
        <v>5433</v>
      </c>
      <c r="O1658" s="3">
        <v>12</v>
      </c>
      <c r="P1658" s="3"/>
      <c r="Q1658" s="3" t="s">
        <v>5434</v>
      </c>
      <c r="R1658" s="3" t="s">
        <v>5435</v>
      </c>
      <c r="S1658" s="3" t="s">
        <v>5436</v>
      </c>
      <c r="T1658" s="3" t="s">
        <v>21</v>
      </c>
      <c r="U1658" s="11">
        <v>58</v>
      </c>
      <c r="V1658" s="3" t="s">
        <v>5237</v>
      </c>
      <c r="W1658" s="8" t="s">
        <v>7834</v>
      </c>
    </row>
    <row r="1659" spans="1:23" x14ac:dyDescent="0.25">
      <c r="A1659" s="2">
        <v>1317</v>
      </c>
      <c r="B1659" s="3" t="s">
        <v>5237</v>
      </c>
      <c r="C1659" s="3">
        <v>2024</v>
      </c>
      <c r="D1659" s="3" t="s">
        <v>308</v>
      </c>
      <c r="E1659" s="3" t="s">
        <v>15</v>
      </c>
      <c r="F1659" s="1" t="s">
        <v>7834</v>
      </c>
      <c r="G1659" s="10"/>
      <c r="H1659" s="10"/>
      <c r="I1659" s="10"/>
      <c r="J1659" s="10"/>
      <c r="K1659" s="10"/>
      <c r="L1659" s="3" t="s">
        <v>5437</v>
      </c>
      <c r="M1659" s="3" t="s">
        <v>5438</v>
      </c>
      <c r="N1659" s="3" t="s">
        <v>976</v>
      </c>
      <c r="O1659" s="3">
        <v>14</v>
      </c>
      <c r="P1659" s="3"/>
      <c r="Q1659" s="3" t="s">
        <v>5439</v>
      </c>
      <c r="R1659" s="3" t="s">
        <v>880</v>
      </c>
      <c r="S1659" s="3" t="s">
        <v>5440</v>
      </c>
      <c r="T1659" s="3" t="s">
        <v>21</v>
      </c>
      <c r="U1659" s="11">
        <v>59</v>
      </c>
      <c r="V1659" s="3" t="s">
        <v>5237</v>
      </c>
      <c r="W1659" s="8" t="s">
        <v>7834</v>
      </c>
    </row>
    <row r="1660" spans="1:23" x14ac:dyDescent="0.25">
      <c r="A1660" s="2">
        <v>1318</v>
      </c>
      <c r="B1660" s="3" t="s">
        <v>5237</v>
      </c>
      <c r="C1660" s="3">
        <v>2024</v>
      </c>
      <c r="D1660" s="3" t="s">
        <v>2067</v>
      </c>
      <c r="E1660" s="3" t="s">
        <v>15</v>
      </c>
      <c r="F1660" s="1" t="s">
        <v>7834</v>
      </c>
      <c r="G1660" s="10"/>
      <c r="H1660" s="10"/>
      <c r="I1660" s="10"/>
      <c r="J1660" s="10"/>
      <c r="K1660" s="10"/>
      <c r="L1660" s="3" t="s">
        <v>5441</v>
      </c>
      <c r="M1660" s="3" t="s">
        <v>5442</v>
      </c>
      <c r="N1660" s="3" t="s">
        <v>5433</v>
      </c>
      <c r="O1660" s="3">
        <v>12</v>
      </c>
      <c r="P1660" s="3"/>
      <c r="Q1660" s="3" t="s">
        <v>5443</v>
      </c>
      <c r="R1660" s="3" t="s">
        <v>5435</v>
      </c>
      <c r="S1660" s="3" t="s">
        <v>5444</v>
      </c>
      <c r="T1660" s="3" t="s">
        <v>21</v>
      </c>
      <c r="U1660" s="11">
        <v>60</v>
      </c>
      <c r="V1660" s="3" t="s">
        <v>5237</v>
      </c>
      <c r="W1660" s="8" t="s">
        <v>7834</v>
      </c>
    </row>
    <row r="1661" spans="1:23" x14ac:dyDescent="0.25">
      <c r="A1661" s="2">
        <v>1319</v>
      </c>
      <c r="B1661" s="3" t="s">
        <v>5237</v>
      </c>
      <c r="C1661" s="3">
        <v>2024</v>
      </c>
      <c r="D1661" s="3" t="s">
        <v>2689</v>
      </c>
      <c r="E1661" s="3" t="s">
        <v>15</v>
      </c>
      <c r="F1661" s="1" t="s">
        <v>7834</v>
      </c>
      <c r="G1661" s="10">
        <v>47</v>
      </c>
      <c r="H1661" s="10"/>
      <c r="I1661" s="10"/>
      <c r="J1661" s="10"/>
      <c r="K1661" s="10"/>
      <c r="L1661" s="3" t="s">
        <v>5445</v>
      </c>
      <c r="M1661" s="3" t="s">
        <v>5446</v>
      </c>
      <c r="N1661" s="3" t="s">
        <v>833</v>
      </c>
      <c r="O1661" s="3">
        <v>12</v>
      </c>
      <c r="P1661" s="3"/>
      <c r="Q1661" s="3"/>
      <c r="R1661" s="3" t="s">
        <v>5404</v>
      </c>
      <c r="S1661" s="3" t="s">
        <v>5447</v>
      </c>
      <c r="T1661" s="3" t="s">
        <v>21</v>
      </c>
      <c r="U1661" s="11">
        <v>61</v>
      </c>
      <c r="V1661" s="3" t="s">
        <v>5237</v>
      </c>
      <c r="W1661" s="8" t="s">
        <v>7834</v>
      </c>
    </row>
    <row r="1662" spans="1:23" x14ac:dyDescent="0.25">
      <c r="A1662" s="2">
        <v>1283</v>
      </c>
      <c r="B1662" s="3" t="s">
        <v>5237</v>
      </c>
      <c r="C1662" s="3">
        <v>2024</v>
      </c>
      <c r="D1662" s="3" t="s">
        <v>14</v>
      </c>
      <c r="E1662" s="3" t="s">
        <v>206</v>
      </c>
      <c r="F1662" s="1" t="s">
        <v>7834</v>
      </c>
      <c r="G1662" s="10"/>
      <c r="H1662" s="10"/>
      <c r="I1662" s="10"/>
      <c r="J1662" s="10"/>
      <c r="K1662" s="10">
        <v>1</v>
      </c>
      <c r="L1662" s="3" t="s">
        <v>5311</v>
      </c>
      <c r="M1662" s="3" t="s">
        <v>5312</v>
      </c>
      <c r="N1662" s="3" t="s">
        <v>3888</v>
      </c>
      <c r="O1662" s="3">
        <v>160</v>
      </c>
      <c r="P1662" s="3"/>
      <c r="Q1662" s="3">
        <v>1</v>
      </c>
      <c r="R1662" s="3" t="s">
        <v>5313</v>
      </c>
      <c r="S1662" s="3" t="s">
        <v>5314</v>
      </c>
      <c r="T1662" s="3" t="s">
        <v>21</v>
      </c>
      <c r="U1662" s="11">
        <v>62</v>
      </c>
      <c r="V1662" s="3" t="s">
        <v>5237</v>
      </c>
      <c r="W1662" s="8" t="s">
        <v>7834</v>
      </c>
    </row>
    <row r="1663" spans="1:23" x14ac:dyDescent="0.25">
      <c r="A1663" s="2">
        <v>1320</v>
      </c>
      <c r="B1663" s="3" t="s">
        <v>5448</v>
      </c>
      <c r="C1663" s="3">
        <v>2024</v>
      </c>
      <c r="D1663" s="3" t="s">
        <v>14</v>
      </c>
      <c r="E1663" s="3" t="s">
        <v>15</v>
      </c>
      <c r="F1663" s="1" t="s">
        <v>7834</v>
      </c>
      <c r="G1663" s="10"/>
      <c r="H1663" s="10"/>
      <c r="I1663" s="10"/>
      <c r="J1663" s="10"/>
      <c r="K1663" s="10"/>
      <c r="L1663" s="3" t="s">
        <v>5449</v>
      </c>
      <c r="M1663" s="3" t="s">
        <v>5450</v>
      </c>
      <c r="N1663" s="3" t="s">
        <v>3888</v>
      </c>
      <c r="O1663" s="3">
        <v>159</v>
      </c>
      <c r="P1663" s="3"/>
      <c r="Q1663" s="3"/>
      <c r="R1663" s="3" t="s">
        <v>3889</v>
      </c>
      <c r="S1663" s="3" t="s">
        <v>5451</v>
      </c>
      <c r="T1663" s="3" t="s">
        <v>21</v>
      </c>
      <c r="U1663" s="11">
        <v>63</v>
      </c>
      <c r="V1663" s="3" t="s">
        <v>5448</v>
      </c>
      <c r="W1663" s="8" t="s">
        <v>7834</v>
      </c>
    </row>
    <row r="1664" spans="1:23" x14ac:dyDescent="0.25">
      <c r="A1664" s="2">
        <v>1321</v>
      </c>
      <c r="B1664" s="3" t="s">
        <v>5448</v>
      </c>
      <c r="C1664" s="3">
        <v>2024</v>
      </c>
      <c r="D1664" s="3" t="s">
        <v>14</v>
      </c>
      <c r="E1664" s="3" t="s">
        <v>15</v>
      </c>
      <c r="F1664" s="1" t="s">
        <v>7834</v>
      </c>
      <c r="G1664" s="10"/>
      <c r="H1664" s="10"/>
      <c r="I1664" s="10"/>
      <c r="J1664" s="10"/>
      <c r="K1664" s="10"/>
      <c r="L1664" s="3" t="s">
        <v>5452</v>
      </c>
      <c r="M1664" s="3" t="s">
        <v>5453</v>
      </c>
      <c r="N1664" s="3" t="s">
        <v>5454</v>
      </c>
      <c r="O1664" s="3"/>
      <c r="P1664" s="3"/>
      <c r="Q1664" s="3"/>
      <c r="R1664" s="3" t="s">
        <v>5455</v>
      </c>
      <c r="S1664" s="3" t="s">
        <v>5456</v>
      </c>
      <c r="T1664" s="3" t="s">
        <v>21</v>
      </c>
      <c r="U1664" s="11">
        <v>64</v>
      </c>
      <c r="V1664" s="3" t="s">
        <v>5448</v>
      </c>
      <c r="W1664" s="8" t="s">
        <v>7834</v>
      </c>
    </row>
    <row r="1665" spans="1:23" x14ac:dyDescent="0.25">
      <c r="A1665" s="2">
        <v>1322</v>
      </c>
      <c r="B1665" s="3" t="s">
        <v>5448</v>
      </c>
      <c r="C1665" s="3">
        <v>2024</v>
      </c>
      <c r="D1665" s="3" t="s">
        <v>1669</v>
      </c>
      <c r="E1665" s="3" t="s">
        <v>15</v>
      </c>
      <c r="F1665" s="1" t="s">
        <v>7834</v>
      </c>
      <c r="G1665" s="10"/>
      <c r="H1665" s="10"/>
      <c r="I1665" s="10"/>
      <c r="J1665" s="10"/>
      <c r="K1665" s="10"/>
      <c r="L1665" s="3" t="s">
        <v>5457</v>
      </c>
      <c r="M1665" s="3" t="s">
        <v>5458</v>
      </c>
      <c r="N1665" s="3" t="s">
        <v>4012</v>
      </c>
      <c r="O1665" s="3"/>
      <c r="P1665" s="3"/>
      <c r="Q1665" s="3"/>
      <c r="R1665" s="3" t="s">
        <v>4013</v>
      </c>
      <c r="S1665" s="3" t="s">
        <v>5459</v>
      </c>
      <c r="T1665" s="3" t="s">
        <v>21</v>
      </c>
      <c r="U1665" s="11">
        <v>65</v>
      </c>
      <c r="V1665" s="3" t="s">
        <v>5448</v>
      </c>
      <c r="W1665" s="8" t="s">
        <v>7834</v>
      </c>
    </row>
    <row r="1666" spans="1:23" x14ac:dyDescent="0.25">
      <c r="A1666" s="2">
        <v>1323</v>
      </c>
      <c r="B1666" s="3" t="s">
        <v>5448</v>
      </c>
      <c r="C1666" s="3">
        <v>2024</v>
      </c>
      <c r="D1666" s="3" t="s">
        <v>14</v>
      </c>
      <c r="E1666" s="3" t="s">
        <v>15</v>
      </c>
      <c r="F1666" s="1" t="s">
        <v>7834</v>
      </c>
      <c r="G1666" s="10"/>
      <c r="H1666" s="10"/>
      <c r="I1666" s="10"/>
      <c r="J1666" s="10"/>
      <c r="K1666" s="10"/>
      <c r="L1666" s="3" t="s">
        <v>5460</v>
      </c>
      <c r="M1666" s="3" t="s">
        <v>5461</v>
      </c>
      <c r="N1666" s="3" t="s">
        <v>3868</v>
      </c>
      <c r="O1666" s="3">
        <v>171</v>
      </c>
      <c r="P1666" s="3"/>
      <c r="Q1666" s="3">
        <v>9</v>
      </c>
      <c r="R1666" s="3" t="s">
        <v>3869</v>
      </c>
      <c r="S1666" s="3" t="s">
        <v>5462</v>
      </c>
      <c r="T1666" s="3" t="s">
        <v>21</v>
      </c>
      <c r="U1666" s="11">
        <v>66</v>
      </c>
      <c r="V1666" s="3" t="s">
        <v>5448</v>
      </c>
      <c r="W1666" s="8" t="s">
        <v>7834</v>
      </c>
    </row>
    <row r="1667" spans="1:23" x14ac:dyDescent="0.25">
      <c r="A1667" s="2">
        <v>1324</v>
      </c>
      <c r="B1667" s="3" t="s">
        <v>5448</v>
      </c>
      <c r="C1667" s="3">
        <v>2024</v>
      </c>
      <c r="D1667" s="3" t="s">
        <v>2567</v>
      </c>
      <c r="E1667" s="3" t="s">
        <v>15</v>
      </c>
      <c r="F1667" s="1" t="s">
        <v>7834</v>
      </c>
      <c r="G1667" s="10"/>
      <c r="H1667" s="10"/>
      <c r="I1667" s="10"/>
      <c r="J1667" s="10"/>
      <c r="K1667" s="10"/>
      <c r="L1667" s="3" t="s">
        <v>5463</v>
      </c>
      <c r="M1667" s="3" t="s">
        <v>5464</v>
      </c>
      <c r="N1667" s="3" t="s">
        <v>5454</v>
      </c>
      <c r="O1667" s="3"/>
      <c r="P1667" s="3"/>
      <c r="Q1667" s="3"/>
      <c r="R1667" s="3" t="s">
        <v>5465</v>
      </c>
      <c r="S1667" s="3" t="s">
        <v>5466</v>
      </c>
      <c r="T1667" s="3" t="s">
        <v>21</v>
      </c>
      <c r="U1667" s="11">
        <v>67</v>
      </c>
      <c r="V1667" s="3" t="s">
        <v>5448</v>
      </c>
      <c r="W1667" s="8" t="s">
        <v>7834</v>
      </c>
    </row>
    <row r="1668" spans="1:23" x14ac:dyDescent="0.25">
      <c r="A1668" s="2">
        <v>1325</v>
      </c>
      <c r="B1668" s="3" t="s">
        <v>5448</v>
      </c>
      <c r="C1668" s="3">
        <v>2024</v>
      </c>
      <c r="D1668" s="3" t="s">
        <v>59</v>
      </c>
      <c r="E1668" s="3" t="s">
        <v>15</v>
      </c>
      <c r="F1668" s="1" t="s">
        <v>7834</v>
      </c>
      <c r="G1668" s="10"/>
      <c r="H1668" s="10"/>
      <c r="I1668" s="10"/>
      <c r="J1668" s="10"/>
      <c r="K1668" s="10"/>
      <c r="L1668" s="3" t="s">
        <v>5467</v>
      </c>
      <c r="M1668" s="3" t="s">
        <v>5468</v>
      </c>
      <c r="N1668" s="3" t="s">
        <v>5454</v>
      </c>
      <c r="O1668" s="3">
        <v>36</v>
      </c>
      <c r="P1668" s="3"/>
      <c r="Q1668" s="3">
        <v>2029</v>
      </c>
      <c r="R1668" s="3" t="s">
        <v>5465</v>
      </c>
      <c r="S1668" s="3" t="s">
        <v>5469</v>
      </c>
      <c r="T1668" s="3" t="s">
        <v>21</v>
      </c>
      <c r="U1668" s="11">
        <v>68</v>
      </c>
      <c r="V1668" s="3" t="s">
        <v>5448</v>
      </c>
      <c r="W1668" s="8" t="s">
        <v>7834</v>
      </c>
    </row>
    <row r="1669" spans="1:23" x14ac:dyDescent="0.25">
      <c r="A1669" s="2">
        <v>1326</v>
      </c>
      <c r="B1669" s="3" t="s">
        <v>5448</v>
      </c>
      <c r="C1669" s="3">
        <v>2024</v>
      </c>
      <c r="D1669" s="3" t="s">
        <v>14</v>
      </c>
      <c r="E1669" s="3" t="s">
        <v>15</v>
      </c>
      <c r="F1669" s="1" t="s">
        <v>7834</v>
      </c>
      <c r="G1669" s="10"/>
      <c r="H1669" s="10"/>
      <c r="I1669" s="10"/>
      <c r="J1669" s="10"/>
      <c r="K1669" s="10"/>
      <c r="L1669" s="3" t="s">
        <v>5470</v>
      </c>
      <c r="M1669" s="3" t="s">
        <v>5471</v>
      </c>
      <c r="N1669" s="3" t="s">
        <v>5472</v>
      </c>
      <c r="O1669" s="3">
        <v>240</v>
      </c>
      <c r="P1669" s="3">
        <v>117465</v>
      </c>
      <c r="Q1669" s="3"/>
      <c r="R1669" s="3" t="s">
        <v>5473</v>
      </c>
      <c r="S1669" s="3" t="s">
        <v>5474</v>
      </c>
      <c r="T1669" s="3" t="s">
        <v>21</v>
      </c>
      <c r="U1669" s="11">
        <v>69</v>
      </c>
      <c r="V1669" s="3" t="s">
        <v>5448</v>
      </c>
      <c r="W1669" s="8" t="s">
        <v>7834</v>
      </c>
    </row>
    <row r="1670" spans="1:23" x14ac:dyDescent="0.25">
      <c r="A1670" s="2">
        <v>1327</v>
      </c>
      <c r="B1670" s="3" t="s">
        <v>5448</v>
      </c>
      <c r="C1670" s="3">
        <v>2024</v>
      </c>
      <c r="D1670" s="3" t="s">
        <v>1096</v>
      </c>
      <c r="E1670" s="3" t="s">
        <v>15</v>
      </c>
      <c r="F1670" s="1" t="s">
        <v>7834</v>
      </c>
      <c r="G1670" s="10"/>
      <c r="H1670" s="10"/>
      <c r="I1670" s="10"/>
      <c r="J1670" s="10"/>
      <c r="K1670" s="10"/>
      <c r="L1670" s="3" t="s">
        <v>5475</v>
      </c>
      <c r="M1670" s="3" t="s">
        <v>5476</v>
      </c>
      <c r="N1670" s="3" t="s">
        <v>5477</v>
      </c>
      <c r="O1670" s="3">
        <v>15</v>
      </c>
      <c r="P1670" s="3"/>
      <c r="Q1670" s="3">
        <v>1336</v>
      </c>
      <c r="R1670" s="3" t="s">
        <v>5478</v>
      </c>
      <c r="S1670" s="3" t="s">
        <v>5479</v>
      </c>
      <c r="T1670" s="3" t="s">
        <v>21</v>
      </c>
      <c r="U1670" s="11">
        <v>70</v>
      </c>
      <c r="V1670" s="3" t="s">
        <v>5448</v>
      </c>
      <c r="W1670" s="8" t="s">
        <v>7834</v>
      </c>
    </row>
    <row r="1671" spans="1:23" x14ac:dyDescent="0.25">
      <c r="A1671" s="2">
        <v>1328</v>
      </c>
      <c r="B1671" s="3" t="s">
        <v>5448</v>
      </c>
      <c r="C1671" s="3">
        <v>2024</v>
      </c>
      <c r="D1671" s="3" t="s">
        <v>1669</v>
      </c>
      <c r="E1671" s="3" t="s">
        <v>15</v>
      </c>
      <c r="F1671" s="1" t="s">
        <v>7834</v>
      </c>
      <c r="G1671" s="10"/>
      <c r="H1671" s="10"/>
      <c r="I1671" s="10"/>
      <c r="J1671" s="10"/>
      <c r="K1671" s="10"/>
      <c r="L1671" s="3" t="s">
        <v>5480</v>
      </c>
      <c r="M1671" s="3" t="s">
        <v>5458</v>
      </c>
      <c r="N1671" s="3" t="s">
        <v>4012</v>
      </c>
      <c r="O1671" s="3">
        <v>7</v>
      </c>
      <c r="P1671" s="3"/>
      <c r="Q1671" s="3"/>
      <c r="R1671" s="3" t="s">
        <v>5481</v>
      </c>
      <c r="S1671" s="3" t="s">
        <v>5459</v>
      </c>
      <c r="T1671" s="3" t="s">
        <v>21</v>
      </c>
      <c r="U1671" s="11">
        <v>71</v>
      </c>
      <c r="V1671" s="3" t="s">
        <v>5448</v>
      </c>
      <c r="W1671" s="8" t="s">
        <v>7834</v>
      </c>
    </row>
    <row r="1672" spans="1:23" x14ac:dyDescent="0.25">
      <c r="A1672" s="2">
        <v>1330</v>
      </c>
      <c r="B1672" s="3" t="s">
        <v>5448</v>
      </c>
      <c r="C1672" s="3">
        <v>2024</v>
      </c>
      <c r="D1672" s="3" t="s">
        <v>5487</v>
      </c>
      <c r="E1672" s="3" t="s">
        <v>15</v>
      </c>
      <c r="F1672" s="1" t="s">
        <v>7834</v>
      </c>
      <c r="G1672" s="10"/>
      <c r="H1672" s="10"/>
      <c r="I1672" s="10"/>
      <c r="J1672" s="10"/>
      <c r="K1672" s="10"/>
      <c r="L1672" s="3" t="s">
        <v>5488</v>
      </c>
      <c r="M1672" s="3" t="s">
        <v>5489</v>
      </c>
      <c r="N1672" s="3" t="s">
        <v>1639</v>
      </c>
      <c r="O1672" s="3"/>
      <c r="P1672" s="3"/>
      <c r="Q1672" s="3"/>
      <c r="R1672" s="3" t="s">
        <v>342</v>
      </c>
      <c r="S1672" s="3" t="s">
        <v>5490</v>
      </c>
      <c r="T1672" s="3" t="s">
        <v>21</v>
      </c>
      <c r="U1672" s="11">
        <v>72</v>
      </c>
      <c r="V1672" s="3" t="s">
        <v>5448</v>
      </c>
      <c r="W1672" s="8" t="s">
        <v>7834</v>
      </c>
    </row>
    <row r="1673" spans="1:23" x14ac:dyDescent="0.25">
      <c r="A1673" s="2">
        <v>1331</v>
      </c>
      <c r="B1673" s="3" t="s">
        <v>5448</v>
      </c>
      <c r="C1673" s="3">
        <v>2024</v>
      </c>
      <c r="D1673" s="3" t="s">
        <v>2618</v>
      </c>
      <c r="E1673" s="3" t="s">
        <v>15</v>
      </c>
      <c r="F1673" s="1" t="s">
        <v>7834</v>
      </c>
      <c r="G1673" s="10"/>
      <c r="H1673" s="10"/>
      <c r="I1673" s="10"/>
      <c r="J1673" s="10"/>
      <c r="K1673" s="10"/>
      <c r="L1673" s="3" t="s">
        <v>5491</v>
      </c>
      <c r="M1673" s="3" t="s">
        <v>5492</v>
      </c>
      <c r="N1673" s="3" t="s">
        <v>5493</v>
      </c>
      <c r="O1673" s="3"/>
      <c r="P1673" s="3"/>
      <c r="Q1673" s="3"/>
      <c r="R1673" s="3" t="s">
        <v>5494</v>
      </c>
      <c r="S1673" s="3" t="s">
        <v>5495</v>
      </c>
      <c r="T1673" s="3" t="s">
        <v>21</v>
      </c>
      <c r="U1673" s="11">
        <v>73</v>
      </c>
      <c r="V1673" s="3" t="s">
        <v>5448</v>
      </c>
      <c r="W1673" s="8" t="s">
        <v>7834</v>
      </c>
    </row>
    <row r="1674" spans="1:23" x14ac:dyDescent="0.25">
      <c r="A1674" s="2">
        <v>1332</v>
      </c>
      <c r="B1674" s="3" t="s">
        <v>5448</v>
      </c>
      <c r="C1674" s="3">
        <v>2024</v>
      </c>
      <c r="D1674" s="3" t="s">
        <v>1363</v>
      </c>
      <c r="E1674" s="3" t="s">
        <v>15</v>
      </c>
      <c r="F1674" s="1" t="s">
        <v>7834</v>
      </c>
      <c r="G1674" s="10"/>
      <c r="H1674" s="10"/>
      <c r="I1674" s="10"/>
      <c r="J1674" s="10"/>
      <c r="K1674" s="10"/>
      <c r="L1674" s="3" t="s">
        <v>5496</v>
      </c>
      <c r="M1674" s="3" t="s">
        <v>5497</v>
      </c>
      <c r="N1674" s="3" t="s">
        <v>1677</v>
      </c>
      <c r="O1674" s="3">
        <v>13</v>
      </c>
      <c r="P1674" s="3">
        <v>3267</v>
      </c>
      <c r="Q1674" s="3"/>
      <c r="R1674" s="3" t="s">
        <v>1678</v>
      </c>
      <c r="S1674" s="3" t="s">
        <v>5498</v>
      </c>
      <c r="T1674" s="3" t="s">
        <v>21</v>
      </c>
      <c r="U1674" s="11">
        <v>74</v>
      </c>
      <c r="V1674" s="3" t="s">
        <v>5448</v>
      </c>
      <c r="W1674" s="8" t="s">
        <v>7834</v>
      </c>
    </row>
    <row r="1675" spans="1:23" x14ac:dyDescent="0.25">
      <c r="A1675" s="2">
        <v>1333</v>
      </c>
      <c r="B1675" s="3" t="s">
        <v>5448</v>
      </c>
      <c r="C1675" s="3">
        <v>2024</v>
      </c>
      <c r="D1675" s="3" t="s">
        <v>401</v>
      </c>
      <c r="E1675" s="3" t="s">
        <v>15</v>
      </c>
      <c r="F1675" s="1" t="s">
        <v>7834</v>
      </c>
      <c r="G1675" s="10"/>
      <c r="H1675" s="10"/>
      <c r="I1675" s="10"/>
      <c r="J1675" s="10"/>
      <c r="K1675" s="10"/>
      <c r="L1675" s="3" t="s">
        <v>5499</v>
      </c>
      <c r="M1675" s="3" t="s">
        <v>5500</v>
      </c>
      <c r="N1675" s="3" t="s">
        <v>5501</v>
      </c>
      <c r="O1675" s="3"/>
      <c r="P1675" s="3"/>
      <c r="Q1675" s="3"/>
      <c r="R1675" s="3" t="s">
        <v>5502</v>
      </c>
      <c r="S1675" s="3" t="s">
        <v>5503</v>
      </c>
      <c r="T1675" s="3" t="s">
        <v>21</v>
      </c>
      <c r="U1675" s="11">
        <v>75</v>
      </c>
      <c r="V1675" s="3" t="s">
        <v>5448</v>
      </c>
      <c r="W1675" s="8" t="s">
        <v>7834</v>
      </c>
    </row>
    <row r="1676" spans="1:23" x14ac:dyDescent="0.25">
      <c r="A1676" s="2">
        <v>1334</v>
      </c>
      <c r="B1676" s="3" t="s">
        <v>5448</v>
      </c>
      <c r="C1676" s="3">
        <v>2024</v>
      </c>
      <c r="D1676" s="3" t="s">
        <v>295</v>
      </c>
      <c r="E1676" s="3" t="s">
        <v>15</v>
      </c>
      <c r="F1676" s="1" t="s">
        <v>7834</v>
      </c>
      <c r="G1676" s="10"/>
      <c r="H1676" s="10"/>
      <c r="I1676" s="10"/>
      <c r="J1676" s="10"/>
      <c r="K1676" s="10"/>
      <c r="L1676" s="3" t="s">
        <v>5504</v>
      </c>
      <c r="M1676" s="3" t="s">
        <v>5505</v>
      </c>
      <c r="N1676" s="3" t="s">
        <v>5506</v>
      </c>
      <c r="O1676" s="3">
        <v>187</v>
      </c>
      <c r="P1676" s="3"/>
      <c r="Q1676" s="3">
        <v>6943</v>
      </c>
      <c r="R1676" s="3" t="s">
        <v>5507</v>
      </c>
      <c r="S1676" s="3" t="s">
        <v>5508</v>
      </c>
      <c r="T1676" s="3" t="s">
        <v>21</v>
      </c>
      <c r="U1676" s="11">
        <v>76</v>
      </c>
      <c r="V1676" s="3" t="s">
        <v>5448</v>
      </c>
      <c r="W1676" s="8" t="s">
        <v>7834</v>
      </c>
    </row>
    <row r="1677" spans="1:23" x14ac:dyDescent="0.25">
      <c r="A1677" s="2">
        <v>1335</v>
      </c>
      <c r="B1677" s="3" t="s">
        <v>5448</v>
      </c>
      <c r="C1677" s="3">
        <v>2024</v>
      </c>
      <c r="D1677" s="3" t="s">
        <v>4217</v>
      </c>
      <c r="E1677" s="3" t="s">
        <v>15</v>
      </c>
      <c r="F1677" s="1" t="s">
        <v>7834</v>
      </c>
      <c r="G1677" s="10"/>
      <c r="H1677" s="10"/>
      <c r="I1677" s="10"/>
      <c r="J1677" s="10"/>
      <c r="K1677" s="10"/>
      <c r="L1677" s="3" t="s">
        <v>5509</v>
      </c>
      <c r="M1677" s="3" t="s">
        <v>5510</v>
      </c>
      <c r="N1677" s="3" t="s">
        <v>874</v>
      </c>
      <c r="O1677" s="3">
        <v>14</v>
      </c>
      <c r="P1677" s="3">
        <v>18577</v>
      </c>
      <c r="Q1677" s="3"/>
      <c r="R1677" s="3" t="s">
        <v>1002</v>
      </c>
      <c r="S1677" s="3" t="s">
        <v>5511</v>
      </c>
      <c r="T1677" s="3" t="s">
        <v>21</v>
      </c>
      <c r="U1677" s="11">
        <v>77</v>
      </c>
      <c r="V1677" s="3" t="s">
        <v>5448</v>
      </c>
      <c r="W1677" s="8" t="s">
        <v>7834</v>
      </c>
    </row>
    <row r="1678" spans="1:23" x14ac:dyDescent="0.25">
      <c r="A1678" s="2">
        <v>1336</v>
      </c>
      <c r="B1678" s="3" t="s">
        <v>5448</v>
      </c>
      <c r="C1678" s="3">
        <v>2024</v>
      </c>
      <c r="D1678" s="3" t="s">
        <v>1788</v>
      </c>
      <c r="E1678" s="3" t="s">
        <v>15</v>
      </c>
      <c r="F1678" s="1" t="s">
        <v>7834</v>
      </c>
      <c r="G1678" s="10">
        <v>17</v>
      </c>
      <c r="H1678" s="10"/>
      <c r="I1678" s="10"/>
      <c r="J1678" s="10"/>
      <c r="K1678" s="10"/>
      <c r="L1678" s="3" t="s">
        <v>5512</v>
      </c>
      <c r="M1678" s="3" t="s">
        <v>5513</v>
      </c>
      <c r="N1678" s="3" t="s">
        <v>4050</v>
      </c>
      <c r="O1678" s="3">
        <v>82</v>
      </c>
      <c r="P1678" s="3">
        <v>103604</v>
      </c>
      <c r="Q1678" s="3"/>
      <c r="R1678" s="3" t="s">
        <v>4051</v>
      </c>
      <c r="S1678" s="3" t="s">
        <v>5514</v>
      </c>
      <c r="T1678" s="3" t="s">
        <v>21</v>
      </c>
      <c r="U1678" s="11">
        <v>78</v>
      </c>
      <c r="V1678" s="3" t="s">
        <v>5448</v>
      </c>
      <c r="W1678" s="8" t="s">
        <v>7834</v>
      </c>
    </row>
    <row r="1679" spans="1:23" x14ac:dyDescent="0.25">
      <c r="A1679" s="2">
        <v>1338</v>
      </c>
      <c r="B1679" s="3" t="s">
        <v>5515</v>
      </c>
      <c r="C1679" s="3">
        <v>2024</v>
      </c>
      <c r="D1679" s="3" t="s">
        <v>59</v>
      </c>
      <c r="E1679" s="3" t="s">
        <v>15</v>
      </c>
      <c r="F1679" s="1" t="s">
        <v>7834</v>
      </c>
      <c r="G1679" s="10"/>
      <c r="H1679" s="10"/>
      <c r="I1679" s="10"/>
      <c r="J1679" s="10"/>
      <c r="K1679" s="10"/>
      <c r="L1679" s="3" t="s">
        <v>5519</v>
      </c>
      <c r="M1679" s="3" t="s">
        <v>5520</v>
      </c>
      <c r="N1679" s="3" t="s">
        <v>1850</v>
      </c>
      <c r="O1679" s="3"/>
      <c r="P1679" s="3"/>
      <c r="Q1679" s="3"/>
      <c r="R1679" s="3" t="s">
        <v>2355</v>
      </c>
      <c r="S1679" s="3" t="s">
        <v>5521</v>
      </c>
      <c r="T1679" s="3" t="s">
        <v>21</v>
      </c>
      <c r="U1679" s="11">
        <v>79</v>
      </c>
      <c r="V1679" s="3" t="s">
        <v>5515</v>
      </c>
      <c r="W1679" s="8" t="s">
        <v>7834</v>
      </c>
    </row>
    <row r="1680" spans="1:23" x14ac:dyDescent="0.25">
      <c r="A1680" s="2">
        <v>1339</v>
      </c>
      <c r="B1680" s="3" t="s">
        <v>5515</v>
      </c>
      <c r="C1680" s="3">
        <v>2024</v>
      </c>
      <c r="D1680" s="3" t="s">
        <v>4502</v>
      </c>
      <c r="E1680" s="3" t="s">
        <v>15</v>
      </c>
      <c r="F1680" s="1" t="s">
        <v>7834</v>
      </c>
      <c r="G1680" s="10"/>
      <c r="H1680" s="10"/>
      <c r="I1680" s="10"/>
      <c r="J1680" s="10"/>
      <c r="K1680" s="10"/>
      <c r="L1680" s="3" t="s">
        <v>5522</v>
      </c>
      <c r="M1680" s="3" t="s">
        <v>5523</v>
      </c>
      <c r="N1680" s="3" t="s">
        <v>5524</v>
      </c>
      <c r="O1680" s="3">
        <v>13</v>
      </c>
      <c r="P1680" s="3">
        <v>24</v>
      </c>
      <c r="Q1680" s="3"/>
      <c r="R1680" s="3" t="s">
        <v>5525</v>
      </c>
      <c r="S1680" s="3" t="s">
        <v>5526</v>
      </c>
      <c r="T1680" s="3" t="s">
        <v>21</v>
      </c>
      <c r="U1680" s="11">
        <v>80</v>
      </c>
      <c r="V1680" s="3" t="s">
        <v>5515</v>
      </c>
      <c r="W1680" s="8" t="s">
        <v>7834</v>
      </c>
    </row>
    <row r="1681" spans="1:23" x14ac:dyDescent="0.25">
      <c r="A1681" s="2">
        <v>1340</v>
      </c>
      <c r="B1681" s="3" t="s">
        <v>5515</v>
      </c>
      <c r="C1681" s="3">
        <v>2024</v>
      </c>
      <c r="D1681" s="3" t="s">
        <v>1622</v>
      </c>
      <c r="E1681" s="3" t="s">
        <v>15</v>
      </c>
      <c r="F1681" s="1" t="s">
        <v>7834</v>
      </c>
      <c r="G1681" s="10"/>
      <c r="H1681" s="10"/>
      <c r="I1681" s="10"/>
      <c r="J1681" s="10"/>
      <c r="K1681" s="10"/>
      <c r="L1681" s="3" t="s">
        <v>5527</v>
      </c>
      <c r="M1681" s="3" t="s">
        <v>5528</v>
      </c>
      <c r="N1681" s="3" t="s">
        <v>5529</v>
      </c>
      <c r="O1681" s="3">
        <v>227</v>
      </c>
      <c r="P1681" s="3" t="s">
        <v>5530</v>
      </c>
      <c r="Q1681" s="3"/>
      <c r="R1681" s="3">
        <v>1681699</v>
      </c>
      <c r="S1681" s="3" t="s">
        <v>5531</v>
      </c>
      <c r="T1681" s="3" t="s">
        <v>21</v>
      </c>
      <c r="U1681" s="11">
        <v>81</v>
      </c>
      <c r="V1681" s="3" t="s">
        <v>5515</v>
      </c>
      <c r="W1681" s="8" t="s">
        <v>7834</v>
      </c>
    </row>
    <row r="1682" spans="1:23" x14ac:dyDescent="0.25">
      <c r="A1682" s="2">
        <v>1341</v>
      </c>
      <c r="B1682" s="3" t="s">
        <v>5515</v>
      </c>
      <c r="C1682" s="3">
        <v>2024</v>
      </c>
      <c r="D1682" s="3" t="s">
        <v>822</v>
      </c>
      <c r="E1682" s="3" t="s">
        <v>15</v>
      </c>
      <c r="F1682" s="1" t="s">
        <v>7834</v>
      </c>
      <c r="G1682" s="10"/>
      <c r="H1682" s="10"/>
      <c r="I1682" s="10"/>
      <c r="J1682" s="10"/>
      <c r="K1682" s="10"/>
      <c r="L1682" s="3" t="s">
        <v>5532</v>
      </c>
      <c r="M1682" s="3" t="s">
        <v>5533</v>
      </c>
      <c r="N1682" s="3" t="s">
        <v>5534</v>
      </c>
      <c r="O1682" s="3">
        <v>14</v>
      </c>
      <c r="P1682" s="3">
        <v>11</v>
      </c>
      <c r="Q1682" s="3"/>
      <c r="R1682" s="3" t="s">
        <v>5535</v>
      </c>
      <c r="S1682" s="3" t="s">
        <v>5536</v>
      </c>
      <c r="T1682" s="3" t="s">
        <v>21</v>
      </c>
      <c r="U1682" s="11">
        <v>82</v>
      </c>
      <c r="V1682" s="3" t="s">
        <v>5515</v>
      </c>
      <c r="W1682" s="8" t="s">
        <v>7834</v>
      </c>
    </row>
    <row r="1683" spans="1:23" x14ac:dyDescent="0.25">
      <c r="A1683" s="2">
        <v>1342</v>
      </c>
      <c r="B1683" s="3" t="s">
        <v>5515</v>
      </c>
      <c r="C1683" s="3">
        <v>2024</v>
      </c>
      <c r="D1683" s="3" t="s">
        <v>2510</v>
      </c>
      <c r="E1683" s="3" t="s">
        <v>15</v>
      </c>
      <c r="F1683" s="1" t="s">
        <v>7834</v>
      </c>
      <c r="G1683" s="10"/>
      <c r="H1683" s="10"/>
      <c r="I1683" s="10"/>
      <c r="J1683" s="10"/>
      <c r="K1683" s="10"/>
      <c r="L1683" s="3" t="s">
        <v>5537</v>
      </c>
      <c r="M1683" s="3" t="s">
        <v>5538</v>
      </c>
      <c r="N1683" s="3" t="s">
        <v>1692</v>
      </c>
      <c r="O1683" s="3"/>
      <c r="P1683" s="3"/>
      <c r="Q1683" s="3"/>
      <c r="R1683" s="3" t="s">
        <v>1693</v>
      </c>
      <c r="S1683" s="3" t="s">
        <v>5539</v>
      </c>
      <c r="T1683" s="3" t="s">
        <v>21</v>
      </c>
      <c r="U1683" s="11">
        <v>83</v>
      </c>
      <c r="V1683" s="3" t="s">
        <v>5515</v>
      </c>
      <c r="W1683" s="8" t="s">
        <v>7834</v>
      </c>
    </row>
    <row r="1684" spans="1:23" x14ac:dyDescent="0.25">
      <c r="A1684" s="2">
        <v>1343</v>
      </c>
      <c r="B1684" s="3" t="s">
        <v>5515</v>
      </c>
      <c r="C1684" s="3">
        <v>2024</v>
      </c>
      <c r="D1684" s="3" t="s">
        <v>579</v>
      </c>
      <c r="E1684" s="3" t="s">
        <v>15</v>
      </c>
      <c r="F1684" s="1" t="s">
        <v>7834</v>
      </c>
      <c r="G1684" s="10"/>
      <c r="H1684" s="10"/>
      <c r="I1684" s="10"/>
      <c r="J1684" s="10"/>
      <c r="K1684" s="10"/>
      <c r="L1684" s="3" t="s">
        <v>5540</v>
      </c>
      <c r="M1684" s="3" t="s">
        <v>5541</v>
      </c>
      <c r="N1684" s="3" t="s">
        <v>1835</v>
      </c>
      <c r="O1684" s="3">
        <v>24</v>
      </c>
      <c r="P1684" s="3">
        <v>3</v>
      </c>
      <c r="Q1684" s="3"/>
      <c r="R1684" s="3" t="s">
        <v>1836</v>
      </c>
      <c r="S1684" s="3" t="s">
        <v>5542</v>
      </c>
      <c r="T1684" s="3" t="s">
        <v>21</v>
      </c>
      <c r="U1684" s="11">
        <v>84</v>
      </c>
      <c r="V1684" s="3" t="s">
        <v>5515</v>
      </c>
      <c r="W1684" s="8" t="s">
        <v>7834</v>
      </c>
    </row>
    <row r="1685" spans="1:23" x14ac:dyDescent="0.25">
      <c r="A1685" s="2">
        <v>1344</v>
      </c>
      <c r="B1685" s="3" t="s">
        <v>5515</v>
      </c>
      <c r="C1685" s="3">
        <v>2024</v>
      </c>
      <c r="D1685" s="3" t="s">
        <v>2197</v>
      </c>
      <c r="E1685" s="3" t="s">
        <v>15</v>
      </c>
      <c r="F1685" s="1" t="s">
        <v>7834</v>
      </c>
      <c r="G1685" s="10"/>
      <c r="H1685" s="10"/>
      <c r="I1685" s="10"/>
      <c r="J1685" s="10"/>
      <c r="K1685" s="10"/>
      <c r="L1685" s="3" t="s">
        <v>5543</v>
      </c>
      <c r="M1685" s="3" t="s">
        <v>5544</v>
      </c>
      <c r="N1685" s="3" t="s">
        <v>5545</v>
      </c>
      <c r="O1685" s="3"/>
      <c r="P1685" s="3"/>
      <c r="Q1685" s="3"/>
      <c r="R1685" s="3" t="s">
        <v>5546</v>
      </c>
      <c r="S1685" s="3" t="s">
        <v>5547</v>
      </c>
      <c r="T1685" s="3" t="s">
        <v>21</v>
      </c>
      <c r="U1685" s="11">
        <v>85</v>
      </c>
      <c r="V1685" s="3" t="s">
        <v>5515</v>
      </c>
      <c r="W1685" s="8" t="s">
        <v>7834</v>
      </c>
    </row>
    <row r="1686" spans="1:23" x14ac:dyDescent="0.25">
      <c r="A1686" s="2">
        <v>1345</v>
      </c>
      <c r="B1686" s="3" t="s">
        <v>5515</v>
      </c>
      <c r="C1686" s="3">
        <v>2024</v>
      </c>
      <c r="D1686" s="3" t="s">
        <v>1440</v>
      </c>
      <c r="E1686" s="3" t="s">
        <v>15</v>
      </c>
      <c r="F1686" s="1" t="s">
        <v>7834</v>
      </c>
      <c r="G1686" s="10"/>
      <c r="H1686" s="10"/>
      <c r="I1686" s="10"/>
      <c r="J1686" s="10"/>
      <c r="K1686" s="10"/>
      <c r="L1686" s="3" t="s">
        <v>5548</v>
      </c>
      <c r="M1686" s="3" t="s">
        <v>5549</v>
      </c>
      <c r="N1686" s="3" t="s">
        <v>1692</v>
      </c>
      <c r="O1686" s="3"/>
      <c r="P1686" s="3"/>
      <c r="Q1686" s="3"/>
      <c r="R1686" s="3" t="s">
        <v>1693</v>
      </c>
      <c r="S1686" s="3" t="s">
        <v>5550</v>
      </c>
      <c r="T1686" s="3" t="s">
        <v>21</v>
      </c>
      <c r="U1686" s="11">
        <v>86</v>
      </c>
      <c r="V1686" s="3" t="s">
        <v>5515</v>
      </c>
      <c r="W1686" s="8" t="s">
        <v>7834</v>
      </c>
    </row>
    <row r="1687" spans="1:23" x14ac:dyDescent="0.25">
      <c r="A1687" s="2">
        <v>1346</v>
      </c>
      <c r="B1687" s="3" t="s">
        <v>5515</v>
      </c>
      <c r="C1687" s="3">
        <v>2024</v>
      </c>
      <c r="D1687" s="3" t="s">
        <v>167</v>
      </c>
      <c r="E1687" s="3" t="s">
        <v>114</v>
      </c>
      <c r="F1687" s="1" t="s">
        <v>7834</v>
      </c>
      <c r="G1687" s="10"/>
      <c r="H1687" s="10"/>
      <c r="I1687" s="10">
        <v>1</v>
      </c>
      <c r="J1687" s="10"/>
      <c r="K1687" s="10"/>
      <c r="L1687" s="3" t="s">
        <v>5551</v>
      </c>
      <c r="M1687" s="3" t="s">
        <v>5552</v>
      </c>
      <c r="N1687" s="3" t="s">
        <v>5553</v>
      </c>
      <c r="O1687" s="3">
        <v>29</v>
      </c>
      <c r="P1687" s="3">
        <v>12</v>
      </c>
      <c r="Q1687" s="3"/>
      <c r="R1687" s="3">
        <v>14203049</v>
      </c>
      <c r="S1687" s="3" t="s">
        <v>5554</v>
      </c>
      <c r="T1687" s="3" t="s">
        <v>21</v>
      </c>
      <c r="U1687" s="11">
        <v>87</v>
      </c>
      <c r="V1687" s="3" t="s">
        <v>5515</v>
      </c>
      <c r="W1687" s="8" t="s">
        <v>7834</v>
      </c>
    </row>
    <row r="1688" spans="1:23" x14ac:dyDescent="0.25">
      <c r="A1688" s="2">
        <v>1349</v>
      </c>
      <c r="B1688" s="3" t="s">
        <v>5560</v>
      </c>
      <c r="C1688" s="3">
        <v>2024</v>
      </c>
      <c r="D1688" s="3" t="s">
        <v>3558</v>
      </c>
      <c r="E1688" s="3" t="s">
        <v>15</v>
      </c>
      <c r="F1688" s="1" t="s">
        <v>7834</v>
      </c>
      <c r="G1688" s="10"/>
      <c r="H1688" s="10"/>
      <c r="I1688" s="10"/>
      <c r="J1688" s="10"/>
      <c r="K1688" s="10"/>
      <c r="L1688" s="3" t="s">
        <v>5564</v>
      </c>
      <c r="M1688" s="3" t="s">
        <v>5565</v>
      </c>
      <c r="N1688" s="3" t="s">
        <v>1850</v>
      </c>
      <c r="O1688" s="3"/>
      <c r="P1688" s="3"/>
      <c r="Q1688" s="3"/>
      <c r="R1688" s="3">
        <v>1</v>
      </c>
      <c r="S1688" s="3" t="s">
        <v>5566</v>
      </c>
      <c r="T1688" s="3" t="s">
        <v>21</v>
      </c>
      <c r="U1688" s="11">
        <v>88</v>
      </c>
      <c r="V1688" s="3" t="s">
        <v>5560</v>
      </c>
      <c r="W1688" s="8" t="s">
        <v>7834</v>
      </c>
    </row>
    <row r="1689" spans="1:23" x14ac:dyDescent="0.25">
      <c r="A1689" s="2">
        <v>1350</v>
      </c>
      <c r="B1689" s="3" t="s">
        <v>5560</v>
      </c>
      <c r="C1689" s="3">
        <v>2024</v>
      </c>
      <c r="D1689" s="3" t="s">
        <v>5567</v>
      </c>
      <c r="E1689" s="3" t="s">
        <v>15</v>
      </c>
      <c r="F1689" s="1" t="s">
        <v>7834</v>
      </c>
      <c r="G1689" s="10"/>
      <c r="H1689" s="10"/>
      <c r="I1689" s="10"/>
      <c r="J1689" s="10"/>
      <c r="K1689" s="10"/>
      <c r="L1689" s="3" t="s">
        <v>5568</v>
      </c>
      <c r="M1689" s="3" t="s">
        <v>5569</v>
      </c>
      <c r="N1689" s="3" t="s">
        <v>5570</v>
      </c>
      <c r="O1689" s="3"/>
      <c r="P1689" s="3"/>
      <c r="Q1689" s="3"/>
      <c r="R1689" s="3">
        <v>1</v>
      </c>
      <c r="S1689" s="3" t="s">
        <v>5571</v>
      </c>
      <c r="T1689" s="3" t="s">
        <v>21</v>
      </c>
      <c r="U1689" s="11">
        <v>89</v>
      </c>
      <c r="V1689" s="3" t="s">
        <v>5560</v>
      </c>
      <c r="W1689" s="8" t="s">
        <v>7834</v>
      </c>
    </row>
    <row r="1690" spans="1:23" x14ac:dyDescent="0.25">
      <c r="A1690" s="2">
        <v>1351</v>
      </c>
      <c r="B1690" s="3" t="s">
        <v>5560</v>
      </c>
      <c r="C1690" s="3">
        <v>2024</v>
      </c>
      <c r="D1690" s="3" t="s">
        <v>1863</v>
      </c>
      <c r="E1690" s="3" t="s">
        <v>15</v>
      </c>
      <c r="F1690" s="1" t="s">
        <v>7834</v>
      </c>
      <c r="G1690" s="10"/>
      <c r="H1690" s="10"/>
      <c r="I1690" s="10"/>
      <c r="J1690" s="10"/>
      <c r="K1690" s="10"/>
      <c r="L1690" s="3" t="s">
        <v>5572</v>
      </c>
      <c r="M1690" s="3" t="s">
        <v>5573</v>
      </c>
      <c r="N1690" s="3" t="s">
        <v>5574</v>
      </c>
      <c r="O1690" s="3"/>
      <c r="P1690" s="3"/>
      <c r="Q1690" s="3"/>
      <c r="R1690" s="3">
        <v>1</v>
      </c>
      <c r="S1690" s="3" t="s">
        <v>5575</v>
      </c>
      <c r="T1690" s="3" t="s">
        <v>21</v>
      </c>
      <c r="U1690" s="11">
        <v>90</v>
      </c>
      <c r="V1690" s="3" t="s">
        <v>5560</v>
      </c>
      <c r="W1690" s="8" t="s">
        <v>7834</v>
      </c>
    </row>
    <row r="1691" spans="1:23" x14ac:dyDescent="0.25">
      <c r="A1691" s="2">
        <v>1352</v>
      </c>
      <c r="B1691" s="3" t="s">
        <v>5560</v>
      </c>
      <c r="C1691" s="3">
        <v>2024</v>
      </c>
      <c r="D1691" s="3" t="s">
        <v>2629</v>
      </c>
      <c r="E1691" s="3" t="s">
        <v>15</v>
      </c>
      <c r="F1691" s="1" t="s">
        <v>7834</v>
      </c>
      <c r="G1691" s="10"/>
      <c r="H1691" s="10"/>
      <c r="I1691" s="10"/>
      <c r="J1691" s="10"/>
      <c r="K1691" s="10"/>
      <c r="L1691" s="3" t="s">
        <v>5576</v>
      </c>
      <c r="M1691" s="3" t="s">
        <v>5577</v>
      </c>
      <c r="N1691" s="3" t="s">
        <v>5578</v>
      </c>
      <c r="O1691" s="3"/>
      <c r="P1691" s="3"/>
      <c r="Q1691" s="3"/>
      <c r="R1691" s="3">
        <v>1</v>
      </c>
      <c r="S1691" s="3" t="s">
        <v>5579</v>
      </c>
      <c r="T1691" s="3" t="s">
        <v>21</v>
      </c>
      <c r="U1691" s="11">
        <v>91</v>
      </c>
      <c r="V1691" s="3" t="s">
        <v>5560</v>
      </c>
      <c r="W1691" s="8" t="s">
        <v>7834</v>
      </c>
    </row>
    <row r="1692" spans="1:23" x14ac:dyDescent="0.25">
      <c r="A1692" s="2">
        <v>1353</v>
      </c>
      <c r="B1692" s="3" t="s">
        <v>5560</v>
      </c>
      <c r="C1692" s="3">
        <v>2024</v>
      </c>
      <c r="D1692" s="3" t="s">
        <v>4990</v>
      </c>
      <c r="E1692" s="3" t="s">
        <v>15</v>
      </c>
      <c r="F1692" s="1" t="s">
        <v>7834</v>
      </c>
      <c r="G1692" s="10"/>
      <c r="H1692" s="10"/>
      <c r="I1692" s="10"/>
      <c r="J1692" s="10"/>
      <c r="K1692" s="10"/>
      <c r="L1692" s="3" t="s">
        <v>5580</v>
      </c>
      <c r="M1692" s="3" t="s">
        <v>5581</v>
      </c>
      <c r="N1692" s="3" t="s">
        <v>5582</v>
      </c>
      <c r="O1692" s="3"/>
      <c r="P1692" s="3"/>
      <c r="Q1692" s="3"/>
      <c r="R1692" s="3">
        <v>1</v>
      </c>
      <c r="S1692" s="3" t="s">
        <v>5583</v>
      </c>
      <c r="T1692" s="3" t="s">
        <v>21</v>
      </c>
      <c r="U1692" s="11">
        <v>92</v>
      </c>
      <c r="V1692" s="3" t="s">
        <v>5560</v>
      </c>
      <c r="W1692" s="8" t="s">
        <v>7834</v>
      </c>
    </row>
    <row r="1693" spans="1:23" x14ac:dyDescent="0.25">
      <c r="A1693" s="2">
        <v>1354</v>
      </c>
      <c r="B1693" s="3" t="s">
        <v>5560</v>
      </c>
      <c r="C1693" s="3">
        <v>2024</v>
      </c>
      <c r="D1693" s="3" t="s">
        <v>1151</v>
      </c>
      <c r="E1693" s="3" t="s">
        <v>15</v>
      </c>
      <c r="F1693" s="1" t="s">
        <v>7834</v>
      </c>
      <c r="G1693" s="10"/>
      <c r="H1693" s="10"/>
      <c r="I1693" s="10"/>
      <c r="J1693" s="10"/>
      <c r="K1693" s="10"/>
      <c r="L1693" s="3" t="s">
        <v>1632</v>
      </c>
      <c r="M1693" s="3" t="s">
        <v>5584</v>
      </c>
      <c r="N1693" s="3" t="s">
        <v>1634</v>
      </c>
      <c r="O1693" s="3"/>
      <c r="P1693" s="3"/>
      <c r="Q1693" s="3"/>
      <c r="R1693" s="3">
        <v>1</v>
      </c>
      <c r="S1693" s="3" t="s">
        <v>1636</v>
      </c>
      <c r="T1693" s="3" t="s">
        <v>21</v>
      </c>
      <c r="U1693" s="11">
        <v>93</v>
      </c>
      <c r="V1693" s="3" t="s">
        <v>5560</v>
      </c>
      <c r="W1693" s="8" t="s">
        <v>7834</v>
      </c>
    </row>
    <row r="1694" spans="1:23" x14ac:dyDescent="0.25">
      <c r="A1694" s="2">
        <v>1355</v>
      </c>
      <c r="B1694" s="3" t="s">
        <v>5560</v>
      </c>
      <c r="C1694" s="3">
        <v>2024</v>
      </c>
      <c r="D1694" s="3" t="s">
        <v>401</v>
      </c>
      <c r="E1694" s="3" t="s">
        <v>15</v>
      </c>
      <c r="F1694" s="1" t="s">
        <v>7834</v>
      </c>
      <c r="G1694" s="10"/>
      <c r="H1694" s="10"/>
      <c r="I1694" s="10"/>
      <c r="J1694" s="10"/>
      <c r="K1694" s="10"/>
      <c r="L1694" s="3" t="s">
        <v>5585</v>
      </c>
      <c r="M1694" s="3" t="s">
        <v>5586</v>
      </c>
      <c r="N1694" s="3" t="s">
        <v>874</v>
      </c>
      <c r="O1694" s="3"/>
      <c r="P1694" s="3"/>
      <c r="Q1694" s="3"/>
      <c r="R1694" s="3">
        <v>1</v>
      </c>
      <c r="S1694" s="3" t="s">
        <v>5587</v>
      </c>
      <c r="T1694" s="3" t="s">
        <v>21</v>
      </c>
      <c r="U1694" s="11">
        <v>94</v>
      </c>
      <c r="V1694" s="3" t="s">
        <v>5560</v>
      </c>
      <c r="W1694" s="8" t="s">
        <v>7834</v>
      </c>
    </row>
    <row r="1695" spans="1:23" x14ac:dyDescent="0.25">
      <c r="A1695" s="2">
        <v>1356</v>
      </c>
      <c r="B1695" s="3" t="s">
        <v>5560</v>
      </c>
      <c r="C1695" s="3">
        <v>2024</v>
      </c>
      <c r="D1695" s="3" t="s">
        <v>1132</v>
      </c>
      <c r="E1695" s="3" t="s">
        <v>15</v>
      </c>
      <c r="F1695" s="1" t="s">
        <v>7834</v>
      </c>
      <c r="G1695" s="10"/>
      <c r="H1695" s="10"/>
      <c r="I1695" s="10"/>
      <c r="J1695" s="10"/>
      <c r="K1695" s="10"/>
      <c r="L1695" s="3" t="s">
        <v>5588</v>
      </c>
      <c r="M1695" s="3" t="s">
        <v>5589</v>
      </c>
      <c r="N1695" s="3" t="s">
        <v>5590</v>
      </c>
      <c r="O1695" s="3"/>
      <c r="P1695" s="3"/>
      <c r="Q1695" s="3"/>
      <c r="R1695" s="3">
        <v>1</v>
      </c>
      <c r="S1695" s="3" t="s">
        <v>5591</v>
      </c>
      <c r="T1695" s="3" t="s">
        <v>21</v>
      </c>
      <c r="U1695" s="11">
        <v>95</v>
      </c>
      <c r="V1695" s="3" t="s">
        <v>5560</v>
      </c>
      <c r="W1695" s="8" t="s">
        <v>7834</v>
      </c>
    </row>
    <row r="1696" spans="1:23" x14ac:dyDescent="0.25">
      <c r="A1696" s="2">
        <v>1358</v>
      </c>
      <c r="B1696" s="3" t="s">
        <v>5596</v>
      </c>
      <c r="C1696" s="3">
        <v>2024</v>
      </c>
      <c r="D1696" s="3" t="s">
        <v>1507</v>
      </c>
      <c r="E1696" s="3" t="s">
        <v>15</v>
      </c>
      <c r="F1696" s="1" t="s">
        <v>7834</v>
      </c>
      <c r="G1696" s="10"/>
      <c r="H1696" s="10"/>
      <c r="I1696" s="10"/>
      <c r="J1696" s="10"/>
      <c r="K1696" s="10"/>
      <c r="L1696" s="3" t="s">
        <v>1508</v>
      </c>
      <c r="M1696" s="3" t="s">
        <v>5597</v>
      </c>
      <c r="N1696" s="3" t="s">
        <v>874</v>
      </c>
      <c r="O1696" s="3">
        <v>14</v>
      </c>
      <c r="P1696" s="3"/>
      <c r="Q1696" s="3">
        <v>1</v>
      </c>
      <c r="R1696" s="3" t="s">
        <v>1002</v>
      </c>
      <c r="S1696" s="3" t="s">
        <v>1510</v>
      </c>
      <c r="T1696" s="3" t="s">
        <v>21</v>
      </c>
      <c r="U1696" s="11">
        <v>96</v>
      </c>
      <c r="V1696" s="3" t="s">
        <v>5596</v>
      </c>
      <c r="W1696" s="8" t="s">
        <v>7834</v>
      </c>
    </row>
    <row r="1697" spans="1:23" x14ac:dyDescent="0.25">
      <c r="A1697" s="2">
        <v>1360</v>
      </c>
      <c r="B1697" s="3" t="s">
        <v>5596</v>
      </c>
      <c r="C1697" s="3">
        <v>2024</v>
      </c>
      <c r="D1697" s="3" t="s">
        <v>2615</v>
      </c>
      <c r="E1697" s="3" t="s">
        <v>15</v>
      </c>
      <c r="F1697" s="1" t="s">
        <v>7834</v>
      </c>
      <c r="G1697" s="10"/>
      <c r="H1697" s="10"/>
      <c r="I1697" s="10"/>
      <c r="J1697" s="10"/>
      <c r="K1697" s="10"/>
      <c r="L1697" s="3" t="s">
        <v>5604</v>
      </c>
      <c r="M1697" s="3" t="s">
        <v>5605</v>
      </c>
      <c r="N1697" s="3" t="s">
        <v>5606</v>
      </c>
      <c r="O1697" s="3">
        <v>27</v>
      </c>
      <c r="P1697" s="3">
        <v>6</v>
      </c>
      <c r="Q1697" s="3">
        <v>817</v>
      </c>
      <c r="R1697" s="3" t="s">
        <v>5607</v>
      </c>
      <c r="S1697" s="3" t="s">
        <v>5608</v>
      </c>
      <c r="T1697" s="3" t="s">
        <v>21</v>
      </c>
      <c r="U1697" s="11">
        <v>97</v>
      </c>
      <c r="V1697" s="3" t="s">
        <v>5596</v>
      </c>
      <c r="W1697" s="8" t="s">
        <v>7834</v>
      </c>
    </row>
    <row r="1698" spans="1:23" x14ac:dyDescent="0.25">
      <c r="A1698" s="2">
        <v>1361</v>
      </c>
      <c r="B1698" s="3" t="s">
        <v>5596</v>
      </c>
      <c r="C1698" s="3">
        <v>2024</v>
      </c>
      <c r="D1698" s="3" t="s">
        <v>1929</v>
      </c>
      <c r="E1698" s="3" t="s">
        <v>15</v>
      </c>
      <c r="F1698" s="1" t="s">
        <v>7834</v>
      </c>
      <c r="G1698" s="10"/>
      <c r="H1698" s="10"/>
      <c r="I1698" s="10"/>
      <c r="J1698" s="10"/>
      <c r="K1698" s="10"/>
      <c r="L1698" s="3" t="s">
        <v>1471</v>
      </c>
      <c r="M1698" s="3" t="s">
        <v>5609</v>
      </c>
      <c r="N1698" s="3" t="s">
        <v>1467</v>
      </c>
      <c r="O1698" s="3">
        <v>12</v>
      </c>
      <c r="P1698" s="3">
        <v>5</v>
      </c>
      <c r="Q1698" s="3">
        <v>729</v>
      </c>
      <c r="R1698" s="3" t="s">
        <v>5610</v>
      </c>
      <c r="S1698" s="3" t="s">
        <v>1473</v>
      </c>
      <c r="T1698" s="3" t="s">
        <v>21</v>
      </c>
      <c r="U1698" s="11">
        <v>98</v>
      </c>
      <c r="V1698" s="3" t="s">
        <v>5596</v>
      </c>
      <c r="W1698" s="8" t="s">
        <v>7834</v>
      </c>
    </row>
    <row r="1699" spans="1:23" x14ac:dyDescent="0.25">
      <c r="A1699" s="2">
        <v>1362</v>
      </c>
      <c r="B1699" s="3" t="s">
        <v>5596</v>
      </c>
      <c r="C1699" s="3">
        <v>2024</v>
      </c>
      <c r="D1699" s="3" t="s">
        <v>63</v>
      </c>
      <c r="E1699" s="3" t="s">
        <v>15</v>
      </c>
      <c r="F1699" s="1" t="s">
        <v>7834</v>
      </c>
      <c r="G1699" s="10"/>
      <c r="H1699" s="10"/>
      <c r="I1699" s="10"/>
      <c r="J1699" s="10"/>
      <c r="K1699" s="10"/>
      <c r="L1699" s="3" t="s">
        <v>5611</v>
      </c>
      <c r="M1699" s="3" t="s">
        <v>5612</v>
      </c>
      <c r="N1699" s="3" t="s">
        <v>5613</v>
      </c>
      <c r="O1699" s="3">
        <v>27</v>
      </c>
      <c r="P1699" s="3">
        <v>3</v>
      </c>
      <c r="Q1699" s="3">
        <v>498</v>
      </c>
      <c r="R1699" s="3" t="s">
        <v>5614</v>
      </c>
      <c r="S1699" s="3" t="s">
        <v>5615</v>
      </c>
      <c r="T1699" s="3" t="s">
        <v>21</v>
      </c>
      <c r="U1699" s="11">
        <v>99</v>
      </c>
      <c r="V1699" s="3" t="s">
        <v>5596</v>
      </c>
      <c r="W1699" s="8" t="s">
        <v>7834</v>
      </c>
    </row>
    <row r="1700" spans="1:23" x14ac:dyDescent="0.25">
      <c r="A1700" s="2">
        <v>1363</v>
      </c>
      <c r="B1700" s="3" t="s">
        <v>5596</v>
      </c>
      <c r="C1700" s="3">
        <v>2024</v>
      </c>
      <c r="D1700" s="3" t="s">
        <v>63</v>
      </c>
      <c r="E1700" s="3" t="s">
        <v>15</v>
      </c>
      <c r="F1700" s="1" t="s">
        <v>7834</v>
      </c>
      <c r="G1700" s="10"/>
      <c r="H1700" s="10"/>
      <c r="I1700" s="10"/>
      <c r="J1700" s="10"/>
      <c r="K1700" s="10"/>
      <c r="L1700" s="3" t="s">
        <v>5616</v>
      </c>
      <c r="M1700" s="3" t="s">
        <v>5617</v>
      </c>
      <c r="N1700" s="3" t="s">
        <v>5618</v>
      </c>
      <c r="O1700" s="3">
        <v>33</v>
      </c>
      <c r="P1700" s="3">
        <v>1</v>
      </c>
      <c r="Q1700" s="3">
        <v>1</v>
      </c>
      <c r="R1700" s="3" t="s">
        <v>5619</v>
      </c>
      <c r="S1700" s="3" t="s">
        <v>5620</v>
      </c>
      <c r="T1700" s="3" t="s">
        <v>21</v>
      </c>
      <c r="U1700" s="11">
        <v>100</v>
      </c>
      <c r="V1700" s="3" t="s">
        <v>5596</v>
      </c>
      <c r="W1700" s="8" t="s">
        <v>7834</v>
      </c>
    </row>
    <row r="1701" spans="1:23" x14ac:dyDescent="0.25">
      <c r="A1701" s="2">
        <v>1366</v>
      </c>
      <c r="B1701" s="3" t="s">
        <v>5596</v>
      </c>
      <c r="C1701" s="3">
        <v>2024</v>
      </c>
      <c r="D1701" s="3" t="s">
        <v>2498</v>
      </c>
      <c r="E1701" s="3" t="s">
        <v>15</v>
      </c>
      <c r="F1701" s="1" t="s">
        <v>7834</v>
      </c>
      <c r="G1701" s="10"/>
      <c r="H1701" s="10"/>
      <c r="I1701" s="10"/>
      <c r="J1701" s="10"/>
      <c r="K1701" s="10"/>
      <c r="L1701" s="3" t="s">
        <v>5631</v>
      </c>
      <c r="M1701" s="3" t="s">
        <v>5632</v>
      </c>
      <c r="N1701" s="3" t="s">
        <v>5633</v>
      </c>
      <c r="O1701" s="3">
        <v>23</v>
      </c>
      <c r="P1701" s="3">
        <v>5</v>
      </c>
      <c r="Q1701" s="3">
        <v>723</v>
      </c>
      <c r="R1701" s="3" t="s">
        <v>5634</v>
      </c>
      <c r="S1701" s="3" t="s">
        <v>5635</v>
      </c>
      <c r="T1701" s="3" t="s">
        <v>21</v>
      </c>
      <c r="U1701" s="11">
        <v>101</v>
      </c>
      <c r="V1701" s="3" t="s">
        <v>5596</v>
      </c>
      <c r="W1701" s="8" t="s">
        <v>7834</v>
      </c>
    </row>
    <row r="1702" spans="1:23" x14ac:dyDescent="0.25">
      <c r="A1702" s="2">
        <v>1370</v>
      </c>
      <c r="B1702" s="3" t="s">
        <v>5596</v>
      </c>
      <c r="C1702" s="3">
        <v>2024</v>
      </c>
      <c r="D1702" s="3" t="s">
        <v>2498</v>
      </c>
      <c r="E1702" s="3" t="s">
        <v>15</v>
      </c>
      <c r="F1702" s="1" t="s">
        <v>7834</v>
      </c>
      <c r="G1702" s="10"/>
      <c r="H1702" s="10"/>
      <c r="I1702" s="10"/>
      <c r="J1702" s="10"/>
      <c r="K1702" s="10"/>
      <c r="L1702" s="3" t="s">
        <v>5649</v>
      </c>
      <c r="M1702" s="3" t="s">
        <v>5650</v>
      </c>
      <c r="N1702" s="3" t="s">
        <v>5633</v>
      </c>
      <c r="O1702" s="3">
        <v>23</v>
      </c>
      <c r="P1702" s="3">
        <v>5</v>
      </c>
      <c r="Q1702" s="3">
        <v>633</v>
      </c>
      <c r="R1702" s="3" t="s">
        <v>5634</v>
      </c>
      <c r="S1702" s="3" t="s">
        <v>5651</v>
      </c>
      <c r="T1702" s="3" t="s">
        <v>21</v>
      </c>
      <c r="U1702" s="11">
        <v>102</v>
      </c>
      <c r="V1702" s="3" t="s">
        <v>5596</v>
      </c>
      <c r="W1702" s="8" t="s">
        <v>7834</v>
      </c>
    </row>
    <row r="1703" spans="1:23" x14ac:dyDescent="0.25">
      <c r="A1703" s="2">
        <v>1372</v>
      </c>
      <c r="B1703" s="3" t="s">
        <v>5596</v>
      </c>
      <c r="C1703" s="3">
        <v>2024</v>
      </c>
      <c r="D1703" s="3" t="s">
        <v>93</v>
      </c>
      <c r="E1703" s="3" t="s">
        <v>15</v>
      </c>
      <c r="F1703" s="1" t="s">
        <v>7834</v>
      </c>
      <c r="G1703" s="10">
        <v>11</v>
      </c>
      <c r="H1703" s="10"/>
      <c r="I1703" s="10"/>
      <c r="J1703" s="10"/>
      <c r="K1703" s="10"/>
      <c r="L1703" s="3" t="s">
        <v>5150</v>
      </c>
      <c r="M1703" s="3" t="s">
        <v>5657</v>
      </c>
      <c r="N1703" s="3" t="s">
        <v>5658</v>
      </c>
      <c r="O1703" s="3">
        <v>41</v>
      </c>
      <c r="P1703" s="3">
        <v>4</v>
      </c>
      <c r="Q1703" s="3">
        <v>672</v>
      </c>
      <c r="R1703" s="3" t="s">
        <v>5153</v>
      </c>
      <c r="S1703" s="3" t="s">
        <v>5154</v>
      </c>
      <c r="T1703" s="3" t="s">
        <v>21</v>
      </c>
      <c r="U1703" s="11">
        <v>103</v>
      </c>
      <c r="V1703" s="3" t="s">
        <v>5596</v>
      </c>
      <c r="W1703" s="8" t="s">
        <v>7834</v>
      </c>
    </row>
    <row r="1704" spans="1:23" x14ac:dyDescent="0.25">
      <c r="A1704" s="2">
        <v>1365</v>
      </c>
      <c r="B1704" s="3" t="s">
        <v>5596</v>
      </c>
      <c r="C1704" s="3">
        <v>2024</v>
      </c>
      <c r="D1704" s="3" t="s">
        <v>240</v>
      </c>
      <c r="E1704" s="3" t="s">
        <v>206</v>
      </c>
      <c r="F1704" s="1" t="s">
        <v>7834</v>
      </c>
      <c r="G1704" s="10"/>
      <c r="H1704" s="10"/>
      <c r="I1704" s="10"/>
      <c r="J1704" s="10"/>
      <c r="K1704" s="10"/>
      <c r="L1704" s="3" t="s">
        <v>5626</v>
      </c>
      <c r="M1704" s="3" t="s">
        <v>5627</v>
      </c>
      <c r="N1704" s="3" t="s">
        <v>5628</v>
      </c>
      <c r="O1704" s="3">
        <v>14</v>
      </c>
      <c r="P1704" s="3">
        <v>2</v>
      </c>
      <c r="Q1704" s="3">
        <v>13</v>
      </c>
      <c r="R1704" s="3" t="s">
        <v>5629</v>
      </c>
      <c r="S1704" s="3" t="s">
        <v>5630</v>
      </c>
      <c r="T1704" s="3" t="s">
        <v>21</v>
      </c>
      <c r="U1704" s="11">
        <v>104</v>
      </c>
      <c r="V1704" s="3" t="s">
        <v>5596</v>
      </c>
      <c r="W1704" s="8" t="s">
        <v>7834</v>
      </c>
    </row>
    <row r="1705" spans="1:23" x14ac:dyDescent="0.25">
      <c r="A1705" s="2">
        <v>1376</v>
      </c>
      <c r="B1705" s="3" t="s">
        <v>5671</v>
      </c>
      <c r="C1705" s="3">
        <v>2024</v>
      </c>
      <c r="D1705" s="3" t="s">
        <v>3517</v>
      </c>
      <c r="E1705" s="3" t="s">
        <v>15</v>
      </c>
      <c r="F1705" s="1" t="s">
        <v>7834</v>
      </c>
      <c r="G1705" s="10"/>
      <c r="H1705" s="10"/>
      <c r="I1705" s="10"/>
      <c r="J1705" s="10"/>
      <c r="K1705" s="10"/>
      <c r="L1705" s="3" t="s">
        <v>1710</v>
      </c>
      <c r="M1705" s="3" t="s">
        <v>1711</v>
      </c>
      <c r="N1705" s="3" t="s">
        <v>1657</v>
      </c>
      <c r="O1705" s="3">
        <v>75</v>
      </c>
      <c r="P1705" s="3">
        <v>11</v>
      </c>
      <c r="Q1705" s="3">
        <v>3596</v>
      </c>
      <c r="R1705" s="3" t="s">
        <v>1658</v>
      </c>
      <c r="S1705" s="3" t="s">
        <v>1712</v>
      </c>
      <c r="T1705" s="3" t="s">
        <v>21</v>
      </c>
      <c r="U1705" s="11">
        <v>105</v>
      </c>
      <c r="V1705" s="3" t="s">
        <v>5671</v>
      </c>
      <c r="W1705" s="8" t="s">
        <v>7834</v>
      </c>
    </row>
    <row r="1706" spans="1:23" x14ac:dyDescent="0.25">
      <c r="A1706" s="2">
        <v>1377</v>
      </c>
      <c r="B1706" s="3" t="s">
        <v>5671</v>
      </c>
      <c r="C1706" s="3">
        <v>2024</v>
      </c>
      <c r="D1706" s="3" t="s">
        <v>2618</v>
      </c>
      <c r="E1706" s="3" t="s">
        <v>15</v>
      </c>
      <c r="F1706" s="1" t="s">
        <v>7834</v>
      </c>
      <c r="G1706" s="10"/>
      <c r="H1706" s="10"/>
      <c r="I1706" s="10"/>
      <c r="J1706" s="10"/>
      <c r="K1706" s="10"/>
      <c r="L1706" s="3" t="s">
        <v>1599</v>
      </c>
      <c r="M1706" s="3" t="s">
        <v>5672</v>
      </c>
      <c r="N1706" s="3" t="s">
        <v>1601</v>
      </c>
      <c r="O1706" s="3">
        <v>39</v>
      </c>
      <c r="P1706" s="3">
        <v>5</v>
      </c>
      <c r="Q1706" s="3">
        <v>479</v>
      </c>
      <c r="R1706" s="3" t="s">
        <v>1602</v>
      </c>
      <c r="S1706" s="3" t="s">
        <v>1603</v>
      </c>
      <c r="T1706" s="3" t="s">
        <v>21</v>
      </c>
      <c r="U1706" s="11">
        <v>106</v>
      </c>
      <c r="V1706" s="3" t="s">
        <v>5671</v>
      </c>
      <c r="W1706" s="8" t="s">
        <v>7834</v>
      </c>
    </row>
    <row r="1707" spans="1:23" x14ac:dyDescent="0.25">
      <c r="A1707" s="2">
        <v>1379</v>
      </c>
      <c r="B1707" s="3" t="s">
        <v>5671</v>
      </c>
      <c r="C1707" s="3">
        <v>2024</v>
      </c>
      <c r="D1707" s="3" t="s">
        <v>894</v>
      </c>
      <c r="E1707" s="3" t="s">
        <v>15</v>
      </c>
      <c r="F1707" s="1" t="s">
        <v>7834</v>
      </c>
      <c r="G1707" s="10"/>
      <c r="H1707" s="10"/>
      <c r="I1707" s="10"/>
      <c r="J1707" s="10"/>
      <c r="K1707" s="10"/>
      <c r="L1707" s="3" t="s">
        <v>5676</v>
      </c>
      <c r="M1707" s="3" t="s">
        <v>5677</v>
      </c>
      <c r="N1707" s="3" t="s">
        <v>5678</v>
      </c>
      <c r="O1707" s="3">
        <v>75</v>
      </c>
      <c r="P1707" s="3"/>
      <c r="Q1707" s="3"/>
      <c r="R1707" s="3" t="s">
        <v>5679</v>
      </c>
      <c r="S1707" s="3" t="s">
        <v>5680</v>
      </c>
      <c r="T1707" s="3" t="s">
        <v>21</v>
      </c>
      <c r="U1707" s="11">
        <v>107</v>
      </c>
      <c r="V1707" s="3" t="s">
        <v>5671</v>
      </c>
      <c r="W1707" s="8" t="s">
        <v>7834</v>
      </c>
    </row>
    <row r="1708" spans="1:23" x14ac:dyDescent="0.25">
      <c r="A1708" s="2">
        <v>1380</v>
      </c>
      <c r="B1708" s="3" t="s">
        <v>5671</v>
      </c>
      <c r="C1708" s="3">
        <v>2024</v>
      </c>
      <c r="D1708" s="3" t="s">
        <v>1151</v>
      </c>
      <c r="E1708" s="3" t="s">
        <v>15</v>
      </c>
      <c r="F1708" s="1" t="s">
        <v>7834</v>
      </c>
      <c r="G1708" s="10"/>
      <c r="H1708" s="10"/>
      <c r="I1708" s="10"/>
      <c r="J1708" s="10"/>
      <c r="K1708" s="10"/>
      <c r="L1708" s="3" t="s">
        <v>5681</v>
      </c>
      <c r="M1708" s="3" t="s">
        <v>5682</v>
      </c>
      <c r="N1708" s="3" t="s">
        <v>2290</v>
      </c>
      <c r="O1708" s="3">
        <v>241</v>
      </c>
      <c r="P1708" s="3">
        <v>3</v>
      </c>
      <c r="Q1708" s="3">
        <v>1074</v>
      </c>
      <c r="R1708" s="3" t="s">
        <v>2291</v>
      </c>
      <c r="S1708" s="3" t="s">
        <v>5683</v>
      </c>
      <c r="T1708" s="3" t="s">
        <v>21</v>
      </c>
      <c r="U1708" s="11">
        <v>108</v>
      </c>
      <c r="V1708" s="3" t="s">
        <v>5671</v>
      </c>
      <c r="W1708" s="8" t="s">
        <v>7834</v>
      </c>
    </row>
    <row r="1709" spans="1:23" x14ac:dyDescent="0.25">
      <c r="A1709" s="2">
        <v>1381</v>
      </c>
      <c r="B1709" s="3" t="s">
        <v>5671</v>
      </c>
      <c r="C1709" s="3">
        <v>2024</v>
      </c>
      <c r="D1709" s="3" t="s">
        <v>3450</v>
      </c>
      <c r="E1709" s="3" t="s">
        <v>15</v>
      </c>
      <c r="F1709" s="1" t="s">
        <v>7834</v>
      </c>
      <c r="G1709" s="10"/>
      <c r="H1709" s="10"/>
      <c r="I1709" s="10"/>
      <c r="J1709" s="10"/>
      <c r="K1709" s="10"/>
      <c r="L1709" s="3" t="s">
        <v>5684</v>
      </c>
      <c r="M1709" s="3" t="s">
        <v>5685</v>
      </c>
      <c r="N1709" s="3" t="s">
        <v>5686</v>
      </c>
      <c r="O1709" s="3">
        <v>121</v>
      </c>
      <c r="P1709" s="3">
        <v>18</v>
      </c>
      <c r="Q1709" s="3"/>
      <c r="R1709" s="3" t="s">
        <v>1607</v>
      </c>
      <c r="S1709" s="3" t="s">
        <v>1608</v>
      </c>
      <c r="T1709" s="3" t="s">
        <v>21</v>
      </c>
      <c r="U1709" s="11">
        <v>109</v>
      </c>
      <c r="V1709" s="3" t="s">
        <v>5671</v>
      </c>
      <c r="W1709" s="8" t="s">
        <v>7834</v>
      </c>
    </row>
    <row r="1710" spans="1:23" x14ac:dyDescent="0.25">
      <c r="A1710" s="2">
        <v>1383</v>
      </c>
      <c r="B1710" s="3" t="s">
        <v>5671</v>
      </c>
      <c r="C1710" s="3">
        <v>2024</v>
      </c>
      <c r="D1710" s="3" t="s">
        <v>389</v>
      </c>
      <c r="E1710" s="3" t="s">
        <v>15</v>
      </c>
      <c r="F1710" s="1" t="s">
        <v>7834</v>
      </c>
      <c r="G1710" s="10"/>
      <c r="H1710" s="10"/>
      <c r="I1710" s="10"/>
      <c r="J1710" s="10"/>
      <c r="K1710" s="10"/>
      <c r="L1710" s="3" t="s">
        <v>5689</v>
      </c>
      <c r="M1710" s="3" t="s">
        <v>5690</v>
      </c>
      <c r="N1710" s="3" t="s">
        <v>5691</v>
      </c>
      <c r="O1710" s="3">
        <v>14</v>
      </c>
      <c r="P1710" s="3">
        <v>1</v>
      </c>
      <c r="Q1710" s="3"/>
      <c r="R1710" s="3" t="s">
        <v>1002</v>
      </c>
      <c r="S1710" s="3" t="s">
        <v>5692</v>
      </c>
      <c r="T1710" s="3" t="s">
        <v>21</v>
      </c>
      <c r="U1710" s="11">
        <v>110</v>
      </c>
      <c r="V1710" s="3" t="s">
        <v>5671</v>
      </c>
      <c r="W1710" s="8" t="s">
        <v>7834</v>
      </c>
    </row>
    <row r="1711" spans="1:23" x14ac:dyDescent="0.25">
      <c r="A1711" s="2">
        <v>1382</v>
      </c>
      <c r="B1711" s="3" t="s">
        <v>5671</v>
      </c>
      <c r="C1711" s="3">
        <v>2024</v>
      </c>
      <c r="D1711" s="3" t="s">
        <v>1283</v>
      </c>
      <c r="E1711" s="3" t="s">
        <v>206</v>
      </c>
      <c r="F1711" s="1" t="s">
        <v>7834</v>
      </c>
      <c r="G1711" s="10"/>
      <c r="H1711" s="10"/>
      <c r="I1711" s="10"/>
      <c r="J1711" s="10"/>
      <c r="K1711" s="10"/>
      <c r="L1711" s="3" t="s">
        <v>5687</v>
      </c>
      <c r="M1711" s="3" t="s">
        <v>5688</v>
      </c>
      <c r="N1711" s="3" t="s">
        <v>1614</v>
      </c>
      <c r="O1711" s="3">
        <v>202</v>
      </c>
      <c r="P1711" s="3"/>
      <c r="Q1711" s="3"/>
      <c r="R1711" s="3" t="s">
        <v>1615</v>
      </c>
      <c r="S1711" s="3" t="s">
        <v>1616</v>
      </c>
      <c r="T1711" s="3" t="s">
        <v>21</v>
      </c>
      <c r="U1711" s="11">
        <v>111</v>
      </c>
      <c r="V1711" s="3" t="s">
        <v>5671</v>
      </c>
      <c r="W1711" s="8" t="s">
        <v>7834</v>
      </c>
    </row>
    <row r="1712" spans="1:23" x14ac:dyDescent="0.25">
      <c r="A1712" s="2">
        <v>1385</v>
      </c>
      <c r="B1712" s="3" t="s">
        <v>5671</v>
      </c>
      <c r="C1712" s="3">
        <v>2024</v>
      </c>
      <c r="D1712" s="3" t="s">
        <v>93</v>
      </c>
      <c r="E1712" s="3" t="s">
        <v>206</v>
      </c>
      <c r="F1712" s="1" t="s">
        <v>7834</v>
      </c>
      <c r="G1712" s="10"/>
      <c r="H1712" s="10"/>
      <c r="I1712" s="10"/>
      <c r="J1712" s="10"/>
      <c r="K1712" s="10">
        <v>3</v>
      </c>
      <c r="L1712" s="3" t="s">
        <v>5698</v>
      </c>
      <c r="M1712" s="3" t="s">
        <v>5699</v>
      </c>
      <c r="N1712" s="3" t="s">
        <v>1625</v>
      </c>
      <c r="O1712" s="3">
        <v>335</v>
      </c>
      <c r="P1712" s="3"/>
      <c r="Q1712" s="3"/>
      <c r="R1712" s="3" t="s">
        <v>1626</v>
      </c>
      <c r="S1712" s="3" t="s">
        <v>5700</v>
      </c>
      <c r="T1712" s="3" t="s">
        <v>21</v>
      </c>
      <c r="U1712" s="11">
        <v>112</v>
      </c>
      <c r="V1712" s="3" t="s">
        <v>5671</v>
      </c>
      <c r="W1712" s="8" t="s">
        <v>7834</v>
      </c>
    </row>
    <row r="1713" spans="1:23" x14ac:dyDescent="0.25">
      <c r="A1713" s="2">
        <v>1389</v>
      </c>
      <c r="B1713" s="3" t="s">
        <v>5716</v>
      </c>
      <c r="C1713" s="3">
        <v>2024</v>
      </c>
      <c r="D1713" s="3" t="s">
        <v>215</v>
      </c>
      <c r="E1713" s="3" t="s">
        <v>15</v>
      </c>
      <c r="F1713" s="1" t="s">
        <v>7834</v>
      </c>
      <c r="G1713" s="10"/>
      <c r="H1713" s="10"/>
      <c r="I1713" s="10"/>
      <c r="J1713" s="10"/>
      <c r="K1713" s="10"/>
      <c r="L1713" s="3" t="s">
        <v>5717</v>
      </c>
      <c r="M1713" s="3" t="s">
        <v>5718</v>
      </c>
      <c r="N1713" s="3" t="s">
        <v>5719</v>
      </c>
      <c r="O1713" s="3">
        <v>161</v>
      </c>
      <c r="P1713" s="3"/>
      <c r="Q1713" s="3"/>
      <c r="R1713" s="3" t="s">
        <v>5720</v>
      </c>
      <c r="S1713" s="3" t="s">
        <v>5721</v>
      </c>
      <c r="T1713" s="3" t="s">
        <v>21</v>
      </c>
      <c r="U1713" s="11">
        <v>113</v>
      </c>
      <c r="V1713" s="3" t="s">
        <v>5716</v>
      </c>
      <c r="W1713" s="8" t="s">
        <v>7834</v>
      </c>
    </row>
    <row r="1714" spans="1:23" x14ac:dyDescent="0.25">
      <c r="A1714" s="2">
        <v>1390</v>
      </c>
      <c r="B1714" s="3" t="s">
        <v>5716</v>
      </c>
      <c r="C1714" s="3">
        <v>2024</v>
      </c>
      <c r="D1714" s="3" t="s">
        <v>2629</v>
      </c>
      <c r="E1714" s="3" t="s">
        <v>15</v>
      </c>
      <c r="F1714" s="1" t="s">
        <v>7834</v>
      </c>
      <c r="G1714" s="10"/>
      <c r="H1714" s="10"/>
      <c r="I1714" s="10"/>
      <c r="J1714" s="10"/>
      <c r="K1714" s="10"/>
      <c r="L1714" s="3" t="s">
        <v>5722</v>
      </c>
      <c r="M1714" s="3" t="s">
        <v>5723</v>
      </c>
      <c r="N1714" s="3" t="s">
        <v>5724</v>
      </c>
      <c r="O1714" s="3"/>
      <c r="P1714" s="3"/>
      <c r="Q1714" s="3"/>
      <c r="R1714" s="3">
        <v>25740970</v>
      </c>
      <c r="S1714" s="3" t="s">
        <v>5725</v>
      </c>
      <c r="T1714" s="3" t="s">
        <v>21</v>
      </c>
      <c r="U1714" s="11">
        <v>114</v>
      </c>
      <c r="V1714" s="3" t="s">
        <v>5716</v>
      </c>
      <c r="W1714" s="8" t="s">
        <v>7834</v>
      </c>
    </row>
    <row r="1715" spans="1:23" x14ac:dyDescent="0.25">
      <c r="A1715" s="2">
        <v>1391</v>
      </c>
      <c r="B1715" s="3" t="s">
        <v>5716</v>
      </c>
      <c r="C1715" s="3">
        <v>2024</v>
      </c>
      <c r="D1715" s="3" t="s">
        <v>1622</v>
      </c>
      <c r="E1715" s="3" t="s">
        <v>15</v>
      </c>
      <c r="F1715" s="1" t="s">
        <v>7834</v>
      </c>
      <c r="G1715" s="10"/>
      <c r="H1715" s="10"/>
      <c r="I1715" s="10"/>
      <c r="J1715" s="10"/>
      <c r="K1715" s="10"/>
      <c r="L1715" s="3" t="s">
        <v>5726</v>
      </c>
      <c r="M1715" s="3" t="s">
        <v>5727</v>
      </c>
      <c r="N1715" s="3" t="s">
        <v>5728</v>
      </c>
      <c r="O1715" s="3">
        <v>500</v>
      </c>
      <c r="P1715" s="3"/>
      <c r="Q1715" s="3"/>
      <c r="R1715" s="3">
        <v>13858947</v>
      </c>
      <c r="S1715" s="3" t="s">
        <v>5729</v>
      </c>
      <c r="T1715" s="3" t="s">
        <v>21</v>
      </c>
      <c r="U1715" s="11">
        <v>115</v>
      </c>
      <c r="V1715" s="3" t="s">
        <v>5716</v>
      </c>
      <c r="W1715" s="8" t="s">
        <v>7834</v>
      </c>
    </row>
    <row r="1716" spans="1:23" x14ac:dyDescent="0.25">
      <c r="A1716" s="2">
        <v>1392</v>
      </c>
      <c r="B1716" s="3" t="s">
        <v>5716</v>
      </c>
      <c r="C1716" s="3">
        <v>2024</v>
      </c>
      <c r="D1716" s="3" t="s">
        <v>2629</v>
      </c>
      <c r="E1716" s="3" t="s">
        <v>15</v>
      </c>
      <c r="F1716" s="1" t="s">
        <v>7834</v>
      </c>
      <c r="G1716" s="10"/>
      <c r="H1716" s="10"/>
      <c r="I1716" s="10"/>
      <c r="J1716" s="10"/>
      <c r="K1716" s="10"/>
      <c r="L1716" s="3" t="s">
        <v>5730</v>
      </c>
      <c r="M1716" s="3" t="s">
        <v>5731</v>
      </c>
      <c r="N1716" s="3" t="s">
        <v>5732</v>
      </c>
      <c r="O1716" s="3"/>
      <c r="P1716" s="3"/>
      <c r="Q1716" s="3"/>
      <c r="R1716" s="3" t="s">
        <v>5733</v>
      </c>
      <c r="S1716" s="3" t="s">
        <v>5734</v>
      </c>
      <c r="T1716" s="3" t="s">
        <v>21</v>
      </c>
      <c r="U1716" s="11">
        <v>116</v>
      </c>
      <c r="V1716" s="3" t="s">
        <v>5716</v>
      </c>
      <c r="W1716" s="8" t="s">
        <v>7834</v>
      </c>
    </row>
    <row r="1717" spans="1:23" x14ac:dyDescent="0.25">
      <c r="A1717" s="2">
        <v>1393</v>
      </c>
      <c r="B1717" s="3" t="s">
        <v>5716</v>
      </c>
      <c r="C1717" s="3">
        <v>2024</v>
      </c>
      <c r="D1717" s="3" t="s">
        <v>82</v>
      </c>
      <c r="E1717" s="3" t="s">
        <v>15</v>
      </c>
      <c r="F1717" s="1" t="s">
        <v>7834</v>
      </c>
      <c r="G1717" s="10"/>
      <c r="H1717" s="10"/>
      <c r="I1717" s="10"/>
      <c r="J1717" s="10"/>
      <c r="K1717" s="10"/>
      <c r="L1717" s="3" t="s">
        <v>5735</v>
      </c>
      <c r="M1717" s="3" t="s">
        <v>5736</v>
      </c>
      <c r="N1717" s="3" t="s">
        <v>5737</v>
      </c>
      <c r="O1717" s="3">
        <v>331</v>
      </c>
      <c r="P1717" s="3"/>
      <c r="Q1717" s="3"/>
      <c r="R1717" s="3">
        <v>18686</v>
      </c>
      <c r="S1717" s="3" t="s">
        <v>5738</v>
      </c>
      <c r="T1717" s="3" t="s">
        <v>21</v>
      </c>
      <c r="U1717" s="11">
        <v>117</v>
      </c>
      <c r="V1717" s="3" t="s">
        <v>5716</v>
      </c>
      <c r="W1717" s="8" t="s">
        <v>7834</v>
      </c>
    </row>
    <row r="1718" spans="1:23" x14ac:dyDescent="0.25">
      <c r="A1718" s="2">
        <v>1394</v>
      </c>
      <c r="B1718" s="3" t="s">
        <v>5716</v>
      </c>
      <c r="C1718" s="3">
        <v>2024</v>
      </c>
      <c r="D1718" s="3" t="s">
        <v>82</v>
      </c>
      <c r="E1718" s="3" t="s">
        <v>15</v>
      </c>
      <c r="F1718" s="1" t="s">
        <v>7834</v>
      </c>
      <c r="G1718" s="10"/>
      <c r="H1718" s="10"/>
      <c r="I1718" s="10"/>
      <c r="J1718" s="10"/>
      <c r="K1718" s="10"/>
      <c r="L1718" s="3" t="s">
        <v>5739</v>
      </c>
      <c r="M1718" s="3" t="s">
        <v>5740</v>
      </c>
      <c r="N1718" s="3" t="s">
        <v>5737</v>
      </c>
      <c r="O1718" s="3">
        <v>311</v>
      </c>
      <c r="P1718" s="3"/>
      <c r="Q1718" s="3"/>
      <c r="R1718" s="3">
        <v>18686</v>
      </c>
      <c r="S1718" s="3" t="s">
        <v>5741</v>
      </c>
      <c r="T1718" s="3" t="s">
        <v>21</v>
      </c>
      <c r="U1718" s="11">
        <v>118</v>
      </c>
      <c r="V1718" s="3" t="s">
        <v>5716</v>
      </c>
      <c r="W1718" s="8" t="s">
        <v>7834</v>
      </c>
    </row>
    <row r="1719" spans="1:23" x14ac:dyDescent="0.25">
      <c r="A1719" s="2">
        <v>1395</v>
      </c>
      <c r="B1719" s="3" t="s">
        <v>5716</v>
      </c>
      <c r="C1719" s="3">
        <v>2024</v>
      </c>
      <c r="D1719" s="3" t="s">
        <v>215</v>
      </c>
      <c r="E1719" s="3" t="s">
        <v>15</v>
      </c>
      <c r="F1719" s="1" t="s">
        <v>7834</v>
      </c>
      <c r="G1719" s="10"/>
      <c r="H1719" s="10"/>
      <c r="I1719" s="10"/>
      <c r="J1719" s="10"/>
      <c r="K1719" s="10"/>
      <c r="L1719" s="3" t="s">
        <v>5742</v>
      </c>
      <c r="M1719" s="3" t="s">
        <v>5743</v>
      </c>
      <c r="N1719" s="3" t="s">
        <v>5744</v>
      </c>
      <c r="O1719" s="3">
        <v>41</v>
      </c>
      <c r="P1719" s="3"/>
      <c r="Q1719" s="3"/>
      <c r="R1719" s="3">
        <v>23529407</v>
      </c>
      <c r="S1719" s="3" t="s">
        <v>5745</v>
      </c>
      <c r="T1719" s="3" t="s">
        <v>21</v>
      </c>
      <c r="U1719" s="11">
        <v>119</v>
      </c>
      <c r="V1719" s="3" t="s">
        <v>5716</v>
      </c>
      <c r="W1719" s="8" t="s">
        <v>7834</v>
      </c>
    </row>
    <row r="1720" spans="1:23" x14ac:dyDescent="0.25">
      <c r="A1720" s="2">
        <v>1396</v>
      </c>
      <c r="B1720" s="3" t="s">
        <v>5716</v>
      </c>
      <c r="C1720" s="3">
        <v>2024</v>
      </c>
      <c r="D1720" s="3" t="s">
        <v>970</v>
      </c>
      <c r="E1720" s="3" t="s">
        <v>15</v>
      </c>
      <c r="F1720" s="1" t="s">
        <v>7834</v>
      </c>
      <c r="G1720" s="10"/>
      <c r="H1720" s="10"/>
      <c r="I1720" s="10"/>
      <c r="J1720" s="10"/>
      <c r="K1720" s="10"/>
      <c r="L1720" s="3" t="s">
        <v>5746</v>
      </c>
      <c r="M1720" s="3" t="s">
        <v>5747</v>
      </c>
      <c r="N1720" s="3" t="s">
        <v>5748</v>
      </c>
      <c r="O1720" s="3"/>
      <c r="P1720" s="3"/>
      <c r="Q1720" s="3"/>
      <c r="R1720" s="3">
        <v>20588437</v>
      </c>
      <c r="S1720" s="3" t="s">
        <v>5749</v>
      </c>
      <c r="T1720" s="3" t="s">
        <v>21</v>
      </c>
      <c r="U1720" s="11">
        <v>120</v>
      </c>
      <c r="V1720" s="3" t="s">
        <v>5716</v>
      </c>
      <c r="W1720" s="8" t="s">
        <v>7834</v>
      </c>
    </row>
    <row r="1721" spans="1:23" x14ac:dyDescent="0.25">
      <c r="A1721" s="2">
        <v>1397</v>
      </c>
      <c r="B1721" s="3" t="s">
        <v>5716</v>
      </c>
      <c r="C1721" s="3">
        <v>2024</v>
      </c>
      <c r="D1721" s="3" t="s">
        <v>807</v>
      </c>
      <c r="E1721" s="3" t="s">
        <v>15</v>
      </c>
      <c r="F1721" s="1" t="s">
        <v>7834</v>
      </c>
      <c r="G1721" s="10"/>
      <c r="H1721" s="10"/>
      <c r="I1721" s="10"/>
      <c r="J1721" s="10"/>
      <c r="K1721" s="10"/>
      <c r="L1721" s="3" t="s">
        <v>5750</v>
      </c>
      <c r="M1721" s="3" t="s">
        <v>5751</v>
      </c>
      <c r="N1721" s="3" t="s">
        <v>5752</v>
      </c>
      <c r="O1721" s="3"/>
      <c r="P1721" s="3"/>
      <c r="Q1721" s="3"/>
      <c r="R1721" s="3" t="s">
        <v>5753</v>
      </c>
      <c r="S1721" s="3" t="s">
        <v>5754</v>
      </c>
      <c r="T1721" s="3" t="s">
        <v>21</v>
      </c>
      <c r="U1721" s="11">
        <v>121</v>
      </c>
      <c r="V1721" s="3" t="s">
        <v>5716</v>
      </c>
      <c r="W1721" s="8" t="s">
        <v>7834</v>
      </c>
    </row>
    <row r="1722" spans="1:23" x14ac:dyDescent="0.25">
      <c r="A1722" s="2">
        <v>1398</v>
      </c>
      <c r="B1722" s="3" t="s">
        <v>5716</v>
      </c>
      <c r="C1722" s="3">
        <v>2024</v>
      </c>
      <c r="D1722" s="3" t="s">
        <v>107</v>
      </c>
      <c r="E1722" s="3" t="s">
        <v>15</v>
      </c>
      <c r="F1722" s="1" t="s">
        <v>7834</v>
      </c>
      <c r="G1722" s="10">
        <v>10</v>
      </c>
      <c r="H1722" s="10"/>
      <c r="I1722" s="10"/>
      <c r="J1722" s="10"/>
      <c r="K1722" s="10"/>
      <c r="L1722" s="3" t="s">
        <v>5755</v>
      </c>
      <c r="M1722" s="3" t="s">
        <v>5756</v>
      </c>
      <c r="N1722" s="3" t="s">
        <v>5757</v>
      </c>
      <c r="O1722" s="3"/>
      <c r="P1722" s="3"/>
      <c r="Q1722" s="3"/>
      <c r="R1722" s="3" t="s">
        <v>5758</v>
      </c>
      <c r="S1722" s="3" t="s">
        <v>5759</v>
      </c>
      <c r="T1722" s="3" t="s">
        <v>21</v>
      </c>
      <c r="U1722" s="11">
        <v>122</v>
      </c>
      <c r="V1722" s="3" t="s">
        <v>5716</v>
      </c>
      <c r="W1722" s="8" t="s">
        <v>7834</v>
      </c>
    </row>
    <row r="1723" spans="1:23" x14ac:dyDescent="0.25">
      <c r="A1723" s="2">
        <v>1400</v>
      </c>
      <c r="B1723" s="3" t="s">
        <v>5763</v>
      </c>
      <c r="C1723" s="3">
        <v>2024</v>
      </c>
      <c r="D1723" s="3" t="s">
        <v>2047</v>
      </c>
      <c r="E1723" s="3" t="s">
        <v>15</v>
      </c>
      <c r="F1723" s="1" t="s">
        <v>7834</v>
      </c>
      <c r="G1723" s="10"/>
      <c r="H1723" s="10"/>
      <c r="I1723" s="10"/>
      <c r="J1723" s="10"/>
      <c r="K1723" s="10"/>
      <c r="L1723" s="3" t="s">
        <v>5764</v>
      </c>
      <c r="M1723" s="3" t="s">
        <v>5765</v>
      </c>
      <c r="N1723" s="3" t="s">
        <v>5766</v>
      </c>
      <c r="O1723" s="3"/>
      <c r="P1723" s="3"/>
      <c r="Q1723" s="3"/>
      <c r="R1723" s="3" t="s">
        <v>5767</v>
      </c>
      <c r="S1723" s="3" t="s">
        <v>5768</v>
      </c>
      <c r="T1723" s="3" t="s">
        <v>21</v>
      </c>
      <c r="U1723" s="11">
        <v>123</v>
      </c>
      <c r="V1723" s="3" t="s">
        <v>5763</v>
      </c>
      <c r="W1723" s="8" t="s">
        <v>7834</v>
      </c>
    </row>
    <row r="1724" spans="1:23" x14ac:dyDescent="0.25">
      <c r="A1724" s="2">
        <v>1405</v>
      </c>
      <c r="B1724" s="3" t="s">
        <v>5763</v>
      </c>
      <c r="C1724" s="3">
        <v>2024</v>
      </c>
      <c r="D1724" s="3" t="s">
        <v>14</v>
      </c>
      <c r="E1724" s="3" t="s">
        <v>15</v>
      </c>
      <c r="F1724" s="1" t="s">
        <v>7834</v>
      </c>
      <c r="G1724" s="10"/>
      <c r="H1724" s="10"/>
      <c r="I1724" s="10"/>
      <c r="J1724" s="10"/>
      <c r="K1724" s="10"/>
      <c r="L1724" s="3" t="s">
        <v>5784</v>
      </c>
      <c r="M1724" s="3" t="s">
        <v>5785</v>
      </c>
      <c r="N1724" s="3" t="s">
        <v>5786</v>
      </c>
      <c r="O1724" s="3"/>
      <c r="P1724" s="3"/>
      <c r="Q1724" s="3"/>
      <c r="R1724" s="3" t="s">
        <v>5787</v>
      </c>
      <c r="S1724" s="3" t="s">
        <v>5788</v>
      </c>
      <c r="T1724" s="3" t="s">
        <v>21</v>
      </c>
      <c r="U1724" s="11">
        <v>124</v>
      </c>
      <c r="V1724" s="3" t="s">
        <v>5763</v>
      </c>
      <c r="W1724" s="8" t="s">
        <v>7834</v>
      </c>
    </row>
    <row r="1725" spans="1:23" x14ac:dyDescent="0.25">
      <c r="A1725" s="2">
        <v>1406</v>
      </c>
      <c r="B1725" s="3" t="s">
        <v>5763</v>
      </c>
      <c r="C1725" s="3">
        <v>2024</v>
      </c>
      <c r="D1725" s="3" t="s">
        <v>86</v>
      </c>
      <c r="E1725" s="3" t="s">
        <v>15</v>
      </c>
      <c r="F1725" s="1" t="s">
        <v>7834</v>
      </c>
      <c r="G1725" s="10"/>
      <c r="H1725" s="10"/>
      <c r="I1725" s="10"/>
      <c r="J1725" s="10"/>
      <c r="K1725" s="10"/>
      <c r="L1725" s="3" t="s">
        <v>5789</v>
      </c>
      <c r="M1725" s="3" t="s">
        <v>5790</v>
      </c>
      <c r="N1725" s="3" t="s">
        <v>5791</v>
      </c>
      <c r="O1725" s="3"/>
      <c r="P1725" s="3"/>
      <c r="Q1725" s="3"/>
      <c r="R1725" s="3" t="s">
        <v>5792</v>
      </c>
      <c r="S1725" s="3" t="s">
        <v>5793</v>
      </c>
      <c r="T1725" s="3" t="s">
        <v>21</v>
      </c>
      <c r="U1725" s="11">
        <v>125</v>
      </c>
      <c r="V1725" s="3" t="s">
        <v>5763</v>
      </c>
      <c r="W1725" s="8" t="s">
        <v>7834</v>
      </c>
    </row>
    <row r="1726" spans="1:23" x14ac:dyDescent="0.25">
      <c r="A1726" s="2">
        <v>1407</v>
      </c>
      <c r="B1726" s="3" t="s">
        <v>5763</v>
      </c>
      <c r="C1726" s="3">
        <v>2024</v>
      </c>
      <c r="D1726" s="3" t="s">
        <v>5794</v>
      </c>
      <c r="E1726" s="3" t="s">
        <v>15</v>
      </c>
      <c r="F1726" s="1" t="s">
        <v>7834</v>
      </c>
      <c r="G1726" s="10"/>
      <c r="H1726" s="10"/>
      <c r="I1726" s="10"/>
      <c r="J1726" s="10"/>
      <c r="K1726" s="10"/>
      <c r="L1726" s="3" t="s">
        <v>5795</v>
      </c>
      <c r="M1726" s="3" t="s">
        <v>5796</v>
      </c>
      <c r="N1726" s="3" t="s">
        <v>5797</v>
      </c>
      <c r="O1726" s="3"/>
      <c r="P1726" s="3"/>
      <c r="Q1726" s="3"/>
      <c r="R1726" s="3" t="s">
        <v>5798</v>
      </c>
      <c r="S1726" s="3" t="s">
        <v>5799</v>
      </c>
      <c r="T1726" s="3" t="s">
        <v>21</v>
      </c>
      <c r="U1726" s="11">
        <v>126</v>
      </c>
      <c r="V1726" s="3" t="s">
        <v>5763</v>
      </c>
      <c r="W1726" s="8" t="s">
        <v>7834</v>
      </c>
    </row>
    <row r="1727" spans="1:23" x14ac:dyDescent="0.25">
      <c r="A1727" s="2">
        <v>1410</v>
      </c>
      <c r="B1727" s="3" t="s">
        <v>5763</v>
      </c>
      <c r="C1727" s="3">
        <v>2024</v>
      </c>
      <c r="D1727" s="3" t="s">
        <v>1151</v>
      </c>
      <c r="E1727" s="3" t="s">
        <v>15</v>
      </c>
      <c r="F1727" s="1" t="s">
        <v>7834</v>
      </c>
      <c r="G1727" s="10"/>
      <c r="H1727" s="10"/>
      <c r="I1727" s="10"/>
      <c r="J1727" s="10"/>
      <c r="K1727" s="10"/>
      <c r="L1727" s="3" t="s">
        <v>5807</v>
      </c>
      <c r="M1727" s="3" t="s">
        <v>5808</v>
      </c>
      <c r="N1727" s="3" t="s">
        <v>5809</v>
      </c>
      <c r="O1727" s="3"/>
      <c r="P1727" s="3"/>
      <c r="Q1727" s="3"/>
      <c r="R1727" s="3" t="s">
        <v>5810</v>
      </c>
      <c r="S1727" s="3" t="s">
        <v>5811</v>
      </c>
      <c r="T1727" s="3" t="s">
        <v>21</v>
      </c>
      <c r="U1727" s="11">
        <v>127</v>
      </c>
      <c r="V1727" s="3" t="s">
        <v>5763</v>
      </c>
      <c r="W1727" s="8" t="s">
        <v>7834</v>
      </c>
    </row>
    <row r="1728" spans="1:23" x14ac:dyDescent="0.25">
      <c r="A1728" s="2">
        <v>1414</v>
      </c>
      <c r="B1728" s="3" t="s">
        <v>5763</v>
      </c>
      <c r="C1728" s="3">
        <v>2024</v>
      </c>
      <c r="D1728" s="3" t="s">
        <v>903</v>
      </c>
      <c r="E1728" s="3" t="s">
        <v>15</v>
      </c>
      <c r="F1728" s="1" t="s">
        <v>7834</v>
      </c>
      <c r="G1728" s="10"/>
      <c r="H1728" s="10"/>
      <c r="I1728" s="10"/>
      <c r="J1728" s="10"/>
      <c r="K1728" s="10"/>
      <c r="L1728" s="3" t="s">
        <v>5824</v>
      </c>
      <c r="M1728" s="3" t="s">
        <v>5825</v>
      </c>
      <c r="N1728" s="3" t="s">
        <v>5826</v>
      </c>
      <c r="O1728" s="3"/>
      <c r="P1728" s="3"/>
      <c r="Q1728" s="3"/>
      <c r="R1728" s="3" t="s">
        <v>5827</v>
      </c>
      <c r="S1728" s="3" t="s">
        <v>5828</v>
      </c>
      <c r="T1728" s="3" t="s">
        <v>21</v>
      </c>
      <c r="U1728" s="11">
        <v>128</v>
      </c>
      <c r="V1728" s="3" t="s">
        <v>5763</v>
      </c>
      <c r="W1728" s="8" t="s">
        <v>7834</v>
      </c>
    </row>
    <row r="1729" spans="1:23" x14ac:dyDescent="0.25">
      <c r="A1729" s="2">
        <v>1418</v>
      </c>
      <c r="B1729" s="3" t="s">
        <v>5763</v>
      </c>
      <c r="C1729" s="3">
        <v>2024</v>
      </c>
      <c r="D1729" s="3" t="s">
        <v>2491</v>
      </c>
      <c r="E1729" s="3" t="s">
        <v>15</v>
      </c>
      <c r="F1729" s="1" t="s">
        <v>7834</v>
      </c>
      <c r="G1729" s="10"/>
      <c r="H1729" s="10"/>
      <c r="I1729" s="10"/>
      <c r="J1729" s="10"/>
      <c r="K1729" s="10"/>
      <c r="L1729" s="3" t="s">
        <v>5843</v>
      </c>
      <c r="M1729" s="3" t="s">
        <v>5844</v>
      </c>
      <c r="N1729" s="3" t="s">
        <v>441</v>
      </c>
      <c r="O1729" s="3"/>
      <c r="P1729" s="3"/>
      <c r="Q1729" s="3"/>
      <c r="R1729" s="3" t="s">
        <v>5845</v>
      </c>
      <c r="S1729" s="3" t="s">
        <v>5846</v>
      </c>
      <c r="T1729" s="3" t="s">
        <v>21</v>
      </c>
      <c r="U1729" s="11">
        <v>129</v>
      </c>
      <c r="V1729" s="3" t="s">
        <v>5763</v>
      </c>
      <c r="W1729" s="8" t="s">
        <v>7834</v>
      </c>
    </row>
    <row r="1730" spans="1:23" x14ac:dyDescent="0.25">
      <c r="A1730" s="2">
        <v>1422</v>
      </c>
      <c r="B1730" s="3" t="s">
        <v>5763</v>
      </c>
      <c r="C1730" s="3">
        <v>2024</v>
      </c>
      <c r="D1730" s="3" t="s">
        <v>2712</v>
      </c>
      <c r="E1730" s="3" t="s">
        <v>15</v>
      </c>
      <c r="F1730" s="1" t="s">
        <v>7834</v>
      </c>
      <c r="G1730" s="10"/>
      <c r="H1730" s="10"/>
      <c r="I1730" s="10"/>
      <c r="J1730" s="10"/>
      <c r="K1730" s="10"/>
      <c r="L1730" s="3" t="s">
        <v>5861</v>
      </c>
      <c r="M1730" s="3" t="s">
        <v>5862</v>
      </c>
      <c r="N1730" s="3" t="s">
        <v>5863</v>
      </c>
      <c r="O1730" s="3"/>
      <c r="P1730" s="3"/>
      <c r="Q1730" s="3"/>
      <c r="R1730" s="3" t="s">
        <v>5864</v>
      </c>
      <c r="S1730" s="3" t="s">
        <v>5865</v>
      </c>
      <c r="T1730" s="3" t="s">
        <v>21</v>
      </c>
      <c r="U1730" s="11">
        <v>130</v>
      </c>
      <c r="V1730" s="3" t="s">
        <v>5763</v>
      </c>
      <c r="W1730" s="8" t="s">
        <v>7834</v>
      </c>
    </row>
    <row r="1731" spans="1:23" x14ac:dyDescent="0.25">
      <c r="A1731" s="2">
        <v>1424</v>
      </c>
      <c r="B1731" s="3" t="s">
        <v>5763</v>
      </c>
      <c r="C1731" s="3">
        <v>2024</v>
      </c>
      <c r="D1731" s="3" t="s">
        <v>215</v>
      </c>
      <c r="E1731" s="3" t="s">
        <v>15</v>
      </c>
      <c r="F1731" s="1" t="s">
        <v>7834</v>
      </c>
      <c r="G1731" s="10">
        <v>20</v>
      </c>
      <c r="H1731" s="10"/>
      <c r="I1731" s="10"/>
      <c r="J1731" s="10"/>
      <c r="K1731" s="10"/>
      <c r="L1731" s="3" t="s">
        <v>5870</v>
      </c>
      <c r="M1731" s="3" t="s">
        <v>5871</v>
      </c>
      <c r="N1731" s="3" t="s">
        <v>4133</v>
      </c>
      <c r="O1731" s="3"/>
      <c r="P1731" s="3"/>
      <c r="Q1731" s="3"/>
      <c r="R1731" s="3" t="s">
        <v>4134</v>
      </c>
      <c r="S1731" s="3" t="s">
        <v>5872</v>
      </c>
      <c r="T1731" s="3" t="s">
        <v>21</v>
      </c>
      <c r="U1731" s="11">
        <v>131</v>
      </c>
      <c r="V1731" s="3" t="s">
        <v>5763</v>
      </c>
      <c r="W1731" s="8" t="s">
        <v>7834</v>
      </c>
    </row>
    <row r="1732" spans="1:23" x14ac:dyDescent="0.25">
      <c r="A1732" s="2">
        <v>1427</v>
      </c>
      <c r="B1732" s="3" t="s">
        <v>5873</v>
      </c>
      <c r="C1732" s="3">
        <v>2024</v>
      </c>
      <c r="D1732" s="3" t="s">
        <v>1381</v>
      </c>
      <c r="E1732" s="3" t="s">
        <v>15</v>
      </c>
      <c r="F1732" s="1" t="s">
        <v>7834</v>
      </c>
      <c r="G1732" s="10"/>
      <c r="H1732" s="10"/>
      <c r="I1732" s="10"/>
      <c r="J1732" s="10"/>
      <c r="K1732" s="10"/>
      <c r="L1732" s="3" t="s">
        <v>2313</v>
      </c>
      <c r="M1732" s="3" t="s">
        <v>5880</v>
      </c>
      <c r="N1732" s="3" t="s">
        <v>5881</v>
      </c>
      <c r="O1732" s="3">
        <v>20</v>
      </c>
      <c r="P1732" s="3">
        <v>9</v>
      </c>
      <c r="Q1732" s="3" t="s">
        <v>5882</v>
      </c>
      <c r="R1732" s="3" t="s">
        <v>2316</v>
      </c>
      <c r="S1732" s="3" t="s">
        <v>2317</v>
      </c>
      <c r="T1732" s="3" t="s">
        <v>21</v>
      </c>
      <c r="U1732" s="11">
        <v>132</v>
      </c>
      <c r="V1732" s="3" t="s">
        <v>5873</v>
      </c>
      <c r="W1732" s="8" t="s">
        <v>7834</v>
      </c>
    </row>
    <row r="1733" spans="1:23" x14ac:dyDescent="0.25">
      <c r="A1733" s="2">
        <v>1428</v>
      </c>
      <c r="B1733" s="3" t="s">
        <v>5873</v>
      </c>
      <c r="C1733" s="3">
        <v>2024</v>
      </c>
      <c r="D1733" s="3" t="s">
        <v>361</v>
      </c>
      <c r="E1733" s="3" t="s">
        <v>15</v>
      </c>
      <c r="F1733" s="1" t="s">
        <v>7834</v>
      </c>
      <c r="G1733" s="10"/>
      <c r="H1733" s="10"/>
      <c r="I1733" s="10"/>
      <c r="J1733" s="10"/>
      <c r="K1733" s="10"/>
      <c r="L1733" s="3" t="s">
        <v>5883</v>
      </c>
      <c r="M1733" s="3" t="s">
        <v>5884</v>
      </c>
      <c r="N1733" s="3" t="s">
        <v>5885</v>
      </c>
      <c r="O1733" s="3">
        <v>288</v>
      </c>
      <c r="P1733" s="3"/>
      <c r="Q1733" s="3">
        <v>110076</v>
      </c>
      <c r="R1733" s="3" t="s">
        <v>5886</v>
      </c>
      <c r="S1733" s="3" t="s">
        <v>5887</v>
      </c>
      <c r="T1733" s="3" t="s">
        <v>21</v>
      </c>
      <c r="U1733" s="11">
        <v>133</v>
      </c>
      <c r="V1733" s="3" t="s">
        <v>5873</v>
      </c>
      <c r="W1733" s="8" t="s">
        <v>7834</v>
      </c>
    </row>
    <row r="1734" spans="1:23" x14ac:dyDescent="0.25">
      <c r="A1734" s="2">
        <v>1429</v>
      </c>
      <c r="B1734" s="3" t="s">
        <v>5873</v>
      </c>
      <c r="C1734" s="3">
        <v>2024</v>
      </c>
      <c r="D1734" s="3" t="s">
        <v>215</v>
      </c>
      <c r="E1734" s="3" t="s">
        <v>15</v>
      </c>
      <c r="F1734" s="1" t="s">
        <v>7834</v>
      </c>
      <c r="G1734" s="10"/>
      <c r="H1734" s="10"/>
      <c r="I1734" s="10"/>
      <c r="J1734" s="10"/>
      <c r="K1734" s="10"/>
      <c r="L1734" s="3" t="s">
        <v>5888</v>
      </c>
      <c r="M1734" s="3" t="s">
        <v>5889</v>
      </c>
      <c r="N1734" s="3" t="s">
        <v>1639</v>
      </c>
      <c r="O1734" s="3">
        <v>954</v>
      </c>
      <c r="P1734" s="3"/>
      <c r="Q1734" s="3"/>
      <c r="R1734" s="3" t="s">
        <v>342</v>
      </c>
      <c r="S1734" s="3" t="s">
        <v>343</v>
      </c>
      <c r="T1734" s="3" t="s">
        <v>21</v>
      </c>
      <c r="U1734" s="11">
        <v>134</v>
      </c>
      <c r="V1734" s="3" t="s">
        <v>5873</v>
      </c>
      <c r="W1734" s="8" t="s">
        <v>7834</v>
      </c>
    </row>
    <row r="1735" spans="1:23" x14ac:dyDescent="0.25">
      <c r="A1735" s="2">
        <v>1430</v>
      </c>
      <c r="B1735" s="3" t="s">
        <v>5873</v>
      </c>
      <c r="C1735" s="3">
        <v>2024</v>
      </c>
      <c r="D1735" s="3" t="s">
        <v>2626</v>
      </c>
      <c r="E1735" s="3" t="s">
        <v>15</v>
      </c>
      <c r="F1735" s="1" t="s">
        <v>7834</v>
      </c>
      <c r="G1735" s="10"/>
      <c r="H1735" s="10"/>
      <c r="I1735" s="10"/>
      <c r="J1735" s="10"/>
      <c r="K1735" s="10"/>
      <c r="L1735" s="3" t="s">
        <v>5890</v>
      </c>
      <c r="M1735" s="3" t="s">
        <v>5891</v>
      </c>
      <c r="N1735" s="3" t="s">
        <v>2366</v>
      </c>
      <c r="O1735" s="3"/>
      <c r="P1735" s="3"/>
      <c r="Q1735" s="3"/>
      <c r="R1735" s="3" t="s">
        <v>2367</v>
      </c>
      <c r="S1735" s="3" t="s">
        <v>5892</v>
      </c>
      <c r="T1735" s="3" t="s">
        <v>21</v>
      </c>
      <c r="U1735" s="11">
        <v>135</v>
      </c>
      <c r="V1735" s="3" t="s">
        <v>5873</v>
      </c>
      <c r="W1735" s="8" t="s">
        <v>7834</v>
      </c>
    </row>
    <row r="1736" spans="1:23" x14ac:dyDescent="0.25">
      <c r="A1736" s="2">
        <v>1431</v>
      </c>
      <c r="B1736" s="3" t="s">
        <v>5873</v>
      </c>
      <c r="C1736" s="3">
        <v>2024</v>
      </c>
      <c r="D1736" s="3" t="s">
        <v>2159</v>
      </c>
      <c r="E1736" s="3" t="s">
        <v>15</v>
      </c>
      <c r="F1736" s="1" t="s">
        <v>7834</v>
      </c>
      <c r="G1736" s="10"/>
      <c r="H1736" s="10"/>
      <c r="I1736" s="10"/>
      <c r="J1736" s="10"/>
      <c r="K1736" s="10"/>
      <c r="L1736" s="3" t="s">
        <v>5893</v>
      </c>
      <c r="M1736" s="3" t="s">
        <v>5894</v>
      </c>
      <c r="N1736" s="3" t="s">
        <v>2290</v>
      </c>
      <c r="O1736" s="3">
        <v>243</v>
      </c>
      <c r="P1736" s="3">
        <v>5</v>
      </c>
      <c r="Q1736" s="3">
        <v>2008</v>
      </c>
      <c r="R1736" s="3" t="s">
        <v>2291</v>
      </c>
      <c r="S1736" s="3" t="s">
        <v>5895</v>
      </c>
      <c r="T1736" s="3" t="s">
        <v>21</v>
      </c>
      <c r="U1736" s="11">
        <v>136</v>
      </c>
      <c r="V1736" s="3" t="s">
        <v>5873</v>
      </c>
      <c r="W1736" s="8" t="s">
        <v>7834</v>
      </c>
    </row>
    <row r="1737" spans="1:23" x14ac:dyDescent="0.25">
      <c r="A1737" s="2">
        <v>1433</v>
      </c>
      <c r="B1737" s="3" t="s">
        <v>5873</v>
      </c>
      <c r="C1737" s="3">
        <v>2024</v>
      </c>
      <c r="D1737" s="3" t="s">
        <v>871</v>
      </c>
      <c r="E1737" s="3" t="s">
        <v>15</v>
      </c>
      <c r="F1737" s="1" t="s">
        <v>7834</v>
      </c>
      <c r="G1737" s="10"/>
      <c r="H1737" s="10"/>
      <c r="I1737" s="10"/>
      <c r="J1737" s="10"/>
      <c r="K1737" s="10"/>
      <c r="L1737" s="3" t="s">
        <v>5901</v>
      </c>
      <c r="M1737" s="3" t="s">
        <v>5902</v>
      </c>
      <c r="N1737" s="3" t="s">
        <v>5903</v>
      </c>
      <c r="O1737" s="3"/>
      <c r="P1737" s="3"/>
      <c r="Q1737" s="3" t="s">
        <v>5904</v>
      </c>
      <c r="R1737" s="3" t="s">
        <v>5905</v>
      </c>
      <c r="S1737" s="3" t="s">
        <v>5906</v>
      </c>
      <c r="T1737" s="3" t="s">
        <v>21</v>
      </c>
      <c r="U1737" s="11">
        <v>137</v>
      </c>
      <c r="V1737" s="3" t="s">
        <v>5873</v>
      </c>
      <c r="W1737" s="8" t="s">
        <v>7834</v>
      </c>
    </row>
    <row r="1738" spans="1:23" x14ac:dyDescent="0.25">
      <c r="A1738" s="2">
        <v>1435</v>
      </c>
      <c r="B1738" s="3" t="s">
        <v>5873</v>
      </c>
      <c r="C1738" s="3">
        <v>2024</v>
      </c>
      <c r="D1738" s="3" t="s">
        <v>2102</v>
      </c>
      <c r="E1738" s="3" t="s">
        <v>15</v>
      </c>
      <c r="F1738" s="1" t="s">
        <v>7834</v>
      </c>
      <c r="G1738" s="10"/>
      <c r="H1738" s="10"/>
      <c r="I1738" s="10"/>
      <c r="J1738" s="10"/>
      <c r="K1738" s="10"/>
      <c r="L1738" s="3" t="s">
        <v>2360</v>
      </c>
      <c r="M1738" s="3" t="s">
        <v>5909</v>
      </c>
      <c r="N1738" s="3" t="s">
        <v>5881</v>
      </c>
      <c r="O1738" s="3">
        <v>20</v>
      </c>
      <c r="P1738" s="3">
        <v>6</v>
      </c>
      <c r="Q1738" s="3" t="s">
        <v>5910</v>
      </c>
      <c r="R1738" s="3" t="s">
        <v>2316</v>
      </c>
      <c r="S1738" s="3" t="s">
        <v>2362</v>
      </c>
      <c r="T1738" s="3" t="s">
        <v>21</v>
      </c>
      <c r="U1738" s="11">
        <v>138</v>
      </c>
      <c r="V1738" s="3" t="s">
        <v>5873</v>
      </c>
      <c r="W1738" s="8" t="s">
        <v>7834</v>
      </c>
    </row>
    <row r="1739" spans="1:23" x14ac:dyDescent="0.25">
      <c r="A1739" s="2">
        <v>1437</v>
      </c>
      <c r="B1739" s="3" t="s">
        <v>5873</v>
      </c>
      <c r="C1739" s="3">
        <v>2024</v>
      </c>
      <c r="D1739" s="3" t="s">
        <v>1863</v>
      </c>
      <c r="E1739" s="3" t="s">
        <v>15</v>
      </c>
      <c r="F1739" s="1" t="s">
        <v>7834</v>
      </c>
      <c r="G1739" s="10"/>
      <c r="H1739" s="10"/>
      <c r="I1739" s="10"/>
      <c r="J1739" s="10"/>
      <c r="K1739" s="10"/>
      <c r="L1739" s="3" t="s">
        <v>1101</v>
      </c>
      <c r="M1739" s="3" t="s">
        <v>5913</v>
      </c>
      <c r="N1739" s="3" t="s">
        <v>5914</v>
      </c>
      <c r="O1739" s="3">
        <v>291</v>
      </c>
      <c r="P1739" s="3">
        <v>2025</v>
      </c>
      <c r="Q1739" s="3"/>
      <c r="R1739" s="3" t="s">
        <v>1866</v>
      </c>
      <c r="S1739" s="3" t="s">
        <v>1105</v>
      </c>
      <c r="T1739" s="3" t="s">
        <v>21</v>
      </c>
      <c r="U1739" s="11">
        <v>139</v>
      </c>
      <c r="V1739" s="3" t="s">
        <v>5873</v>
      </c>
      <c r="W1739" s="8" t="s">
        <v>7834</v>
      </c>
    </row>
    <row r="1740" spans="1:23" x14ac:dyDescent="0.25">
      <c r="A1740" s="2">
        <v>1438</v>
      </c>
      <c r="B1740" s="3" t="s">
        <v>5873</v>
      </c>
      <c r="C1740" s="3">
        <v>2024</v>
      </c>
      <c r="D1740" s="3" t="s">
        <v>2657</v>
      </c>
      <c r="E1740" s="3" t="s">
        <v>15</v>
      </c>
      <c r="F1740" s="1" t="s">
        <v>7834</v>
      </c>
      <c r="G1740" s="10"/>
      <c r="H1740" s="10"/>
      <c r="I1740" s="10"/>
      <c r="J1740" s="10"/>
      <c r="K1740" s="10"/>
      <c r="L1740" s="3" t="s">
        <v>5915</v>
      </c>
      <c r="M1740" s="3" t="s">
        <v>5916</v>
      </c>
      <c r="N1740" s="3" t="s">
        <v>5917</v>
      </c>
      <c r="O1740" s="3">
        <v>54</v>
      </c>
      <c r="P1740" s="3" t="s">
        <v>5918</v>
      </c>
      <c r="Q1740" s="3" t="s">
        <v>5919</v>
      </c>
      <c r="R1740" s="3" t="s">
        <v>5920</v>
      </c>
      <c r="S1740" s="3" t="s">
        <v>5921</v>
      </c>
      <c r="T1740" s="3" t="s">
        <v>21</v>
      </c>
      <c r="U1740" s="11">
        <v>140</v>
      </c>
      <c r="V1740" s="3" t="s">
        <v>5873</v>
      </c>
      <c r="W1740" s="8" t="s">
        <v>7834</v>
      </c>
    </row>
    <row r="1741" spans="1:23" x14ac:dyDescent="0.25">
      <c r="A1741" s="2">
        <v>1439</v>
      </c>
      <c r="B1741" s="3" t="s">
        <v>5873</v>
      </c>
      <c r="C1741" s="3">
        <v>2024</v>
      </c>
      <c r="D1741" s="3" t="s">
        <v>536</v>
      </c>
      <c r="E1741" s="3" t="s">
        <v>15</v>
      </c>
      <c r="F1741" s="1" t="s">
        <v>7834</v>
      </c>
      <c r="G1741" s="10"/>
      <c r="H1741" s="10"/>
      <c r="I1741" s="10"/>
      <c r="J1741" s="10"/>
      <c r="K1741" s="10"/>
      <c r="L1741" s="3" t="s">
        <v>5922</v>
      </c>
      <c r="M1741" s="3" t="s">
        <v>5923</v>
      </c>
      <c r="N1741" s="3" t="s">
        <v>243</v>
      </c>
      <c r="O1741" s="3">
        <v>632</v>
      </c>
      <c r="P1741" s="3">
        <v>8026</v>
      </c>
      <c r="Q1741" s="3">
        <v>808</v>
      </c>
      <c r="R1741" s="3" t="s">
        <v>3134</v>
      </c>
      <c r="S1741" s="3" t="s">
        <v>5924</v>
      </c>
      <c r="T1741" s="3" t="s">
        <v>21</v>
      </c>
      <c r="U1741" s="11">
        <v>141</v>
      </c>
      <c r="V1741" s="3" t="s">
        <v>5873</v>
      </c>
      <c r="W1741" s="8" t="s">
        <v>7834</v>
      </c>
    </row>
    <row r="1742" spans="1:23" x14ac:dyDescent="0.25">
      <c r="A1742" s="2">
        <v>1440</v>
      </c>
      <c r="B1742" s="3" t="s">
        <v>5873</v>
      </c>
      <c r="C1742" s="3">
        <v>2024</v>
      </c>
      <c r="D1742" s="3" t="s">
        <v>63</v>
      </c>
      <c r="E1742" s="3" t="s">
        <v>15</v>
      </c>
      <c r="F1742" s="1" t="s">
        <v>7834</v>
      </c>
      <c r="G1742" s="10"/>
      <c r="H1742" s="10"/>
      <c r="I1742" s="10"/>
      <c r="J1742" s="10"/>
      <c r="K1742" s="10"/>
      <c r="L1742" s="3" t="s">
        <v>5925</v>
      </c>
      <c r="M1742" s="3" t="s">
        <v>5926</v>
      </c>
      <c r="N1742" s="3" t="s">
        <v>5927</v>
      </c>
      <c r="O1742" s="3">
        <v>39</v>
      </c>
      <c r="P1742" s="3">
        <v>5</v>
      </c>
      <c r="Q1742" s="3">
        <v>417</v>
      </c>
      <c r="R1742" s="3" t="s">
        <v>1602</v>
      </c>
      <c r="S1742" s="3" t="s">
        <v>5928</v>
      </c>
      <c r="T1742" s="3" t="s">
        <v>21</v>
      </c>
      <c r="U1742" s="11">
        <v>142</v>
      </c>
      <c r="V1742" s="3" t="s">
        <v>5873</v>
      </c>
      <c r="W1742" s="8" t="s">
        <v>7834</v>
      </c>
    </row>
    <row r="1743" spans="1:23" x14ac:dyDescent="0.25">
      <c r="A1743" s="2">
        <v>1441</v>
      </c>
      <c r="B1743" s="3" t="s">
        <v>5873</v>
      </c>
      <c r="C1743" s="3">
        <v>2024</v>
      </c>
      <c r="D1743" s="3" t="s">
        <v>2414</v>
      </c>
      <c r="E1743" s="3" t="s">
        <v>15</v>
      </c>
      <c r="F1743" s="1" t="s">
        <v>7834</v>
      </c>
      <c r="G1743" s="10"/>
      <c r="H1743" s="10"/>
      <c r="I1743" s="10"/>
      <c r="J1743" s="10"/>
      <c r="K1743" s="10"/>
      <c r="L1743" s="3" t="s">
        <v>5929</v>
      </c>
      <c r="M1743" s="3" t="s">
        <v>5930</v>
      </c>
      <c r="N1743" s="3" t="s">
        <v>5931</v>
      </c>
      <c r="O1743" s="3">
        <v>30</v>
      </c>
      <c r="P1743" s="3">
        <v>3</v>
      </c>
      <c r="Q1743" s="3" t="s">
        <v>5932</v>
      </c>
      <c r="R1743" s="3" t="s">
        <v>5933</v>
      </c>
      <c r="S1743" s="3" t="s">
        <v>5934</v>
      </c>
      <c r="T1743" s="3" t="s">
        <v>21</v>
      </c>
      <c r="U1743" s="11">
        <v>143</v>
      </c>
      <c r="V1743" s="3" t="s">
        <v>5873</v>
      </c>
      <c r="W1743" s="8" t="s">
        <v>7834</v>
      </c>
    </row>
    <row r="1744" spans="1:23" x14ac:dyDescent="0.25">
      <c r="A1744" s="2">
        <v>1442</v>
      </c>
      <c r="B1744" s="3" t="s">
        <v>5873</v>
      </c>
      <c r="C1744" s="3">
        <v>2024</v>
      </c>
      <c r="D1744" s="3" t="s">
        <v>811</v>
      </c>
      <c r="E1744" s="3" t="s">
        <v>15</v>
      </c>
      <c r="F1744" s="1" t="s">
        <v>7834</v>
      </c>
      <c r="G1744" s="10"/>
      <c r="H1744" s="10"/>
      <c r="I1744" s="10"/>
      <c r="J1744" s="10"/>
      <c r="K1744" s="10"/>
      <c r="L1744" s="3" t="s">
        <v>1088</v>
      </c>
      <c r="M1744" s="3" t="s">
        <v>5935</v>
      </c>
      <c r="N1744" s="3" t="s">
        <v>1090</v>
      </c>
      <c r="O1744" s="3">
        <v>16</v>
      </c>
      <c r="P1744" s="3">
        <v>5</v>
      </c>
      <c r="Q1744" s="3"/>
      <c r="R1744" s="3" t="s">
        <v>1646</v>
      </c>
      <c r="S1744" s="3" t="s">
        <v>1091</v>
      </c>
      <c r="T1744" s="3" t="s">
        <v>21</v>
      </c>
      <c r="U1744" s="11">
        <v>144</v>
      </c>
      <c r="V1744" s="3" t="s">
        <v>5873</v>
      </c>
      <c r="W1744" s="8" t="s">
        <v>7834</v>
      </c>
    </row>
    <row r="1745" spans="1:23" x14ac:dyDescent="0.25">
      <c r="A1745" s="2">
        <v>1443</v>
      </c>
      <c r="B1745" s="3" t="s">
        <v>5873</v>
      </c>
      <c r="C1745" s="3">
        <v>2024</v>
      </c>
      <c r="D1745" s="3" t="s">
        <v>484</v>
      </c>
      <c r="E1745" s="3" t="s">
        <v>15</v>
      </c>
      <c r="F1745" s="1" t="s">
        <v>7834</v>
      </c>
      <c r="G1745" s="10"/>
      <c r="H1745" s="10"/>
      <c r="I1745" s="10"/>
      <c r="J1745" s="10"/>
      <c r="K1745" s="10"/>
      <c r="L1745" s="3" t="s">
        <v>1553</v>
      </c>
      <c r="M1745" s="3" t="s">
        <v>5936</v>
      </c>
      <c r="N1745" s="3" t="s">
        <v>1555</v>
      </c>
      <c r="O1745" s="3">
        <v>41</v>
      </c>
      <c r="P1745" s="3">
        <v>9</v>
      </c>
      <c r="Q1745" s="3"/>
      <c r="R1745" s="3" t="s">
        <v>1556</v>
      </c>
      <c r="S1745" s="3" t="s">
        <v>1557</v>
      </c>
      <c r="T1745" s="3" t="s">
        <v>21</v>
      </c>
      <c r="U1745" s="11">
        <v>145</v>
      </c>
      <c r="V1745" s="3" t="s">
        <v>5873</v>
      </c>
      <c r="W1745" s="8" t="s">
        <v>7834</v>
      </c>
    </row>
    <row r="1746" spans="1:23" x14ac:dyDescent="0.25">
      <c r="A1746" s="2">
        <v>1446</v>
      </c>
      <c r="B1746" s="3" t="s">
        <v>5873</v>
      </c>
      <c r="C1746" s="3">
        <v>2024</v>
      </c>
      <c r="D1746" s="3" t="s">
        <v>1395</v>
      </c>
      <c r="E1746" s="3" t="s">
        <v>15</v>
      </c>
      <c r="F1746" s="1" t="s">
        <v>7834</v>
      </c>
      <c r="G1746" s="10"/>
      <c r="H1746" s="10"/>
      <c r="I1746" s="10"/>
      <c r="J1746" s="10"/>
      <c r="K1746" s="10"/>
      <c r="L1746" s="3" t="s">
        <v>5942</v>
      </c>
      <c r="M1746" s="3" t="s">
        <v>5943</v>
      </c>
      <c r="N1746" s="3" t="s">
        <v>4148</v>
      </c>
      <c r="O1746" s="3">
        <v>61</v>
      </c>
      <c r="P1746" s="3">
        <v>7</v>
      </c>
      <c r="Q1746" s="3">
        <v>1500</v>
      </c>
      <c r="R1746" s="3" t="s">
        <v>4149</v>
      </c>
      <c r="S1746" s="3" t="s">
        <v>5944</v>
      </c>
      <c r="T1746" s="3" t="s">
        <v>21</v>
      </c>
      <c r="U1746" s="11">
        <v>146</v>
      </c>
      <c r="V1746" s="3" t="s">
        <v>5873</v>
      </c>
      <c r="W1746" s="8" t="s">
        <v>7834</v>
      </c>
    </row>
    <row r="1747" spans="1:23" x14ac:dyDescent="0.25">
      <c r="A1747" s="2">
        <v>1447</v>
      </c>
      <c r="B1747" s="3" t="s">
        <v>5873</v>
      </c>
      <c r="C1747" s="3">
        <v>2024</v>
      </c>
      <c r="D1747" s="3" t="s">
        <v>1762</v>
      </c>
      <c r="E1747" s="3" t="s">
        <v>15</v>
      </c>
      <c r="F1747" s="1" t="s">
        <v>7834</v>
      </c>
      <c r="G1747" s="10"/>
      <c r="H1747" s="10"/>
      <c r="I1747" s="10"/>
      <c r="J1747" s="10"/>
      <c r="K1747" s="10"/>
      <c r="L1747" s="3" t="s">
        <v>5945</v>
      </c>
      <c r="M1747" s="3" t="s">
        <v>5946</v>
      </c>
      <c r="N1747" s="3" t="s">
        <v>1639</v>
      </c>
      <c r="O1747" s="3">
        <v>912</v>
      </c>
      <c r="P1747" s="3"/>
      <c r="Q1747" s="3"/>
      <c r="R1747" s="3" t="s">
        <v>342</v>
      </c>
      <c r="S1747" s="3" t="s">
        <v>5947</v>
      </c>
      <c r="T1747" s="3" t="s">
        <v>21</v>
      </c>
      <c r="U1747" s="11">
        <v>147</v>
      </c>
      <c r="V1747" s="3" t="s">
        <v>5873</v>
      </c>
      <c r="W1747" s="8" t="s">
        <v>7834</v>
      </c>
    </row>
    <row r="1748" spans="1:23" x14ac:dyDescent="0.25">
      <c r="A1748" s="2">
        <v>1449</v>
      </c>
      <c r="B1748" s="3" t="s">
        <v>5873</v>
      </c>
      <c r="C1748" s="3">
        <v>2024</v>
      </c>
      <c r="D1748" s="3" t="s">
        <v>1982</v>
      </c>
      <c r="E1748" s="3" t="s">
        <v>15</v>
      </c>
      <c r="F1748" s="1" t="s">
        <v>7834</v>
      </c>
      <c r="G1748" s="10"/>
      <c r="H1748" s="10"/>
      <c r="I1748" s="10"/>
      <c r="J1748" s="10"/>
      <c r="K1748" s="10"/>
      <c r="L1748" s="3" t="s">
        <v>5953</v>
      </c>
      <c r="M1748" s="3" t="s">
        <v>5954</v>
      </c>
      <c r="N1748" s="3" t="s">
        <v>5955</v>
      </c>
      <c r="O1748" s="3">
        <v>17</v>
      </c>
      <c r="P1748" s="3">
        <v>108</v>
      </c>
      <c r="Q1748" s="3"/>
      <c r="R1748" s="3" t="s">
        <v>5956</v>
      </c>
      <c r="S1748" s="3" t="s">
        <v>5957</v>
      </c>
      <c r="T1748" s="3" t="s">
        <v>21</v>
      </c>
      <c r="U1748" s="11">
        <v>148</v>
      </c>
      <c r="V1748" s="3" t="s">
        <v>5873</v>
      </c>
      <c r="W1748" s="8" t="s">
        <v>7834</v>
      </c>
    </row>
    <row r="1749" spans="1:23" x14ac:dyDescent="0.25">
      <c r="A1749" s="2">
        <v>1469</v>
      </c>
      <c r="B1749" s="3" t="s">
        <v>5964</v>
      </c>
      <c r="C1749" s="3">
        <v>2024</v>
      </c>
      <c r="D1749" s="3" t="s">
        <v>3597</v>
      </c>
      <c r="E1749" s="3" t="s">
        <v>15</v>
      </c>
      <c r="F1749" s="1" t="s">
        <v>7834</v>
      </c>
      <c r="G1749" s="10"/>
      <c r="H1749" s="10"/>
      <c r="I1749" s="10"/>
      <c r="J1749" s="10"/>
      <c r="K1749" s="10"/>
      <c r="L1749" s="3" t="s">
        <v>6042</v>
      </c>
      <c r="M1749" s="3" t="s">
        <v>6043</v>
      </c>
      <c r="N1749" s="3" t="s">
        <v>1743</v>
      </c>
      <c r="O1749" s="3">
        <v>10</v>
      </c>
      <c r="P1749" s="3">
        <v>20</v>
      </c>
      <c r="Q1749" s="3">
        <v>1</v>
      </c>
      <c r="R1749" s="3" t="s">
        <v>1744</v>
      </c>
      <c r="S1749" s="3" t="s">
        <v>6044</v>
      </c>
      <c r="T1749" s="3" t="s">
        <v>21</v>
      </c>
      <c r="U1749" s="11">
        <v>149</v>
      </c>
      <c r="V1749" s="3" t="s">
        <v>5964</v>
      </c>
      <c r="W1749" s="8" t="s">
        <v>7834</v>
      </c>
    </row>
    <row r="1750" spans="1:23" x14ac:dyDescent="0.25">
      <c r="A1750" s="2">
        <v>1465</v>
      </c>
      <c r="B1750" s="3" t="s">
        <v>5964</v>
      </c>
      <c r="C1750" s="3">
        <v>2024</v>
      </c>
      <c r="D1750" s="3" t="s">
        <v>633</v>
      </c>
      <c r="E1750" s="3" t="s">
        <v>206</v>
      </c>
      <c r="F1750" s="1" t="s">
        <v>7834</v>
      </c>
      <c r="G1750" s="10"/>
      <c r="H1750" s="10"/>
      <c r="I1750" s="10"/>
      <c r="J1750" s="10"/>
      <c r="K1750" s="10"/>
      <c r="L1750" s="3" t="s">
        <v>6024</v>
      </c>
      <c r="M1750" s="3" t="s">
        <v>6025</v>
      </c>
      <c r="N1750" s="3" t="s">
        <v>6026</v>
      </c>
      <c r="O1750" s="3">
        <v>17</v>
      </c>
      <c r="P1750" s="3">
        <v>2</v>
      </c>
      <c r="Q1750" s="3">
        <v>81</v>
      </c>
      <c r="R1750" s="3" t="s">
        <v>6027</v>
      </c>
      <c r="S1750" s="3" t="s">
        <v>6028</v>
      </c>
      <c r="T1750" s="3" t="s">
        <v>21</v>
      </c>
      <c r="U1750" s="11">
        <v>150</v>
      </c>
      <c r="V1750" s="3" t="s">
        <v>5964</v>
      </c>
      <c r="W1750" s="8" t="s">
        <v>7834</v>
      </c>
    </row>
    <row r="1751" spans="1:23" x14ac:dyDescent="0.25">
      <c r="A1751" s="2">
        <v>1467</v>
      </c>
      <c r="B1751" s="3" t="s">
        <v>5964</v>
      </c>
      <c r="C1751" s="3">
        <v>2024</v>
      </c>
      <c r="D1751" s="3" t="s">
        <v>1132</v>
      </c>
      <c r="E1751" s="3" t="s">
        <v>206</v>
      </c>
      <c r="F1751" s="1" t="s">
        <v>7834</v>
      </c>
      <c r="G1751" s="10"/>
      <c r="H1751" s="10"/>
      <c r="I1751" s="10"/>
      <c r="J1751" s="10"/>
      <c r="K1751" s="10"/>
      <c r="L1751" s="3" t="s">
        <v>6033</v>
      </c>
      <c r="M1751" s="3" t="s">
        <v>5986</v>
      </c>
      <c r="N1751" s="3" t="s">
        <v>6034</v>
      </c>
      <c r="O1751" s="3"/>
      <c r="P1751" s="3"/>
      <c r="Q1751" s="3">
        <v>1</v>
      </c>
      <c r="R1751" s="3" t="s">
        <v>6035</v>
      </c>
      <c r="S1751" s="3" t="s">
        <v>6036</v>
      </c>
      <c r="T1751" s="3" t="s">
        <v>21</v>
      </c>
      <c r="U1751" s="11">
        <v>151</v>
      </c>
      <c r="V1751" s="3" t="s">
        <v>5964</v>
      </c>
      <c r="W1751" s="8" t="s">
        <v>7834</v>
      </c>
    </row>
    <row r="1752" spans="1:23" x14ac:dyDescent="0.25">
      <c r="A1752" s="2">
        <v>1484</v>
      </c>
      <c r="B1752" s="3" t="s">
        <v>6100</v>
      </c>
      <c r="C1752" s="3">
        <v>2024</v>
      </c>
      <c r="D1752" s="3" t="s">
        <v>2971</v>
      </c>
      <c r="E1752" s="3" t="s">
        <v>15</v>
      </c>
      <c r="F1752" s="1" t="s">
        <v>7834</v>
      </c>
      <c r="G1752" s="10"/>
      <c r="H1752" s="10"/>
      <c r="I1752" s="10"/>
      <c r="J1752" s="10"/>
      <c r="K1752" s="10"/>
      <c r="L1752" s="3" t="s">
        <v>6103</v>
      </c>
      <c r="M1752" s="3" t="s">
        <v>6104</v>
      </c>
      <c r="N1752" s="3" t="s">
        <v>6105</v>
      </c>
      <c r="O1752" s="3">
        <v>89</v>
      </c>
      <c r="P1752" s="3">
        <v>3</v>
      </c>
      <c r="Q1752" s="3">
        <v>584</v>
      </c>
      <c r="R1752" s="3" t="s">
        <v>6106</v>
      </c>
      <c r="S1752" s="3" t="s">
        <v>6107</v>
      </c>
      <c r="T1752" s="3" t="s">
        <v>21</v>
      </c>
      <c r="U1752" s="11">
        <v>152</v>
      </c>
      <c r="V1752" s="3" t="s">
        <v>6100</v>
      </c>
      <c r="W1752" s="8" t="s">
        <v>7834</v>
      </c>
    </row>
    <row r="1753" spans="1:23" x14ac:dyDescent="0.25">
      <c r="A1753" s="2">
        <v>1485</v>
      </c>
      <c r="B1753" s="3" t="s">
        <v>6100</v>
      </c>
      <c r="C1753" s="3">
        <v>2024</v>
      </c>
      <c r="D1753" s="3" t="s">
        <v>59</v>
      </c>
      <c r="E1753" s="3" t="s">
        <v>15</v>
      </c>
      <c r="F1753" s="1" t="s">
        <v>7834</v>
      </c>
      <c r="G1753" s="10"/>
      <c r="H1753" s="10"/>
      <c r="I1753" s="10"/>
      <c r="J1753" s="10"/>
      <c r="K1753" s="10"/>
      <c r="L1753" s="3" t="s">
        <v>6108</v>
      </c>
      <c r="M1753" s="3" t="s">
        <v>6109</v>
      </c>
      <c r="N1753" s="3" t="s">
        <v>6110</v>
      </c>
      <c r="O1753" s="3">
        <v>82</v>
      </c>
      <c r="P1753" s="3">
        <v>101358</v>
      </c>
      <c r="Q1753" s="3"/>
      <c r="R1753" s="3" t="s">
        <v>6111</v>
      </c>
      <c r="S1753" s="3" t="s">
        <v>6112</v>
      </c>
      <c r="T1753" s="3" t="s">
        <v>21</v>
      </c>
      <c r="U1753" s="11">
        <v>153</v>
      </c>
      <c r="V1753" s="3" t="s">
        <v>6100</v>
      </c>
      <c r="W1753" s="8" t="s">
        <v>7834</v>
      </c>
    </row>
    <row r="1754" spans="1:23" x14ac:dyDescent="0.25">
      <c r="A1754" s="2">
        <v>1486</v>
      </c>
      <c r="B1754" s="3" t="s">
        <v>6100</v>
      </c>
      <c r="C1754" s="3">
        <v>2024</v>
      </c>
      <c r="D1754" s="3" t="s">
        <v>2971</v>
      </c>
      <c r="E1754" s="3" t="s">
        <v>15</v>
      </c>
      <c r="F1754" s="1" t="s">
        <v>7834</v>
      </c>
      <c r="G1754" s="10"/>
      <c r="H1754" s="10"/>
      <c r="I1754" s="10"/>
      <c r="J1754" s="10"/>
      <c r="K1754" s="10"/>
      <c r="L1754" s="3" t="s">
        <v>6113</v>
      </c>
      <c r="M1754" s="3" t="s">
        <v>6114</v>
      </c>
      <c r="N1754" s="3" t="s">
        <v>6115</v>
      </c>
      <c r="O1754" s="3">
        <v>11</v>
      </c>
      <c r="P1754" s="3"/>
      <c r="Q1754" s="3">
        <v>489</v>
      </c>
      <c r="R1754" s="3" t="s">
        <v>6116</v>
      </c>
      <c r="S1754" s="3" t="s">
        <v>6117</v>
      </c>
      <c r="T1754" s="3" t="s">
        <v>21</v>
      </c>
      <c r="U1754" s="11">
        <v>154</v>
      </c>
      <c r="V1754" s="3" t="s">
        <v>6100</v>
      </c>
      <c r="W1754" s="8" t="s">
        <v>7834</v>
      </c>
    </row>
    <row r="1755" spans="1:23" x14ac:dyDescent="0.25">
      <c r="A1755" s="2">
        <v>1488</v>
      </c>
      <c r="B1755" s="3" t="s">
        <v>6100</v>
      </c>
      <c r="C1755" s="3">
        <v>2024</v>
      </c>
      <c r="D1755" s="3" t="s">
        <v>3930</v>
      </c>
      <c r="E1755" s="3" t="s">
        <v>15</v>
      </c>
      <c r="F1755" s="1" t="s">
        <v>7834</v>
      </c>
      <c r="G1755" s="10"/>
      <c r="H1755" s="10"/>
      <c r="I1755" s="10"/>
      <c r="J1755" s="10"/>
      <c r="K1755" s="10"/>
      <c r="L1755" s="3" t="s">
        <v>6123</v>
      </c>
      <c r="M1755" s="3" t="s">
        <v>6124</v>
      </c>
      <c r="N1755" s="3" t="s">
        <v>6125</v>
      </c>
      <c r="O1755" s="3">
        <v>119</v>
      </c>
      <c r="P1755" s="3">
        <v>102990</v>
      </c>
      <c r="Q1755" s="3"/>
      <c r="R1755" s="3" t="s">
        <v>6126</v>
      </c>
      <c r="S1755" s="3" t="s">
        <v>6127</v>
      </c>
      <c r="T1755" s="3" t="s">
        <v>21</v>
      </c>
      <c r="U1755" s="11">
        <v>155</v>
      </c>
      <c r="V1755" s="3" t="s">
        <v>6100</v>
      </c>
      <c r="W1755" s="8" t="s">
        <v>7834</v>
      </c>
    </row>
    <row r="1756" spans="1:23" x14ac:dyDescent="0.25">
      <c r="A1756" s="2">
        <v>1489</v>
      </c>
      <c r="B1756" s="3" t="s">
        <v>6100</v>
      </c>
      <c r="C1756" s="3">
        <v>2024</v>
      </c>
      <c r="D1756" s="3" t="s">
        <v>602</v>
      </c>
      <c r="E1756" s="3" t="s">
        <v>15</v>
      </c>
      <c r="F1756" s="1" t="s">
        <v>7834</v>
      </c>
      <c r="G1756" s="10">
        <v>6</v>
      </c>
      <c r="H1756" s="10"/>
      <c r="I1756" s="10"/>
      <c r="J1756" s="10"/>
      <c r="K1756" s="10"/>
      <c r="L1756" s="3" t="s">
        <v>6128</v>
      </c>
      <c r="M1756" s="3" t="s">
        <v>6129</v>
      </c>
      <c r="N1756" s="3" t="s">
        <v>6115</v>
      </c>
      <c r="O1756" s="3">
        <v>11</v>
      </c>
      <c r="P1756" s="3"/>
      <c r="Q1756" s="3">
        <v>517</v>
      </c>
      <c r="R1756" s="3" t="s">
        <v>6116</v>
      </c>
      <c r="S1756" s="3" t="s">
        <v>6130</v>
      </c>
      <c r="T1756" s="3" t="s">
        <v>21</v>
      </c>
      <c r="U1756" s="11">
        <v>156</v>
      </c>
      <c r="V1756" s="3" t="s">
        <v>6100</v>
      </c>
      <c r="W1756" s="8" t="s">
        <v>7834</v>
      </c>
    </row>
    <row r="1757" spans="1:23" x14ac:dyDescent="0.25">
      <c r="A1757" s="2">
        <v>1487</v>
      </c>
      <c r="B1757" s="3" t="s">
        <v>6100</v>
      </c>
      <c r="C1757" s="3">
        <v>2024</v>
      </c>
      <c r="D1757" s="3" t="s">
        <v>75</v>
      </c>
      <c r="E1757" s="3" t="s">
        <v>206</v>
      </c>
      <c r="F1757" s="1" t="s">
        <v>7834</v>
      </c>
      <c r="G1757" s="10"/>
      <c r="H1757" s="10"/>
      <c r="I1757" s="10"/>
      <c r="J1757" s="10"/>
      <c r="K1757" s="10"/>
      <c r="L1757" s="3" t="s">
        <v>6118</v>
      </c>
      <c r="M1757" s="3" t="s">
        <v>6119</v>
      </c>
      <c r="N1757" s="3" t="s">
        <v>6120</v>
      </c>
      <c r="O1757" s="3">
        <v>10</v>
      </c>
      <c r="P1757" s="3"/>
      <c r="Q1757" s="3"/>
      <c r="R1757" s="3" t="s">
        <v>6121</v>
      </c>
      <c r="S1757" s="3" t="s">
        <v>6122</v>
      </c>
      <c r="T1757" s="3" t="s">
        <v>21</v>
      </c>
      <c r="U1757" s="11">
        <v>157</v>
      </c>
      <c r="V1757" s="3" t="s">
        <v>6100</v>
      </c>
      <c r="W1757" s="8" t="s">
        <v>7834</v>
      </c>
    </row>
    <row r="1758" spans="1:23" x14ac:dyDescent="0.25">
      <c r="A1758" s="2">
        <v>1490</v>
      </c>
      <c r="B1758" s="3" t="s">
        <v>6100</v>
      </c>
      <c r="C1758" s="3">
        <v>2024</v>
      </c>
      <c r="D1758" s="3" t="s">
        <v>31</v>
      </c>
      <c r="E1758" s="3" t="s">
        <v>206</v>
      </c>
      <c r="F1758" s="1" t="s">
        <v>7834</v>
      </c>
      <c r="G1758" s="10"/>
      <c r="H1758" s="10"/>
      <c r="I1758" s="10"/>
      <c r="J1758" s="10"/>
      <c r="K1758" s="10">
        <v>2</v>
      </c>
      <c r="L1758" s="3" t="s">
        <v>6131</v>
      </c>
      <c r="M1758" s="3" t="s">
        <v>6129</v>
      </c>
      <c r="N1758" s="3" t="s">
        <v>6120</v>
      </c>
      <c r="O1758" s="3">
        <v>10</v>
      </c>
      <c r="P1758" s="3"/>
      <c r="Q1758" s="3"/>
      <c r="R1758" s="3" t="s">
        <v>6121</v>
      </c>
      <c r="S1758" s="3" t="s">
        <v>6132</v>
      </c>
      <c r="T1758" s="3" t="s">
        <v>21</v>
      </c>
      <c r="U1758" s="11">
        <v>158</v>
      </c>
      <c r="V1758" s="3" t="s">
        <v>6100</v>
      </c>
      <c r="W1758" s="8" t="s">
        <v>7834</v>
      </c>
    </row>
    <row r="1759" spans="1:23" x14ac:dyDescent="0.25">
      <c r="A1759" s="2">
        <v>1491</v>
      </c>
      <c r="B1759" s="3" t="s">
        <v>6133</v>
      </c>
      <c r="C1759" s="3">
        <v>2024</v>
      </c>
      <c r="D1759" s="3" t="s">
        <v>156</v>
      </c>
      <c r="E1759" s="3" t="s">
        <v>15</v>
      </c>
      <c r="F1759" s="1" t="s">
        <v>7834</v>
      </c>
      <c r="G1759" s="10"/>
      <c r="H1759" s="10"/>
      <c r="I1759" s="10"/>
      <c r="J1759" s="10"/>
      <c r="K1759" s="10"/>
      <c r="L1759" s="3" t="s">
        <v>6134</v>
      </c>
      <c r="M1759" s="3" t="s">
        <v>6135</v>
      </c>
      <c r="N1759" s="3" t="s">
        <v>6136</v>
      </c>
      <c r="O1759" s="3">
        <v>33</v>
      </c>
      <c r="P1759" s="3">
        <v>12</v>
      </c>
      <c r="Q1759" s="3">
        <v>5204</v>
      </c>
      <c r="R1759" s="3" t="s">
        <v>2311</v>
      </c>
      <c r="S1759" s="3" t="s">
        <v>6137</v>
      </c>
      <c r="T1759" s="3" t="s">
        <v>21</v>
      </c>
      <c r="U1759" s="11">
        <v>159</v>
      </c>
      <c r="V1759" s="3" t="s">
        <v>6133</v>
      </c>
      <c r="W1759" s="8" t="s">
        <v>7834</v>
      </c>
    </row>
    <row r="1760" spans="1:23" x14ac:dyDescent="0.25">
      <c r="A1760" s="2">
        <v>1492</v>
      </c>
      <c r="B1760" s="3" t="s">
        <v>6133</v>
      </c>
      <c r="C1760" s="3">
        <v>2024</v>
      </c>
      <c r="D1760" s="3" t="s">
        <v>2626</v>
      </c>
      <c r="E1760" s="3" t="s">
        <v>15</v>
      </c>
      <c r="F1760" s="1" t="s">
        <v>7834</v>
      </c>
      <c r="G1760" s="10"/>
      <c r="H1760" s="10"/>
      <c r="I1760" s="10"/>
      <c r="J1760" s="10"/>
      <c r="K1760" s="10"/>
      <c r="L1760" s="3" t="s">
        <v>6138</v>
      </c>
      <c r="M1760" s="3" t="s">
        <v>6139</v>
      </c>
      <c r="N1760" s="3" t="s">
        <v>6140</v>
      </c>
      <c r="O1760" s="3">
        <v>673</v>
      </c>
      <c r="P1760" s="3"/>
      <c r="Q1760" s="3"/>
      <c r="R1760" s="3">
        <v>160912</v>
      </c>
      <c r="S1760" s="3" t="s">
        <v>6141</v>
      </c>
      <c r="T1760" s="3" t="s">
        <v>21</v>
      </c>
      <c r="U1760" s="11">
        <v>160</v>
      </c>
      <c r="V1760" s="3" t="s">
        <v>6133</v>
      </c>
      <c r="W1760" s="8" t="s">
        <v>7834</v>
      </c>
    </row>
    <row r="1761" spans="1:23" x14ac:dyDescent="0.25">
      <c r="A1761" s="2">
        <v>1493</v>
      </c>
      <c r="B1761" s="3" t="s">
        <v>6133</v>
      </c>
      <c r="C1761" s="3">
        <v>2024</v>
      </c>
      <c r="D1761" s="3" t="s">
        <v>22</v>
      </c>
      <c r="E1761" s="3" t="s">
        <v>15</v>
      </c>
      <c r="F1761" s="1" t="s">
        <v>7834</v>
      </c>
      <c r="G1761" s="10"/>
      <c r="H1761" s="10"/>
      <c r="I1761" s="10"/>
      <c r="J1761" s="10"/>
      <c r="K1761" s="10"/>
      <c r="L1761" s="3" t="s">
        <v>6142</v>
      </c>
      <c r="M1761" s="3" t="s">
        <v>6143</v>
      </c>
      <c r="N1761" s="3" t="s">
        <v>6144</v>
      </c>
      <c r="O1761" s="3">
        <v>5</v>
      </c>
      <c r="P1761" s="3">
        <v>2300379</v>
      </c>
      <c r="Q1761" s="3">
        <v>1</v>
      </c>
      <c r="R1761" s="3" t="s">
        <v>6145</v>
      </c>
      <c r="S1761" s="3" t="s">
        <v>6146</v>
      </c>
      <c r="T1761" s="3" t="s">
        <v>21</v>
      </c>
      <c r="U1761" s="11">
        <v>161</v>
      </c>
      <c r="V1761" s="3" t="s">
        <v>6133</v>
      </c>
      <c r="W1761" s="8" t="s">
        <v>7834</v>
      </c>
    </row>
    <row r="1762" spans="1:23" x14ac:dyDescent="0.25">
      <c r="A1762" s="2">
        <v>1494</v>
      </c>
      <c r="B1762" s="3" t="s">
        <v>6133</v>
      </c>
      <c r="C1762" s="3">
        <v>2024</v>
      </c>
      <c r="D1762" s="3" t="s">
        <v>409</v>
      </c>
      <c r="E1762" s="3" t="s">
        <v>15</v>
      </c>
      <c r="F1762" s="1" t="s">
        <v>7834</v>
      </c>
      <c r="G1762" s="10"/>
      <c r="H1762" s="10"/>
      <c r="I1762" s="10"/>
      <c r="J1762" s="10"/>
      <c r="K1762" s="10"/>
      <c r="L1762" s="3" t="s">
        <v>6147</v>
      </c>
      <c r="M1762" s="3" t="s">
        <v>6148</v>
      </c>
      <c r="N1762" s="3" t="s">
        <v>6149</v>
      </c>
      <c r="O1762" s="3"/>
      <c r="P1762" s="3"/>
      <c r="Q1762" s="3"/>
      <c r="R1762" s="3" t="s">
        <v>6150</v>
      </c>
      <c r="S1762" s="3" t="s">
        <v>6151</v>
      </c>
      <c r="T1762" s="3" t="s">
        <v>21</v>
      </c>
      <c r="U1762" s="11">
        <v>162</v>
      </c>
      <c r="V1762" s="3" t="s">
        <v>6133</v>
      </c>
      <c r="W1762" s="8" t="s">
        <v>7834</v>
      </c>
    </row>
    <row r="1763" spans="1:23" x14ac:dyDescent="0.25">
      <c r="A1763" s="2">
        <v>1495</v>
      </c>
      <c r="B1763" s="3" t="s">
        <v>6133</v>
      </c>
      <c r="C1763" s="3">
        <v>2024</v>
      </c>
      <c r="D1763" s="3" t="s">
        <v>1267</v>
      </c>
      <c r="E1763" s="3" t="s">
        <v>15</v>
      </c>
      <c r="F1763" s="1" t="s">
        <v>7834</v>
      </c>
      <c r="G1763" s="10"/>
      <c r="H1763" s="10"/>
      <c r="I1763" s="10"/>
      <c r="J1763" s="10"/>
      <c r="K1763" s="10"/>
      <c r="L1763" s="3" t="s">
        <v>6152</v>
      </c>
      <c r="M1763" s="3" t="s">
        <v>6153</v>
      </c>
      <c r="N1763" s="3" t="s">
        <v>6154</v>
      </c>
      <c r="O1763" s="3">
        <v>22</v>
      </c>
      <c r="P1763" s="3">
        <v>248</v>
      </c>
      <c r="Q1763" s="3">
        <v>248</v>
      </c>
      <c r="R1763" s="3" t="s">
        <v>6155</v>
      </c>
      <c r="S1763" s="3" t="s">
        <v>6156</v>
      </c>
      <c r="T1763" s="3" t="s">
        <v>21</v>
      </c>
      <c r="U1763" s="11">
        <v>163</v>
      </c>
      <c r="V1763" s="3" t="s">
        <v>6133</v>
      </c>
      <c r="W1763" s="8" t="s">
        <v>7834</v>
      </c>
    </row>
    <row r="1764" spans="1:23" x14ac:dyDescent="0.25">
      <c r="A1764" s="2">
        <v>1496</v>
      </c>
      <c r="B1764" s="3" t="s">
        <v>6133</v>
      </c>
      <c r="C1764" s="3">
        <v>2024</v>
      </c>
      <c r="D1764" s="3" t="s">
        <v>4093</v>
      </c>
      <c r="E1764" s="3" t="s">
        <v>15</v>
      </c>
      <c r="F1764" s="1" t="s">
        <v>7834</v>
      </c>
      <c r="G1764" s="10"/>
      <c r="H1764" s="10"/>
      <c r="I1764" s="10"/>
      <c r="J1764" s="10"/>
      <c r="K1764" s="10"/>
      <c r="L1764" s="3" t="s">
        <v>6157</v>
      </c>
      <c r="M1764" s="3" t="s">
        <v>6158</v>
      </c>
      <c r="N1764" s="3" t="s">
        <v>2935</v>
      </c>
      <c r="O1764" s="3">
        <v>14</v>
      </c>
      <c r="P1764" s="3">
        <v>21</v>
      </c>
      <c r="Q1764" s="3">
        <v>1714</v>
      </c>
      <c r="R1764" s="3" t="s">
        <v>2936</v>
      </c>
      <c r="S1764" s="3" t="s">
        <v>6159</v>
      </c>
      <c r="T1764" s="3" t="s">
        <v>21</v>
      </c>
      <c r="U1764" s="11">
        <v>164</v>
      </c>
      <c r="V1764" s="3" t="s">
        <v>6133</v>
      </c>
      <c r="W1764" s="8" t="s">
        <v>7834</v>
      </c>
    </row>
    <row r="1765" spans="1:23" x14ac:dyDescent="0.25">
      <c r="A1765" s="2">
        <v>1497</v>
      </c>
      <c r="B1765" s="3" t="s">
        <v>6133</v>
      </c>
      <c r="C1765" s="3">
        <v>2024</v>
      </c>
      <c r="D1765" s="3" t="s">
        <v>579</v>
      </c>
      <c r="E1765" s="3" t="s">
        <v>15</v>
      </c>
      <c r="F1765" s="1" t="s">
        <v>7834</v>
      </c>
      <c r="G1765" s="10"/>
      <c r="H1765" s="10"/>
      <c r="I1765" s="10"/>
      <c r="J1765" s="10"/>
      <c r="K1765" s="10"/>
      <c r="L1765" s="3" t="s">
        <v>6160</v>
      </c>
      <c r="M1765" s="3" t="s">
        <v>6161</v>
      </c>
      <c r="N1765" s="3" t="s">
        <v>2919</v>
      </c>
      <c r="O1765" s="3"/>
      <c r="P1765" s="3"/>
      <c r="Q1765" s="3"/>
      <c r="R1765" s="3" t="s">
        <v>2920</v>
      </c>
      <c r="S1765" s="3" t="s">
        <v>6162</v>
      </c>
      <c r="T1765" s="3" t="s">
        <v>21</v>
      </c>
      <c r="U1765" s="11">
        <v>165</v>
      </c>
      <c r="V1765" s="3" t="s">
        <v>6133</v>
      </c>
      <c r="W1765" s="8" t="s">
        <v>7834</v>
      </c>
    </row>
    <row r="1766" spans="1:23" x14ac:dyDescent="0.25">
      <c r="A1766" s="2">
        <v>1498</v>
      </c>
      <c r="B1766" s="3" t="s">
        <v>6133</v>
      </c>
      <c r="C1766" s="3">
        <v>2024</v>
      </c>
      <c r="D1766" s="3" t="s">
        <v>156</v>
      </c>
      <c r="E1766" s="3" t="s">
        <v>15</v>
      </c>
      <c r="F1766" s="1" t="s">
        <v>7834</v>
      </c>
      <c r="G1766" s="10">
        <v>8</v>
      </c>
      <c r="H1766" s="10"/>
      <c r="I1766" s="10"/>
      <c r="J1766" s="10"/>
      <c r="K1766" s="10"/>
      <c r="L1766" s="3" t="s">
        <v>6163</v>
      </c>
      <c r="M1766" s="3" t="s">
        <v>6164</v>
      </c>
      <c r="N1766" s="3" t="s">
        <v>6165</v>
      </c>
      <c r="O1766" s="3"/>
      <c r="P1766" s="3"/>
      <c r="Q1766" s="3"/>
      <c r="R1766" s="3" t="s">
        <v>6166</v>
      </c>
      <c r="S1766" s="3" t="s">
        <v>6167</v>
      </c>
      <c r="T1766" s="3" t="s">
        <v>21</v>
      </c>
      <c r="U1766" s="11">
        <v>166</v>
      </c>
      <c r="V1766" s="3" t="s">
        <v>6133</v>
      </c>
      <c r="W1766" s="8" t="s">
        <v>7834</v>
      </c>
    </row>
    <row r="1767" spans="1:23" x14ac:dyDescent="0.25">
      <c r="A1767" s="2">
        <v>1503</v>
      </c>
      <c r="B1767" s="3" t="s">
        <v>6168</v>
      </c>
      <c r="C1767" s="3">
        <v>2024</v>
      </c>
      <c r="D1767" s="3" t="s">
        <v>6186</v>
      </c>
      <c r="E1767" s="3" t="s">
        <v>15</v>
      </c>
      <c r="F1767" s="1" t="s">
        <v>7834</v>
      </c>
      <c r="G1767" s="10"/>
      <c r="H1767" s="10"/>
      <c r="I1767" s="10"/>
      <c r="J1767" s="10"/>
      <c r="K1767" s="10"/>
      <c r="L1767" s="3" t="s">
        <v>6187</v>
      </c>
      <c r="M1767" s="3" t="s">
        <v>6188</v>
      </c>
      <c r="N1767" s="3" t="s">
        <v>6189</v>
      </c>
      <c r="O1767" s="3">
        <v>137</v>
      </c>
      <c r="P1767" s="3"/>
      <c r="Q1767" s="3">
        <v>435</v>
      </c>
      <c r="R1767" s="3" t="s">
        <v>6190</v>
      </c>
      <c r="S1767" s="3" t="s">
        <v>6191</v>
      </c>
      <c r="T1767" s="3" t="s">
        <v>21</v>
      </c>
      <c r="U1767" s="11">
        <v>167</v>
      </c>
      <c r="V1767" s="3" t="s">
        <v>6168</v>
      </c>
      <c r="W1767" s="8" t="s">
        <v>7834</v>
      </c>
    </row>
    <row r="1768" spans="1:23" x14ac:dyDescent="0.25">
      <c r="A1768" s="2">
        <v>1504</v>
      </c>
      <c r="B1768" s="3" t="s">
        <v>6168</v>
      </c>
      <c r="C1768" s="3">
        <v>2024</v>
      </c>
      <c r="D1768" s="3" t="s">
        <v>401</v>
      </c>
      <c r="E1768" s="3" t="s">
        <v>15</v>
      </c>
      <c r="F1768" s="1" t="s">
        <v>7834</v>
      </c>
      <c r="G1768" s="10"/>
      <c r="H1768" s="10"/>
      <c r="I1768" s="10"/>
      <c r="J1768" s="10"/>
      <c r="K1768" s="10"/>
      <c r="L1768" s="3" t="s">
        <v>6192</v>
      </c>
      <c r="M1768" s="3" t="s">
        <v>6193</v>
      </c>
      <c r="N1768" s="3" t="s">
        <v>6194</v>
      </c>
      <c r="O1768" s="3" t="s">
        <v>6195</v>
      </c>
      <c r="P1768" s="3"/>
      <c r="Q1768" s="3">
        <v>1</v>
      </c>
      <c r="R1768" s="3" t="s">
        <v>6196</v>
      </c>
      <c r="S1768" s="3" t="s">
        <v>6197</v>
      </c>
      <c r="T1768" s="3" t="s">
        <v>21</v>
      </c>
      <c r="U1768" s="11">
        <v>168</v>
      </c>
      <c r="V1768" s="3" t="s">
        <v>6168</v>
      </c>
      <c r="W1768" s="8" t="s">
        <v>7834</v>
      </c>
    </row>
    <row r="1769" spans="1:23" x14ac:dyDescent="0.25">
      <c r="A1769" s="2">
        <v>1508</v>
      </c>
      <c r="B1769" s="3" t="s">
        <v>6168</v>
      </c>
      <c r="C1769" s="3">
        <v>2024</v>
      </c>
      <c r="D1769" s="3" t="s">
        <v>6212</v>
      </c>
      <c r="E1769" s="3" t="s">
        <v>15</v>
      </c>
      <c r="F1769" s="1" t="s">
        <v>7834</v>
      </c>
      <c r="G1769" s="10"/>
      <c r="H1769" s="10"/>
      <c r="I1769" s="10"/>
      <c r="J1769" s="10"/>
      <c r="K1769" s="10"/>
      <c r="L1769" s="3" t="s">
        <v>6213</v>
      </c>
      <c r="M1769" s="3" t="s">
        <v>6214</v>
      </c>
      <c r="N1769" s="3" t="s">
        <v>6215</v>
      </c>
      <c r="O1769" s="3">
        <v>338</v>
      </c>
      <c r="P1769" s="3">
        <v>126531</v>
      </c>
      <c r="Q1769" s="3">
        <v>1</v>
      </c>
      <c r="R1769" s="3" t="s">
        <v>6216</v>
      </c>
      <c r="S1769" s="3" t="s">
        <v>6217</v>
      </c>
      <c r="T1769" s="3" t="s">
        <v>21</v>
      </c>
      <c r="U1769" s="11">
        <v>169</v>
      </c>
      <c r="V1769" s="3" t="s">
        <v>6168</v>
      </c>
      <c r="W1769" s="8" t="s">
        <v>7834</v>
      </c>
    </row>
    <row r="1770" spans="1:23" x14ac:dyDescent="0.25">
      <c r="A1770" s="2">
        <v>1509</v>
      </c>
      <c r="B1770" s="3" t="s">
        <v>6168</v>
      </c>
      <c r="C1770" s="3">
        <v>2024</v>
      </c>
      <c r="D1770" s="3" t="s">
        <v>1723</v>
      </c>
      <c r="E1770" s="3" t="s">
        <v>15</v>
      </c>
      <c r="F1770" s="1" t="s">
        <v>7834</v>
      </c>
      <c r="G1770" s="10"/>
      <c r="H1770" s="10"/>
      <c r="I1770" s="10"/>
      <c r="J1770" s="10"/>
      <c r="K1770" s="10"/>
      <c r="L1770" s="3" t="s">
        <v>6218</v>
      </c>
      <c r="M1770" s="3" t="s">
        <v>6219</v>
      </c>
      <c r="N1770" s="3" t="s">
        <v>6220</v>
      </c>
      <c r="O1770" s="3">
        <v>670</v>
      </c>
      <c r="P1770" s="3">
        <v>119535</v>
      </c>
      <c r="Q1770" s="3">
        <v>1</v>
      </c>
      <c r="R1770" s="3" t="s">
        <v>6221</v>
      </c>
      <c r="S1770" s="3" t="s">
        <v>6222</v>
      </c>
      <c r="T1770" s="3" t="s">
        <v>21</v>
      </c>
      <c r="U1770" s="11">
        <v>170</v>
      </c>
      <c r="V1770" s="3" t="s">
        <v>6168</v>
      </c>
      <c r="W1770" s="8" t="s">
        <v>7834</v>
      </c>
    </row>
    <row r="1771" spans="1:23" x14ac:dyDescent="0.25">
      <c r="A1771" s="2">
        <v>1510</v>
      </c>
      <c r="B1771" s="3" t="s">
        <v>6168</v>
      </c>
      <c r="C1771" s="3">
        <v>2024</v>
      </c>
      <c r="D1771" s="3" t="s">
        <v>3996</v>
      </c>
      <c r="E1771" s="3" t="s">
        <v>15</v>
      </c>
      <c r="F1771" s="1" t="s">
        <v>7834</v>
      </c>
      <c r="G1771" s="10"/>
      <c r="H1771" s="10"/>
      <c r="I1771" s="10"/>
      <c r="J1771" s="10"/>
      <c r="K1771" s="10"/>
      <c r="L1771" s="3" t="s">
        <v>6223</v>
      </c>
      <c r="M1771" s="3" t="s">
        <v>6224</v>
      </c>
      <c r="N1771" s="3" t="s">
        <v>6225</v>
      </c>
      <c r="O1771" s="3">
        <v>375</v>
      </c>
      <c r="P1771" s="3">
        <v>132442</v>
      </c>
      <c r="Q1771" s="3">
        <v>1</v>
      </c>
      <c r="R1771" s="3" t="s">
        <v>6226</v>
      </c>
      <c r="S1771" s="3" t="s">
        <v>6227</v>
      </c>
      <c r="T1771" s="3" t="s">
        <v>21</v>
      </c>
      <c r="U1771" s="11">
        <v>171</v>
      </c>
      <c r="V1771" s="3" t="s">
        <v>6168</v>
      </c>
      <c r="W1771" s="8" t="s">
        <v>7834</v>
      </c>
    </row>
    <row r="1772" spans="1:23" x14ac:dyDescent="0.25">
      <c r="A1772" s="2">
        <v>1514</v>
      </c>
      <c r="B1772" s="3" t="s">
        <v>6168</v>
      </c>
      <c r="C1772" s="3">
        <v>2024</v>
      </c>
      <c r="D1772" s="3" t="s">
        <v>1277</v>
      </c>
      <c r="E1772" s="3" t="s">
        <v>15</v>
      </c>
      <c r="F1772" s="1" t="s">
        <v>7834</v>
      </c>
      <c r="G1772" s="10"/>
      <c r="H1772" s="10"/>
      <c r="I1772" s="10"/>
      <c r="J1772" s="10"/>
      <c r="K1772" s="10"/>
      <c r="L1772" s="3" t="s">
        <v>6241</v>
      </c>
      <c r="M1772" s="3" t="s">
        <v>6242</v>
      </c>
      <c r="N1772" s="3" t="s">
        <v>6220</v>
      </c>
      <c r="O1772" s="3" t="s">
        <v>6243</v>
      </c>
      <c r="P1772" s="3"/>
      <c r="Q1772" s="3"/>
      <c r="R1772" s="3" t="s">
        <v>6221</v>
      </c>
      <c r="S1772" s="3" t="s">
        <v>6244</v>
      </c>
      <c r="T1772" s="3" t="s">
        <v>21</v>
      </c>
      <c r="U1772" s="11">
        <v>172</v>
      </c>
      <c r="V1772" s="3" t="s">
        <v>6168</v>
      </c>
      <c r="W1772" s="8" t="s">
        <v>7834</v>
      </c>
    </row>
    <row r="1773" spans="1:23" x14ac:dyDescent="0.25">
      <c r="A1773" s="2">
        <v>1515</v>
      </c>
      <c r="B1773" s="3" t="s">
        <v>6168</v>
      </c>
      <c r="C1773" s="3">
        <v>2024</v>
      </c>
      <c r="D1773" s="3" t="s">
        <v>4726</v>
      </c>
      <c r="E1773" s="3" t="s">
        <v>15</v>
      </c>
      <c r="F1773" s="1" t="s">
        <v>7834</v>
      </c>
      <c r="G1773" s="10"/>
      <c r="H1773" s="10"/>
      <c r="I1773" s="10"/>
      <c r="J1773" s="10"/>
      <c r="K1773" s="10"/>
      <c r="L1773" s="3" t="s">
        <v>6245</v>
      </c>
      <c r="M1773" s="3" t="s">
        <v>6246</v>
      </c>
      <c r="N1773" s="3" t="s">
        <v>6225</v>
      </c>
      <c r="O1773" s="3">
        <v>362</v>
      </c>
      <c r="P1773" s="3"/>
      <c r="Q1773" s="3">
        <v>130830</v>
      </c>
      <c r="R1773" s="3" t="s">
        <v>6226</v>
      </c>
      <c r="S1773" s="3" t="s">
        <v>6247</v>
      </c>
      <c r="T1773" s="3" t="s">
        <v>21</v>
      </c>
      <c r="U1773" s="11">
        <v>173</v>
      </c>
      <c r="V1773" s="3" t="s">
        <v>6168</v>
      </c>
      <c r="W1773" s="8" t="s">
        <v>7834</v>
      </c>
    </row>
    <row r="1774" spans="1:23" x14ac:dyDescent="0.25">
      <c r="A1774" s="2">
        <v>1517</v>
      </c>
      <c r="B1774" s="3" t="s">
        <v>6168</v>
      </c>
      <c r="C1774" s="3">
        <v>2024</v>
      </c>
      <c r="D1774" s="3" t="s">
        <v>1137</v>
      </c>
      <c r="E1774" s="3" t="s">
        <v>15</v>
      </c>
      <c r="F1774" s="1" t="s">
        <v>7834</v>
      </c>
      <c r="G1774" s="10"/>
      <c r="H1774" s="10"/>
      <c r="I1774" s="10"/>
      <c r="J1774" s="10"/>
      <c r="K1774" s="10"/>
      <c r="L1774" s="3" t="s">
        <v>6253</v>
      </c>
      <c r="M1774" s="3" t="s">
        <v>6254</v>
      </c>
      <c r="N1774" s="3" t="s">
        <v>3798</v>
      </c>
      <c r="O1774" s="3">
        <v>10</v>
      </c>
      <c r="P1774" s="3">
        <v>12</v>
      </c>
      <c r="Q1774" s="3" t="s">
        <v>6255</v>
      </c>
      <c r="R1774" s="3" t="s">
        <v>1825</v>
      </c>
      <c r="S1774" s="3" t="s">
        <v>6256</v>
      </c>
      <c r="T1774" s="3" t="s">
        <v>21</v>
      </c>
      <c r="U1774" s="11">
        <v>174</v>
      </c>
      <c r="V1774" s="3" t="s">
        <v>6168</v>
      </c>
      <c r="W1774" s="8" t="s">
        <v>7834</v>
      </c>
    </row>
    <row r="1775" spans="1:23" x14ac:dyDescent="0.25">
      <c r="A1775" s="2">
        <v>1518</v>
      </c>
      <c r="B1775" s="3" t="s">
        <v>6168</v>
      </c>
      <c r="C1775" s="3">
        <v>2024</v>
      </c>
      <c r="D1775" s="3" t="s">
        <v>1863</v>
      </c>
      <c r="E1775" s="3" t="s">
        <v>15</v>
      </c>
      <c r="F1775" s="1" t="s">
        <v>7834</v>
      </c>
      <c r="G1775" s="10"/>
      <c r="H1775" s="10"/>
      <c r="I1775" s="10"/>
      <c r="J1775" s="10"/>
      <c r="K1775" s="10"/>
      <c r="L1775" s="3" t="s">
        <v>6257</v>
      </c>
      <c r="M1775" s="3" t="s">
        <v>6258</v>
      </c>
      <c r="N1775" s="3" t="s">
        <v>2929</v>
      </c>
      <c r="O1775" s="3">
        <v>12</v>
      </c>
      <c r="P1775" s="3"/>
      <c r="Q1775" s="3">
        <v>113442</v>
      </c>
      <c r="R1775" s="3">
        <v>22133437</v>
      </c>
      <c r="S1775" s="3" t="s">
        <v>6259</v>
      </c>
      <c r="T1775" s="3" t="s">
        <v>21</v>
      </c>
      <c r="U1775" s="11">
        <v>175</v>
      </c>
      <c r="V1775" s="3" t="s">
        <v>6168</v>
      </c>
      <c r="W1775" s="8" t="s">
        <v>7834</v>
      </c>
    </row>
    <row r="1776" spans="1:23" x14ac:dyDescent="0.25">
      <c r="A1776" s="2">
        <v>1520</v>
      </c>
      <c r="B1776" s="3" t="s">
        <v>6264</v>
      </c>
      <c r="C1776" s="3">
        <v>2024</v>
      </c>
      <c r="D1776" s="3" t="s">
        <v>1799</v>
      </c>
      <c r="E1776" s="3" t="s">
        <v>15</v>
      </c>
      <c r="F1776" s="1" t="s">
        <v>7834</v>
      </c>
      <c r="G1776" s="10"/>
      <c r="H1776" s="10"/>
      <c r="I1776" s="10"/>
      <c r="J1776" s="10"/>
      <c r="K1776" s="10"/>
      <c r="L1776" s="3" t="s">
        <v>6265</v>
      </c>
      <c r="M1776" s="3" t="s">
        <v>6266</v>
      </c>
      <c r="N1776" s="3" t="s">
        <v>18</v>
      </c>
      <c r="O1776" s="3">
        <v>535</v>
      </c>
      <c r="P1776" s="3">
        <v>1</v>
      </c>
      <c r="Q1776" s="3"/>
      <c r="R1776" s="3" t="s">
        <v>159</v>
      </c>
      <c r="S1776" s="3" t="s">
        <v>6267</v>
      </c>
      <c r="T1776" s="3" t="s">
        <v>21</v>
      </c>
      <c r="U1776" s="11">
        <v>176</v>
      </c>
      <c r="V1776" s="3" t="s">
        <v>6264</v>
      </c>
      <c r="W1776" s="8" t="s">
        <v>7834</v>
      </c>
    </row>
    <row r="1777" spans="1:23" x14ac:dyDescent="0.25">
      <c r="A1777" s="2">
        <v>1521</v>
      </c>
      <c r="B1777" s="3" t="s">
        <v>6264</v>
      </c>
      <c r="C1777" s="3">
        <v>2024</v>
      </c>
      <c r="D1777" s="3" t="s">
        <v>2197</v>
      </c>
      <c r="E1777" s="3" t="s">
        <v>15</v>
      </c>
      <c r="F1777" s="1" t="s">
        <v>7834</v>
      </c>
      <c r="G1777" s="10"/>
      <c r="H1777" s="10"/>
      <c r="I1777" s="10"/>
      <c r="J1777" s="10"/>
      <c r="K1777" s="10"/>
      <c r="L1777" s="3" t="s">
        <v>6268</v>
      </c>
      <c r="M1777" s="3" t="s">
        <v>6269</v>
      </c>
      <c r="N1777" s="3" t="s">
        <v>223</v>
      </c>
      <c r="O1777" s="3">
        <v>168</v>
      </c>
      <c r="P1777" s="3">
        <v>3</v>
      </c>
      <c r="Q1777" s="3"/>
      <c r="R1777" s="3" t="s">
        <v>2162</v>
      </c>
      <c r="S1777" s="3" t="s">
        <v>6270</v>
      </c>
      <c r="T1777" s="3" t="s">
        <v>21</v>
      </c>
      <c r="U1777" s="11">
        <v>177</v>
      </c>
      <c r="V1777" s="3" t="s">
        <v>6264</v>
      </c>
      <c r="W1777" s="8" t="s">
        <v>7834</v>
      </c>
    </row>
    <row r="1778" spans="1:23" x14ac:dyDescent="0.25">
      <c r="A1778" s="2">
        <v>1522</v>
      </c>
      <c r="B1778" s="3" t="s">
        <v>6264</v>
      </c>
      <c r="C1778" s="3">
        <v>2024</v>
      </c>
      <c r="D1778" s="3" t="s">
        <v>822</v>
      </c>
      <c r="E1778" s="3" t="s">
        <v>15</v>
      </c>
      <c r="F1778" s="1" t="s">
        <v>7834</v>
      </c>
      <c r="G1778" s="10"/>
      <c r="H1778" s="10"/>
      <c r="I1778" s="10"/>
      <c r="J1778" s="10"/>
      <c r="K1778" s="10"/>
      <c r="L1778" s="3" t="s">
        <v>6271</v>
      </c>
      <c r="M1778" s="3" t="s">
        <v>6272</v>
      </c>
      <c r="N1778" s="3" t="s">
        <v>41</v>
      </c>
      <c r="O1778" s="3">
        <v>975</v>
      </c>
      <c r="P1778" s="3">
        <v>2</v>
      </c>
      <c r="Q1778" s="3"/>
      <c r="R1778" s="3" t="s">
        <v>6273</v>
      </c>
      <c r="S1778" s="3" t="s">
        <v>6274</v>
      </c>
      <c r="T1778" s="3" t="s">
        <v>21</v>
      </c>
      <c r="U1778" s="11">
        <v>178</v>
      </c>
      <c r="V1778" s="3" t="s">
        <v>6264</v>
      </c>
      <c r="W1778" s="8" t="s">
        <v>7834</v>
      </c>
    </row>
    <row r="1779" spans="1:23" x14ac:dyDescent="0.25">
      <c r="A1779" s="2">
        <v>1523</v>
      </c>
      <c r="B1779" s="3" t="s">
        <v>6264</v>
      </c>
      <c r="C1779" s="3">
        <v>2024</v>
      </c>
      <c r="D1779" s="3" t="s">
        <v>822</v>
      </c>
      <c r="E1779" s="3" t="s">
        <v>15</v>
      </c>
      <c r="F1779" s="1" t="s">
        <v>7834</v>
      </c>
      <c r="G1779" s="10"/>
      <c r="H1779" s="10"/>
      <c r="I1779" s="10"/>
      <c r="J1779" s="10"/>
      <c r="K1779" s="10"/>
      <c r="L1779" s="3" t="s">
        <v>6275</v>
      </c>
      <c r="M1779" s="3" t="s">
        <v>6276</v>
      </c>
      <c r="N1779" s="3" t="s">
        <v>41</v>
      </c>
      <c r="O1779" s="3">
        <v>975</v>
      </c>
      <c r="P1779" s="3">
        <v>2</v>
      </c>
      <c r="Q1779" s="3"/>
      <c r="R1779" s="3" t="s">
        <v>6273</v>
      </c>
      <c r="S1779" s="3" t="s">
        <v>6277</v>
      </c>
      <c r="T1779" s="3" t="s">
        <v>21</v>
      </c>
      <c r="U1779" s="11">
        <v>179</v>
      </c>
      <c r="V1779" s="3" t="s">
        <v>6264</v>
      </c>
      <c r="W1779" s="8" t="s">
        <v>7834</v>
      </c>
    </row>
    <row r="1780" spans="1:23" x14ac:dyDescent="0.25">
      <c r="A1780" s="2">
        <v>1524</v>
      </c>
      <c r="B1780" s="3" t="s">
        <v>6264</v>
      </c>
      <c r="C1780" s="3">
        <v>2024</v>
      </c>
      <c r="D1780" s="3" t="s">
        <v>4053</v>
      </c>
      <c r="E1780" s="3" t="s">
        <v>15</v>
      </c>
      <c r="F1780" s="1" t="s">
        <v>7834</v>
      </c>
      <c r="G1780" s="10"/>
      <c r="H1780" s="10"/>
      <c r="I1780" s="10"/>
      <c r="J1780" s="10"/>
      <c r="K1780" s="10"/>
      <c r="L1780" s="3" t="s">
        <v>6278</v>
      </c>
      <c r="M1780" s="3" t="s">
        <v>6279</v>
      </c>
      <c r="N1780" s="3" t="s">
        <v>28</v>
      </c>
      <c r="O1780" s="3">
        <v>690</v>
      </c>
      <c r="P1780" s="3" t="s">
        <v>6280</v>
      </c>
      <c r="Q1780" s="3"/>
      <c r="R1780" s="3" t="s">
        <v>170</v>
      </c>
      <c r="S1780" s="3" t="s">
        <v>6281</v>
      </c>
      <c r="T1780" s="3" t="s">
        <v>21</v>
      </c>
      <c r="U1780" s="11">
        <v>180</v>
      </c>
      <c r="V1780" s="3" t="s">
        <v>6264</v>
      </c>
      <c r="W1780" s="8" t="s">
        <v>7834</v>
      </c>
    </row>
    <row r="1781" spans="1:23" x14ac:dyDescent="0.25">
      <c r="A1781" s="2">
        <v>1525</v>
      </c>
      <c r="B1781" s="3" t="s">
        <v>6264</v>
      </c>
      <c r="C1781" s="3">
        <v>2024</v>
      </c>
      <c r="D1781" s="3" t="s">
        <v>265</v>
      </c>
      <c r="E1781" s="3" t="s">
        <v>15</v>
      </c>
      <c r="F1781" s="1" t="s">
        <v>7834</v>
      </c>
      <c r="G1781" s="10"/>
      <c r="H1781" s="10"/>
      <c r="I1781" s="10"/>
      <c r="J1781" s="10"/>
      <c r="K1781" s="10"/>
      <c r="L1781" s="3" t="s">
        <v>6282</v>
      </c>
      <c r="M1781" s="3" t="s">
        <v>6283</v>
      </c>
      <c r="N1781" s="3" t="s">
        <v>28</v>
      </c>
      <c r="O1781" s="3">
        <v>690</v>
      </c>
      <c r="P1781" s="3" t="s">
        <v>6284</v>
      </c>
      <c r="Q1781" s="3"/>
      <c r="R1781" s="3" t="s">
        <v>170</v>
      </c>
      <c r="S1781" s="3" t="s">
        <v>6285</v>
      </c>
      <c r="T1781" s="3" t="s">
        <v>21</v>
      </c>
      <c r="U1781" s="11">
        <v>181</v>
      </c>
      <c r="V1781" s="3" t="s">
        <v>6264</v>
      </c>
      <c r="W1781" s="8" t="s">
        <v>7834</v>
      </c>
    </row>
    <row r="1782" spans="1:23" x14ac:dyDescent="0.25">
      <c r="A1782" s="2">
        <v>1526</v>
      </c>
      <c r="B1782" s="3" t="s">
        <v>6264</v>
      </c>
      <c r="C1782" s="3">
        <v>2024</v>
      </c>
      <c r="D1782" s="3" t="s">
        <v>265</v>
      </c>
      <c r="E1782" s="3" t="s">
        <v>15</v>
      </c>
      <c r="F1782" s="1" t="s">
        <v>7834</v>
      </c>
      <c r="G1782" s="10"/>
      <c r="H1782" s="10"/>
      <c r="I1782" s="10"/>
      <c r="J1782" s="10"/>
      <c r="K1782" s="10"/>
      <c r="L1782" s="3" t="s">
        <v>6286</v>
      </c>
      <c r="M1782" s="3" t="s">
        <v>6287</v>
      </c>
      <c r="N1782" s="3" t="s">
        <v>41</v>
      </c>
      <c r="O1782" s="3">
        <v>974</v>
      </c>
      <c r="P1782" s="3">
        <v>2</v>
      </c>
      <c r="Q1782" s="3"/>
      <c r="R1782" s="3" t="s">
        <v>6273</v>
      </c>
      <c r="S1782" s="3" t="s">
        <v>6288</v>
      </c>
      <c r="T1782" s="3" t="s">
        <v>21</v>
      </c>
      <c r="U1782" s="11">
        <v>182</v>
      </c>
      <c r="V1782" s="3" t="s">
        <v>6264</v>
      </c>
      <c r="W1782" s="8" t="s">
        <v>7834</v>
      </c>
    </row>
    <row r="1783" spans="1:23" x14ac:dyDescent="0.25">
      <c r="A1783" s="2">
        <v>1527</v>
      </c>
      <c r="B1783" s="3" t="s">
        <v>6264</v>
      </c>
      <c r="C1783" s="3">
        <v>2024</v>
      </c>
      <c r="D1783" s="3" t="s">
        <v>508</v>
      </c>
      <c r="E1783" s="3" t="s">
        <v>15</v>
      </c>
      <c r="F1783" s="1" t="s">
        <v>7834</v>
      </c>
      <c r="G1783" s="10"/>
      <c r="H1783" s="10"/>
      <c r="I1783" s="10"/>
      <c r="J1783" s="10"/>
      <c r="K1783" s="10"/>
      <c r="L1783" s="3" t="s">
        <v>6289</v>
      </c>
      <c r="M1783" s="3" t="s">
        <v>6290</v>
      </c>
      <c r="N1783" s="3" t="s">
        <v>28</v>
      </c>
      <c r="O1783" s="3">
        <v>689</v>
      </c>
      <c r="P1783" s="3" t="s">
        <v>6291</v>
      </c>
      <c r="Q1783" s="3"/>
      <c r="R1783" s="3" t="s">
        <v>170</v>
      </c>
      <c r="S1783" s="3" t="s">
        <v>6292</v>
      </c>
      <c r="T1783" s="3" t="s">
        <v>21</v>
      </c>
      <c r="U1783" s="11">
        <v>183</v>
      </c>
      <c r="V1783" s="3" t="s">
        <v>6264</v>
      </c>
      <c r="W1783" s="8" t="s">
        <v>7834</v>
      </c>
    </row>
    <row r="1784" spans="1:23" x14ac:dyDescent="0.25">
      <c r="A1784" s="2">
        <v>1528</v>
      </c>
      <c r="B1784" s="3" t="s">
        <v>6264</v>
      </c>
      <c r="C1784" s="3">
        <v>2024</v>
      </c>
      <c r="D1784" s="3" t="s">
        <v>2998</v>
      </c>
      <c r="E1784" s="3" t="s">
        <v>15</v>
      </c>
      <c r="F1784" s="1" t="s">
        <v>7834</v>
      </c>
      <c r="G1784" s="10"/>
      <c r="H1784" s="10"/>
      <c r="I1784" s="10"/>
      <c r="J1784" s="10"/>
      <c r="K1784" s="10"/>
      <c r="L1784" s="3" t="s">
        <v>6293</v>
      </c>
      <c r="M1784" s="3" t="s">
        <v>6294</v>
      </c>
      <c r="N1784" s="3" t="s">
        <v>18</v>
      </c>
      <c r="O1784" s="3">
        <v>532</v>
      </c>
      <c r="P1784" s="3">
        <v>1</v>
      </c>
      <c r="Q1784" s="3"/>
      <c r="R1784" s="3" t="s">
        <v>159</v>
      </c>
      <c r="S1784" s="3" t="s">
        <v>6295</v>
      </c>
      <c r="T1784" s="3" t="s">
        <v>21</v>
      </c>
      <c r="U1784" s="11">
        <v>184</v>
      </c>
      <c r="V1784" s="3" t="s">
        <v>6264</v>
      </c>
      <c r="W1784" s="8" t="s">
        <v>7834</v>
      </c>
    </row>
    <row r="1785" spans="1:23" x14ac:dyDescent="0.25">
      <c r="A1785" s="2">
        <v>1529</v>
      </c>
      <c r="B1785" s="3" t="s">
        <v>6264</v>
      </c>
      <c r="C1785" s="3">
        <v>2024</v>
      </c>
      <c r="D1785" s="3" t="s">
        <v>2102</v>
      </c>
      <c r="E1785" s="3" t="s">
        <v>15</v>
      </c>
      <c r="F1785" s="1" t="s">
        <v>7834</v>
      </c>
      <c r="G1785" s="10"/>
      <c r="H1785" s="10"/>
      <c r="I1785" s="10"/>
      <c r="J1785" s="10"/>
      <c r="K1785" s="10"/>
      <c r="L1785" s="3" t="s">
        <v>6296</v>
      </c>
      <c r="M1785" s="3" t="s">
        <v>6297</v>
      </c>
      <c r="N1785" s="3" t="s">
        <v>41</v>
      </c>
      <c r="O1785" s="3">
        <v>968</v>
      </c>
      <c r="P1785" s="3">
        <v>2</v>
      </c>
      <c r="Q1785" s="3"/>
      <c r="R1785" s="3" t="s">
        <v>6273</v>
      </c>
      <c r="S1785" s="3" t="s">
        <v>6298</v>
      </c>
      <c r="T1785" s="3" t="s">
        <v>21</v>
      </c>
      <c r="U1785" s="11">
        <v>185</v>
      </c>
      <c r="V1785" s="3" t="s">
        <v>6264</v>
      </c>
      <c r="W1785" s="8" t="s">
        <v>7834</v>
      </c>
    </row>
    <row r="1786" spans="1:23" x14ac:dyDescent="0.25">
      <c r="A1786" s="2">
        <v>1530</v>
      </c>
      <c r="B1786" s="3" t="s">
        <v>6264</v>
      </c>
      <c r="C1786" s="3">
        <v>2024</v>
      </c>
      <c r="D1786" s="3" t="s">
        <v>2431</v>
      </c>
      <c r="E1786" s="3" t="s">
        <v>15</v>
      </c>
      <c r="F1786" s="1" t="s">
        <v>7834</v>
      </c>
      <c r="G1786" s="10"/>
      <c r="H1786" s="10"/>
      <c r="I1786" s="10"/>
      <c r="J1786" s="10"/>
      <c r="K1786" s="10"/>
      <c r="L1786" s="3" t="s">
        <v>6299</v>
      </c>
      <c r="M1786" s="3" t="s">
        <v>6300</v>
      </c>
      <c r="N1786" s="3" t="s">
        <v>41</v>
      </c>
      <c r="O1786" s="3">
        <v>968</v>
      </c>
      <c r="P1786" s="3">
        <v>2</v>
      </c>
      <c r="Q1786" s="3"/>
      <c r="R1786" s="3" t="s">
        <v>6273</v>
      </c>
      <c r="S1786" s="3" t="s">
        <v>6301</v>
      </c>
      <c r="T1786" s="3" t="s">
        <v>21</v>
      </c>
      <c r="U1786" s="11">
        <v>186</v>
      </c>
      <c r="V1786" s="3" t="s">
        <v>6264</v>
      </c>
      <c r="W1786" s="8" t="s">
        <v>7834</v>
      </c>
    </row>
    <row r="1787" spans="1:23" x14ac:dyDescent="0.25">
      <c r="A1787" s="2">
        <v>1531</v>
      </c>
      <c r="B1787" s="3" t="s">
        <v>6264</v>
      </c>
      <c r="C1787" s="3">
        <v>2024</v>
      </c>
      <c r="D1787" s="3" t="s">
        <v>818</v>
      </c>
      <c r="E1787" s="3" t="s">
        <v>15</v>
      </c>
      <c r="F1787" s="1" t="s">
        <v>7834</v>
      </c>
      <c r="G1787" s="10"/>
      <c r="H1787" s="10"/>
      <c r="I1787" s="10"/>
      <c r="J1787" s="10"/>
      <c r="K1787" s="10"/>
      <c r="L1787" s="3" t="s">
        <v>6302</v>
      </c>
      <c r="M1787" s="3" t="s">
        <v>6303</v>
      </c>
      <c r="N1787" s="3" t="s">
        <v>41</v>
      </c>
      <c r="O1787" s="3">
        <v>971</v>
      </c>
      <c r="P1787" s="3">
        <v>1</v>
      </c>
      <c r="Q1787" s="3"/>
      <c r="R1787" s="3" t="s">
        <v>6273</v>
      </c>
      <c r="S1787" s="3" t="s">
        <v>6304</v>
      </c>
      <c r="T1787" s="3" t="s">
        <v>21</v>
      </c>
      <c r="U1787" s="11">
        <v>187</v>
      </c>
      <c r="V1787" s="3" t="s">
        <v>6264</v>
      </c>
      <c r="W1787" s="8" t="s">
        <v>7834</v>
      </c>
    </row>
    <row r="1788" spans="1:23" x14ac:dyDescent="0.25">
      <c r="A1788" s="2">
        <v>1532</v>
      </c>
      <c r="B1788" s="3" t="s">
        <v>6264</v>
      </c>
      <c r="C1788" s="3">
        <v>2024</v>
      </c>
      <c r="D1788" s="3" t="s">
        <v>1227</v>
      </c>
      <c r="E1788" s="3" t="s">
        <v>15</v>
      </c>
      <c r="F1788" s="1" t="s">
        <v>7834</v>
      </c>
      <c r="G1788" s="10"/>
      <c r="H1788" s="10"/>
      <c r="I1788" s="10"/>
      <c r="J1788" s="10"/>
      <c r="K1788" s="10"/>
      <c r="L1788" s="3" t="s">
        <v>2168</v>
      </c>
      <c r="M1788" s="3" t="s">
        <v>6305</v>
      </c>
      <c r="N1788" s="3" t="s">
        <v>233</v>
      </c>
      <c r="O1788" s="3">
        <v>273</v>
      </c>
      <c r="P1788" s="3">
        <v>2</v>
      </c>
      <c r="Q1788" s="3"/>
      <c r="R1788" s="3" t="s">
        <v>2170</v>
      </c>
      <c r="S1788" s="3" t="s">
        <v>2171</v>
      </c>
      <c r="T1788" s="3" t="s">
        <v>21</v>
      </c>
      <c r="U1788" s="11">
        <v>188</v>
      </c>
      <c r="V1788" s="3" t="s">
        <v>6264</v>
      </c>
      <c r="W1788" s="8" t="s">
        <v>7834</v>
      </c>
    </row>
    <row r="1789" spans="1:23" x14ac:dyDescent="0.25">
      <c r="A1789" s="2">
        <v>1533</v>
      </c>
      <c r="B1789" s="3" t="s">
        <v>6264</v>
      </c>
      <c r="C1789" s="3">
        <v>2024</v>
      </c>
      <c r="D1789" s="3" t="s">
        <v>1810</v>
      </c>
      <c r="E1789" s="3" t="s">
        <v>15</v>
      </c>
      <c r="F1789" s="1" t="s">
        <v>7834</v>
      </c>
      <c r="G1789" s="10"/>
      <c r="H1789" s="10"/>
      <c r="I1789" s="10"/>
      <c r="J1789" s="10"/>
      <c r="K1789" s="10"/>
      <c r="L1789" s="3" t="s">
        <v>2183</v>
      </c>
      <c r="M1789" s="3" t="s">
        <v>6306</v>
      </c>
      <c r="N1789" s="3" t="s">
        <v>28</v>
      </c>
      <c r="O1789" s="3">
        <v>688</v>
      </c>
      <c r="P1789" s="3" t="s">
        <v>2185</v>
      </c>
      <c r="Q1789" s="3"/>
      <c r="R1789" s="3" t="s">
        <v>170</v>
      </c>
      <c r="S1789" s="3" t="s">
        <v>6307</v>
      </c>
      <c r="T1789" s="3" t="s">
        <v>21</v>
      </c>
      <c r="U1789" s="11">
        <v>189</v>
      </c>
      <c r="V1789" s="3" t="s">
        <v>6264</v>
      </c>
      <c r="W1789" s="8" t="s">
        <v>7834</v>
      </c>
    </row>
    <row r="1790" spans="1:23" x14ac:dyDescent="0.25">
      <c r="A1790" s="2">
        <v>1534</v>
      </c>
      <c r="B1790" s="3" t="s">
        <v>6264</v>
      </c>
      <c r="C1790" s="3">
        <v>2024</v>
      </c>
      <c r="D1790" s="3" t="s">
        <v>2051</v>
      </c>
      <c r="E1790" s="3" t="s">
        <v>15</v>
      </c>
      <c r="F1790" s="1" t="s">
        <v>7834</v>
      </c>
      <c r="G1790" s="10"/>
      <c r="H1790" s="10"/>
      <c r="I1790" s="10"/>
      <c r="J1790" s="10"/>
      <c r="K1790" s="10"/>
      <c r="L1790" s="3" t="s">
        <v>6308</v>
      </c>
      <c r="M1790" s="3" t="s">
        <v>6309</v>
      </c>
      <c r="N1790" s="3" t="s">
        <v>18</v>
      </c>
      <c r="O1790" s="3">
        <v>530</v>
      </c>
      <c r="P1790" s="3">
        <v>4</v>
      </c>
      <c r="Q1790" s="3"/>
      <c r="R1790" s="3" t="s">
        <v>159</v>
      </c>
      <c r="S1790" s="3" t="s">
        <v>6310</v>
      </c>
      <c r="T1790" s="3" t="s">
        <v>21</v>
      </c>
      <c r="U1790" s="11">
        <v>190</v>
      </c>
      <c r="V1790" s="3" t="s">
        <v>6264</v>
      </c>
      <c r="W1790" s="8" t="s">
        <v>7834</v>
      </c>
    </row>
    <row r="1791" spans="1:23" x14ac:dyDescent="0.25">
      <c r="A1791" s="2">
        <v>1536</v>
      </c>
      <c r="B1791" s="3" t="s">
        <v>6264</v>
      </c>
      <c r="C1791" s="3">
        <v>2024</v>
      </c>
      <c r="D1791" s="3" t="s">
        <v>1395</v>
      </c>
      <c r="E1791" s="3" t="s">
        <v>15</v>
      </c>
      <c r="F1791" s="1" t="s">
        <v>7834</v>
      </c>
      <c r="G1791" s="10"/>
      <c r="H1791" s="10"/>
      <c r="I1791" s="10"/>
      <c r="J1791" s="10"/>
      <c r="K1791" s="10"/>
      <c r="L1791" s="3" t="s">
        <v>6316</v>
      </c>
      <c r="M1791" s="3" t="s">
        <v>6317</v>
      </c>
      <c r="N1791" s="3" t="s">
        <v>41</v>
      </c>
      <c r="O1791" s="3">
        <v>966</v>
      </c>
      <c r="P1791" s="3">
        <v>2</v>
      </c>
      <c r="Q1791" s="3"/>
      <c r="R1791" s="3" t="s">
        <v>6273</v>
      </c>
      <c r="S1791" s="3" t="s">
        <v>6318</v>
      </c>
      <c r="T1791" s="3" t="s">
        <v>21</v>
      </c>
      <c r="U1791" s="11">
        <v>191</v>
      </c>
      <c r="V1791" s="3" t="s">
        <v>6264</v>
      </c>
      <c r="W1791" s="8" t="s">
        <v>7834</v>
      </c>
    </row>
    <row r="1792" spans="1:23" x14ac:dyDescent="0.25">
      <c r="A1792" s="2">
        <v>1537</v>
      </c>
      <c r="B1792" s="3" t="s">
        <v>6264</v>
      </c>
      <c r="C1792" s="3">
        <v>2024</v>
      </c>
      <c r="D1792" s="3" t="s">
        <v>2056</v>
      </c>
      <c r="E1792" s="3" t="s">
        <v>15</v>
      </c>
      <c r="F1792" s="1" t="s">
        <v>7834</v>
      </c>
      <c r="G1792" s="10"/>
      <c r="H1792" s="10"/>
      <c r="I1792" s="10"/>
      <c r="J1792" s="10"/>
      <c r="K1792" s="10"/>
      <c r="L1792" s="3" t="s">
        <v>6319</v>
      </c>
      <c r="M1792" s="3" t="s">
        <v>6320</v>
      </c>
      <c r="N1792" s="3" t="s">
        <v>69</v>
      </c>
      <c r="O1792" s="3">
        <v>9642</v>
      </c>
      <c r="P1792" s="3">
        <v>2</v>
      </c>
      <c r="Q1792" s="3"/>
      <c r="R1792" s="3" t="s">
        <v>70</v>
      </c>
      <c r="S1792" s="3" t="s">
        <v>6321</v>
      </c>
      <c r="T1792" s="3" t="s">
        <v>21</v>
      </c>
      <c r="U1792" s="11">
        <v>192</v>
      </c>
      <c r="V1792" s="3" t="s">
        <v>6264</v>
      </c>
      <c r="W1792" s="8" t="s">
        <v>7834</v>
      </c>
    </row>
    <row r="1793" spans="1:23" x14ac:dyDescent="0.25">
      <c r="A1793" s="2">
        <v>1538</v>
      </c>
      <c r="B1793" s="3" t="s">
        <v>6264</v>
      </c>
      <c r="C1793" s="3">
        <v>2024</v>
      </c>
      <c r="D1793" s="3" t="s">
        <v>3924</v>
      </c>
      <c r="E1793" s="3" t="s">
        <v>15</v>
      </c>
      <c r="F1793" s="1" t="s">
        <v>7834</v>
      </c>
      <c r="G1793" s="10"/>
      <c r="H1793" s="10"/>
      <c r="I1793" s="10"/>
      <c r="J1793" s="10"/>
      <c r="K1793" s="10"/>
      <c r="L1793" s="3" t="s">
        <v>1995</v>
      </c>
      <c r="M1793" s="3" t="s">
        <v>6322</v>
      </c>
      <c r="N1793" s="3" t="s">
        <v>18</v>
      </c>
      <c r="O1793" s="3">
        <v>528</v>
      </c>
      <c r="P1793" s="3">
        <v>4</v>
      </c>
      <c r="Q1793" s="3"/>
      <c r="R1793" s="3" t="s">
        <v>159</v>
      </c>
      <c r="S1793" s="3" t="s">
        <v>1997</v>
      </c>
      <c r="T1793" s="3" t="s">
        <v>21</v>
      </c>
      <c r="U1793" s="11">
        <v>193</v>
      </c>
      <c r="V1793" s="3" t="s">
        <v>6264</v>
      </c>
      <c r="W1793" s="8" t="s">
        <v>7834</v>
      </c>
    </row>
    <row r="1794" spans="1:23" x14ac:dyDescent="0.25">
      <c r="A1794" s="2">
        <v>1539</v>
      </c>
      <c r="B1794" s="3" t="s">
        <v>6264</v>
      </c>
      <c r="C1794" s="3">
        <v>2024</v>
      </c>
      <c r="D1794" s="3" t="s">
        <v>6323</v>
      </c>
      <c r="E1794" s="3" t="s">
        <v>15</v>
      </c>
      <c r="F1794" s="1" t="s">
        <v>7834</v>
      </c>
      <c r="G1794" s="10"/>
      <c r="H1794" s="10"/>
      <c r="I1794" s="10"/>
      <c r="J1794" s="10"/>
      <c r="K1794" s="10"/>
      <c r="L1794" s="3" t="s">
        <v>6324</v>
      </c>
      <c r="M1794" s="3" t="s">
        <v>6325</v>
      </c>
      <c r="N1794" s="3" t="s">
        <v>41</v>
      </c>
      <c r="O1794" s="3">
        <v>966</v>
      </c>
      <c r="P1794" s="3">
        <v>1</v>
      </c>
      <c r="Q1794" s="3"/>
      <c r="R1794" s="3" t="s">
        <v>6273</v>
      </c>
      <c r="S1794" s="3" t="s">
        <v>6326</v>
      </c>
      <c r="T1794" s="3" t="s">
        <v>21</v>
      </c>
      <c r="U1794" s="11">
        <v>194</v>
      </c>
      <c r="V1794" s="3" t="s">
        <v>6264</v>
      </c>
      <c r="W1794" s="8" t="s">
        <v>7834</v>
      </c>
    </row>
    <row r="1795" spans="1:23" x14ac:dyDescent="0.25">
      <c r="A1795" s="2">
        <v>1540</v>
      </c>
      <c r="B1795" s="3" t="s">
        <v>6264</v>
      </c>
      <c r="C1795" s="3">
        <v>2024</v>
      </c>
      <c r="D1795" s="3" t="s">
        <v>2056</v>
      </c>
      <c r="E1795" s="3" t="s">
        <v>15</v>
      </c>
      <c r="F1795" s="1" t="s">
        <v>7834</v>
      </c>
      <c r="G1795" s="10"/>
      <c r="H1795" s="10"/>
      <c r="I1795" s="10"/>
      <c r="J1795" s="10"/>
      <c r="K1795" s="10"/>
      <c r="L1795" s="3" t="s">
        <v>6327</v>
      </c>
      <c r="M1795" s="3" t="s">
        <v>6328</v>
      </c>
      <c r="N1795" s="3" t="s">
        <v>69</v>
      </c>
      <c r="O1795" s="3">
        <v>964</v>
      </c>
      <c r="P1795" s="3">
        <v>2</v>
      </c>
      <c r="Q1795" s="3"/>
      <c r="R1795" s="3" t="s">
        <v>70</v>
      </c>
      <c r="S1795" s="3" t="s">
        <v>6329</v>
      </c>
      <c r="T1795" s="3" t="s">
        <v>21</v>
      </c>
      <c r="U1795" s="11">
        <v>195</v>
      </c>
      <c r="V1795" s="3" t="s">
        <v>6264</v>
      </c>
      <c r="W1795" s="8" t="s">
        <v>7834</v>
      </c>
    </row>
    <row r="1796" spans="1:23" x14ac:dyDescent="0.25">
      <c r="A1796" s="2">
        <v>1541</v>
      </c>
      <c r="B1796" s="3" t="s">
        <v>6264</v>
      </c>
      <c r="C1796" s="3">
        <v>2024</v>
      </c>
      <c r="D1796" s="3" t="s">
        <v>970</v>
      </c>
      <c r="E1796" s="3" t="s">
        <v>15</v>
      </c>
      <c r="F1796" s="1" t="s">
        <v>7834</v>
      </c>
      <c r="G1796" s="10"/>
      <c r="H1796" s="10"/>
      <c r="I1796" s="10"/>
      <c r="J1796" s="10"/>
      <c r="K1796" s="10"/>
      <c r="L1796" s="3" t="s">
        <v>6330</v>
      </c>
      <c r="M1796" s="3" t="s">
        <v>6331</v>
      </c>
      <c r="N1796" s="3" t="s">
        <v>28</v>
      </c>
      <c r="O1796" s="3">
        <v>684</v>
      </c>
      <c r="P1796" s="3" t="s">
        <v>6332</v>
      </c>
      <c r="Q1796" s="3"/>
      <c r="R1796" s="3" t="s">
        <v>170</v>
      </c>
      <c r="S1796" s="3" t="s">
        <v>6333</v>
      </c>
      <c r="T1796" s="3" t="s">
        <v>21</v>
      </c>
      <c r="U1796" s="11">
        <v>196</v>
      </c>
      <c r="V1796" s="3" t="s">
        <v>6264</v>
      </c>
      <c r="W1796" s="8" t="s">
        <v>7834</v>
      </c>
    </row>
    <row r="1797" spans="1:23" x14ac:dyDescent="0.25">
      <c r="A1797" s="2">
        <v>1542</v>
      </c>
      <c r="B1797" s="3" t="s">
        <v>6264</v>
      </c>
      <c r="C1797" s="3">
        <v>2024</v>
      </c>
      <c r="D1797" s="3" t="s">
        <v>2039</v>
      </c>
      <c r="E1797" s="3" t="s">
        <v>15</v>
      </c>
      <c r="F1797" s="1" t="s">
        <v>7834</v>
      </c>
      <c r="G1797" s="10"/>
      <c r="H1797" s="10"/>
      <c r="I1797" s="10"/>
      <c r="J1797" s="10"/>
      <c r="K1797" s="10"/>
      <c r="L1797" s="3" t="s">
        <v>2040</v>
      </c>
      <c r="M1797" s="3" t="s">
        <v>6334</v>
      </c>
      <c r="N1797" s="3" t="s">
        <v>28</v>
      </c>
      <c r="O1797" s="3">
        <v>684</v>
      </c>
      <c r="P1797" s="3" t="s">
        <v>2042</v>
      </c>
      <c r="Q1797" s="3"/>
      <c r="R1797" s="3" t="s">
        <v>170</v>
      </c>
      <c r="S1797" s="3" t="s">
        <v>2043</v>
      </c>
      <c r="T1797" s="3" t="s">
        <v>21</v>
      </c>
      <c r="U1797" s="11">
        <v>197</v>
      </c>
      <c r="V1797" s="3" t="s">
        <v>6264</v>
      </c>
      <c r="W1797" s="8" t="s">
        <v>7834</v>
      </c>
    </row>
    <row r="1798" spans="1:23" x14ac:dyDescent="0.25">
      <c r="A1798" s="2">
        <v>1543</v>
      </c>
      <c r="B1798" s="3" t="s">
        <v>6264</v>
      </c>
      <c r="C1798" s="3">
        <v>2024</v>
      </c>
      <c r="D1798" s="3" t="s">
        <v>1470</v>
      </c>
      <c r="E1798" s="3" t="s">
        <v>15</v>
      </c>
      <c r="F1798" s="1" t="s">
        <v>7834</v>
      </c>
      <c r="G1798" s="10"/>
      <c r="H1798" s="10"/>
      <c r="I1798" s="10"/>
      <c r="J1798" s="10"/>
      <c r="K1798" s="10"/>
      <c r="L1798" s="3" t="s">
        <v>6335</v>
      </c>
      <c r="M1798" s="3" t="s">
        <v>6336</v>
      </c>
      <c r="N1798" s="3" t="s">
        <v>28</v>
      </c>
      <c r="O1798" s="3">
        <v>681</v>
      </c>
      <c r="P1798" s="3" t="s">
        <v>6337</v>
      </c>
      <c r="Q1798" s="3"/>
      <c r="R1798" s="3" t="s">
        <v>170</v>
      </c>
      <c r="S1798" s="3" t="s">
        <v>6338</v>
      </c>
      <c r="T1798" s="3" t="s">
        <v>21</v>
      </c>
      <c r="U1798" s="11">
        <v>198</v>
      </c>
      <c r="V1798" s="3" t="s">
        <v>6264</v>
      </c>
      <c r="W1798" s="8" t="s">
        <v>7834</v>
      </c>
    </row>
    <row r="1799" spans="1:23" x14ac:dyDescent="0.25">
      <c r="A1799" s="2">
        <v>1544</v>
      </c>
      <c r="B1799" s="3" t="s">
        <v>6264</v>
      </c>
      <c r="C1799" s="3">
        <v>2024</v>
      </c>
      <c r="D1799" s="3" t="s">
        <v>3045</v>
      </c>
      <c r="E1799" s="3" t="s">
        <v>15</v>
      </c>
      <c r="F1799" s="1" t="s">
        <v>7834</v>
      </c>
      <c r="G1799" s="10"/>
      <c r="H1799" s="10"/>
      <c r="I1799" s="10"/>
      <c r="J1799" s="10"/>
      <c r="K1799" s="10"/>
      <c r="L1799" s="3" t="s">
        <v>6339</v>
      </c>
      <c r="M1799" s="3" t="s">
        <v>6340</v>
      </c>
      <c r="N1799" s="3" t="s">
        <v>28</v>
      </c>
      <c r="O1799" s="3">
        <v>690</v>
      </c>
      <c r="P1799" s="3" t="s">
        <v>6341</v>
      </c>
      <c r="Q1799" s="3"/>
      <c r="R1799" s="3" t="s">
        <v>170</v>
      </c>
      <c r="S1799" s="3" t="s">
        <v>6342</v>
      </c>
      <c r="T1799" s="3" t="s">
        <v>21</v>
      </c>
      <c r="U1799" s="11">
        <v>199</v>
      </c>
      <c r="V1799" s="3" t="s">
        <v>6264</v>
      </c>
      <c r="W1799" s="8" t="s">
        <v>7834</v>
      </c>
    </row>
    <row r="1800" spans="1:23" x14ac:dyDescent="0.25">
      <c r="A1800" s="2">
        <v>1545</v>
      </c>
      <c r="B1800" s="3" t="s">
        <v>6264</v>
      </c>
      <c r="C1800" s="3">
        <v>2024</v>
      </c>
      <c r="D1800" s="3" t="s">
        <v>633</v>
      </c>
      <c r="E1800" s="3" t="s">
        <v>15</v>
      </c>
      <c r="F1800" s="1" t="s">
        <v>7834</v>
      </c>
      <c r="G1800" s="10"/>
      <c r="H1800" s="10"/>
      <c r="I1800" s="10"/>
      <c r="J1800" s="10"/>
      <c r="K1800" s="10"/>
      <c r="L1800" s="3" t="s">
        <v>6343</v>
      </c>
      <c r="M1800" s="3" t="s">
        <v>6344</v>
      </c>
      <c r="N1800" s="3" t="s">
        <v>28</v>
      </c>
      <c r="O1800" s="3">
        <v>689</v>
      </c>
      <c r="P1800" s="3" t="s">
        <v>6345</v>
      </c>
      <c r="Q1800" s="3"/>
      <c r="R1800" s="3" t="s">
        <v>170</v>
      </c>
      <c r="S1800" s="3" t="s">
        <v>6346</v>
      </c>
      <c r="T1800" s="3" t="s">
        <v>21</v>
      </c>
      <c r="U1800" s="11">
        <v>200</v>
      </c>
      <c r="V1800" s="3" t="s">
        <v>6264</v>
      </c>
      <c r="W1800" s="8" t="s">
        <v>7834</v>
      </c>
    </row>
    <row r="1801" spans="1:23" x14ac:dyDescent="0.25">
      <c r="A1801" s="2">
        <v>1546</v>
      </c>
      <c r="B1801" s="3" t="s">
        <v>6264</v>
      </c>
      <c r="C1801" s="3">
        <v>2024</v>
      </c>
      <c r="D1801" s="3" t="s">
        <v>792</v>
      </c>
      <c r="E1801" s="3" t="s">
        <v>15</v>
      </c>
      <c r="F1801" s="1" t="s">
        <v>7834</v>
      </c>
      <c r="G1801" s="10"/>
      <c r="H1801" s="10"/>
      <c r="I1801" s="10"/>
      <c r="J1801" s="10"/>
      <c r="K1801" s="10"/>
      <c r="L1801" s="3" t="s">
        <v>6347</v>
      </c>
      <c r="M1801" s="3" t="s">
        <v>6348</v>
      </c>
      <c r="N1801" s="3" t="s">
        <v>28</v>
      </c>
      <c r="O1801" s="3">
        <v>688</v>
      </c>
      <c r="P1801" s="3" t="s">
        <v>6349</v>
      </c>
      <c r="Q1801" s="3"/>
      <c r="R1801" s="3" t="s">
        <v>170</v>
      </c>
      <c r="S1801" s="3" t="s">
        <v>6350</v>
      </c>
      <c r="T1801" s="3" t="s">
        <v>21</v>
      </c>
      <c r="U1801" s="11">
        <v>201</v>
      </c>
      <c r="V1801" s="3" t="s">
        <v>6264</v>
      </c>
      <c r="W1801" s="8" t="s">
        <v>7834</v>
      </c>
    </row>
    <row r="1802" spans="1:23" x14ac:dyDescent="0.25">
      <c r="A1802" s="2">
        <v>1547</v>
      </c>
      <c r="B1802" s="3" t="s">
        <v>6264</v>
      </c>
      <c r="C1802" s="3">
        <v>2024</v>
      </c>
      <c r="D1802" s="3" t="s">
        <v>1723</v>
      </c>
      <c r="E1802" s="3" t="s">
        <v>15</v>
      </c>
      <c r="F1802" s="1" t="s">
        <v>7834</v>
      </c>
      <c r="G1802" s="10"/>
      <c r="H1802" s="10"/>
      <c r="I1802" s="10"/>
      <c r="J1802" s="10"/>
      <c r="K1802" s="10"/>
      <c r="L1802" s="3" t="s">
        <v>6351</v>
      </c>
      <c r="M1802" s="3" t="s">
        <v>6352</v>
      </c>
      <c r="N1802" s="3" t="s">
        <v>18</v>
      </c>
      <c r="O1802" s="3">
        <v>528</v>
      </c>
      <c r="P1802" s="3">
        <v>3</v>
      </c>
      <c r="Q1802" s="3"/>
      <c r="R1802" s="3" t="s">
        <v>159</v>
      </c>
      <c r="S1802" s="3" t="s">
        <v>6353</v>
      </c>
      <c r="T1802" s="3" t="s">
        <v>21</v>
      </c>
      <c r="U1802" s="11">
        <v>202</v>
      </c>
      <c r="V1802" s="3" t="s">
        <v>6264</v>
      </c>
      <c r="W1802" s="8" t="s">
        <v>7834</v>
      </c>
    </row>
    <row r="1803" spans="1:23" x14ac:dyDescent="0.25">
      <c r="A1803" s="2">
        <v>1548</v>
      </c>
      <c r="B1803" s="3" t="s">
        <v>6264</v>
      </c>
      <c r="C1803" s="3">
        <v>2024</v>
      </c>
      <c r="D1803" s="3" t="s">
        <v>1832</v>
      </c>
      <c r="E1803" s="3" t="s">
        <v>15</v>
      </c>
      <c r="F1803" s="1" t="s">
        <v>7834</v>
      </c>
      <c r="G1803" s="10"/>
      <c r="H1803" s="10"/>
      <c r="I1803" s="10"/>
      <c r="J1803" s="10"/>
      <c r="K1803" s="10"/>
      <c r="L1803" s="3" t="s">
        <v>6354</v>
      </c>
      <c r="M1803" s="3" t="s">
        <v>6355</v>
      </c>
      <c r="N1803" s="3" t="s">
        <v>18</v>
      </c>
      <c r="O1803" s="3">
        <v>531</v>
      </c>
      <c r="P1803" s="3">
        <v>4</v>
      </c>
      <c r="Q1803" s="3"/>
      <c r="R1803" s="3" t="s">
        <v>159</v>
      </c>
      <c r="S1803" s="3" t="s">
        <v>6356</v>
      </c>
      <c r="T1803" s="3" t="s">
        <v>21</v>
      </c>
      <c r="U1803" s="11">
        <v>203</v>
      </c>
      <c r="V1803" s="3" t="s">
        <v>6264</v>
      </c>
      <c r="W1803" s="8" t="s">
        <v>7834</v>
      </c>
    </row>
    <row r="1804" spans="1:23" x14ac:dyDescent="0.25">
      <c r="A1804" s="2">
        <v>1549</v>
      </c>
      <c r="B1804" s="3" t="s">
        <v>6264</v>
      </c>
      <c r="C1804" s="3">
        <v>2024</v>
      </c>
      <c r="D1804" s="3" t="s">
        <v>1418</v>
      </c>
      <c r="E1804" s="3" t="s">
        <v>15</v>
      </c>
      <c r="F1804" s="1" t="s">
        <v>7834</v>
      </c>
      <c r="G1804" s="10"/>
      <c r="H1804" s="10"/>
      <c r="I1804" s="10"/>
      <c r="J1804" s="10"/>
      <c r="K1804" s="10"/>
      <c r="L1804" s="3" t="s">
        <v>6357</v>
      </c>
      <c r="M1804" s="3" t="s">
        <v>6358</v>
      </c>
      <c r="N1804" s="3" t="s">
        <v>28</v>
      </c>
      <c r="O1804" s="3">
        <v>684</v>
      </c>
      <c r="P1804" s="3" t="s">
        <v>6359</v>
      </c>
      <c r="Q1804" s="3"/>
      <c r="R1804" s="3" t="s">
        <v>170</v>
      </c>
      <c r="S1804" s="3" t="s">
        <v>6360</v>
      </c>
      <c r="T1804" s="3" t="s">
        <v>21</v>
      </c>
      <c r="U1804" s="11">
        <v>204</v>
      </c>
      <c r="V1804" s="3" t="s">
        <v>6264</v>
      </c>
      <c r="W1804" s="8" t="s">
        <v>7834</v>
      </c>
    </row>
    <row r="1805" spans="1:23" x14ac:dyDescent="0.25">
      <c r="A1805" s="2">
        <v>1550</v>
      </c>
      <c r="B1805" s="3" t="s">
        <v>6264</v>
      </c>
      <c r="C1805" s="3">
        <v>2024</v>
      </c>
      <c r="D1805" s="3" t="s">
        <v>1497</v>
      </c>
      <c r="E1805" s="3" t="s">
        <v>15</v>
      </c>
      <c r="F1805" s="1" t="s">
        <v>7834</v>
      </c>
      <c r="G1805" s="10"/>
      <c r="H1805" s="10"/>
      <c r="I1805" s="10"/>
      <c r="J1805" s="10"/>
      <c r="K1805" s="10"/>
      <c r="L1805" s="3" t="s">
        <v>2009</v>
      </c>
      <c r="M1805" s="3" t="s">
        <v>6361</v>
      </c>
      <c r="N1805" s="3" t="s">
        <v>28</v>
      </c>
      <c r="O1805" s="3">
        <v>683</v>
      </c>
      <c r="P1805" s="3" t="s">
        <v>2011</v>
      </c>
      <c r="Q1805" s="3"/>
      <c r="R1805" s="3" t="s">
        <v>170</v>
      </c>
      <c r="S1805" s="3" t="s">
        <v>2012</v>
      </c>
      <c r="T1805" s="3" t="s">
        <v>21</v>
      </c>
      <c r="U1805" s="11">
        <v>205</v>
      </c>
      <c r="V1805" s="3" t="s">
        <v>6264</v>
      </c>
      <c r="W1805" s="8" t="s">
        <v>7834</v>
      </c>
    </row>
    <row r="1806" spans="1:23" x14ac:dyDescent="0.25">
      <c r="A1806" s="2">
        <v>1551</v>
      </c>
      <c r="B1806" s="3" t="s">
        <v>6264</v>
      </c>
      <c r="C1806" s="3">
        <v>2024</v>
      </c>
      <c r="D1806" s="3" t="s">
        <v>22</v>
      </c>
      <c r="E1806" s="3" t="s">
        <v>15</v>
      </c>
      <c r="F1806" s="1" t="s">
        <v>7834</v>
      </c>
      <c r="G1806" s="10"/>
      <c r="H1806" s="10"/>
      <c r="I1806" s="10"/>
      <c r="J1806" s="10"/>
      <c r="K1806" s="10"/>
      <c r="L1806" s="3" t="s">
        <v>6362</v>
      </c>
      <c r="M1806" s="3" t="s">
        <v>6363</v>
      </c>
      <c r="N1806" s="3" t="s">
        <v>18</v>
      </c>
      <c r="O1806" s="3">
        <v>527</v>
      </c>
      <c r="P1806" s="3">
        <v>4</v>
      </c>
      <c r="Q1806" s="3"/>
      <c r="R1806" s="3" t="s">
        <v>159</v>
      </c>
      <c r="S1806" s="3" t="s">
        <v>6364</v>
      </c>
      <c r="T1806" s="3" t="s">
        <v>21</v>
      </c>
      <c r="U1806" s="11">
        <v>206</v>
      </c>
      <c r="V1806" s="3" t="s">
        <v>6264</v>
      </c>
      <c r="W1806" s="8" t="s">
        <v>7834</v>
      </c>
    </row>
    <row r="1807" spans="1:23" x14ac:dyDescent="0.25">
      <c r="A1807" s="2">
        <v>1552</v>
      </c>
      <c r="B1807" s="3" t="s">
        <v>6264</v>
      </c>
      <c r="C1807" s="3">
        <v>2024</v>
      </c>
      <c r="D1807" s="3" t="s">
        <v>1669</v>
      </c>
      <c r="E1807" s="3" t="s">
        <v>15</v>
      </c>
      <c r="F1807" s="1" t="s">
        <v>7834</v>
      </c>
      <c r="G1807" s="10"/>
      <c r="H1807" s="10"/>
      <c r="I1807" s="10"/>
      <c r="J1807" s="10"/>
      <c r="K1807" s="10"/>
      <c r="L1807" s="3" t="s">
        <v>6365</v>
      </c>
      <c r="M1807" s="3" t="s">
        <v>6366</v>
      </c>
      <c r="N1807" s="3" t="s">
        <v>28</v>
      </c>
      <c r="O1807" s="3">
        <v>683</v>
      </c>
      <c r="P1807" s="3" t="s">
        <v>6367</v>
      </c>
      <c r="Q1807" s="3"/>
      <c r="R1807" s="3" t="s">
        <v>170</v>
      </c>
      <c r="S1807" s="3" t="s">
        <v>6368</v>
      </c>
      <c r="T1807" s="3" t="s">
        <v>21</v>
      </c>
      <c r="U1807" s="11">
        <v>207</v>
      </c>
      <c r="V1807" s="3" t="s">
        <v>6264</v>
      </c>
      <c r="W1807" s="8" t="s">
        <v>7834</v>
      </c>
    </row>
    <row r="1808" spans="1:23" x14ac:dyDescent="0.25">
      <c r="A1808" s="2">
        <v>1553</v>
      </c>
      <c r="B1808" s="3" t="s">
        <v>6264</v>
      </c>
      <c r="C1808" s="3">
        <v>2024</v>
      </c>
      <c r="D1808" s="3" t="s">
        <v>1052</v>
      </c>
      <c r="E1808" s="3" t="s">
        <v>15</v>
      </c>
      <c r="F1808" s="1" t="s">
        <v>7834</v>
      </c>
      <c r="G1808" s="10"/>
      <c r="H1808" s="10"/>
      <c r="I1808" s="10"/>
      <c r="J1808" s="10"/>
      <c r="K1808" s="10"/>
      <c r="L1808" s="3" t="s">
        <v>6369</v>
      </c>
      <c r="M1808" s="3" t="s">
        <v>6370</v>
      </c>
      <c r="N1808" s="3" t="s">
        <v>41</v>
      </c>
      <c r="O1808" s="3">
        <v>961</v>
      </c>
      <c r="P1808" s="3">
        <v>1</v>
      </c>
      <c r="Q1808" s="3"/>
      <c r="R1808" s="3" t="s">
        <v>6273</v>
      </c>
      <c r="S1808" s="3" t="s">
        <v>6371</v>
      </c>
      <c r="T1808" s="3" t="s">
        <v>21</v>
      </c>
      <c r="U1808" s="11">
        <v>208</v>
      </c>
      <c r="V1808" s="3" t="s">
        <v>6264</v>
      </c>
      <c r="W1808" s="8" t="s">
        <v>7834</v>
      </c>
    </row>
    <row r="1809" spans="1:23" x14ac:dyDescent="0.25">
      <c r="A1809" s="2">
        <v>1554</v>
      </c>
      <c r="B1809" s="3" t="s">
        <v>6264</v>
      </c>
      <c r="C1809" s="3">
        <v>2024</v>
      </c>
      <c r="D1809" s="3" t="s">
        <v>2567</v>
      </c>
      <c r="E1809" s="3" t="s">
        <v>15</v>
      </c>
      <c r="F1809" s="1" t="s">
        <v>7834</v>
      </c>
      <c r="G1809" s="10"/>
      <c r="H1809" s="10"/>
      <c r="I1809" s="10"/>
      <c r="J1809" s="10"/>
      <c r="K1809" s="10"/>
      <c r="L1809" s="3" t="s">
        <v>6372</v>
      </c>
      <c r="M1809" s="3" t="s">
        <v>6373</v>
      </c>
      <c r="N1809" s="3" t="s">
        <v>41</v>
      </c>
      <c r="O1809" s="3">
        <v>963</v>
      </c>
      <c r="P1809" s="3">
        <v>1</v>
      </c>
      <c r="Q1809" s="3"/>
      <c r="R1809" s="3" t="s">
        <v>6273</v>
      </c>
      <c r="S1809" s="3" t="s">
        <v>6374</v>
      </c>
      <c r="T1809" s="3" t="s">
        <v>21</v>
      </c>
      <c r="U1809" s="11">
        <v>209</v>
      </c>
      <c r="V1809" s="3" t="s">
        <v>6264</v>
      </c>
      <c r="W1809" s="8" t="s">
        <v>7834</v>
      </c>
    </row>
    <row r="1810" spans="1:23" x14ac:dyDescent="0.25">
      <c r="A1810" s="2">
        <v>1555</v>
      </c>
      <c r="B1810" s="3" t="s">
        <v>6264</v>
      </c>
      <c r="C1810" s="3">
        <v>2024</v>
      </c>
      <c r="D1810" s="3" t="s">
        <v>22</v>
      </c>
      <c r="E1810" s="3" t="s">
        <v>15</v>
      </c>
      <c r="F1810" s="1" t="s">
        <v>7834</v>
      </c>
      <c r="G1810" s="10"/>
      <c r="H1810" s="10"/>
      <c r="I1810" s="10"/>
      <c r="J1810" s="10"/>
      <c r="K1810" s="10"/>
      <c r="L1810" s="3" t="s">
        <v>6375</v>
      </c>
      <c r="M1810" s="3" t="s">
        <v>6376</v>
      </c>
      <c r="N1810" s="3" t="s">
        <v>18</v>
      </c>
      <c r="O1810" s="3">
        <v>528</v>
      </c>
      <c r="P1810" s="3">
        <v>1</v>
      </c>
      <c r="Q1810" s="3"/>
      <c r="R1810" s="3" t="s">
        <v>159</v>
      </c>
      <c r="S1810" s="3" t="s">
        <v>6377</v>
      </c>
      <c r="T1810" s="3" t="s">
        <v>21</v>
      </c>
      <c r="U1810" s="11">
        <v>210</v>
      </c>
      <c r="V1810" s="3" t="s">
        <v>6264</v>
      </c>
      <c r="W1810" s="8" t="s">
        <v>7834</v>
      </c>
    </row>
    <row r="1811" spans="1:23" x14ac:dyDescent="0.25">
      <c r="A1811" s="2">
        <v>1556</v>
      </c>
      <c r="B1811" s="3" t="s">
        <v>6264</v>
      </c>
      <c r="C1811" s="3">
        <v>2024</v>
      </c>
      <c r="D1811" s="3" t="s">
        <v>2932</v>
      </c>
      <c r="E1811" s="3" t="s">
        <v>15</v>
      </c>
      <c r="F1811" s="1" t="s">
        <v>7834</v>
      </c>
      <c r="G1811" s="10"/>
      <c r="H1811" s="10"/>
      <c r="I1811" s="10"/>
      <c r="J1811" s="10"/>
      <c r="K1811" s="10"/>
      <c r="L1811" s="3" t="s">
        <v>6378</v>
      </c>
      <c r="M1811" s="3" t="s">
        <v>6379</v>
      </c>
      <c r="N1811" s="3" t="s">
        <v>28</v>
      </c>
      <c r="O1811" s="3">
        <v>682</v>
      </c>
      <c r="P1811" s="3" t="s">
        <v>6380</v>
      </c>
      <c r="Q1811" s="3"/>
      <c r="R1811" s="3" t="s">
        <v>170</v>
      </c>
      <c r="S1811" s="3" t="s">
        <v>6381</v>
      </c>
      <c r="T1811" s="3" t="s">
        <v>21</v>
      </c>
      <c r="U1811" s="11">
        <v>211</v>
      </c>
      <c r="V1811" s="3" t="s">
        <v>6264</v>
      </c>
      <c r="W1811" s="8" t="s">
        <v>7834</v>
      </c>
    </row>
    <row r="1812" spans="1:23" x14ac:dyDescent="0.25">
      <c r="A1812" s="2">
        <v>1557</v>
      </c>
      <c r="B1812" s="3" t="s">
        <v>6264</v>
      </c>
      <c r="C1812" s="3">
        <v>2024</v>
      </c>
      <c r="D1812" s="3" t="s">
        <v>14</v>
      </c>
      <c r="E1812" s="3" t="s">
        <v>15</v>
      </c>
      <c r="F1812" s="1" t="s">
        <v>7834</v>
      </c>
      <c r="G1812" s="10"/>
      <c r="H1812" s="10"/>
      <c r="I1812" s="10"/>
      <c r="J1812" s="10"/>
      <c r="K1812" s="10"/>
      <c r="L1812" s="3" t="s">
        <v>6382</v>
      </c>
      <c r="M1812" s="3" t="s">
        <v>6383</v>
      </c>
      <c r="N1812" s="3" t="s">
        <v>18</v>
      </c>
      <c r="O1812" s="3">
        <v>527</v>
      </c>
      <c r="P1812" s="3">
        <v>3</v>
      </c>
      <c r="Q1812" s="3"/>
      <c r="R1812" s="3" t="s">
        <v>159</v>
      </c>
      <c r="S1812" s="3" t="s">
        <v>6384</v>
      </c>
      <c r="T1812" s="3" t="s">
        <v>21</v>
      </c>
      <c r="U1812" s="11">
        <v>212</v>
      </c>
      <c r="V1812" s="3" t="s">
        <v>6264</v>
      </c>
      <c r="W1812" s="8" t="s">
        <v>7834</v>
      </c>
    </row>
    <row r="1813" spans="1:23" x14ac:dyDescent="0.25">
      <c r="A1813" s="2">
        <v>1558</v>
      </c>
      <c r="B1813" s="3" t="s">
        <v>6264</v>
      </c>
      <c r="C1813" s="3">
        <v>2024</v>
      </c>
      <c r="D1813" s="3" t="s">
        <v>14</v>
      </c>
      <c r="E1813" s="3" t="s">
        <v>15</v>
      </c>
      <c r="F1813" s="1" t="s">
        <v>7834</v>
      </c>
      <c r="G1813" s="10"/>
      <c r="H1813" s="10"/>
      <c r="I1813" s="10"/>
      <c r="J1813" s="10"/>
      <c r="K1813" s="10"/>
      <c r="L1813" s="3" t="s">
        <v>6385</v>
      </c>
      <c r="M1813" s="3" t="s">
        <v>6386</v>
      </c>
      <c r="N1813" s="3" t="s">
        <v>18</v>
      </c>
      <c r="O1813" s="3">
        <v>527</v>
      </c>
      <c r="P1813" s="3">
        <v>3</v>
      </c>
      <c r="Q1813" s="3"/>
      <c r="R1813" s="3" t="s">
        <v>159</v>
      </c>
      <c r="S1813" s="3" t="s">
        <v>6387</v>
      </c>
      <c r="T1813" s="3" t="s">
        <v>21</v>
      </c>
      <c r="U1813" s="11">
        <v>213</v>
      </c>
      <c r="V1813" s="3" t="s">
        <v>6264</v>
      </c>
      <c r="W1813" s="8" t="s">
        <v>7834</v>
      </c>
    </row>
    <row r="1814" spans="1:23" x14ac:dyDescent="0.25">
      <c r="A1814" s="2">
        <v>1559</v>
      </c>
      <c r="B1814" s="3" t="s">
        <v>6264</v>
      </c>
      <c r="C1814" s="3">
        <v>2024</v>
      </c>
      <c r="D1814" s="3" t="s">
        <v>14</v>
      </c>
      <c r="E1814" s="3" t="s">
        <v>15</v>
      </c>
      <c r="F1814" s="1" t="s">
        <v>7834</v>
      </c>
      <c r="G1814" s="10"/>
      <c r="H1814" s="10"/>
      <c r="I1814" s="10"/>
      <c r="J1814" s="10"/>
      <c r="K1814" s="10"/>
      <c r="L1814" s="3" t="s">
        <v>6388</v>
      </c>
      <c r="M1814" s="3" t="s">
        <v>6389</v>
      </c>
      <c r="N1814" s="3" t="s">
        <v>18</v>
      </c>
      <c r="O1814" s="3">
        <v>527</v>
      </c>
      <c r="P1814" s="3">
        <v>3</v>
      </c>
      <c r="Q1814" s="3"/>
      <c r="R1814" s="3" t="s">
        <v>159</v>
      </c>
      <c r="S1814" s="3" t="s">
        <v>6390</v>
      </c>
      <c r="T1814" s="3" t="s">
        <v>21</v>
      </c>
      <c r="U1814" s="11">
        <v>214</v>
      </c>
      <c r="V1814" s="3" t="s">
        <v>6264</v>
      </c>
      <c r="W1814" s="8" t="s">
        <v>7834</v>
      </c>
    </row>
    <row r="1815" spans="1:23" x14ac:dyDescent="0.25">
      <c r="A1815" s="2">
        <v>1560</v>
      </c>
      <c r="B1815" s="3" t="s">
        <v>6264</v>
      </c>
      <c r="C1815" s="3">
        <v>2024</v>
      </c>
      <c r="D1815" s="3" t="s">
        <v>1363</v>
      </c>
      <c r="E1815" s="3" t="s">
        <v>15</v>
      </c>
      <c r="F1815" s="1" t="s">
        <v>7834</v>
      </c>
      <c r="G1815" s="10"/>
      <c r="H1815" s="10"/>
      <c r="I1815" s="10"/>
      <c r="J1815" s="10"/>
      <c r="K1815" s="10"/>
      <c r="L1815" s="3" t="s">
        <v>216</v>
      </c>
      <c r="M1815" s="3" t="s">
        <v>6391</v>
      </c>
      <c r="N1815" s="3" t="s">
        <v>41</v>
      </c>
      <c r="O1815" s="3">
        <v>976</v>
      </c>
      <c r="P1815" s="3">
        <v>2</v>
      </c>
      <c r="Q1815" s="3"/>
      <c r="R1815" s="3" t="s">
        <v>6273</v>
      </c>
      <c r="S1815" s="3" t="s">
        <v>6392</v>
      </c>
      <c r="T1815" s="3" t="s">
        <v>21</v>
      </c>
      <c r="U1815" s="11">
        <v>215</v>
      </c>
      <c r="V1815" s="3" t="s">
        <v>6264</v>
      </c>
      <c r="W1815" s="8" t="s">
        <v>7834</v>
      </c>
    </row>
    <row r="1816" spans="1:23" x14ac:dyDescent="0.25">
      <c r="A1816" s="2">
        <v>1561</v>
      </c>
      <c r="B1816" s="3" t="s">
        <v>6264</v>
      </c>
      <c r="C1816" s="3">
        <v>2024</v>
      </c>
      <c r="D1816" s="3" t="s">
        <v>3352</v>
      </c>
      <c r="E1816" s="3" t="s">
        <v>15</v>
      </c>
      <c r="F1816" s="1" t="s">
        <v>7834</v>
      </c>
      <c r="G1816" s="10"/>
      <c r="H1816" s="10"/>
      <c r="I1816" s="10"/>
      <c r="J1816" s="10"/>
      <c r="K1816" s="10"/>
      <c r="L1816" s="3" t="s">
        <v>6393</v>
      </c>
      <c r="M1816" s="3" t="s">
        <v>6394</v>
      </c>
      <c r="N1816" s="3" t="s">
        <v>41</v>
      </c>
      <c r="O1816" s="3">
        <v>974</v>
      </c>
      <c r="P1816" s="3">
        <v>1</v>
      </c>
      <c r="Q1816" s="3"/>
      <c r="R1816" s="3" t="s">
        <v>6273</v>
      </c>
      <c r="S1816" s="3" t="s">
        <v>6395</v>
      </c>
      <c r="T1816" s="3" t="s">
        <v>21</v>
      </c>
      <c r="U1816" s="11">
        <v>216</v>
      </c>
      <c r="V1816" s="3" t="s">
        <v>6264</v>
      </c>
      <c r="W1816" s="8" t="s">
        <v>7834</v>
      </c>
    </row>
    <row r="1817" spans="1:23" x14ac:dyDescent="0.25">
      <c r="A1817" s="2">
        <v>1562</v>
      </c>
      <c r="B1817" s="3" t="s">
        <v>6264</v>
      </c>
      <c r="C1817" s="3">
        <v>2024</v>
      </c>
      <c r="D1817" s="3" t="s">
        <v>22</v>
      </c>
      <c r="E1817" s="3" t="s">
        <v>15</v>
      </c>
      <c r="F1817" s="1" t="s">
        <v>7834</v>
      </c>
      <c r="G1817" s="10"/>
      <c r="H1817" s="10"/>
      <c r="I1817" s="10"/>
      <c r="J1817" s="10"/>
      <c r="K1817" s="10"/>
      <c r="L1817" s="3" t="s">
        <v>6396</v>
      </c>
      <c r="M1817" s="3" t="s">
        <v>6397</v>
      </c>
      <c r="N1817" s="3" t="s">
        <v>28</v>
      </c>
      <c r="O1817" s="3">
        <v>682</v>
      </c>
      <c r="P1817" s="3" t="s">
        <v>238</v>
      </c>
      <c r="Q1817" s="3"/>
      <c r="R1817" s="3" t="s">
        <v>170</v>
      </c>
      <c r="S1817" s="3" t="s">
        <v>6398</v>
      </c>
      <c r="T1817" s="3" t="s">
        <v>21</v>
      </c>
      <c r="U1817" s="11">
        <v>217</v>
      </c>
      <c r="V1817" s="3" t="s">
        <v>6264</v>
      </c>
      <c r="W1817" s="8" t="s">
        <v>7834</v>
      </c>
    </row>
    <row r="1818" spans="1:23" x14ac:dyDescent="0.25">
      <c r="A1818" s="2">
        <v>1563</v>
      </c>
      <c r="B1818" s="3" t="s">
        <v>6264</v>
      </c>
      <c r="C1818" s="3">
        <v>2024</v>
      </c>
      <c r="D1818" s="3" t="s">
        <v>2664</v>
      </c>
      <c r="E1818" s="3" t="s">
        <v>15</v>
      </c>
      <c r="F1818" s="1" t="s">
        <v>7834</v>
      </c>
      <c r="G1818" s="10"/>
      <c r="H1818" s="10"/>
      <c r="I1818" s="10"/>
      <c r="J1818" s="10"/>
      <c r="K1818" s="10"/>
      <c r="L1818" s="3" t="s">
        <v>6399</v>
      </c>
      <c r="M1818" s="3" t="s">
        <v>6400</v>
      </c>
      <c r="N1818" s="3" t="s">
        <v>41</v>
      </c>
      <c r="O1818" s="3">
        <v>971</v>
      </c>
      <c r="P1818" s="3">
        <v>2</v>
      </c>
      <c r="Q1818" s="3"/>
      <c r="R1818" s="3" t="s">
        <v>6273</v>
      </c>
      <c r="S1818" s="3" t="s">
        <v>6401</v>
      </c>
      <c r="T1818" s="3" t="s">
        <v>21</v>
      </c>
      <c r="U1818" s="11">
        <v>218</v>
      </c>
      <c r="V1818" s="3" t="s">
        <v>6264</v>
      </c>
      <c r="W1818" s="8" t="s">
        <v>7834</v>
      </c>
    </row>
    <row r="1819" spans="1:23" x14ac:dyDescent="0.25">
      <c r="A1819" s="2">
        <v>1564</v>
      </c>
      <c r="B1819" s="3" t="s">
        <v>6264</v>
      </c>
      <c r="C1819" s="3">
        <v>2024</v>
      </c>
      <c r="D1819" s="3" t="s">
        <v>1418</v>
      </c>
      <c r="E1819" s="3" t="s">
        <v>15</v>
      </c>
      <c r="F1819" s="1" t="s">
        <v>7834</v>
      </c>
      <c r="G1819" s="10"/>
      <c r="H1819" s="10"/>
      <c r="I1819" s="10"/>
      <c r="J1819" s="10"/>
      <c r="K1819" s="10"/>
      <c r="L1819" s="3" t="s">
        <v>6402</v>
      </c>
      <c r="M1819" s="3" t="s">
        <v>6403</v>
      </c>
      <c r="N1819" s="3" t="s">
        <v>18</v>
      </c>
      <c r="O1819" s="3">
        <v>530</v>
      </c>
      <c r="P1819" s="3">
        <v>4</v>
      </c>
      <c r="Q1819" s="3"/>
      <c r="R1819" s="3" t="s">
        <v>159</v>
      </c>
      <c r="S1819" s="3" t="s">
        <v>6404</v>
      </c>
      <c r="T1819" s="3" t="s">
        <v>21</v>
      </c>
      <c r="U1819" s="11">
        <v>219</v>
      </c>
      <c r="V1819" s="3" t="s">
        <v>6264</v>
      </c>
      <c r="W1819" s="8" t="s">
        <v>7834</v>
      </c>
    </row>
    <row r="1820" spans="1:23" x14ac:dyDescent="0.25">
      <c r="A1820" s="2">
        <v>1565</v>
      </c>
      <c r="B1820" s="3" t="s">
        <v>6264</v>
      </c>
      <c r="C1820" s="3">
        <v>2024</v>
      </c>
      <c r="D1820" s="3" t="s">
        <v>1940</v>
      </c>
      <c r="E1820" s="3" t="s">
        <v>15</v>
      </c>
      <c r="F1820" s="1" t="s">
        <v>7834</v>
      </c>
      <c r="G1820" s="10"/>
      <c r="H1820" s="10"/>
      <c r="I1820" s="10"/>
      <c r="J1820" s="10"/>
      <c r="K1820" s="10"/>
      <c r="L1820" s="3" t="s">
        <v>6405</v>
      </c>
      <c r="M1820" s="3" t="s">
        <v>6406</v>
      </c>
      <c r="N1820" s="3" t="s">
        <v>41</v>
      </c>
      <c r="O1820" s="3">
        <v>961</v>
      </c>
      <c r="P1820" s="3">
        <v>2</v>
      </c>
      <c r="Q1820" s="3"/>
      <c r="R1820" s="3" t="s">
        <v>6273</v>
      </c>
      <c r="S1820" s="3" t="s">
        <v>6407</v>
      </c>
      <c r="T1820" s="3" t="s">
        <v>21</v>
      </c>
      <c r="U1820" s="11">
        <v>220</v>
      </c>
      <c r="V1820" s="3" t="s">
        <v>6264</v>
      </c>
      <c r="W1820" s="8" t="s">
        <v>7834</v>
      </c>
    </row>
    <row r="1821" spans="1:23" x14ac:dyDescent="0.25">
      <c r="A1821" s="2">
        <v>1566</v>
      </c>
      <c r="B1821" s="3" t="s">
        <v>6264</v>
      </c>
      <c r="C1821" s="3">
        <v>2024</v>
      </c>
      <c r="D1821" s="3" t="s">
        <v>1563</v>
      </c>
      <c r="E1821" s="3" t="s">
        <v>15</v>
      </c>
      <c r="F1821" s="1" t="s">
        <v>7834</v>
      </c>
      <c r="G1821" s="10"/>
      <c r="H1821" s="10"/>
      <c r="I1821" s="10"/>
      <c r="J1821" s="10"/>
      <c r="K1821" s="10"/>
      <c r="L1821" s="3" t="s">
        <v>6408</v>
      </c>
      <c r="M1821" s="3" t="s">
        <v>6409</v>
      </c>
      <c r="N1821" s="3" t="s">
        <v>6410</v>
      </c>
      <c r="O1821" s="3">
        <v>692</v>
      </c>
      <c r="P1821" s="3" t="s">
        <v>6367</v>
      </c>
      <c r="Q1821" s="3"/>
      <c r="R1821" s="3" t="s">
        <v>170</v>
      </c>
      <c r="S1821" s="3" t="s">
        <v>6411</v>
      </c>
      <c r="T1821" s="3" t="s">
        <v>21</v>
      </c>
      <c r="U1821" s="11">
        <v>221</v>
      </c>
      <c r="V1821" s="3" t="s">
        <v>6264</v>
      </c>
      <c r="W1821" s="8" t="s">
        <v>7834</v>
      </c>
    </row>
    <row r="1822" spans="1:23" x14ac:dyDescent="0.25">
      <c r="A1822" s="2">
        <v>1567</v>
      </c>
      <c r="B1822" s="3" t="s">
        <v>6264</v>
      </c>
      <c r="C1822" s="3">
        <v>2024</v>
      </c>
      <c r="D1822" s="3" t="s">
        <v>22</v>
      </c>
      <c r="E1822" s="3" t="s">
        <v>15</v>
      </c>
      <c r="F1822" s="1" t="s">
        <v>7834</v>
      </c>
      <c r="G1822" s="10"/>
      <c r="H1822" s="10"/>
      <c r="I1822" s="10"/>
      <c r="J1822" s="10"/>
      <c r="K1822" s="10"/>
      <c r="L1822" s="3" t="s">
        <v>6412</v>
      </c>
      <c r="M1822" s="3" t="s">
        <v>6413</v>
      </c>
      <c r="N1822" s="3" t="s">
        <v>18</v>
      </c>
      <c r="O1822" s="3">
        <v>527</v>
      </c>
      <c r="P1822" s="3">
        <v>4</v>
      </c>
      <c r="Q1822" s="3"/>
      <c r="R1822" s="3" t="s">
        <v>159</v>
      </c>
      <c r="S1822" s="3" t="s">
        <v>6414</v>
      </c>
      <c r="T1822" s="3" t="s">
        <v>21</v>
      </c>
      <c r="U1822" s="11">
        <v>222</v>
      </c>
      <c r="V1822" s="3" t="s">
        <v>6264</v>
      </c>
      <c r="W1822" s="8" t="s">
        <v>7834</v>
      </c>
    </row>
    <row r="1823" spans="1:23" x14ac:dyDescent="0.25">
      <c r="A1823" s="2">
        <v>1568</v>
      </c>
      <c r="B1823" s="3" t="s">
        <v>6264</v>
      </c>
      <c r="C1823" s="3">
        <v>2024</v>
      </c>
      <c r="D1823" s="3" t="s">
        <v>4080</v>
      </c>
      <c r="E1823" s="3" t="s">
        <v>15</v>
      </c>
      <c r="F1823" s="1" t="s">
        <v>7834</v>
      </c>
      <c r="G1823" s="10">
        <v>49</v>
      </c>
      <c r="H1823" s="10"/>
      <c r="I1823" s="10"/>
      <c r="J1823" s="10"/>
      <c r="K1823" s="10"/>
      <c r="L1823" s="3" t="s">
        <v>6415</v>
      </c>
      <c r="M1823" s="3" t="s">
        <v>6416</v>
      </c>
      <c r="N1823" s="3" t="s">
        <v>6410</v>
      </c>
      <c r="O1823" s="3">
        <v>692</v>
      </c>
      <c r="P1823" s="3" t="s">
        <v>6417</v>
      </c>
      <c r="Q1823" s="3"/>
      <c r="R1823" s="3" t="s">
        <v>170</v>
      </c>
      <c r="S1823" s="3" t="s">
        <v>6418</v>
      </c>
      <c r="T1823" s="3" t="s">
        <v>21</v>
      </c>
      <c r="U1823" s="11">
        <v>223</v>
      </c>
      <c r="V1823" s="3" t="s">
        <v>6264</v>
      </c>
      <c r="W1823" s="8" t="s">
        <v>7834</v>
      </c>
    </row>
    <row r="1824" spans="1:23" x14ac:dyDescent="0.25">
      <c r="A1824" s="2">
        <v>1569</v>
      </c>
      <c r="B1824" s="3" t="s">
        <v>6419</v>
      </c>
      <c r="C1824" s="3">
        <v>2024</v>
      </c>
      <c r="D1824" s="3" t="s">
        <v>1363</v>
      </c>
      <c r="E1824" s="3" t="s">
        <v>15</v>
      </c>
      <c r="F1824" s="1" t="s">
        <v>7834</v>
      </c>
      <c r="G1824" s="10"/>
      <c r="H1824" s="10"/>
      <c r="I1824" s="10"/>
      <c r="J1824" s="10"/>
      <c r="K1824" s="10"/>
      <c r="L1824" s="3" t="s">
        <v>6420</v>
      </c>
      <c r="M1824" s="3" t="s">
        <v>6421</v>
      </c>
      <c r="N1824" s="3" t="s">
        <v>6422</v>
      </c>
      <c r="O1824" s="3"/>
      <c r="P1824" s="3"/>
      <c r="Q1824" s="3"/>
      <c r="R1824" s="3" t="s">
        <v>6423</v>
      </c>
      <c r="S1824" s="3" t="s">
        <v>6424</v>
      </c>
      <c r="T1824" s="3" t="s">
        <v>21</v>
      </c>
      <c r="U1824" s="11">
        <v>224</v>
      </c>
      <c r="V1824" s="3" t="s">
        <v>6419</v>
      </c>
      <c r="W1824" s="8" t="s">
        <v>7834</v>
      </c>
    </row>
    <row r="1825" spans="1:23" x14ac:dyDescent="0.25">
      <c r="A1825" s="2">
        <v>1574</v>
      </c>
      <c r="B1825" s="3" t="s">
        <v>6419</v>
      </c>
      <c r="C1825" s="3">
        <v>2024</v>
      </c>
      <c r="D1825" s="3" t="s">
        <v>1450</v>
      </c>
      <c r="E1825" s="3" t="s">
        <v>15</v>
      </c>
      <c r="F1825" s="1" t="s">
        <v>7834</v>
      </c>
      <c r="G1825" s="10"/>
      <c r="H1825" s="10"/>
      <c r="I1825" s="10"/>
      <c r="J1825" s="10"/>
      <c r="K1825" s="10"/>
      <c r="L1825" s="3" t="s">
        <v>6442</v>
      </c>
      <c r="M1825" s="3" t="s">
        <v>6443</v>
      </c>
      <c r="N1825" s="3" t="s">
        <v>6444</v>
      </c>
      <c r="O1825" s="3">
        <v>52</v>
      </c>
      <c r="P1825" s="3">
        <v>2</v>
      </c>
      <c r="Q1825" s="3">
        <v>1</v>
      </c>
      <c r="R1825" s="3" t="s">
        <v>6445</v>
      </c>
      <c r="S1825" s="3" t="s">
        <v>6446</v>
      </c>
      <c r="T1825" s="3" t="s">
        <v>21</v>
      </c>
      <c r="U1825" s="11">
        <v>225</v>
      </c>
      <c r="V1825" s="3" t="s">
        <v>6419</v>
      </c>
      <c r="W1825" s="8" t="s">
        <v>7834</v>
      </c>
    </row>
    <row r="1826" spans="1:23" x14ac:dyDescent="0.25">
      <c r="A1826" s="2">
        <v>1576</v>
      </c>
      <c r="B1826" s="3" t="s">
        <v>6419</v>
      </c>
      <c r="C1826" s="3">
        <v>2024</v>
      </c>
      <c r="D1826" s="3" t="s">
        <v>265</v>
      </c>
      <c r="E1826" s="3" t="s">
        <v>15</v>
      </c>
      <c r="F1826" s="1" t="s">
        <v>7834</v>
      </c>
      <c r="G1826" s="10"/>
      <c r="H1826" s="10"/>
      <c r="I1826" s="10"/>
      <c r="J1826" s="10"/>
      <c r="K1826" s="10"/>
      <c r="L1826" s="3" t="s">
        <v>6452</v>
      </c>
      <c r="M1826" s="3" t="s">
        <v>6453</v>
      </c>
      <c r="N1826" s="3" t="s">
        <v>6454</v>
      </c>
      <c r="O1826" s="3"/>
      <c r="P1826" s="3"/>
      <c r="Q1826" s="3"/>
      <c r="R1826" s="3" t="s">
        <v>6455</v>
      </c>
      <c r="S1826" s="3" t="s">
        <v>6456</v>
      </c>
      <c r="T1826" s="3" t="s">
        <v>21</v>
      </c>
      <c r="U1826" s="11">
        <v>226</v>
      </c>
      <c r="V1826" s="3" t="s">
        <v>6419</v>
      </c>
      <c r="W1826" s="8" t="s">
        <v>7834</v>
      </c>
    </row>
    <row r="1827" spans="1:23" x14ac:dyDescent="0.25">
      <c r="A1827" s="2">
        <v>1578</v>
      </c>
      <c r="B1827" s="3" t="s">
        <v>6419</v>
      </c>
      <c r="C1827" s="3">
        <v>2024</v>
      </c>
      <c r="D1827" s="3" t="s">
        <v>964</v>
      </c>
      <c r="E1827" s="3" t="s">
        <v>15</v>
      </c>
      <c r="F1827" s="1" t="s">
        <v>7834</v>
      </c>
      <c r="G1827" s="10"/>
      <c r="H1827" s="10"/>
      <c r="I1827" s="10"/>
      <c r="J1827" s="10"/>
      <c r="K1827" s="10"/>
      <c r="L1827" s="3" t="s">
        <v>6461</v>
      </c>
      <c r="M1827" s="3" t="s">
        <v>6462</v>
      </c>
      <c r="N1827" s="3" t="s">
        <v>243</v>
      </c>
      <c r="O1827" s="3">
        <v>628</v>
      </c>
      <c r="P1827" s="3">
        <v>8008</v>
      </c>
      <c r="Q1827" s="3">
        <v>502</v>
      </c>
      <c r="R1827" s="3" t="s">
        <v>2559</v>
      </c>
      <c r="S1827" s="3" t="s">
        <v>6463</v>
      </c>
      <c r="T1827" s="3" t="s">
        <v>21</v>
      </c>
      <c r="U1827" s="11">
        <v>227</v>
      </c>
      <c r="V1827" s="3" t="s">
        <v>6419</v>
      </c>
      <c r="W1827" s="8" t="s">
        <v>7834</v>
      </c>
    </row>
    <row r="1828" spans="1:23" x14ac:dyDescent="0.25">
      <c r="A1828" s="2">
        <v>1581</v>
      </c>
      <c r="B1828" s="3" t="s">
        <v>6419</v>
      </c>
      <c r="C1828" s="3">
        <v>2024</v>
      </c>
      <c r="D1828" s="3" t="s">
        <v>14</v>
      </c>
      <c r="E1828" s="3" t="s">
        <v>15</v>
      </c>
      <c r="F1828" s="1" t="s">
        <v>7834</v>
      </c>
      <c r="G1828" s="10"/>
      <c r="H1828" s="10"/>
      <c r="I1828" s="10"/>
      <c r="J1828" s="10"/>
      <c r="K1828" s="10"/>
      <c r="L1828" s="3" t="s">
        <v>6474</v>
      </c>
      <c r="M1828" s="3" t="s">
        <v>6475</v>
      </c>
      <c r="N1828" s="3" t="s">
        <v>6476</v>
      </c>
      <c r="O1828" s="3">
        <v>297</v>
      </c>
      <c r="P1828" s="3"/>
      <c r="Q1828" s="3"/>
      <c r="R1828" s="3" t="s">
        <v>6477</v>
      </c>
      <c r="S1828" s="3" t="s">
        <v>6478</v>
      </c>
      <c r="T1828" s="3" t="s">
        <v>21</v>
      </c>
      <c r="U1828" s="11">
        <v>228</v>
      </c>
      <c r="V1828" s="3" t="s">
        <v>6419</v>
      </c>
      <c r="W1828" s="8" t="s">
        <v>7834</v>
      </c>
    </row>
    <row r="1829" spans="1:23" x14ac:dyDescent="0.25">
      <c r="A1829" s="2">
        <v>1583</v>
      </c>
      <c r="B1829" s="3" t="s">
        <v>6419</v>
      </c>
      <c r="C1829" s="3">
        <v>2024</v>
      </c>
      <c r="D1829" s="3" t="s">
        <v>86</v>
      </c>
      <c r="E1829" s="3" t="s">
        <v>15</v>
      </c>
      <c r="F1829" s="1" t="s">
        <v>7834</v>
      </c>
      <c r="G1829" s="10"/>
      <c r="H1829" s="10"/>
      <c r="I1829" s="10"/>
      <c r="J1829" s="10"/>
      <c r="K1829" s="10"/>
      <c r="L1829" s="3" t="s">
        <v>6484</v>
      </c>
      <c r="M1829" s="3" t="s">
        <v>6485</v>
      </c>
      <c r="N1829" s="3" t="s">
        <v>6486</v>
      </c>
      <c r="O1829" s="3">
        <v>949</v>
      </c>
      <c r="P1829" s="3">
        <v>174771</v>
      </c>
      <c r="Q1829" s="3"/>
      <c r="R1829" s="3" t="s">
        <v>6487</v>
      </c>
      <c r="S1829" s="3" t="s">
        <v>3065</v>
      </c>
      <c r="T1829" s="3" t="s">
        <v>21</v>
      </c>
      <c r="U1829" s="11">
        <v>229</v>
      </c>
      <c r="V1829" s="3" t="s">
        <v>6419</v>
      </c>
      <c r="W1829" s="8" t="s">
        <v>7834</v>
      </c>
    </row>
    <row r="1830" spans="1:23" x14ac:dyDescent="0.25">
      <c r="A1830" s="2">
        <v>1573</v>
      </c>
      <c r="B1830" s="3" t="s">
        <v>6419</v>
      </c>
      <c r="C1830" s="3">
        <v>2024</v>
      </c>
      <c r="D1830" s="3" t="s">
        <v>633</v>
      </c>
      <c r="E1830" s="3" t="s">
        <v>206</v>
      </c>
      <c r="F1830" s="1" t="s">
        <v>7834</v>
      </c>
      <c r="G1830" s="10"/>
      <c r="H1830" s="10"/>
      <c r="I1830" s="10"/>
      <c r="J1830" s="10"/>
      <c r="K1830" s="10">
        <v>1</v>
      </c>
      <c r="L1830" s="3" t="s">
        <v>6439</v>
      </c>
      <c r="M1830" s="3" t="s">
        <v>6440</v>
      </c>
      <c r="N1830" s="3" t="s">
        <v>6026</v>
      </c>
      <c r="O1830" s="3"/>
      <c r="P1830" s="3"/>
      <c r="Q1830" s="3"/>
      <c r="R1830" s="3"/>
      <c r="S1830" s="3" t="s">
        <v>6441</v>
      </c>
      <c r="T1830" s="3" t="s">
        <v>21</v>
      </c>
      <c r="U1830" s="11">
        <v>230</v>
      </c>
      <c r="V1830" s="3" t="s">
        <v>6419</v>
      </c>
      <c r="W1830" s="8" t="s">
        <v>7834</v>
      </c>
    </row>
    <row r="1831" spans="1:23" x14ac:dyDescent="0.25">
      <c r="A1831" s="2">
        <v>1586</v>
      </c>
      <c r="B1831" s="3" t="s">
        <v>6493</v>
      </c>
      <c r="C1831" s="3">
        <v>2024</v>
      </c>
      <c r="D1831" s="3" t="s">
        <v>1863</v>
      </c>
      <c r="E1831" s="3" t="s">
        <v>15</v>
      </c>
      <c r="F1831" s="1" t="s">
        <v>7834</v>
      </c>
      <c r="G1831" s="10"/>
      <c r="H1831" s="10"/>
      <c r="I1831" s="10"/>
      <c r="J1831" s="10"/>
      <c r="K1831" s="10"/>
      <c r="L1831" s="3" t="s">
        <v>4310</v>
      </c>
      <c r="M1831" s="3" t="s">
        <v>4311</v>
      </c>
      <c r="N1831" s="3" t="s">
        <v>4312</v>
      </c>
      <c r="O1831" s="3"/>
      <c r="P1831" s="3"/>
      <c r="Q1831" s="3">
        <v>1</v>
      </c>
      <c r="R1831" s="3" t="s">
        <v>4313</v>
      </c>
      <c r="S1831" s="3" t="s">
        <v>4314</v>
      </c>
      <c r="T1831" s="3" t="s">
        <v>21</v>
      </c>
      <c r="U1831" s="11">
        <v>231</v>
      </c>
      <c r="V1831" s="3" t="s">
        <v>6493</v>
      </c>
      <c r="W1831" s="8" t="s">
        <v>7834</v>
      </c>
    </row>
    <row r="1832" spans="1:23" x14ac:dyDescent="0.25">
      <c r="A1832" s="2">
        <v>1594</v>
      </c>
      <c r="B1832" s="3" t="s">
        <v>6493</v>
      </c>
      <c r="C1832" s="3">
        <v>2024</v>
      </c>
      <c r="D1832" s="3" t="s">
        <v>6516</v>
      </c>
      <c r="E1832" s="3" t="s">
        <v>15</v>
      </c>
      <c r="F1832" s="1" t="s">
        <v>7834</v>
      </c>
      <c r="G1832" s="10"/>
      <c r="H1832" s="10"/>
      <c r="I1832" s="10"/>
      <c r="J1832" s="10"/>
      <c r="K1832" s="10"/>
      <c r="L1832" s="3" t="s">
        <v>6517</v>
      </c>
      <c r="M1832" s="3" t="s">
        <v>6518</v>
      </c>
      <c r="N1832" s="3" t="s">
        <v>6519</v>
      </c>
      <c r="O1832" s="3">
        <v>21</v>
      </c>
      <c r="P1832" s="3"/>
      <c r="Q1832" s="3">
        <v>690</v>
      </c>
      <c r="R1832" s="3" t="s">
        <v>6520</v>
      </c>
      <c r="S1832" s="3" t="s">
        <v>6521</v>
      </c>
      <c r="T1832" s="3" t="s">
        <v>21</v>
      </c>
      <c r="U1832" s="11">
        <v>232</v>
      </c>
      <c r="V1832" s="3" t="s">
        <v>6493</v>
      </c>
      <c r="W1832" s="8" t="s">
        <v>7834</v>
      </c>
    </row>
    <row r="1833" spans="1:23" x14ac:dyDescent="0.25">
      <c r="A1833" s="2">
        <v>1595</v>
      </c>
      <c r="B1833" s="3" t="s">
        <v>6493</v>
      </c>
      <c r="C1833" s="3">
        <v>2024</v>
      </c>
      <c r="D1833" s="3" t="s">
        <v>2759</v>
      </c>
      <c r="E1833" s="3" t="s">
        <v>15</v>
      </c>
      <c r="F1833" s="1" t="s">
        <v>7834</v>
      </c>
      <c r="G1833" s="10"/>
      <c r="H1833" s="10"/>
      <c r="I1833" s="10"/>
      <c r="J1833" s="10"/>
      <c r="K1833" s="10"/>
      <c r="L1833" s="3" t="s">
        <v>6522</v>
      </c>
      <c r="M1833" s="3" t="s">
        <v>6523</v>
      </c>
      <c r="N1833" s="3" t="s">
        <v>6524</v>
      </c>
      <c r="O1833" s="3">
        <v>23</v>
      </c>
      <c r="P1833" s="3">
        <v>1</v>
      </c>
      <c r="Q1833" s="3">
        <v>174</v>
      </c>
      <c r="R1833" s="3" t="s">
        <v>6525</v>
      </c>
      <c r="S1833" s="3" t="s">
        <v>6526</v>
      </c>
      <c r="T1833" s="3" t="s">
        <v>21</v>
      </c>
      <c r="U1833" s="11">
        <v>233</v>
      </c>
      <c r="V1833" s="3" t="s">
        <v>6493</v>
      </c>
      <c r="W1833" s="8" t="s">
        <v>7834</v>
      </c>
    </row>
    <row r="1834" spans="1:23" x14ac:dyDescent="0.25">
      <c r="A1834" s="2">
        <v>1600</v>
      </c>
      <c r="B1834" s="3" t="s">
        <v>6493</v>
      </c>
      <c r="C1834" s="3">
        <v>2024</v>
      </c>
      <c r="D1834" s="3" t="s">
        <v>1262</v>
      </c>
      <c r="E1834" s="3" t="s">
        <v>15</v>
      </c>
      <c r="F1834" s="1" t="s">
        <v>7834</v>
      </c>
      <c r="G1834" s="10"/>
      <c r="H1834" s="10"/>
      <c r="I1834" s="10"/>
      <c r="J1834" s="10"/>
      <c r="K1834" s="10"/>
      <c r="L1834" s="3" t="s">
        <v>6540</v>
      </c>
      <c r="M1834" s="3" t="s">
        <v>6541</v>
      </c>
      <c r="N1834" s="3" t="s">
        <v>4273</v>
      </c>
      <c r="O1834" s="3"/>
      <c r="P1834" s="3"/>
      <c r="Q1834" s="3"/>
      <c r="R1834" s="3" t="s">
        <v>6542</v>
      </c>
      <c r="S1834" s="3" t="s">
        <v>4275</v>
      </c>
      <c r="T1834" s="3" t="s">
        <v>21</v>
      </c>
      <c r="U1834" s="11">
        <v>234</v>
      </c>
      <c r="V1834" s="3" t="s">
        <v>6493</v>
      </c>
      <c r="W1834" s="8" t="s">
        <v>7834</v>
      </c>
    </row>
    <row r="1835" spans="1:23" x14ac:dyDescent="0.25">
      <c r="A1835" s="2">
        <v>1590</v>
      </c>
      <c r="B1835" s="3" t="s">
        <v>6493</v>
      </c>
      <c r="C1835" s="3">
        <v>2024</v>
      </c>
      <c r="D1835" s="3" t="s">
        <v>4502</v>
      </c>
      <c r="E1835" s="3" t="s">
        <v>206</v>
      </c>
      <c r="F1835" s="1" t="s">
        <v>7834</v>
      </c>
      <c r="G1835" s="10"/>
      <c r="H1835" s="10"/>
      <c r="I1835" s="10"/>
      <c r="J1835" s="10"/>
      <c r="K1835" s="10"/>
      <c r="L1835" s="3" t="s">
        <v>4503</v>
      </c>
      <c r="M1835" s="3" t="s">
        <v>4504</v>
      </c>
      <c r="N1835" s="3" t="s">
        <v>4505</v>
      </c>
      <c r="O1835" s="3"/>
      <c r="P1835" s="3"/>
      <c r="Q1835" s="3"/>
      <c r="R1835" s="3" t="s">
        <v>4506</v>
      </c>
      <c r="S1835" s="3" t="s">
        <v>4507</v>
      </c>
      <c r="T1835" s="3" t="s">
        <v>21</v>
      </c>
      <c r="U1835" s="11">
        <v>235</v>
      </c>
      <c r="V1835" s="3" t="s">
        <v>6493</v>
      </c>
      <c r="W1835" s="8" t="s">
        <v>7834</v>
      </c>
    </row>
    <row r="1836" spans="1:23" x14ac:dyDescent="0.25">
      <c r="A1836" s="2">
        <v>1608</v>
      </c>
      <c r="B1836" s="3" t="s">
        <v>6555</v>
      </c>
      <c r="C1836" s="3">
        <v>2024</v>
      </c>
      <c r="D1836" s="3" t="s">
        <v>59</v>
      </c>
      <c r="E1836" s="3" t="s">
        <v>15</v>
      </c>
      <c r="F1836" s="1" t="s">
        <v>7834</v>
      </c>
      <c r="G1836" s="10"/>
      <c r="H1836" s="10"/>
      <c r="I1836" s="10"/>
      <c r="J1836" s="10"/>
      <c r="K1836" s="10"/>
      <c r="L1836" s="3" t="s">
        <v>6556</v>
      </c>
      <c r="M1836" s="3" t="s">
        <v>6557</v>
      </c>
      <c r="N1836" s="3" t="s">
        <v>28</v>
      </c>
      <c r="O1836" s="3"/>
      <c r="P1836" s="3"/>
      <c r="Q1836" s="3"/>
      <c r="R1836" s="3">
        <v>31</v>
      </c>
      <c r="S1836" s="3" t="s">
        <v>6558</v>
      </c>
      <c r="T1836" s="3" t="s">
        <v>21</v>
      </c>
      <c r="U1836" s="11">
        <v>236</v>
      </c>
      <c r="V1836" s="3" t="s">
        <v>6555</v>
      </c>
      <c r="W1836" s="8" t="s">
        <v>7834</v>
      </c>
    </row>
    <row r="1837" spans="1:23" x14ac:dyDescent="0.25">
      <c r="A1837" s="2">
        <v>1610</v>
      </c>
      <c r="B1837" s="3" t="s">
        <v>6555</v>
      </c>
      <c r="C1837" s="3">
        <v>2024</v>
      </c>
      <c r="D1837" s="3" t="s">
        <v>82</v>
      </c>
      <c r="E1837" s="3" t="s">
        <v>15</v>
      </c>
      <c r="F1837" s="1" t="s">
        <v>7834</v>
      </c>
      <c r="G1837" s="10"/>
      <c r="H1837" s="10"/>
      <c r="I1837" s="10"/>
      <c r="J1837" s="10"/>
      <c r="K1837" s="10"/>
      <c r="L1837" s="3" t="s">
        <v>6562</v>
      </c>
      <c r="M1837" s="3" t="s">
        <v>6563</v>
      </c>
      <c r="N1837" s="3" t="s">
        <v>28</v>
      </c>
      <c r="O1837" s="3">
        <v>687</v>
      </c>
      <c r="P1837" s="3">
        <v>1</v>
      </c>
      <c r="Q1837" s="3">
        <v>312</v>
      </c>
      <c r="R1837" s="3" t="s">
        <v>170</v>
      </c>
      <c r="S1837" s="3" t="s">
        <v>2178</v>
      </c>
      <c r="T1837" s="3" t="s">
        <v>21</v>
      </c>
      <c r="U1837" s="11">
        <v>237</v>
      </c>
      <c r="V1837" s="3" t="s">
        <v>6555</v>
      </c>
      <c r="W1837" s="8" t="s">
        <v>7834</v>
      </c>
    </row>
    <row r="1838" spans="1:23" x14ac:dyDescent="0.25">
      <c r="A1838" s="2">
        <v>1611</v>
      </c>
      <c r="B1838" s="3" t="s">
        <v>6555</v>
      </c>
      <c r="C1838" s="3">
        <v>2024</v>
      </c>
      <c r="D1838" s="3" t="s">
        <v>93</v>
      </c>
      <c r="E1838" s="3" t="s">
        <v>15</v>
      </c>
      <c r="F1838" s="1" t="s">
        <v>7834</v>
      </c>
      <c r="G1838" s="10"/>
      <c r="H1838" s="10"/>
      <c r="I1838" s="10"/>
      <c r="J1838" s="10"/>
      <c r="K1838" s="10"/>
      <c r="L1838" s="3" t="s">
        <v>6564</v>
      </c>
      <c r="M1838" s="3" t="s">
        <v>173</v>
      </c>
      <c r="N1838" s="3" t="s">
        <v>28</v>
      </c>
      <c r="O1838" s="3">
        <v>687</v>
      </c>
      <c r="P1838" s="3">
        <v>1</v>
      </c>
      <c r="Q1838" s="3">
        <v>268</v>
      </c>
      <c r="R1838" s="3" t="s">
        <v>170</v>
      </c>
      <c r="S1838" s="3" t="s">
        <v>175</v>
      </c>
      <c r="T1838" s="3" t="s">
        <v>21</v>
      </c>
      <c r="U1838" s="11">
        <v>238</v>
      </c>
      <c r="V1838" s="3" t="s">
        <v>6555</v>
      </c>
      <c r="W1838" s="8" t="s">
        <v>7834</v>
      </c>
    </row>
    <row r="1839" spans="1:23" x14ac:dyDescent="0.25">
      <c r="A1839" s="2">
        <v>1612</v>
      </c>
      <c r="B1839" s="3" t="s">
        <v>6555</v>
      </c>
      <c r="C1839" s="3">
        <v>2024</v>
      </c>
      <c r="D1839" s="3" t="s">
        <v>63</v>
      </c>
      <c r="E1839" s="3" t="s">
        <v>15</v>
      </c>
      <c r="F1839" s="1" t="s">
        <v>7834</v>
      </c>
      <c r="G1839" s="10"/>
      <c r="H1839" s="10"/>
      <c r="I1839" s="10"/>
      <c r="J1839" s="10"/>
      <c r="K1839" s="10"/>
      <c r="L1839" s="3" t="s">
        <v>6565</v>
      </c>
      <c r="M1839" s="3" t="s">
        <v>6566</v>
      </c>
      <c r="N1839" s="3" t="s">
        <v>28</v>
      </c>
      <c r="O1839" s="3">
        <v>683</v>
      </c>
      <c r="P1839" s="3">
        <v>1</v>
      </c>
      <c r="Q1839" s="3">
        <v>167</v>
      </c>
      <c r="R1839" s="3" t="s">
        <v>170</v>
      </c>
      <c r="S1839" s="3" t="s">
        <v>1991</v>
      </c>
      <c r="T1839" s="3" t="s">
        <v>21</v>
      </c>
      <c r="U1839" s="11">
        <v>239</v>
      </c>
      <c r="V1839" s="3" t="s">
        <v>6555</v>
      </c>
      <c r="W1839" s="8" t="s">
        <v>7834</v>
      </c>
    </row>
    <row r="1840" spans="1:23" x14ac:dyDescent="0.25">
      <c r="A1840" s="2">
        <v>1613</v>
      </c>
      <c r="B1840" s="3" t="s">
        <v>6555</v>
      </c>
      <c r="C1840" s="3">
        <v>2024</v>
      </c>
      <c r="D1840" s="3" t="s">
        <v>215</v>
      </c>
      <c r="E1840" s="3" t="s">
        <v>15</v>
      </c>
      <c r="F1840" s="1" t="s">
        <v>7834</v>
      </c>
      <c r="G1840" s="10"/>
      <c r="H1840" s="10"/>
      <c r="I1840" s="10"/>
      <c r="J1840" s="10"/>
      <c r="K1840" s="10"/>
      <c r="L1840" s="3" t="s">
        <v>6567</v>
      </c>
      <c r="M1840" s="3" t="s">
        <v>6568</v>
      </c>
      <c r="N1840" s="3" t="s">
        <v>6410</v>
      </c>
      <c r="O1840" s="3" t="s">
        <v>6569</v>
      </c>
      <c r="P1840" s="3"/>
      <c r="Q1840" s="3"/>
      <c r="R1840" s="3" t="s">
        <v>6570</v>
      </c>
      <c r="S1840" s="3" t="s">
        <v>6571</v>
      </c>
      <c r="T1840" s="3" t="s">
        <v>21</v>
      </c>
      <c r="U1840" s="11">
        <v>240</v>
      </c>
      <c r="V1840" s="3" t="s">
        <v>6555</v>
      </c>
      <c r="W1840" s="8" t="s">
        <v>7834</v>
      </c>
    </row>
    <row r="1841" spans="1:23" x14ac:dyDescent="0.25">
      <c r="A1841" s="2">
        <v>1614</v>
      </c>
      <c r="B1841" s="3" t="s">
        <v>6555</v>
      </c>
      <c r="C1841" s="3">
        <v>2024</v>
      </c>
      <c r="D1841" s="3" t="s">
        <v>395</v>
      </c>
      <c r="E1841" s="3" t="s">
        <v>15</v>
      </c>
      <c r="F1841" s="1" t="s">
        <v>7834</v>
      </c>
      <c r="G1841" s="10"/>
      <c r="H1841" s="10"/>
      <c r="I1841" s="10"/>
      <c r="J1841" s="10"/>
      <c r="K1841" s="10"/>
      <c r="L1841" s="3" t="s">
        <v>6572</v>
      </c>
      <c r="M1841" s="3" t="s">
        <v>6573</v>
      </c>
      <c r="N1841" s="3" t="s">
        <v>6574</v>
      </c>
      <c r="O1841" s="3"/>
      <c r="P1841" s="3" t="s">
        <v>2181</v>
      </c>
      <c r="Q1841" s="3"/>
      <c r="R1841" s="3" t="s">
        <v>170</v>
      </c>
      <c r="S1841" s="3" t="s">
        <v>6575</v>
      </c>
      <c r="T1841" s="3" t="s">
        <v>21</v>
      </c>
      <c r="U1841" s="11">
        <v>241</v>
      </c>
      <c r="V1841" s="3" t="s">
        <v>6555</v>
      </c>
      <c r="W1841" s="8" t="s">
        <v>7834</v>
      </c>
    </row>
    <row r="1842" spans="1:23" x14ac:dyDescent="0.25">
      <c r="A1842" s="2">
        <v>1615</v>
      </c>
      <c r="B1842" s="3" t="s">
        <v>6555</v>
      </c>
      <c r="C1842" s="3">
        <v>2024</v>
      </c>
      <c r="D1842" s="3" t="s">
        <v>38</v>
      </c>
      <c r="E1842" s="3" t="s">
        <v>15</v>
      </c>
      <c r="F1842" s="1" t="s">
        <v>7834</v>
      </c>
      <c r="G1842" s="10"/>
      <c r="H1842" s="10"/>
      <c r="I1842" s="10"/>
      <c r="J1842" s="10"/>
      <c r="K1842" s="10"/>
      <c r="L1842" s="3" t="s">
        <v>6576</v>
      </c>
      <c r="M1842" s="3" t="s">
        <v>6577</v>
      </c>
      <c r="N1842" s="3" t="s">
        <v>18</v>
      </c>
      <c r="O1842" s="3">
        <v>530</v>
      </c>
      <c r="P1842" s="3">
        <v>2</v>
      </c>
      <c r="Q1842" s="3"/>
      <c r="R1842" s="3" t="s">
        <v>6578</v>
      </c>
      <c r="S1842" s="3">
        <v>0</v>
      </c>
      <c r="T1842" s="3" t="s">
        <v>21</v>
      </c>
      <c r="U1842" s="11">
        <v>242</v>
      </c>
      <c r="V1842" s="3" t="s">
        <v>6555</v>
      </c>
      <c r="W1842" s="8" t="s">
        <v>7834</v>
      </c>
    </row>
    <row r="1843" spans="1:23" x14ac:dyDescent="0.25">
      <c r="A1843" s="2">
        <v>1616</v>
      </c>
      <c r="B1843" s="3" t="s">
        <v>6555</v>
      </c>
      <c r="C1843" s="3">
        <v>2024</v>
      </c>
      <c r="D1843" s="3" t="s">
        <v>86</v>
      </c>
      <c r="E1843" s="3" t="s">
        <v>15</v>
      </c>
      <c r="F1843" s="1" t="s">
        <v>7834</v>
      </c>
      <c r="G1843" s="10"/>
      <c r="H1843" s="10"/>
      <c r="I1843" s="10"/>
      <c r="J1843" s="10"/>
      <c r="K1843" s="10"/>
      <c r="L1843" s="3" t="s">
        <v>6579</v>
      </c>
      <c r="M1843" s="3" t="s">
        <v>6580</v>
      </c>
      <c r="N1843" s="3" t="s">
        <v>28</v>
      </c>
      <c r="O1843" s="3"/>
      <c r="P1843" s="3"/>
      <c r="Q1843" s="3"/>
      <c r="R1843" s="3" t="s">
        <v>6570</v>
      </c>
      <c r="S1843" s="3" t="s">
        <v>6581</v>
      </c>
      <c r="T1843" s="3" t="s">
        <v>21</v>
      </c>
      <c r="U1843" s="11">
        <v>243</v>
      </c>
      <c r="V1843" s="3" t="s">
        <v>6555</v>
      </c>
      <c r="W1843" s="8" t="s">
        <v>7834</v>
      </c>
    </row>
    <row r="1844" spans="1:23" x14ac:dyDescent="0.25">
      <c r="A1844" s="2">
        <v>1617</v>
      </c>
      <c r="B1844" s="3" t="s">
        <v>6555</v>
      </c>
      <c r="C1844" s="3">
        <v>2024</v>
      </c>
      <c r="D1844" s="3" t="s">
        <v>1810</v>
      </c>
      <c r="E1844" s="3" t="s">
        <v>15</v>
      </c>
      <c r="F1844" s="1" t="s">
        <v>7834</v>
      </c>
      <c r="G1844" s="10"/>
      <c r="H1844" s="10"/>
      <c r="I1844" s="10"/>
      <c r="J1844" s="10"/>
      <c r="K1844" s="10"/>
      <c r="L1844" s="3" t="s">
        <v>6582</v>
      </c>
      <c r="M1844" s="3" t="s">
        <v>6583</v>
      </c>
      <c r="N1844" s="3" t="s">
        <v>6574</v>
      </c>
      <c r="O1844" s="3"/>
      <c r="P1844" s="3" t="s">
        <v>6584</v>
      </c>
      <c r="Q1844" s="3"/>
      <c r="R1844" s="3" t="s">
        <v>170</v>
      </c>
      <c r="S1844" s="3" t="s">
        <v>6585</v>
      </c>
      <c r="T1844" s="3" t="s">
        <v>21</v>
      </c>
      <c r="U1844" s="11">
        <v>244</v>
      </c>
      <c r="V1844" s="3" t="s">
        <v>6555</v>
      </c>
      <c r="W1844" s="8" t="s">
        <v>7834</v>
      </c>
    </row>
    <row r="1845" spans="1:23" x14ac:dyDescent="0.25">
      <c r="A1845" s="2">
        <v>1618</v>
      </c>
      <c r="B1845" s="3" t="s">
        <v>6555</v>
      </c>
      <c r="C1845" s="3">
        <v>2024</v>
      </c>
      <c r="D1845" s="3" t="s">
        <v>856</v>
      </c>
      <c r="E1845" s="3" t="s">
        <v>15</v>
      </c>
      <c r="F1845" s="1" t="s">
        <v>7834</v>
      </c>
      <c r="G1845" s="10"/>
      <c r="H1845" s="10"/>
      <c r="I1845" s="10"/>
      <c r="J1845" s="10"/>
      <c r="K1845" s="10"/>
      <c r="L1845" s="3" t="s">
        <v>6586</v>
      </c>
      <c r="M1845" s="3" t="s">
        <v>6587</v>
      </c>
      <c r="N1845" s="3" t="s">
        <v>6574</v>
      </c>
      <c r="O1845" s="3">
        <v>689</v>
      </c>
      <c r="P1845" s="3" t="s">
        <v>6588</v>
      </c>
      <c r="Q1845" s="3"/>
      <c r="R1845" s="3" t="s">
        <v>170</v>
      </c>
      <c r="S1845" s="3" t="s">
        <v>6589</v>
      </c>
      <c r="T1845" s="3" t="s">
        <v>21</v>
      </c>
      <c r="U1845" s="11">
        <v>245</v>
      </c>
      <c r="V1845" s="3" t="s">
        <v>6555</v>
      </c>
      <c r="W1845" s="8" t="s">
        <v>7834</v>
      </c>
    </row>
    <row r="1846" spans="1:23" x14ac:dyDescent="0.25">
      <c r="A1846" s="2">
        <v>1619</v>
      </c>
      <c r="B1846" s="3" t="s">
        <v>6555</v>
      </c>
      <c r="C1846" s="3">
        <v>2024</v>
      </c>
      <c r="D1846" s="3" t="s">
        <v>1788</v>
      </c>
      <c r="E1846" s="3" t="s">
        <v>15</v>
      </c>
      <c r="F1846" s="1" t="s">
        <v>7834</v>
      </c>
      <c r="G1846" s="10"/>
      <c r="H1846" s="10"/>
      <c r="I1846" s="10"/>
      <c r="J1846" s="10"/>
      <c r="K1846" s="10"/>
      <c r="L1846" s="3" t="s">
        <v>6590</v>
      </c>
      <c r="M1846" s="3" t="s">
        <v>6591</v>
      </c>
      <c r="N1846" s="3" t="s">
        <v>6574</v>
      </c>
      <c r="O1846" s="3">
        <v>687</v>
      </c>
      <c r="P1846" s="3" t="s">
        <v>6592</v>
      </c>
      <c r="Q1846" s="3"/>
      <c r="R1846" s="3" t="s">
        <v>170</v>
      </c>
      <c r="S1846" s="3" t="s">
        <v>6593</v>
      </c>
      <c r="T1846" s="3" t="s">
        <v>21</v>
      </c>
      <c r="U1846" s="11">
        <v>246</v>
      </c>
      <c r="V1846" s="3" t="s">
        <v>6555</v>
      </c>
      <c r="W1846" s="8" t="s">
        <v>7834</v>
      </c>
    </row>
    <row r="1847" spans="1:23" x14ac:dyDescent="0.25">
      <c r="A1847" s="2">
        <v>1620</v>
      </c>
      <c r="B1847" s="3" t="s">
        <v>6555</v>
      </c>
      <c r="C1847" s="3">
        <v>2024</v>
      </c>
      <c r="D1847" s="3" t="s">
        <v>86</v>
      </c>
      <c r="E1847" s="3" t="s">
        <v>15</v>
      </c>
      <c r="F1847" s="1" t="s">
        <v>7834</v>
      </c>
      <c r="G1847" s="10"/>
      <c r="H1847" s="10"/>
      <c r="I1847" s="10"/>
      <c r="J1847" s="10"/>
      <c r="K1847" s="10"/>
      <c r="L1847" s="3" t="s">
        <v>6594</v>
      </c>
      <c r="M1847" s="3" t="s">
        <v>6595</v>
      </c>
      <c r="N1847" s="3" t="s">
        <v>18</v>
      </c>
      <c r="O1847" s="3">
        <v>534</v>
      </c>
      <c r="P1847" s="3">
        <v>3</v>
      </c>
      <c r="Q1847" s="3"/>
      <c r="R1847" s="3" t="s">
        <v>6596</v>
      </c>
      <c r="S1847" s="3" t="s">
        <v>6597</v>
      </c>
      <c r="T1847" s="3" t="s">
        <v>21</v>
      </c>
      <c r="U1847" s="11">
        <v>247</v>
      </c>
      <c r="V1847" s="3" t="s">
        <v>6555</v>
      </c>
      <c r="W1847" s="8" t="s">
        <v>7834</v>
      </c>
    </row>
    <row r="1848" spans="1:23" x14ac:dyDescent="0.25">
      <c r="A1848" s="2">
        <v>1621</v>
      </c>
      <c r="B1848" s="3" t="s">
        <v>6555</v>
      </c>
      <c r="C1848" s="3">
        <v>2024</v>
      </c>
      <c r="D1848" s="3" t="s">
        <v>2629</v>
      </c>
      <c r="E1848" s="3" t="s">
        <v>15</v>
      </c>
      <c r="F1848" s="1" t="s">
        <v>7834</v>
      </c>
      <c r="G1848" s="10"/>
      <c r="H1848" s="10"/>
      <c r="I1848" s="10"/>
      <c r="J1848" s="10"/>
      <c r="K1848" s="10"/>
      <c r="L1848" s="3" t="s">
        <v>6598</v>
      </c>
      <c r="M1848" s="3" t="s">
        <v>6599</v>
      </c>
      <c r="N1848" s="3" t="s">
        <v>6600</v>
      </c>
      <c r="O1848" s="3"/>
      <c r="P1848" s="3"/>
      <c r="Q1848" s="3"/>
      <c r="R1848" s="3" t="s">
        <v>6596</v>
      </c>
      <c r="S1848" s="3" t="s">
        <v>6601</v>
      </c>
      <c r="T1848" s="3" t="s">
        <v>21</v>
      </c>
      <c r="U1848" s="11">
        <v>248</v>
      </c>
      <c r="V1848" s="3" t="s">
        <v>6555</v>
      </c>
      <c r="W1848" s="8" t="s">
        <v>7834</v>
      </c>
    </row>
    <row r="1849" spans="1:23" x14ac:dyDescent="0.25">
      <c r="A1849" s="2">
        <v>1622</v>
      </c>
      <c r="B1849" s="3" t="s">
        <v>6555</v>
      </c>
      <c r="C1849" s="3">
        <v>2024</v>
      </c>
      <c r="D1849" s="3" t="s">
        <v>220</v>
      </c>
      <c r="E1849" s="3" t="s">
        <v>15</v>
      </c>
      <c r="F1849" s="1" t="s">
        <v>7834</v>
      </c>
      <c r="G1849" s="10"/>
      <c r="H1849" s="10"/>
      <c r="I1849" s="10"/>
      <c r="J1849" s="10"/>
      <c r="K1849" s="10"/>
      <c r="L1849" s="3" t="s">
        <v>6602</v>
      </c>
      <c r="M1849" s="3" t="s">
        <v>6603</v>
      </c>
      <c r="N1849" s="3" t="s">
        <v>6604</v>
      </c>
      <c r="O1849" s="3"/>
      <c r="P1849" s="3">
        <v>533</v>
      </c>
      <c r="Q1849" s="3"/>
      <c r="R1849" s="3" t="s">
        <v>6605</v>
      </c>
      <c r="S1849" s="3" t="s">
        <v>6606</v>
      </c>
      <c r="T1849" s="3" t="s">
        <v>21</v>
      </c>
      <c r="U1849" s="11">
        <v>249</v>
      </c>
      <c r="V1849" s="3" t="s">
        <v>6555</v>
      </c>
      <c r="W1849" s="8" t="s">
        <v>7834</v>
      </c>
    </row>
    <row r="1850" spans="1:23" x14ac:dyDescent="0.25">
      <c r="A1850" s="2">
        <v>1623</v>
      </c>
      <c r="B1850" s="3" t="s">
        <v>6555</v>
      </c>
      <c r="C1850" s="3">
        <v>2024</v>
      </c>
      <c r="D1850" s="3" t="s">
        <v>596</v>
      </c>
      <c r="E1850" s="3" t="s">
        <v>15</v>
      </c>
      <c r="F1850" s="1" t="s">
        <v>7834</v>
      </c>
      <c r="G1850" s="10"/>
      <c r="H1850" s="10"/>
      <c r="I1850" s="10"/>
      <c r="J1850" s="10"/>
      <c r="K1850" s="10"/>
      <c r="L1850" s="3" t="s">
        <v>2191</v>
      </c>
      <c r="M1850" s="3" t="s">
        <v>6607</v>
      </c>
      <c r="N1850" s="3" t="s">
        <v>6608</v>
      </c>
      <c r="O1850" s="3">
        <v>532</v>
      </c>
      <c r="P1850" s="3"/>
      <c r="Q1850" s="3"/>
      <c r="R1850" s="3" t="s">
        <v>6609</v>
      </c>
      <c r="S1850" s="3" t="s">
        <v>2193</v>
      </c>
      <c r="T1850" s="3" t="s">
        <v>21</v>
      </c>
      <c r="U1850" s="11">
        <v>250</v>
      </c>
      <c r="V1850" s="3" t="s">
        <v>6555</v>
      </c>
      <c r="W1850" s="8" t="s">
        <v>7834</v>
      </c>
    </row>
    <row r="1851" spans="1:23" x14ac:dyDescent="0.25">
      <c r="A1851" s="2">
        <v>1624</v>
      </c>
      <c r="B1851" s="3" t="s">
        <v>6555</v>
      </c>
      <c r="C1851" s="3">
        <v>2024</v>
      </c>
      <c r="D1851" s="3" t="s">
        <v>2495</v>
      </c>
      <c r="E1851" s="3" t="s">
        <v>15</v>
      </c>
      <c r="F1851" s="1" t="s">
        <v>7834</v>
      </c>
      <c r="G1851" s="10">
        <v>17</v>
      </c>
      <c r="H1851" s="10"/>
      <c r="I1851" s="10"/>
      <c r="J1851" s="10"/>
      <c r="K1851" s="10"/>
      <c r="L1851" s="3" t="s">
        <v>6610</v>
      </c>
      <c r="M1851" s="3" t="s">
        <v>6611</v>
      </c>
      <c r="N1851" s="3" t="s">
        <v>6574</v>
      </c>
      <c r="O1851" s="3">
        <v>684</v>
      </c>
      <c r="P1851" s="3" t="s">
        <v>6612</v>
      </c>
      <c r="Q1851" s="3"/>
      <c r="R1851" s="3" t="s">
        <v>170</v>
      </c>
      <c r="S1851" s="3" t="s">
        <v>6613</v>
      </c>
      <c r="T1851" s="3" t="s">
        <v>21</v>
      </c>
      <c r="U1851" s="11">
        <v>251</v>
      </c>
      <c r="V1851" s="3" t="s">
        <v>6555</v>
      </c>
      <c r="W1851" s="8" t="s">
        <v>7834</v>
      </c>
    </row>
    <row r="1852" spans="1:23" x14ac:dyDescent="0.25">
      <c r="A1852" s="2">
        <v>1625</v>
      </c>
      <c r="B1852" s="3" t="s">
        <v>6614</v>
      </c>
      <c r="C1852" s="3">
        <v>2024</v>
      </c>
      <c r="D1852" s="3" t="s">
        <v>22</v>
      </c>
      <c r="E1852" s="3" t="s">
        <v>15</v>
      </c>
      <c r="F1852" s="1" t="s">
        <v>7834</v>
      </c>
      <c r="G1852" s="10"/>
      <c r="H1852" s="10"/>
      <c r="I1852" s="10"/>
      <c r="J1852" s="10"/>
      <c r="K1852" s="10"/>
      <c r="L1852" s="3" t="s">
        <v>6615</v>
      </c>
      <c r="M1852" s="3" t="s">
        <v>6616</v>
      </c>
      <c r="N1852" s="3" t="s">
        <v>6617</v>
      </c>
      <c r="O1852" s="3">
        <v>26</v>
      </c>
      <c r="P1852" s="3">
        <v>2</v>
      </c>
      <c r="Q1852" s="3"/>
      <c r="R1852" s="3" t="s">
        <v>6618</v>
      </c>
      <c r="S1852" s="3" t="s">
        <v>6619</v>
      </c>
      <c r="T1852" s="3" t="s">
        <v>21</v>
      </c>
      <c r="U1852" s="11">
        <v>252</v>
      </c>
      <c r="V1852" s="3" t="s">
        <v>6614</v>
      </c>
      <c r="W1852" s="8" t="s">
        <v>7834</v>
      </c>
    </row>
    <row r="1853" spans="1:23" x14ac:dyDescent="0.25">
      <c r="A1853" s="2">
        <v>1626</v>
      </c>
      <c r="B1853" s="3" t="s">
        <v>6614</v>
      </c>
      <c r="C1853" s="3">
        <v>2024</v>
      </c>
      <c r="D1853" s="3" t="s">
        <v>2510</v>
      </c>
      <c r="E1853" s="3" t="s">
        <v>15</v>
      </c>
      <c r="F1853" s="1" t="s">
        <v>7834</v>
      </c>
      <c r="G1853" s="10"/>
      <c r="H1853" s="10"/>
      <c r="I1853" s="10"/>
      <c r="J1853" s="10"/>
      <c r="K1853" s="10"/>
      <c r="L1853" s="3" t="s">
        <v>6620</v>
      </c>
      <c r="M1853" s="3" t="s">
        <v>6621</v>
      </c>
      <c r="N1853" s="3" t="s">
        <v>6622</v>
      </c>
      <c r="O1853" s="3"/>
      <c r="P1853" s="3"/>
      <c r="Q1853" s="3"/>
      <c r="R1853" s="3" t="s">
        <v>6623</v>
      </c>
      <c r="S1853" s="3" t="s">
        <v>6624</v>
      </c>
      <c r="T1853" s="3" t="s">
        <v>21</v>
      </c>
      <c r="U1853" s="11">
        <v>253</v>
      </c>
      <c r="V1853" s="3" t="s">
        <v>6614</v>
      </c>
      <c r="W1853" s="8" t="s">
        <v>7834</v>
      </c>
    </row>
    <row r="1854" spans="1:23" x14ac:dyDescent="0.25">
      <c r="A1854" s="2">
        <v>1629</v>
      </c>
      <c r="B1854" s="3" t="s">
        <v>6614</v>
      </c>
      <c r="C1854" s="3">
        <v>2024</v>
      </c>
      <c r="D1854" s="3" t="s">
        <v>63</v>
      </c>
      <c r="E1854" s="3" t="s">
        <v>15</v>
      </c>
      <c r="F1854" s="1" t="s">
        <v>7834</v>
      </c>
      <c r="G1854" s="10"/>
      <c r="H1854" s="10"/>
      <c r="I1854" s="10"/>
      <c r="J1854" s="10"/>
      <c r="K1854" s="10"/>
      <c r="L1854" s="3" t="s">
        <v>6633</v>
      </c>
      <c r="M1854" s="3" t="s">
        <v>6634</v>
      </c>
      <c r="N1854" s="3" t="s">
        <v>6635</v>
      </c>
      <c r="O1854" s="3">
        <v>33</v>
      </c>
      <c r="P1854" s="3">
        <v>1</v>
      </c>
      <c r="Q1854" s="3"/>
      <c r="R1854" s="3" t="s">
        <v>5619</v>
      </c>
      <c r="S1854" s="3" t="s">
        <v>5620</v>
      </c>
      <c r="T1854" s="3" t="s">
        <v>21</v>
      </c>
      <c r="U1854" s="11">
        <v>254</v>
      </c>
      <c r="V1854" s="3" t="s">
        <v>6614</v>
      </c>
      <c r="W1854" s="8" t="s">
        <v>7834</v>
      </c>
    </row>
    <row r="1855" spans="1:23" x14ac:dyDescent="0.25">
      <c r="A1855" s="2">
        <v>1631</v>
      </c>
      <c r="B1855" s="3" t="s">
        <v>6614</v>
      </c>
      <c r="C1855" s="3">
        <v>2024</v>
      </c>
      <c r="D1855" s="3" t="s">
        <v>63</v>
      </c>
      <c r="E1855" s="3" t="s">
        <v>15</v>
      </c>
      <c r="F1855" s="1" t="s">
        <v>7834</v>
      </c>
      <c r="G1855" s="10"/>
      <c r="H1855" s="10"/>
      <c r="I1855" s="10"/>
      <c r="J1855" s="10"/>
      <c r="K1855" s="10"/>
      <c r="L1855" s="3" t="s">
        <v>6640</v>
      </c>
      <c r="M1855" s="3" t="s">
        <v>6641</v>
      </c>
      <c r="N1855" s="3" t="s">
        <v>6642</v>
      </c>
      <c r="O1855" s="3">
        <v>27</v>
      </c>
      <c r="P1855" s="3">
        <v>3</v>
      </c>
      <c r="Q1855" s="3">
        <v>498</v>
      </c>
      <c r="R1855" s="3" t="s">
        <v>5614</v>
      </c>
      <c r="S1855" s="3" t="s">
        <v>5615</v>
      </c>
      <c r="T1855" s="3" t="s">
        <v>21</v>
      </c>
      <c r="U1855" s="11">
        <v>255</v>
      </c>
      <c r="V1855" s="3" t="s">
        <v>6614</v>
      </c>
      <c r="W1855" s="8" t="s">
        <v>7834</v>
      </c>
    </row>
    <row r="1856" spans="1:23" x14ac:dyDescent="0.25">
      <c r="A1856" s="2">
        <v>1638</v>
      </c>
      <c r="B1856" s="3" t="s">
        <v>6614</v>
      </c>
      <c r="C1856" s="3">
        <v>2024</v>
      </c>
      <c r="D1856" s="3" t="s">
        <v>316</v>
      </c>
      <c r="E1856" s="3" t="s">
        <v>15</v>
      </c>
      <c r="F1856" s="1" t="s">
        <v>7834</v>
      </c>
      <c r="G1856" s="10">
        <v>7</v>
      </c>
      <c r="H1856" s="10"/>
      <c r="I1856" s="10"/>
      <c r="J1856" s="10"/>
      <c r="K1856" s="10"/>
      <c r="L1856" s="3" t="s">
        <v>6668</v>
      </c>
      <c r="M1856" s="3" t="s">
        <v>6669</v>
      </c>
      <c r="N1856" s="3" t="s">
        <v>6670</v>
      </c>
      <c r="O1856" s="3"/>
      <c r="P1856" s="3"/>
      <c r="Q1856" s="3"/>
      <c r="R1856" s="3" t="s">
        <v>6671</v>
      </c>
      <c r="S1856" s="3" t="s">
        <v>5625</v>
      </c>
      <c r="T1856" s="3" t="s">
        <v>21</v>
      </c>
      <c r="U1856" s="11">
        <v>256</v>
      </c>
      <c r="V1856" s="3" t="s">
        <v>6614</v>
      </c>
      <c r="W1856" s="8" t="s">
        <v>7834</v>
      </c>
    </row>
    <row r="1857" spans="1:23" x14ac:dyDescent="0.25">
      <c r="A1857" s="2">
        <v>1635</v>
      </c>
      <c r="B1857" s="3" t="s">
        <v>6614</v>
      </c>
      <c r="C1857" s="3">
        <v>2024</v>
      </c>
      <c r="D1857" s="3" t="s">
        <v>31</v>
      </c>
      <c r="E1857" s="3" t="s">
        <v>206</v>
      </c>
      <c r="F1857" s="1" t="s">
        <v>7834</v>
      </c>
      <c r="G1857" s="10"/>
      <c r="H1857" s="10"/>
      <c r="I1857" s="10"/>
      <c r="J1857" s="10"/>
      <c r="K1857" s="10"/>
      <c r="L1857" s="3" t="s">
        <v>6656</v>
      </c>
      <c r="M1857" s="3" t="s">
        <v>6657</v>
      </c>
      <c r="N1857" s="3" t="s">
        <v>6658</v>
      </c>
      <c r="O1857" s="3">
        <v>101</v>
      </c>
      <c r="P1857" s="3">
        <v>6</v>
      </c>
      <c r="Q1857" s="3">
        <v>481</v>
      </c>
      <c r="R1857" s="3"/>
      <c r="S1857" s="3" t="s">
        <v>6659</v>
      </c>
      <c r="T1857" s="3" t="s">
        <v>21</v>
      </c>
      <c r="U1857" s="11">
        <v>257</v>
      </c>
      <c r="V1857" s="3" t="s">
        <v>6614</v>
      </c>
      <c r="W1857" s="8" t="s">
        <v>7834</v>
      </c>
    </row>
    <row r="1858" spans="1:23" x14ac:dyDescent="0.25">
      <c r="A1858" s="2">
        <v>1637</v>
      </c>
      <c r="B1858" s="3" t="s">
        <v>6614</v>
      </c>
      <c r="C1858" s="3">
        <v>2024</v>
      </c>
      <c r="D1858" s="3" t="s">
        <v>31</v>
      </c>
      <c r="E1858" s="3" t="s">
        <v>206</v>
      </c>
      <c r="F1858" s="1" t="s">
        <v>7834</v>
      </c>
      <c r="G1858" s="10"/>
      <c r="H1858" s="10"/>
      <c r="I1858" s="10"/>
      <c r="J1858" s="10"/>
      <c r="K1858" s="10"/>
      <c r="L1858" s="3" t="s">
        <v>6664</v>
      </c>
      <c r="M1858" s="3" t="s">
        <v>6665</v>
      </c>
      <c r="N1858" s="3" t="s">
        <v>6666</v>
      </c>
      <c r="O1858" s="3">
        <v>101</v>
      </c>
      <c r="P1858" s="3">
        <v>6</v>
      </c>
      <c r="Q1858" s="3">
        <v>565</v>
      </c>
      <c r="R1858" s="3"/>
      <c r="S1858" s="3" t="s">
        <v>6667</v>
      </c>
      <c r="T1858" s="3" t="s">
        <v>21</v>
      </c>
      <c r="U1858" s="11">
        <v>258</v>
      </c>
      <c r="V1858" s="3" t="s">
        <v>6614</v>
      </c>
      <c r="W1858" s="8" t="s">
        <v>7834</v>
      </c>
    </row>
    <row r="1859" spans="1:23" x14ac:dyDescent="0.25">
      <c r="A1859" s="2">
        <v>1639</v>
      </c>
      <c r="B1859" s="3" t="s">
        <v>6614</v>
      </c>
      <c r="C1859" s="3">
        <v>2024</v>
      </c>
      <c r="D1859" s="3" t="s">
        <v>31</v>
      </c>
      <c r="E1859" s="3" t="s">
        <v>206</v>
      </c>
      <c r="F1859" s="1" t="s">
        <v>7834</v>
      </c>
      <c r="G1859" s="10"/>
      <c r="H1859" s="10"/>
      <c r="I1859" s="10"/>
      <c r="J1859" s="10"/>
      <c r="K1859" s="10">
        <v>5</v>
      </c>
      <c r="L1859" s="3" t="s">
        <v>6672</v>
      </c>
      <c r="M1859" s="3" t="s">
        <v>6673</v>
      </c>
      <c r="N1859" s="3" t="s">
        <v>6658</v>
      </c>
      <c r="O1859" s="3">
        <v>101</v>
      </c>
      <c r="P1859" s="3">
        <v>6</v>
      </c>
      <c r="Q1859" s="3">
        <v>579</v>
      </c>
      <c r="R1859" s="3"/>
      <c r="S1859" s="3" t="s">
        <v>6674</v>
      </c>
      <c r="T1859" s="3" t="s">
        <v>21</v>
      </c>
      <c r="U1859" s="11">
        <v>259</v>
      </c>
      <c r="V1859" s="3" t="s">
        <v>6614</v>
      </c>
      <c r="W1859" s="8" t="s">
        <v>7834</v>
      </c>
    </row>
    <row r="1860" spans="1:23" x14ac:dyDescent="0.25">
      <c r="A1860" s="2">
        <v>1641</v>
      </c>
      <c r="B1860" s="3" t="s">
        <v>6675</v>
      </c>
      <c r="C1860" s="3">
        <v>2024</v>
      </c>
      <c r="D1860" s="3" t="s">
        <v>2750</v>
      </c>
      <c r="E1860" s="3" t="s">
        <v>15</v>
      </c>
      <c r="F1860" s="1" t="s">
        <v>7834</v>
      </c>
      <c r="G1860" s="10"/>
      <c r="H1860" s="10"/>
      <c r="I1860" s="10"/>
      <c r="J1860" s="10"/>
      <c r="K1860" s="10"/>
      <c r="L1860" s="3" t="s">
        <v>6681</v>
      </c>
      <c r="M1860" s="3" t="s">
        <v>6682</v>
      </c>
      <c r="N1860" s="3" t="s">
        <v>6683</v>
      </c>
      <c r="O1860" s="3">
        <v>88</v>
      </c>
      <c r="P1860" s="3"/>
      <c r="Q1860" s="3">
        <v>2205</v>
      </c>
      <c r="R1860" s="3" t="s">
        <v>6684</v>
      </c>
      <c r="S1860" s="3" t="s">
        <v>6685</v>
      </c>
      <c r="T1860" s="3" t="s">
        <v>21</v>
      </c>
      <c r="U1860" s="11">
        <v>260</v>
      </c>
      <c r="V1860" s="3" t="s">
        <v>6675</v>
      </c>
      <c r="W1860" s="8" t="s">
        <v>7834</v>
      </c>
    </row>
    <row r="1861" spans="1:23" x14ac:dyDescent="0.25">
      <c r="A1861" s="2">
        <v>1645</v>
      </c>
      <c r="B1861" s="3" t="s">
        <v>6675</v>
      </c>
      <c r="C1861" s="3">
        <v>2024</v>
      </c>
      <c r="D1861" s="3" t="s">
        <v>2197</v>
      </c>
      <c r="E1861" s="3" t="s">
        <v>15</v>
      </c>
      <c r="F1861" s="1" t="s">
        <v>7834</v>
      </c>
      <c r="G1861" s="10"/>
      <c r="H1861" s="10"/>
      <c r="I1861" s="10"/>
      <c r="J1861" s="10"/>
      <c r="K1861" s="10"/>
      <c r="L1861" s="3" t="s">
        <v>6697</v>
      </c>
      <c r="M1861" s="3" t="s">
        <v>6698</v>
      </c>
      <c r="N1861" s="3" t="s">
        <v>6699</v>
      </c>
      <c r="O1861" s="3">
        <v>239</v>
      </c>
      <c r="P1861" s="3"/>
      <c r="Q1861" s="3"/>
      <c r="R1861" s="3" t="s">
        <v>6700</v>
      </c>
      <c r="S1861" s="3" t="s">
        <v>6701</v>
      </c>
      <c r="T1861" s="3" t="s">
        <v>21</v>
      </c>
      <c r="U1861" s="11">
        <v>261</v>
      </c>
      <c r="V1861" s="3" t="s">
        <v>6675</v>
      </c>
      <c r="W1861" s="8" t="s">
        <v>7834</v>
      </c>
    </row>
    <row r="1862" spans="1:23" x14ac:dyDescent="0.25">
      <c r="A1862" s="2">
        <v>1649</v>
      </c>
      <c r="B1862" s="3" t="s">
        <v>6675</v>
      </c>
      <c r="C1862" s="3">
        <v>2024</v>
      </c>
      <c r="D1862" s="3" t="s">
        <v>3862</v>
      </c>
      <c r="E1862" s="3" t="s">
        <v>15</v>
      </c>
      <c r="F1862" s="1" t="s">
        <v>7834</v>
      </c>
      <c r="G1862" s="10"/>
      <c r="H1862" s="10"/>
      <c r="I1862" s="10"/>
      <c r="J1862" s="10"/>
      <c r="K1862" s="10"/>
      <c r="L1862" s="3" t="s">
        <v>6715</v>
      </c>
      <c r="M1862" s="3" t="s">
        <v>6716</v>
      </c>
      <c r="N1862" s="3" t="s">
        <v>3835</v>
      </c>
      <c r="O1862" s="3">
        <v>14</v>
      </c>
      <c r="P1862" s="3">
        <v>2</v>
      </c>
      <c r="Q1862" s="3"/>
      <c r="R1862" s="3" t="s">
        <v>3836</v>
      </c>
      <c r="S1862" s="3" t="s">
        <v>6717</v>
      </c>
      <c r="T1862" s="3" t="s">
        <v>21</v>
      </c>
      <c r="U1862" s="11">
        <v>262</v>
      </c>
      <c r="V1862" s="3" t="s">
        <v>6675</v>
      </c>
      <c r="W1862" s="8" t="s">
        <v>7834</v>
      </c>
    </row>
    <row r="1863" spans="1:23" x14ac:dyDescent="0.25">
      <c r="A1863" s="2">
        <v>1651</v>
      </c>
      <c r="B1863" s="3" t="s">
        <v>6675</v>
      </c>
      <c r="C1863" s="3">
        <v>2024</v>
      </c>
      <c r="D1863" s="3" t="s">
        <v>2466</v>
      </c>
      <c r="E1863" s="3" t="s">
        <v>15</v>
      </c>
      <c r="F1863" s="1" t="s">
        <v>7834</v>
      </c>
      <c r="G1863" s="10"/>
      <c r="H1863" s="10"/>
      <c r="I1863" s="10"/>
      <c r="J1863" s="10"/>
      <c r="K1863" s="10"/>
      <c r="L1863" s="3" t="s">
        <v>6118</v>
      </c>
      <c r="M1863" s="3" t="s">
        <v>6723</v>
      </c>
      <c r="N1863" s="3" t="s">
        <v>6120</v>
      </c>
      <c r="O1863" s="3">
        <v>10</v>
      </c>
      <c r="P1863" s="3"/>
      <c r="Q1863" s="6">
        <v>45778</v>
      </c>
      <c r="R1863" s="3" t="s">
        <v>6121</v>
      </c>
      <c r="S1863" s="3" t="s">
        <v>6724</v>
      </c>
      <c r="T1863" s="3" t="s">
        <v>21</v>
      </c>
      <c r="U1863" s="11">
        <v>263</v>
      </c>
      <c r="V1863" s="3" t="s">
        <v>6675</v>
      </c>
      <c r="W1863" s="8" t="s">
        <v>7834</v>
      </c>
    </row>
    <row r="1864" spans="1:23" x14ac:dyDescent="0.25">
      <c r="A1864" s="2">
        <v>1655</v>
      </c>
      <c r="B1864" s="3" t="s">
        <v>6675</v>
      </c>
      <c r="C1864" s="3">
        <v>2024</v>
      </c>
      <c r="D1864" s="3" t="s">
        <v>7835</v>
      </c>
      <c r="E1864" s="3" t="s">
        <v>15</v>
      </c>
      <c r="F1864" s="1" t="s">
        <v>7834</v>
      </c>
      <c r="G1864" s="10"/>
      <c r="H1864" s="10"/>
      <c r="I1864" s="10"/>
      <c r="J1864" s="10"/>
      <c r="K1864" s="10"/>
      <c r="L1864" s="3" t="s">
        <v>7840</v>
      </c>
      <c r="M1864" s="3" t="s">
        <v>7841</v>
      </c>
      <c r="N1864" s="3" t="s">
        <v>7842</v>
      </c>
      <c r="O1864" s="3"/>
      <c r="P1864" s="3"/>
      <c r="Q1864" s="3"/>
      <c r="R1864" s="3" t="s">
        <v>7843</v>
      </c>
      <c r="S1864" s="3" t="s">
        <v>7844</v>
      </c>
      <c r="T1864" s="3" t="s">
        <v>21</v>
      </c>
      <c r="U1864" s="11">
        <v>264</v>
      </c>
      <c r="V1864" s="3" t="s">
        <v>6675</v>
      </c>
      <c r="W1864" s="8" t="s">
        <v>7834</v>
      </c>
    </row>
    <row r="1865" spans="1:23" x14ac:dyDescent="0.25">
      <c r="A1865" s="2">
        <v>1656</v>
      </c>
      <c r="B1865" s="3" t="s">
        <v>6675</v>
      </c>
      <c r="C1865" s="3">
        <v>2024</v>
      </c>
      <c r="D1865" s="3" t="s">
        <v>86</v>
      </c>
      <c r="E1865" s="3" t="s">
        <v>15</v>
      </c>
      <c r="F1865" s="1" t="s">
        <v>7834</v>
      </c>
      <c r="G1865" s="10"/>
      <c r="H1865" s="10"/>
      <c r="I1865" s="10"/>
      <c r="J1865" s="10"/>
      <c r="K1865" s="10"/>
      <c r="L1865" s="3" t="s">
        <v>453</v>
      </c>
      <c r="M1865" s="3" t="s">
        <v>454</v>
      </c>
      <c r="N1865" s="3" t="s">
        <v>455</v>
      </c>
      <c r="O1865" s="3">
        <v>16</v>
      </c>
      <c r="P1865" s="3">
        <v>4</v>
      </c>
      <c r="Q1865" s="3"/>
      <c r="R1865" s="3" t="s">
        <v>7845</v>
      </c>
      <c r="S1865" s="3" t="s">
        <v>457</v>
      </c>
      <c r="T1865" s="3" t="s">
        <v>21</v>
      </c>
      <c r="U1865" s="11">
        <v>265</v>
      </c>
      <c r="V1865" s="3" t="s">
        <v>6675</v>
      </c>
      <c r="W1865" s="8" t="s">
        <v>7834</v>
      </c>
    </row>
    <row r="1866" spans="1:23" x14ac:dyDescent="0.25">
      <c r="A1866" s="2">
        <v>1657</v>
      </c>
      <c r="B1866" s="3" t="s">
        <v>6675</v>
      </c>
      <c r="C1866" s="3">
        <v>2024</v>
      </c>
      <c r="D1866" s="3" t="s">
        <v>361</v>
      </c>
      <c r="E1866" s="3" t="s">
        <v>15</v>
      </c>
      <c r="F1866" s="1" t="s">
        <v>7834</v>
      </c>
      <c r="G1866" s="10"/>
      <c r="H1866" s="10"/>
      <c r="I1866" s="10"/>
      <c r="J1866" s="10"/>
      <c r="K1866" s="10"/>
      <c r="L1866" s="3" t="s">
        <v>463</v>
      </c>
      <c r="M1866" s="3" t="s">
        <v>7846</v>
      </c>
      <c r="N1866" s="3" t="s">
        <v>492</v>
      </c>
      <c r="O1866" s="3">
        <v>1</v>
      </c>
      <c r="P1866" s="3">
        <v>1</v>
      </c>
      <c r="Q1866" s="3"/>
      <c r="R1866" s="3" t="s">
        <v>7847</v>
      </c>
      <c r="S1866" s="3" t="s">
        <v>467</v>
      </c>
      <c r="T1866" s="3" t="s">
        <v>21</v>
      </c>
      <c r="U1866" s="11">
        <v>266</v>
      </c>
      <c r="V1866" s="3" t="s">
        <v>6675</v>
      </c>
      <c r="W1866" s="8" t="s">
        <v>7834</v>
      </c>
    </row>
    <row r="1867" spans="1:23" x14ac:dyDescent="0.25">
      <c r="A1867" s="2">
        <v>1654</v>
      </c>
      <c r="B1867" s="3" t="s">
        <v>6675</v>
      </c>
      <c r="C1867" s="3">
        <v>2024</v>
      </c>
      <c r="D1867" s="3" t="s">
        <v>7835</v>
      </c>
      <c r="E1867" s="3" t="s">
        <v>15</v>
      </c>
      <c r="F1867" s="1" t="s">
        <v>7834</v>
      </c>
      <c r="G1867" s="10"/>
      <c r="H1867" s="10"/>
      <c r="I1867" s="10"/>
      <c r="J1867" s="10"/>
      <c r="K1867" s="10"/>
      <c r="L1867" s="3" t="s">
        <v>7836</v>
      </c>
      <c r="M1867" s="3" t="s">
        <v>7837</v>
      </c>
      <c r="N1867" s="3" t="s">
        <v>7838</v>
      </c>
      <c r="O1867" s="3">
        <v>58</v>
      </c>
      <c r="P1867" s="3">
        <v>1</v>
      </c>
      <c r="Q1867" s="3">
        <v>69</v>
      </c>
      <c r="R1867" s="3">
        <v>239216</v>
      </c>
      <c r="S1867" s="3" t="s">
        <v>7839</v>
      </c>
      <c r="T1867" s="3" t="s">
        <v>21</v>
      </c>
      <c r="U1867" s="11">
        <v>267</v>
      </c>
      <c r="V1867" s="3" t="s">
        <v>6675</v>
      </c>
      <c r="W1867" s="8" t="s">
        <v>7834</v>
      </c>
    </row>
    <row r="1868" spans="1:23" x14ac:dyDescent="0.25">
      <c r="A1868" s="2">
        <v>1658</v>
      </c>
      <c r="B1868" s="3" t="s">
        <v>6675</v>
      </c>
      <c r="C1868" s="3">
        <v>2024</v>
      </c>
      <c r="D1868" s="3" t="s">
        <v>6707</v>
      </c>
      <c r="E1868" s="3" t="s">
        <v>15</v>
      </c>
      <c r="F1868" s="1" t="s">
        <v>7834</v>
      </c>
      <c r="G1868" s="10">
        <v>11</v>
      </c>
      <c r="H1868" s="10"/>
      <c r="I1868" s="10"/>
      <c r="J1868" s="10"/>
      <c r="K1868" s="10"/>
      <c r="L1868" s="3" t="s">
        <v>7848</v>
      </c>
      <c r="M1868" s="3" t="s">
        <v>7849</v>
      </c>
      <c r="N1868" s="3" t="s">
        <v>7850</v>
      </c>
      <c r="O1868" s="3">
        <v>60</v>
      </c>
      <c r="P1868" s="3">
        <v>1</v>
      </c>
      <c r="Q1868" s="3">
        <v>55</v>
      </c>
      <c r="R1868" s="3" t="s">
        <v>7851</v>
      </c>
      <c r="S1868" s="3" t="s">
        <v>7852</v>
      </c>
      <c r="T1868" s="3" t="s">
        <v>21</v>
      </c>
      <c r="U1868" s="11">
        <v>268</v>
      </c>
      <c r="V1868" s="3" t="s">
        <v>6675</v>
      </c>
      <c r="W1868" s="8" t="s">
        <v>7834</v>
      </c>
    </row>
    <row r="1869" spans="1:23" x14ac:dyDescent="0.25">
      <c r="A1869" s="2">
        <v>1661</v>
      </c>
      <c r="B1869" s="3" t="s">
        <v>7853</v>
      </c>
      <c r="C1869" s="3">
        <v>2024</v>
      </c>
      <c r="D1869" s="3" t="s">
        <v>22</v>
      </c>
      <c r="E1869" s="3" t="s">
        <v>15</v>
      </c>
      <c r="F1869" s="1" t="s">
        <v>7834</v>
      </c>
      <c r="G1869" s="10"/>
      <c r="H1869" s="10"/>
      <c r="I1869" s="10"/>
      <c r="J1869" s="10"/>
      <c r="K1869" s="10"/>
      <c r="L1869" s="3" t="s">
        <v>7863</v>
      </c>
      <c r="M1869" s="3" t="s">
        <v>7864</v>
      </c>
      <c r="N1869" s="3" t="s">
        <v>7865</v>
      </c>
      <c r="O1869" s="3">
        <v>53</v>
      </c>
      <c r="P1869" s="3"/>
      <c r="Q1869" s="3"/>
      <c r="R1869" s="3">
        <v>1</v>
      </c>
      <c r="S1869" s="3" t="s">
        <v>7866</v>
      </c>
      <c r="T1869" s="3" t="s">
        <v>21</v>
      </c>
      <c r="U1869" s="11">
        <v>269</v>
      </c>
      <c r="V1869" s="3" t="s">
        <v>7853</v>
      </c>
      <c r="W1869" s="8" t="s">
        <v>7834</v>
      </c>
    </row>
    <row r="1870" spans="1:23" x14ac:dyDescent="0.25">
      <c r="A1870" s="2">
        <v>1662</v>
      </c>
      <c r="B1870" s="3" t="s">
        <v>7853</v>
      </c>
      <c r="C1870" s="3">
        <v>2024</v>
      </c>
      <c r="D1870" s="3" t="s">
        <v>82</v>
      </c>
      <c r="E1870" s="3" t="s">
        <v>15</v>
      </c>
      <c r="F1870" s="1" t="s">
        <v>7834</v>
      </c>
      <c r="G1870" s="10"/>
      <c r="H1870" s="10"/>
      <c r="I1870" s="10"/>
      <c r="J1870" s="10"/>
      <c r="K1870" s="10"/>
      <c r="L1870" s="3" t="s">
        <v>7867</v>
      </c>
      <c r="M1870" s="3" t="s">
        <v>7868</v>
      </c>
      <c r="N1870" s="3" t="s">
        <v>7865</v>
      </c>
      <c r="O1870" s="3">
        <v>57</v>
      </c>
      <c r="P1870" s="3"/>
      <c r="Q1870" s="3"/>
      <c r="R1870" s="3">
        <v>1</v>
      </c>
      <c r="S1870" s="3" t="s">
        <v>7869</v>
      </c>
      <c r="T1870" s="3" t="s">
        <v>21</v>
      </c>
      <c r="U1870" s="11">
        <v>270</v>
      </c>
      <c r="V1870" s="3" t="s">
        <v>7853</v>
      </c>
      <c r="W1870" s="8" t="s">
        <v>7834</v>
      </c>
    </row>
    <row r="1871" spans="1:23" x14ac:dyDescent="0.25">
      <c r="A1871" s="2">
        <v>1664</v>
      </c>
      <c r="B1871" s="3" t="s">
        <v>7853</v>
      </c>
      <c r="C1871" s="3">
        <v>2024</v>
      </c>
      <c r="D1871" s="3" t="s">
        <v>14</v>
      </c>
      <c r="E1871" s="3" t="s">
        <v>15</v>
      </c>
      <c r="F1871" s="1" t="s">
        <v>7834</v>
      </c>
      <c r="G1871" s="10"/>
      <c r="H1871" s="10"/>
      <c r="I1871" s="10"/>
      <c r="J1871" s="10"/>
      <c r="K1871" s="10"/>
      <c r="L1871" s="3" t="s">
        <v>7873</v>
      </c>
      <c r="M1871" s="3" t="s">
        <v>7874</v>
      </c>
      <c r="N1871" s="3" t="s">
        <v>7875</v>
      </c>
      <c r="O1871" s="3">
        <v>13</v>
      </c>
      <c r="P1871" s="3"/>
      <c r="Q1871" s="3"/>
      <c r="R1871" s="3">
        <v>1</v>
      </c>
      <c r="S1871" s="3" t="s">
        <v>7876</v>
      </c>
      <c r="T1871" s="3" t="s">
        <v>21</v>
      </c>
      <c r="U1871" s="11">
        <v>271</v>
      </c>
      <c r="V1871" s="3" t="s">
        <v>7853</v>
      </c>
      <c r="W1871" s="8" t="s">
        <v>7834</v>
      </c>
    </row>
    <row r="1872" spans="1:23" x14ac:dyDescent="0.25">
      <c r="A1872" s="2">
        <v>1665</v>
      </c>
      <c r="B1872" s="3" t="s">
        <v>7853</v>
      </c>
      <c r="C1872" s="3">
        <v>2024</v>
      </c>
      <c r="D1872" s="3" t="s">
        <v>2039</v>
      </c>
      <c r="E1872" s="3" t="s">
        <v>15</v>
      </c>
      <c r="F1872" s="1" t="s">
        <v>7834</v>
      </c>
      <c r="G1872" s="10">
        <v>4</v>
      </c>
      <c r="H1872" s="10"/>
      <c r="I1872" s="10"/>
      <c r="J1872" s="10"/>
      <c r="K1872" s="10"/>
      <c r="L1872" s="3" t="s">
        <v>7877</v>
      </c>
      <c r="M1872" s="3" t="s">
        <v>7878</v>
      </c>
      <c r="N1872" s="3" t="s">
        <v>7879</v>
      </c>
      <c r="O1872" s="3"/>
      <c r="P1872" s="3"/>
      <c r="Q1872" s="3"/>
      <c r="R1872" s="3">
        <v>1</v>
      </c>
      <c r="S1872" s="3" t="s">
        <v>7880</v>
      </c>
      <c r="T1872" s="3" t="s">
        <v>21</v>
      </c>
      <c r="U1872" s="11">
        <v>272</v>
      </c>
      <c r="V1872" s="3" t="s">
        <v>7853</v>
      </c>
      <c r="W1872" s="8" t="s">
        <v>7834</v>
      </c>
    </row>
    <row r="1873" spans="1:23" x14ac:dyDescent="0.25">
      <c r="A1873" s="2">
        <v>1666</v>
      </c>
      <c r="B1873" s="3" t="s">
        <v>7881</v>
      </c>
      <c r="C1873" s="3">
        <v>2024</v>
      </c>
      <c r="D1873" s="3" t="s">
        <v>709</v>
      </c>
      <c r="E1873" s="3" t="s">
        <v>15</v>
      </c>
      <c r="F1873" s="1" t="s">
        <v>7834</v>
      </c>
      <c r="G1873" s="10"/>
      <c r="H1873" s="10"/>
      <c r="I1873" s="10"/>
      <c r="J1873" s="10"/>
      <c r="K1873" s="10"/>
      <c r="L1873" s="3" t="s">
        <v>7882</v>
      </c>
      <c r="M1873" s="3" t="s">
        <v>7883</v>
      </c>
      <c r="N1873" s="3" t="s">
        <v>7884</v>
      </c>
      <c r="O1873" s="3"/>
      <c r="P1873" s="3"/>
      <c r="Q1873" s="3"/>
      <c r="R1873" s="3">
        <v>1</v>
      </c>
      <c r="S1873" s="3" t="s">
        <v>7885</v>
      </c>
      <c r="T1873" s="3" t="s">
        <v>21</v>
      </c>
      <c r="U1873" s="11">
        <v>273</v>
      </c>
      <c r="V1873" s="3" t="s">
        <v>7881</v>
      </c>
      <c r="W1873" s="8" t="s">
        <v>7834</v>
      </c>
    </row>
    <row r="1874" spans="1:23" x14ac:dyDescent="0.25">
      <c r="A1874" s="2">
        <v>1667</v>
      </c>
      <c r="B1874" s="3" t="s">
        <v>7881</v>
      </c>
      <c r="C1874" s="3">
        <v>2024</v>
      </c>
      <c r="D1874" s="3" t="s">
        <v>2998</v>
      </c>
      <c r="E1874" s="3" t="s">
        <v>15</v>
      </c>
      <c r="F1874" s="1" t="s">
        <v>7834</v>
      </c>
      <c r="G1874" s="10"/>
      <c r="H1874" s="10"/>
      <c r="I1874" s="10"/>
      <c r="J1874" s="10"/>
      <c r="K1874" s="10"/>
      <c r="L1874" s="3" t="s">
        <v>7886</v>
      </c>
      <c r="M1874" s="3" t="s">
        <v>7887</v>
      </c>
      <c r="N1874" s="3" t="s">
        <v>7888</v>
      </c>
      <c r="O1874" s="3"/>
      <c r="P1874" s="3"/>
      <c r="Q1874" s="3"/>
      <c r="R1874" s="3">
        <v>1</v>
      </c>
      <c r="S1874" s="3" t="s">
        <v>7889</v>
      </c>
      <c r="T1874" s="3" t="s">
        <v>21</v>
      </c>
      <c r="U1874" s="11">
        <v>274</v>
      </c>
      <c r="V1874" s="3" t="s">
        <v>7881</v>
      </c>
      <c r="W1874" s="8" t="s">
        <v>7834</v>
      </c>
    </row>
    <row r="1875" spans="1:23" x14ac:dyDescent="0.25">
      <c r="A1875" s="2">
        <v>1668</v>
      </c>
      <c r="B1875" s="3" t="s">
        <v>7881</v>
      </c>
      <c r="C1875" s="3">
        <v>2024</v>
      </c>
      <c r="D1875" s="3" t="s">
        <v>1701</v>
      </c>
      <c r="E1875" s="3" t="s">
        <v>15</v>
      </c>
      <c r="F1875" s="1" t="s">
        <v>7834</v>
      </c>
      <c r="G1875" s="10"/>
      <c r="H1875" s="10"/>
      <c r="I1875" s="10"/>
      <c r="J1875" s="10"/>
      <c r="K1875" s="10"/>
      <c r="L1875" s="3" t="s">
        <v>1702</v>
      </c>
      <c r="M1875" s="3" t="s">
        <v>7890</v>
      </c>
      <c r="N1875" s="3" t="s">
        <v>874</v>
      </c>
      <c r="O1875" s="3"/>
      <c r="P1875" s="3"/>
      <c r="Q1875" s="3"/>
      <c r="R1875" s="3">
        <v>1</v>
      </c>
      <c r="S1875" s="3" t="s">
        <v>1704</v>
      </c>
      <c r="T1875" s="3" t="s">
        <v>21</v>
      </c>
      <c r="U1875" s="11">
        <v>275</v>
      </c>
      <c r="V1875" s="3" t="s">
        <v>7881</v>
      </c>
      <c r="W1875" s="8" t="s">
        <v>7834</v>
      </c>
    </row>
    <row r="1876" spans="1:23" x14ac:dyDescent="0.25">
      <c r="A1876" s="2">
        <v>1669</v>
      </c>
      <c r="B1876" s="3" t="s">
        <v>7881</v>
      </c>
      <c r="C1876" s="3">
        <v>2024</v>
      </c>
      <c r="D1876" s="3" t="s">
        <v>1863</v>
      </c>
      <c r="E1876" s="3" t="s">
        <v>15</v>
      </c>
      <c r="F1876" s="1" t="s">
        <v>7834</v>
      </c>
      <c r="G1876" s="10"/>
      <c r="H1876" s="10"/>
      <c r="I1876" s="10"/>
      <c r="J1876" s="10"/>
      <c r="K1876" s="10"/>
      <c r="L1876" s="3" t="s">
        <v>2242</v>
      </c>
      <c r="M1876" s="3" t="s">
        <v>7891</v>
      </c>
      <c r="N1876" s="3" t="s">
        <v>2253</v>
      </c>
      <c r="O1876" s="3"/>
      <c r="P1876" s="3" t="s">
        <v>7892</v>
      </c>
      <c r="Q1876" s="3">
        <v>346</v>
      </c>
      <c r="R1876" s="3">
        <v>1</v>
      </c>
      <c r="S1876" s="3" t="s">
        <v>2246</v>
      </c>
      <c r="T1876" s="3" t="s">
        <v>21</v>
      </c>
      <c r="U1876" s="11">
        <v>276</v>
      </c>
      <c r="V1876" s="3" t="s">
        <v>7881</v>
      </c>
      <c r="W1876" s="8" t="s">
        <v>7834</v>
      </c>
    </row>
    <row r="1877" spans="1:23" x14ac:dyDescent="0.25">
      <c r="A1877" s="2">
        <v>1670</v>
      </c>
      <c r="B1877" s="3" t="s">
        <v>7881</v>
      </c>
      <c r="C1877" s="3">
        <v>2024</v>
      </c>
      <c r="D1877" s="3" t="s">
        <v>579</v>
      </c>
      <c r="E1877" s="3" t="s">
        <v>15</v>
      </c>
      <c r="F1877" s="1" t="s">
        <v>7834</v>
      </c>
      <c r="G1877" s="10"/>
      <c r="H1877" s="10"/>
      <c r="I1877" s="10"/>
      <c r="J1877" s="10"/>
      <c r="K1877" s="10"/>
      <c r="L1877" s="3" t="s">
        <v>2341</v>
      </c>
      <c r="M1877" s="3" t="s">
        <v>7893</v>
      </c>
      <c r="N1877" s="3" t="s">
        <v>1657</v>
      </c>
      <c r="O1877" s="3"/>
      <c r="P1877" s="3"/>
      <c r="Q1877" s="3">
        <v>4589</v>
      </c>
      <c r="R1877" s="3" t="s">
        <v>7894</v>
      </c>
      <c r="S1877" s="3" t="s">
        <v>2343</v>
      </c>
      <c r="T1877" s="3" t="s">
        <v>21</v>
      </c>
      <c r="U1877" s="11">
        <v>277</v>
      </c>
      <c r="V1877" s="3" t="s">
        <v>7881</v>
      </c>
      <c r="W1877" s="8" t="s">
        <v>7834</v>
      </c>
    </row>
    <row r="1878" spans="1:23" x14ac:dyDescent="0.25">
      <c r="A1878" s="2">
        <v>1671</v>
      </c>
      <c r="B1878" s="3" t="s">
        <v>7881</v>
      </c>
      <c r="C1878" s="3">
        <v>2024</v>
      </c>
      <c r="D1878" s="3" t="s">
        <v>2247</v>
      </c>
      <c r="E1878" s="3" t="s">
        <v>15</v>
      </c>
      <c r="F1878" s="1" t="s">
        <v>7834</v>
      </c>
      <c r="G1878" s="10"/>
      <c r="H1878" s="10"/>
      <c r="I1878" s="10"/>
      <c r="J1878" s="10"/>
      <c r="K1878" s="10"/>
      <c r="L1878" s="3" t="s">
        <v>2344</v>
      </c>
      <c r="M1878" s="3" t="s">
        <v>7895</v>
      </c>
      <c r="N1878" s="3" t="s">
        <v>1657</v>
      </c>
      <c r="O1878" s="3"/>
      <c r="P1878" s="3"/>
      <c r="Q1878" s="3">
        <v>4415</v>
      </c>
      <c r="R1878" s="3" t="s">
        <v>7894</v>
      </c>
      <c r="S1878" s="3" t="s">
        <v>2346</v>
      </c>
      <c r="T1878" s="3" t="s">
        <v>21</v>
      </c>
      <c r="U1878" s="11">
        <v>278</v>
      </c>
      <c r="V1878" s="3" t="s">
        <v>7881</v>
      </c>
      <c r="W1878" s="8" t="s">
        <v>7834</v>
      </c>
    </row>
    <row r="1879" spans="1:23" x14ac:dyDescent="0.25">
      <c r="A1879" s="2">
        <v>1672</v>
      </c>
      <c r="B1879" s="3" t="s">
        <v>7881</v>
      </c>
      <c r="C1879" s="3">
        <v>2024</v>
      </c>
      <c r="D1879" s="3" t="s">
        <v>4468</v>
      </c>
      <c r="E1879" s="3" t="s">
        <v>15</v>
      </c>
      <c r="F1879" s="1" t="s">
        <v>7834</v>
      </c>
      <c r="G1879" s="10"/>
      <c r="H1879" s="10"/>
      <c r="I1879" s="10"/>
      <c r="J1879" s="10"/>
      <c r="K1879" s="10"/>
      <c r="L1879" s="3" t="s">
        <v>7896</v>
      </c>
      <c r="M1879" s="3" t="s">
        <v>7897</v>
      </c>
      <c r="N1879" s="3" t="s">
        <v>7898</v>
      </c>
      <c r="O1879" s="3"/>
      <c r="P1879" s="3"/>
      <c r="Q1879" s="3"/>
      <c r="R1879" s="3" t="s">
        <v>7899</v>
      </c>
      <c r="S1879" s="3" t="s">
        <v>7900</v>
      </c>
      <c r="T1879" s="3" t="s">
        <v>21</v>
      </c>
      <c r="U1879" s="11">
        <v>279</v>
      </c>
      <c r="V1879" s="3" t="s">
        <v>7881</v>
      </c>
      <c r="W1879" s="8" t="s">
        <v>7834</v>
      </c>
    </row>
    <row r="1880" spans="1:23" x14ac:dyDescent="0.25">
      <c r="A1880" s="2">
        <v>1673</v>
      </c>
      <c r="B1880" s="3" t="s">
        <v>7881</v>
      </c>
      <c r="C1880" s="3">
        <v>2024</v>
      </c>
      <c r="D1880" s="3" t="s">
        <v>192</v>
      </c>
      <c r="E1880" s="3" t="s">
        <v>15</v>
      </c>
      <c r="F1880" s="1" t="s">
        <v>7834</v>
      </c>
      <c r="G1880" s="10"/>
      <c r="H1880" s="10"/>
      <c r="I1880" s="10"/>
      <c r="J1880" s="10"/>
      <c r="K1880" s="10"/>
      <c r="L1880" s="3" t="s">
        <v>7901</v>
      </c>
      <c r="M1880" s="3" t="s">
        <v>7902</v>
      </c>
      <c r="N1880" s="3" t="s">
        <v>7903</v>
      </c>
      <c r="O1880" s="3"/>
      <c r="P1880" s="3"/>
      <c r="Q1880" s="3">
        <v>735</v>
      </c>
      <c r="R1880" s="3">
        <v>1</v>
      </c>
      <c r="S1880" s="3" t="s">
        <v>7904</v>
      </c>
      <c r="T1880" s="3" t="s">
        <v>21</v>
      </c>
      <c r="U1880" s="11">
        <v>280</v>
      </c>
      <c r="V1880" s="3" t="s">
        <v>7881</v>
      </c>
      <c r="W1880" s="8" t="s">
        <v>7834</v>
      </c>
    </row>
    <row r="1881" spans="1:23" x14ac:dyDescent="0.25">
      <c r="A1881" s="2">
        <v>1674</v>
      </c>
      <c r="B1881" s="3" t="s">
        <v>7881</v>
      </c>
      <c r="C1881" s="3">
        <v>2024</v>
      </c>
      <c r="D1881" s="3" t="s">
        <v>1669</v>
      </c>
      <c r="E1881" s="3" t="s">
        <v>15</v>
      </c>
      <c r="F1881" s="1" t="s">
        <v>7834</v>
      </c>
      <c r="G1881" s="10"/>
      <c r="H1881" s="10"/>
      <c r="I1881" s="10"/>
      <c r="J1881" s="10"/>
      <c r="K1881" s="10"/>
      <c r="L1881" s="3" t="s">
        <v>7905</v>
      </c>
      <c r="M1881" s="3" t="s">
        <v>7906</v>
      </c>
      <c r="N1881" s="3" t="s">
        <v>2260</v>
      </c>
      <c r="O1881" s="3"/>
      <c r="P1881" s="3"/>
      <c r="Q1881" s="3"/>
      <c r="R1881" s="3" t="s">
        <v>7907</v>
      </c>
      <c r="S1881" s="3" t="s">
        <v>7908</v>
      </c>
      <c r="T1881" s="3" t="s">
        <v>21</v>
      </c>
      <c r="U1881" s="11">
        <v>281</v>
      </c>
      <c r="V1881" s="3" t="s">
        <v>7881</v>
      </c>
      <c r="W1881" s="8" t="s">
        <v>7834</v>
      </c>
    </row>
    <row r="1882" spans="1:23" x14ac:dyDescent="0.25">
      <c r="A1882" s="2">
        <v>1675</v>
      </c>
      <c r="B1882" s="3" t="s">
        <v>7881</v>
      </c>
      <c r="C1882" s="3">
        <v>2024</v>
      </c>
      <c r="D1882" s="3" t="s">
        <v>7909</v>
      </c>
      <c r="E1882" s="3" t="s">
        <v>15</v>
      </c>
      <c r="F1882" s="1" t="s">
        <v>7834</v>
      </c>
      <c r="G1882" s="10"/>
      <c r="H1882" s="10"/>
      <c r="I1882" s="10"/>
      <c r="J1882" s="10"/>
      <c r="K1882" s="10"/>
      <c r="L1882" s="3" t="s">
        <v>7910</v>
      </c>
      <c r="M1882" s="3" t="s">
        <v>7911</v>
      </c>
      <c r="N1882" s="3" t="s">
        <v>7912</v>
      </c>
      <c r="O1882" s="3"/>
      <c r="P1882" s="3"/>
      <c r="Q1882" s="3"/>
      <c r="R1882" s="3" t="s">
        <v>7913</v>
      </c>
      <c r="S1882" s="3" t="s">
        <v>7914</v>
      </c>
      <c r="T1882" s="3" t="s">
        <v>21</v>
      </c>
      <c r="U1882" s="11">
        <v>282</v>
      </c>
      <c r="V1882" s="3" t="s">
        <v>7881</v>
      </c>
      <c r="W1882" s="8" t="s">
        <v>7834</v>
      </c>
    </row>
    <row r="1883" spans="1:23" x14ac:dyDescent="0.25">
      <c r="A1883" s="2">
        <v>1676</v>
      </c>
      <c r="B1883" s="3" t="s">
        <v>7881</v>
      </c>
      <c r="C1883" s="3">
        <v>2024</v>
      </c>
      <c r="D1883" s="3" t="s">
        <v>2744</v>
      </c>
      <c r="E1883" s="3" t="s">
        <v>15</v>
      </c>
      <c r="F1883" s="1" t="s">
        <v>7834</v>
      </c>
      <c r="G1883" s="10"/>
      <c r="H1883" s="10"/>
      <c r="I1883" s="10"/>
      <c r="J1883" s="10"/>
      <c r="K1883" s="10"/>
      <c r="L1883" s="3" t="s">
        <v>7915</v>
      </c>
      <c r="M1883" s="3" t="s">
        <v>7916</v>
      </c>
      <c r="N1883" s="3" t="s">
        <v>7888</v>
      </c>
      <c r="O1883" s="3"/>
      <c r="P1883" s="3"/>
      <c r="Q1883" s="3"/>
      <c r="R1883" s="3">
        <v>1</v>
      </c>
      <c r="S1883" s="3" t="s">
        <v>7917</v>
      </c>
      <c r="T1883" s="3" t="s">
        <v>21</v>
      </c>
      <c r="U1883" s="11">
        <v>283</v>
      </c>
      <c r="V1883" s="3" t="s">
        <v>7881</v>
      </c>
      <c r="W1883" s="8" t="s">
        <v>7834</v>
      </c>
    </row>
    <row r="1884" spans="1:23" x14ac:dyDescent="0.25">
      <c r="A1884" s="2">
        <v>1677</v>
      </c>
      <c r="B1884" s="3" t="s">
        <v>7881</v>
      </c>
      <c r="C1884" s="3">
        <v>2024</v>
      </c>
      <c r="D1884" s="3" t="s">
        <v>484</v>
      </c>
      <c r="E1884" s="3" t="s">
        <v>15</v>
      </c>
      <c r="F1884" s="1" t="s">
        <v>7834</v>
      </c>
      <c r="G1884" s="10"/>
      <c r="H1884" s="10"/>
      <c r="I1884" s="10"/>
      <c r="J1884" s="10"/>
      <c r="K1884" s="10"/>
      <c r="L1884" s="3" t="s">
        <v>7918</v>
      </c>
      <c r="M1884" s="3" t="s">
        <v>7919</v>
      </c>
      <c r="N1884" s="3" t="s">
        <v>7888</v>
      </c>
      <c r="O1884" s="3"/>
      <c r="P1884" s="3"/>
      <c r="Q1884" s="3"/>
      <c r="R1884" s="3">
        <v>1</v>
      </c>
      <c r="S1884" s="3" t="s">
        <v>7920</v>
      </c>
      <c r="T1884" s="3" t="s">
        <v>21</v>
      </c>
      <c r="U1884" s="11">
        <v>284</v>
      </c>
      <c r="V1884" s="3" t="s">
        <v>7881</v>
      </c>
      <c r="W1884" s="8" t="s">
        <v>7834</v>
      </c>
    </row>
    <row r="1885" spans="1:23" x14ac:dyDescent="0.25">
      <c r="A1885" s="2">
        <v>1678</v>
      </c>
      <c r="B1885" s="3" t="s">
        <v>7881</v>
      </c>
      <c r="C1885" s="3">
        <v>2024</v>
      </c>
      <c r="D1885" s="3" t="s">
        <v>660</v>
      </c>
      <c r="E1885" s="3" t="s">
        <v>15</v>
      </c>
      <c r="F1885" s="1" t="s">
        <v>7834</v>
      </c>
      <c r="G1885" s="10"/>
      <c r="H1885" s="10"/>
      <c r="I1885" s="10"/>
      <c r="J1885" s="10"/>
      <c r="K1885" s="10"/>
      <c r="L1885" s="3" t="s">
        <v>7921</v>
      </c>
      <c r="M1885" s="3" t="s">
        <v>7922</v>
      </c>
      <c r="N1885" s="3" t="s">
        <v>2260</v>
      </c>
      <c r="O1885" s="3"/>
      <c r="P1885" s="3"/>
      <c r="Q1885" s="3"/>
      <c r="R1885" s="3">
        <v>1</v>
      </c>
      <c r="S1885" s="3" t="s">
        <v>2262</v>
      </c>
      <c r="T1885" s="3" t="s">
        <v>21</v>
      </c>
      <c r="U1885" s="11">
        <v>285</v>
      </c>
      <c r="V1885" s="3" t="s">
        <v>7881</v>
      </c>
      <c r="W1885" s="8" t="s">
        <v>7834</v>
      </c>
    </row>
    <row r="1886" spans="1:23" x14ac:dyDescent="0.25">
      <c r="A1886" s="2">
        <v>1679</v>
      </c>
      <c r="B1886" s="3" t="s">
        <v>7881</v>
      </c>
      <c r="C1886" s="3">
        <v>2024</v>
      </c>
      <c r="D1886" s="3" t="s">
        <v>1381</v>
      </c>
      <c r="E1886" s="3" t="s">
        <v>15</v>
      </c>
      <c r="F1886" s="1" t="s">
        <v>7834</v>
      </c>
      <c r="G1886" s="10"/>
      <c r="H1886" s="10"/>
      <c r="I1886" s="10"/>
      <c r="J1886" s="10"/>
      <c r="K1886" s="10"/>
      <c r="L1886" s="3" t="s">
        <v>1848</v>
      </c>
      <c r="M1886" s="3" t="s">
        <v>7923</v>
      </c>
      <c r="N1886" s="3" t="s">
        <v>1850</v>
      </c>
      <c r="O1886" s="3"/>
      <c r="P1886" s="3"/>
      <c r="Q1886" s="3">
        <v>57</v>
      </c>
      <c r="R1886" s="3">
        <v>1</v>
      </c>
      <c r="S1886" s="3" t="s">
        <v>1852</v>
      </c>
      <c r="T1886" s="3" t="s">
        <v>21</v>
      </c>
      <c r="U1886" s="11">
        <v>286</v>
      </c>
      <c r="V1886" s="3" t="s">
        <v>7881</v>
      </c>
      <c r="W1886" s="8" t="s">
        <v>7834</v>
      </c>
    </row>
    <row r="1887" spans="1:23" x14ac:dyDescent="0.25">
      <c r="A1887" s="2">
        <v>1680</v>
      </c>
      <c r="B1887" s="3" t="s">
        <v>7881</v>
      </c>
      <c r="C1887" s="3">
        <v>2024</v>
      </c>
      <c r="D1887" s="3" t="s">
        <v>7683</v>
      </c>
      <c r="E1887" s="3" t="s">
        <v>15</v>
      </c>
      <c r="F1887" s="1" t="s">
        <v>7834</v>
      </c>
      <c r="G1887" s="10"/>
      <c r="H1887" s="10"/>
      <c r="I1887" s="10"/>
      <c r="J1887" s="10"/>
      <c r="K1887" s="10"/>
      <c r="L1887" s="3" t="s">
        <v>7924</v>
      </c>
      <c r="M1887" s="3" t="s">
        <v>7925</v>
      </c>
      <c r="N1887" s="3" t="s">
        <v>1677</v>
      </c>
      <c r="O1887" s="3"/>
      <c r="P1887" s="3"/>
      <c r="Q1887" s="3"/>
      <c r="R1887" s="3" t="s">
        <v>1678</v>
      </c>
      <c r="S1887" s="3" t="s">
        <v>7926</v>
      </c>
      <c r="T1887" s="3" t="s">
        <v>21</v>
      </c>
      <c r="U1887" s="11">
        <v>287</v>
      </c>
      <c r="V1887" s="3" t="s">
        <v>7881</v>
      </c>
      <c r="W1887" s="8" t="s">
        <v>7834</v>
      </c>
    </row>
    <row r="1888" spans="1:23" x14ac:dyDescent="0.25">
      <c r="A1888" s="2">
        <v>1681</v>
      </c>
      <c r="B1888" s="3" t="s">
        <v>7881</v>
      </c>
      <c r="C1888" s="3">
        <v>2024</v>
      </c>
      <c r="D1888" s="3" t="s">
        <v>848</v>
      </c>
      <c r="E1888" s="3" t="s">
        <v>15</v>
      </c>
      <c r="F1888" s="1" t="s">
        <v>7834</v>
      </c>
      <c r="G1888" s="10"/>
      <c r="H1888" s="10"/>
      <c r="I1888" s="10"/>
      <c r="J1888" s="10"/>
      <c r="K1888" s="10"/>
      <c r="L1888" s="3" t="s">
        <v>2336</v>
      </c>
      <c r="M1888" s="3" t="s">
        <v>7927</v>
      </c>
      <c r="N1888" s="3" t="s">
        <v>7928</v>
      </c>
      <c r="O1888" s="3"/>
      <c r="P1888" s="3"/>
      <c r="Q1888" s="3"/>
      <c r="R1888" s="3">
        <v>1</v>
      </c>
      <c r="S1888" s="3" t="s">
        <v>2340</v>
      </c>
      <c r="T1888" s="3" t="s">
        <v>21</v>
      </c>
      <c r="U1888" s="11">
        <v>288</v>
      </c>
      <c r="V1888" s="3" t="s">
        <v>7881</v>
      </c>
      <c r="W1888" s="8" t="s">
        <v>7834</v>
      </c>
    </row>
    <row r="1889" spans="1:23" x14ac:dyDescent="0.25">
      <c r="A1889" s="2">
        <v>1682</v>
      </c>
      <c r="B1889" s="3" t="s">
        <v>7881</v>
      </c>
      <c r="C1889" s="3">
        <v>2024</v>
      </c>
      <c r="D1889" s="3" t="s">
        <v>2686</v>
      </c>
      <c r="E1889" s="3" t="s">
        <v>15</v>
      </c>
      <c r="F1889" s="1" t="s">
        <v>7834</v>
      </c>
      <c r="G1889" s="10"/>
      <c r="H1889" s="10"/>
      <c r="I1889" s="10"/>
      <c r="J1889" s="10"/>
      <c r="K1889" s="10"/>
      <c r="L1889" s="3" t="s">
        <v>2288</v>
      </c>
      <c r="M1889" s="3" t="s">
        <v>7929</v>
      </c>
      <c r="N1889" s="3" t="s">
        <v>2290</v>
      </c>
      <c r="O1889" s="3">
        <v>244</v>
      </c>
      <c r="P1889" s="3">
        <v>7</v>
      </c>
      <c r="Q1889" s="3" t="s">
        <v>7930</v>
      </c>
      <c r="R1889" s="3">
        <v>1</v>
      </c>
      <c r="S1889" s="3" t="s">
        <v>2292</v>
      </c>
      <c r="T1889" s="3" t="s">
        <v>21</v>
      </c>
      <c r="U1889" s="11">
        <v>289</v>
      </c>
      <c r="V1889" s="3" t="s">
        <v>7881</v>
      </c>
      <c r="W1889" s="8" t="s">
        <v>7834</v>
      </c>
    </row>
    <row r="1890" spans="1:23" x14ac:dyDescent="0.25">
      <c r="A1890" s="2">
        <v>1683</v>
      </c>
      <c r="B1890" s="3" t="s">
        <v>7881</v>
      </c>
      <c r="C1890" s="3">
        <v>2024</v>
      </c>
      <c r="D1890" s="3" t="s">
        <v>1132</v>
      </c>
      <c r="E1890" s="3" t="s">
        <v>15</v>
      </c>
      <c r="F1890" s="1" t="s">
        <v>7834</v>
      </c>
      <c r="G1890" s="10"/>
      <c r="H1890" s="10"/>
      <c r="I1890" s="10"/>
      <c r="J1890" s="10"/>
      <c r="K1890" s="10"/>
      <c r="L1890" s="3" t="s">
        <v>7931</v>
      </c>
      <c r="M1890" s="3" t="s">
        <v>7932</v>
      </c>
      <c r="N1890" s="3" t="s">
        <v>2253</v>
      </c>
      <c r="O1890" s="3">
        <v>196</v>
      </c>
      <c r="P1890" s="3"/>
      <c r="Q1890" s="3" t="s">
        <v>7933</v>
      </c>
      <c r="R1890" s="3">
        <v>1</v>
      </c>
      <c r="S1890" s="3" t="s">
        <v>2254</v>
      </c>
      <c r="T1890" s="3" t="s">
        <v>21</v>
      </c>
      <c r="U1890" s="11">
        <v>290</v>
      </c>
      <c r="V1890" s="3" t="s">
        <v>7881</v>
      </c>
      <c r="W1890" s="8" t="s">
        <v>7834</v>
      </c>
    </row>
    <row r="1891" spans="1:23" x14ac:dyDescent="0.25">
      <c r="A1891" s="2">
        <v>1684</v>
      </c>
      <c r="B1891" s="3" t="s">
        <v>7881</v>
      </c>
      <c r="C1891" s="3">
        <v>2024</v>
      </c>
      <c r="D1891" s="3" t="s">
        <v>2547</v>
      </c>
      <c r="E1891" s="3" t="s">
        <v>15</v>
      </c>
      <c r="F1891" s="1" t="s">
        <v>7834</v>
      </c>
      <c r="G1891" s="10"/>
      <c r="H1891" s="10"/>
      <c r="I1891" s="10"/>
      <c r="J1891" s="10"/>
      <c r="K1891" s="10"/>
      <c r="L1891" s="3" t="s">
        <v>1894</v>
      </c>
      <c r="M1891" s="3" t="s">
        <v>7934</v>
      </c>
      <c r="N1891" s="3" t="s">
        <v>1896</v>
      </c>
      <c r="O1891" s="3"/>
      <c r="P1891" s="3"/>
      <c r="Q1891" s="3">
        <v>812</v>
      </c>
      <c r="R1891" s="3">
        <v>9692126</v>
      </c>
      <c r="S1891" s="3" t="s">
        <v>1898</v>
      </c>
      <c r="T1891" s="3" t="s">
        <v>21</v>
      </c>
      <c r="U1891" s="11">
        <v>291</v>
      </c>
      <c r="V1891" s="3" t="s">
        <v>7881</v>
      </c>
      <c r="W1891" s="8" t="s">
        <v>7834</v>
      </c>
    </row>
    <row r="1892" spans="1:23" x14ac:dyDescent="0.25">
      <c r="A1892" s="2">
        <v>1685</v>
      </c>
      <c r="B1892" s="3" t="s">
        <v>7881</v>
      </c>
      <c r="C1892" s="3">
        <v>2024</v>
      </c>
      <c r="D1892" s="3" t="s">
        <v>999</v>
      </c>
      <c r="E1892" s="3" t="s">
        <v>15</v>
      </c>
      <c r="F1892" s="1" t="s">
        <v>7834</v>
      </c>
      <c r="G1892" s="10"/>
      <c r="H1892" s="10"/>
      <c r="I1892" s="10"/>
      <c r="J1892" s="10"/>
      <c r="K1892" s="10"/>
      <c r="L1892" s="3" t="s">
        <v>7935</v>
      </c>
      <c r="M1892" s="3" t="s">
        <v>7936</v>
      </c>
      <c r="N1892" s="3" t="s">
        <v>1677</v>
      </c>
      <c r="O1892" s="3"/>
      <c r="P1892" s="3"/>
      <c r="Q1892" s="3">
        <v>603</v>
      </c>
      <c r="R1892" s="3">
        <v>22237747</v>
      </c>
      <c r="S1892" s="3" t="s">
        <v>1679</v>
      </c>
      <c r="T1892" s="3" t="s">
        <v>21</v>
      </c>
      <c r="U1892" s="11">
        <v>292</v>
      </c>
      <c r="V1892" s="3" t="s">
        <v>7881</v>
      </c>
      <c r="W1892" s="8" t="s">
        <v>7834</v>
      </c>
    </row>
    <row r="1893" spans="1:23" x14ac:dyDescent="0.25">
      <c r="A1893" s="2">
        <v>1686</v>
      </c>
      <c r="B1893" s="3" t="s">
        <v>7881</v>
      </c>
      <c r="C1893" s="3">
        <v>2024</v>
      </c>
      <c r="D1893" s="3" t="s">
        <v>14</v>
      </c>
      <c r="E1893" s="3" t="s">
        <v>15</v>
      </c>
      <c r="F1893" s="1" t="s">
        <v>7834</v>
      </c>
      <c r="G1893" s="10"/>
      <c r="H1893" s="10"/>
      <c r="I1893" s="10"/>
      <c r="J1893" s="10"/>
      <c r="K1893" s="10"/>
      <c r="L1893" s="3" t="s">
        <v>1655</v>
      </c>
      <c r="M1893" s="3" t="s">
        <v>1655</v>
      </c>
      <c r="N1893" s="3" t="s">
        <v>1657</v>
      </c>
      <c r="O1893" s="3"/>
      <c r="P1893" s="3"/>
      <c r="Q1893" s="3">
        <v>364</v>
      </c>
      <c r="R1893" s="3" t="s">
        <v>7894</v>
      </c>
      <c r="S1893" s="3" t="s">
        <v>7937</v>
      </c>
      <c r="T1893" s="3" t="s">
        <v>21</v>
      </c>
      <c r="U1893" s="11">
        <v>293</v>
      </c>
      <c r="V1893" s="3" t="s">
        <v>7881</v>
      </c>
      <c r="W1893" s="8" t="s">
        <v>7834</v>
      </c>
    </row>
    <row r="1894" spans="1:23" x14ac:dyDescent="0.25">
      <c r="A1894" s="2">
        <v>1687</v>
      </c>
      <c r="B1894" s="3" t="s">
        <v>7881</v>
      </c>
      <c r="C1894" s="3">
        <v>2024</v>
      </c>
      <c r="D1894" s="3" t="s">
        <v>2332</v>
      </c>
      <c r="E1894" s="3" t="s">
        <v>15</v>
      </c>
      <c r="F1894" s="1" t="s">
        <v>7834</v>
      </c>
      <c r="G1894" s="10"/>
      <c r="H1894" s="10"/>
      <c r="I1894" s="10"/>
      <c r="J1894" s="10"/>
      <c r="K1894" s="10"/>
      <c r="L1894" s="3" t="s">
        <v>7938</v>
      </c>
      <c r="M1894" s="3" t="s">
        <v>7939</v>
      </c>
      <c r="N1894" s="3" t="s">
        <v>1657</v>
      </c>
      <c r="O1894" s="3"/>
      <c r="P1894" s="3"/>
      <c r="Q1894" s="3">
        <v>2193</v>
      </c>
      <c r="R1894" s="3" t="s">
        <v>7894</v>
      </c>
      <c r="S1894" s="3" t="s">
        <v>2335</v>
      </c>
      <c r="T1894" s="3" t="s">
        <v>21</v>
      </c>
      <c r="U1894" s="11">
        <v>294</v>
      </c>
      <c r="V1894" s="3" t="s">
        <v>7881</v>
      </c>
      <c r="W1894" s="8" t="s">
        <v>7834</v>
      </c>
    </row>
    <row r="1895" spans="1:23" x14ac:dyDescent="0.25">
      <c r="A1895" s="2">
        <v>1689</v>
      </c>
      <c r="B1895" s="3" t="s">
        <v>7881</v>
      </c>
      <c r="C1895" s="3">
        <v>2024</v>
      </c>
      <c r="D1895" s="3" t="s">
        <v>1751</v>
      </c>
      <c r="E1895" s="3" t="s">
        <v>15</v>
      </c>
      <c r="F1895" s="1" t="s">
        <v>7834</v>
      </c>
      <c r="G1895" s="10"/>
      <c r="H1895" s="10"/>
      <c r="I1895" s="10"/>
      <c r="J1895" s="10"/>
      <c r="K1895" s="10"/>
      <c r="L1895" s="3" t="s">
        <v>7945</v>
      </c>
      <c r="M1895" s="3" t="s">
        <v>7946</v>
      </c>
      <c r="N1895" s="3" t="s">
        <v>1754</v>
      </c>
      <c r="O1895" s="3"/>
      <c r="P1895" s="3"/>
      <c r="Q1895" s="3"/>
      <c r="R1895" s="3" t="s">
        <v>7947</v>
      </c>
      <c r="S1895" s="3" t="s">
        <v>1756</v>
      </c>
      <c r="T1895" s="3" t="s">
        <v>21</v>
      </c>
      <c r="U1895" s="11">
        <v>295</v>
      </c>
      <c r="V1895" s="3" t="s">
        <v>7881</v>
      </c>
      <c r="W1895" s="8" t="s">
        <v>7834</v>
      </c>
    </row>
    <row r="1896" spans="1:23" x14ac:dyDescent="0.25">
      <c r="A1896" s="2">
        <v>1690</v>
      </c>
      <c r="B1896" s="3" t="s">
        <v>7881</v>
      </c>
      <c r="C1896" s="3">
        <v>2024</v>
      </c>
      <c r="D1896" s="3" t="s">
        <v>2116</v>
      </c>
      <c r="E1896" s="3" t="s">
        <v>15</v>
      </c>
      <c r="F1896" s="1" t="s">
        <v>7834</v>
      </c>
      <c r="G1896" s="10">
        <v>25</v>
      </c>
      <c r="H1896" s="10"/>
      <c r="I1896" s="10"/>
      <c r="J1896" s="10"/>
      <c r="K1896" s="10"/>
      <c r="L1896" s="3" t="s">
        <v>2390</v>
      </c>
      <c r="M1896" s="3" t="s">
        <v>7948</v>
      </c>
      <c r="N1896" s="3" t="s">
        <v>874</v>
      </c>
      <c r="O1896" s="3"/>
      <c r="P1896" s="3"/>
      <c r="Q1896" s="3"/>
      <c r="R1896" s="3">
        <v>18914</v>
      </c>
      <c r="S1896" s="3" t="s">
        <v>7949</v>
      </c>
      <c r="T1896" s="3" t="s">
        <v>21</v>
      </c>
      <c r="U1896" s="11">
        <v>296</v>
      </c>
      <c r="V1896" s="3" t="s">
        <v>7881</v>
      </c>
      <c r="W1896" s="8" t="s">
        <v>7834</v>
      </c>
    </row>
    <row r="1897" spans="1:23" x14ac:dyDescent="0.25">
      <c r="A1897" s="2">
        <v>1696</v>
      </c>
      <c r="B1897" s="3" t="s">
        <v>7950</v>
      </c>
      <c r="C1897" s="3">
        <v>2024</v>
      </c>
      <c r="D1897" s="3" t="s">
        <v>7782</v>
      </c>
      <c r="E1897" s="3" t="s">
        <v>15</v>
      </c>
      <c r="F1897" s="1" t="s">
        <v>7834</v>
      </c>
      <c r="G1897" s="10"/>
      <c r="H1897" s="10"/>
      <c r="I1897" s="10"/>
      <c r="J1897" s="10"/>
      <c r="K1897" s="10"/>
      <c r="L1897" s="3" t="s">
        <v>7976</v>
      </c>
      <c r="M1897" s="3" t="s">
        <v>7977</v>
      </c>
      <c r="N1897" s="3" t="s">
        <v>7978</v>
      </c>
      <c r="O1897" s="3">
        <v>14</v>
      </c>
      <c r="P1897" s="3">
        <v>3</v>
      </c>
      <c r="Q1897" s="3"/>
      <c r="R1897" s="3" t="s">
        <v>7979</v>
      </c>
      <c r="S1897" s="3" t="s">
        <v>7980</v>
      </c>
      <c r="T1897" s="3" t="s">
        <v>21</v>
      </c>
      <c r="U1897" s="11">
        <v>297</v>
      </c>
      <c r="V1897" s="3" t="s">
        <v>7950</v>
      </c>
      <c r="W1897" s="8" t="s">
        <v>7834</v>
      </c>
    </row>
    <row r="1898" spans="1:23" x14ac:dyDescent="0.25">
      <c r="A1898" s="2">
        <v>1703</v>
      </c>
      <c r="B1898" s="3" t="s">
        <v>7950</v>
      </c>
      <c r="C1898" s="3">
        <v>2024</v>
      </c>
      <c r="D1898" s="3" t="s">
        <v>120</v>
      </c>
      <c r="E1898" s="3" t="s">
        <v>15</v>
      </c>
      <c r="F1898" s="1" t="s">
        <v>7834</v>
      </c>
      <c r="G1898" s="10"/>
      <c r="H1898" s="10"/>
      <c r="I1898" s="10"/>
      <c r="J1898" s="10"/>
      <c r="K1898" s="10"/>
      <c r="L1898" s="3" t="s">
        <v>8008</v>
      </c>
      <c r="M1898" s="3" t="s">
        <v>8009</v>
      </c>
      <c r="N1898" s="3" t="s">
        <v>8010</v>
      </c>
      <c r="O1898" s="3"/>
      <c r="P1898" s="3"/>
      <c r="Q1898" s="3"/>
      <c r="R1898" s="3" t="s">
        <v>8011</v>
      </c>
      <c r="S1898" s="3" t="s">
        <v>8012</v>
      </c>
      <c r="T1898" s="3" t="s">
        <v>21</v>
      </c>
      <c r="U1898" s="11">
        <v>298</v>
      </c>
      <c r="V1898" s="3" t="s">
        <v>7950</v>
      </c>
      <c r="W1898" s="8" t="s">
        <v>7834</v>
      </c>
    </row>
    <row r="1899" spans="1:23" x14ac:dyDescent="0.25">
      <c r="A1899" s="2">
        <v>1707</v>
      </c>
      <c r="B1899" s="3" t="s">
        <v>7950</v>
      </c>
      <c r="C1899" s="3">
        <v>2024</v>
      </c>
      <c r="D1899" s="3" t="s">
        <v>93</v>
      </c>
      <c r="E1899" s="3" t="s">
        <v>15</v>
      </c>
      <c r="F1899" s="1" t="s">
        <v>7834</v>
      </c>
      <c r="G1899" s="10"/>
      <c r="H1899" s="10"/>
      <c r="I1899" s="10"/>
      <c r="J1899" s="10"/>
      <c r="K1899" s="10"/>
      <c r="L1899" s="3" t="s">
        <v>8024</v>
      </c>
      <c r="M1899" s="3" t="s">
        <v>8025</v>
      </c>
      <c r="N1899" s="3" t="s">
        <v>8026</v>
      </c>
      <c r="O1899" s="3">
        <v>168</v>
      </c>
      <c r="P1899" s="3"/>
      <c r="Q1899" s="3"/>
      <c r="R1899" s="3" t="s">
        <v>8027</v>
      </c>
      <c r="S1899" s="3" t="s">
        <v>8028</v>
      </c>
      <c r="T1899" s="3" t="s">
        <v>21</v>
      </c>
      <c r="U1899" s="11">
        <v>299</v>
      </c>
      <c r="V1899" s="3" t="s">
        <v>7950</v>
      </c>
      <c r="W1899" s="8" t="s">
        <v>7834</v>
      </c>
    </row>
    <row r="1900" spans="1:23" x14ac:dyDescent="0.25">
      <c r="A1900" s="2">
        <v>1709</v>
      </c>
      <c r="B1900" s="3" t="s">
        <v>7950</v>
      </c>
      <c r="C1900" s="3">
        <v>2024</v>
      </c>
      <c r="D1900" s="3" t="s">
        <v>63</v>
      </c>
      <c r="E1900" s="3" t="s">
        <v>15</v>
      </c>
      <c r="F1900" s="1" t="s">
        <v>7834</v>
      </c>
      <c r="G1900" s="10">
        <v>11</v>
      </c>
      <c r="H1900" s="10"/>
      <c r="I1900" s="10"/>
      <c r="J1900" s="10"/>
      <c r="K1900" s="10"/>
      <c r="L1900" s="3" t="s">
        <v>8033</v>
      </c>
      <c r="M1900" s="3" t="s">
        <v>8034</v>
      </c>
      <c r="N1900" s="3" t="s">
        <v>8035</v>
      </c>
      <c r="O1900" s="3">
        <v>103</v>
      </c>
      <c r="P1900" s="3"/>
      <c r="Q1900" s="3"/>
      <c r="R1900" s="3" t="s">
        <v>8036</v>
      </c>
      <c r="S1900" s="3" t="s">
        <v>8037</v>
      </c>
      <c r="T1900" s="3" t="s">
        <v>21</v>
      </c>
      <c r="U1900" s="11">
        <v>300</v>
      </c>
      <c r="V1900" s="3" t="s">
        <v>7950</v>
      </c>
      <c r="W1900" s="8" t="s">
        <v>7834</v>
      </c>
    </row>
    <row r="1901" spans="1:23" x14ac:dyDescent="0.25">
      <c r="A1901" s="2">
        <v>1702</v>
      </c>
      <c r="B1901" s="3" t="s">
        <v>7950</v>
      </c>
      <c r="C1901" s="3">
        <v>2024</v>
      </c>
      <c r="D1901" s="3" t="s">
        <v>38</v>
      </c>
      <c r="E1901" s="3" t="s">
        <v>206</v>
      </c>
      <c r="F1901" s="1" t="s">
        <v>7834</v>
      </c>
      <c r="G1901" s="10"/>
      <c r="H1901" s="10"/>
      <c r="I1901" s="10"/>
      <c r="J1901" s="10"/>
      <c r="K1901" s="10"/>
      <c r="L1901" s="3" t="s">
        <v>8004</v>
      </c>
      <c r="M1901" s="3" t="s">
        <v>8005</v>
      </c>
      <c r="N1901" s="3" t="s">
        <v>8006</v>
      </c>
      <c r="O1901" s="3"/>
      <c r="P1901" s="3"/>
      <c r="Q1901" s="3"/>
      <c r="R1901" s="3"/>
      <c r="S1901" s="3" t="s">
        <v>8007</v>
      </c>
      <c r="T1901" s="3" t="s">
        <v>21</v>
      </c>
      <c r="U1901" s="11">
        <v>301</v>
      </c>
      <c r="V1901" s="3" t="s">
        <v>7950</v>
      </c>
      <c r="W1901" s="8" t="s">
        <v>7834</v>
      </c>
    </row>
    <row r="1902" spans="1:23" x14ac:dyDescent="0.25">
      <c r="A1902" s="2">
        <v>1714</v>
      </c>
      <c r="B1902" s="3" t="s">
        <v>6738</v>
      </c>
      <c r="C1902" s="3">
        <v>2024</v>
      </c>
      <c r="D1902" s="3" t="s">
        <v>7662</v>
      </c>
      <c r="E1902" s="3" t="s">
        <v>15</v>
      </c>
      <c r="F1902" s="1" t="s">
        <v>7834</v>
      </c>
      <c r="G1902" s="10"/>
      <c r="H1902" s="10"/>
      <c r="I1902" s="10"/>
      <c r="J1902" s="10"/>
      <c r="K1902" s="10"/>
      <c r="L1902" s="3" t="s">
        <v>8057</v>
      </c>
      <c r="M1902" s="3" t="s">
        <v>8058</v>
      </c>
      <c r="N1902" s="3" t="s">
        <v>8059</v>
      </c>
      <c r="O1902" s="3">
        <v>58</v>
      </c>
      <c r="P1902" s="3">
        <v>8</v>
      </c>
      <c r="Q1902" s="3">
        <v>1760</v>
      </c>
      <c r="R1902" s="3" t="s">
        <v>8060</v>
      </c>
      <c r="S1902" s="3" t="s">
        <v>8061</v>
      </c>
      <c r="T1902" s="3" t="s">
        <v>21</v>
      </c>
      <c r="U1902" s="11">
        <v>302</v>
      </c>
      <c r="V1902" s="3" t="s">
        <v>6738</v>
      </c>
      <c r="W1902" s="8" t="s">
        <v>7834</v>
      </c>
    </row>
    <row r="1903" spans="1:23" x14ac:dyDescent="0.25">
      <c r="A1903" s="2">
        <v>1725</v>
      </c>
      <c r="B1903" s="3" t="s">
        <v>6738</v>
      </c>
      <c r="C1903" s="3">
        <v>2024</v>
      </c>
      <c r="D1903" s="3" t="s">
        <v>120</v>
      </c>
      <c r="E1903" s="3" t="s">
        <v>15</v>
      </c>
      <c r="F1903" s="1" t="s">
        <v>7834</v>
      </c>
      <c r="G1903" s="10"/>
      <c r="H1903" s="10"/>
      <c r="I1903" s="10"/>
      <c r="J1903" s="10"/>
      <c r="K1903" s="10"/>
      <c r="L1903" s="3" t="s">
        <v>8101</v>
      </c>
      <c r="M1903" s="3" t="s">
        <v>8102</v>
      </c>
      <c r="N1903" s="3" t="s">
        <v>1523</v>
      </c>
      <c r="O1903" s="3">
        <v>105</v>
      </c>
      <c r="P1903" s="3">
        <v>5</v>
      </c>
      <c r="Q1903" s="3" t="s">
        <v>8103</v>
      </c>
      <c r="R1903" s="3" t="s">
        <v>1524</v>
      </c>
      <c r="S1903" s="3" t="s">
        <v>1525</v>
      </c>
      <c r="T1903" s="3" t="s">
        <v>21</v>
      </c>
      <c r="U1903" s="11">
        <v>303</v>
      </c>
      <c r="V1903" s="3" t="s">
        <v>6738</v>
      </c>
      <c r="W1903" s="8" t="s">
        <v>7834</v>
      </c>
    </row>
    <row r="1904" spans="1:23" x14ac:dyDescent="0.25">
      <c r="A1904" s="2">
        <v>1727</v>
      </c>
      <c r="B1904" s="3" t="s">
        <v>6738</v>
      </c>
      <c r="C1904" s="3">
        <v>2024</v>
      </c>
      <c r="D1904" s="3" t="s">
        <v>2629</v>
      </c>
      <c r="E1904" s="3" t="s">
        <v>15</v>
      </c>
      <c r="F1904" s="1" t="s">
        <v>7834</v>
      </c>
      <c r="G1904" s="10"/>
      <c r="H1904" s="10"/>
      <c r="I1904" s="10"/>
      <c r="J1904" s="10"/>
      <c r="K1904" s="10"/>
      <c r="L1904" s="3" t="s">
        <v>8107</v>
      </c>
      <c r="M1904" s="3" t="s">
        <v>8108</v>
      </c>
      <c r="N1904" s="3" t="s">
        <v>445</v>
      </c>
      <c r="O1904" s="3">
        <v>92</v>
      </c>
      <c r="P1904" s="3"/>
      <c r="Q1904" s="3"/>
      <c r="R1904" s="3" t="s">
        <v>446</v>
      </c>
      <c r="S1904" s="3" t="s">
        <v>8109</v>
      </c>
      <c r="T1904" s="3" t="s">
        <v>21</v>
      </c>
      <c r="U1904" s="11">
        <v>304</v>
      </c>
      <c r="V1904" s="3" t="s">
        <v>6738</v>
      </c>
      <c r="W1904" s="8" t="s">
        <v>7834</v>
      </c>
    </row>
    <row r="1905" spans="1:23" x14ac:dyDescent="0.25">
      <c r="A1905" s="2">
        <v>1728</v>
      </c>
      <c r="B1905" s="3" t="s">
        <v>6738</v>
      </c>
      <c r="C1905" s="3">
        <v>2024</v>
      </c>
      <c r="D1905" s="3" t="s">
        <v>1142</v>
      </c>
      <c r="E1905" s="3" t="s">
        <v>15</v>
      </c>
      <c r="F1905" s="1" t="s">
        <v>7834</v>
      </c>
      <c r="G1905" s="10"/>
      <c r="H1905" s="10"/>
      <c r="I1905" s="10"/>
      <c r="J1905" s="10"/>
      <c r="K1905" s="10"/>
      <c r="L1905" s="3" t="s">
        <v>8110</v>
      </c>
      <c r="M1905" s="3" t="s">
        <v>8111</v>
      </c>
      <c r="N1905" s="3" t="s">
        <v>8112</v>
      </c>
      <c r="O1905" s="3"/>
      <c r="P1905" s="3"/>
      <c r="Q1905" s="3">
        <v>44197</v>
      </c>
      <c r="R1905" s="3" t="s">
        <v>8113</v>
      </c>
      <c r="S1905" s="3" t="s">
        <v>8114</v>
      </c>
      <c r="T1905" s="3" t="s">
        <v>21</v>
      </c>
      <c r="U1905" s="11">
        <v>305</v>
      </c>
      <c r="V1905" s="3" t="s">
        <v>6738</v>
      </c>
      <c r="W1905" s="8" t="s">
        <v>7834</v>
      </c>
    </row>
    <row r="1906" spans="1:23" x14ac:dyDescent="0.25">
      <c r="A1906" s="2">
        <v>1731</v>
      </c>
      <c r="B1906" s="3" t="s">
        <v>6738</v>
      </c>
      <c r="C1906" s="3">
        <v>2024</v>
      </c>
      <c r="D1906" s="3" t="s">
        <v>1227</v>
      </c>
      <c r="E1906" s="3" t="s">
        <v>15</v>
      </c>
      <c r="F1906" s="1" t="s">
        <v>7834</v>
      </c>
      <c r="G1906" s="10"/>
      <c r="H1906" s="10"/>
      <c r="I1906" s="10"/>
      <c r="J1906" s="10"/>
      <c r="K1906" s="10"/>
      <c r="L1906" s="3" t="s">
        <v>8123</v>
      </c>
      <c r="M1906" s="3" t="s">
        <v>6795</v>
      </c>
      <c r="N1906" s="3" t="s">
        <v>8124</v>
      </c>
      <c r="O1906" s="3">
        <v>13</v>
      </c>
      <c r="P1906" s="3">
        <v>1</v>
      </c>
      <c r="Q1906" s="3">
        <v>42005</v>
      </c>
      <c r="R1906" s="3" t="s">
        <v>8125</v>
      </c>
      <c r="S1906" s="3" t="s">
        <v>8126</v>
      </c>
      <c r="T1906" s="3" t="s">
        <v>21</v>
      </c>
      <c r="U1906" s="11">
        <v>306</v>
      </c>
      <c r="V1906" s="3" t="s">
        <v>6738</v>
      </c>
      <c r="W1906" s="8" t="s">
        <v>7834</v>
      </c>
    </row>
    <row r="1907" spans="1:23" x14ac:dyDescent="0.25">
      <c r="A1907" s="2">
        <v>1732</v>
      </c>
      <c r="B1907" s="3" t="s">
        <v>6738</v>
      </c>
      <c r="C1907" s="3">
        <v>2024</v>
      </c>
      <c r="D1907" s="3" t="s">
        <v>1788</v>
      </c>
      <c r="E1907" s="3" t="s">
        <v>15</v>
      </c>
      <c r="F1907" s="1" t="s">
        <v>7834</v>
      </c>
      <c r="G1907" s="10"/>
      <c r="H1907" s="10"/>
      <c r="I1907" s="10"/>
      <c r="J1907" s="10"/>
      <c r="K1907" s="10"/>
      <c r="L1907" s="3" t="s">
        <v>8127</v>
      </c>
      <c r="M1907" s="3" t="s">
        <v>8128</v>
      </c>
      <c r="N1907" s="3" t="s">
        <v>8129</v>
      </c>
      <c r="O1907" s="3"/>
      <c r="P1907" s="3"/>
      <c r="Q1907" s="3">
        <v>45658</v>
      </c>
      <c r="R1907" s="3" t="s">
        <v>8130</v>
      </c>
      <c r="S1907" s="3" t="s">
        <v>8131</v>
      </c>
      <c r="T1907" s="3" t="s">
        <v>21</v>
      </c>
      <c r="U1907" s="11">
        <v>307</v>
      </c>
      <c r="V1907" s="3" t="s">
        <v>6738</v>
      </c>
      <c r="W1907" s="8" t="s">
        <v>7834</v>
      </c>
    </row>
    <row r="1908" spans="1:23" x14ac:dyDescent="0.25">
      <c r="A1908" s="2">
        <v>1733</v>
      </c>
      <c r="B1908" s="3" t="s">
        <v>6738</v>
      </c>
      <c r="C1908" s="3">
        <v>2024</v>
      </c>
      <c r="D1908" s="3" t="s">
        <v>633</v>
      </c>
      <c r="E1908" s="3" t="s">
        <v>15</v>
      </c>
      <c r="F1908" s="1" t="s">
        <v>7834</v>
      </c>
      <c r="G1908" s="10"/>
      <c r="H1908" s="10"/>
      <c r="I1908" s="10"/>
      <c r="J1908" s="10"/>
      <c r="K1908" s="10"/>
      <c r="L1908" s="3" t="s">
        <v>8132</v>
      </c>
      <c r="M1908" s="3" t="s">
        <v>8133</v>
      </c>
      <c r="N1908" s="3" t="s">
        <v>8134</v>
      </c>
      <c r="O1908" s="3"/>
      <c r="P1908" s="3"/>
      <c r="Q1908" s="3">
        <v>45962</v>
      </c>
      <c r="R1908" s="3" t="s">
        <v>8135</v>
      </c>
      <c r="S1908" s="3" t="s">
        <v>8136</v>
      </c>
      <c r="T1908" s="3" t="s">
        <v>21</v>
      </c>
      <c r="U1908" s="11">
        <v>308</v>
      </c>
      <c r="V1908" s="3" t="s">
        <v>6738</v>
      </c>
      <c r="W1908" s="8" t="s">
        <v>7834</v>
      </c>
    </row>
    <row r="1909" spans="1:23" x14ac:dyDescent="0.25">
      <c r="A1909" s="2">
        <v>1736</v>
      </c>
      <c r="B1909" s="3" t="s">
        <v>6738</v>
      </c>
      <c r="C1909" s="3">
        <v>2024</v>
      </c>
      <c r="D1909" s="3" t="s">
        <v>903</v>
      </c>
      <c r="E1909" s="3" t="s">
        <v>15</v>
      </c>
      <c r="F1909" s="1" t="s">
        <v>7834</v>
      </c>
      <c r="G1909" s="10"/>
      <c r="H1909" s="10"/>
      <c r="I1909" s="10"/>
      <c r="J1909" s="10"/>
      <c r="K1909" s="10"/>
      <c r="L1909" s="3" t="s">
        <v>8146</v>
      </c>
      <c r="M1909" s="3" t="s">
        <v>8147</v>
      </c>
      <c r="N1909" s="3" t="s">
        <v>8148</v>
      </c>
      <c r="O1909" s="3">
        <v>23</v>
      </c>
      <c r="P1909" s="3">
        <v>1</v>
      </c>
      <c r="Q1909" s="3" t="s">
        <v>8149</v>
      </c>
      <c r="R1909" s="3" t="s">
        <v>8150</v>
      </c>
      <c r="S1909" s="3" t="s">
        <v>8151</v>
      </c>
      <c r="T1909" s="3" t="s">
        <v>21</v>
      </c>
      <c r="U1909" s="11">
        <v>309</v>
      </c>
      <c r="V1909" s="3" t="s">
        <v>6738</v>
      </c>
      <c r="W1909" s="8" t="s">
        <v>7834</v>
      </c>
    </row>
    <row r="1910" spans="1:23" x14ac:dyDescent="0.25">
      <c r="A1910" s="2">
        <v>1737</v>
      </c>
      <c r="B1910" s="3" t="s">
        <v>6738</v>
      </c>
      <c r="C1910" s="3">
        <v>2024</v>
      </c>
      <c r="D1910" s="3" t="s">
        <v>6516</v>
      </c>
      <c r="E1910" s="3" t="s">
        <v>15</v>
      </c>
      <c r="F1910" s="1" t="s">
        <v>7834</v>
      </c>
      <c r="G1910" s="10"/>
      <c r="H1910" s="10"/>
      <c r="I1910" s="10"/>
      <c r="J1910" s="10"/>
      <c r="K1910" s="10"/>
      <c r="L1910" s="3" t="s">
        <v>8152</v>
      </c>
      <c r="M1910" s="3" t="s">
        <v>8153</v>
      </c>
      <c r="N1910" s="3" t="s">
        <v>8154</v>
      </c>
      <c r="O1910" s="3">
        <v>17</v>
      </c>
      <c r="P1910" s="3">
        <v>2</v>
      </c>
      <c r="Q1910" s="3" t="s">
        <v>8155</v>
      </c>
      <c r="R1910" s="3" t="s">
        <v>8156</v>
      </c>
      <c r="S1910" s="3" t="s">
        <v>6787</v>
      </c>
      <c r="T1910" s="3" t="s">
        <v>21</v>
      </c>
      <c r="U1910" s="11">
        <v>310</v>
      </c>
      <c r="V1910" s="3" t="s">
        <v>6738</v>
      </c>
      <c r="W1910" s="8" t="s">
        <v>7834</v>
      </c>
    </row>
    <row r="1911" spans="1:23" x14ac:dyDescent="0.25">
      <c r="A1911" s="2">
        <v>1738</v>
      </c>
      <c r="B1911" s="3" t="s">
        <v>6738</v>
      </c>
      <c r="C1911" s="3">
        <v>2024</v>
      </c>
      <c r="D1911" s="3" t="s">
        <v>2750</v>
      </c>
      <c r="E1911" s="3" t="s">
        <v>15</v>
      </c>
      <c r="F1911" s="1" t="s">
        <v>7834</v>
      </c>
      <c r="G1911" s="10"/>
      <c r="H1911" s="10"/>
      <c r="I1911" s="10"/>
      <c r="J1911" s="10"/>
      <c r="K1911" s="10"/>
      <c r="L1911" s="3" t="s">
        <v>6734</v>
      </c>
      <c r="M1911" s="3" t="s">
        <v>6735</v>
      </c>
      <c r="N1911" s="3" t="s">
        <v>1462</v>
      </c>
      <c r="O1911" s="3">
        <v>36</v>
      </c>
      <c r="P1911" s="3">
        <v>2</v>
      </c>
      <c r="Q1911" s="6">
        <v>45992</v>
      </c>
      <c r="R1911" s="3" t="s">
        <v>6736</v>
      </c>
      <c r="S1911" s="3" t="s">
        <v>6737</v>
      </c>
      <c r="T1911" s="3" t="s">
        <v>21</v>
      </c>
      <c r="U1911" s="11">
        <v>311</v>
      </c>
      <c r="V1911" s="3" t="s">
        <v>6738</v>
      </c>
      <c r="W1911" s="8" t="s">
        <v>7834</v>
      </c>
    </row>
    <row r="1912" spans="1:23" x14ac:dyDescent="0.25">
      <c r="A1912" s="2">
        <v>1739</v>
      </c>
      <c r="B1912" s="3" t="s">
        <v>6738</v>
      </c>
      <c r="C1912" s="3">
        <v>2024</v>
      </c>
      <c r="D1912" s="3" t="s">
        <v>1872</v>
      </c>
      <c r="E1912" s="3" t="s">
        <v>15</v>
      </c>
      <c r="F1912" s="1" t="s">
        <v>7834</v>
      </c>
      <c r="G1912" s="10"/>
      <c r="H1912" s="10"/>
      <c r="I1912" s="10"/>
      <c r="J1912" s="10"/>
      <c r="K1912" s="10"/>
      <c r="L1912" s="3" t="s">
        <v>6739</v>
      </c>
      <c r="M1912" s="3" t="s">
        <v>6740</v>
      </c>
      <c r="N1912" s="3" t="s">
        <v>6741</v>
      </c>
      <c r="O1912" s="3">
        <v>78</v>
      </c>
      <c r="P1912" s="3">
        <v>1</v>
      </c>
      <c r="Q1912" s="3" t="s">
        <v>6742</v>
      </c>
      <c r="R1912" s="3" t="s">
        <v>6743</v>
      </c>
      <c r="S1912" s="3" t="s">
        <v>6744</v>
      </c>
      <c r="T1912" s="3" t="s">
        <v>21</v>
      </c>
      <c r="U1912" s="11">
        <v>312</v>
      </c>
      <c r="V1912" s="3" t="s">
        <v>6738</v>
      </c>
      <c r="W1912" s="8" t="s">
        <v>7834</v>
      </c>
    </row>
    <row r="1913" spans="1:23" x14ac:dyDescent="0.25">
      <c r="A1913" s="2">
        <v>1744</v>
      </c>
      <c r="B1913" s="3" t="s">
        <v>6738</v>
      </c>
      <c r="C1913" s="3">
        <v>2024</v>
      </c>
      <c r="D1913" s="3" t="s">
        <v>964</v>
      </c>
      <c r="E1913" s="3" t="s">
        <v>15</v>
      </c>
      <c r="F1913" s="1" t="s">
        <v>7834</v>
      </c>
      <c r="G1913" s="10"/>
      <c r="H1913" s="10"/>
      <c r="I1913" s="10"/>
      <c r="J1913" s="10"/>
      <c r="K1913" s="10"/>
      <c r="L1913" s="3" t="s">
        <v>6767</v>
      </c>
      <c r="M1913" s="3" t="s">
        <v>6768</v>
      </c>
      <c r="N1913" s="3" t="s">
        <v>6769</v>
      </c>
      <c r="O1913" s="3">
        <v>59</v>
      </c>
      <c r="P1913" s="3">
        <v>2</v>
      </c>
      <c r="Q1913" s="3" t="s">
        <v>6770</v>
      </c>
      <c r="R1913" s="3" t="s">
        <v>6771</v>
      </c>
      <c r="S1913" s="3" t="s">
        <v>6772</v>
      </c>
      <c r="T1913" s="3" t="s">
        <v>21</v>
      </c>
      <c r="U1913" s="11">
        <v>313</v>
      </c>
      <c r="V1913" s="3" t="s">
        <v>6738</v>
      </c>
      <c r="W1913" s="8" t="s">
        <v>7834</v>
      </c>
    </row>
    <row r="1914" spans="1:23" x14ac:dyDescent="0.25">
      <c r="A1914" s="2">
        <v>1758</v>
      </c>
      <c r="B1914" s="3" t="s">
        <v>6738</v>
      </c>
      <c r="C1914" s="3">
        <v>2024</v>
      </c>
      <c r="D1914" s="3" t="s">
        <v>1497</v>
      </c>
      <c r="E1914" s="3" t="s">
        <v>15</v>
      </c>
      <c r="F1914" s="1" t="s">
        <v>7834</v>
      </c>
      <c r="G1914" s="10"/>
      <c r="H1914" s="10"/>
      <c r="I1914" s="10"/>
      <c r="J1914" s="10"/>
      <c r="K1914" s="10"/>
      <c r="L1914" s="3" t="s">
        <v>6839</v>
      </c>
      <c r="M1914" s="3" t="s">
        <v>6840</v>
      </c>
      <c r="N1914" s="3" t="s">
        <v>6841</v>
      </c>
      <c r="O1914" s="3">
        <v>49</v>
      </c>
      <c r="P1914" s="3">
        <v>2</v>
      </c>
      <c r="Q1914" s="3" t="s">
        <v>6842</v>
      </c>
      <c r="R1914" s="3" t="s">
        <v>6843</v>
      </c>
      <c r="S1914" s="3" t="s">
        <v>6844</v>
      </c>
      <c r="T1914" s="3" t="s">
        <v>21</v>
      </c>
      <c r="U1914" s="11">
        <v>314</v>
      </c>
      <c r="V1914" s="3" t="s">
        <v>6738</v>
      </c>
      <c r="W1914" s="8" t="s">
        <v>7834</v>
      </c>
    </row>
    <row r="1915" spans="1:23" x14ac:dyDescent="0.25">
      <c r="A1915" s="2">
        <v>1762</v>
      </c>
      <c r="B1915" s="3" t="s">
        <v>6738</v>
      </c>
      <c r="C1915" s="3">
        <v>2024</v>
      </c>
      <c r="D1915" s="3" t="s">
        <v>6861</v>
      </c>
      <c r="E1915" s="3" t="s">
        <v>15</v>
      </c>
      <c r="F1915" s="1" t="s">
        <v>7834</v>
      </c>
      <c r="G1915" s="10"/>
      <c r="H1915" s="10"/>
      <c r="I1915" s="10"/>
      <c r="J1915" s="10"/>
      <c r="K1915" s="10"/>
      <c r="L1915" s="3" t="s">
        <v>6862</v>
      </c>
      <c r="M1915" s="3" t="s">
        <v>6863</v>
      </c>
      <c r="N1915" s="3" t="s">
        <v>6864</v>
      </c>
      <c r="O1915" s="3">
        <v>57</v>
      </c>
      <c r="P1915" s="3">
        <v>2</v>
      </c>
      <c r="Q1915" s="3" t="s">
        <v>6865</v>
      </c>
      <c r="R1915" s="3" t="s">
        <v>6866</v>
      </c>
      <c r="S1915" s="3" t="s">
        <v>6867</v>
      </c>
      <c r="T1915" s="3" t="s">
        <v>21</v>
      </c>
      <c r="U1915" s="11">
        <v>315</v>
      </c>
      <c r="V1915" s="3" t="s">
        <v>6738</v>
      </c>
      <c r="W1915" s="8" t="s">
        <v>7834</v>
      </c>
    </row>
    <row r="1916" spans="1:23" x14ac:dyDescent="0.25">
      <c r="A1916" s="2">
        <v>1763</v>
      </c>
      <c r="B1916" s="3" t="s">
        <v>6738</v>
      </c>
      <c r="C1916" s="3">
        <v>2024</v>
      </c>
      <c r="D1916" s="3" t="s">
        <v>1929</v>
      </c>
      <c r="E1916" s="3" t="s">
        <v>15</v>
      </c>
      <c r="F1916" s="1" t="s">
        <v>7834</v>
      </c>
      <c r="G1916" s="10">
        <v>27</v>
      </c>
      <c r="H1916" s="10"/>
      <c r="I1916" s="10"/>
      <c r="J1916" s="10"/>
      <c r="K1916" s="10"/>
      <c r="L1916" s="3" t="s">
        <v>1471</v>
      </c>
      <c r="M1916" s="3" t="s">
        <v>5609</v>
      </c>
      <c r="N1916" s="3" t="s">
        <v>1467</v>
      </c>
      <c r="O1916" s="3">
        <v>12</v>
      </c>
      <c r="P1916" s="3">
        <v>5</v>
      </c>
      <c r="Q1916" s="3" t="s">
        <v>6868</v>
      </c>
      <c r="R1916" s="3" t="s">
        <v>1468</v>
      </c>
      <c r="S1916" s="3" t="s">
        <v>1473</v>
      </c>
      <c r="T1916" s="3" t="s">
        <v>21</v>
      </c>
      <c r="U1916" s="11">
        <v>316</v>
      </c>
      <c r="V1916" s="3" t="s">
        <v>6738</v>
      </c>
      <c r="W1916" s="8" t="s">
        <v>7834</v>
      </c>
    </row>
    <row r="1917" spans="1:23" x14ac:dyDescent="0.25">
      <c r="A1917" s="2">
        <v>1753</v>
      </c>
      <c r="B1917" s="3" t="s">
        <v>6738</v>
      </c>
      <c r="C1917" s="3">
        <v>2024</v>
      </c>
      <c r="D1917" s="3" t="s">
        <v>401</v>
      </c>
      <c r="E1917" s="3" t="s">
        <v>206</v>
      </c>
      <c r="F1917" s="1" t="s">
        <v>7834</v>
      </c>
      <c r="G1917" s="10"/>
      <c r="H1917" s="10"/>
      <c r="I1917" s="10"/>
      <c r="J1917" s="10"/>
      <c r="K1917" s="10"/>
      <c r="L1917" s="3" t="s">
        <v>6813</v>
      </c>
      <c r="M1917" s="3" t="s">
        <v>6735</v>
      </c>
      <c r="N1917" s="3" t="s">
        <v>6814</v>
      </c>
      <c r="O1917" s="3"/>
      <c r="P1917" s="3"/>
      <c r="Q1917" s="3"/>
      <c r="R1917" s="3"/>
      <c r="S1917" s="3" t="s">
        <v>6815</v>
      </c>
      <c r="T1917" s="3" t="s">
        <v>21</v>
      </c>
      <c r="U1917" s="11">
        <v>317</v>
      </c>
      <c r="V1917" s="3" t="s">
        <v>6738</v>
      </c>
      <c r="W1917" s="8" t="s">
        <v>7834</v>
      </c>
    </row>
    <row r="1918" spans="1:23" x14ac:dyDescent="0.25">
      <c r="A1918" s="2">
        <v>1783</v>
      </c>
      <c r="B1918" s="3" t="s">
        <v>6869</v>
      </c>
      <c r="C1918" s="3">
        <v>2024</v>
      </c>
      <c r="D1918" s="3" t="s">
        <v>6938</v>
      </c>
      <c r="E1918" s="3" t="s">
        <v>15</v>
      </c>
      <c r="F1918" s="1" t="s">
        <v>7834</v>
      </c>
      <c r="G1918" s="10">
        <v>1</v>
      </c>
      <c r="H1918" s="10"/>
      <c r="I1918" s="10"/>
      <c r="J1918" s="10"/>
      <c r="K1918" s="10"/>
      <c r="L1918" s="3" t="s">
        <v>6939</v>
      </c>
      <c r="M1918" s="3" t="s">
        <v>6940</v>
      </c>
      <c r="N1918" s="3" t="s">
        <v>6894</v>
      </c>
      <c r="O1918" s="3"/>
      <c r="P1918" s="3"/>
      <c r="Q1918" s="3"/>
      <c r="R1918" s="3" t="s">
        <v>6941</v>
      </c>
      <c r="S1918" s="3" t="s">
        <v>6942</v>
      </c>
      <c r="T1918" s="3" t="s">
        <v>21</v>
      </c>
      <c r="U1918" s="11">
        <v>318</v>
      </c>
      <c r="V1918" s="3" t="s">
        <v>6869</v>
      </c>
      <c r="W1918" s="8" t="s">
        <v>7834</v>
      </c>
    </row>
    <row r="1919" spans="1:23" x14ac:dyDescent="0.25">
      <c r="A1919" s="2">
        <v>1768</v>
      </c>
      <c r="B1919" s="3" t="s">
        <v>6869</v>
      </c>
      <c r="C1919" s="3">
        <v>2024</v>
      </c>
      <c r="D1919" s="3" t="s">
        <v>4647</v>
      </c>
      <c r="E1919" s="3" t="s">
        <v>496</v>
      </c>
      <c r="F1919" s="1" t="s">
        <v>7834</v>
      </c>
      <c r="G1919" s="10"/>
      <c r="H1919" s="10"/>
      <c r="I1919" s="10"/>
      <c r="J1919" s="10"/>
      <c r="K1919" s="10"/>
      <c r="L1919" s="3" t="s">
        <v>6886</v>
      </c>
      <c r="M1919" s="3" t="s">
        <v>6887</v>
      </c>
      <c r="N1919" s="3" t="s">
        <v>5077</v>
      </c>
      <c r="O1919" s="3"/>
      <c r="P1919" s="3"/>
      <c r="Q1919" s="3"/>
      <c r="R1919" s="3"/>
      <c r="S1919" s="3" t="s">
        <v>6888</v>
      </c>
      <c r="T1919" s="3" t="s">
        <v>21</v>
      </c>
      <c r="U1919" s="11">
        <v>319</v>
      </c>
      <c r="V1919" s="3" t="s">
        <v>6869</v>
      </c>
      <c r="W1919" s="8" t="s">
        <v>7834</v>
      </c>
    </row>
    <row r="1920" spans="1:23" x14ac:dyDescent="0.25">
      <c r="A1920" s="2">
        <v>1787</v>
      </c>
      <c r="B1920" s="3" t="s">
        <v>6869</v>
      </c>
      <c r="C1920" s="3">
        <v>2024</v>
      </c>
      <c r="D1920" s="3" t="s">
        <v>4647</v>
      </c>
      <c r="E1920" s="3" t="s">
        <v>496</v>
      </c>
      <c r="F1920" s="1" t="s">
        <v>7834</v>
      </c>
      <c r="G1920" s="10"/>
      <c r="H1920" s="10"/>
      <c r="I1920" s="10"/>
      <c r="J1920" s="10"/>
      <c r="K1920" s="10"/>
      <c r="L1920" s="3" t="s">
        <v>6952</v>
      </c>
      <c r="M1920" s="3" t="s">
        <v>6953</v>
      </c>
      <c r="N1920" s="3" t="s">
        <v>6954</v>
      </c>
      <c r="O1920" s="3"/>
      <c r="P1920" s="3"/>
      <c r="Q1920" s="3"/>
      <c r="R1920" s="3"/>
      <c r="S1920" s="3" t="s">
        <v>6955</v>
      </c>
      <c r="T1920" s="3" t="s">
        <v>21</v>
      </c>
      <c r="U1920" s="11">
        <v>320</v>
      </c>
      <c r="V1920" s="3" t="s">
        <v>6869</v>
      </c>
      <c r="W1920" s="8" t="s">
        <v>7834</v>
      </c>
    </row>
    <row r="1921" spans="1:23" x14ac:dyDescent="0.25">
      <c r="A1921" s="2">
        <v>1764</v>
      </c>
      <c r="B1921" s="3" t="s">
        <v>6869</v>
      </c>
      <c r="C1921" s="3">
        <v>2024</v>
      </c>
      <c r="D1921" s="3" t="s">
        <v>82</v>
      </c>
      <c r="E1921" s="3" t="s">
        <v>206</v>
      </c>
      <c r="F1921" s="1" t="s">
        <v>7834</v>
      </c>
      <c r="G1921" s="10"/>
      <c r="H1921" s="10"/>
      <c r="I1921" s="10"/>
      <c r="J1921" s="10"/>
      <c r="K1921" s="10"/>
      <c r="L1921" s="3" t="s">
        <v>6870</v>
      </c>
      <c r="M1921" s="3" t="s">
        <v>6871</v>
      </c>
      <c r="N1921" s="3" t="s">
        <v>6872</v>
      </c>
      <c r="O1921" s="3"/>
      <c r="P1921" s="3"/>
      <c r="Q1921" s="3"/>
      <c r="R1921" s="3"/>
      <c r="S1921" s="3" t="s">
        <v>6873</v>
      </c>
      <c r="T1921" s="3" t="s">
        <v>21</v>
      </c>
      <c r="U1921" s="11">
        <v>321</v>
      </c>
      <c r="V1921" s="3" t="s">
        <v>6869</v>
      </c>
      <c r="W1921" s="8" t="s">
        <v>7834</v>
      </c>
    </row>
    <row r="1922" spans="1:23" x14ac:dyDescent="0.25">
      <c r="A1922" s="2">
        <v>1770</v>
      </c>
      <c r="B1922" s="3" t="s">
        <v>6869</v>
      </c>
      <c r="C1922" s="3">
        <v>2024</v>
      </c>
      <c r="D1922" s="3" t="s">
        <v>1283</v>
      </c>
      <c r="E1922" s="3" t="s">
        <v>206</v>
      </c>
      <c r="F1922" s="1" t="s">
        <v>7834</v>
      </c>
      <c r="G1922" s="10"/>
      <c r="H1922" s="10"/>
      <c r="I1922" s="10"/>
      <c r="J1922" s="10"/>
      <c r="K1922" s="10"/>
      <c r="L1922" s="3" t="s">
        <v>6893</v>
      </c>
      <c r="M1922" s="3" t="s">
        <v>6883</v>
      </c>
      <c r="N1922" s="3" t="s">
        <v>6894</v>
      </c>
      <c r="O1922" s="3">
        <v>20</v>
      </c>
      <c r="P1922" s="3"/>
      <c r="Q1922" s="3"/>
      <c r="R1922" s="3"/>
      <c r="S1922" s="3" t="s">
        <v>6895</v>
      </c>
      <c r="T1922" s="3" t="s">
        <v>21</v>
      </c>
      <c r="U1922" s="11">
        <v>322</v>
      </c>
      <c r="V1922" s="3" t="s">
        <v>6869</v>
      </c>
      <c r="W1922" s="8" t="s">
        <v>7834</v>
      </c>
    </row>
    <row r="1923" spans="1:23" x14ac:dyDescent="0.25">
      <c r="A1923" s="2">
        <v>1774</v>
      </c>
      <c r="B1923" s="3" t="s">
        <v>6869</v>
      </c>
      <c r="C1923" s="3">
        <v>2024</v>
      </c>
      <c r="D1923" s="3" t="s">
        <v>31</v>
      </c>
      <c r="E1923" s="3" t="s">
        <v>206</v>
      </c>
      <c r="F1923" s="1" t="s">
        <v>7834</v>
      </c>
      <c r="G1923" s="10"/>
      <c r="H1923" s="10"/>
      <c r="I1923" s="10"/>
      <c r="J1923" s="10"/>
      <c r="K1923" s="10"/>
      <c r="L1923" s="3" t="s">
        <v>6908</v>
      </c>
      <c r="M1923" s="3" t="s">
        <v>6909</v>
      </c>
      <c r="N1923" s="3" t="s">
        <v>6910</v>
      </c>
      <c r="O1923" s="3"/>
      <c r="P1923" s="3"/>
      <c r="Q1923" s="3"/>
      <c r="R1923" s="3"/>
      <c r="S1923" s="3" t="s">
        <v>6911</v>
      </c>
      <c r="T1923" s="3" t="s">
        <v>21</v>
      </c>
      <c r="U1923" s="11">
        <v>323</v>
      </c>
      <c r="V1923" s="3" t="s">
        <v>6869</v>
      </c>
      <c r="W1923" s="8" t="s">
        <v>7834</v>
      </c>
    </row>
    <row r="1924" spans="1:23" x14ac:dyDescent="0.25">
      <c r="A1924" s="2">
        <v>1778</v>
      </c>
      <c r="B1924" s="3" t="s">
        <v>6869</v>
      </c>
      <c r="C1924" s="3">
        <v>2024</v>
      </c>
      <c r="D1924" s="3" t="s">
        <v>2535</v>
      </c>
      <c r="E1924" s="3" t="s">
        <v>206</v>
      </c>
      <c r="F1924" s="1" t="s">
        <v>7834</v>
      </c>
      <c r="G1924" s="10"/>
      <c r="H1924" s="10"/>
      <c r="I1924" s="10"/>
      <c r="J1924" s="10"/>
      <c r="K1924" s="10"/>
      <c r="L1924" s="3" t="s">
        <v>1460</v>
      </c>
      <c r="M1924" s="3" t="s">
        <v>6923</v>
      </c>
      <c r="N1924" s="3" t="s">
        <v>1462</v>
      </c>
      <c r="O1924" s="3"/>
      <c r="P1924" s="3"/>
      <c r="Q1924" s="3"/>
      <c r="R1924" s="3"/>
      <c r="S1924" s="3" t="s">
        <v>1463</v>
      </c>
      <c r="T1924" s="3" t="s">
        <v>21</v>
      </c>
      <c r="U1924" s="11">
        <v>324</v>
      </c>
      <c r="V1924" s="3" t="s">
        <v>6869</v>
      </c>
      <c r="W1924" s="8" t="s">
        <v>7834</v>
      </c>
    </row>
    <row r="1925" spans="1:23" x14ac:dyDescent="0.25">
      <c r="A1925" s="2">
        <v>1780</v>
      </c>
      <c r="B1925" s="3" t="s">
        <v>6869</v>
      </c>
      <c r="C1925" s="3">
        <v>2024</v>
      </c>
      <c r="D1925" s="3" t="s">
        <v>2606</v>
      </c>
      <c r="E1925" s="3" t="s">
        <v>206</v>
      </c>
      <c r="F1925" s="1" t="s">
        <v>7834</v>
      </c>
      <c r="G1925" s="10"/>
      <c r="H1925" s="10"/>
      <c r="I1925" s="10"/>
      <c r="J1925" s="10"/>
      <c r="K1925" s="10"/>
      <c r="L1925" s="3" t="s">
        <v>6928</v>
      </c>
      <c r="M1925" s="3" t="s">
        <v>6929</v>
      </c>
      <c r="N1925" s="3" t="s">
        <v>6930</v>
      </c>
      <c r="O1925" s="3"/>
      <c r="P1925" s="3"/>
      <c r="Q1925" s="3"/>
      <c r="R1925" s="3"/>
      <c r="S1925" s="3" t="s">
        <v>6931</v>
      </c>
      <c r="T1925" s="3" t="s">
        <v>21</v>
      </c>
      <c r="U1925" s="11">
        <v>325</v>
      </c>
      <c r="V1925" s="3" t="s">
        <v>6869</v>
      </c>
      <c r="W1925" s="8" t="s">
        <v>7834</v>
      </c>
    </row>
    <row r="1926" spans="1:23" x14ac:dyDescent="0.25">
      <c r="A1926" s="2">
        <v>1793</v>
      </c>
      <c r="B1926" s="3" t="s">
        <v>6869</v>
      </c>
      <c r="C1926" s="3">
        <v>2024</v>
      </c>
      <c r="D1926" s="3" t="s">
        <v>316</v>
      </c>
      <c r="E1926" s="3" t="s">
        <v>206</v>
      </c>
      <c r="F1926" s="1" t="s">
        <v>7834</v>
      </c>
      <c r="G1926" s="10"/>
      <c r="H1926" s="10"/>
      <c r="I1926" s="10"/>
      <c r="J1926" s="10"/>
      <c r="K1926" s="10"/>
      <c r="L1926" s="3" t="s">
        <v>6974</v>
      </c>
      <c r="M1926" s="3" t="s">
        <v>6975</v>
      </c>
      <c r="N1926" s="3" t="s">
        <v>6976</v>
      </c>
      <c r="O1926" s="3"/>
      <c r="P1926" s="3"/>
      <c r="Q1926" s="3"/>
      <c r="R1926" s="3"/>
      <c r="S1926" s="3" t="s">
        <v>6977</v>
      </c>
      <c r="T1926" s="3" t="s">
        <v>21</v>
      </c>
      <c r="U1926" s="11">
        <v>326</v>
      </c>
      <c r="V1926" s="3" t="s">
        <v>6869</v>
      </c>
      <c r="W1926" s="8" t="s">
        <v>7834</v>
      </c>
    </row>
    <row r="1927" spans="1:23" x14ac:dyDescent="0.25">
      <c r="A1927" s="2">
        <v>1797</v>
      </c>
      <c r="B1927" s="3" t="s">
        <v>6982</v>
      </c>
      <c r="C1927" s="3">
        <v>2024</v>
      </c>
      <c r="D1927" s="3" t="s">
        <v>2626</v>
      </c>
      <c r="E1927" s="3" t="s">
        <v>15</v>
      </c>
      <c r="F1927" s="1" t="s">
        <v>7834</v>
      </c>
      <c r="G1927" s="10"/>
      <c r="H1927" s="10"/>
      <c r="I1927" s="10"/>
      <c r="J1927" s="10"/>
      <c r="K1927" s="10"/>
      <c r="L1927" s="3" t="s">
        <v>6989</v>
      </c>
      <c r="M1927" s="3" t="s">
        <v>6990</v>
      </c>
      <c r="N1927" s="3" t="s">
        <v>6991</v>
      </c>
      <c r="O1927" s="3"/>
      <c r="P1927" s="3"/>
      <c r="Q1927" s="3"/>
      <c r="R1927" s="3" t="s">
        <v>6992</v>
      </c>
      <c r="S1927" s="3" t="s">
        <v>6993</v>
      </c>
      <c r="T1927" s="3" t="s">
        <v>21</v>
      </c>
      <c r="U1927" s="11">
        <v>327</v>
      </c>
      <c r="V1927" s="3" t="s">
        <v>6982</v>
      </c>
      <c r="W1927" s="8" t="s">
        <v>7834</v>
      </c>
    </row>
    <row r="1928" spans="1:23" x14ac:dyDescent="0.25">
      <c r="A1928" s="2">
        <v>1801</v>
      </c>
      <c r="B1928" s="3" t="s">
        <v>6982</v>
      </c>
      <c r="C1928" s="3">
        <v>2024</v>
      </c>
      <c r="D1928" s="3" t="s">
        <v>3959</v>
      </c>
      <c r="E1928" s="3" t="s">
        <v>15</v>
      </c>
      <c r="F1928" s="1" t="s">
        <v>7834</v>
      </c>
      <c r="G1928" s="10"/>
      <c r="H1928" s="10"/>
      <c r="I1928" s="10"/>
      <c r="J1928" s="10"/>
      <c r="K1928" s="10"/>
      <c r="L1928" s="3" t="s">
        <v>6123</v>
      </c>
      <c r="M1928" s="3" t="s">
        <v>7008</v>
      </c>
      <c r="N1928" s="3" t="s">
        <v>6125</v>
      </c>
      <c r="O1928" s="3">
        <v>119</v>
      </c>
      <c r="P1928" s="3"/>
      <c r="Q1928" s="3"/>
      <c r="R1928" s="3" t="s">
        <v>6126</v>
      </c>
      <c r="S1928" s="3" t="s">
        <v>7009</v>
      </c>
      <c r="T1928" s="3" t="s">
        <v>21</v>
      </c>
      <c r="U1928" s="11">
        <v>328</v>
      </c>
      <c r="V1928" s="3" t="s">
        <v>6982</v>
      </c>
      <c r="W1928" s="8" t="s">
        <v>7834</v>
      </c>
    </row>
    <row r="1929" spans="1:23" x14ac:dyDescent="0.25">
      <c r="A1929" s="2">
        <v>1803</v>
      </c>
      <c r="B1929" s="3" t="s">
        <v>6982</v>
      </c>
      <c r="C1929" s="3">
        <v>2024</v>
      </c>
      <c r="D1929" s="3" t="s">
        <v>713</v>
      </c>
      <c r="E1929" s="3" t="s">
        <v>15</v>
      </c>
      <c r="F1929" s="1" t="s">
        <v>7834</v>
      </c>
      <c r="G1929" s="10"/>
      <c r="H1929" s="10"/>
      <c r="I1929" s="10"/>
      <c r="J1929" s="10"/>
      <c r="K1929" s="10"/>
      <c r="L1929" s="3" t="s">
        <v>7015</v>
      </c>
      <c r="M1929" s="3" t="s">
        <v>7016</v>
      </c>
      <c r="N1929" s="3" t="s">
        <v>7017</v>
      </c>
      <c r="O1929" s="3"/>
      <c r="P1929" s="3"/>
      <c r="Q1929" s="3" t="s">
        <v>7018</v>
      </c>
      <c r="R1929" s="3" t="s">
        <v>7019</v>
      </c>
      <c r="S1929" s="3" t="s">
        <v>7020</v>
      </c>
      <c r="T1929" s="3" t="s">
        <v>21</v>
      </c>
      <c r="U1929" s="11">
        <v>329</v>
      </c>
      <c r="V1929" s="3" t="s">
        <v>6982</v>
      </c>
      <c r="W1929" s="8" t="s">
        <v>7834</v>
      </c>
    </row>
    <row r="1930" spans="1:23" x14ac:dyDescent="0.25">
      <c r="A1930" s="2">
        <v>1807</v>
      </c>
      <c r="B1930" s="3" t="s">
        <v>6982</v>
      </c>
      <c r="C1930" s="3">
        <v>2024</v>
      </c>
      <c r="D1930" s="3" t="s">
        <v>1713</v>
      </c>
      <c r="E1930" s="3" t="s">
        <v>15</v>
      </c>
      <c r="F1930" s="1" t="s">
        <v>7834</v>
      </c>
      <c r="G1930" s="10"/>
      <c r="H1930" s="10"/>
      <c r="I1930" s="10"/>
      <c r="J1930" s="10"/>
      <c r="K1930" s="10"/>
      <c r="L1930" s="3" t="s">
        <v>7034</v>
      </c>
      <c r="M1930" s="3" t="s">
        <v>7035</v>
      </c>
      <c r="N1930" s="3" t="s">
        <v>7036</v>
      </c>
      <c r="O1930" s="3">
        <v>53</v>
      </c>
      <c r="P1930" s="3">
        <v>7</v>
      </c>
      <c r="Q1930" s="3">
        <v>389</v>
      </c>
      <c r="R1930" s="3" t="s">
        <v>7037</v>
      </c>
      <c r="S1930" s="3" t="s">
        <v>7038</v>
      </c>
      <c r="T1930" s="3" t="s">
        <v>21</v>
      </c>
      <c r="U1930" s="11">
        <v>330</v>
      </c>
      <c r="V1930" s="3" t="s">
        <v>6982</v>
      </c>
      <c r="W1930" s="8" t="s">
        <v>7834</v>
      </c>
    </row>
    <row r="1931" spans="1:23" x14ac:dyDescent="0.25">
      <c r="A1931" s="2">
        <v>1810</v>
      </c>
      <c r="B1931" s="3" t="s">
        <v>6982</v>
      </c>
      <c r="C1931" s="3">
        <v>2024</v>
      </c>
      <c r="D1931" s="3" t="s">
        <v>1227</v>
      </c>
      <c r="E1931" s="3" t="s">
        <v>15</v>
      </c>
      <c r="F1931" s="1" t="s">
        <v>7834</v>
      </c>
      <c r="G1931" s="10"/>
      <c r="H1931" s="10"/>
      <c r="I1931" s="10"/>
      <c r="J1931" s="10"/>
      <c r="K1931" s="10"/>
      <c r="L1931" s="3" t="s">
        <v>7047</v>
      </c>
      <c r="M1931" s="3" t="s">
        <v>7048</v>
      </c>
      <c r="N1931" s="3" t="s">
        <v>7049</v>
      </c>
      <c r="O1931" s="3">
        <v>116</v>
      </c>
      <c r="P1931" s="3">
        <v>5</v>
      </c>
      <c r="Q1931" s="3" t="s">
        <v>7050</v>
      </c>
      <c r="R1931" s="3" t="s">
        <v>7051</v>
      </c>
      <c r="S1931" s="3" t="s">
        <v>7052</v>
      </c>
      <c r="T1931" s="3" t="s">
        <v>21</v>
      </c>
      <c r="U1931" s="11">
        <v>331</v>
      </c>
      <c r="V1931" s="3" t="s">
        <v>6982</v>
      </c>
      <c r="W1931" s="8" t="s">
        <v>7834</v>
      </c>
    </row>
    <row r="1932" spans="1:23" x14ac:dyDescent="0.25">
      <c r="A1932" s="2">
        <v>1813</v>
      </c>
      <c r="B1932" s="3" t="s">
        <v>6982</v>
      </c>
      <c r="C1932" s="3">
        <v>2024</v>
      </c>
      <c r="D1932" s="3" t="s">
        <v>2547</v>
      </c>
      <c r="E1932" s="3" t="s">
        <v>15</v>
      </c>
      <c r="F1932" s="1" t="s">
        <v>7834</v>
      </c>
      <c r="G1932" s="10"/>
      <c r="H1932" s="10"/>
      <c r="I1932" s="10"/>
      <c r="J1932" s="10"/>
      <c r="K1932" s="10"/>
      <c r="L1932" s="3" t="s">
        <v>7063</v>
      </c>
      <c r="M1932" s="3" t="s">
        <v>7064</v>
      </c>
      <c r="N1932" s="3" t="s">
        <v>7065</v>
      </c>
      <c r="O1932" s="3">
        <v>93</v>
      </c>
      <c r="P1932" s="3"/>
      <c r="Q1932" s="3"/>
      <c r="R1932" s="3" t="s">
        <v>7066</v>
      </c>
      <c r="S1932" s="3" t="s">
        <v>7067</v>
      </c>
      <c r="T1932" s="3" t="s">
        <v>21</v>
      </c>
      <c r="U1932" s="11">
        <v>332</v>
      </c>
      <c r="V1932" s="3" t="s">
        <v>6982</v>
      </c>
      <c r="W1932" s="8" t="s">
        <v>7834</v>
      </c>
    </row>
    <row r="1933" spans="1:23" x14ac:dyDescent="0.25">
      <c r="A1933" s="2">
        <v>1821</v>
      </c>
      <c r="B1933" s="3" t="s">
        <v>6982</v>
      </c>
      <c r="C1933" s="3">
        <v>2024</v>
      </c>
      <c r="D1933" s="3" t="s">
        <v>6212</v>
      </c>
      <c r="E1933" s="3" t="s">
        <v>15</v>
      </c>
      <c r="F1933" s="1" t="s">
        <v>7834</v>
      </c>
      <c r="G1933" s="10"/>
      <c r="H1933" s="10"/>
      <c r="I1933" s="10"/>
      <c r="J1933" s="10"/>
      <c r="K1933" s="10"/>
      <c r="L1933" s="3" t="s">
        <v>7093</v>
      </c>
      <c r="M1933" s="3" t="s">
        <v>7094</v>
      </c>
      <c r="N1933" s="3" t="s">
        <v>576</v>
      </c>
      <c r="O1933" s="3">
        <v>15</v>
      </c>
      <c r="P1933" s="3"/>
      <c r="Q1933" s="3">
        <v>1</v>
      </c>
      <c r="R1933" s="3" t="s">
        <v>577</v>
      </c>
      <c r="S1933" s="3" t="s">
        <v>7095</v>
      </c>
      <c r="T1933" s="3" t="s">
        <v>21</v>
      </c>
      <c r="U1933" s="11">
        <v>333</v>
      </c>
      <c r="V1933" s="3" t="s">
        <v>6982</v>
      </c>
      <c r="W1933" s="8" t="s">
        <v>7834</v>
      </c>
    </row>
    <row r="1934" spans="1:23" x14ac:dyDescent="0.25">
      <c r="A1934" s="2">
        <v>1824</v>
      </c>
      <c r="B1934" s="3" t="s">
        <v>6982</v>
      </c>
      <c r="C1934" s="3">
        <v>2024</v>
      </c>
      <c r="D1934" s="3" t="s">
        <v>308</v>
      </c>
      <c r="E1934" s="3" t="s">
        <v>15</v>
      </c>
      <c r="F1934" s="1" t="s">
        <v>7834</v>
      </c>
      <c r="G1934" s="10">
        <v>13</v>
      </c>
      <c r="H1934" s="10"/>
      <c r="I1934" s="10"/>
      <c r="J1934" s="10"/>
      <c r="K1934" s="10"/>
      <c r="L1934" s="3" t="s">
        <v>7104</v>
      </c>
      <c r="M1934" s="3" t="s">
        <v>7105</v>
      </c>
      <c r="N1934" s="3" t="s">
        <v>6991</v>
      </c>
      <c r="O1934" s="3"/>
      <c r="P1934" s="3"/>
      <c r="Q1934" s="3"/>
      <c r="R1934" s="3" t="s">
        <v>7106</v>
      </c>
      <c r="S1934" s="3" t="s">
        <v>7107</v>
      </c>
      <c r="T1934" s="3" t="s">
        <v>21</v>
      </c>
      <c r="U1934" s="11">
        <v>334</v>
      </c>
      <c r="V1934" s="3" t="s">
        <v>6982</v>
      </c>
      <c r="W1934" s="8" t="s">
        <v>7834</v>
      </c>
    </row>
    <row r="1935" spans="1:23" x14ac:dyDescent="0.25">
      <c r="A1935" s="2">
        <v>1820</v>
      </c>
      <c r="B1935" s="3" t="s">
        <v>6982</v>
      </c>
      <c r="C1935" s="3">
        <v>2024</v>
      </c>
      <c r="D1935" s="3" t="s">
        <v>557</v>
      </c>
      <c r="E1935" s="3" t="s">
        <v>206</v>
      </c>
      <c r="F1935" s="1" t="s">
        <v>7834</v>
      </c>
      <c r="G1935" s="10"/>
      <c r="H1935" s="10"/>
      <c r="I1935" s="10"/>
      <c r="J1935" s="10"/>
      <c r="K1935" s="10"/>
      <c r="L1935" s="3" t="s">
        <v>7090</v>
      </c>
      <c r="M1935" s="3" t="s">
        <v>7091</v>
      </c>
      <c r="N1935" s="3" t="s">
        <v>7065</v>
      </c>
      <c r="O1935" s="3"/>
      <c r="P1935" s="3"/>
      <c r="Q1935" s="3"/>
      <c r="R1935" s="3"/>
      <c r="S1935" s="3" t="s">
        <v>7092</v>
      </c>
      <c r="T1935" s="3" t="s">
        <v>21</v>
      </c>
      <c r="U1935" s="11">
        <v>335</v>
      </c>
      <c r="V1935" s="3" t="s">
        <v>6982</v>
      </c>
      <c r="W1935" s="8" t="s">
        <v>7834</v>
      </c>
    </row>
    <row r="1936" spans="1:23" x14ac:dyDescent="0.25">
      <c r="A1936" s="2">
        <v>1831</v>
      </c>
      <c r="B1936" s="3" t="s">
        <v>7121</v>
      </c>
      <c r="C1936" s="3">
        <v>2024</v>
      </c>
      <c r="D1936" s="3" t="s">
        <v>5561</v>
      </c>
      <c r="E1936" s="3" t="s">
        <v>15</v>
      </c>
      <c r="F1936" s="1" t="s">
        <v>7834</v>
      </c>
      <c r="G1936" s="10"/>
      <c r="H1936" s="10"/>
      <c r="I1936" s="10"/>
      <c r="J1936" s="10"/>
      <c r="K1936" s="10"/>
      <c r="L1936" s="3" t="s">
        <v>7135</v>
      </c>
      <c r="M1936" s="3" t="s">
        <v>7136</v>
      </c>
      <c r="N1936" s="3" t="s">
        <v>7137</v>
      </c>
      <c r="O1936" s="3">
        <v>53</v>
      </c>
      <c r="P1936" s="3"/>
      <c r="Q1936" s="3">
        <v>1227</v>
      </c>
      <c r="R1936" s="3" t="s">
        <v>7138</v>
      </c>
      <c r="S1936" s="3" t="s">
        <v>7139</v>
      </c>
      <c r="T1936" s="3" t="s">
        <v>21</v>
      </c>
      <c r="U1936" s="11">
        <v>336</v>
      </c>
      <c r="V1936" s="3" t="s">
        <v>7121</v>
      </c>
      <c r="W1936" s="8" t="s">
        <v>7834</v>
      </c>
    </row>
    <row r="1937" spans="1:23" x14ac:dyDescent="0.25">
      <c r="A1937" s="2">
        <v>1834</v>
      </c>
      <c r="B1937" s="3" t="s">
        <v>7121</v>
      </c>
      <c r="C1937" s="3">
        <v>2024</v>
      </c>
      <c r="D1937" s="3" t="s">
        <v>3959</v>
      </c>
      <c r="E1937" s="3" t="s">
        <v>15</v>
      </c>
      <c r="F1937" s="1" t="s">
        <v>7834</v>
      </c>
      <c r="G1937" s="10"/>
      <c r="H1937" s="10"/>
      <c r="I1937" s="10"/>
      <c r="J1937" s="10"/>
      <c r="K1937" s="10"/>
      <c r="L1937" s="3" t="s">
        <v>7150</v>
      </c>
      <c r="M1937" s="3" t="s">
        <v>7151</v>
      </c>
      <c r="N1937" s="3" t="s">
        <v>7152</v>
      </c>
      <c r="O1937" s="3">
        <v>122</v>
      </c>
      <c r="P1937" s="3"/>
      <c r="Q1937" s="3"/>
      <c r="R1937" s="3" t="s">
        <v>7153</v>
      </c>
      <c r="S1937" s="3" t="s">
        <v>7154</v>
      </c>
      <c r="T1937" s="3" t="s">
        <v>21</v>
      </c>
      <c r="U1937" s="11">
        <v>337</v>
      </c>
      <c r="V1937" s="3" t="s">
        <v>7121</v>
      </c>
      <c r="W1937" s="8" t="s">
        <v>7834</v>
      </c>
    </row>
    <row r="1938" spans="1:23" x14ac:dyDescent="0.25">
      <c r="A1938" s="2">
        <v>1836</v>
      </c>
      <c r="B1938" s="3" t="s">
        <v>7121</v>
      </c>
      <c r="C1938" s="3">
        <v>2024</v>
      </c>
      <c r="D1938" s="3" t="s">
        <v>2589</v>
      </c>
      <c r="E1938" s="3" t="s">
        <v>15</v>
      </c>
      <c r="F1938" s="1" t="s">
        <v>7834</v>
      </c>
      <c r="G1938" s="10"/>
      <c r="H1938" s="10"/>
      <c r="I1938" s="10"/>
      <c r="J1938" s="10"/>
      <c r="K1938" s="10"/>
      <c r="L1938" s="3" t="s">
        <v>7160</v>
      </c>
      <c r="M1938" s="3" t="s">
        <v>7161</v>
      </c>
      <c r="N1938" s="3" t="s">
        <v>4387</v>
      </c>
      <c r="O1938" s="3">
        <v>19</v>
      </c>
      <c r="P1938" s="3">
        <v>2</v>
      </c>
      <c r="Q1938" s="3">
        <v>1</v>
      </c>
      <c r="R1938" s="3" t="s">
        <v>359</v>
      </c>
      <c r="S1938" s="3" t="s">
        <v>7162</v>
      </c>
      <c r="T1938" s="3" t="s">
        <v>21</v>
      </c>
      <c r="U1938" s="11">
        <v>338</v>
      </c>
      <c r="V1938" s="3" t="s">
        <v>7121</v>
      </c>
      <c r="W1938" s="8" t="s">
        <v>7834</v>
      </c>
    </row>
    <row r="1939" spans="1:23" x14ac:dyDescent="0.25">
      <c r="A1939" s="2">
        <v>1837</v>
      </c>
      <c r="B1939" s="3" t="s">
        <v>7121</v>
      </c>
      <c r="C1939" s="3">
        <v>2024</v>
      </c>
      <c r="D1939" s="3" t="s">
        <v>6773</v>
      </c>
      <c r="E1939" s="3" t="s">
        <v>15</v>
      </c>
      <c r="F1939" s="1" t="s">
        <v>7834</v>
      </c>
      <c r="G1939" s="10"/>
      <c r="H1939" s="10"/>
      <c r="I1939" s="10"/>
      <c r="J1939" s="10"/>
      <c r="K1939" s="10"/>
      <c r="L1939" s="3" t="s">
        <v>7163</v>
      </c>
      <c r="M1939" s="3" t="s">
        <v>7164</v>
      </c>
      <c r="N1939" s="3" t="s">
        <v>7165</v>
      </c>
      <c r="O1939" s="3">
        <v>12</v>
      </c>
      <c r="P1939" s="3"/>
      <c r="Q1939" s="3">
        <v>1</v>
      </c>
      <c r="R1939" s="3" t="s">
        <v>7166</v>
      </c>
      <c r="S1939" s="3" t="s">
        <v>7167</v>
      </c>
      <c r="T1939" s="3" t="s">
        <v>21</v>
      </c>
      <c r="U1939" s="11">
        <v>339</v>
      </c>
      <c r="V1939" s="3" t="s">
        <v>7121</v>
      </c>
      <c r="W1939" s="8" t="s">
        <v>7834</v>
      </c>
    </row>
    <row r="1940" spans="1:23" x14ac:dyDescent="0.25">
      <c r="A1940" s="2">
        <v>1848</v>
      </c>
      <c r="B1940" s="3" t="s">
        <v>7121</v>
      </c>
      <c r="C1940" s="3">
        <v>2024</v>
      </c>
      <c r="D1940" s="3" t="s">
        <v>107</v>
      </c>
      <c r="E1940" s="3" t="s">
        <v>206</v>
      </c>
      <c r="F1940" s="1" t="s">
        <v>7834</v>
      </c>
      <c r="G1940" s="10"/>
      <c r="H1940" s="10"/>
      <c r="I1940" s="10"/>
      <c r="J1940" s="10"/>
      <c r="K1940" s="10">
        <v>3</v>
      </c>
      <c r="L1940" s="3" t="s">
        <v>7215</v>
      </c>
      <c r="M1940" s="3" t="s">
        <v>7216</v>
      </c>
      <c r="N1940" s="3" t="s">
        <v>7217</v>
      </c>
      <c r="O1940" s="3">
        <v>34</v>
      </c>
      <c r="P1940" s="3">
        <v>2</v>
      </c>
      <c r="Q1940" s="3">
        <v>722</v>
      </c>
      <c r="R1940" s="3" t="s">
        <v>7218</v>
      </c>
      <c r="S1940" s="3" t="s">
        <v>7219</v>
      </c>
      <c r="T1940" s="3" t="s">
        <v>21</v>
      </c>
      <c r="U1940" s="11">
        <v>340</v>
      </c>
      <c r="V1940" s="3" t="s">
        <v>7121</v>
      </c>
      <c r="W1940" s="8" t="s">
        <v>7834</v>
      </c>
    </row>
    <row r="1941" spans="1:23" x14ac:dyDescent="0.25">
      <c r="A1941" s="2">
        <v>1851</v>
      </c>
      <c r="B1941" s="3" t="s">
        <v>7220</v>
      </c>
      <c r="C1941" s="3">
        <v>2024</v>
      </c>
      <c r="D1941" s="3" t="s">
        <v>22</v>
      </c>
      <c r="E1941" s="3" t="s">
        <v>15</v>
      </c>
      <c r="F1941" s="1" t="s">
        <v>7834</v>
      </c>
      <c r="G1941" s="10"/>
      <c r="H1941" s="10"/>
      <c r="I1941" s="10"/>
      <c r="J1941" s="10"/>
      <c r="K1941" s="10"/>
      <c r="L1941" s="3" t="s">
        <v>7229</v>
      </c>
      <c r="M1941" s="3" t="s">
        <v>7230</v>
      </c>
      <c r="N1941" s="3" t="s">
        <v>3915</v>
      </c>
      <c r="O1941" s="3"/>
      <c r="P1941" s="3"/>
      <c r="Q1941" s="3"/>
      <c r="R1941" s="3" t="s">
        <v>7231</v>
      </c>
      <c r="S1941" s="3" t="s">
        <v>3918</v>
      </c>
      <c r="T1941" s="3" t="s">
        <v>21</v>
      </c>
      <c r="U1941" s="11">
        <v>341</v>
      </c>
      <c r="V1941" s="3" t="s">
        <v>7220</v>
      </c>
      <c r="W1941" s="8" t="s">
        <v>7834</v>
      </c>
    </row>
    <row r="1942" spans="1:23" x14ac:dyDescent="0.25">
      <c r="A1942" s="2">
        <v>1852</v>
      </c>
      <c r="B1942" s="3" t="s">
        <v>7220</v>
      </c>
      <c r="C1942" s="3">
        <v>2024</v>
      </c>
      <c r="D1942" s="3" t="s">
        <v>1965</v>
      </c>
      <c r="E1942" s="3" t="s">
        <v>15</v>
      </c>
      <c r="F1942" s="1" t="s">
        <v>7834</v>
      </c>
      <c r="G1942" s="10"/>
      <c r="H1942" s="10"/>
      <c r="I1942" s="10"/>
      <c r="J1942" s="10"/>
      <c r="K1942" s="10"/>
      <c r="L1942" s="3" t="s">
        <v>7232</v>
      </c>
      <c r="M1942" s="3" t="s">
        <v>7233</v>
      </c>
      <c r="N1942" s="3" t="s">
        <v>7234</v>
      </c>
      <c r="O1942" s="3"/>
      <c r="P1942" s="3"/>
      <c r="Q1942" s="3"/>
      <c r="R1942" s="3" t="s">
        <v>7235</v>
      </c>
      <c r="S1942" s="3" t="s">
        <v>7236</v>
      </c>
      <c r="T1942" s="3" t="s">
        <v>21</v>
      </c>
      <c r="U1942" s="11">
        <v>342</v>
      </c>
      <c r="V1942" s="3" t="s">
        <v>7220</v>
      </c>
      <c r="W1942" s="8" t="s">
        <v>7834</v>
      </c>
    </row>
    <row r="1943" spans="1:23" x14ac:dyDescent="0.25">
      <c r="A1943" s="2">
        <v>1854</v>
      </c>
      <c r="B1943" s="3" t="s">
        <v>7220</v>
      </c>
      <c r="C1943" s="3">
        <v>2024</v>
      </c>
      <c r="D1943" s="3" t="s">
        <v>4502</v>
      </c>
      <c r="E1943" s="3" t="s">
        <v>15</v>
      </c>
      <c r="F1943" s="1" t="s">
        <v>7834</v>
      </c>
      <c r="G1943" s="10"/>
      <c r="H1943" s="10"/>
      <c r="I1943" s="10"/>
      <c r="J1943" s="10"/>
      <c r="K1943" s="10"/>
      <c r="L1943" s="3" t="s">
        <v>7240</v>
      </c>
      <c r="M1943" s="3" t="s">
        <v>7241</v>
      </c>
      <c r="N1943" s="3" t="s">
        <v>7242</v>
      </c>
      <c r="O1943" s="3">
        <v>30</v>
      </c>
      <c r="P1943" s="3">
        <v>12</v>
      </c>
      <c r="Q1943" s="3" t="s">
        <v>7243</v>
      </c>
      <c r="R1943" s="3" t="s">
        <v>5933</v>
      </c>
      <c r="S1943" s="3" t="s">
        <v>7244</v>
      </c>
      <c r="T1943" s="3" t="s">
        <v>21</v>
      </c>
      <c r="U1943" s="11">
        <v>343</v>
      </c>
      <c r="V1943" s="3" t="s">
        <v>7220</v>
      </c>
      <c r="W1943" s="8" t="s">
        <v>7834</v>
      </c>
    </row>
    <row r="1944" spans="1:23" x14ac:dyDescent="0.25">
      <c r="A1944" s="2">
        <v>1857</v>
      </c>
      <c r="B1944" s="3" t="s">
        <v>7220</v>
      </c>
      <c r="C1944" s="3">
        <v>2024</v>
      </c>
      <c r="D1944" s="3" t="s">
        <v>2363</v>
      </c>
      <c r="E1944" s="3" t="s">
        <v>15</v>
      </c>
      <c r="F1944" s="1" t="s">
        <v>7834</v>
      </c>
      <c r="G1944" s="10"/>
      <c r="H1944" s="10"/>
      <c r="I1944" s="10"/>
      <c r="J1944" s="10"/>
      <c r="K1944" s="10"/>
      <c r="L1944" s="3" t="s">
        <v>7254</v>
      </c>
      <c r="M1944" s="3" t="s">
        <v>7255</v>
      </c>
      <c r="N1944" s="3" t="s">
        <v>7256</v>
      </c>
      <c r="O1944" s="3">
        <v>171</v>
      </c>
      <c r="P1944" s="3">
        <v>62</v>
      </c>
      <c r="Q1944" s="3"/>
      <c r="R1944" s="3" t="s">
        <v>3869</v>
      </c>
      <c r="S1944" s="3" t="s">
        <v>7257</v>
      </c>
      <c r="T1944" s="3" t="s">
        <v>21</v>
      </c>
      <c r="U1944" s="11">
        <v>344</v>
      </c>
      <c r="V1944" s="3" t="s">
        <v>7220</v>
      </c>
      <c r="W1944" s="8" t="s">
        <v>7834</v>
      </c>
    </row>
    <row r="1945" spans="1:23" x14ac:dyDescent="0.25">
      <c r="A1945" s="2">
        <v>1858</v>
      </c>
      <c r="B1945" s="3" t="s">
        <v>7220</v>
      </c>
      <c r="C1945" s="3">
        <v>2024</v>
      </c>
      <c r="D1945" s="3" t="s">
        <v>4502</v>
      </c>
      <c r="E1945" s="3" t="s">
        <v>15</v>
      </c>
      <c r="F1945" s="1" t="s">
        <v>7834</v>
      </c>
      <c r="G1945" s="10"/>
      <c r="H1945" s="10"/>
      <c r="I1945" s="10"/>
      <c r="J1945" s="10"/>
      <c r="K1945" s="10"/>
      <c r="L1945" s="3" t="s">
        <v>7258</v>
      </c>
      <c r="M1945" s="3" t="s">
        <v>7259</v>
      </c>
      <c r="N1945" s="3" t="s">
        <v>7260</v>
      </c>
      <c r="O1945" s="3">
        <v>34</v>
      </c>
      <c r="P1945" s="3">
        <v>12</v>
      </c>
      <c r="Q1945" s="3"/>
      <c r="R1945" s="3" t="s">
        <v>7261</v>
      </c>
      <c r="S1945" s="3" t="s">
        <v>7262</v>
      </c>
      <c r="T1945" s="3" t="s">
        <v>21</v>
      </c>
      <c r="U1945" s="11">
        <v>345</v>
      </c>
      <c r="V1945" s="3" t="s">
        <v>7220</v>
      </c>
      <c r="W1945" s="8" t="s">
        <v>7834</v>
      </c>
    </row>
    <row r="1946" spans="1:23" x14ac:dyDescent="0.25">
      <c r="A1946" s="2">
        <v>1860</v>
      </c>
      <c r="B1946" s="3" t="s">
        <v>7220</v>
      </c>
      <c r="C1946" s="3">
        <v>2024</v>
      </c>
      <c r="D1946" s="3" t="s">
        <v>3674</v>
      </c>
      <c r="E1946" s="3" t="s">
        <v>15</v>
      </c>
      <c r="F1946" s="1" t="s">
        <v>7834</v>
      </c>
      <c r="G1946" s="10"/>
      <c r="H1946" s="10"/>
      <c r="I1946" s="10"/>
      <c r="J1946" s="10"/>
      <c r="K1946" s="10"/>
      <c r="L1946" s="3" t="s">
        <v>7269</v>
      </c>
      <c r="M1946" s="3" t="s">
        <v>7270</v>
      </c>
      <c r="N1946" s="3" t="s">
        <v>7271</v>
      </c>
      <c r="O1946" s="3">
        <v>957</v>
      </c>
      <c r="P1946" s="3">
        <v>177630</v>
      </c>
      <c r="Q1946" s="3"/>
      <c r="R1946" s="3" t="s">
        <v>342</v>
      </c>
      <c r="S1946" s="3" t="s">
        <v>7272</v>
      </c>
      <c r="T1946" s="3" t="s">
        <v>21</v>
      </c>
      <c r="U1946" s="11">
        <v>346</v>
      </c>
      <c r="V1946" s="3" t="s">
        <v>7220</v>
      </c>
      <c r="W1946" s="8" t="s">
        <v>7834</v>
      </c>
    </row>
    <row r="1947" spans="1:23" x14ac:dyDescent="0.25">
      <c r="A1947" s="2">
        <v>1861</v>
      </c>
      <c r="B1947" s="3" t="s">
        <v>7220</v>
      </c>
      <c r="C1947" s="3">
        <v>2024</v>
      </c>
      <c r="D1947" s="3" t="s">
        <v>1440</v>
      </c>
      <c r="E1947" s="3" t="s">
        <v>15</v>
      </c>
      <c r="F1947" s="1" t="s">
        <v>7834</v>
      </c>
      <c r="G1947" s="10"/>
      <c r="H1947" s="10"/>
      <c r="I1947" s="10"/>
      <c r="J1947" s="10"/>
      <c r="K1947" s="10"/>
      <c r="L1947" s="3" t="s">
        <v>7273</v>
      </c>
      <c r="M1947" s="3" t="s">
        <v>7274</v>
      </c>
      <c r="N1947" s="3" t="s">
        <v>4106</v>
      </c>
      <c r="O1947" s="3">
        <v>15</v>
      </c>
      <c r="P1947" s="3">
        <v>11</v>
      </c>
      <c r="Q1947" s="3">
        <v>1</v>
      </c>
      <c r="R1947" s="3" t="s">
        <v>4108</v>
      </c>
      <c r="S1947" s="3" t="s">
        <v>4109</v>
      </c>
      <c r="T1947" s="3" t="s">
        <v>21</v>
      </c>
      <c r="U1947" s="11">
        <v>347</v>
      </c>
      <c r="V1947" s="3" t="s">
        <v>7220</v>
      </c>
      <c r="W1947" s="8" t="s">
        <v>7834</v>
      </c>
    </row>
    <row r="1948" spans="1:23" x14ac:dyDescent="0.25">
      <c r="A1948" s="2">
        <v>1863</v>
      </c>
      <c r="B1948" s="3" t="s">
        <v>7220</v>
      </c>
      <c r="C1948" s="3">
        <v>2024</v>
      </c>
      <c r="D1948" s="3" t="s">
        <v>970</v>
      </c>
      <c r="E1948" s="3" t="s">
        <v>15</v>
      </c>
      <c r="F1948" s="1" t="s">
        <v>7834</v>
      </c>
      <c r="G1948" s="10"/>
      <c r="H1948" s="10"/>
      <c r="I1948" s="10"/>
      <c r="J1948" s="10"/>
      <c r="K1948" s="10"/>
      <c r="L1948" s="3" t="s">
        <v>971</v>
      </c>
      <c r="M1948" s="3" t="s">
        <v>7278</v>
      </c>
      <c r="N1948" s="3" t="s">
        <v>973</v>
      </c>
      <c r="O1948" s="3">
        <v>33</v>
      </c>
      <c r="P1948" s="3"/>
      <c r="Q1948" s="3"/>
      <c r="R1948" s="3" t="s">
        <v>367</v>
      </c>
      <c r="S1948" s="3" t="s">
        <v>974</v>
      </c>
      <c r="T1948" s="3" t="s">
        <v>21</v>
      </c>
      <c r="U1948" s="11">
        <v>348</v>
      </c>
      <c r="V1948" s="3" t="s">
        <v>7220</v>
      </c>
      <c r="W1948" s="8" t="s">
        <v>7834</v>
      </c>
    </row>
    <row r="1949" spans="1:23" x14ac:dyDescent="0.25">
      <c r="A1949" s="2">
        <v>1870</v>
      </c>
      <c r="B1949" s="3" t="s">
        <v>7220</v>
      </c>
      <c r="C1949" s="3">
        <v>2024</v>
      </c>
      <c r="D1949" s="3" t="s">
        <v>1445</v>
      </c>
      <c r="E1949" s="3" t="s">
        <v>15</v>
      </c>
      <c r="F1949" s="1" t="s">
        <v>7834</v>
      </c>
      <c r="G1949" s="10"/>
      <c r="H1949" s="10"/>
      <c r="I1949" s="10"/>
      <c r="J1949" s="10"/>
      <c r="K1949" s="10"/>
      <c r="L1949" s="3" t="s">
        <v>7304</v>
      </c>
      <c r="M1949" s="3" t="s">
        <v>7305</v>
      </c>
      <c r="N1949" s="3" t="s">
        <v>874</v>
      </c>
      <c r="O1949" s="3"/>
      <c r="P1949" s="3"/>
      <c r="Q1949" s="3"/>
      <c r="R1949" s="3" t="s">
        <v>7306</v>
      </c>
      <c r="S1949" s="3" t="s">
        <v>7307</v>
      </c>
      <c r="T1949" s="3" t="s">
        <v>21</v>
      </c>
      <c r="U1949" s="11">
        <v>349</v>
      </c>
      <c r="V1949" s="3" t="s">
        <v>7220</v>
      </c>
      <c r="W1949" s="8" t="s">
        <v>7834</v>
      </c>
    </row>
    <row r="1950" spans="1:23" x14ac:dyDescent="0.25">
      <c r="A1950" s="2">
        <v>1872</v>
      </c>
      <c r="B1950" s="3" t="s">
        <v>7220</v>
      </c>
      <c r="C1950" s="3">
        <v>2024</v>
      </c>
      <c r="D1950" s="3" t="s">
        <v>709</v>
      </c>
      <c r="E1950" s="3" t="s">
        <v>15</v>
      </c>
      <c r="F1950" s="1" t="s">
        <v>7834</v>
      </c>
      <c r="G1950" s="10"/>
      <c r="H1950" s="10"/>
      <c r="I1950" s="10"/>
      <c r="J1950" s="10"/>
      <c r="K1950" s="10"/>
      <c r="L1950" s="3" t="s">
        <v>7311</v>
      </c>
      <c r="M1950" s="3" t="s">
        <v>7312</v>
      </c>
      <c r="N1950" s="3" t="s">
        <v>7313</v>
      </c>
      <c r="O1950" s="3"/>
      <c r="P1950" s="3"/>
      <c r="Q1950" s="3"/>
      <c r="R1950" s="3" t="s">
        <v>7314</v>
      </c>
      <c r="S1950" s="3" t="s">
        <v>7315</v>
      </c>
      <c r="T1950" s="3" t="s">
        <v>21</v>
      </c>
      <c r="U1950" s="11">
        <v>350</v>
      </c>
      <c r="V1950" s="3" t="s">
        <v>7220</v>
      </c>
      <c r="W1950" s="8" t="s">
        <v>7834</v>
      </c>
    </row>
    <row r="1951" spans="1:23" x14ac:dyDescent="0.25">
      <c r="A1951" s="2">
        <v>1875</v>
      </c>
      <c r="B1951" s="3" t="s">
        <v>7220</v>
      </c>
      <c r="C1951" s="3">
        <v>2024</v>
      </c>
      <c r="D1951" s="3" t="s">
        <v>14</v>
      </c>
      <c r="E1951" s="3" t="s">
        <v>15</v>
      </c>
      <c r="F1951" s="1" t="s">
        <v>7834</v>
      </c>
      <c r="G1951" s="10"/>
      <c r="H1951" s="10"/>
      <c r="I1951" s="10"/>
      <c r="J1951" s="10"/>
      <c r="K1951" s="10"/>
      <c r="L1951" s="3" t="s">
        <v>7319</v>
      </c>
      <c r="M1951" s="3" t="s">
        <v>7320</v>
      </c>
      <c r="N1951" s="3" t="s">
        <v>991</v>
      </c>
      <c r="O1951" s="3">
        <v>851</v>
      </c>
      <c r="P1951" s="3"/>
      <c r="Q1951" s="3"/>
      <c r="R1951" s="3" t="s">
        <v>7321</v>
      </c>
      <c r="S1951" s="3" t="s">
        <v>993</v>
      </c>
      <c r="T1951" s="3" t="s">
        <v>21</v>
      </c>
      <c r="U1951" s="11">
        <v>351</v>
      </c>
      <c r="V1951" s="3" t="s">
        <v>7220</v>
      </c>
      <c r="W1951" s="8" t="s">
        <v>7834</v>
      </c>
    </row>
    <row r="1952" spans="1:23" x14ac:dyDescent="0.25">
      <c r="A1952" s="2">
        <v>1877</v>
      </c>
      <c r="B1952" s="3" t="s">
        <v>7220</v>
      </c>
      <c r="C1952" s="3">
        <v>2024</v>
      </c>
      <c r="D1952" s="3" t="s">
        <v>1395</v>
      </c>
      <c r="E1952" s="3" t="s">
        <v>15</v>
      </c>
      <c r="F1952" s="1" t="s">
        <v>7834</v>
      </c>
      <c r="G1952" s="10"/>
      <c r="H1952" s="10"/>
      <c r="I1952" s="10"/>
      <c r="J1952" s="10"/>
      <c r="K1952" s="10"/>
      <c r="L1952" s="3" t="s">
        <v>3863</v>
      </c>
      <c r="M1952" s="3" t="s">
        <v>7325</v>
      </c>
      <c r="N1952" s="3" t="s">
        <v>1677</v>
      </c>
      <c r="O1952" s="3" t="s">
        <v>7326</v>
      </c>
      <c r="P1952" s="3">
        <v>1258</v>
      </c>
      <c r="Q1952" s="3"/>
      <c r="R1952" s="3" t="s">
        <v>1678</v>
      </c>
      <c r="S1952" s="3" t="s">
        <v>3865</v>
      </c>
      <c r="T1952" s="3" t="s">
        <v>21</v>
      </c>
      <c r="U1952" s="11">
        <v>352</v>
      </c>
      <c r="V1952" s="3" t="s">
        <v>7220</v>
      </c>
      <c r="W1952" s="8" t="s">
        <v>7834</v>
      </c>
    </row>
    <row r="1953" spans="1:23" x14ac:dyDescent="0.25">
      <c r="A1953" s="2">
        <v>1880</v>
      </c>
      <c r="B1953" s="3" t="s">
        <v>7220</v>
      </c>
      <c r="C1953" s="3">
        <v>2024</v>
      </c>
      <c r="D1953" s="3" t="s">
        <v>415</v>
      </c>
      <c r="E1953" s="3" t="s">
        <v>15</v>
      </c>
      <c r="F1953" s="1" t="s">
        <v>7834</v>
      </c>
      <c r="G1953" s="10"/>
      <c r="H1953" s="10"/>
      <c r="I1953" s="10"/>
      <c r="J1953" s="10"/>
      <c r="K1953" s="10"/>
      <c r="L1953" s="3" t="s">
        <v>4071</v>
      </c>
      <c r="M1953" s="3" t="s">
        <v>7333</v>
      </c>
      <c r="N1953" s="3" t="s">
        <v>874</v>
      </c>
      <c r="O1953" s="3">
        <v>14</v>
      </c>
      <c r="P1953" s="3" t="s">
        <v>7334</v>
      </c>
      <c r="Q1953" s="3"/>
      <c r="R1953" s="3" t="s">
        <v>1002</v>
      </c>
      <c r="S1953" s="3" t="s">
        <v>4074</v>
      </c>
      <c r="T1953" s="3" t="s">
        <v>21</v>
      </c>
      <c r="U1953" s="11">
        <v>353</v>
      </c>
      <c r="V1953" s="3" t="s">
        <v>7220</v>
      </c>
      <c r="W1953" s="8" t="s">
        <v>7834</v>
      </c>
    </row>
    <row r="1954" spans="1:23" x14ac:dyDescent="0.25">
      <c r="A1954" s="2">
        <v>1884</v>
      </c>
      <c r="B1954" s="3" t="s">
        <v>7342</v>
      </c>
      <c r="C1954" s="3">
        <v>2024</v>
      </c>
      <c r="D1954" s="3" t="s">
        <v>2577</v>
      </c>
      <c r="E1954" s="3" t="s">
        <v>15</v>
      </c>
      <c r="F1954" s="1" t="s">
        <v>7834</v>
      </c>
      <c r="G1954" s="10"/>
      <c r="H1954" s="10"/>
      <c r="I1954" s="10"/>
      <c r="J1954" s="10"/>
      <c r="K1954" s="10"/>
      <c r="L1954" s="3" t="s">
        <v>7343</v>
      </c>
      <c r="M1954" s="3" t="s">
        <v>7344</v>
      </c>
      <c r="N1954" s="3" t="s">
        <v>721</v>
      </c>
      <c r="O1954" s="3">
        <v>119</v>
      </c>
      <c r="P1954" s="3">
        <v>4</v>
      </c>
      <c r="Q1954" s="3">
        <v>753</v>
      </c>
      <c r="R1954" s="3" t="s">
        <v>7345</v>
      </c>
      <c r="S1954" s="3" t="s">
        <v>7346</v>
      </c>
      <c r="T1954" s="3" t="s">
        <v>21</v>
      </c>
      <c r="U1954" s="11">
        <v>354</v>
      </c>
      <c r="V1954" s="3" t="s">
        <v>7342</v>
      </c>
      <c r="W1954" s="8" t="s">
        <v>7834</v>
      </c>
    </row>
    <row r="1955" spans="1:23" x14ac:dyDescent="0.25">
      <c r="A1955" s="2">
        <v>1887</v>
      </c>
      <c r="B1955" s="3" t="s">
        <v>7342</v>
      </c>
      <c r="C1955" s="3">
        <v>2024</v>
      </c>
      <c r="D1955" s="3" t="s">
        <v>1022</v>
      </c>
      <c r="E1955" s="3" t="s">
        <v>15</v>
      </c>
      <c r="F1955" s="1" t="s">
        <v>7834</v>
      </c>
      <c r="G1955" s="10"/>
      <c r="H1955" s="10"/>
      <c r="I1955" s="10"/>
      <c r="J1955" s="10"/>
      <c r="K1955" s="10"/>
      <c r="L1955" s="3" t="s">
        <v>7355</v>
      </c>
      <c r="M1955" s="3" t="s">
        <v>7356</v>
      </c>
      <c r="N1955" s="3" t="s">
        <v>721</v>
      </c>
      <c r="O1955" s="3">
        <v>119</v>
      </c>
      <c r="P1955" s="3">
        <v>8</v>
      </c>
      <c r="Q1955" s="3">
        <v>1440</v>
      </c>
      <c r="R1955" s="3" t="s">
        <v>7345</v>
      </c>
      <c r="S1955" s="3" t="s">
        <v>7357</v>
      </c>
      <c r="T1955" s="3" t="s">
        <v>21</v>
      </c>
      <c r="U1955" s="11">
        <v>355</v>
      </c>
      <c r="V1955" s="3" t="s">
        <v>7342</v>
      </c>
      <c r="W1955" s="8" t="s">
        <v>7834</v>
      </c>
    </row>
    <row r="1956" spans="1:23" x14ac:dyDescent="0.25">
      <c r="A1956" s="2">
        <v>1888</v>
      </c>
      <c r="B1956" s="3" t="s">
        <v>7342</v>
      </c>
      <c r="C1956" s="3">
        <v>2024</v>
      </c>
      <c r="D1956" s="3" t="s">
        <v>2932</v>
      </c>
      <c r="E1956" s="3" t="s">
        <v>15</v>
      </c>
      <c r="F1956" s="1" t="s">
        <v>7834</v>
      </c>
      <c r="G1956" s="10"/>
      <c r="H1956" s="10"/>
      <c r="I1956" s="10"/>
      <c r="J1956" s="10"/>
      <c r="K1956" s="10"/>
      <c r="L1956" s="3" t="s">
        <v>7358</v>
      </c>
      <c r="M1956" s="3" t="s">
        <v>7359</v>
      </c>
      <c r="N1956" s="3" t="s">
        <v>544</v>
      </c>
      <c r="O1956" s="3">
        <v>124</v>
      </c>
      <c r="P1956" s="3"/>
      <c r="Q1956" s="3"/>
      <c r="R1956" s="3" t="s">
        <v>545</v>
      </c>
      <c r="S1956" s="3" t="s">
        <v>7360</v>
      </c>
      <c r="T1956" s="3" t="s">
        <v>21</v>
      </c>
      <c r="U1956" s="11">
        <v>356</v>
      </c>
      <c r="V1956" s="3" t="s">
        <v>7342</v>
      </c>
      <c r="W1956" s="8" t="s">
        <v>7834</v>
      </c>
    </row>
    <row r="1957" spans="1:23" x14ac:dyDescent="0.25">
      <c r="A1957" s="2">
        <v>1891</v>
      </c>
      <c r="B1957" s="3" t="s">
        <v>7342</v>
      </c>
      <c r="C1957" s="3">
        <v>2024</v>
      </c>
      <c r="D1957" s="3" t="s">
        <v>894</v>
      </c>
      <c r="E1957" s="3" t="s">
        <v>15</v>
      </c>
      <c r="F1957" s="1" t="s">
        <v>7834</v>
      </c>
      <c r="G1957" s="10"/>
      <c r="H1957" s="10"/>
      <c r="I1957" s="10"/>
      <c r="J1957" s="10"/>
      <c r="K1957" s="10"/>
      <c r="L1957" s="3" t="s">
        <v>7371</v>
      </c>
      <c r="M1957" s="3" t="s">
        <v>7372</v>
      </c>
      <c r="N1957" s="3" t="s">
        <v>4268</v>
      </c>
      <c r="O1957" s="3">
        <v>30</v>
      </c>
      <c r="P1957" s="3">
        <v>3</v>
      </c>
      <c r="Q1957" s="3">
        <v>683</v>
      </c>
      <c r="R1957" s="3" t="s">
        <v>4269</v>
      </c>
      <c r="S1957" s="3" t="s">
        <v>7373</v>
      </c>
      <c r="T1957" s="3" t="s">
        <v>21</v>
      </c>
      <c r="U1957" s="11">
        <v>357</v>
      </c>
      <c r="V1957" s="3" t="s">
        <v>7342</v>
      </c>
      <c r="W1957" s="8" t="s">
        <v>7834</v>
      </c>
    </row>
    <row r="1958" spans="1:23" x14ac:dyDescent="0.25">
      <c r="A1958" s="2">
        <v>1892</v>
      </c>
      <c r="B1958" s="3" t="s">
        <v>7342</v>
      </c>
      <c r="C1958" s="3">
        <v>2024</v>
      </c>
      <c r="D1958" s="3" t="s">
        <v>568</v>
      </c>
      <c r="E1958" s="3" t="s">
        <v>15</v>
      </c>
      <c r="F1958" s="1" t="s">
        <v>7834</v>
      </c>
      <c r="G1958" s="10"/>
      <c r="H1958" s="10"/>
      <c r="I1958" s="10"/>
      <c r="J1958" s="10"/>
      <c r="K1958" s="10"/>
      <c r="L1958" s="3" t="s">
        <v>7374</v>
      </c>
      <c r="M1958" s="3" t="s">
        <v>7375</v>
      </c>
      <c r="N1958" s="3" t="s">
        <v>7376</v>
      </c>
      <c r="O1958" s="3"/>
      <c r="P1958" s="3"/>
      <c r="Q1958" s="3"/>
      <c r="R1958" s="3" t="s">
        <v>7364</v>
      </c>
      <c r="S1958" s="3" t="s">
        <v>7377</v>
      </c>
      <c r="T1958" s="3" t="s">
        <v>21</v>
      </c>
      <c r="U1958" s="11">
        <v>358</v>
      </c>
      <c r="V1958" s="3" t="s">
        <v>7342</v>
      </c>
      <c r="W1958" s="8" t="s">
        <v>7834</v>
      </c>
    </row>
    <row r="1959" spans="1:23" x14ac:dyDescent="0.25">
      <c r="A1959" s="2">
        <v>1894</v>
      </c>
      <c r="B1959" s="3" t="s">
        <v>7342</v>
      </c>
      <c r="C1959" s="3">
        <v>2024</v>
      </c>
      <c r="D1959" s="3" t="s">
        <v>1022</v>
      </c>
      <c r="E1959" s="3" t="s">
        <v>15</v>
      </c>
      <c r="F1959" s="1" t="s">
        <v>7834</v>
      </c>
      <c r="G1959" s="10"/>
      <c r="H1959" s="10"/>
      <c r="I1959" s="10"/>
      <c r="J1959" s="10"/>
      <c r="K1959" s="10"/>
      <c r="L1959" s="3" t="s">
        <v>7383</v>
      </c>
      <c r="M1959" s="3" t="s">
        <v>7384</v>
      </c>
      <c r="N1959" s="3" t="s">
        <v>544</v>
      </c>
      <c r="O1959" s="3">
        <v>127</v>
      </c>
      <c r="P1959" s="3"/>
      <c r="Q1959" s="3"/>
      <c r="R1959" s="3" t="s">
        <v>545</v>
      </c>
      <c r="S1959" s="3" t="s">
        <v>7385</v>
      </c>
      <c r="T1959" s="3" t="s">
        <v>21</v>
      </c>
      <c r="U1959" s="11">
        <v>359</v>
      </c>
      <c r="V1959" s="3" t="s">
        <v>7342</v>
      </c>
      <c r="W1959" s="8" t="s">
        <v>7834</v>
      </c>
    </row>
    <row r="1960" spans="1:23" x14ac:dyDescent="0.25">
      <c r="A1960" s="2">
        <v>1895</v>
      </c>
      <c r="B1960" s="3" t="s">
        <v>7342</v>
      </c>
      <c r="C1960" s="3">
        <v>2024</v>
      </c>
      <c r="D1960" s="3" t="s">
        <v>1262</v>
      </c>
      <c r="E1960" s="3" t="s">
        <v>15</v>
      </c>
      <c r="F1960" s="1" t="s">
        <v>7834</v>
      </c>
      <c r="G1960" s="10"/>
      <c r="H1960" s="10"/>
      <c r="I1960" s="10"/>
      <c r="J1960" s="10"/>
      <c r="K1960" s="10"/>
      <c r="L1960" s="3" t="s">
        <v>5843</v>
      </c>
      <c r="M1960" s="3" t="s">
        <v>7386</v>
      </c>
      <c r="N1960" s="3" t="s">
        <v>441</v>
      </c>
      <c r="O1960" s="3">
        <v>24</v>
      </c>
      <c r="P1960" s="3"/>
      <c r="Q1960" s="3"/>
      <c r="R1960" s="3" t="s">
        <v>5845</v>
      </c>
      <c r="S1960" s="3" t="s">
        <v>5846</v>
      </c>
      <c r="T1960" s="3" t="s">
        <v>21</v>
      </c>
      <c r="U1960" s="11">
        <v>360</v>
      </c>
      <c r="V1960" s="3" t="s">
        <v>7342</v>
      </c>
      <c r="W1960" s="8" t="s">
        <v>7834</v>
      </c>
    </row>
    <row r="1961" spans="1:23" x14ac:dyDescent="0.25">
      <c r="A1961" s="2">
        <v>1889</v>
      </c>
      <c r="B1961" s="3" t="s">
        <v>7342</v>
      </c>
      <c r="C1961" s="3">
        <v>2024</v>
      </c>
      <c r="D1961" s="3" t="s">
        <v>1960</v>
      </c>
      <c r="E1961" s="3" t="s">
        <v>206</v>
      </c>
      <c r="F1961" s="1" t="s">
        <v>7834</v>
      </c>
      <c r="G1961" s="10"/>
      <c r="H1961" s="10"/>
      <c r="I1961" s="10"/>
      <c r="J1961" s="10"/>
      <c r="K1961" s="10"/>
      <c r="L1961" s="3" t="s">
        <v>7361</v>
      </c>
      <c r="M1961" s="3" t="s">
        <v>7362</v>
      </c>
      <c r="N1961" s="3" t="s">
        <v>7363</v>
      </c>
      <c r="O1961" s="3">
        <v>94</v>
      </c>
      <c r="P1961" s="3">
        <v>3</v>
      </c>
      <c r="Q1961" s="3">
        <v>681</v>
      </c>
      <c r="R1961" s="3" t="s">
        <v>7364</v>
      </c>
      <c r="S1961" s="3" t="s">
        <v>7365</v>
      </c>
      <c r="T1961" s="3" t="s">
        <v>21</v>
      </c>
      <c r="U1961" s="11">
        <v>361</v>
      </c>
      <c r="V1961" s="3" t="s">
        <v>7342</v>
      </c>
      <c r="W1961" s="8" t="s">
        <v>7834</v>
      </c>
    </row>
    <row r="1962" spans="1:23" x14ac:dyDescent="0.25">
      <c r="A1962" s="2">
        <v>1901</v>
      </c>
      <c r="B1962" s="3" t="s">
        <v>7399</v>
      </c>
      <c r="C1962" s="3">
        <v>2024</v>
      </c>
      <c r="D1962" s="3" t="s">
        <v>2750</v>
      </c>
      <c r="E1962" s="3" t="s">
        <v>15</v>
      </c>
      <c r="F1962" s="1" t="s">
        <v>7834</v>
      </c>
      <c r="G1962" s="10"/>
      <c r="H1962" s="10"/>
      <c r="I1962" s="10"/>
      <c r="J1962" s="10"/>
      <c r="K1962" s="10"/>
      <c r="L1962" s="3" t="s">
        <v>7410</v>
      </c>
      <c r="M1962" s="3" t="s">
        <v>7411</v>
      </c>
      <c r="N1962" s="3" t="s">
        <v>7412</v>
      </c>
      <c r="O1962" s="3"/>
      <c r="P1962" s="3"/>
      <c r="Q1962" s="3"/>
      <c r="R1962" s="3" t="s">
        <v>7413</v>
      </c>
      <c r="S1962" s="3" t="s">
        <v>7414</v>
      </c>
      <c r="T1962" s="3" t="s">
        <v>21</v>
      </c>
      <c r="U1962" s="11">
        <v>362</v>
      </c>
      <c r="V1962" s="3" t="s">
        <v>7399</v>
      </c>
      <c r="W1962" s="8" t="s">
        <v>7834</v>
      </c>
    </row>
    <row r="1963" spans="1:23" x14ac:dyDescent="0.25">
      <c r="A1963" s="2">
        <v>1902</v>
      </c>
      <c r="B1963" s="3" t="s">
        <v>7399</v>
      </c>
      <c r="C1963" s="3">
        <v>2024</v>
      </c>
      <c r="D1963" s="3" t="s">
        <v>709</v>
      </c>
      <c r="E1963" s="3" t="s">
        <v>15</v>
      </c>
      <c r="F1963" s="1" t="s">
        <v>7834</v>
      </c>
      <c r="G1963" s="10"/>
      <c r="H1963" s="10"/>
      <c r="I1963" s="10"/>
      <c r="J1963" s="10"/>
      <c r="K1963" s="10"/>
      <c r="L1963" s="3" t="s">
        <v>7415</v>
      </c>
      <c r="M1963" s="3" t="s">
        <v>7416</v>
      </c>
      <c r="N1963" s="3" t="s">
        <v>587</v>
      </c>
      <c r="O1963" s="3"/>
      <c r="P1963" s="3"/>
      <c r="Q1963" s="3"/>
      <c r="R1963" s="3" t="s">
        <v>588</v>
      </c>
      <c r="S1963" s="3" t="s">
        <v>712</v>
      </c>
      <c r="T1963" s="3" t="s">
        <v>21</v>
      </c>
      <c r="U1963" s="11">
        <v>363</v>
      </c>
      <c r="V1963" s="3" t="s">
        <v>7399</v>
      </c>
      <c r="W1963" s="8" t="s">
        <v>7834</v>
      </c>
    </row>
    <row r="1964" spans="1:23" x14ac:dyDescent="0.25">
      <c r="A1964" s="2">
        <v>1906</v>
      </c>
      <c r="B1964" s="3" t="s">
        <v>7399</v>
      </c>
      <c r="C1964" s="3">
        <v>2024</v>
      </c>
      <c r="D1964" s="3" t="s">
        <v>1501</v>
      </c>
      <c r="E1964" s="3" t="s">
        <v>15</v>
      </c>
      <c r="F1964" s="1" t="s">
        <v>7834</v>
      </c>
      <c r="G1964" s="10"/>
      <c r="H1964" s="10"/>
      <c r="I1964" s="10"/>
      <c r="J1964" s="10"/>
      <c r="K1964" s="10"/>
      <c r="L1964" s="3" t="s">
        <v>7430</v>
      </c>
      <c r="M1964" s="3" t="s">
        <v>7431</v>
      </c>
      <c r="N1964" s="3" t="s">
        <v>7432</v>
      </c>
      <c r="O1964" s="3">
        <v>34</v>
      </c>
      <c r="P1964" s="3">
        <v>4</v>
      </c>
      <c r="Q1964" s="3"/>
      <c r="R1964" s="3" t="s">
        <v>7433</v>
      </c>
      <c r="S1964" s="3" t="s">
        <v>7434</v>
      </c>
      <c r="T1964" s="3" t="s">
        <v>21</v>
      </c>
      <c r="U1964" s="11">
        <v>364</v>
      </c>
      <c r="V1964" s="3" t="s">
        <v>7399</v>
      </c>
      <c r="W1964" s="8" t="s">
        <v>7834</v>
      </c>
    </row>
    <row r="1965" spans="1:23" x14ac:dyDescent="0.25">
      <c r="A1965" s="2">
        <v>1907</v>
      </c>
      <c r="B1965" s="3" t="s">
        <v>7399</v>
      </c>
      <c r="C1965" s="3">
        <v>2024</v>
      </c>
      <c r="D1965" s="3" t="s">
        <v>63</v>
      </c>
      <c r="E1965" s="3" t="s">
        <v>15</v>
      </c>
      <c r="F1965" s="1" t="s">
        <v>7834</v>
      </c>
      <c r="G1965" s="10"/>
      <c r="H1965" s="10"/>
      <c r="I1965" s="10"/>
      <c r="J1965" s="10"/>
      <c r="K1965" s="10"/>
      <c r="L1965" s="3" t="s">
        <v>7435</v>
      </c>
      <c r="M1965" s="3" t="s">
        <v>7436</v>
      </c>
      <c r="N1965" s="3" t="s">
        <v>7165</v>
      </c>
      <c r="O1965" s="3">
        <v>12</v>
      </c>
      <c r="P1965" s="3"/>
      <c r="Q1965" s="3">
        <v>1</v>
      </c>
      <c r="R1965" s="3" t="s">
        <v>7166</v>
      </c>
      <c r="S1965" s="3" t="s">
        <v>7437</v>
      </c>
      <c r="T1965" s="3" t="s">
        <v>21</v>
      </c>
      <c r="U1965" s="11">
        <v>365</v>
      </c>
      <c r="V1965" s="3" t="s">
        <v>7399</v>
      </c>
      <c r="W1965" s="8" t="s">
        <v>7834</v>
      </c>
    </row>
    <row r="1966" spans="1:23" x14ac:dyDescent="0.25">
      <c r="A1966" s="2">
        <v>1908</v>
      </c>
      <c r="B1966" s="3" t="s">
        <v>7399</v>
      </c>
      <c r="C1966" s="3">
        <v>2024</v>
      </c>
      <c r="D1966" s="3" t="s">
        <v>1940</v>
      </c>
      <c r="E1966" s="3" t="s">
        <v>15</v>
      </c>
      <c r="F1966" s="1" t="s">
        <v>7834</v>
      </c>
      <c r="G1966" s="10"/>
      <c r="H1966" s="10"/>
      <c r="I1966" s="10"/>
      <c r="J1966" s="10"/>
      <c r="K1966" s="10"/>
      <c r="L1966" s="3" t="s">
        <v>7438</v>
      </c>
      <c r="M1966" s="3" t="s">
        <v>7439</v>
      </c>
      <c r="N1966" s="3" t="s">
        <v>7440</v>
      </c>
      <c r="O1966" s="3">
        <v>75</v>
      </c>
      <c r="P1966" s="3">
        <v>6</v>
      </c>
      <c r="Q1966" s="3">
        <v>1</v>
      </c>
      <c r="R1966" s="3" t="s">
        <v>7441</v>
      </c>
      <c r="S1966" s="3" t="s">
        <v>7442</v>
      </c>
      <c r="T1966" s="3" t="s">
        <v>21</v>
      </c>
      <c r="U1966" s="11">
        <v>366</v>
      </c>
      <c r="V1966" s="3" t="s">
        <v>7399</v>
      </c>
      <c r="W1966" s="8" t="s">
        <v>7834</v>
      </c>
    </row>
    <row r="1967" spans="1:23" x14ac:dyDescent="0.25">
      <c r="A1967" s="2">
        <v>1909</v>
      </c>
      <c r="B1967" s="3" t="s">
        <v>7399</v>
      </c>
      <c r="C1967" s="3">
        <v>2024</v>
      </c>
      <c r="D1967" s="3" t="s">
        <v>903</v>
      </c>
      <c r="E1967" s="3" t="s">
        <v>15</v>
      </c>
      <c r="F1967" s="1" t="s">
        <v>7834</v>
      </c>
      <c r="G1967" s="10"/>
      <c r="H1967" s="10"/>
      <c r="I1967" s="10"/>
      <c r="J1967" s="10"/>
      <c r="K1967" s="10"/>
      <c r="L1967" s="3" t="s">
        <v>7443</v>
      </c>
      <c r="M1967" s="3" t="s">
        <v>7444</v>
      </c>
      <c r="N1967" s="3" t="s">
        <v>705</v>
      </c>
      <c r="O1967" s="3">
        <v>67</v>
      </c>
      <c r="P1967" s="3">
        <v>1</v>
      </c>
      <c r="Q1967" s="3">
        <v>1</v>
      </c>
      <c r="R1967" s="3" t="s">
        <v>707</v>
      </c>
      <c r="S1967" s="3" t="s">
        <v>7445</v>
      </c>
      <c r="T1967" s="3" t="s">
        <v>21</v>
      </c>
      <c r="U1967" s="11">
        <v>367</v>
      </c>
      <c r="V1967" s="3" t="s">
        <v>7399</v>
      </c>
      <c r="W1967" s="8" t="s">
        <v>7834</v>
      </c>
    </row>
    <row r="1968" spans="1:23" x14ac:dyDescent="0.25">
      <c r="A1968" s="2">
        <v>1912</v>
      </c>
      <c r="B1968" s="3" t="s">
        <v>7399</v>
      </c>
      <c r="C1968" s="3">
        <v>2024</v>
      </c>
      <c r="D1968" s="3" t="s">
        <v>2414</v>
      </c>
      <c r="E1968" s="3" t="s">
        <v>15</v>
      </c>
      <c r="F1968" s="1" t="s">
        <v>7834</v>
      </c>
      <c r="G1968" s="10"/>
      <c r="H1968" s="10"/>
      <c r="I1968" s="10"/>
      <c r="J1968" s="10"/>
      <c r="K1968" s="10"/>
      <c r="L1968" s="3" t="s">
        <v>7454</v>
      </c>
      <c r="M1968" s="3" t="s">
        <v>7455</v>
      </c>
      <c r="N1968" s="3" t="s">
        <v>7456</v>
      </c>
      <c r="O1968" s="3">
        <v>50</v>
      </c>
      <c r="P1968" s="3">
        <v>3</v>
      </c>
      <c r="Q1968" s="3">
        <v>496</v>
      </c>
      <c r="R1968" s="3" t="s">
        <v>7457</v>
      </c>
      <c r="S1968" s="3" t="s">
        <v>7458</v>
      </c>
      <c r="T1968" s="3" t="s">
        <v>21</v>
      </c>
      <c r="U1968" s="11">
        <v>368</v>
      </c>
      <c r="V1968" s="3" t="s">
        <v>7399</v>
      </c>
      <c r="W1968" s="8" t="s">
        <v>7834</v>
      </c>
    </row>
    <row r="1969" spans="1:23" x14ac:dyDescent="0.25">
      <c r="A1969" s="2">
        <v>1914</v>
      </c>
      <c r="B1969" s="3" t="s">
        <v>7399</v>
      </c>
      <c r="C1969" s="3">
        <v>2024</v>
      </c>
      <c r="D1969" s="3" t="s">
        <v>1142</v>
      </c>
      <c r="E1969" s="3" t="s">
        <v>15</v>
      </c>
      <c r="F1969" s="1" t="s">
        <v>7834</v>
      </c>
      <c r="G1969" s="10"/>
      <c r="H1969" s="10"/>
      <c r="I1969" s="10"/>
      <c r="J1969" s="10"/>
      <c r="K1969" s="10"/>
      <c r="L1969" s="3" t="s">
        <v>7465</v>
      </c>
      <c r="M1969" s="3" t="s">
        <v>7466</v>
      </c>
      <c r="N1969" s="3" t="s">
        <v>7467</v>
      </c>
      <c r="O1969" s="3">
        <v>9</v>
      </c>
      <c r="P1969" s="3">
        <v>3</v>
      </c>
      <c r="Q1969" s="3">
        <v>435</v>
      </c>
      <c r="R1969" s="3" t="s">
        <v>7468</v>
      </c>
      <c r="S1969" s="3" t="s">
        <v>7469</v>
      </c>
      <c r="T1969" s="3" t="s">
        <v>21</v>
      </c>
      <c r="U1969" s="11">
        <v>369</v>
      </c>
      <c r="V1969" s="3" t="s">
        <v>7399</v>
      </c>
      <c r="W1969" s="8" t="s">
        <v>7834</v>
      </c>
    </row>
    <row r="1970" spans="1:23" x14ac:dyDescent="0.25">
      <c r="A1970" s="2">
        <v>1916</v>
      </c>
      <c r="B1970" s="3" t="s">
        <v>7399</v>
      </c>
      <c r="C1970" s="3">
        <v>2024</v>
      </c>
      <c r="D1970" s="3" t="s">
        <v>3688</v>
      </c>
      <c r="E1970" s="3" t="s">
        <v>15</v>
      </c>
      <c r="F1970" s="1" t="s">
        <v>7834</v>
      </c>
      <c r="G1970" s="10"/>
      <c r="H1970" s="10"/>
      <c r="I1970" s="10"/>
      <c r="J1970" s="10"/>
      <c r="K1970" s="10"/>
      <c r="L1970" s="3" t="s">
        <v>7474</v>
      </c>
      <c r="M1970" s="3" t="s">
        <v>7475</v>
      </c>
      <c r="N1970" s="3" t="s">
        <v>7476</v>
      </c>
      <c r="O1970" s="3">
        <v>340</v>
      </c>
      <c r="P1970" s="3"/>
      <c r="Q1970" s="3">
        <v>1</v>
      </c>
      <c r="R1970" s="3" t="s">
        <v>7477</v>
      </c>
      <c r="S1970" s="3" t="s">
        <v>7478</v>
      </c>
      <c r="T1970" s="3" t="s">
        <v>21</v>
      </c>
      <c r="U1970" s="11">
        <v>370</v>
      </c>
      <c r="V1970" s="3" t="s">
        <v>7399</v>
      </c>
      <c r="W1970" s="8" t="s">
        <v>7834</v>
      </c>
    </row>
    <row r="1971" spans="1:23" x14ac:dyDescent="0.25">
      <c r="A1971" s="2">
        <v>1929</v>
      </c>
      <c r="B1971" s="3" t="s">
        <v>7399</v>
      </c>
      <c r="C1971" s="3">
        <v>2024</v>
      </c>
      <c r="D1971" s="3" t="s">
        <v>3597</v>
      </c>
      <c r="E1971" s="3" t="s">
        <v>15</v>
      </c>
      <c r="F1971" s="1" t="s">
        <v>7834</v>
      </c>
      <c r="G1971" s="10"/>
      <c r="H1971" s="10"/>
      <c r="I1971" s="10"/>
      <c r="J1971" s="10"/>
      <c r="K1971" s="10"/>
      <c r="L1971" s="3" t="s">
        <v>7521</v>
      </c>
      <c r="M1971" s="3" t="s">
        <v>7522</v>
      </c>
      <c r="N1971" s="3" t="s">
        <v>4885</v>
      </c>
      <c r="O1971" s="3"/>
      <c r="P1971" s="3"/>
      <c r="Q1971" s="3"/>
      <c r="R1971" s="3" t="s">
        <v>7523</v>
      </c>
      <c r="S1971" s="3" t="s">
        <v>4887</v>
      </c>
      <c r="T1971" s="3" t="s">
        <v>21</v>
      </c>
      <c r="U1971" s="11">
        <v>371</v>
      </c>
      <c r="V1971" s="3" t="s">
        <v>7399</v>
      </c>
      <c r="W1971" s="8" t="s">
        <v>7834</v>
      </c>
    </row>
    <row r="1972" spans="1:23" x14ac:dyDescent="0.25">
      <c r="A1972" s="2">
        <v>1930</v>
      </c>
      <c r="B1972" s="3" t="s">
        <v>7399</v>
      </c>
      <c r="C1972" s="3">
        <v>2024</v>
      </c>
      <c r="D1972" s="3" t="s">
        <v>2698</v>
      </c>
      <c r="E1972" s="3" t="s">
        <v>15</v>
      </c>
      <c r="F1972" s="1" t="s">
        <v>7834</v>
      </c>
      <c r="G1972" s="10"/>
      <c r="H1972" s="10"/>
      <c r="I1972" s="10"/>
      <c r="J1972" s="10"/>
      <c r="K1972" s="10"/>
      <c r="L1972" s="3" t="s">
        <v>7524</v>
      </c>
      <c r="M1972" s="3" t="s">
        <v>7525</v>
      </c>
      <c r="N1972" s="3" t="s">
        <v>441</v>
      </c>
      <c r="O1972" s="3">
        <v>24</v>
      </c>
      <c r="P1972" s="3"/>
      <c r="Q1972" s="3">
        <v>1</v>
      </c>
      <c r="R1972" s="3" t="s">
        <v>5845</v>
      </c>
      <c r="S1972" s="3" t="s">
        <v>7526</v>
      </c>
      <c r="T1972" s="3" t="s">
        <v>21</v>
      </c>
      <c r="U1972" s="11">
        <v>372</v>
      </c>
      <c r="V1972" s="3" t="s">
        <v>7399</v>
      </c>
      <c r="W1972" s="8" t="s">
        <v>7834</v>
      </c>
    </row>
    <row r="1973" spans="1:23" x14ac:dyDescent="0.25">
      <c r="A1973" s="2">
        <v>1933</v>
      </c>
      <c r="B1973" s="3" t="s">
        <v>7399</v>
      </c>
      <c r="C1973" s="3">
        <v>2024</v>
      </c>
      <c r="D1973" s="3" t="s">
        <v>660</v>
      </c>
      <c r="E1973" s="3" t="s">
        <v>15</v>
      </c>
      <c r="F1973" s="1" t="s">
        <v>7834</v>
      </c>
      <c r="G1973" s="10"/>
      <c r="H1973" s="10"/>
      <c r="I1973" s="10"/>
      <c r="J1973" s="10"/>
      <c r="K1973" s="10"/>
      <c r="L1973" s="3" t="s">
        <v>7535</v>
      </c>
      <c r="M1973" s="3" t="s">
        <v>7536</v>
      </c>
      <c r="N1973" s="3" t="s">
        <v>4801</v>
      </c>
      <c r="O1973" s="3">
        <v>338</v>
      </c>
      <c r="P1973" s="3"/>
      <c r="Q1973" s="3"/>
      <c r="R1973" s="3" t="s">
        <v>7537</v>
      </c>
      <c r="S1973" s="3" t="s">
        <v>7538</v>
      </c>
      <c r="T1973" s="3" t="s">
        <v>21</v>
      </c>
      <c r="U1973" s="11">
        <v>373</v>
      </c>
      <c r="V1973" s="3" t="s">
        <v>7399</v>
      </c>
      <c r="W1973" s="8" t="s">
        <v>7834</v>
      </c>
    </row>
    <row r="1974" spans="1:23" x14ac:dyDescent="0.25">
      <c r="A1974" s="2">
        <v>1934</v>
      </c>
      <c r="B1974" s="3" t="s">
        <v>7399</v>
      </c>
      <c r="C1974" s="3">
        <v>2024</v>
      </c>
      <c r="D1974" s="3" t="s">
        <v>573</v>
      </c>
      <c r="E1974" s="3" t="s">
        <v>15</v>
      </c>
      <c r="F1974" s="1" t="s">
        <v>7834</v>
      </c>
      <c r="G1974" s="10">
        <v>23</v>
      </c>
      <c r="H1974" s="10"/>
      <c r="I1974" s="10"/>
      <c r="J1974" s="10"/>
      <c r="K1974" s="10"/>
      <c r="L1974" s="3" t="s">
        <v>7539</v>
      </c>
      <c r="M1974" s="3" t="s">
        <v>7540</v>
      </c>
      <c r="N1974" s="3" t="s">
        <v>587</v>
      </c>
      <c r="O1974" s="3">
        <v>49</v>
      </c>
      <c r="P1974" s="3">
        <v>12</v>
      </c>
      <c r="Q1974" s="3">
        <v>2339</v>
      </c>
      <c r="R1974" s="3" t="s">
        <v>588</v>
      </c>
      <c r="S1974" s="3" t="s">
        <v>589</v>
      </c>
      <c r="T1974" s="3" t="s">
        <v>21</v>
      </c>
      <c r="U1974" s="11">
        <v>374</v>
      </c>
      <c r="V1974" s="3" t="s">
        <v>7399</v>
      </c>
      <c r="W1974" s="8" t="s">
        <v>7834</v>
      </c>
    </row>
    <row r="1975" spans="1:23" x14ac:dyDescent="0.25">
      <c r="A1975" s="2">
        <v>1938</v>
      </c>
      <c r="B1975" s="3" t="s">
        <v>7541</v>
      </c>
      <c r="C1975" s="3">
        <v>2024</v>
      </c>
      <c r="D1975" s="3" t="s">
        <v>22</v>
      </c>
      <c r="E1975" s="3" t="s">
        <v>15</v>
      </c>
      <c r="F1975" s="1" t="s">
        <v>7834</v>
      </c>
      <c r="G1975" s="10"/>
      <c r="H1975" s="10"/>
      <c r="I1975" s="10"/>
      <c r="J1975" s="10"/>
      <c r="K1975" s="10"/>
      <c r="L1975" s="3" t="s">
        <v>7554</v>
      </c>
      <c r="M1975" s="3" t="s">
        <v>7555</v>
      </c>
      <c r="N1975" s="3" t="s">
        <v>7556</v>
      </c>
      <c r="O1975" s="3">
        <v>104</v>
      </c>
      <c r="P1975" s="3">
        <v>1</v>
      </c>
      <c r="Q1975" s="3">
        <v>79</v>
      </c>
      <c r="R1975" s="3">
        <v>0</v>
      </c>
      <c r="S1975" s="3" t="s">
        <v>7557</v>
      </c>
      <c r="T1975" s="3" t="s">
        <v>21</v>
      </c>
      <c r="U1975" s="11">
        <v>375</v>
      </c>
      <c r="V1975" s="3" t="s">
        <v>7541</v>
      </c>
      <c r="W1975" s="8" t="s">
        <v>7834</v>
      </c>
    </row>
    <row r="1976" spans="1:23" x14ac:dyDescent="0.25">
      <c r="A1976" s="2">
        <v>1940</v>
      </c>
      <c r="B1976" s="3" t="s">
        <v>7541</v>
      </c>
      <c r="C1976" s="3">
        <v>2024</v>
      </c>
      <c r="D1976" s="3" t="s">
        <v>742</v>
      </c>
      <c r="E1976" s="3" t="s">
        <v>15</v>
      </c>
      <c r="F1976" s="1" t="s">
        <v>7834</v>
      </c>
      <c r="G1976" s="10">
        <v>5</v>
      </c>
      <c r="H1976" s="10"/>
      <c r="I1976" s="10"/>
      <c r="J1976" s="10"/>
      <c r="K1976" s="10"/>
      <c r="L1976" s="3" t="s">
        <v>7563</v>
      </c>
      <c r="M1976" s="3" t="s">
        <v>7564</v>
      </c>
      <c r="N1976" s="3" t="s">
        <v>7565</v>
      </c>
      <c r="O1976" s="3" t="s">
        <v>7561</v>
      </c>
      <c r="P1976" s="3"/>
      <c r="Q1976" s="3"/>
      <c r="R1976" s="3">
        <v>0</v>
      </c>
      <c r="S1976" s="3" t="s">
        <v>7566</v>
      </c>
      <c r="T1976" s="3" t="s">
        <v>21</v>
      </c>
      <c r="U1976" s="11">
        <v>376</v>
      </c>
      <c r="V1976" s="3" t="s">
        <v>7541</v>
      </c>
      <c r="W1976" s="8" t="s">
        <v>7834</v>
      </c>
    </row>
    <row r="1977" spans="1:23" x14ac:dyDescent="0.25">
      <c r="A1977" s="2">
        <v>1947</v>
      </c>
      <c r="B1977" s="3" t="s">
        <v>7578</v>
      </c>
      <c r="C1977" s="3">
        <v>2024</v>
      </c>
      <c r="D1977" s="3" t="s">
        <v>7588</v>
      </c>
      <c r="E1977" s="3" t="s">
        <v>15</v>
      </c>
      <c r="F1977" s="1" t="s">
        <v>7834</v>
      </c>
      <c r="G1977" s="10"/>
      <c r="H1977" s="10"/>
      <c r="I1977" s="10"/>
      <c r="J1977" s="10"/>
      <c r="K1977" s="10"/>
      <c r="L1977" s="3" t="s">
        <v>7589</v>
      </c>
      <c r="M1977" s="3" t="s">
        <v>7590</v>
      </c>
      <c r="N1977" s="3" t="s">
        <v>7591</v>
      </c>
      <c r="O1977" s="3"/>
      <c r="P1977" s="3"/>
      <c r="Q1977" s="3"/>
      <c r="R1977" s="3">
        <v>14747472</v>
      </c>
      <c r="S1977" s="3" t="s">
        <v>7592</v>
      </c>
      <c r="T1977" s="3" t="s">
        <v>21</v>
      </c>
      <c r="U1977" s="11">
        <v>377</v>
      </c>
      <c r="V1977" s="3" t="s">
        <v>7578</v>
      </c>
      <c r="W1977" s="8" t="s">
        <v>7834</v>
      </c>
    </row>
    <row r="1978" spans="1:23" x14ac:dyDescent="0.25">
      <c r="A1978" s="2">
        <v>1948</v>
      </c>
      <c r="B1978" s="3" t="s">
        <v>7578</v>
      </c>
      <c r="C1978" s="3">
        <v>2024</v>
      </c>
      <c r="D1978" s="3" t="s">
        <v>120</v>
      </c>
      <c r="E1978" s="3" t="s">
        <v>15</v>
      </c>
      <c r="F1978" s="1" t="s">
        <v>7834</v>
      </c>
      <c r="G1978" s="10"/>
      <c r="H1978" s="10"/>
      <c r="I1978" s="10"/>
      <c r="J1978" s="10"/>
      <c r="K1978" s="10"/>
      <c r="L1978" s="3" t="s">
        <v>7593</v>
      </c>
      <c r="M1978" s="3" t="s">
        <v>7594</v>
      </c>
      <c r="N1978" s="3" t="s">
        <v>7595</v>
      </c>
      <c r="O1978" s="3">
        <v>89</v>
      </c>
      <c r="P1978" s="3"/>
      <c r="Q1978" s="3">
        <v>1</v>
      </c>
      <c r="R1978" s="3">
        <v>9275371</v>
      </c>
      <c r="S1978" s="3" t="s">
        <v>7596</v>
      </c>
      <c r="T1978" s="3" t="s">
        <v>21</v>
      </c>
      <c r="U1978" s="11">
        <v>378</v>
      </c>
      <c r="V1978" s="3" t="s">
        <v>7578</v>
      </c>
      <c r="W1978" s="8" t="s">
        <v>7834</v>
      </c>
    </row>
    <row r="1979" spans="1:23" x14ac:dyDescent="0.25">
      <c r="A1979" s="2">
        <v>1952</v>
      </c>
      <c r="B1979" s="3" t="s">
        <v>7578</v>
      </c>
      <c r="C1979" s="3">
        <v>2024</v>
      </c>
      <c r="D1979" s="3" t="s">
        <v>3768</v>
      </c>
      <c r="E1979" s="3" t="s">
        <v>15</v>
      </c>
      <c r="F1979" s="1" t="s">
        <v>7834</v>
      </c>
      <c r="G1979" s="10"/>
      <c r="H1979" s="10"/>
      <c r="I1979" s="10"/>
      <c r="J1979" s="10"/>
      <c r="K1979" s="10"/>
      <c r="L1979" s="3" t="s">
        <v>7610</v>
      </c>
      <c r="M1979" s="3" t="s">
        <v>7611</v>
      </c>
      <c r="N1979" s="3" t="s">
        <v>7612</v>
      </c>
      <c r="O1979" s="3">
        <v>0</v>
      </c>
      <c r="P1979" s="3"/>
      <c r="Q1979" s="3">
        <v>1</v>
      </c>
      <c r="R1979" s="3">
        <v>71102</v>
      </c>
      <c r="S1979" s="3" t="s">
        <v>7613</v>
      </c>
      <c r="T1979" s="3" t="s">
        <v>21</v>
      </c>
      <c r="U1979" s="11">
        <v>379</v>
      </c>
      <c r="V1979" s="3" t="s">
        <v>7578</v>
      </c>
      <c r="W1979" s="8" t="s">
        <v>7834</v>
      </c>
    </row>
    <row r="1980" spans="1:23" x14ac:dyDescent="0.25">
      <c r="A1980" s="2">
        <v>1954</v>
      </c>
      <c r="B1980" s="3" t="s">
        <v>7578</v>
      </c>
      <c r="C1980" s="3">
        <v>2024</v>
      </c>
      <c r="D1980" s="3" t="s">
        <v>7618</v>
      </c>
      <c r="E1980" s="3" t="s">
        <v>15</v>
      </c>
      <c r="F1980" s="1" t="s">
        <v>7834</v>
      </c>
      <c r="G1980" s="10"/>
      <c r="H1980" s="10"/>
      <c r="I1980" s="10"/>
      <c r="J1980" s="10"/>
      <c r="K1980" s="10"/>
      <c r="L1980" s="3" t="s">
        <v>7619</v>
      </c>
      <c r="M1980" s="3" t="s">
        <v>7620</v>
      </c>
      <c r="N1980" s="3" t="s">
        <v>7612</v>
      </c>
      <c r="O1980" s="3"/>
      <c r="P1980" s="3"/>
      <c r="Q1980" s="3"/>
      <c r="R1980" s="3">
        <v>20448317</v>
      </c>
      <c r="S1980" s="3" t="s">
        <v>7621</v>
      </c>
      <c r="T1980" s="3" t="s">
        <v>21</v>
      </c>
      <c r="U1980" s="11">
        <v>380</v>
      </c>
      <c r="V1980" s="3" t="s">
        <v>7578</v>
      </c>
      <c r="W1980" s="8" t="s">
        <v>7834</v>
      </c>
    </row>
    <row r="1981" spans="1:23" x14ac:dyDescent="0.25">
      <c r="A1981" s="2">
        <v>1955</v>
      </c>
      <c r="B1981" s="3" t="s">
        <v>7578</v>
      </c>
      <c r="C1981" s="3">
        <v>2024</v>
      </c>
      <c r="D1981" s="3" t="s">
        <v>2750</v>
      </c>
      <c r="E1981" s="3" t="s">
        <v>15</v>
      </c>
      <c r="F1981" s="1" t="s">
        <v>7834</v>
      </c>
      <c r="G1981" s="10"/>
      <c r="H1981" s="10"/>
      <c r="I1981" s="10"/>
      <c r="J1981" s="10"/>
      <c r="K1981" s="10"/>
      <c r="L1981" s="3" t="s">
        <v>6681</v>
      </c>
      <c r="M1981" s="3" t="s">
        <v>7622</v>
      </c>
      <c r="N1981" s="3" t="s">
        <v>7623</v>
      </c>
      <c r="O1981" s="3">
        <v>88</v>
      </c>
      <c r="P1981" s="3">
        <v>2205</v>
      </c>
      <c r="Q1981" s="3">
        <v>2205</v>
      </c>
      <c r="R1981" s="3" t="s">
        <v>6684</v>
      </c>
      <c r="S1981" s="3" t="s">
        <v>6685</v>
      </c>
      <c r="T1981" s="3" t="s">
        <v>21</v>
      </c>
      <c r="U1981" s="11">
        <v>381</v>
      </c>
      <c r="V1981" s="3" t="s">
        <v>7578</v>
      </c>
      <c r="W1981" s="8" t="s">
        <v>7834</v>
      </c>
    </row>
    <row r="1982" spans="1:23" x14ac:dyDescent="0.25">
      <c r="A1982" s="2">
        <v>1956</v>
      </c>
      <c r="B1982" s="3" t="s">
        <v>7578</v>
      </c>
      <c r="C1982" s="3">
        <v>2024</v>
      </c>
      <c r="D1982" s="3" t="s">
        <v>2554</v>
      </c>
      <c r="E1982" s="3" t="s">
        <v>15</v>
      </c>
      <c r="F1982" s="1" t="s">
        <v>7834</v>
      </c>
      <c r="G1982" s="10"/>
      <c r="H1982" s="10"/>
      <c r="I1982" s="10"/>
      <c r="J1982" s="10"/>
      <c r="K1982" s="10"/>
      <c r="L1982" s="3" t="s">
        <v>7624</v>
      </c>
      <c r="M1982" s="3" t="s">
        <v>7625</v>
      </c>
      <c r="N1982" s="3" t="s">
        <v>7626</v>
      </c>
      <c r="O1982" s="3">
        <v>39</v>
      </c>
      <c r="P1982" s="3">
        <v>1</v>
      </c>
      <c r="Q1982" s="3">
        <v>27</v>
      </c>
      <c r="R1982" s="3" t="s">
        <v>7627</v>
      </c>
      <c r="S1982" s="3" t="s">
        <v>7628</v>
      </c>
      <c r="T1982" s="3" t="s">
        <v>21</v>
      </c>
      <c r="U1982" s="11">
        <v>382</v>
      </c>
      <c r="V1982" s="3" t="s">
        <v>7578</v>
      </c>
      <c r="W1982" s="8" t="s">
        <v>7834</v>
      </c>
    </row>
    <row r="1983" spans="1:23" x14ac:dyDescent="0.25">
      <c r="A1983" s="2">
        <v>1958</v>
      </c>
      <c r="B1983" s="3" t="s">
        <v>7578</v>
      </c>
      <c r="C1983" s="3">
        <v>2024</v>
      </c>
      <c r="D1983" s="3" t="s">
        <v>3558</v>
      </c>
      <c r="E1983" s="3" t="s">
        <v>15</v>
      </c>
      <c r="F1983" s="1" t="s">
        <v>7834</v>
      </c>
      <c r="G1983" s="10"/>
      <c r="H1983" s="10"/>
      <c r="I1983" s="10"/>
      <c r="J1983" s="10"/>
      <c r="K1983" s="10"/>
      <c r="L1983" s="3" t="s">
        <v>7632</v>
      </c>
      <c r="M1983" s="3" t="s">
        <v>7633</v>
      </c>
      <c r="N1983" s="3" t="s">
        <v>7634</v>
      </c>
      <c r="O1983" s="3">
        <v>89</v>
      </c>
      <c r="P1983" s="3"/>
      <c r="Q1983" s="3">
        <v>1074</v>
      </c>
      <c r="R1983" s="3">
        <v>333123</v>
      </c>
      <c r="S1983" s="3" t="s">
        <v>7635</v>
      </c>
      <c r="T1983" s="3" t="s">
        <v>21</v>
      </c>
      <c r="U1983" s="11">
        <v>383</v>
      </c>
      <c r="V1983" s="3" t="s">
        <v>7578</v>
      </c>
      <c r="W1983" s="8" t="s">
        <v>7834</v>
      </c>
    </row>
    <row r="1984" spans="1:23" x14ac:dyDescent="0.25">
      <c r="A1984" s="2">
        <v>1960</v>
      </c>
      <c r="B1984" s="3" t="s">
        <v>7578</v>
      </c>
      <c r="C1984" s="3">
        <v>2024</v>
      </c>
      <c r="D1984" s="3" t="s">
        <v>1252</v>
      </c>
      <c r="E1984" s="3" t="s">
        <v>15</v>
      </c>
      <c r="F1984" s="1" t="s">
        <v>7834</v>
      </c>
      <c r="G1984" s="10"/>
      <c r="H1984" s="10"/>
      <c r="I1984" s="10"/>
      <c r="J1984" s="10"/>
      <c r="K1984" s="10"/>
      <c r="L1984" s="3" t="s">
        <v>7640</v>
      </c>
      <c r="M1984" s="3" t="s">
        <v>7641</v>
      </c>
      <c r="N1984" s="3" t="s">
        <v>7642</v>
      </c>
      <c r="O1984" s="3"/>
      <c r="P1984" s="3"/>
      <c r="Q1984" s="3"/>
      <c r="R1984" s="3" t="s">
        <v>7643</v>
      </c>
      <c r="S1984" s="3" t="s">
        <v>7644</v>
      </c>
      <c r="T1984" s="3" t="s">
        <v>21</v>
      </c>
      <c r="U1984" s="11">
        <v>384</v>
      </c>
      <c r="V1984" s="3" t="s">
        <v>7578</v>
      </c>
      <c r="W1984" s="8" t="s">
        <v>7834</v>
      </c>
    </row>
    <row r="1985" spans="1:23" x14ac:dyDescent="0.25">
      <c r="A1985" s="2">
        <v>1961</v>
      </c>
      <c r="B1985" s="3" t="s">
        <v>7578</v>
      </c>
      <c r="C1985" s="3">
        <v>2024</v>
      </c>
      <c r="D1985" s="3" t="s">
        <v>2941</v>
      </c>
      <c r="E1985" s="3" t="s">
        <v>15</v>
      </c>
      <c r="F1985" s="1" t="s">
        <v>7834</v>
      </c>
      <c r="G1985" s="10"/>
      <c r="H1985" s="10"/>
      <c r="I1985" s="10"/>
      <c r="J1985" s="10"/>
      <c r="K1985" s="10"/>
      <c r="L1985" s="3" t="s">
        <v>7645</v>
      </c>
      <c r="M1985" s="3" t="s">
        <v>7646</v>
      </c>
      <c r="N1985" s="3" t="s">
        <v>7165</v>
      </c>
      <c r="O1985" s="3">
        <v>12</v>
      </c>
      <c r="P1985" s="3"/>
      <c r="Q1985" s="3">
        <v>111</v>
      </c>
      <c r="R1985" s="3" t="s">
        <v>7166</v>
      </c>
      <c r="S1985" s="3" t="s">
        <v>7647</v>
      </c>
      <c r="T1985" s="3" t="s">
        <v>21</v>
      </c>
      <c r="U1985" s="11">
        <v>385</v>
      </c>
      <c r="V1985" s="3" t="s">
        <v>7578</v>
      </c>
      <c r="W1985" s="8" t="s">
        <v>7834</v>
      </c>
    </row>
    <row r="1986" spans="1:23" x14ac:dyDescent="0.25">
      <c r="A1986" s="2">
        <v>1950</v>
      </c>
      <c r="B1986" s="3" t="s">
        <v>7578</v>
      </c>
      <c r="C1986" s="3">
        <v>2024</v>
      </c>
      <c r="D1986" s="3" t="s">
        <v>2567</v>
      </c>
      <c r="E1986" s="3" t="s">
        <v>496</v>
      </c>
      <c r="F1986" s="1" t="s">
        <v>7834</v>
      </c>
      <c r="G1986" s="10"/>
      <c r="H1986" s="10"/>
      <c r="I1986" s="10"/>
      <c r="J1986" s="10"/>
      <c r="K1986" s="10"/>
      <c r="L1986" s="3" t="s">
        <v>7603</v>
      </c>
      <c r="M1986" s="3" t="s">
        <v>7604</v>
      </c>
      <c r="N1986" s="3" t="s">
        <v>7605</v>
      </c>
      <c r="O1986" s="3"/>
      <c r="P1986" s="3"/>
      <c r="Q1986" s="3"/>
      <c r="R1986" s="3"/>
      <c r="S1986" s="3" t="s">
        <v>7606</v>
      </c>
      <c r="T1986" s="3" t="s">
        <v>21</v>
      </c>
      <c r="U1986" s="11">
        <v>386</v>
      </c>
      <c r="V1986" s="3" t="s">
        <v>7578</v>
      </c>
      <c r="W1986" s="8" t="s">
        <v>7834</v>
      </c>
    </row>
    <row r="1987" spans="1:23" x14ac:dyDescent="0.25">
      <c r="A1987" s="2">
        <v>1963</v>
      </c>
      <c r="B1987" s="3" t="s">
        <v>7653</v>
      </c>
      <c r="C1987" s="3">
        <v>2024</v>
      </c>
      <c r="D1987" s="3" t="s">
        <v>167</v>
      </c>
      <c r="E1987" s="3" t="s">
        <v>15</v>
      </c>
      <c r="F1987" s="1" t="s">
        <v>7834</v>
      </c>
      <c r="G1987" s="10"/>
      <c r="H1987" s="10"/>
      <c r="I1987" s="10"/>
      <c r="J1987" s="10"/>
      <c r="K1987" s="10"/>
      <c r="L1987" s="3" t="s">
        <v>7654</v>
      </c>
      <c r="M1987" s="3" t="s">
        <v>7655</v>
      </c>
      <c r="N1987" s="3" t="s">
        <v>874</v>
      </c>
      <c r="O1987" s="3">
        <v>14</v>
      </c>
      <c r="P1987" s="3">
        <v>13817</v>
      </c>
      <c r="Q1987" s="3"/>
      <c r="R1987" s="3" t="s">
        <v>1002</v>
      </c>
      <c r="S1987" s="3" t="s">
        <v>7656</v>
      </c>
      <c r="T1987" s="3" t="s">
        <v>21</v>
      </c>
      <c r="U1987" s="11">
        <v>387</v>
      </c>
      <c r="V1987" s="3" t="s">
        <v>7653</v>
      </c>
      <c r="W1987" s="8" t="s">
        <v>7834</v>
      </c>
    </row>
    <row r="1988" spans="1:23" x14ac:dyDescent="0.25">
      <c r="A1988" s="2">
        <v>1965</v>
      </c>
      <c r="B1988" s="3" t="s">
        <v>7653</v>
      </c>
      <c r="C1988" s="3">
        <v>2024</v>
      </c>
      <c r="D1988" s="3" t="s">
        <v>7662</v>
      </c>
      <c r="E1988" s="3" t="s">
        <v>15</v>
      </c>
      <c r="F1988" s="1" t="s">
        <v>7834</v>
      </c>
      <c r="G1988" s="10"/>
      <c r="H1988" s="10"/>
      <c r="I1988" s="10"/>
      <c r="J1988" s="10"/>
      <c r="K1988" s="10"/>
      <c r="L1988" s="3" t="s">
        <v>7663</v>
      </c>
      <c r="M1988" s="3" t="s">
        <v>7664</v>
      </c>
      <c r="N1988" s="3" t="s">
        <v>7665</v>
      </c>
      <c r="O1988" s="3">
        <v>202</v>
      </c>
      <c r="P1988" s="3">
        <v>1</v>
      </c>
      <c r="Q1988" s="3"/>
      <c r="R1988" s="3" t="s">
        <v>7666</v>
      </c>
      <c r="S1988" s="3" t="s">
        <v>7667</v>
      </c>
      <c r="T1988" s="3" t="s">
        <v>21</v>
      </c>
      <c r="U1988" s="11">
        <v>388</v>
      </c>
      <c r="V1988" s="3" t="s">
        <v>7653</v>
      </c>
      <c r="W1988" s="8" t="s">
        <v>7834</v>
      </c>
    </row>
    <row r="1989" spans="1:23" x14ac:dyDescent="0.25">
      <c r="A1989" s="2">
        <v>1966</v>
      </c>
      <c r="B1989" s="3" t="s">
        <v>7653</v>
      </c>
      <c r="C1989" s="3">
        <v>2024</v>
      </c>
      <c r="D1989" s="3" t="s">
        <v>1252</v>
      </c>
      <c r="E1989" s="3" t="s">
        <v>15</v>
      </c>
      <c r="F1989" s="1" t="s">
        <v>7834</v>
      </c>
      <c r="G1989" s="10"/>
      <c r="H1989" s="10"/>
      <c r="I1989" s="10"/>
      <c r="J1989" s="10"/>
      <c r="K1989" s="10"/>
      <c r="L1989" s="3" t="s">
        <v>7668</v>
      </c>
      <c r="M1989" s="3" t="s">
        <v>7669</v>
      </c>
      <c r="N1989" s="3" t="s">
        <v>243</v>
      </c>
      <c r="O1989" s="3">
        <v>635</v>
      </c>
      <c r="P1989" s="3"/>
      <c r="Q1989" s="3" t="s">
        <v>7670</v>
      </c>
      <c r="R1989" s="3" t="s">
        <v>3134</v>
      </c>
      <c r="S1989" s="3" t="s">
        <v>7671</v>
      </c>
      <c r="T1989" s="3" t="s">
        <v>21</v>
      </c>
      <c r="U1989" s="11">
        <v>389</v>
      </c>
      <c r="V1989" s="3" t="s">
        <v>7653</v>
      </c>
      <c r="W1989" s="8" t="s">
        <v>7834</v>
      </c>
    </row>
    <row r="1990" spans="1:23" x14ac:dyDescent="0.25">
      <c r="A1990" s="2">
        <v>1968</v>
      </c>
      <c r="B1990" s="3" t="s">
        <v>7653</v>
      </c>
      <c r="C1990" s="3">
        <v>2024</v>
      </c>
      <c r="D1990" s="3" t="s">
        <v>7677</v>
      </c>
      <c r="E1990" s="3" t="s">
        <v>15</v>
      </c>
      <c r="F1990" s="1" t="s">
        <v>7834</v>
      </c>
      <c r="G1990" s="10"/>
      <c r="H1990" s="10"/>
      <c r="I1990" s="10"/>
      <c r="J1990" s="10"/>
      <c r="K1990" s="10"/>
      <c r="L1990" s="3" t="s">
        <v>7678</v>
      </c>
      <c r="M1990" s="3" t="s">
        <v>7679</v>
      </c>
      <c r="N1990" s="3" t="s">
        <v>7680</v>
      </c>
      <c r="O1990" s="3">
        <v>165</v>
      </c>
      <c r="P1990" s="3"/>
      <c r="Q1990" s="3">
        <v>1</v>
      </c>
      <c r="R1990" s="3" t="s">
        <v>7681</v>
      </c>
      <c r="S1990" s="3" t="s">
        <v>7682</v>
      </c>
      <c r="T1990" s="3" t="s">
        <v>21</v>
      </c>
      <c r="U1990" s="11">
        <v>390</v>
      </c>
      <c r="V1990" s="3" t="s">
        <v>7653</v>
      </c>
      <c r="W1990" s="8" t="s">
        <v>7834</v>
      </c>
    </row>
    <row r="1991" spans="1:23" x14ac:dyDescent="0.25">
      <c r="A1991" s="2">
        <v>1970</v>
      </c>
      <c r="B1991" s="3" t="s">
        <v>7653</v>
      </c>
      <c r="C1991" s="3">
        <v>2024</v>
      </c>
      <c r="D1991" s="3" t="s">
        <v>508</v>
      </c>
      <c r="E1991" s="3" t="s">
        <v>15</v>
      </c>
      <c r="F1991" s="1" t="s">
        <v>7834</v>
      </c>
      <c r="G1991" s="10"/>
      <c r="H1991" s="10"/>
      <c r="I1991" s="10"/>
      <c r="J1991" s="10"/>
      <c r="K1991" s="10"/>
      <c r="L1991" s="3" t="s">
        <v>7689</v>
      </c>
      <c r="M1991" s="3" t="s">
        <v>7690</v>
      </c>
      <c r="N1991" s="3" t="s">
        <v>7680</v>
      </c>
      <c r="O1991" s="3">
        <v>166</v>
      </c>
      <c r="P1991" s="3"/>
      <c r="Q1991" s="3">
        <v>1</v>
      </c>
      <c r="R1991" s="3" t="s">
        <v>7691</v>
      </c>
      <c r="S1991" s="3" t="s">
        <v>7692</v>
      </c>
      <c r="T1991" s="3" t="s">
        <v>21</v>
      </c>
      <c r="U1991" s="11">
        <v>391</v>
      </c>
      <c r="V1991" s="3" t="s">
        <v>7653</v>
      </c>
      <c r="W1991" s="8" t="s">
        <v>7834</v>
      </c>
    </row>
    <row r="1992" spans="1:23" x14ac:dyDescent="0.25">
      <c r="A1992" s="2">
        <v>1971</v>
      </c>
      <c r="B1992" s="3" t="s">
        <v>7653</v>
      </c>
      <c r="C1992" s="3">
        <v>2024</v>
      </c>
      <c r="D1992" s="3" t="s">
        <v>6186</v>
      </c>
      <c r="E1992" s="3" t="s">
        <v>15</v>
      </c>
      <c r="F1992" s="1" t="s">
        <v>7834</v>
      </c>
      <c r="G1992" s="10"/>
      <c r="H1992" s="10"/>
      <c r="I1992" s="10"/>
      <c r="J1992" s="10"/>
      <c r="K1992" s="10"/>
      <c r="L1992" s="3" t="s">
        <v>7693</v>
      </c>
      <c r="M1992" s="3" t="s">
        <v>7694</v>
      </c>
      <c r="N1992" s="3" t="s">
        <v>243</v>
      </c>
      <c r="O1992" s="3">
        <v>634</v>
      </c>
      <c r="P1992" s="3"/>
      <c r="Q1992" s="3">
        <v>381</v>
      </c>
      <c r="R1992" s="3" t="s">
        <v>3134</v>
      </c>
      <c r="S1992" s="3" t="s">
        <v>7695</v>
      </c>
      <c r="T1992" s="3" t="s">
        <v>21</v>
      </c>
      <c r="U1992" s="11">
        <v>392</v>
      </c>
      <c r="V1992" s="3" t="s">
        <v>7653</v>
      </c>
      <c r="W1992" s="8" t="s">
        <v>7834</v>
      </c>
    </row>
    <row r="1993" spans="1:23" x14ac:dyDescent="0.25">
      <c r="A1993" s="2">
        <v>1972</v>
      </c>
      <c r="B1993" s="3" t="s">
        <v>7653</v>
      </c>
      <c r="C1993" s="3">
        <v>2024</v>
      </c>
      <c r="D1993" s="3" t="s">
        <v>361</v>
      </c>
      <c r="E1993" s="3" t="s">
        <v>15</v>
      </c>
      <c r="F1993" s="1" t="s">
        <v>7834</v>
      </c>
      <c r="G1993" s="10">
        <v>9</v>
      </c>
      <c r="H1993" s="10"/>
      <c r="I1993" s="10"/>
      <c r="J1993" s="10"/>
      <c r="K1993" s="10"/>
      <c r="L1993" s="3" t="s">
        <v>7696</v>
      </c>
      <c r="M1993" s="3" t="s">
        <v>7697</v>
      </c>
      <c r="N1993" s="3" t="s">
        <v>874</v>
      </c>
      <c r="O1993" s="3">
        <v>14</v>
      </c>
      <c r="P1993" s="3"/>
      <c r="Q1993" s="3">
        <v>1</v>
      </c>
      <c r="R1993" s="3" t="s">
        <v>1002</v>
      </c>
      <c r="S1993" s="3" t="s">
        <v>7698</v>
      </c>
      <c r="T1993" s="3" t="s">
        <v>21</v>
      </c>
      <c r="U1993" s="11">
        <v>393</v>
      </c>
      <c r="V1993" s="3" t="s">
        <v>7653</v>
      </c>
      <c r="W1993" s="8" t="s">
        <v>7834</v>
      </c>
    </row>
    <row r="1994" spans="1:23" x14ac:dyDescent="0.25">
      <c r="A1994" s="2">
        <v>1974</v>
      </c>
      <c r="B1994" s="3" t="s">
        <v>7699</v>
      </c>
      <c r="C1994" s="3">
        <v>2024</v>
      </c>
      <c r="D1994" s="3" t="s">
        <v>1440</v>
      </c>
      <c r="E1994" s="3" t="s">
        <v>15</v>
      </c>
      <c r="F1994" s="1" t="s">
        <v>7834</v>
      </c>
      <c r="G1994" s="10"/>
      <c r="H1994" s="10"/>
      <c r="I1994" s="10"/>
      <c r="J1994" s="10"/>
      <c r="K1994" s="10"/>
      <c r="L1994" s="3" t="s">
        <v>7705</v>
      </c>
      <c r="M1994" s="3" t="s">
        <v>7706</v>
      </c>
      <c r="N1994" s="3" t="s">
        <v>7707</v>
      </c>
      <c r="O1994" s="3">
        <v>0</v>
      </c>
      <c r="P1994" s="3">
        <v>0</v>
      </c>
      <c r="Q1994" s="3">
        <v>1</v>
      </c>
      <c r="R1994" s="3" t="s">
        <v>7708</v>
      </c>
      <c r="S1994" s="3" t="s">
        <v>7709</v>
      </c>
      <c r="T1994" s="3" t="s">
        <v>21</v>
      </c>
      <c r="U1994" s="11">
        <v>394</v>
      </c>
      <c r="V1994" s="3" t="s">
        <v>7699</v>
      </c>
      <c r="W1994" s="8" t="s">
        <v>7834</v>
      </c>
    </row>
    <row r="1995" spans="1:23" x14ac:dyDescent="0.25">
      <c r="A1995" s="2">
        <v>1990</v>
      </c>
      <c r="B1995" s="3" t="s">
        <v>7699</v>
      </c>
      <c r="C1995" s="3">
        <v>2024</v>
      </c>
      <c r="D1995" s="3" t="s">
        <v>395</v>
      </c>
      <c r="E1995" s="3" t="s">
        <v>15</v>
      </c>
      <c r="F1995" s="1" t="s">
        <v>7834</v>
      </c>
      <c r="G1995" s="10"/>
      <c r="H1995" s="10"/>
      <c r="I1995" s="10"/>
      <c r="J1995" s="10"/>
      <c r="K1995" s="10"/>
      <c r="L1995" s="3" t="s">
        <v>7768</v>
      </c>
      <c r="M1995" s="3" t="s">
        <v>7769</v>
      </c>
      <c r="N1995" s="3" t="s">
        <v>7770</v>
      </c>
      <c r="O1995" s="3">
        <v>0</v>
      </c>
      <c r="P1995" s="3">
        <v>0</v>
      </c>
      <c r="Q1995" s="3">
        <v>1</v>
      </c>
      <c r="R1995" s="3" t="s">
        <v>7771</v>
      </c>
      <c r="S1995" s="3" t="s">
        <v>7772</v>
      </c>
      <c r="T1995" s="3" t="s">
        <v>21</v>
      </c>
      <c r="U1995" s="11">
        <v>395</v>
      </c>
      <c r="V1995" s="3" t="s">
        <v>7699</v>
      </c>
      <c r="W1995" s="8" t="s">
        <v>7834</v>
      </c>
    </row>
    <row r="1996" spans="1:23" x14ac:dyDescent="0.25">
      <c r="A1996" s="2">
        <v>1991</v>
      </c>
      <c r="B1996" s="3" t="s">
        <v>7699</v>
      </c>
      <c r="C1996" s="3">
        <v>2024</v>
      </c>
      <c r="D1996" s="3" t="s">
        <v>2664</v>
      </c>
      <c r="E1996" s="3" t="s">
        <v>15</v>
      </c>
      <c r="F1996" s="1" t="s">
        <v>7834</v>
      </c>
      <c r="G1996" s="10"/>
      <c r="H1996" s="10"/>
      <c r="I1996" s="10"/>
      <c r="J1996" s="10"/>
      <c r="K1996" s="10"/>
      <c r="L1996" s="3" t="s">
        <v>7773</v>
      </c>
      <c r="M1996" s="3" t="s">
        <v>7774</v>
      </c>
      <c r="N1996" s="3" t="s">
        <v>7775</v>
      </c>
      <c r="O1996" s="3">
        <v>65</v>
      </c>
      <c r="P1996" s="3">
        <v>0</v>
      </c>
      <c r="Q1996" s="3">
        <v>1771</v>
      </c>
      <c r="R1996" s="3" t="s">
        <v>7776</v>
      </c>
      <c r="S1996" s="3" t="s">
        <v>7777</v>
      </c>
      <c r="T1996" s="3" t="s">
        <v>21</v>
      </c>
      <c r="U1996" s="11">
        <v>396</v>
      </c>
      <c r="V1996" s="3" t="s">
        <v>7699</v>
      </c>
      <c r="W1996" s="8" t="s">
        <v>7834</v>
      </c>
    </row>
    <row r="1997" spans="1:23" x14ac:dyDescent="0.25">
      <c r="A1997" s="2">
        <v>1993</v>
      </c>
      <c r="B1997" s="3" t="s">
        <v>7699</v>
      </c>
      <c r="C1997" s="3">
        <v>2024</v>
      </c>
      <c r="D1997" s="3" t="s">
        <v>7782</v>
      </c>
      <c r="E1997" s="3" t="s">
        <v>15</v>
      </c>
      <c r="F1997" s="1" t="s">
        <v>7834</v>
      </c>
      <c r="G1997" s="10"/>
      <c r="H1997" s="10"/>
      <c r="I1997" s="10"/>
      <c r="J1997" s="10"/>
      <c r="K1997" s="10"/>
      <c r="L1997" s="3" t="s">
        <v>7783</v>
      </c>
      <c r="M1997" s="3" t="s">
        <v>7784</v>
      </c>
      <c r="N1997" s="3" t="s">
        <v>7785</v>
      </c>
      <c r="O1997" s="3">
        <v>40</v>
      </c>
      <c r="P1997" s="3">
        <v>4</v>
      </c>
      <c r="Q1997" s="3">
        <v>1463</v>
      </c>
      <c r="R1997" s="3" t="s">
        <v>7786</v>
      </c>
      <c r="S1997" s="3" t="s">
        <v>7787</v>
      </c>
      <c r="T1997" s="3" t="s">
        <v>21</v>
      </c>
      <c r="U1997" s="11">
        <v>397</v>
      </c>
      <c r="V1997" s="3" t="s">
        <v>7699</v>
      </c>
      <c r="W1997" s="8" t="s">
        <v>7834</v>
      </c>
    </row>
    <row r="1998" spans="1:23" x14ac:dyDescent="0.25">
      <c r="A1998" s="2">
        <v>2004</v>
      </c>
      <c r="B1998" s="3" t="s">
        <v>7699</v>
      </c>
      <c r="C1998" s="3">
        <v>2024</v>
      </c>
      <c r="D1998" s="3" t="s">
        <v>4228</v>
      </c>
      <c r="E1998" s="3" t="s">
        <v>15</v>
      </c>
      <c r="F1998" s="1" t="s">
        <v>7834</v>
      </c>
      <c r="G1998" s="10">
        <v>9</v>
      </c>
      <c r="H1998" s="10"/>
      <c r="I1998" s="10"/>
      <c r="J1998" s="10"/>
      <c r="K1998" s="10"/>
      <c r="L1998" s="3" t="s">
        <v>7821</v>
      </c>
      <c r="M1998" s="3" t="s">
        <v>7822</v>
      </c>
      <c r="N1998" s="3" t="s">
        <v>7823</v>
      </c>
      <c r="O1998" s="3">
        <v>17</v>
      </c>
      <c r="P1998" s="3">
        <v>0</v>
      </c>
      <c r="Q1998" s="3">
        <v>2079</v>
      </c>
      <c r="R1998" s="3" t="s">
        <v>7824</v>
      </c>
      <c r="S1998" s="3" t="s">
        <v>7825</v>
      </c>
      <c r="T1998" s="3" t="s">
        <v>21</v>
      </c>
      <c r="U1998" s="11">
        <v>398</v>
      </c>
      <c r="V1998" s="3" t="s">
        <v>7699</v>
      </c>
      <c r="W1998" s="8" t="s">
        <v>7834</v>
      </c>
    </row>
    <row r="1999" spans="1:23" x14ac:dyDescent="0.25">
      <c r="A1999" s="2">
        <v>1980</v>
      </c>
      <c r="B1999" s="3" t="s">
        <v>7699</v>
      </c>
      <c r="C1999" s="3">
        <v>2024</v>
      </c>
      <c r="D1999" s="3" t="s">
        <v>2629</v>
      </c>
      <c r="E1999" s="3" t="s">
        <v>206</v>
      </c>
      <c r="F1999" s="1" t="s">
        <v>7834</v>
      </c>
      <c r="G1999" s="10"/>
      <c r="H1999" s="10"/>
      <c r="I1999" s="10"/>
      <c r="J1999" s="10"/>
      <c r="K1999" s="10"/>
      <c r="L1999" s="3" t="s">
        <v>7727</v>
      </c>
      <c r="M1999" s="3" t="s">
        <v>7728</v>
      </c>
      <c r="N1999" s="3" t="s">
        <v>7729</v>
      </c>
      <c r="O1999" s="3">
        <v>0</v>
      </c>
      <c r="P1999" s="3">
        <v>0</v>
      </c>
      <c r="Q1999" s="3">
        <v>105</v>
      </c>
      <c r="R1999" s="3" t="s">
        <v>7730</v>
      </c>
      <c r="S1999" s="3" t="s">
        <v>7731</v>
      </c>
      <c r="T1999" s="3" t="s">
        <v>21</v>
      </c>
      <c r="U1999" s="11">
        <v>399</v>
      </c>
      <c r="V1999" s="3" t="s">
        <v>7699</v>
      </c>
      <c r="W1999" s="8" t="s">
        <v>7834</v>
      </c>
    </row>
    <row r="2000" spans="1:23" x14ac:dyDescent="0.25">
      <c r="A2000" s="2">
        <v>1984</v>
      </c>
      <c r="B2000" s="3" t="s">
        <v>7699</v>
      </c>
      <c r="C2000" s="3">
        <v>2024</v>
      </c>
      <c r="D2000" s="3" t="s">
        <v>1669</v>
      </c>
      <c r="E2000" s="3" t="s">
        <v>206</v>
      </c>
      <c r="F2000" s="1" t="s">
        <v>7834</v>
      </c>
      <c r="G2000" s="10"/>
      <c r="H2000" s="10"/>
      <c r="I2000" s="10"/>
      <c r="J2000" s="10"/>
      <c r="K2000" s="10"/>
      <c r="L2000" s="3" t="s">
        <v>7747</v>
      </c>
      <c r="M2000" s="3" t="s">
        <v>7748</v>
      </c>
      <c r="N2000" s="3" t="s">
        <v>7749</v>
      </c>
      <c r="O2000" s="3">
        <v>11</v>
      </c>
      <c r="P2000" s="3">
        <v>1</v>
      </c>
      <c r="Q2000" s="3">
        <v>1</v>
      </c>
      <c r="R2000" s="3">
        <v>19297750</v>
      </c>
      <c r="S2000" s="3" t="s">
        <v>7750</v>
      </c>
      <c r="T2000" s="3" t="s">
        <v>21</v>
      </c>
      <c r="U2000" s="11">
        <v>400</v>
      </c>
      <c r="V2000" s="3" t="s">
        <v>7699</v>
      </c>
      <c r="W2000" s="8" t="s">
        <v>7834</v>
      </c>
    </row>
    <row r="2001" spans="1:23" x14ac:dyDescent="0.25">
      <c r="A2001" s="2">
        <v>1992</v>
      </c>
      <c r="B2001" s="3" t="s">
        <v>7699</v>
      </c>
      <c r="C2001" s="3">
        <v>2024</v>
      </c>
      <c r="D2001" s="3" t="s">
        <v>1762</v>
      </c>
      <c r="E2001" s="3" t="s">
        <v>206</v>
      </c>
      <c r="F2001" s="1" t="s">
        <v>7834</v>
      </c>
      <c r="G2001" s="10"/>
      <c r="H2001" s="10"/>
      <c r="I2001" s="10"/>
      <c r="J2001" s="10"/>
      <c r="K2001" s="10"/>
      <c r="L2001" s="3" t="s">
        <v>7778</v>
      </c>
      <c r="M2001" s="3" t="s">
        <v>7779</v>
      </c>
      <c r="N2001" s="3" t="s">
        <v>7780</v>
      </c>
      <c r="O2001" s="3">
        <v>78</v>
      </c>
      <c r="P2001" s="3">
        <v>3</v>
      </c>
      <c r="Q2001" s="3">
        <v>957</v>
      </c>
      <c r="R2001" s="3">
        <v>9515224</v>
      </c>
      <c r="S2001" s="3" t="s">
        <v>7781</v>
      </c>
      <c r="T2001" s="3" t="s">
        <v>21</v>
      </c>
      <c r="U2001" s="11">
        <v>401</v>
      </c>
      <c r="V2001" s="3" t="s">
        <v>7699</v>
      </c>
      <c r="W2001" s="8" t="s">
        <v>7834</v>
      </c>
    </row>
    <row r="2002" spans="1:23" x14ac:dyDescent="0.25">
      <c r="A2002" s="2">
        <v>1998</v>
      </c>
      <c r="B2002" s="3" t="s">
        <v>7699</v>
      </c>
      <c r="C2002" s="3">
        <v>2024</v>
      </c>
      <c r="D2002" s="3" t="s">
        <v>1497</v>
      </c>
      <c r="E2002" s="3" t="s">
        <v>206</v>
      </c>
      <c r="F2002" s="1" t="s">
        <v>7834</v>
      </c>
      <c r="G2002" s="10"/>
      <c r="H2002" s="10"/>
      <c r="I2002" s="10"/>
      <c r="J2002" s="10"/>
      <c r="K2002" s="10"/>
      <c r="L2002" s="3" t="s">
        <v>7797</v>
      </c>
      <c r="M2002" s="3" t="s">
        <v>7798</v>
      </c>
      <c r="N2002" s="3" t="s">
        <v>7749</v>
      </c>
      <c r="O2002" s="3">
        <v>11</v>
      </c>
      <c r="P2002" s="3">
        <v>1</v>
      </c>
      <c r="Q2002" s="3">
        <v>6</v>
      </c>
      <c r="R2002" s="3">
        <v>19297750</v>
      </c>
      <c r="S2002" s="3" t="s">
        <v>7799</v>
      </c>
      <c r="T2002" s="3" t="s">
        <v>21</v>
      </c>
      <c r="U2002" s="11">
        <v>402</v>
      </c>
      <c r="V2002" s="3" t="s">
        <v>7699</v>
      </c>
      <c r="W2002" s="8" t="s">
        <v>7834</v>
      </c>
    </row>
    <row r="2003" spans="1:23" x14ac:dyDescent="0.25">
      <c r="A2003" s="2">
        <v>2005</v>
      </c>
      <c r="B2003" s="3" t="s">
        <v>7699</v>
      </c>
      <c r="C2003" s="3">
        <v>2024</v>
      </c>
      <c r="D2003" s="3" t="s">
        <v>100</v>
      </c>
      <c r="E2003" s="3" t="s">
        <v>206</v>
      </c>
      <c r="F2003" s="1" t="s">
        <v>7834</v>
      </c>
      <c r="G2003" s="10"/>
      <c r="H2003" s="10"/>
      <c r="I2003" s="10"/>
      <c r="J2003" s="10"/>
      <c r="K2003" s="10">
        <v>10</v>
      </c>
      <c r="L2003" s="3" t="s">
        <v>7826</v>
      </c>
      <c r="M2003" s="3" t="s">
        <v>7827</v>
      </c>
      <c r="N2003" s="3" t="s">
        <v>7749</v>
      </c>
      <c r="O2003" s="3">
        <v>11</v>
      </c>
      <c r="P2003" s="3">
        <v>2</v>
      </c>
      <c r="Q2003" s="3">
        <v>138</v>
      </c>
      <c r="R2003" s="3" t="s">
        <v>7828</v>
      </c>
      <c r="S2003" s="3" t="s">
        <v>7829</v>
      </c>
      <c r="T2003" s="3" t="s">
        <v>21</v>
      </c>
      <c r="U2003" s="11">
        <v>403</v>
      </c>
      <c r="V2003" s="3" t="s">
        <v>7699</v>
      </c>
      <c r="W2003" s="8" t="s">
        <v>7834</v>
      </c>
    </row>
    <row r="2004" spans="1:23" x14ac:dyDescent="0.25">
      <c r="A2004" s="2">
        <v>644</v>
      </c>
      <c r="B2004" s="3" t="s">
        <v>2401</v>
      </c>
      <c r="C2004" s="3">
        <v>2024</v>
      </c>
      <c r="D2004" s="3" t="s">
        <v>2744</v>
      </c>
      <c r="E2004" s="3" t="s">
        <v>15</v>
      </c>
      <c r="F2004" s="1" t="s">
        <v>7834</v>
      </c>
      <c r="G2004" s="10"/>
      <c r="H2004" s="10"/>
      <c r="I2004" s="10"/>
      <c r="J2004" s="10"/>
      <c r="K2004" s="10"/>
      <c r="L2004" s="3" t="s">
        <v>2475</v>
      </c>
      <c r="M2004" s="3" t="s">
        <v>2416</v>
      </c>
      <c r="N2004" s="3" t="s">
        <v>2438</v>
      </c>
      <c r="O2004" s="3">
        <v>8</v>
      </c>
      <c r="P2004" s="3">
        <v>9</v>
      </c>
      <c r="Q2004" s="3"/>
      <c r="R2004" s="3">
        <v>0</v>
      </c>
      <c r="S2004" s="3" t="s">
        <v>2476</v>
      </c>
      <c r="T2004" s="3" t="s">
        <v>2745</v>
      </c>
      <c r="V2004" s="3" t="s">
        <v>2401</v>
      </c>
      <c r="W2004" s="8" t="s">
        <v>7834</v>
      </c>
    </row>
    <row r="2005" spans="1:23" x14ac:dyDescent="0.25">
      <c r="A2005" s="2">
        <v>1348</v>
      </c>
      <c r="B2005" s="3" t="s">
        <v>5560</v>
      </c>
      <c r="C2005" s="3">
        <v>2024</v>
      </c>
      <c r="D2005" s="3" t="s">
        <v>5561</v>
      </c>
      <c r="E2005" s="3" t="s">
        <v>15</v>
      </c>
      <c r="F2005" s="1" t="s">
        <v>7834</v>
      </c>
      <c r="G2005" s="10"/>
      <c r="H2005" s="10"/>
      <c r="I2005" s="10"/>
      <c r="J2005" s="10"/>
      <c r="K2005" s="10"/>
      <c r="L2005" s="3" t="s">
        <v>3977</v>
      </c>
      <c r="M2005" s="3" t="s">
        <v>5562</v>
      </c>
      <c r="N2005" s="3" t="s">
        <v>3979</v>
      </c>
      <c r="O2005" s="3"/>
      <c r="P2005" s="3">
        <v>618</v>
      </c>
      <c r="Q2005" s="3"/>
      <c r="R2005" s="3">
        <v>38790723</v>
      </c>
      <c r="S2005" s="3" t="s">
        <v>5563</v>
      </c>
      <c r="T2005" s="3" t="s">
        <v>2745</v>
      </c>
      <c r="V2005" s="3" t="s">
        <v>5560</v>
      </c>
      <c r="W2005" s="8" t="s">
        <v>7834</v>
      </c>
    </row>
    <row r="2006" spans="1:23" x14ac:dyDescent="0.25">
      <c r="A2006" s="2">
        <v>1609</v>
      </c>
      <c r="B2006" s="3" t="s">
        <v>6555</v>
      </c>
      <c r="C2006" s="3">
        <v>2024</v>
      </c>
      <c r="D2006" s="3" t="s">
        <v>1799</v>
      </c>
      <c r="E2006" s="3" t="s">
        <v>15</v>
      </c>
      <c r="F2006" s="1" t="s">
        <v>7834</v>
      </c>
      <c r="G2006" s="10"/>
      <c r="H2006" s="10"/>
      <c r="I2006" s="10"/>
      <c r="J2006" s="10"/>
      <c r="K2006" s="10"/>
      <c r="L2006" s="3" t="s">
        <v>90</v>
      </c>
      <c r="M2006" s="3" t="s">
        <v>6559</v>
      </c>
      <c r="N2006" s="3" t="s">
        <v>6560</v>
      </c>
      <c r="O2006" s="3"/>
      <c r="P2006" s="3">
        <v>168</v>
      </c>
      <c r="Q2006" s="3">
        <v>198</v>
      </c>
      <c r="R2006" s="3" t="s">
        <v>6561</v>
      </c>
      <c r="S2006" s="3" t="s">
        <v>92</v>
      </c>
      <c r="T2006" s="3" t="s">
        <v>2745</v>
      </c>
      <c r="V2006" s="3" t="s">
        <v>6555</v>
      </c>
      <c r="W2006" s="8" t="s">
        <v>7834</v>
      </c>
    </row>
    <row r="2007" spans="1:23" x14ac:dyDescent="0.25">
      <c r="A2007" s="2">
        <v>1939</v>
      </c>
      <c r="B2007" s="3" t="s">
        <v>7541</v>
      </c>
      <c r="C2007" s="3">
        <v>2024</v>
      </c>
      <c r="D2007" s="3" t="s">
        <v>818</v>
      </c>
      <c r="E2007" s="3" t="s">
        <v>15</v>
      </c>
      <c r="F2007" s="1" t="s">
        <v>7834</v>
      </c>
      <c r="G2007" s="10"/>
      <c r="H2007" s="10"/>
      <c r="I2007" s="10"/>
      <c r="J2007" s="10"/>
      <c r="K2007" s="10"/>
      <c r="L2007" s="3" t="s">
        <v>7558</v>
      </c>
      <c r="M2007" s="3" t="s">
        <v>7559</v>
      </c>
      <c r="N2007" s="3" t="s">
        <v>7560</v>
      </c>
      <c r="O2007" s="3" t="s">
        <v>7561</v>
      </c>
      <c r="P2007" s="3"/>
      <c r="Q2007" s="3">
        <v>1</v>
      </c>
      <c r="R2007" s="3">
        <v>0</v>
      </c>
      <c r="S2007" s="3" t="s">
        <v>7562</v>
      </c>
      <c r="T2007" s="3" t="s">
        <v>2745</v>
      </c>
      <c r="V2007" s="3" t="s">
        <v>7541</v>
      </c>
      <c r="W2007" s="8" t="s">
        <v>7834</v>
      </c>
    </row>
  </sheetData>
  <sortState xmlns:xlrd2="http://schemas.microsoft.com/office/spreadsheetml/2017/richdata2" ref="A2:T2007">
    <sortCondition descending="1" ref="T2:T200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5CEE-3FCD-46B5-9AE8-7CE884116818}">
  <dimension ref="B2:AE155"/>
  <sheetViews>
    <sheetView tabSelected="1" topLeftCell="F1" workbookViewId="0">
      <selection activeCell="O28" sqref="O28"/>
    </sheetView>
  </sheetViews>
  <sheetFormatPr baseColWidth="10" defaultRowHeight="15" x14ac:dyDescent="0.25"/>
  <cols>
    <col min="1" max="1" width="3.85546875" style="2" customWidth="1"/>
    <col min="2" max="2" width="69.5703125" style="2" customWidth="1"/>
    <col min="3" max="3" width="11.42578125" style="2"/>
    <col min="4" max="4" width="2.5703125" style="2" customWidth="1"/>
    <col min="5" max="5" width="8.42578125" style="11" bestFit="1" customWidth="1"/>
    <col min="6" max="6" width="6.28515625" style="11" bestFit="1" customWidth="1"/>
    <col min="7" max="7" width="5.7109375" style="11" bestFit="1" customWidth="1"/>
    <col min="8" max="8" width="6.28515625" style="11" bestFit="1" customWidth="1"/>
    <col min="9" max="9" width="7.140625" style="11" bestFit="1" customWidth="1"/>
    <col min="10" max="11" width="6" style="2" customWidth="1"/>
    <col min="12" max="12" width="16.85546875" style="2" bestFit="1" customWidth="1"/>
    <col min="13" max="13" width="3.5703125" style="8" bestFit="1" customWidth="1"/>
    <col min="14" max="14" width="8.42578125" style="8" bestFit="1" customWidth="1"/>
    <col min="15" max="15" width="6.28515625" style="8" bestFit="1" customWidth="1"/>
    <col min="16" max="16" width="5.7109375" style="8" bestFit="1" customWidth="1"/>
    <col min="17" max="17" width="6.28515625" style="8" bestFit="1" customWidth="1"/>
    <col min="18" max="18" width="7.140625" style="8" bestFit="1" customWidth="1"/>
    <col min="19" max="19" width="1.7109375" style="2" customWidth="1"/>
    <col min="20" max="20" width="5.42578125" style="8" bestFit="1" customWidth="1"/>
    <col min="21" max="21" width="19.5703125" style="2" bestFit="1" customWidth="1"/>
    <col min="22" max="22" width="10" style="8" bestFit="1" customWidth="1"/>
    <col min="23" max="23" width="8.85546875" style="11" bestFit="1" customWidth="1"/>
    <col min="24" max="25" width="6.5703125" style="2" customWidth="1"/>
    <col min="26" max="26" width="3.5703125" style="2" customWidth="1"/>
    <col min="27" max="28" width="4.42578125" style="2" customWidth="1"/>
    <col min="29" max="29" width="6.85546875" style="2" bestFit="1" customWidth="1"/>
    <col min="30" max="30" width="16.140625" style="2" bestFit="1" customWidth="1"/>
    <col min="31" max="31" width="74" style="2" bestFit="1" customWidth="1"/>
    <col min="32" max="16384" width="11.42578125" style="2"/>
  </cols>
  <sheetData>
    <row r="2" spans="2:31" s="11" customFormat="1" x14ac:dyDescent="0.25">
      <c r="B2" s="9" t="s">
        <v>0</v>
      </c>
      <c r="C2" s="9" t="s">
        <v>3</v>
      </c>
      <c r="D2" s="9" t="s">
        <v>7834</v>
      </c>
      <c r="E2" s="9" t="s">
        <v>8157</v>
      </c>
      <c r="F2" s="9" t="s">
        <v>8159</v>
      </c>
      <c r="G2" s="9" t="s">
        <v>8158</v>
      </c>
      <c r="H2" s="9" t="s">
        <v>8160</v>
      </c>
      <c r="I2" s="9" t="s">
        <v>206</v>
      </c>
      <c r="V2" s="8"/>
    </row>
    <row r="3" spans="2:31" x14ac:dyDescent="0.25">
      <c r="B3" s="3" t="s">
        <v>774</v>
      </c>
      <c r="C3" s="3" t="s">
        <v>15</v>
      </c>
      <c r="D3" s="3" t="s">
        <v>7834</v>
      </c>
      <c r="E3" s="9">
        <v>51</v>
      </c>
      <c r="F3" s="9"/>
      <c r="G3" s="9"/>
      <c r="H3" s="9"/>
      <c r="I3" s="9"/>
      <c r="L3" s="9" t="s">
        <v>8165</v>
      </c>
      <c r="M3" s="9" t="s">
        <v>8166</v>
      </c>
      <c r="N3" s="9" t="s">
        <v>8157</v>
      </c>
      <c r="O3" s="9" t="s">
        <v>8159</v>
      </c>
      <c r="P3" s="9" t="s">
        <v>8158</v>
      </c>
      <c r="Q3" s="9" t="s">
        <v>8160</v>
      </c>
      <c r="R3" s="9" t="s">
        <v>206</v>
      </c>
      <c r="T3" s="9" t="s">
        <v>8167</v>
      </c>
      <c r="U3" s="9" t="s">
        <v>8168</v>
      </c>
    </row>
    <row r="4" spans="2:31" x14ac:dyDescent="0.25">
      <c r="B4" s="3" t="s">
        <v>774</v>
      </c>
      <c r="C4" s="3" t="s">
        <v>496</v>
      </c>
      <c r="D4" s="3" t="s">
        <v>7834</v>
      </c>
      <c r="E4" s="9"/>
      <c r="F4" s="9">
        <v>4</v>
      </c>
      <c r="G4" s="9"/>
      <c r="H4" s="9"/>
      <c r="I4" s="9"/>
      <c r="L4" s="3" t="s">
        <v>8163</v>
      </c>
      <c r="M4" s="9">
        <v>18</v>
      </c>
      <c r="N4" s="9">
        <v>969</v>
      </c>
      <c r="O4" s="9">
        <v>70</v>
      </c>
      <c r="P4" s="9">
        <v>82</v>
      </c>
      <c r="Q4" s="9">
        <v>9</v>
      </c>
      <c r="R4" s="9">
        <v>102</v>
      </c>
      <c r="S4" s="13"/>
      <c r="T4" s="9">
        <f>SUM(N4:R4)</f>
        <v>1232</v>
      </c>
      <c r="U4" s="12">
        <f>T4/M4</f>
        <v>68.444444444444443</v>
      </c>
    </row>
    <row r="5" spans="2:31" x14ac:dyDescent="0.25">
      <c r="B5" s="3" t="s">
        <v>774</v>
      </c>
      <c r="C5" s="3" t="s">
        <v>114</v>
      </c>
      <c r="D5" s="3" t="s">
        <v>7834</v>
      </c>
      <c r="E5" s="9"/>
      <c r="F5" s="9"/>
      <c r="G5" s="9">
        <v>27</v>
      </c>
      <c r="H5" s="9"/>
      <c r="I5" s="9"/>
      <c r="L5" s="3" t="s">
        <v>8164</v>
      </c>
      <c r="M5" s="9">
        <v>34</v>
      </c>
      <c r="N5" s="9">
        <v>535</v>
      </c>
      <c r="O5" s="9">
        <v>86</v>
      </c>
      <c r="P5" s="9">
        <v>45</v>
      </c>
      <c r="Q5" s="9">
        <v>16</v>
      </c>
      <c r="R5" s="9">
        <v>92</v>
      </c>
      <c r="S5" s="13"/>
      <c r="T5" s="9">
        <f>SUM(N5:R5)</f>
        <v>774</v>
      </c>
      <c r="U5" s="12">
        <f>T5/M5</f>
        <v>22.764705882352942</v>
      </c>
    </row>
    <row r="6" spans="2:31" ht="15.75" thickBot="1" x14ac:dyDescent="0.3">
      <c r="B6" s="3" t="s">
        <v>1126</v>
      </c>
      <c r="C6" s="3" t="s">
        <v>15</v>
      </c>
      <c r="D6" s="3" t="s">
        <v>7834</v>
      </c>
      <c r="E6" s="9">
        <v>60</v>
      </c>
      <c r="F6" s="9"/>
      <c r="G6" s="9"/>
      <c r="H6" s="9"/>
      <c r="I6" s="9"/>
    </row>
    <row r="7" spans="2:31" ht="15.75" thickBot="1" x14ac:dyDescent="0.3">
      <c r="B7" s="3" t="s">
        <v>1126</v>
      </c>
      <c r="C7" s="3" t="s">
        <v>496</v>
      </c>
      <c r="D7" s="3" t="s">
        <v>7834</v>
      </c>
      <c r="E7" s="9"/>
      <c r="F7" s="9">
        <v>3</v>
      </c>
      <c r="G7" s="9"/>
      <c r="H7" s="9"/>
      <c r="I7" s="9"/>
      <c r="T7" s="14">
        <f>SUM(T4:T5)</f>
        <v>2006</v>
      </c>
    </row>
    <row r="8" spans="2:31" x14ac:dyDescent="0.25">
      <c r="B8" s="3" t="s">
        <v>1126</v>
      </c>
      <c r="C8" s="3" t="s">
        <v>114</v>
      </c>
      <c r="D8" s="3" t="s">
        <v>7834</v>
      </c>
      <c r="E8" s="9"/>
      <c r="F8" s="9"/>
      <c r="G8" s="9">
        <v>14</v>
      </c>
      <c r="H8" s="9"/>
      <c r="I8" s="9"/>
    </row>
    <row r="9" spans="2:31" ht="18.75" x14ac:dyDescent="0.25">
      <c r="B9" s="3" t="s">
        <v>1126</v>
      </c>
      <c r="C9" s="3" t="s">
        <v>206</v>
      </c>
      <c r="D9" s="3" t="s">
        <v>7834</v>
      </c>
      <c r="E9" s="9"/>
      <c r="F9" s="9"/>
      <c r="G9" s="9"/>
      <c r="H9" s="9"/>
      <c r="I9" s="9">
        <v>15</v>
      </c>
      <c r="Y9" s="2" t="s">
        <v>8174</v>
      </c>
    </row>
    <row r="10" spans="2:31" x14ac:dyDescent="0.25">
      <c r="B10" s="3" t="s">
        <v>1547</v>
      </c>
      <c r="C10" s="3" t="s">
        <v>15</v>
      </c>
      <c r="D10" s="3" t="s">
        <v>7834</v>
      </c>
      <c r="E10" s="9">
        <v>68</v>
      </c>
      <c r="F10" s="9"/>
      <c r="G10" s="9"/>
      <c r="H10" s="9"/>
      <c r="I10" s="9"/>
    </row>
    <row r="11" spans="2:31" ht="18.75" x14ac:dyDescent="0.25">
      <c r="B11" s="3" t="s">
        <v>1547</v>
      </c>
      <c r="C11" s="3" t="s">
        <v>496</v>
      </c>
      <c r="D11" s="3" t="s">
        <v>7834</v>
      </c>
      <c r="E11" s="9"/>
      <c r="F11" s="9">
        <v>2</v>
      </c>
      <c r="G11" s="9"/>
      <c r="H11" s="9"/>
      <c r="I11" s="9"/>
      <c r="W11" s="9" t="s">
        <v>8172</v>
      </c>
      <c r="X11" s="9" t="s">
        <v>8173</v>
      </c>
      <c r="Y11" s="9" t="s">
        <v>8175</v>
      </c>
      <c r="AC11" s="9" t="s">
        <v>8177</v>
      </c>
      <c r="AD11" s="9" t="s">
        <v>8178</v>
      </c>
      <c r="AE11" s="9" t="s">
        <v>8179</v>
      </c>
    </row>
    <row r="12" spans="2:31" x14ac:dyDescent="0.25">
      <c r="B12" s="3" t="s">
        <v>1547</v>
      </c>
      <c r="C12" s="3" t="s">
        <v>730</v>
      </c>
      <c r="D12" s="3" t="s">
        <v>7834</v>
      </c>
      <c r="E12" s="9"/>
      <c r="F12" s="9"/>
      <c r="G12" s="9"/>
      <c r="H12" s="9">
        <v>2</v>
      </c>
      <c r="I12" s="9"/>
      <c r="U12" s="17" t="s">
        <v>8163</v>
      </c>
      <c r="V12" s="10" t="s">
        <v>21</v>
      </c>
      <c r="W12" s="9">
        <v>713</v>
      </c>
      <c r="X12" s="15">
        <f>(W12*100)/$T$4</f>
        <v>57.873376623376622</v>
      </c>
      <c r="Y12" s="15">
        <f>(W12*100)/(1232-174)</f>
        <v>67.391304347826093</v>
      </c>
      <c r="AC12" s="10" t="s">
        <v>21</v>
      </c>
      <c r="AD12" s="10" t="s">
        <v>8180</v>
      </c>
      <c r="AE12" s="3" t="s">
        <v>8181</v>
      </c>
    </row>
    <row r="13" spans="2:31" x14ac:dyDescent="0.25">
      <c r="B13" s="3" t="s">
        <v>1547</v>
      </c>
      <c r="C13" s="3" t="s">
        <v>206</v>
      </c>
      <c r="D13" s="3" t="s">
        <v>7834</v>
      </c>
      <c r="E13" s="9"/>
      <c r="F13" s="9"/>
      <c r="G13" s="9"/>
      <c r="H13" s="9"/>
      <c r="I13" s="9">
        <v>3</v>
      </c>
      <c r="U13" s="17"/>
      <c r="V13" s="10" t="s">
        <v>113</v>
      </c>
      <c r="W13" s="9">
        <v>178</v>
      </c>
      <c r="X13" s="15">
        <f>(W13*100)/$T$4</f>
        <v>14.448051948051948</v>
      </c>
      <c r="Y13" s="15">
        <f>(W13*100)/(1232-174)</f>
        <v>16.824196597353499</v>
      </c>
      <c r="AC13" s="10" t="s">
        <v>113</v>
      </c>
      <c r="AD13" s="10" t="s">
        <v>8182</v>
      </c>
      <c r="AE13" s="3" t="s">
        <v>8183</v>
      </c>
    </row>
    <row r="14" spans="2:31" x14ac:dyDescent="0.25">
      <c r="B14" s="3" t="s">
        <v>1904</v>
      </c>
      <c r="C14" s="3" t="s">
        <v>15</v>
      </c>
      <c r="D14" s="3" t="s">
        <v>7834</v>
      </c>
      <c r="E14" s="9">
        <v>110</v>
      </c>
      <c r="F14" s="9"/>
      <c r="G14" s="9"/>
      <c r="H14" s="9"/>
      <c r="I14" s="9"/>
      <c r="U14" s="17"/>
      <c r="V14" s="10" t="s">
        <v>483</v>
      </c>
      <c r="W14" s="9">
        <v>99</v>
      </c>
      <c r="X14" s="15">
        <f>(W14*100)/$T$4</f>
        <v>8.0357142857142865</v>
      </c>
      <c r="Y14" s="15">
        <f>(W14*100)/(1232-174)</f>
        <v>9.3572778827977316</v>
      </c>
      <c r="AC14" s="10" t="s">
        <v>483</v>
      </c>
      <c r="AD14" s="10" t="s">
        <v>8184</v>
      </c>
      <c r="AE14" s="3" t="s">
        <v>8185</v>
      </c>
    </row>
    <row r="15" spans="2:31" x14ac:dyDescent="0.25">
      <c r="B15" s="3" t="s">
        <v>1904</v>
      </c>
      <c r="C15" s="3" t="s">
        <v>114</v>
      </c>
      <c r="D15" s="3" t="s">
        <v>7834</v>
      </c>
      <c r="E15" s="9"/>
      <c r="F15" s="9"/>
      <c r="G15" s="9">
        <v>2</v>
      </c>
      <c r="H15" s="9"/>
      <c r="I15" s="9"/>
      <c r="U15" s="17"/>
      <c r="V15" s="10" t="s">
        <v>106</v>
      </c>
      <c r="W15" s="9">
        <v>68</v>
      </c>
      <c r="X15" s="15">
        <f>(W15*100)/$T$4</f>
        <v>5.5194805194805197</v>
      </c>
      <c r="Y15" s="15">
        <f>(W15*100)/(1232-174)</f>
        <v>6.4272211720226844</v>
      </c>
      <c r="AC15" s="10" t="s">
        <v>106</v>
      </c>
      <c r="AD15" s="10" t="s">
        <v>8186</v>
      </c>
      <c r="AE15" s="3" t="s">
        <v>8187</v>
      </c>
    </row>
    <row r="16" spans="2:31" x14ac:dyDescent="0.25">
      <c r="B16" s="3" t="s">
        <v>1904</v>
      </c>
      <c r="C16" s="3" t="s">
        <v>206</v>
      </c>
      <c r="D16" s="3" t="s">
        <v>7834</v>
      </c>
      <c r="E16" s="9"/>
      <c r="F16" s="9"/>
      <c r="G16" s="9"/>
      <c r="H16" s="9"/>
      <c r="I16" s="9">
        <v>9</v>
      </c>
      <c r="U16" s="17"/>
      <c r="V16" s="10" t="s">
        <v>8170</v>
      </c>
      <c r="W16" s="9">
        <v>174</v>
      </c>
      <c r="X16" s="15">
        <f>(W16*100)/$T$4</f>
        <v>14.123376623376624</v>
      </c>
      <c r="Y16" s="15" t="s">
        <v>8176</v>
      </c>
    </row>
    <row r="17" spans="2:25" x14ac:dyDescent="0.25">
      <c r="B17" s="3" t="s">
        <v>2234</v>
      </c>
      <c r="C17" s="3" t="s">
        <v>15</v>
      </c>
      <c r="D17" s="3" t="s">
        <v>7834</v>
      </c>
      <c r="E17" s="9">
        <v>41</v>
      </c>
      <c r="F17" s="9"/>
      <c r="G17" s="9"/>
      <c r="H17" s="9"/>
      <c r="I17" s="9"/>
      <c r="V17" s="16" t="s">
        <v>8167</v>
      </c>
      <c r="W17" s="9">
        <f>SUM(W12:W16)</f>
        <v>1232</v>
      </c>
      <c r="X17" s="11"/>
      <c r="Y17" s="11"/>
    </row>
    <row r="18" spans="2:25" x14ac:dyDescent="0.25">
      <c r="B18" s="3" t="s">
        <v>2401</v>
      </c>
      <c r="C18" s="3" t="s">
        <v>15</v>
      </c>
      <c r="D18" s="3" t="s">
        <v>7834</v>
      </c>
      <c r="E18" s="9">
        <v>153</v>
      </c>
      <c r="F18" s="9"/>
      <c r="G18" s="9"/>
      <c r="H18" s="9"/>
      <c r="I18" s="9"/>
      <c r="X18" s="11"/>
      <c r="Y18" s="11"/>
    </row>
    <row r="19" spans="2:25" x14ac:dyDescent="0.25">
      <c r="B19" s="3" t="s">
        <v>2401</v>
      </c>
      <c r="C19" s="3" t="s">
        <v>206</v>
      </c>
      <c r="D19" s="3" t="s">
        <v>7834</v>
      </c>
      <c r="E19" s="9"/>
      <c r="F19" s="9"/>
      <c r="G19" s="9"/>
      <c r="H19" s="9"/>
      <c r="I19" s="9">
        <v>1</v>
      </c>
    </row>
    <row r="20" spans="2:25" ht="18.75" x14ac:dyDescent="0.25">
      <c r="B20" s="3" t="s">
        <v>2849</v>
      </c>
      <c r="C20" s="3" t="s">
        <v>15</v>
      </c>
      <c r="D20" s="3" t="s">
        <v>7834</v>
      </c>
      <c r="E20" s="9">
        <v>40</v>
      </c>
      <c r="F20" s="9"/>
      <c r="G20" s="9"/>
      <c r="H20" s="9"/>
      <c r="I20" s="9"/>
      <c r="W20" s="9" t="s">
        <v>8172</v>
      </c>
      <c r="X20" s="9" t="s">
        <v>8173</v>
      </c>
      <c r="Y20" s="9" t="s">
        <v>8175</v>
      </c>
    </row>
    <row r="21" spans="2:25" x14ac:dyDescent="0.25">
      <c r="B21" s="3" t="s">
        <v>3027</v>
      </c>
      <c r="C21" s="3" t="s">
        <v>15</v>
      </c>
      <c r="D21" s="3" t="s">
        <v>7834</v>
      </c>
      <c r="E21" s="9">
        <v>17</v>
      </c>
      <c r="F21" s="9"/>
      <c r="G21" s="9"/>
      <c r="H21" s="9"/>
      <c r="I21" s="9"/>
      <c r="U21" s="17" t="s">
        <v>8164</v>
      </c>
      <c r="V21" s="10" t="s">
        <v>21</v>
      </c>
      <c r="W21" s="9">
        <v>403</v>
      </c>
      <c r="X21" s="15">
        <f>(W21*100)/$T$5</f>
        <v>52.067183462532299</v>
      </c>
      <c r="Y21" s="15">
        <f>(W21*100)/(774-98)</f>
        <v>59.615384615384613</v>
      </c>
    </row>
    <row r="22" spans="2:25" x14ac:dyDescent="0.25">
      <c r="B22" s="3" t="s">
        <v>3027</v>
      </c>
      <c r="C22" s="3" t="s">
        <v>496</v>
      </c>
      <c r="D22" s="3" t="s">
        <v>7834</v>
      </c>
      <c r="E22" s="9"/>
      <c r="F22" s="9">
        <v>1</v>
      </c>
      <c r="G22" s="9"/>
      <c r="H22" s="9"/>
      <c r="I22" s="9"/>
      <c r="U22" s="17"/>
      <c r="V22" s="10" t="s">
        <v>113</v>
      </c>
      <c r="W22" s="9">
        <v>142</v>
      </c>
      <c r="X22" s="15">
        <f>(W22*100)/$T$5</f>
        <v>18.34625322997416</v>
      </c>
      <c r="Y22" s="15">
        <f>(W22*100)/(774-98)</f>
        <v>21.005917159763314</v>
      </c>
    </row>
    <row r="23" spans="2:25" x14ac:dyDescent="0.25">
      <c r="B23" s="3" t="s">
        <v>3027</v>
      </c>
      <c r="C23" s="3" t="s">
        <v>206</v>
      </c>
      <c r="D23" s="3" t="s">
        <v>7834</v>
      </c>
      <c r="E23" s="9"/>
      <c r="F23" s="9"/>
      <c r="G23" s="9"/>
      <c r="H23" s="9"/>
      <c r="I23" s="9">
        <v>3</v>
      </c>
      <c r="U23" s="17"/>
      <c r="V23" s="10" t="s">
        <v>483</v>
      </c>
      <c r="W23" s="9">
        <v>49</v>
      </c>
      <c r="X23" s="15">
        <f>(W23*100)/$T$5</f>
        <v>6.3307493540051683</v>
      </c>
      <c r="Y23" s="15">
        <f>(W23*100)/(774-98)</f>
        <v>7.2485207100591715</v>
      </c>
    </row>
    <row r="24" spans="2:25" x14ac:dyDescent="0.25">
      <c r="B24" s="3" t="s">
        <v>3131</v>
      </c>
      <c r="C24" s="3" t="s">
        <v>15</v>
      </c>
      <c r="D24" s="3" t="s">
        <v>7834</v>
      </c>
      <c r="E24" s="9">
        <v>25</v>
      </c>
      <c r="F24" s="9"/>
      <c r="G24" s="9"/>
      <c r="H24" s="9"/>
      <c r="I24" s="9"/>
      <c r="U24" s="17"/>
      <c r="V24" s="10" t="s">
        <v>106</v>
      </c>
      <c r="W24" s="9">
        <v>82</v>
      </c>
      <c r="X24" s="15">
        <f>(W24*100)/$T$5</f>
        <v>10.594315245478036</v>
      </c>
      <c r="Y24" s="15">
        <f>(W24*100)/(774-98)</f>
        <v>12.1301775147929</v>
      </c>
    </row>
    <row r="25" spans="2:25" x14ac:dyDescent="0.25">
      <c r="B25" s="3" t="s">
        <v>3154</v>
      </c>
      <c r="C25" s="3" t="s">
        <v>15</v>
      </c>
      <c r="D25" s="3" t="s">
        <v>7834</v>
      </c>
      <c r="E25" s="9">
        <v>26</v>
      </c>
      <c r="F25" s="9"/>
      <c r="G25" s="9"/>
      <c r="H25" s="9"/>
      <c r="I25" s="9"/>
      <c r="U25" s="17"/>
      <c r="V25" s="10" t="s">
        <v>8170</v>
      </c>
      <c r="W25" s="9">
        <v>98</v>
      </c>
      <c r="X25" s="15">
        <f>(W25*100)/$T$5</f>
        <v>12.661498708010337</v>
      </c>
      <c r="Y25" s="15" t="s">
        <v>8176</v>
      </c>
    </row>
    <row r="26" spans="2:25" x14ac:dyDescent="0.25">
      <c r="B26" s="3" t="s">
        <v>3154</v>
      </c>
      <c r="C26" s="3" t="s">
        <v>114</v>
      </c>
      <c r="D26" s="3" t="s">
        <v>7834</v>
      </c>
      <c r="E26" s="9"/>
      <c r="F26" s="9"/>
      <c r="G26" s="9">
        <v>4</v>
      </c>
      <c r="H26" s="9"/>
      <c r="I26" s="9"/>
      <c r="V26" s="16" t="s">
        <v>8167</v>
      </c>
      <c r="W26" s="9">
        <f>SUM(W21:W25)</f>
        <v>774</v>
      </c>
    </row>
    <row r="27" spans="2:25" x14ac:dyDescent="0.25">
      <c r="B27" s="3" t="s">
        <v>3154</v>
      </c>
      <c r="C27" s="3" t="s">
        <v>206</v>
      </c>
      <c r="D27" s="3" t="s">
        <v>7834</v>
      </c>
      <c r="E27" s="9"/>
      <c r="F27" s="9"/>
      <c r="G27" s="9"/>
      <c r="H27" s="9"/>
      <c r="I27" s="9">
        <v>1</v>
      </c>
    </row>
    <row r="28" spans="2:25" x14ac:dyDescent="0.25">
      <c r="B28" s="3" t="s">
        <v>3295</v>
      </c>
      <c r="C28" s="3" t="s">
        <v>15</v>
      </c>
      <c r="D28" s="3" t="s">
        <v>7834</v>
      </c>
      <c r="E28" s="9">
        <v>44</v>
      </c>
      <c r="F28" s="9"/>
      <c r="G28" s="9"/>
      <c r="H28" s="9"/>
      <c r="I28" s="9"/>
    </row>
    <row r="29" spans="2:25" x14ac:dyDescent="0.25">
      <c r="B29" s="3" t="s">
        <v>3295</v>
      </c>
      <c r="C29" s="3" t="s">
        <v>114</v>
      </c>
      <c r="D29" s="3" t="s">
        <v>7834</v>
      </c>
      <c r="E29" s="9"/>
      <c r="F29" s="9"/>
      <c r="G29" s="9">
        <v>1</v>
      </c>
      <c r="H29" s="9"/>
      <c r="I29" s="9"/>
    </row>
    <row r="30" spans="2:25" x14ac:dyDescent="0.25">
      <c r="B30" s="3" t="s">
        <v>3295</v>
      </c>
      <c r="C30" s="3" t="s">
        <v>730</v>
      </c>
      <c r="D30" s="3" t="s">
        <v>7834</v>
      </c>
      <c r="E30" s="9"/>
      <c r="F30" s="9"/>
      <c r="G30" s="9"/>
      <c r="H30" s="9">
        <v>1</v>
      </c>
      <c r="I30" s="9"/>
    </row>
    <row r="31" spans="2:25" x14ac:dyDescent="0.25">
      <c r="B31" s="3" t="s">
        <v>3295</v>
      </c>
      <c r="C31" s="3" t="s">
        <v>206</v>
      </c>
      <c r="D31" s="3" t="s">
        <v>7834</v>
      </c>
      <c r="E31" s="9"/>
      <c r="F31" s="9"/>
      <c r="G31" s="9"/>
      <c r="H31" s="9"/>
      <c r="I31" s="9">
        <v>15</v>
      </c>
    </row>
    <row r="32" spans="2:25" x14ac:dyDescent="0.25">
      <c r="B32" s="3" t="s">
        <v>3552</v>
      </c>
      <c r="C32" s="3" t="s">
        <v>15</v>
      </c>
      <c r="D32" s="3" t="s">
        <v>7834</v>
      </c>
      <c r="E32" s="9">
        <v>59</v>
      </c>
      <c r="F32" s="9"/>
      <c r="G32" s="9"/>
      <c r="H32" s="9"/>
      <c r="I32" s="9"/>
    </row>
    <row r="33" spans="2:9" x14ac:dyDescent="0.25">
      <c r="B33" s="3" t="s">
        <v>3552</v>
      </c>
      <c r="C33" s="3" t="s">
        <v>730</v>
      </c>
      <c r="D33" s="3" t="s">
        <v>7834</v>
      </c>
      <c r="E33" s="9"/>
      <c r="F33" s="9"/>
      <c r="G33" s="9"/>
      <c r="H33" s="9">
        <v>1</v>
      </c>
      <c r="I33" s="9"/>
    </row>
    <row r="34" spans="2:9" x14ac:dyDescent="0.25">
      <c r="B34" s="3" t="s">
        <v>3826</v>
      </c>
      <c r="C34" s="3" t="s">
        <v>15</v>
      </c>
      <c r="D34" s="3" t="s">
        <v>7834</v>
      </c>
      <c r="E34" s="9">
        <v>64</v>
      </c>
      <c r="F34" s="9"/>
      <c r="G34" s="9"/>
      <c r="H34" s="9"/>
      <c r="I34" s="9"/>
    </row>
    <row r="35" spans="2:9" x14ac:dyDescent="0.25">
      <c r="B35" s="3" t="s">
        <v>3826</v>
      </c>
      <c r="C35" s="3" t="s">
        <v>496</v>
      </c>
      <c r="D35" s="3" t="s">
        <v>7834</v>
      </c>
      <c r="E35" s="9"/>
      <c r="F35" s="9">
        <v>6</v>
      </c>
      <c r="G35" s="9"/>
      <c r="H35" s="9"/>
      <c r="I35" s="9"/>
    </row>
    <row r="36" spans="2:9" x14ac:dyDescent="0.25">
      <c r="B36" s="3" t="s">
        <v>3826</v>
      </c>
      <c r="C36" s="3" t="s">
        <v>114</v>
      </c>
      <c r="D36" s="3" t="s">
        <v>7834</v>
      </c>
      <c r="E36" s="9"/>
      <c r="F36" s="9"/>
      <c r="G36" s="9">
        <v>5</v>
      </c>
      <c r="H36" s="9"/>
      <c r="I36" s="9"/>
    </row>
    <row r="37" spans="2:9" x14ac:dyDescent="0.25">
      <c r="B37" s="3" t="s">
        <v>3826</v>
      </c>
      <c r="C37" s="3" t="s">
        <v>206</v>
      </c>
      <c r="D37" s="3" t="s">
        <v>7834</v>
      </c>
      <c r="E37" s="9"/>
      <c r="F37" s="9"/>
      <c r="G37" s="9"/>
      <c r="H37" s="9"/>
      <c r="I37" s="9">
        <v>3</v>
      </c>
    </row>
    <row r="38" spans="2:9" x14ac:dyDescent="0.25">
      <c r="B38" s="3" t="s">
        <v>8162</v>
      </c>
      <c r="C38" s="3" t="s">
        <v>15</v>
      </c>
      <c r="D38" s="3" t="s">
        <v>7834</v>
      </c>
      <c r="E38" s="9">
        <v>17</v>
      </c>
      <c r="F38" s="9"/>
      <c r="G38" s="9"/>
      <c r="H38" s="9"/>
      <c r="I38" s="9"/>
    </row>
    <row r="39" spans="2:9" x14ac:dyDescent="0.25">
      <c r="B39" s="3" t="s">
        <v>8162</v>
      </c>
      <c r="C39" s="3" t="s">
        <v>496</v>
      </c>
      <c r="D39" s="3" t="s">
        <v>7834</v>
      </c>
      <c r="E39" s="9"/>
      <c r="F39" s="9">
        <v>1</v>
      </c>
      <c r="G39" s="9"/>
      <c r="H39" s="9"/>
      <c r="I39" s="9"/>
    </row>
    <row r="40" spans="2:9" x14ac:dyDescent="0.25">
      <c r="B40" s="3" t="s">
        <v>4166</v>
      </c>
      <c r="C40" s="3" t="s">
        <v>15</v>
      </c>
      <c r="D40" s="3" t="s">
        <v>7834</v>
      </c>
      <c r="E40" s="9">
        <v>47</v>
      </c>
      <c r="F40" s="9"/>
      <c r="G40" s="9"/>
      <c r="H40" s="9"/>
      <c r="I40" s="9"/>
    </row>
    <row r="41" spans="2:9" x14ac:dyDescent="0.25">
      <c r="B41" s="3" t="s">
        <v>4166</v>
      </c>
      <c r="C41" s="3" t="s">
        <v>496</v>
      </c>
      <c r="D41" s="3" t="s">
        <v>7834</v>
      </c>
      <c r="E41" s="9"/>
      <c r="F41" s="9">
        <v>13</v>
      </c>
      <c r="G41" s="9"/>
      <c r="H41" s="9"/>
      <c r="I41" s="9"/>
    </row>
    <row r="42" spans="2:9" x14ac:dyDescent="0.25">
      <c r="B42" s="3" t="s">
        <v>4166</v>
      </c>
      <c r="C42" s="3" t="s">
        <v>114</v>
      </c>
      <c r="D42" s="3" t="s">
        <v>7834</v>
      </c>
      <c r="E42" s="9"/>
      <c r="F42" s="9"/>
      <c r="G42" s="9">
        <v>7</v>
      </c>
      <c r="H42" s="9"/>
      <c r="I42" s="9"/>
    </row>
    <row r="43" spans="2:9" x14ac:dyDescent="0.25">
      <c r="B43" s="3" t="s">
        <v>4166</v>
      </c>
      <c r="C43" s="3" t="s">
        <v>206</v>
      </c>
      <c r="D43" s="3" t="s">
        <v>7834</v>
      </c>
      <c r="E43" s="9"/>
      <c r="F43" s="9"/>
      <c r="G43" s="9"/>
      <c r="H43" s="9"/>
      <c r="I43" s="9">
        <v>16</v>
      </c>
    </row>
    <row r="44" spans="2:9" x14ac:dyDescent="0.25">
      <c r="B44" s="3" t="s">
        <v>4536</v>
      </c>
      <c r="C44" s="3" t="s">
        <v>15</v>
      </c>
      <c r="D44" s="3" t="s">
        <v>7834</v>
      </c>
      <c r="E44" s="9">
        <v>103</v>
      </c>
      <c r="F44" s="9"/>
      <c r="G44" s="9"/>
      <c r="H44" s="9"/>
      <c r="I44" s="9"/>
    </row>
    <row r="45" spans="2:9" x14ac:dyDescent="0.25">
      <c r="B45" s="3" t="s">
        <v>4536</v>
      </c>
      <c r="C45" s="3" t="s">
        <v>496</v>
      </c>
      <c r="D45" s="3" t="s">
        <v>7834</v>
      </c>
      <c r="E45" s="9"/>
      <c r="F45" s="9">
        <v>21</v>
      </c>
      <c r="G45" s="9"/>
      <c r="H45" s="9"/>
      <c r="I45" s="9"/>
    </row>
    <row r="46" spans="2:9" x14ac:dyDescent="0.25">
      <c r="B46" s="3" t="s">
        <v>4536</v>
      </c>
      <c r="C46" s="3" t="s">
        <v>114</v>
      </c>
      <c r="D46" s="3" t="s">
        <v>7834</v>
      </c>
      <c r="E46" s="9"/>
      <c r="F46" s="9"/>
      <c r="G46" s="9">
        <v>20</v>
      </c>
      <c r="H46" s="9"/>
      <c r="I46" s="9"/>
    </row>
    <row r="47" spans="2:9" x14ac:dyDescent="0.25">
      <c r="B47" s="3" t="s">
        <v>4536</v>
      </c>
      <c r="C47" s="3" t="s">
        <v>730</v>
      </c>
      <c r="D47" s="3" t="s">
        <v>7834</v>
      </c>
      <c r="E47" s="9"/>
      <c r="F47" s="9"/>
      <c r="G47" s="9"/>
      <c r="H47" s="9">
        <v>2</v>
      </c>
      <c r="I47" s="9"/>
    </row>
    <row r="48" spans="2:9" x14ac:dyDescent="0.25">
      <c r="B48" s="3" t="s">
        <v>4536</v>
      </c>
      <c r="C48" s="3" t="s">
        <v>206</v>
      </c>
      <c r="D48" s="3" t="s">
        <v>7834</v>
      </c>
      <c r="E48" s="9"/>
      <c r="F48" s="9"/>
      <c r="G48" s="9"/>
      <c r="H48" s="9"/>
      <c r="I48" s="9">
        <v>26</v>
      </c>
    </row>
    <row r="49" spans="2:9" x14ac:dyDescent="0.25">
      <c r="B49" s="3" t="s">
        <v>4986</v>
      </c>
      <c r="C49" s="3" t="s">
        <v>15</v>
      </c>
      <c r="D49" s="3" t="s">
        <v>7834</v>
      </c>
      <c r="E49" s="9">
        <v>21</v>
      </c>
      <c r="F49" s="9"/>
      <c r="G49" s="9"/>
      <c r="H49" s="9"/>
      <c r="I49" s="9"/>
    </row>
    <row r="50" spans="2:9" x14ac:dyDescent="0.25">
      <c r="B50" s="3" t="s">
        <v>4986</v>
      </c>
      <c r="C50" s="3" t="s">
        <v>496</v>
      </c>
      <c r="D50" s="3" t="s">
        <v>7834</v>
      </c>
      <c r="E50" s="9"/>
      <c r="F50" s="9">
        <v>2</v>
      </c>
      <c r="G50" s="9"/>
      <c r="H50" s="9"/>
      <c r="I50" s="9"/>
    </row>
    <row r="51" spans="2:9" x14ac:dyDescent="0.25">
      <c r="B51" s="3" t="s">
        <v>5020</v>
      </c>
      <c r="C51" s="3" t="s">
        <v>15</v>
      </c>
      <c r="D51" s="3" t="s">
        <v>7834</v>
      </c>
      <c r="E51" s="9">
        <v>20</v>
      </c>
      <c r="F51" s="9"/>
      <c r="G51" s="9"/>
      <c r="H51" s="9"/>
      <c r="I51" s="9"/>
    </row>
    <row r="52" spans="2:9" x14ac:dyDescent="0.25">
      <c r="B52" s="3" t="s">
        <v>5020</v>
      </c>
      <c r="C52" s="3" t="s">
        <v>496</v>
      </c>
      <c r="D52" s="3" t="s">
        <v>7834</v>
      </c>
      <c r="E52" s="9"/>
      <c r="F52" s="9">
        <v>17</v>
      </c>
      <c r="G52" s="9"/>
      <c r="H52" s="9"/>
      <c r="I52" s="9"/>
    </row>
    <row r="53" spans="2:9" x14ac:dyDescent="0.25">
      <c r="B53" s="3" t="s">
        <v>5020</v>
      </c>
      <c r="C53" s="3" t="s">
        <v>114</v>
      </c>
      <c r="D53" s="3" t="s">
        <v>7834</v>
      </c>
      <c r="E53" s="9"/>
      <c r="F53" s="9"/>
      <c r="G53" s="9">
        <v>2</v>
      </c>
      <c r="H53" s="9"/>
      <c r="I53" s="9"/>
    </row>
    <row r="54" spans="2:9" x14ac:dyDescent="0.25">
      <c r="B54" s="3" t="s">
        <v>5020</v>
      </c>
      <c r="C54" s="3" t="s">
        <v>730</v>
      </c>
      <c r="D54" s="3" t="s">
        <v>7834</v>
      </c>
      <c r="E54" s="9"/>
      <c r="F54" s="9"/>
      <c r="G54" s="9"/>
      <c r="H54" s="9">
        <v>3</v>
      </c>
      <c r="I54" s="9"/>
    </row>
    <row r="55" spans="2:9" x14ac:dyDescent="0.25">
      <c r="B55" s="3" t="s">
        <v>5020</v>
      </c>
      <c r="C55" s="3" t="s">
        <v>206</v>
      </c>
      <c r="D55" s="3" t="s">
        <v>7834</v>
      </c>
      <c r="E55" s="9"/>
      <c r="F55" s="9"/>
      <c r="G55" s="9"/>
      <c r="H55" s="9"/>
      <c r="I55" s="9">
        <v>10</v>
      </c>
    </row>
    <row r="56" spans="2:9" x14ac:dyDescent="0.25">
      <c r="B56" s="3" t="s">
        <v>5237</v>
      </c>
      <c r="C56" s="3" t="s">
        <v>15</v>
      </c>
      <c r="D56" s="3" t="s">
        <v>7834</v>
      </c>
      <c r="E56" s="9">
        <v>47</v>
      </c>
      <c r="F56" s="9"/>
      <c r="G56" s="9"/>
      <c r="H56" s="9"/>
      <c r="I56" s="9"/>
    </row>
    <row r="57" spans="2:9" x14ac:dyDescent="0.25">
      <c r="B57" s="3" t="s">
        <v>5237</v>
      </c>
      <c r="C57" s="3" t="s">
        <v>496</v>
      </c>
      <c r="D57" s="3" t="s">
        <v>7834</v>
      </c>
      <c r="E57" s="9"/>
      <c r="F57" s="9">
        <v>4</v>
      </c>
      <c r="G57" s="9"/>
      <c r="H57" s="9"/>
      <c r="I57" s="9"/>
    </row>
    <row r="58" spans="2:9" x14ac:dyDescent="0.25">
      <c r="B58" s="3" t="s">
        <v>5237</v>
      </c>
      <c r="C58" s="3" t="s">
        <v>114</v>
      </c>
      <c r="D58" s="3" t="s">
        <v>7834</v>
      </c>
      <c r="E58" s="9"/>
      <c r="F58" s="9"/>
      <c r="G58" s="9">
        <v>2</v>
      </c>
      <c r="H58" s="9"/>
      <c r="I58" s="9"/>
    </row>
    <row r="59" spans="2:9" x14ac:dyDescent="0.25">
      <c r="B59" s="3" t="s">
        <v>5237</v>
      </c>
      <c r="C59" s="3" t="s">
        <v>730</v>
      </c>
      <c r="D59" s="3" t="s">
        <v>7834</v>
      </c>
      <c r="E59" s="9"/>
      <c r="F59" s="9"/>
      <c r="G59" s="9"/>
      <c r="H59" s="9">
        <v>1</v>
      </c>
      <c r="I59" s="9"/>
    </row>
    <row r="60" spans="2:9" x14ac:dyDescent="0.25">
      <c r="B60" s="3" t="s">
        <v>5237</v>
      </c>
      <c r="C60" s="3" t="s">
        <v>206</v>
      </c>
      <c r="D60" s="3" t="s">
        <v>7834</v>
      </c>
      <c r="E60" s="9"/>
      <c r="F60" s="9"/>
      <c r="G60" s="9"/>
      <c r="H60" s="9"/>
      <c r="I60" s="9">
        <v>1</v>
      </c>
    </row>
    <row r="61" spans="2:9" x14ac:dyDescent="0.25">
      <c r="B61" s="3" t="s">
        <v>5448</v>
      </c>
      <c r="C61" s="3" t="s">
        <v>15</v>
      </c>
      <c r="D61" s="3" t="s">
        <v>7834</v>
      </c>
      <c r="E61" s="9">
        <v>17</v>
      </c>
      <c r="F61" s="9"/>
      <c r="G61" s="9"/>
      <c r="H61" s="9"/>
      <c r="I61" s="9"/>
    </row>
    <row r="62" spans="2:9" x14ac:dyDescent="0.25">
      <c r="B62" s="3" t="s">
        <v>5515</v>
      </c>
      <c r="C62" s="3" t="s">
        <v>15</v>
      </c>
      <c r="D62" s="3" t="s">
        <v>7834</v>
      </c>
      <c r="E62" s="9">
        <v>10</v>
      </c>
      <c r="F62" s="9"/>
      <c r="G62" s="9"/>
      <c r="H62" s="9"/>
      <c r="I62" s="9"/>
    </row>
    <row r="63" spans="2:9" x14ac:dyDescent="0.25">
      <c r="B63" s="3" t="s">
        <v>5515</v>
      </c>
      <c r="C63" s="3" t="s">
        <v>114</v>
      </c>
      <c r="D63" s="3" t="s">
        <v>7834</v>
      </c>
      <c r="E63" s="9"/>
      <c r="F63" s="9"/>
      <c r="G63" s="9">
        <v>1</v>
      </c>
      <c r="H63" s="9"/>
      <c r="I63" s="9"/>
    </row>
    <row r="64" spans="2:9" x14ac:dyDescent="0.25">
      <c r="B64" s="3" t="s">
        <v>5560</v>
      </c>
      <c r="C64" s="3" t="s">
        <v>15</v>
      </c>
      <c r="D64" s="3" t="s">
        <v>7834</v>
      </c>
      <c r="E64" s="9">
        <v>10</v>
      </c>
      <c r="F64" s="9"/>
      <c r="G64" s="9"/>
      <c r="H64" s="9"/>
      <c r="I64" s="9"/>
    </row>
    <row r="65" spans="2:9" x14ac:dyDescent="0.25">
      <c r="B65" s="3" t="s">
        <v>5596</v>
      </c>
      <c r="C65" s="3" t="s">
        <v>15</v>
      </c>
      <c r="D65" s="3" t="s">
        <v>7834</v>
      </c>
      <c r="E65" s="9">
        <v>11</v>
      </c>
      <c r="F65" s="9"/>
      <c r="G65" s="9"/>
      <c r="H65" s="9"/>
      <c r="I65" s="9"/>
    </row>
    <row r="66" spans="2:9" x14ac:dyDescent="0.25">
      <c r="B66" s="3" t="s">
        <v>5596</v>
      </c>
      <c r="C66" s="3" t="s">
        <v>496</v>
      </c>
      <c r="D66" s="3" t="s">
        <v>7834</v>
      </c>
      <c r="E66" s="9"/>
      <c r="F66" s="9">
        <v>1</v>
      </c>
      <c r="G66" s="9"/>
      <c r="H66" s="9"/>
      <c r="I66" s="9"/>
    </row>
    <row r="67" spans="2:9" x14ac:dyDescent="0.25">
      <c r="B67" s="3" t="s">
        <v>5596</v>
      </c>
      <c r="C67" s="3" t="s">
        <v>114</v>
      </c>
      <c r="D67" s="3" t="s">
        <v>7834</v>
      </c>
      <c r="E67" s="9"/>
      <c r="F67" s="9"/>
      <c r="G67" s="9">
        <v>1</v>
      </c>
      <c r="H67" s="9"/>
      <c r="I67" s="9"/>
    </row>
    <row r="68" spans="2:9" x14ac:dyDescent="0.25">
      <c r="B68" s="3" t="s">
        <v>5596</v>
      </c>
      <c r="C68" s="3" t="s">
        <v>206</v>
      </c>
      <c r="D68" s="3" t="s">
        <v>7834</v>
      </c>
      <c r="E68" s="9"/>
      <c r="F68" s="9"/>
      <c r="G68" s="9"/>
      <c r="H68" s="9"/>
      <c r="I68" s="9">
        <v>5</v>
      </c>
    </row>
    <row r="69" spans="2:9" x14ac:dyDescent="0.25">
      <c r="B69" s="3" t="s">
        <v>5671</v>
      </c>
      <c r="C69" s="3" t="s">
        <v>15</v>
      </c>
      <c r="D69" s="3" t="s">
        <v>7834</v>
      </c>
      <c r="E69" s="9">
        <v>9</v>
      </c>
      <c r="F69" s="9"/>
      <c r="G69" s="9"/>
      <c r="H69" s="9"/>
      <c r="I69" s="9"/>
    </row>
    <row r="70" spans="2:9" x14ac:dyDescent="0.25">
      <c r="B70" s="3" t="s">
        <v>5671</v>
      </c>
      <c r="C70" s="3" t="s">
        <v>114</v>
      </c>
      <c r="D70" s="3" t="s">
        <v>7834</v>
      </c>
      <c r="E70" s="9"/>
      <c r="F70" s="9"/>
      <c r="G70" s="9">
        <v>1</v>
      </c>
      <c r="H70" s="9"/>
      <c r="I70" s="9"/>
    </row>
    <row r="71" spans="2:9" x14ac:dyDescent="0.25">
      <c r="B71" s="3" t="s">
        <v>5671</v>
      </c>
      <c r="C71" s="3" t="s">
        <v>206</v>
      </c>
      <c r="D71" s="3" t="s">
        <v>7834</v>
      </c>
      <c r="E71" s="9"/>
      <c r="F71" s="9"/>
      <c r="G71" s="9"/>
      <c r="H71" s="9"/>
      <c r="I71" s="9">
        <v>3</v>
      </c>
    </row>
    <row r="72" spans="2:9" x14ac:dyDescent="0.25">
      <c r="B72" s="3" t="s">
        <v>5716</v>
      </c>
      <c r="C72" s="3" t="s">
        <v>15</v>
      </c>
      <c r="D72" s="3" t="s">
        <v>7834</v>
      </c>
      <c r="E72" s="9">
        <v>10</v>
      </c>
      <c r="F72" s="9"/>
      <c r="G72" s="9"/>
      <c r="H72" s="9"/>
      <c r="I72" s="9"/>
    </row>
    <row r="73" spans="2:9" x14ac:dyDescent="0.25">
      <c r="B73" s="3" t="s">
        <v>5716</v>
      </c>
      <c r="C73" s="3" t="s">
        <v>114</v>
      </c>
      <c r="D73" s="3" t="s">
        <v>7834</v>
      </c>
      <c r="E73" s="9"/>
      <c r="F73" s="9"/>
      <c r="G73" s="9">
        <v>1</v>
      </c>
      <c r="H73" s="9"/>
      <c r="I73" s="9"/>
    </row>
    <row r="74" spans="2:9" x14ac:dyDescent="0.25">
      <c r="B74" s="3" t="s">
        <v>5763</v>
      </c>
      <c r="C74" s="3" t="s">
        <v>15</v>
      </c>
      <c r="D74" s="3" t="s">
        <v>7834</v>
      </c>
      <c r="E74" s="9">
        <v>20</v>
      </c>
      <c r="F74" s="9"/>
      <c r="G74" s="9"/>
      <c r="H74" s="9"/>
      <c r="I74" s="9"/>
    </row>
    <row r="75" spans="2:9" x14ac:dyDescent="0.25">
      <c r="B75" s="3" t="s">
        <v>5763</v>
      </c>
      <c r="C75" s="3" t="s">
        <v>114</v>
      </c>
      <c r="D75" s="3" t="s">
        <v>7834</v>
      </c>
      <c r="E75" s="9"/>
      <c r="F75" s="9"/>
      <c r="G75" s="9">
        <v>3</v>
      </c>
      <c r="H75" s="9"/>
      <c r="I75" s="9"/>
    </row>
    <row r="76" spans="2:9" x14ac:dyDescent="0.25">
      <c r="B76" s="3" t="s">
        <v>5763</v>
      </c>
      <c r="C76" s="3" t="s">
        <v>206</v>
      </c>
      <c r="D76" s="3" t="s">
        <v>7834</v>
      </c>
      <c r="E76" s="9"/>
      <c r="F76" s="9"/>
      <c r="G76" s="9"/>
      <c r="H76" s="9"/>
      <c r="I76" s="9">
        <v>2</v>
      </c>
    </row>
    <row r="77" spans="2:9" x14ac:dyDescent="0.25">
      <c r="B77" s="3" t="s">
        <v>5873</v>
      </c>
      <c r="C77" s="3" t="s">
        <v>15</v>
      </c>
      <c r="D77" s="3" t="s">
        <v>7834</v>
      </c>
      <c r="E77" s="9">
        <v>26</v>
      </c>
      <c r="F77" s="9"/>
      <c r="G77" s="9"/>
      <c r="H77" s="9"/>
      <c r="I77" s="9"/>
    </row>
    <row r="78" spans="2:9" x14ac:dyDescent="0.25">
      <c r="B78" s="3" t="s">
        <v>5964</v>
      </c>
      <c r="C78" s="3" t="s">
        <v>15</v>
      </c>
      <c r="D78" s="3" t="s">
        <v>7834</v>
      </c>
      <c r="E78" s="9">
        <v>9</v>
      </c>
      <c r="F78" s="9"/>
      <c r="G78" s="9"/>
      <c r="H78" s="9"/>
      <c r="I78" s="9"/>
    </row>
    <row r="79" spans="2:9" x14ac:dyDescent="0.25">
      <c r="B79" s="3" t="s">
        <v>5964</v>
      </c>
      <c r="C79" s="3" t="s">
        <v>496</v>
      </c>
      <c r="D79" s="3" t="s">
        <v>7834</v>
      </c>
      <c r="E79" s="9"/>
      <c r="F79" s="9">
        <v>12</v>
      </c>
      <c r="G79" s="9"/>
      <c r="H79" s="9"/>
      <c r="I79" s="9"/>
    </row>
    <row r="80" spans="2:9" x14ac:dyDescent="0.25">
      <c r="B80" s="3" t="s">
        <v>5964</v>
      </c>
      <c r="C80" s="3" t="s">
        <v>114</v>
      </c>
      <c r="D80" s="3" t="s">
        <v>7834</v>
      </c>
      <c r="E80" s="9"/>
      <c r="F80" s="9"/>
      <c r="G80" s="9">
        <v>1</v>
      </c>
      <c r="H80" s="9"/>
      <c r="I80" s="9"/>
    </row>
    <row r="81" spans="2:9" x14ac:dyDescent="0.25">
      <c r="B81" s="3" t="s">
        <v>5964</v>
      </c>
      <c r="C81" s="3" t="s">
        <v>730</v>
      </c>
      <c r="D81" s="3" t="s">
        <v>7834</v>
      </c>
      <c r="E81" s="9"/>
      <c r="F81" s="9"/>
      <c r="G81" s="9"/>
      <c r="H81" s="9">
        <v>4</v>
      </c>
      <c r="I81" s="9"/>
    </row>
    <row r="82" spans="2:9" x14ac:dyDescent="0.25">
      <c r="B82" s="3" t="s">
        <v>5964</v>
      </c>
      <c r="C82" s="3" t="s">
        <v>206</v>
      </c>
      <c r="D82" s="3" t="s">
        <v>7834</v>
      </c>
      <c r="E82" s="9"/>
      <c r="F82" s="9"/>
      <c r="G82" s="9"/>
      <c r="H82" s="9"/>
      <c r="I82" s="9">
        <v>6</v>
      </c>
    </row>
    <row r="83" spans="2:9" x14ac:dyDescent="0.25">
      <c r="B83" s="3" t="s">
        <v>6100</v>
      </c>
      <c r="C83" s="3" t="s">
        <v>15</v>
      </c>
      <c r="D83" s="3" t="s">
        <v>7834</v>
      </c>
      <c r="E83" s="9">
        <v>6</v>
      </c>
      <c r="F83" s="9"/>
      <c r="G83" s="9"/>
      <c r="H83" s="9"/>
      <c r="I83" s="9"/>
    </row>
    <row r="84" spans="2:9" x14ac:dyDescent="0.25">
      <c r="B84" s="3" t="s">
        <v>6100</v>
      </c>
      <c r="C84" s="3" t="s">
        <v>206</v>
      </c>
      <c r="D84" s="3" t="s">
        <v>7834</v>
      </c>
      <c r="E84" s="9"/>
      <c r="F84" s="9"/>
      <c r="G84" s="9"/>
      <c r="H84" s="9"/>
      <c r="I84" s="9">
        <v>2</v>
      </c>
    </row>
    <row r="85" spans="2:9" x14ac:dyDescent="0.25">
      <c r="B85" s="3" t="s">
        <v>6133</v>
      </c>
      <c r="C85" s="3" t="s">
        <v>15</v>
      </c>
      <c r="D85" s="3" t="s">
        <v>7834</v>
      </c>
      <c r="E85" s="9">
        <v>8</v>
      </c>
      <c r="F85" s="9"/>
      <c r="G85" s="9"/>
      <c r="H85" s="9"/>
      <c r="I85" s="9"/>
    </row>
    <row r="86" spans="2:9" x14ac:dyDescent="0.25">
      <c r="B86" s="3" t="s">
        <v>6168</v>
      </c>
      <c r="C86" s="3" t="s">
        <v>15</v>
      </c>
      <c r="D86" s="3" t="s">
        <v>7834</v>
      </c>
      <c r="E86" s="9">
        <v>21</v>
      </c>
      <c r="F86" s="9"/>
      <c r="G86" s="9"/>
      <c r="H86" s="9"/>
      <c r="I86" s="9"/>
    </row>
    <row r="87" spans="2:9" x14ac:dyDescent="0.25">
      <c r="B87" s="3" t="s">
        <v>6264</v>
      </c>
      <c r="C87" s="3" t="s">
        <v>15</v>
      </c>
      <c r="D87" s="3" t="s">
        <v>7834</v>
      </c>
      <c r="E87" s="9">
        <v>49</v>
      </c>
      <c r="F87" s="9"/>
      <c r="G87" s="9"/>
      <c r="H87" s="9"/>
      <c r="I87" s="9"/>
    </row>
    <row r="88" spans="2:9" x14ac:dyDescent="0.25">
      <c r="B88" s="3" t="s">
        <v>6419</v>
      </c>
      <c r="C88" s="3" t="s">
        <v>15</v>
      </c>
      <c r="D88" s="3" t="s">
        <v>7834</v>
      </c>
      <c r="E88" s="9">
        <v>13</v>
      </c>
      <c r="F88" s="9"/>
      <c r="G88" s="9"/>
      <c r="H88" s="9"/>
      <c r="I88" s="9"/>
    </row>
    <row r="89" spans="2:9" x14ac:dyDescent="0.25">
      <c r="B89" s="3" t="s">
        <v>6419</v>
      </c>
      <c r="C89" s="3" t="s">
        <v>496</v>
      </c>
      <c r="D89" s="3" t="s">
        <v>7834</v>
      </c>
      <c r="E89" s="9"/>
      <c r="F89" s="9">
        <v>1</v>
      </c>
      <c r="G89" s="9"/>
      <c r="H89" s="9"/>
      <c r="I89" s="9"/>
    </row>
    <row r="90" spans="2:9" x14ac:dyDescent="0.25">
      <c r="B90" s="3" t="s">
        <v>6419</v>
      </c>
      <c r="C90" s="3" t="s">
        <v>114</v>
      </c>
      <c r="D90" s="3" t="s">
        <v>7834</v>
      </c>
      <c r="E90" s="9"/>
      <c r="F90" s="9"/>
      <c r="G90" s="9">
        <v>1</v>
      </c>
      <c r="H90" s="9"/>
      <c r="I90" s="9"/>
    </row>
    <row r="91" spans="2:9" x14ac:dyDescent="0.25">
      <c r="B91" s="3" t="s">
        <v>6419</v>
      </c>
      <c r="C91" s="3" t="s">
        <v>206</v>
      </c>
      <c r="D91" s="3" t="s">
        <v>7834</v>
      </c>
      <c r="E91" s="9"/>
      <c r="F91" s="9"/>
      <c r="G91" s="9"/>
      <c r="H91" s="9"/>
      <c r="I91" s="9">
        <v>1</v>
      </c>
    </row>
    <row r="92" spans="2:9" x14ac:dyDescent="0.25">
      <c r="B92" s="3" t="s">
        <v>6493</v>
      </c>
      <c r="C92" s="3" t="s">
        <v>15</v>
      </c>
      <c r="D92" s="3" t="s">
        <v>7834</v>
      </c>
      <c r="E92" s="9">
        <v>6</v>
      </c>
      <c r="F92" s="9"/>
      <c r="G92" s="9"/>
      <c r="H92" s="9"/>
      <c r="I92" s="9"/>
    </row>
    <row r="93" spans="2:9" x14ac:dyDescent="0.25">
      <c r="B93" s="3" t="s">
        <v>6493</v>
      </c>
      <c r="C93" s="3" t="s">
        <v>496</v>
      </c>
      <c r="D93" s="3" t="s">
        <v>7834</v>
      </c>
      <c r="E93" s="9"/>
      <c r="F93" s="9">
        <v>14</v>
      </c>
      <c r="G93" s="9"/>
      <c r="H93" s="9"/>
      <c r="I93" s="9"/>
    </row>
    <row r="94" spans="2:9" x14ac:dyDescent="0.25">
      <c r="B94" s="3" t="s">
        <v>6493</v>
      </c>
      <c r="C94" s="3" t="s">
        <v>206</v>
      </c>
      <c r="D94" s="3" t="s">
        <v>7834</v>
      </c>
      <c r="E94" s="9"/>
      <c r="F94" s="9"/>
      <c r="G94" s="9"/>
      <c r="H94" s="9"/>
      <c r="I94" s="9">
        <v>3</v>
      </c>
    </row>
    <row r="95" spans="2:9" x14ac:dyDescent="0.25">
      <c r="B95" s="3" t="s">
        <v>6555</v>
      </c>
      <c r="C95" s="3" t="s">
        <v>15</v>
      </c>
      <c r="D95" s="3" t="s">
        <v>7834</v>
      </c>
      <c r="E95" s="9">
        <v>17</v>
      </c>
      <c r="F95" s="9"/>
      <c r="G95" s="9"/>
      <c r="H95" s="9"/>
      <c r="I95" s="9"/>
    </row>
    <row r="96" spans="2:9" x14ac:dyDescent="0.25">
      <c r="B96" s="3" t="s">
        <v>6614</v>
      </c>
      <c r="C96" s="3" t="s">
        <v>15</v>
      </c>
      <c r="D96" s="3" t="s">
        <v>7834</v>
      </c>
      <c r="E96" s="9">
        <v>7</v>
      </c>
      <c r="F96" s="9"/>
      <c r="G96" s="9"/>
      <c r="H96" s="9"/>
      <c r="I96" s="9"/>
    </row>
    <row r="97" spans="2:9" x14ac:dyDescent="0.25">
      <c r="B97" s="3" t="s">
        <v>6614</v>
      </c>
      <c r="C97" s="3" t="s">
        <v>496</v>
      </c>
      <c r="D97" s="3" t="s">
        <v>7834</v>
      </c>
      <c r="E97" s="9"/>
      <c r="F97" s="9">
        <v>1</v>
      </c>
      <c r="G97" s="9"/>
      <c r="H97" s="9"/>
      <c r="I97" s="9"/>
    </row>
    <row r="98" spans="2:9" x14ac:dyDescent="0.25">
      <c r="B98" s="3" t="s">
        <v>6614</v>
      </c>
      <c r="C98" s="3" t="s">
        <v>114</v>
      </c>
      <c r="D98" s="3" t="s">
        <v>7834</v>
      </c>
      <c r="E98" s="9"/>
      <c r="F98" s="9"/>
      <c r="G98" s="9">
        <v>2</v>
      </c>
      <c r="H98" s="9"/>
      <c r="I98" s="9"/>
    </row>
    <row r="99" spans="2:9" x14ac:dyDescent="0.25">
      <c r="B99" s="3" t="s">
        <v>6614</v>
      </c>
      <c r="C99" s="3" t="s">
        <v>206</v>
      </c>
      <c r="D99" s="3" t="s">
        <v>7834</v>
      </c>
      <c r="E99" s="9"/>
      <c r="F99" s="9"/>
      <c r="G99" s="9"/>
      <c r="H99" s="9"/>
      <c r="I99" s="9">
        <v>5</v>
      </c>
    </row>
    <row r="100" spans="2:9" x14ac:dyDescent="0.25">
      <c r="B100" s="3" t="s">
        <v>6675</v>
      </c>
      <c r="C100" s="3" t="s">
        <v>15</v>
      </c>
      <c r="D100" s="3" t="s">
        <v>7834</v>
      </c>
      <c r="E100" s="9">
        <v>11</v>
      </c>
      <c r="F100" s="9"/>
      <c r="G100" s="9"/>
      <c r="H100" s="9"/>
      <c r="I100" s="9"/>
    </row>
    <row r="101" spans="2:9" x14ac:dyDescent="0.25">
      <c r="B101" s="3" t="s">
        <v>6675</v>
      </c>
      <c r="C101" s="3" t="s">
        <v>496</v>
      </c>
      <c r="D101" s="3" t="s">
        <v>7834</v>
      </c>
      <c r="E101" s="9"/>
      <c r="F101" s="9">
        <v>4</v>
      </c>
      <c r="G101" s="9"/>
      <c r="H101" s="9"/>
      <c r="I101" s="9"/>
    </row>
    <row r="102" spans="2:9" x14ac:dyDescent="0.25">
      <c r="B102" s="3" t="s">
        <v>6675</v>
      </c>
      <c r="C102" s="3" t="s">
        <v>114</v>
      </c>
      <c r="D102" s="3" t="s">
        <v>7834</v>
      </c>
      <c r="E102" s="9"/>
      <c r="F102" s="9"/>
      <c r="G102" s="9">
        <v>1</v>
      </c>
      <c r="H102" s="9"/>
      <c r="I102" s="9"/>
    </row>
    <row r="103" spans="2:9" x14ac:dyDescent="0.25">
      <c r="B103" s="3" t="s">
        <v>6675</v>
      </c>
      <c r="C103" s="3" t="s">
        <v>730</v>
      </c>
      <c r="D103" s="3" t="s">
        <v>7834</v>
      </c>
      <c r="E103" s="9"/>
      <c r="F103" s="9"/>
      <c r="G103" s="9"/>
      <c r="H103" s="9">
        <v>1</v>
      </c>
      <c r="I103" s="9"/>
    </row>
    <row r="104" spans="2:9" x14ac:dyDescent="0.25">
      <c r="B104" s="3" t="s">
        <v>6675</v>
      </c>
      <c r="C104" s="3" t="s">
        <v>206</v>
      </c>
      <c r="D104" s="3" t="s">
        <v>7834</v>
      </c>
      <c r="E104" s="9"/>
      <c r="F104" s="9"/>
      <c r="G104" s="9"/>
      <c r="H104" s="9"/>
      <c r="I104" s="9">
        <v>2</v>
      </c>
    </row>
    <row r="105" spans="2:9" x14ac:dyDescent="0.25">
      <c r="B105" s="3" t="s">
        <v>7853</v>
      </c>
      <c r="C105" s="3" t="s">
        <v>15</v>
      </c>
      <c r="D105" s="3" t="s">
        <v>7834</v>
      </c>
      <c r="E105" s="9">
        <v>4</v>
      </c>
      <c r="F105" s="9"/>
      <c r="G105" s="9"/>
      <c r="H105" s="9"/>
      <c r="I105" s="9"/>
    </row>
    <row r="106" spans="2:9" x14ac:dyDescent="0.25">
      <c r="B106" s="3" t="s">
        <v>7853</v>
      </c>
      <c r="C106" s="3" t="s">
        <v>496</v>
      </c>
      <c r="D106" s="3" t="s">
        <v>7834</v>
      </c>
      <c r="E106" s="9"/>
      <c r="F106" s="9">
        <v>2</v>
      </c>
      <c r="G106" s="9"/>
      <c r="H106" s="9"/>
      <c r="I106" s="9"/>
    </row>
    <row r="107" spans="2:9" x14ac:dyDescent="0.25">
      <c r="B107" s="3" t="s">
        <v>7881</v>
      </c>
      <c r="C107" s="3" t="s">
        <v>15</v>
      </c>
      <c r="D107" s="3" t="s">
        <v>7834</v>
      </c>
      <c r="E107" s="9">
        <v>25</v>
      </c>
      <c r="F107" s="9"/>
      <c r="G107" s="9"/>
      <c r="H107" s="9"/>
      <c r="I107" s="9"/>
    </row>
    <row r="108" spans="2:9" x14ac:dyDescent="0.25">
      <c r="B108" s="3" t="s">
        <v>7950</v>
      </c>
      <c r="C108" s="3" t="s">
        <v>15</v>
      </c>
      <c r="D108" s="3" t="s">
        <v>7834</v>
      </c>
      <c r="E108" s="9">
        <v>11</v>
      </c>
      <c r="F108" s="9"/>
      <c r="G108" s="9"/>
      <c r="H108" s="9"/>
      <c r="I108" s="9"/>
    </row>
    <row r="109" spans="2:9" x14ac:dyDescent="0.25">
      <c r="B109" s="3" t="s">
        <v>7950</v>
      </c>
      <c r="C109" s="3" t="s">
        <v>114</v>
      </c>
      <c r="D109" s="3" t="s">
        <v>7834</v>
      </c>
      <c r="E109" s="9"/>
      <c r="F109" s="9">
        <v>3</v>
      </c>
      <c r="G109" s="9"/>
      <c r="H109" s="9"/>
      <c r="I109" s="9"/>
    </row>
    <row r="110" spans="2:9" x14ac:dyDescent="0.25">
      <c r="B110" s="3" t="s">
        <v>7950</v>
      </c>
      <c r="C110" s="3" t="s">
        <v>730</v>
      </c>
      <c r="D110" s="3" t="s">
        <v>7834</v>
      </c>
      <c r="E110" s="9"/>
      <c r="F110" s="9"/>
      <c r="G110" s="9"/>
      <c r="H110" s="9">
        <v>2</v>
      </c>
      <c r="I110" s="9"/>
    </row>
    <row r="111" spans="2:9" x14ac:dyDescent="0.25">
      <c r="B111" s="3" t="s">
        <v>7950</v>
      </c>
      <c r="C111" s="3" t="s">
        <v>206</v>
      </c>
      <c r="D111" s="3" t="s">
        <v>7834</v>
      </c>
      <c r="E111" s="9"/>
      <c r="F111" s="9"/>
      <c r="G111" s="9"/>
      <c r="H111" s="9"/>
      <c r="I111" s="9">
        <v>4</v>
      </c>
    </row>
    <row r="112" spans="2:9" x14ac:dyDescent="0.25">
      <c r="B112" s="3" t="s">
        <v>6738</v>
      </c>
      <c r="C112" s="3" t="s">
        <v>15</v>
      </c>
      <c r="D112" s="3" t="s">
        <v>7834</v>
      </c>
      <c r="E112" s="9">
        <v>27</v>
      </c>
      <c r="F112" s="9"/>
      <c r="G112" s="9"/>
      <c r="H112" s="9"/>
      <c r="I112" s="9"/>
    </row>
    <row r="113" spans="2:9" x14ac:dyDescent="0.25">
      <c r="B113" s="3" t="s">
        <v>6738</v>
      </c>
      <c r="C113" s="3" t="s">
        <v>496</v>
      </c>
      <c r="D113" s="3" t="s">
        <v>7834</v>
      </c>
      <c r="E113" s="9"/>
      <c r="F113" s="9">
        <v>9</v>
      </c>
      <c r="G113" s="9"/>
      <c r="H113" s="9"/>
      <c r="I113" s="9"/>
    </row>
    <row r="114" spans="2:9" x14ac:dyDescent="0.25">
      <c r="B114" s="3" t="s">
        <v>6738</v>
      </c>
      <c r="C114" s="3" t="s">
        <v>114</v>
      </c>
      <c r="D114" s="3" t="s">
        <v>7834</v>
      </c>
      <c r="E114" s="9"/>
      <c r="F114" s="9"/>
      <c r="G114" s="9">
        <v>2</v>
      </c>
      <c r="H114" s="9"/>
      <c r="I114" s="9"/>
    </row>
    <row r="115" spans="2:9" x14ac:dyDescent="0.25">
      <c r="B115" s="3" t="s">
        <v>6738</v>
      </c>
      <c r="C115" s="3" t="s">
        <v>730</v>
      </c>
      <c r="D115" s="3" t="s">
        <v>7834</v>
      </c>
      <c r="E115" s="9"/>
      <c r="F115" s="9"/>
      <c r="G115" s="9"/>
      <c r="H115" s="9">
        <v>2</v>
      </c>
      <c r="I115" s="9"/>
    </row>
    <row r="116" spans="2:9" x14ac:dyDescent="0.25">
      <c r="B116" s="3" t="s">
        <v>6738</v>
      </c>
      <c r="C116" s="3" t="s">
        <v>206</v>
      </c>
      <c r="D116" s="3" t="s">
        <v>7834</v>
      </c>
      <c r="E116" s="9"/>
      <c r="F116" s="9"/>
      <c r="G116" s="9"/>
      <c r="H116" s="9"/>
      <c r="I116" s="9">
        <v>13</v>
      </c>
    </row>
    <row r="117" spans="2:9" x14ac:dyDescent="0.25">
      <c r="B117" s="3" t="s">
        <v>6869</v>
      </c>
      <c r="C117" s="3" t="s">
        <v>15</v>
      </c>
      <c r="D117" s="3" t="s">
        <v>7834</v>
      </c>
      <c r="E117" s="9">
        <v>1</v>
      </c>
      <c r="F117" s="9"/>
      <c r="G117" s="9"/>
      <c r="H117" s="9"/>
      <c r="I117" s="9"/>
    </row>
    <row r="118" spans="2:9" x14ac:dyDescent="0.25">
      <c r="B118" s="3" t="s">
        <v>6869</v>
      </c>
      <c r="C118" s="3" t="s">
        <v>496</v>
      </c>
      <c r="D118" s="3" t="s">
        <v>7834</v>
      </c>
      <c r="E118" s="9"/>
      <c r="F118" s="9">
        <v>9</v>
      </c>
      <c r="G118" s="9"/>
      <c r="H118" s="9"/>
      <c r="I118" s="9"/>
    </row>
    <row r="119" spans="2:9" x14ac:dyDescent="0.25">
      <c r="B119" s="3" t="s">
        <v>6869</v>
      </c>
      <c r="C119" s="3" t="s">
        <v>114</v>
      </c>
      <c r="D119" s="3" t="s">
        <v>7834</v>
      </c>
      <c r="E119" s="9"/>
      <c r="F119" s="9"/>
      <c r="G119" s="9">
        <v>8</v>
      </c>
      <c r="H119" s="9"/>
      <c r="I119" s="9"/>
    </row>
    <row r="120" spans="2:9" x14ac:dyDescent="0.25">
      <c r="B120" s="3" t="s">
        <v>6869</v>
      </c>
      <c r="C120" s="3" t="s">
        <v>730</v>
      </c>
      <c r="D120" s="3" t="s">
        <v>7834</v>
      </c>
      <c r="E120" s="9"/>
      <c r="F120" s="9"/>
      <c r="G120" s="9"/>
      <c r="H120" s="9">
        <v>1</v>
      </c>
      <c r="I120" s="9"/>
    </row>
    <row r="121" spans="2:9" x14ac:dyDescent="0.25">
      <c r="B121" s="3" t="s">
        <v>6869</v>
      </c>
      <c r="C121" s="3" t="s">
        <v>206</v>
      </c>
      <c r="D121" s="3" t="s">
        <v>7834</v>
      </c>
      <c r="E121" s="9"/>
      <c r="F121" s="9"/>
      <c r="G121" s="9"/>
      <c r="H121" s="9"/>
      <c r="I121" s="9">
        <v>12</v>
      </c>
    </row>
    <row r="122" spans="2:9" x14ac:dyDescent="0.25">
      <c r="B122" s="3" t="s">
        <v>6982</v>
      </c>
      <c r="C122" s="3" t="s">
        <v>15</v>
      </c>
      <c r="D122" s="3" t="s">
        <v>7834</v>
      </c>
      <c r="E122" s="9">
        <v>13</v>
      </c>
      <c r="F122" s="9"/>
      <c r="G122" s="9"/>
      <c r="H122" s="9"/>
      <c r="I122" s="9"/>
    </row>
    <row r="123" spans="2:9" x14ac:dyDescent="0.25">
      <c r="B123" s="3" t="s">
        <v>6982</v>
      </c>
      <c r="C123" s="3" t="s">
        <v>496</v>
      </c>
      <c r="D123" s="3" t="s">
        <v>7834</v>
      </c>
      <c r="E123" s="9"/>
      <c r="F123" s="9">
        <v>2</v>
      </c>
      <c r="G123" s="9"/>
      <c r="H123" s="9"/>
      <c r="I123" s="9"/>
    </row>
    <row r="124" spans="2:9" x14ac:dyDescent="0.25">
      <c r="B124" s="3" t="s">
        <v>6982</v>
      </c>
      <c r="C124" s="3" t="s">
        <v>114</v>
      </c>
      <c r="D124" s="3" t="s">
        <v>7834</v>
      </c>
      <c r="E124" s="9"/>
      <c r="F124" s="9"/>
      <c r="G124" s="9">
        <v>6</v>
      </c>
      <c r="H124" s="9"/>
      <c r="I124" s="9"/>
    </row>
    <row r="125" spans="2:9" x14ac:dyDescent="0.25">
      <c r="B125" s="3" t="s">
        <v>6982</v>
      </c>
      <c r="C125" s="3" t="s">
        <v>730</v>
      </c>
      <c r="D125" s="3" t="s">
        <v>7834</v>
      </c>
      <c r="E125" s="9"/>
      <c r="F125" s="9"/>
      <c r="G125" s="9"/>
      <c r="H125" s="9">
        <v>1</v>
      </c>
      <c r="I125" s="9"/>
    </row>
    <row r="126" spans="2:9" x14ac:dyDescent="0.25">
      <c r="B126" s="3" t="s">
        <v>6982</v>
      </c>
      <c r="C126" s="3" t="s">
        <v>206</v>
      </c>
      <c r="D126" s="3" t="s">
        <v>7834</v>
      </c>
      <c r="E126" s="9"/>
      <c r="F126" s="9"/>
      <c r="G126" s="9"/>
      <c r="H126" s="9"/>
      <c r="I126" s="9">
        <v>11</v>
      </c>
    </row>
    <row r="127" spans="2:9" x14ac:dyDescent="0.25">
      <c r="B127" s="3" t="s">
        <v>7121</v>
      </c>
      <c r="C127" s="3" t="s">
        <v>15</v>
      </c>
      <c r="D127" s="3" t="s">
        <v>7834</v>
      </c>
      <c r="E127" s="9">
        <v>18</v>
      </c>
      <c r="F127" s="9"/>
      <c r="G127" s="9"/>
      <c r="H127" s="9"/>
      <c r="I127" s="9"/>
    </row>
    <row r="128" spans="2:9" x14ac:dyDescent="0.25">
      <c r="B128" s="3" t="s">
        <v>7121</v>
      </c>
      <c r="C128" s="3" t="s">
        <v>206</v>
      </c>
      <c r="D128" s="3" t="s">
        <v>7834</v>
      </c>
      <c r="E128" s="9"/>
      <c r="F128" s="9"/>
      <c r="G128" s="9"/>
      <c r="H128" s="9"/>
      <c r="I128" s="9">
        <v>3</v>
      </c>
    </row>
    <row r="129" spans="2:9" x14ac:dyDescent="0.25">
      <c r="B129" s="3" t="s">
        <v>7220</v>
      </c>
      <c r="C129" s="3" t="s">
        <v>15</v>
      </c>
      <c r="D129" s="3" t="s">
        <v>7834</v>
      </c>
      <c r="E129" s="9">
        <v>27</v>
      </c>
      <c r="F129" s="9"/>
      <c r="G129" s="9"/>
      <c r="H129" s="9"/>
      <c r="I129" s="9"/>
    </row>
    <row r="130" spans="2:9" x14ac:dyDescent="0.25">
      <c r="B130" s="3" t="s">
        <v>7220</v>
      </c>
      <c r="C130" s="3" t="s">
        <v>496</v>
      </c>
      <c r="D130" s="3" t="s">
        <v>7834</v>
      </c>
      <c r="E130" s="9"/>
      <c r="F130" s="9">
        <v>3</v>
      </c>
      <c r="G130" s="9"/>
      <c r="H130" s="9"/>
      <c r="I130" s="9"/>
    </row>
    <row r="131" spans="2:9" x14ac:dyDescent="0.25">
      <c r="B131" s="3" t="s">
        <v>7220</v>
      </c>
      <c r="C131" s="3" t="s">
        <v>114</v>
      </c>
      <c r="D131" s="3" t="s">
        <v>7834</v>
      </c>
      <c r="E131" s="9"/>
      <c r="F131" s="9"/>
      <c r="G131" s="9">
        <v>3</v>
      </c>
      <c r="H131" s="9"/>
      <c r="I131" s="9"/>
    </row>
    <row r="132" spans="2:9" x14ac:dyDescent="0.25">
      <c r="B132" s="3" t="s">
        <v>7220</v>
      </c>
      <c r="C132" s="3" t="s">
        <v>730</v>
      </c>
      <c r="D132" s="3" t="s">
        <v>7834</v>
      </c>
      <c r="E132" s="9"/>
      <c r="F132" s="9"/>
      <c r="G132" s="9"/>
      <c r="H132" s="9">
        <v>1</v>
      </c>
      <c r="I132" s="9"/>
    </row>
    <row r="133" spans="2:9" x14ac:dyDescent="0.25">
      <c r="B133" s="3" t="s">
        <v>7220</v>
      </c>
      <c r="C133" s="3" t="s">
        <v>206</v>
      </c>
      <c r="D133" s="3" t="s">
        <v>7834</v>
      </c>
      <c r="E133" s="9"/>
      <c r="F133" s="9"/>
      <c r="G133" s="9"/>
      <c r="H133" s="9"/>
      <c r="I133" s="9">
        <v>1</v>
      </c>
    </row>
    <row r="134" spans="2:9" x14ac:dyDescent="0.25">
      <c r="B134" s="3" t="s">
        <v>7342</v>
      </c>
      <c r="C134" s="3" t="s">
        <v>15</v>
      </c>
      <c r="D134" s="3" t="s">
        <v>7834</v>
      </c>
      <c r="E134" s="9">
        <v>10</v>
      </c>
      <c r="F134" s="9"/>
      <c r="G134" s="9"/>
      <c r="H134" s="9"/>
      <c r="I134" s="9"/>
    </row>
    <row r="135" spans="2:9" x14ac:dyDescent="0.25">
      <c r="B135" s="3" t="s">
        <v>7342</v>
      </c>
      <c r="C135" s="3" t="s">
        <v>496</v>
      </c>
      <c r="D135" s="3" t="s">
        <v>7834</v>
      </c>
      <c r="E135" s="9"/>
      <c r="F135" s="9">
        <v>2</v>
      </c>
      <c r="G135" s="9"/>
      <c r="H135" s="9"/>
      <c r="I135" s="9"/>
    </row>
    <row r="136" spans="2:9" x14ac:dyDescent="0.25">
      <c r="B136" s="3" t="s">
        <v>7342</v>
      </c>
      <c r="C136" s="3" t="s">
        <v>206</v>
      </c>
      <c r="D136" s="3" t="s">
        <v>7834</v>
      </c>
      <c r="E136" s="9"/>
      <c r="F136" s="9"/>
      <c r="G136" s="9"/>
      <c r="H136" s="9"/>
      <c r="I136" s="9">
        <v>3</v>
      </c>
    </row>
    <row r="137" spans="2:9" x14ac:dyDescent="0.25">
      <c r="B137" s="3" t="s">
        <v>7399</v>
      </c>
      <c r="C137" s="3" t="s">
        <v>15</v>
      </c>
      <c r="D137" s="3" t="s">
        <v>7834</v>
      </c>
      <c r="E137" s="9">
        <v>23</v>
      </c>
      <c r="F137" s="9"/>
      <c r="G137" s="9"/>
      <c r="H137" s="9"/>
      <c r="I137" s="9"/>
    </row>
    <row r="138" spans="2:9" x14ac:dyDescent="0.25">
      <c r="B138" s="3" t="s">
        <v>7399</v>
      </c>
      <c r="C138" s="3" t="s">
        <v>496</v>
      </c>
      <c r="D138" s="3" t="s">
        <v>7834</v>
      </c>
      <c r="E138" s="9"/>
      <c r="F138" s="9">
        <v>3</v>
      </c>
      <c r="G138" s="9"/>
      <c r="H138" s="9"/>
      <c r="I138" s="9"/>
    </row>
    <row r="139" spans="2:9" x14ac:dyDescent="0.25">
      <c r="B139" s="3" t="s">
        <v>7399</v>
      </c>
      <c r="C139" s="3" t="s">
        <v>114</v>
      </c>
      <c r="D139" s="3" t="s">
        <v>7834</v>
      </c>
      <c r="E139" s="9"/>
      <c r="F139" s="9"/>
      <c r="G139" s="9">
        <v>5</v>
      </c>
      <c r="H139" s="9"/>
      <c r="I139" s="9"/>
    </row>
    <row r="140" spans="2:9" x14ac:dyDescent="0.25">
      <c r="B140" s="3" t="s">
        <v>7399</v>
      </c>
      <c r="C140" s="3" t="s">
        <v>730</v>
      </c>
      <c r="D140" s="3" t="s">
        <v>7834</v>
      </c>
      <c r="E140" s="9"/>
      <c r="F140" s="9"/>
      <c r="G140" s="9"/>
      <c r="H140" s="9">
        <v>2</v>
      </c>
      <c r="I140" s="9"/>
    </row>
    <row r="141" spans="2:9" x14ac:dyDescent="0.25">
      <c r="B141" s="3" t="s">
        <v>7399</v>
      </c>
      <c r="C141" s="3" t="s">
        <v>206</v>
      </c>
      <c r="D141" s="3" t="s">
        <v>7834</v>
      </c>
      <c r="E141" s="9"/>
      <c r="F141" s="9"/>
      <c r="G141" s="9"/>
      <c r="H141" s="9"/>
      <c r="I141" s="9">
        <v>3</v>
      </c>
    </row>
    <row r="142" spans="2:9" x14ac:dyDescent="0.25">
      <c r="B142" s="3" t="s">
        <v>8161</v>
      </c>
      <c r="C142" s="3" t="s">
        <v>15</v>
      </c>
      <c r="D142" s="3" t="s">
        <v>7834</v>
      </c>
      <c r="E142" s="9">
        <v>30</v>
      </c>
      <c r="F142" s="9"/>
      <c r="G142" s="9"/>
      <c r="H142" s="9"/>
      <c r="I142" s="9"/>
    </row>
    <row r="143" spans="2:9" x14ac:dyDescent="0.25">
      <c r="B143" s="3" t="s">
        <v>8161</v>
      </c>
      <c r="C143" s="3" t="s">
        <v>114</v>
      </c>
      <c r="D143" s="3" t="s">
        <v>7834</v>
      </c>
      <c r="E143" s="9"/>
      <c r="F143" s="9"/>
      <c r="G143" s="9">
        <v>1</v>
      </c>
      <c r="H143" s="9"/>
      <c r="I143" s="9"/>
    </row>
    <row r="144" spans="2:9" x14ac:dyDescent="0.25">
      <c r="B144" s="3" t="s">
        <v>7541</v>
      </c>
      <c r="C144" s="3" t="s">
        <v>15</v>
      </c>
      <c r="D144" s="3" t="s">
        <v>7834</v>
      </c>
      <c r="E144" s="9">
        <v>5</v>
      </c>
      <c r="F144" s="9"/>
      <c r="G144" s="9"/>
      <c r="H144" s="9"/>
      <c r="I144" s="9"/>
    </row>
    <row r="145" spans="2:9" x14ac:dyDescent="0.25">
      <c r="B145" s="3" t="s">
        <v>7541</v>
      </c>
      <c r="C145" s="3" t="s">
        <v>496</v>
      </c>
      <c r="D145" s="3" t="s">
        <v>7834</v>
      </c>
      <c r="E145" s="9"/>
      <c r="F145" s="9">
        <v>4</v>
      </c>
      <c r="G145" s="9"/>
      <c r="H145" s="9"/>
      <c r="I145" s="9"/>
    </row>
    <row r="146" spans="2:9" x14ac:dyDescent="0.25">
      <c r="B146" s="3" t="s">
        <v>7541</v>
      </c>
      <c r="C146" s="3" t="s">
        <v>206</v>
      </c>
      <c r="D146" s="3" t="s">
        <v>7834</v>
      </c>
      <c r="E146" s="9"/>
      <c r="F146" s="9"/>
      <c r="G146" s="9"/>
      <c r="H146" s="9"/>
      <c r="I146" s="9">
        <v>1</v>
      </c>
    </row>
    <row r="147" spans="2:9" x14ac:dyDescent="0.25">
      <c r="B147" s="3" t="s">
        <v>7578</v>
      </c>
      <c r="C147" s="3" t="s">
        <v>15</v>
      </c>
      <c r="D147" s="3" t="s">
        <v>7834</v>
      </c>
      <c r="E147" s="9">
        <v>14</v>
      </c>
      <c r="F147" s="9"/>
      <c r="G147" s="9"/>
      <c r="H147" s="9"/>
      <c r="I147" s="9"/>
    </row>
    <row r="148" spans="2:9" x14ac:dyDescent="0.25">
      <c r="B148" s="3" t="s">
        <v>7578</v>
      </c>
      <c r="C148" s="3" t="s">
        <v>496</v>
      </c>
      <c r="D148" s="3" t="s">
        <v>7834</v>
      </c>
      <c r="E148" s="9"/>
      <c r="F148" s="9">
        <v>4</v>
      </c>
      <c r="G148" s="9"/>
      <c r="H148" s="9"/>
      <c r="I148" s="9"/>
    </row>
    <row r="149" spans="2:9" x14ac:dyDescent="0.25">
      <c r="B149" s="3" t="s">
        <v>7653</v>
      </c>
      <c r="C149" s="3" t="s">
        <v>15</v>
      </c>
      <c r="D149" s="3" t="s">
        <v>7834</v>
      </c>
      <c r="E149" s="9">
        <v>9</v>
      </c>
      <c r="F149" s="9"/>
      <c r="G149" s="9"/>
      <c r="H149" s="9"/>
      <c r="I149" s="9"/>
    </row>
    <row r="150" spans="2:9" x14ac:dyDescent="0.25">
      <c r="B150" s="3" t="s">
        <v>7653</v>
      </c>
      <c r="C150" s="3" t="s">
        <v>206</v>
      </c>
      <c r="D150" s="3" t="s">
        <v>7834</v>
      </c>
      <c r="E150" s="9"/>
      <c r="F150" s="9"/>
      <c r="G150" s="9"/>
      <c r="H150" s="9"/>
      <c r="I150" s="9">
        <v>1</v>
      </c>
    </row>
    <row r="151" spans="2:9" x14ac:dyDescent="0.25">
      <c r="B151" s="3" t="s">
        <v>7699</v>
      </c>
      <c r="C151" s="3" t="s">
        <v>15</v>
      </c>
      <c r="D151" s="3" t="s">
        <v>7834</v>
      </c>
      <c r="E151" s="9">
        <v>9</v>
      </c>
      <c r="F151" s="9"/>
      <c r="G151" s="9"/>
      <c r="H151" s="9"/>
      <c r="I151" s="9"/>
    </row>
    <row r="152" spans="2:9" x14ac:dyDescent="0.25">
      <c r="B152" s="3" t="s">
        <v>7699</v>
      </c>
      <c r="C152" s="3" t="s">
        <v>496</v>
      </c>
      <c r="D152" s="3" t="s">
        <v>7834</v>
      </c>
      <c r="E152" s="9"/>
      <c r="F152" s="9">
        <v>8</v>
      </c>
      <c r="G152" s="9"/>
      <c r="H152" s="9"/>
      <c r="I152" s="9"/>
    </row>
    <row r="153" spans="2:9" x14ac:dyDescent="0.25">
      <c r="B153" s="3" t="s">
        <v>7699</v>
      </c>
      <c r="C153" s="3" t="s">
        <v>114</v>
      </c>
      <c r="D153" s="3" t="s">
        <v>7834</v>
      </c>
      <c r="E153" s="9"/>
      <c r="F153" s="9"/>
      <c r="G153" s="9">
        <v>6</v>
      </c>
      <c r="H153" s="9"/>
      <c r="I153" s="9"/>
    </row>
    <row r="154" spans="2:9" x14ac:dyDescent="0.25">
      <c r="B154" s="3" t="s">
        <v>7699</v>
      </c>
      <c r="C154" s="3" t="s">
        <v>730</v>
      </c>
      <c r="D154" s="3" t="s">
        <v>7834</v>
      </c>
      <c r="E154" s="9"/>
      <c r="F154" s="9"/>
      <c r="G154" s="9"/>
      <c r="H154" s="9">
        <v>1</v>
      </c>
      <c r="I154" s="9"/>
    </row>
    <row r="155" spans="2:9" x14ac:dyDescent="0.25">
      <c r="B155" s="3" t="s">
        <v>7699</v>
      </c>
      <c r="C155" s="3" t="s">
        <v>206</v>
      </c>
      <c r="D155" s="3" t="s">
        <v>7834</v>
      </c>
      <c r="E155" s="9"/>
      <c r="F155" s="9"/>
      <c r="G155" s="9"/>
      <c r="H155" s="9"/>
      <c r="I155" s="9">
        <v>10</v>
      </c>
    </row>
  </sheetData>
  <sortState xmlns:xlrd2="http://schemas.microsoft.com/office/spreadsheetml/2017/richdata2" ref="B3:I155">
    <sortCondition ref="B3:B155"/>
    <sortCondition ref="C3:C155"/>
  </sortState>
  <mergeCells count="2">
    <mergeCell ref="U21:U25"/>
    <mergeCell ref="U12:U16"/>
  </mergeCells>
  <phoneticPr fontId="3" type="noConversion"/>
  <pageMargins left="0.7" right="0.7" top="0.75" bottom="0.75" header="0.3" footer="0.3"/>
  <pageSetup orientation="portrait" r:id="rId1"/>
  <ignoredErrors>
    <ignoredError sqref="T4:T5"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2024</vt:lpstr>
      <vt:lpstr>Análisis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2025-12-09T15:20:13Z</dcterms:created>
  <dcterms:modified xsi:type="dcterms:W3CDTF">2025-12-12T15:00:01Z</dcterms:modified>
</cp:coreProperties>
</file>