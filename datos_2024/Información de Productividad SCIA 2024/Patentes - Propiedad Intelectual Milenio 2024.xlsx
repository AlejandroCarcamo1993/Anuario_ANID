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30"/>
  <workbookPr defaultThemeVersion="202300"/>
  <mc:AlternateContent xmlns:mc="http://schemas.openxmlformats.org/markup-compatibility/2006">
    <mc:Choice Requires="x15">
      <x15ac:absPath xmlns:x15ac="http://schemas.microsoft.com/office/spreadsheetml/2010/11/ac" url="C:\Users\mgonzaleza\Desktop\ANID 2024\Unidad Controller\Anuario SCIA 2023-2024\Productividad 2024\Milenio 2024\"/>
    </mc:Choice>
  </mc:AlternateContent>
  <xr:revisionPtr revIDLastSave="0" documentId="13_ncr:1_{EDE82001-4733-4D6D-8A8C-08EDD1330A62}" xr6:coauthVersionLast="47" xr6:coauthVersionMax="47" xr10:uidLastSave="{00000000-0000-0000-0000-000000000000}"/>
  <bookViews>
    <workbookView xWindow="-120" yWindow="-120" windowWidth="20730" windowHeight="11040" xr2:uid="{CD3E15D5-4575-45EA-8E3F-C72E771A6D65}"/>
  </bookViews>
  <sheets>
    <sheet name="Patente-PropiedadIntelectual"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X8" i="1" l="1"/>
  <c r="W19" i="1" s="1"/>
  <c r="X7" i="1"/>
  <c r="W18" i="1" s="1"/>
  <c r="X10" i="1" l="1"/>
  <c r="V18" i="1"/>
  <c r="X18" i="1" s="1"/>
  <c r="V19" i="1"/>
  <c r="X19" i="1" l="1"/>
</calcChain>
</file>

<file path=xl/sharedStrings.xml><?xml version="1.0" encoding="utf-8"?>
<sst xmlns="http://schemas.openxmlformats.org/spreadsheetml/2006/main" count="335" uniqueCount="162">
  <si>
    <t>PERIODO</t>
  </si>
  <si>
    <t>CENTRO</t>
  </si>
  <si>
    <t>ESTADO</t>
  </si>
  <si>
    <t>CATEGORIA</t>
  </si>
  <si>
    <t>SECTORECONOMICO</t>
  </si>
  <si>
    <t>PAIS</t>
  </si>
  <si>
    <t>NOMBRE</t>
  </si>
  <si>
    <t>DESCRIPCION</t>
  </si>
  <si>
    <t>FECHASOLICITUD</t>
  </si>
  <si>
    <t>FECHAOTORGAMIENTO</t>
  </si>
  <si>
    <t>NUMEROLICENCIA</t>
  </si>
  <si>
    <t>NUMEROREGISTRO</t>
  </si>
  <si>
    <t>SOLICITANTE</t>
  </si>
  <si>
    <t>INVENTOR</t>
  </si>
  <si>
    <t>Núcleo Milenio Agronomía marina de los holobiontes de las algas</t>
  </si>
  <si>
    <t>Concedida</t>
  </si>
  <si>
    <t>Patentes</t>
  </si>
  <si>
    <t>NULL</t>
  </si>
  <si>
    <t>METHODS FOR CREATING EDIBLE SCAFFOLDING USING CHILEAN SEAWEED (COCHAYUYO)</t>
  </si>
  <si>
    <t>Methods for creating edible scaffolding using algae, and more specifically, a protocol for the sterilization and decellularization of Durvillea antartica, Chilean Seaweed, or cochayuyo to prepare the cochayuyo to be suitable for the culture of cells are described herein. The scaffold may be used for cell growth and is comprised of sterile decellularized cochayuyo rehydrated with adhesion/carrier proteins. Due to its porosity, the decellularized seaweed supports cell growth, differentiation, and nutrient diffusion. The product is entirely edible. The methods allow for the seaweed and/or after decellularization. Also, the sample described herein can be easily sterilized without losing its form and can be hydrated with proteins. Additionally, the scaffolding can be used as a microcarrier because it can float inside the cell media, and one wouldn't need to change the cells for differentiation.</t>
  </si>
  <si>
    <t>2022-12-01 00:00:00.000</t>
  </si>
  <si>
    <t>2023-08-17 00:00:00.000</t>
  </si>
  <si>
    <t>18/072,718</t>
  </si>
  <si>
    <t>US 2023/0257695 A1</t>
  </si>
  <si>
    <t>Luyef Biotechnologies</t>
  </si>
  <si>
    <t>Ziomara Gerdtzen</t>
  </si>
  <si>
    <t>Instituto Milenio Centro para la Regulación del Genoma</t>
  </si>
  <si>
    <t>Presentada</t>
  </si>
  <si>
    <t>Biolixiviación de tierras raras mediante el uso de una cepa bacteriana Pseudomonas rustica (G28)</t>
  </si>
  <si>
    <t>La invención se refiere a un método de biolixiviación para la obtención de elementos de tierras raras (REE), preferentemente a partir de relaves mineros mediante el uso de una cepa bacteriana Pseudomonas rustica que ha sido aislada desde el relave Cauquenes (Chile) y depositada en la Colección Chilena de Recursos Genéticos Microbianos (CChRGM) con el N° de ingreso 1809. La invención se refiere a la cepa, composiciones que la incluyen y a un método para solubilizar Lantano (La) y Cerio (Ce) desde minerales que contiene tierras raras como por ejemplo, de relaves mineros.</t>
  </si>
  <si>
    <t>2024-12-30 00:00:00.000</t>
  </si>
  <si>
    <t>4079-2024</t>
  </si>
  <si>
    <t>Universidad de O'Higgins</t>
  </si>
  <si>
    <t>Mauricio Latorre</t>
  </si>
  <si>
    <t>Instituto Milenio en Inmunología e Inmunoterapia</t>
  </si>
  <si>
    <t>En Proceso</t>
  </si>
  <si>
    <t>Pharmaceutical combination and use thereof for the treatment of cancer and/or chemoresistant cancer</t>
  </si>
  <si>
    <t>An alternative for treating cancer and/or chemoresistant cancer associated with chronic inflammation of an individual who has said disease and it is carried out through combination therapy or the use of a pharmaceutical combination comprising an antineoplastic agent, an antiviral agent and an extract from the Buddleja globosa Hope plant.</t>
  </si>
  <si>
    <t>2024-08-02 00:00:00.000</t>
  </si>
  <si>
    <t>WO2024/156068</t>
  </si>
  <si>
    <t>Universidad de La Frontera, Bárbara Mora</t>
  </si>
  <si>
    <t xml:space="preserve">Bárbara Mora, Priscilla Brebi, Carmen Ili, Kurt Buchegger, </t>
  </si>
  <si>
    <t>NOVEL USE OF BCG IMMUNOGENIC FORMULATION EXPRESSING A HUMAN RESPIRATORY SYNCYTIAL VIRUS PROTEIN AGAINST HMPV IN CATTLE</t>
  </si>
  <si>
    <t>The invention relates to the novel use of an immunogenic formulation containing the bacillus Calmette-Guérin (BCG) strain at a concentration between 104-109, which recombinantly expresses at least one protein or immunogenic fragment of human respiratory syncytial virus (RSV, Human orthopneumovirus), stabilised in a pharmaceutically acceptable saline buffer solution to prevent, treat or mitigate hMPV infections in cattle</t>
  </si>
  <si>
    <t>2021-03-31 00:00:00.000</t>
  </si>
  <si>
    <t>2023-03-31 00:00:00.000</t>
  </si>
  <si>
    <t>PCT/CL2021/050022</t>
  </si>
  <si>
    <t>WO/2021/195797</t>
  </si>
  <si>
    <t>Pontificia Universidad Católica de Chile</t>
  </si>
  <si>
    <t>Susan Bueno, Alexis Kalergis, Pablo González</t>
  </si>
  <si>
    <t>IMMUNOGENIC FORMULATION CONTAINING ONE OR MORE MODIFIED BCG STRAINS EXPRESSING A SARS-COV-2 PROTEIN, USEFUL FOR PREVENTING, TREATING OR ATTENUATING THE DEVELOPMENT OF COVID-19.</t>
  </si>
  <si>
    <t>The invention relates to an immunogenic formulation containing one or more modified recombinant Bacillus Calmette-Guerin (BCG) strains at a concentration between 104-109 bacteria, wherein each BCG strain expresses at least one protein or immunogenic fragment of SARS-CoV-2, in a pharmaceutically acceptable saline buffer solution, wherein this formulation serves to prepare vaccines useful for preventing, treating or attenuating SARS-CoV-2 infections</t>
  </si>
  <si>
    <t>2023-12-23 00:00:00.000</t>
  </si>
  <si>
    <t>PCT/CL2021/050123</t>
  </si>
  <si>
    <t>WO/2022/133622</t>
  </si>
  <si>
    <t>Susan Bueno, Alexis Kalergis, Pablo González, Angello retamal, Jorge Soto</t>
  </si>
  <si>
    <t>Monoclonal antibody 14F5F6 or frgment therof, that specifically recognizes herpes simplex virus 1 and 2</t>
  </si>
  <si>
    <t>A monoclonal antibody 14F5F6 or frgment therof, that specifically recognizes herpes simplex virus 1 and 2</t>
  </si>
  <si>
    <t>2024-11-13 00:00:00.000</t>
  </si>
  <si>
    <t>USA 17/272027</t>
  </si>
  <si>
    <t>Pontificia Universidad Católica de Chile, Fundación COPEC-UC</t>
  </si>
  <si>
    <t>Pablo González, Susan Bueno, Alexis Kalergis</t>
  </si>
  <si>
    <t>Monoclonal antibody 11B2C7 or frgment therof, that specifically recognizes herpes simplex virus 1 and 2</t>
  </si>
  <si>
    <t>A monoclonal antibody 11B2C7 or frgment therof, that specifically recognizes herpes simplex virus 1 and 2</t>
  </si>
  <si>
    <t>2024-06-26 00:00:00.000</t>
  </si>
  <si>
    <t>USA 17/272050</t>
  </si>
  <si>
    <t>Instituto Milenio para la Investigación en Depresión y Personalidad</t>
  </si>
  <si>
    <t>Programa de computación titulado: Mamá, te entiendo</t>
  </si>
  <si>
    <t xml:space="preserve">Aplicación para celular que aborda la sintomatología depresiva postparto en mujeres.  </t>
  </si>
  <si>
    <t>2024-04-05 00:00:00.000</t>
  </si>
  <si>
    <t>2024-A-3305</t>
  </si>
  <si>
    <t xml:space="preserve">Marcia Olhaberry </t>
  </si>
  <si>
    <t>Pamela Franco y Marcia Olhaberry</t>
  </si>
  <si>
    <t>Biolixiviación de tierras raras mediante el uso de la cepa bacteriana Pseudomonas sp. (G34)</t>
  </si>
  <si>
    <t>La invención se refiere a un método de biolixiviación para la obtención de elementos de tierras raras (REE), preferentemente a partir de relaves mineros mediante el uso de una cepa bacteriana Pseudomonas sp. que ha sido aislada desde el relave Cauquenes (Chile) y depositada en la Colección Chilena de Recursos Genéticos Microbianos (CChRGM) con el N° el número de ingreso CChRGM 1810. La invención se refiere a la cepa, composiciones que la incluyen y a un método para solubilizar Neodimio (Nd) e Itrio (Y) desde minerales que contiene tierras raras como, por ejemplo, de relaves mineros</t>
  </si>
  <si>
    <t>4078-2024</t>
  </si>
  <si>
    <t>Libro "ADN Explorador: preguntas y respuestas para pequeños científicos"</t>
  </si>
  <si>
    <t>El libro “ADN Explorador”, es una obra que responde a 27 preguntas formuladas por estudiantes de liceos de San Pedro de Atacama y de Toconao, Región de Antofagasta, quienes, junto a nuestros investigadores, exploraron temas como el ADN, la evolución y la vida en condiciones extremas. Se describe cómo esta molécula invisible es importante para la vida y nos entrega valiosa información sobre la diversidad de organismos que viven ahí, sus adaptaciones a los ecosistemas de la Región y sobre la historia evolutiva de estos. Clarificamos términos muy conocidos para científicos pero muchas veces poco conocidos por la sociedad. Es un proyecto muy especial, no solo por su contenido, sino también por la colaboración y creatividad de Matías Chamorro, un joven y talentoso ilustrador que ha dado vida a estas páginas con sus vibrantes ilustraciones. Este libro está disponible de forma gratuita en formato digital aquí, y también hemos impreso algunos ejemplares que llevaremos en nuestras próximas visitas a colegios de distintas regiones, con el objetivo de que más niños y jóvenes puedan disfrutar de esta obra en formato físico.</t>
  </si>
  <si>
    <t>2024-11-06 00:00:00.000</t>
  </si>
  <si>
    <t>Instituto Milenio Centro de Regulación del Genoma</t>
  </si>
  <si>
    <t>Marcas</t>
  </si>
  <si>
    <t>Marca 1000 Genomas</t>
  </si>
  <si>
    <t>INAPI: Marca Mixta. Marca de Productos y Servicios: Servicios científicos y tecnológicos; servicios científicos y tecnológicos, así como servicios de investigación y diseño en estos ámbitos; elaboración de informes científicos; análisis e investigaciones científicos; consultoría en análisis técnicos y científicos; organización y conducción de estudios científicos; servicios de laboratorio científico en el campo de la genómica; servicios de información y datos sobre investigación y desarrollo científicos y tecnológicos, de la clase 41 y 42</t>
  </si>
  <si>
    <t>2024-08-21 00:00:00.000</t>
  </si>
  <si>
    <t>Centro de Regulación del Genoma</t>
  </si>
  <si>
    <t>Instituto Milenio en Socio-ecología costera</t>
  </si>
  <si>
    <t>WO2021097584 - AGAROPHYTON CHILENSIS EXTRACT, RICH IN FREE FATTY ACIDS, AS A NUTRACEUTICAL OR NUTRITIONAL SUPPLEMENT, SUITABLE FOR MODULATING PPARϒ ACTIVITY</t>
  </si>
  <si>
    <t xml:space="preserve">Agarophyton chilensis extract, rich in free fatty acids, as a nutraceutical or nutritional supplement, suitable for modulating pparϒ activity. Patent granted in Chile, replies from Peru and the US still pendent: An Agarophyton chilensis extract, suitable for treating or preventing health conditions that require neuroprotection involving the activation of PPARγ receptors.  </t>
  </si>
  <si>
    <t>2022-05-20 00:00:00.000</t>
  </si>
  <si>
    <t>2025-01-13 00:00:00.000</t>
  </si>
  <si>
    <t>UNIVERSIDAD ANDRES BELLO, PONTIFICIA UNIVERSIDAD CATÓLICA DE CHILE</t>
  </si>
  <si>
    <t>BRONFMAN CÁCERES, Francisca Verónica FUENZALIDA MORALES, Karen Andrea IBÁÑEZ HORMAZABAL, María Raquel CONTRERAS PORCIA, Loretto Matilde BARRAZA FUENTES, Víctor</t>
  </si>
  <si>
    <t>WO2020132760 - INCLINED CULTURE SYSTEM AND METHOD FOR SPORE RESUSPENSION FOR THE SPORE CULTURE OF RED ALGAE</t>
  </si>
  <si>
    <t>Inclined cultivation system and spore resuspension method for the sporoculture of red algae. Patent granted in Chile, pending response from Peru: A device and method for the culture of red algae spores preventing contamination caused by handling of the culture.</t>
  </si>
  <si>
    <t>2021-06-25 00:00:00.000</t>
  </si>
  <si>
    <t>2023-04-28 00:00:00.000</t>
  </si>
  <si>
    <t xml:space="preserve">UNIVERSIDAD ANDRÉS BELLO </t>
  </si>
  <si>
    <t>PÉREZ MASSAD, Ignacio BULBOA CONTADOR, Cristian CONTRERAS, Loretto ÁVILA, Marcela</t>
  </si>
  <si>
    <t>Anticuerpos monoclonales específicos para el antígeno p del virus respiratorio sincitial humano, producidos y secretados por las células hibridomas, útiles para la detección y diagnóstico de la infección causada por VRS.</t>
  </si>
  <si>
    <t>La presente invención se refiere a anticuerpos monoclonales o fragmentos de estos que se unen a la proteína P del virus respiratorio sincitial (VRS) humano. La invención también proporciona métodos de diagnóstico ex vivo o in vitro para la detección del antígeno viral P del VRS, en los que se utilizan los anticuerpos monoclonales producidos y secretados por los hibridomas 2E6/D2 y 6H5/H1. La invención puede utilizarse en la detección de kits del VRS que contienen los anticuerpos producidos por dichos hibridomas.</t>
  </si>
  <si>
    <t>2024-10-22 00:00:00.000</t>
  </si>
  <si>
    <t>PCT/IB2016/054424</t>
  </si>
  <si>
    <t>112018002031-1</t>
  </si>
  <si>
    <t>Susan Marcela Bueno Ramírez, Alexis Mikes Kalergis Parra, Jorge Eugenio Mora Alarcón</t>
  </si>
  <si>
    <t>Uso de IL-3, IL-33 e IL-12p40 para la caracterización de las infecciones respiratorias por virus respiratorio sincitial</t>
  </si>
  <si>
    <t>La presente invención se relaciona con la detección de enfermedades respiratorias mediante marcadores moleculares como herramienta pronóstica de la evolución de casos de infección respiratoria. Concretamente, durante el diagnóstico diferencial de infecciones respiratorias causadas por el Virus Respiratorio Sincitial y el Metapneumovirus humano, se establecerá el patrón de expresión de los marcadores de gravedad IL-3, IL-33 e IL12p40. El patrón de expresión de los marcadores moleculares puede definirse en muestreadores biológicos mediante ensayos ELISA, citometría de flujo o PCR en tiempo real. La confirmación del agente etiológico de la infección, junto con la definición del patrón de los marcadores moleculares IL-3, IL-33 e IL12p40, indicará un pronóstico de la gravedad de la enfermedad.</t>
  </si>
  <si>
    <t>2024-01-02 00:00:00.000</t>
  </si>
  <si>
    <t>PCT/IB2016/054423</t>
  </si>
  <si>
    <t>10-2621463</t>
  </si>
  <si>
    <t>Alexis Mikes Kalergis Parra, Susan Marcela Bueno Ramirez, José Pablo BERTRAND NAVARRETE, Margarita Kam-Lem LAY REMOLCOI</t>
  </si>
  <si>
    <t>Núcleo Milenio Bioproductos, Genómica y Microbiología Ambiental</t>
  </si>
  <si>
    <t>Psychrotolerant bacterial strains AMCR2b and/or AMTR8 of the genus Pseudomonas with plant growth-promoting activities and cold stress protective effects in plants.</t>
  </si>
  <si>
    <t>Consortium of psychrotolerant bacteria for application in plants to protect them from cold stress</t>
  </si>
  <si>
    <t>2024-11-25 00:00:00.000</t>
  </si>
  <si>
    <t>Universidad Técnica Federico Santa María</t>
  </si>
  <si>
    <t>Vega-Celedón, Paulina; Bravo, Guillermo; Hernández, Lisette; Macaya Constanza; Seeger, Michael</t>
  </si>
  <si>
    <t>Anticuerpo monoclonal o una porción de unión a antígeno del mismo que se une a la proteína l del virus parainfluenza humano (PIV); método y kit para detectar al virus piv</t>
  </si>
  <si>
    <t>La invención presenta la generación de anticuerpos monoclonales, o fragmentos de los mismos, que reconocen la proteína L del virus parainfluenza humano (PIV), donde dichos anticuerpos monoclonales o fragmentos de estos comprenden una región variable de la cadena pesada y una región variable de la cadena liviana. Se proporciona además, un método de diagnóstico de infección por PIV en una muestra biológica, que utiliza los anticuerpos monoclonales en formato de kit de diagnóstico.</t>
  </si>
  <si>
    <t>2024-04-26 00:00:00.000</t>
  </si>
  <si>
    <t>PCT/CL2019/050157</t>
  </si>
  <si>
    <t>Alexis Mikes Kalergis Parra, Susan Marcela Bueno Ramírez</t>
  </si>
  <si>
    <t>Estados Unidos de America</t>
  </si>
  <si>
    <t>Anticuerpos monoclonales específicos para el antígeno pb2 del virus de la influenza humana (FLU), secuencias nucleotídicas; método y kit de diagnóstico de infección producida por flu</t>
  </si>
  <si>
    <t>La invención presenta la generación de anticuerpos monoclonales, o fragmentos de los mismos, que reconocen la proteína PB2 del virus de la influenza humana (FLU), donde dichos anticuerpos monoclonales o fragmentos de estos, comprenden una región variable de la cadena pesada y una región variable de la cadena liviana. Además, se proporciona un método de diagnóstico para detectar infecciones por FLU en muestras biológicas de secreciones nasofaríngeas, utilizando los anticuerpos monoclonales en formato de kit de diagnóstico.</t>
  </si>
  <si>
    <t>2024-07-31 00:00:00.000</t>
  </si>
  <si>
    <t>PCT/CL2019/050155</t>
  </si>
  <si>
    <t>Chile</t>
  </si>
  <si>
    <t>Bilayer membrane that promotes bone regeneration and prevents post-operative complications</t>
  </si>
  <si>
    <t>The present invention discloses a bilayer membrane that promotes bone regeneration and prevents post-operative complications. Said membrane is resorbable, has an antibacterial effect, and is formed by an outer layer and an inner layer that is in contact with the outer layer and in contact with the area to be treated. The outer layer of the membrane comprises a polyhydroxybutyrate (PHB)-based polymer and silver nanoparticles (AgNP), and the inner layer of the membrane comprises calcitriol-loaded polycaprolactone (PCL).</t>
  </si>
  <si>
    <t>2024-07-04 00:00:00.000</t>
  </si>
  <si>
    <t>PCT/CL2024/050061</t>
  </si>
  <si>
    <t>Universidad de la Frontera y Universidad de Antofagasta</t>
  </si>
  <si>
    <t>BELTRÁN VARAS, Víctor Javier; ACEVEDO CANALA-ECHEVARRÍA, Francisca; VALDIVIA GANDUR, Iván Manuel; SANHUEZA SANHUEZA, Claudia Andrea; VENEGAS ROJAS, Bernardo Arturo</t>
  </si>
  <si>
    <t>Anticuerpos monoclonales específicos para el antígeno piii de adenovirus humano (ADV), producidos y secretados por hibridomas celulares, útiles para la detección y el diagnóstico de la infección causada por adv</t>
  </si>
  <si>
    <t>La presente invención se refiere a anticuerpos monoclonales, o fragmentos de los mismos, que reconocen la proteína pIII del Adenovirus (ADV), útiles para el desarrollo de métodos de diagnóstico de infección por ADV en humanos. También se dirige a las secuencias nucleotídicas que definen dichos anticuerpos, métodos in vitro y/o ex vivo de diagnóstico de infección por ADV en una muestra biológica que utilizan dichos 10 anticuerpos monoclonales, y kits de diagnóstico para detectar ADV, que comprenden al menos un anticuerpo monoclonal contra ADV de acuerdo a lo descrito anteriormente.</t>
  </si>
  <si>
    <t>2024-01-24 00:00:00.000</t>
  </si>
  <si>
    <t>PCT/IB2017/050312</t>
  </si>
  <si>
    <t>NEW USE OF BCG IMMUNOGENIC FORMULATION EXPRESSING A RESPIRATORY SYNCITIAL VIRUS PROTEIN AGAINST HMPV</t>
  </si>
  <si>
    <t>The invention relates to the novel use of an immunogenic formulation containing the bacillus Calmette-Guérin (BCG) strain at a concentration between 104-109 bacteria, expressing at least one protein or immunogenic fragment of respiratory syncytial virus (RSV, Human orthopneumovirus), in a pharmaceutically acceptable saline buffer solution because it serves to prepare a vaccine useful to prevent, treat, or attenuate human metapneumovirus (hMPV) infections.</t>
  </si>
  <si>
    <t>2023-12-24 00:00:00.000</t>
  </si>
  <si>
    <t>2023-07-01 00:00:00.000</t>
  </si>
  <si>
    <t>PCT/CL2020/050193</t>
  </si>
  <si>
    <t>WO/2021/127797</t>
  </si>
  <si>
    <t>SPECIFIC MONOCLONAL ANTIBODY AGAINST THE N ANTIGEN OF HUMAN RESPIRATORY SYNCYTIAL VIRUS (HRSV) USEFUL FOR TREATING INFECTION, DETECTION THEREOF AND DIAGNOSIS</t>
  </si>
  <si>
    <t>The invention relates to a monoclonal antibody or fragment thereof that recognises the N (nucleocapsid) protein of the human respiratory syncytial virus (RSV) useful for developing methods for diagnosing RSV infection and for producing pharmaceutical compositions for the treatment, protection and/or prophylaxis of RSV infection.</t>
  </si>
  <si>
    <t>2023-09-03 00:00:00.000</t>
  </si>
  <si>
    <t>2023-03-12 00:00:00.000</t>
  </si>
  <si>
    <t>PCT/CL2018/050079</t>
  </si>
  <si>
    <t>WO/2020/047683</t>
  </si>
  <si>
    <t xml:space="preserve">Susan Bueno, Alexis Kalergis, </t>
  </si>
  <si>
    <t xml:space="preserve"> </t>
  </si>
  <si>
    <t>Contar</t>
  </si>
  <si>
    <t>Total</t>
  </si>
  <si>
    <t>Institutos</t>
  </si>
  <si>
    <t>Núcleos</t>
  </si>
  <si>
    <t>Instrumento</t>
  </si>
  <si>
    <t>N/A</t>
  </si>
  <si>
    <t>Abandonada *</t>
  </si>
  <si>
    <t>* Solo Patentes concedidas</t>
  </si>
  <si>
    <t>Derecho de Autor</t>
  </si>
  <si>
    <t>Categoria - Cantidad</t>
  </si>
  <si>
    <t>Categoria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</si>
</sst>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 x14ac:knownFonts="1">
    <font>
      <sz val="11"/>
      <color theme="1"/>
      <name val="Aptos Narrow"/>
      <family val="2"/>
      <scheme val="minor"/>
    </font>
    <font>
      <b/>
      <sz val="11"/>
      <color theme="1"/>
      <name val="Calibri"/>
      <family val="2"/>
    </font>
    <font>
      <sz val="11"/>
      <color theme="1"/>
      <name val="Calibri"/>
      <family val="2"/>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fontId="0" fillId="0" borderId="0" xfId="0"/>
    <xf numFmtId="0" fontId="2" fillId="0" borderId="0" xfId="0" applyFont="1" applyAlignment="1">
      <alignment vertical="center"/>
    </xf>
    <xf numFmtId="0" fontId="2" fillId="0" borderId="1" xfId="0" applyFont="1" applyBorder="1" applyAlignment="1">
      <alignment vertical="center"/>
    </xf>
    <xf numFmtId="0" fontId="2" fillId="0" borderId="0" xfId="0" applyFont="1" applyAlignment="1">
      <alignment horizontal="center" vertical="center"/>
    </xf>
    <xf numFmtId="0" fontId="1" fillId="0" borderId="1" xfId="0" applyFont="1" applyBorder="1" applyAlignment="1">
      <alignment horizontal="center" vertical="center"/>
    </xf>
    <xf numFmtId="0" fontId="2" fillId="0" borderId="1" xfId="0" applyFont="1" applyBorder="1" applyAlignment="1">
      <alignment horizontal="center" vertical="center"/>
    </xf>
    <xf numFmtId="0" fontId="1" fillId="0" borderId="0" xfId="0" applyFont="1" applyAlignment="1">
      <alignment horizontal="center" vertical="center"/>
    </xf>
    <xf numFmtId="0" fontId="1" fillId="0" borderId="0" xfId="0" applyFont="1" applyAlignment="1">
      <alignment vertical="center"/>
    </xf>
    <xf numFmtId="164" fontId="1" fillId="0" borderId="1" xfId="0" applyNumberFormat="1" applyFont="1" applyBorder="1" applyAlignment="1">
      <alignment horizontal="center" vertical="center"/>
    </xf>
    <xf numFmtId="0" fontId="2" fillId="2" borderId="1" xfId="0" applyFont="1" applyFill="1" applyBorder="1" applyAlignment="1">
      <alignment vertical="center"/>
    </xf>
    <xf numFmtId="0" fontId="1" fillId="2" borderId="0" xfId="0" applyFont="1" applyFill="1" applyAlignment="1">
      <alignment vertical="center"/>
    </xf>
    <xf numFmtId="0" fontId="1" fillId="0" borderId="1"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645214-A374-4B02-97C6-85FBCB05B978}">
  <dimension ref="B2:Z35"/>
  <sheetViews>
    <sheetView tabSelected="1" topLeftCell="L1" workbookViewId="0">
      <selection activeCell="Z12" sqref="Z12"/>
    </sheetView>
  </sheetViews>
  <sheetFormatPr baseColWidth="10" defaultRowHeight="15" x14ac:dyDescent="0.25"/>
  <cols>
    <col min="1" max="1" width="4.7109375" style="1" customWidth="1"/>
    <col min="2" max="2" width="9" style="3" bestFit="1" customWidth="1"/>
    <col min="3" max="3" width="28" style="1" customWidth="1"/>
    <col min="4" max="4" width="6.85546875" style="6" bestFit="1" customWidth="1"/>
    <col min="5" max="5" width="13.85546875" style="3" customWidth="1"/>
    <col min="6" max="6" width="16.7109375" style="1" bestFit="1" customWidth="1"/>
    <col min="7" max="7" width="6.85546875" style="6" bestFit="1" customWidth="1"/>
    <col min="8" max="16" width="11.42578125" style="1"/>
    <col min="17" max="17" width="37.140625" style="1" customWidth="1"/>
    <col min="18" max="18" width="3.7109375" style="1" customWidth="1"/>
    <col min="19" max="19" width="4.5703125" style="1" customWidth="1"/>
    <col min="20" max="20" width="4.42578125" style="1" customWidth="1"/>
    <col min="21" max="21" width="12" style="1" bestFit="1" customWidth="1"/>
    <col min="22" max="22" width="11" style="6" bestFit="1" customWidth="1"/>
    <col min="23" max="23" width="16.7109375" style="6" bestFit="1" customWidth="1"/>
    <col min="24" max="24" width="5.42578125" style="1" bestFit="1" customWidth="1"/>
    <col min="25" max="25" width="11.42578125" style="1"/>
    <col min="26" max="26" width="26.42578125" style="1" bestFit="1" customWidth="1"/>
    <col min="27" max="16384" width="11.42578125" style="1"/>
  </cols>
  <sheetData>
    <row r="2" spans="2:26" s="3" customFormat="1" x14ac:dyDescent="0.25">
      <c r="B2" s="4" t="s">
        <v>0</v>
      </c>
      <c r="C2" s="4" t="s">
        <v>1</v>
      </c>
      <c r="D2" s="4" t="s">
        <v>151</v>
      </c>
      <c r="E2" s="4" t="s">
        <v>2</v>
      </c>
      <c r="F2" s="4" t="s">
        <v>3</v>
      </c>
      <c r="G2" s="4" t="s">
        <v>151</v>
      </c>
      <c r="H2" s="4" t="s">
        <v>4</v>
      </c>
      <c r="I2" s="4" t="s">
        <v>5</v>
      </c>
      <c r="J2" s="4" t="s">
        <v>6</v>
      </c>
      <c r="K2" s="4" t="s">
        <v>7</v>
      </c>
      <c r="L2" s="4" t="s">
        <v>8</v>
      </c>
      <c r="M2" s="4" t="s">
        <v>9</v>
      </c>
      <c r="N2" s="4" t="s">
        <v>10</v>
      </c>
      <c r="O2" s="4" t="s">
        <v>11</v>
      </c>
      <c r="P2" s="4" t="s">
        <v>12</v>
      </c>
      <c r="Q2" s="4" t="s">
        <v>13</v>
      </c>
      <c r="R2" s="3" t="s">
        <v>150</v>
      </c>
      <c r="U2" s="1" t="s">
        <v>158</v>
      </c>
      <c r="V2" s="6"/>
      <c r="W2" s="6"/>
      <c r="Z2" s="7" t="s">
        <v>16</v>
      </c>
    </row>
    <row r="3" spans="2:26" x14ac:dyDescent="0.25">
      <c r="B3" s="5">
        <v>2024</v>
      </c>
      <c r="C3" s="2" t="s">
        <v>34</v>
      </c>
      <c r="D3" s="4" t="s">
        <v>156</v>
      </c>
      <c r="E3" s="5" t="s">
        <v>157</v>
      </c>
      <c r="F3" s="2" t="s">
        <v>16</v>
      </c>
      <c r="G3" s="4">
        <v>0</v>
      </c>
      <c r="H3" s="2" t="s">
        <v>17</v>
      </c>
      <c r="I3" s="2" t="s">
        <v>17</v>
      </c>
      <c r="J3" s="2" t="s">
        <v>116</v>
      </c>
      <c r="K3" s="2" t="s">
        <v>117</v>
      </c>
      <c r="L3" s="2" t="s">
        <v>118</v>
      </c>
      <c r="M3" s="2" t="s">
        <v>17</v>
      </c>
      <c r="N3" s="2" t="s">
        <v>119</v>
      </c>
      <c r="O3" s="2"/>
      <c r="P3" s="2" t="s">
        <v>48</v>
      </c>
      <c r="Q3" s="2" t="s">
        <v>120</v>
      </c>
      <c r="R3" s="3" t="s">
        <v>150</v>
      </c>
      <c r="Z3" s="10" t="s">
        <v>159</v>
      </c>
    </row>
    <row r="4" spans="2:26" x14ac:dyDescent="0.25">
      <c r="B4" s="5">
        <v>2024</v>
      </c>
      <c r="C4" s="2" t="s">
        <v>34</v>
      </c>
      <c r="D4" s="4" t="s">
        <v>156</v>
      </c>
      <c r="E4" s="5" t="s">
        <v>157</v>
      </c>
      <c r="F4" s="2" t="s">
        <v>16</v>
      </c>
      <c r="G4" s="4">
        <v>0</v>
      </c>
      <c r="H4" s="2" t="s">
        <v>17</v>
      </c>
      <c r="I4" s="2" t="s">
        <v>121</v>
      </c>
      <c r="J4" s="2" t="s">
        <v>122</v>
      </c>
      <c r="K4" s="2" t="s">
        <v>123</v>
      </c>
      <c r="L4" s="2" t="s">
        <v>124</v>
      </c>
      <c r="M4" s="2" t="s">
        <v>17</v>
      </c>
      <c r="N4" s="2" t="s">
        <v>125</v>
      </c>
      <c r="O4" s="2"/>
      <c r="P4" s="2" t="s">
        <v>48</v>
      </c>
      <c r="Q4" s="2" t="s">
        <v>120</v>
      </c>
      <c r="R4" s="3" t="s">
        <v>150</v>
      </c>
      <c r="Z4" s="10" t="s">
        <v>80</v>
      </c>
    </row>
    <row r="5" spans="2:26" x14ac:dyDescent="0.25">
      <c r="B5" s="5">
        <v>2024</v>
      </c>
      <c r="C5" s="2" t="s">
        <v>34</v>
      </c>
      <c r="D5" s="4" t="s">
        <v>156</v>
      </c>
      <c r="E5" s="5" t="s">
        <v>157</v>
      </c>
      <c r="F5" s="2" t="s">
        <v>16</v>
      </c>
      <c r="G5" s="4">
        <v>0</v>
      </c>
      <c r="H5" s="2" t="s">
        <v>17</v>
      </c>
      <c r="I5" s="2" t="s">
        <v>17</v>
      </c>
      <c r="J5" s="2" t="s">
        <v>133</v>
      </c>
      <c r="K5" s="2" t="s">
        <v>134</v>
      </c>
      <c r="L5" s="2" t="s">
        <v>135</v>
      </c>
      <c r="M5" s="2" t="s">
        <v>17</v>
      </c>
      <c r="N5" s="2" t="s">
        <v>136</v>
      </c>
      <c r="O5" s="2"/>
      <c r="P5" s="2" t="s">
        <v>48</v>
      </c>
      <c r="Q5" s="2" t="s">
        <v>103</v>
      </c>
      <c r="R5" s="3" t="s">
        <v>150</v>
      </c>
      <c r="V5" s="11" t="s">
        <v>160</v>
      </c>
      <c r="W5" s="11"/>
    </row>
    <row r="6" spans="2:26" x14ac:dyDescent="0.25">
      <c r="B6" s="5">
        <v>2024</v>
      </c>
      <c r="C6" s="2" t="s">
        <v>26</v>
      </c>
      <c r="D6" s="4" t="s">
        <v>156</v>
      </c>
      <c r="E6" s="5" t="s">
        <v>35</v>
      </c>
      <c r="F6" s="9" t="s">
        <v>80</v>
      </c>
      <c r="G6" s="4">
        <v>0</v>
      </c>
      <c r="H6" s="2" t="s">
        <v>17</v>
      </c>
      <c r="I6" s="2" t="s">
        <v>17</v>
      </c>
      <c r="J6" s="2" t="s">
        <v>81</v>
      </c>
      <c r="K6" s="2" t="s">
        <v>82</v>
      </c>
      <c r="L6" s="2" t="s">
        <v>83</v>
      </c>
      <c r="M6" s="2" t="s">
        <v>17</v>
      </c>
      <c r="N6" s="2"/>
      <c r="O6" s="2"/>
      <c r="P6" s="2" t="s">
        <v>84</v>
      </c>
      <c r="Q6" s="2" t="s">
        <v>84</v>
      </c>
      <c r="R6" s="3" t="s">
        <v>150</v>
      </c>
      <c r="U6" s="4" t="s">
        <v>155</v>
      </c>
      <c r="V6" s="4" t="s">
        <v>16</v>
      </c>
      <c r="W6" s="4" t="s">
        <v>159</v>
      </c>
      <c r="X6" s="6" t="s">
        <v>152</v>
      </c>
    </row>
    <row r="7" spans="2:26" x14ac:dyDescent="0.25">
      <c r="B7" s="5">
        <v>2024</v>
      </c>
      <c r="C7" s="2" t="s">
        <v>34</v>
      </c>
      <c r="D7" s="4" t="s">
        <v>156</v>
      </c>
      <c r="E7" s="5" t="s">
        <v>35</v>
      </c>
      <c r="F7" s="2" t="s">
        <v>16</v>
      </c>
      <c r="G7" s="4">
        <v>0</v>
      </c>
      <c r="H7" s="2" t="s">
        <v>17</v>
      </c>
      <c r="I7" s="2" t="s">
        <v>17</v>
      </c>
      <c r="J7" s="2" t="s">
        <v>36</v>
      </c>
      <c r="K7" s="2" t="s">
        <v>37</v>
      </c>
      <c r="L7" s="2" t="s">
        <v>38</v>
      </c>
      <c r="M7" s="2" t="s">
        <v>17</v>
      </c>
      <c r="N7" s="2" t="s">
        <v>39</v>
      </c>
      <c r="O7" s="2"/>
      <c r="P7" s="2" t="s">
        <v>40</v>
      </c>
      <c r="Q7" s="2" t="s">
        <v>41</v>
      </c>
      <c r="R7" s="3" t="s">
        <v>150</v>
      </c>
      <c r="U7" s="2" t="s">
        <v>153</v>
      </c>
      <c r="V7" s="4">
        <v>10</v>
      </c>
      <c r="W7" s="4">
        <v>1</v>
      </c>
      <c r="X7" s="4">
        <f>SUM(V7:W7)</f>
        <v>11</v>
      </c>
    </row>
    <row r="8" spans="2:26" x14ac:dyDescent="0.25">
      <c r="B8" s="5">
        <v>2024</v>
      </c>
      <c r="C8" s="2" t="s">
        <v>110</v>
      </c>
      <c r="D8" s="4" t="s">
        <v>156</v>
      </c>
      <c r="E8" s="5" t="s">
        <v>35</v>
      </c>
      <c r="F8" s="2" t="s">
        <v>16</v>
      </c>
      <c r="G8" s="4">
        <v>0</v>
      </c>
      <c r="H8" s="2" t="s">
        <v>17</v>
      </c>
      <c r="I8" s="2" t="s">
        <v>17</v>
      </c>
      <c r="J8" s="2" t="s">
        <v>111</v>
      </c>
      <c r="K8" s="2" t="s">
        <v>112</v>
      </c>
      <c r="L8" s="2" t="s">
        <v>113</v>
      </c>
      <c r="M8" s="2" t="s">
        <v>17</v>
      </c>
      <c r="N8" s="2">
        <v>202403602</v>
      </c>
      <c r="O8" s="2"/>
      <c r="P8" s="2" t="s">
        <v>114</v>
      </c>
      <c r="Q8" s="2" t="s">
        <v>115</v>
      </c>
      <c r="R8" s="3" t="s">
        <v>150</v>
      </c>
      <c r="U8" s="2" t="s">
        <v>154</v>
      </c>
      <c r="V8" s="4">
        <v>1</v>
      </c>
      <c r="W8" s="4">
        <v>0</v>
      </c>
      <c r="X8" s="4">
        <f>SUM(V8:W8)</f>
        <v>1</v>
      </c>
    </row>
    <row r="9" spans="2:26" x14ac:dyDescent="0.25">
      <c r="B9" s="5">
        <v>2024</v>
      </c>
      <c r="C9" s="2" t="s">
        <v>110</v>
      </c>
      <c r="D9" s="4" t="s">
        <v>156</v>
      </c>
      <c r="E9" s="5" t="s">
        <v>35</v>
      </c>
      <c r="F9" s="2" t="s">
        <v>16</v>
      </c>
      <c r="G9" s="4">
        <v>0</v>
      </c>
      <c r="H9" s="2" t="s">
        <v>17</v>
      </c>
      <c r="I9" s="2" t="s">
        <v>126</v>
      </c>
      <c r="J9" s="2" t="s">
        <v>127</v>
      </c>
      <c r="K9" s="2" t="s">
        <v>128</v>
      </c>
      <c r="L9" s="2" t="s">
        <v>129</v>
      </c>
      <c r="M9" s="2" t="s">
        <v>17</v>
      </c>
      <c r="N9" s="2" t="s">
        <v>130</v>
      </c>
      <c r="O9" s="2"/>
      <c r="P9" s="2" t="s">
        <v>131</v>
      </c>
      <c r="Q9" s="2" t="s">
        <v>132</v>
      </c>
      <c r="R9" s="3" t="s">
        <v>150</v>
      </c>
    </row>
    <row r="10" spans="2:26" x14ac:dyDescent="0.25">
      <c r="B10" s="5">
        <v>2024</v>
      </c>
      <c r="C10" s="2" t="s">
        <v>26</v>
      </c>
      <c r="D10" s="4" t="s">
        <v>156</v>
      </c>
      <c r="E10" s="5" t="s">
        <v>27</v>
      </c>
      <c r="F10" s="2" t="s">
        <v>16</v>
      </c>
      <c r="G10" s="4">
        <v>0</v>
      </c>
      <c r="H10" s="2" t="s">
        <v>17</v>
      </c>
      <c r="I10" s="2" t="s">
        <v>17</v>
      </c>
      <c r="J10" s="2" t="s">
        <v>28</v>
      </c>
      <c r="K10" s="2" t="s">
        <v>29</v>
      </c>
      <c r="L10" s="2" t="s">
        <v>30</v>
      </c>
      <c r="M10" s="2" t="s">
        <v>17</v>
      </c>
      <c r="N10" s="2" t="s">
        <v>31</v>
      </c>
      <c r="O10" s="2"/>
      <c r="P10" s="2" t="s">
        <v>32</v>
      </c>
      <c r="Q10" s="2" t="s">
        <v>33</v>
      </c>
      <c r="R10" s="3" t="s">
        <v>150</v>
      </c>
      <c r="X10" s="4">
        <f>SUM(X7:X8)</f>
        <v>12</v>
      </c>
    </row>
    <row r="11" spans="2:26" x14ac:dyDescent="0.25">
      <c r="B11" s="5">
        <v>2024</v>
      </c>
      <c r="C11" s="2" t="s">
        <v>26</v>
      </c>
      <c r="D11" s="4" t="s">
        <v>156</v>
      </c>
      <c r="E11" s="5" t="s">
        <v>27</v>
      </c>
      <c r="F11" s="2" t="s">
        <v>16</v>
      </c>
      <c r="G11" s="4">
        <v>0</v>
      </c>
      <c r="H11" s="2" t="s">
        <v>17</v>
      </c>
      <c r="I11" s="2" t="s">
        <v>17</v>
      </c>
      <c r="J11" s="2" t="s">
        <v>73</v>
      </c>
      <c r="K11" s="2" t="s">
        <v>74</v>
      </c>
      <c r="L11" s="2" t="s">
        <v>30</v>
      </c>
      <c r="M11" s="2" t="s">
        <v>17</v>
      </c>
      <c r="N11" s="2" t="s">
        <v>75</v>
      </c>
      <c r="O11" s="2"/>
      <c r="P11" s="2" t="s">
        <v>32</v>
      </c>
      <c r="Q11" s="2" t="s">
        <v>33</v>
      </c>
      <c r="R11" s="3" t="s">
        <v>150</v>
      </c>
    </row>
    <row r="12" spans="2:26" x14ac:dyDescent="0.25">
      <c r="B12" s="5">
        <v>2024</v>
      </c>
      <c r="C12" s="2" t="s">
        <v>66</v>
      </c>
      <c r="D12" s="4" t="s">
        <v>156</v>
      </c>
      <c r="E12" s="5" t="s">
        <v>27</v>
      </c>
      <c r="F12" s="2" t="s">
        <v>16</v>
      </c>
      <c r="G12" s="4">
        <v>0</v>
      </c>
      <c r="H12" s="2" t="s">
        <v>17</v>
      </c>
      <c r="I12" s="2" t="s">
        <v>17</v>
      </c>
      <c r="J12" s="2" t="s">
        <v>67</v>
      </c>
      <c r="K12" s="2" t="s">
        <v>68</v>
      </c>
      <c r="L12" s="2" t="s">
        <v>69</v>
      </c>
      <c r="M12" s="2" t="s">
        <v>17</v>
      </c>
      <c r="N12" s="2" t="s">
        <v>70</v>
      </c>
      <c r="O12" s="2"/>
      <c r="P12" s="2" t="s">
        <v>71</v>
      </c>
      <c r="Q12" s="2" t="s">
        <v>72</v>
      </c>
      <c r="R12" s="3" t="s">
        <v>150</v>
      </c>
    </row>
    <row r="13" spans="2:26" x14ac:dyDescent="0.25">
      <c r="B13" s="5">
        <v>2024</v>
      </c>
      <c r="C13" s="2" t="s">
        <v>26</v>
      </c>
      <c r="D13" s="4">
        <v>1</v>
      </c>
      <c r="E13" s="5" t="s">
        <v>15</v>
      </c>
      <c r="F13" s="9" t="s">
        <v>159</v>
      </c>
      <c r="G13" s="4">
        <v>1</v>
      </c>
      <c r="H13" s="2" t="s">
        <v>17</v>
      </c>
      <c r="I13" s="2" t="s">
        <v>17</v>
      </c>
      <c r="J13" s="2" t="s">
        <v>76</v>
      </c>
      <c r="K13" s="2" t="s">
        <v>77</v>
      </c>
      <c r="L13" s="2" t="s">
        <v>78</v>
      </c>
      <c r="M13" s="2" t="s">
        <v>17</v>
      </c>
      <c r="N13" s="2"/>
      <c r="O13" s="2"/>
      <c r="P13" s="2" t="s">
        <v>79</v>
      </c>
      <c r="Q13" s="2" t="s">
        <v>79</v>
      </c>
      <c r="R13" s="3" t="s">
        <v>150</v>
      </c>
    </row>
    <row r="14" spans="2:26" x14ac:dyDescent="0.25">
      <c r="B14" s="5">
        <v>2024</v>
      </c>
      <c r="C14" s="2" t="s">
        <v>34</v>
      </c>
      <c r="D14" s="4">
        <v>2</v>
      </c>
      <c r="E14" s="5" t="s">
        <v>15</v>
      </c>
      <c r="F14" s="2" t="s">
        <v>16</v>
      </c>
      <c r="G14" s="4">
        <v>1</v>
      </c>
      <c r="H14" s="2" t="s">
        <v>17</v>
      </c>
      <c r="I14" s="2" t="s">
        <v>17</v>
      </c>
      <c r="J14" s="2" t="s">
        <v>42</v>
      </c>
      <c r="K14" s="2" t="s">
        <v>43</v>
      </c>
      <c r="L14" s="2" t="s">
        <v>44</v>
      </c>
      <c r="M14" s="2" t="s">
        <v>45</v>
      </c>
      <c r="N14" s="2" t="s">
        <v>46</v>
      </c>
      <c r="O14" s="2" t="s">
        <v>47</v>
      </c>
      <c r="P14" s="2" t="s">
        <v>48</v>
      </c>
      <c r="Q14" s="2" t="s">
        <v>49</v>
      </c>
      <c r="R14" s="3" t="s">
        <v>150</v>
      </c>
    </row>
    <row r="15" spans="2:26" x14ac:dyDescent="0.25">
      <c r="B15" s="5">
        <v>2024</v>
      </c>
      <c r="C15" s="2" t="s">
        <v>34</v>
      </c>
      <c r="D15" s="4">
        <v>3</v>
      </c>
      <c r="E15" s="5" t="s">
        <v>15</v>
      </c>
      <c r="F15" s="2" t="s">
        <v>16</v>
      </c>
      <c r="G15" s="4">
        <v>2</v>
      </c>
      <c r="H15" s="2" t="s">
        <v>17</v>
      </c>
      <c r="I15" s="2" t="s">
        <v>17</v>
      </c>
      <c r="J15" s="2" t="s">
        <v>50</v>
      </c>
      <c r="K15" s="2" t="s">
        <v>51</v>
      </c>
      <c r="L15" s="2" t="s">
        <v>52</v>
      </c>
      <c r="M15" s="2" t="s">
        <v>52</v>
      </c>
      <c r="N15" s="2" t="s">
        <v>53</v>
      </c>
      <c r="O15" s="2" t="s">
        <v>54</v>
      </c>
      <c r="P15" s="2" t="s">
        <v>48</v>
      </c>
      <c r="Q15" s="2" t="s">
        <v>55</v>
      </c>
      <c r="R15" s="3" t="s">
        <v>150</v>
      </c>
    </row>
    <row r="16" spans="2:26" x14ac:dyDescent="0.25">
      <c r="B16" s="5">
        <v>2024</v>
      </c>
      <c r="C16" s="2" t="s">
        <v>34</v>
      </c>
      <c r="D16" s="4">
        <v>4</v>
      </c>
      <c r="E16" s="5" t="s">
        <v>15</v>
      </c>
      <c r="F16" s="2" t="s">
        <v>16</v>
      </c>
      <c r="G16" s="4">
        <v>3</v>
      </c>
      <c r="H16" s="2" t="s">
        <v>17</v>
      </c>
      <c r="I16" s="2" t="s">
        <v>17</v>
      </c>
      <c r="J16" s="2" t="s">
        <v>56</v>
      </c>
      <c r="K16" s="2" t="s">
        <v>57</v>
      </c>
      <c r="L16" s="2" t="s">
        <v>58</v>
      </c>
      <c r="M16" s="2" t="s">
        <v>58</v>
      </c>
      <c r="N16" s="2" t="s">
        <v>59</v>
      </c>
      <c r="O16" s="2" t="s">
        <v>59</v>
      </c>
      <c r="P16" s="2" t="s">
        <v>60</v>
      </c>
      <c r="Q16" s="2" t="s">
        <v>61</v>
      </c>
      <c r="R16" s="3" t="s">
        <v>150</v>
      </c>
      <c r="V16" s="11" t="s">
        <v>161</v>
      </c>
      <c r="W16" s="11"/>
    </row>
    <row r="17" spans="2:24" x14ac:dyDescent="0.25">
      <c r="B17" s="5">
        <v>2024</v>
      </c>
      <c r="C17" s="2" t="s">
        <v>34</v>
      </c>
      <c r="D17" s="4">
        <v>5</v>
      </c>
      <c r="E17" s="5" t="s">
        <v>15</v>
      </c>
      <c r="F17" s="2" t="s">
        <v>16</v>
      </c>
      <c r="G17" s="4">
        <v>4</v>
      </c>
      <c r="H17" s="2" t="s">
        <v>17</v>
      </c>
      <c r="I17" s="2" t="s">
        <v>17</v>
      </c>
      <c r="J17" s="2" t="s">
        <v>62</v>
      </c>
      <c r="K17" s="2" t="s">
        <v>63</v>
      </c>
      <c r="L17" s="2" t="s">
        <v>64</v>
      </c>
      <c r="M17" s="2" t="s">
        <v>64</v>
      </c>
      <c r="N17" s="2" t="s">
        <v>65</v>
      </c>
      <c r="O17" s="2" t="s">
        <v>65</v>
      </c>
      <c r="P17" s="2" t="s">
        <v>60</v>
      </c>
      <c r="Q17" s="2" t="s">
        <v>61</v>
      </c>
      <c r="R17" s="3" t="s">
        <v>150</v>
      </c>
      <c r="U17" s="4" t="s">
        <v>155</v>
      </c>
      <c r="V17" s="4" t="s">
        <v>16</v>
      </c>
      <c r="W17" s="4" t="s">
        <v>159</v>
      </c>
      <c r="X17" s="6" t="s">
        <v>152</v>
      </c>
    </row>
    <row r="18" spans="2:24" x14ac:dyDescent="0.25">
      <c r="B18" s="5">
        <v>2024</v>
      </c>
      <c r="C18" s="2" t="s">
        <v>34</v>
      </c>
      <c r="D18" s="4">
        <v>6</v>
      </c>
      <c r="E18" s="5" t="s">
        <v>15</v>
      </c>
      <c r="F18" s="2" t="s">
        <v>16</v>
      </c>
      <c r="G18" s="4">
        <v>5</v>
      </c>
      <c r="H18" s="2" t="s">
        <v>17</v>
      </c>
      <c r="I18" s="2" t="s">
        <v>17</v>
      </c>
      <c r="J18" s="2" t="s">
        <v>98</v>
      </c>
      <c r="K18" s="2" t="s">
        <v>99</v>
      </c>
      <c r="L18" s="2" t="s">
        <v>100</v>
      </c>
      <c r="M18" s="2" t="s">
        <v>100</v>
      </c>
      <c r="N18" s="2" t="s">
        <v>101</v>
      </c>
      <c r="O18" s="2" t="s">
        <v>102</v>
      </c>
      <c r="P18" s="2" t="s">
        <v>48</v>
      </c>
      <c r="Q18" s="2" t="s">
        <v>103</v>
      </c>
      <c r="R18" s="3" t="s">
        <v>150</v>
      </c>
      <c r="U18" s="2" t="s">
        <v>153</v>
      </c>
      <c r="V18" s="8">
        <f>(V7*100)/$X$7</f>
        <v>90.909090909090907</v>
      </c>
      <c r="W18" s="8">
        <f>(W7*100)/$X$7</f>
        <v>9.0909090909090917</v>
      </c>
      <c r="X18" s="4">
        <f>SUM(V18:W18)</f>
        <v>100</v>
      </c>
    </row>
    <row r="19" spans="2:24" x14ac:dyDescent="0.25">
      <c r="B19" s="5">
        <v>2024</v>
      </c>
      <c r="C19" s="2" t="s">
        <v>34</v>
      </c>
      <c r="D19" s="4">
        <v>7</v>
      </c>
      <c r="E19" s="5" t="s">
        <v>15</v>
      </c>
      <c r="F19" s="2" t="s">
        <v>16</v>
      </c>
      <c r="G19" s="4">
        <v>6</v>
      </c>
      <c r="H19" s="2" t="s">
        <v>17</v>
      </c>
      <c r="I19" s="2" t="s">
        <v>17</v>
      </c>
      <c r="J19" s="2" t="s">
        <v>104</v>
      </c>
      <c r="K19" s="2" t="s">
        <v>105</v>
      </c>
      <c r="L19" s="2" t="s">
        <v>106</v>
      </c>
      <c r="M19" s="2" t="s">
        <v>106</v>
      </c>
      <c r="N19" s="2" t="s">
        <v>107</v>
      </c>
      <c r="O19" s="2" t="s">
        <v>108</v>
      </c>
      <c r="P19" s="2" t="s">
        <v>48</v>
      </c>
      <c r="Q19" s="2" t="s">
        <v>109</v>
      </c>
      <c r="R19" s="3" t="s">
        <v>150</v>
      </c>
      <c r="U19" s="2" t="s">
        <v>154</v>
      </c>
      <c r="V19" s="8">
        <f>(V8*100)/$X$8</f>
        <v>100</v>
      </c>
      <c r="W19" s="8">
        <f>(W8*100)/$X$8</f>
        <v>0</v>
      </c>
      <c r="X19" s="4">
        <f>SUM(V19:W19)</f>
        <v>100</v>
      </c>
    </row>
    <row r="20" spans="2:24" x14ac:dyDescent="0.25">
      <c r="B20" s="5">
        <v>2024</v>
      </c>
      <c r="C20" s="2" t="s">
        <v>34</v>
      </c>
      <c r="D20" s="4">
        <v>8</v>
      </c>
      <c r="E20" s="5" t="s">
        <v>15</v>
      </c>
      <c r="F20" s="2" t="s">
        <v>16</v>
      </c>
      <c r="G20" s="4">
        <v>7</v>
      </c>
      <c r="H20" s="2" t="s">
        <v>17</v>
      </c>
      <c r="I20" s="2" t="s">
        <v>17</v>
      </c>
      <c r="J20" s="2" t="s">
        <v>137</v>
      </c>
      <c r="K20" s="2" t="s">
        <v>138</v>
      </c>
      <c r="L20" s="2" t="s">
        <v>139</v>
      </c>
      <c r="M20" s="2" t="s">
        <v>140</v>
      </c>
      <c r="N20" s="2" t="s">
        <v>141</v>
      </c>
      <c r="O20" s="2" t="s">
        <v>142</v>
      </c>
      <c r="P20" s="2" t="s">
        <v>48</v>
      </c>
      <c r="Q20" s="2" t="s">
        <v>48</v>
      </c>
      <c r="R20" s="3" t="s">
        <v>150</v>
      </c>
      <c r="V20" s="1"/>
      <c r="W20" s="1"/>
    </row>
    <row r="21" spans="2:24" x14ac:dyDescent="0.25">
      <c r="B21" s="5">
        <v>2024</v>
      </c>
      <c r="C21" s="2" t="s">
        <v>34</v>
      </c>
      <c r="D21" s="4">
        <v>9</v>
      </c>
      <c r="E21" s="5" t="s">
        <v>15</v>
      </c>
      <c r="F21" s="2" t="s">
        <v>16</v>
      </c>
      <c r="G21" s="4">
        <v>8</v>
      </c>
      <c r="H21" s="2" t="s">
        <v>17</v>
      </c>
      <c r="I21" s="2" t="s">
        <v>17</v>
      </c>
      <c r="J21" s="2" t="s">
        <v>143</v>
      </c>
      <c r="K21" s="2" t="s">
        <v>144</v>
      </c>
      <c r="L21" s="2" t="s">
        <v>145</v>
      </c>
      <c r="M21" s="2" t="s">
        <v>146</v>
      </c>
      <c r="N21" s="2" t="s">
        <v>147</v>
      </c>
      <c r="O21" s="2" t="s">
        <v>148</v>
      </c>
      <c r="P21" s="2" t="s">
        <v>48</v>
      </c>
      <c r="Q21" s="2" t="s">
        <v>149</v>
      </c>
      <c r="R21" s="3" t="s">
        <v>150</v>
      </c>
      <c r="V21" s="1"/>
      <c r="W21" s="1"/>
    </row>
    <row r="22" spans="2:24" x14ac:dyDescent="0.25">
      <c r="B22" s="5">
        <v>2024</v>
      </c>
      <c r="C22" s="2" t="s">
        <v>85</v>
      </c>
      <c r="D22" s="4">
        <v>10</v>
      </c>
      <c r="E22" s="5" t="s">
        <v>15</v>
      </c>
      <c r="F22" s="2" t="s">
        <v>16</v>
      </c>
      <c r="G22" s="4">
        <v>9</v>
      </c>
      <c r="H22" s="2" t="s">
        <v>17</v>
      </c>
      <c r="I22" s="2" t="s">
        <v>17</v>
      </c>
      <c r="J22" s="2" t="s">
        <v>86</v>
      </c>
      <c r="K22" s="2" t="s">
        <v>87</v>
      </c>
      <c r="L22" s="2" t="s">
        <v>88</v>
      </c>
      <c r="M22" s="2" t="s">
        <v>89</v>
      </c>
      <c r="N22" s="2">
        <v>202201330</v>
      </c>
      <c r="O22" s="2"/>
      <c r="P22" s="2" t="s">
        <v>90</v>
      </c>
      <c r="Q22" s="2" t="s">
        <v>91</v>
      </c>
      <c r="R22" s="3" t="s">
        <v>150</v>
      </c>
      <c r="V22" s="1"/>
      <c r="W22" s="1"/>
    </row>
    <row r="23" spans="2:24" x14ac:dyDescent="0.25">
      <c r="B23" s="5">
        <v>2024</v>
      </c>
      <c r="C23" s="2" t="s">
        <v>85</v>
      </c>
      <c r="D23" s="4">
        <v>11</v>
      </c>
      <c r="E23" s="5" t="s">
        <v>15</v>
      </c>
      <c r="F23" s="2" t="s">
        <v>16</v>
      </c>
      <c r="G23" s="4">
        <v>10</v>
      </c>
      <c r="H23" s="2" t="s">
        <v>17</v>
      </c>
      <c r="I23" s="2" t="s">
        <v>17</v>
      </c>
      <c r="J23" s="2" t="s">
        <v>92</v>
      </c>
      <c r="K23" s="2" t="s">
        <v>93</v>
      </c>
      <c r="L23" s="2" t="s">
        <v>94</v>
      </c>
      <c r="M23" s="2" t="s">
        <v>95</v>
      </c>
      <c r="N23" s="2">
        <v>202101726</v>
      </c>
      <c r="O23" s="2">
        <v>66837</v>
      </c>
      <c r="P23" s="2" t="s">
        <v>96</v>
      </c>
      <c r="Q23" s="2" t="s">
        <v>97</v>
      </c>
      <c r="R23" s="3" t="s">
        <v>150</v>
      </c>
      <c r="V23" s="1"/>
      <c r="W23" s="1"/>
    </row>
    <row r="24" spans="2:24" x14ac:dyDescent="0.25">
      <c r="B24" s="5">
        <v>2024</v>
      </c>
      <c r="C24" s="2" t="s">
        <v>14</v>
      </c>
      <c r="D24" s="4">
        <v>1</v>
      </c>
      <c r="E24" s="5" t="s">
        <v>15</v>
      </c>
      <c r="F24" s="2" t="s">
        <v>16</v>
      </c>
      <c r="G24" s="4">
        <v>1</v>
      </c>
      <c r="H24" s="2" t="s">
        <v>17</v>
      </c>
      <c r="I24" s="2" t="s">
        <v>17</v>
      </c>
      <c r="J24" s="2" t="s">
        <v>18</v>
      </c>
      <c r="K24" s="2" t="s">
        <v>19</v>
      </c>
      <c r="L24" s="2" t="s">
        <v>20</v>
      </c>
      <c r="M24" s="2" t="s">
        <v>21</v>
      </c>
      <c r="N24" s="2" t="s">
        <v>22</v>
      </c>
      <c r="O24" s="2" t="s">
        <v>23</v>
      </c>
      <c r="P24" s="2" t="s">
        <v>24</v>
      </c>
      <c r="Q24" s="2" t="s">
        <v>25</v>
      </c>
      <c r="R24" s="3" t="s">
        <v>150</v>
      </c>
      <c r="V24" s="1"/>
      <c r="W24" s="1"/>
    </row>
    <row r="25" spans="2:24" x14ac:dyDescent="0.25">
      <c r="V25" s="1"/>
      <c r="W25" s="1"/>
    </row>
    <row r="26" spans="2:24" x14ac:dyDescent="0.25">
      <c r="V26" s="1"/>
      <c r="W26" s="1"/>
    </row>
    <row r="27" spans="2:24" x14ac:dyDescent="0.25">
      <c r="V27" s="1"/>
      <c r="W27" s="1"/>
    </row>
    <row r="28" spans="2:24" x14ac:dyDescent="0.25">
      <c r="V28" s="1"/>
      <c r="W28" s="1"/>
    </row>
    <row r="29" spans="2:24" x14ac:dyDescent="0.25">
      <c r="V29" s="1"/>
      <c r="W29" s="1"/>
    </row>
    <row r="30" spans="2:24" x14ac:dyDescent="0.25">
      <c r="V30" s="1"/>
      <c r="W30" s="1"/>
    </row>
    <row r="31" spans="2:24" x14ac:dyDescent="0.25">
      <c r="V31" s="1"/>
      <c r="W31" s="1"/>
    </row>
    <row r="32" spans="2:24" x14ac:dyDescent="0.25">
      <c r="V32" s="1"/>
      <c r="W32" s="1"/>
    </row>
    <row r="33" spans="22:23" x14ac:dyDescent="0.25">
      <c r="V33" s="1"/>
      <c r="W33" s="1"/>
    </row>
    <row r="34" spans="22:23" x14ac:dyDescent="0.25">
      <c r="V34" s="1"/>
      <c r="W34" s="1"/>
    </row>
    <row r="35" spans="22:23" x14ac:dyDescent="0.25">
      <c r="V35" s="1"/>
      <c r="W35" s="1"/>
    </row>
  </sheetData>
  <sortState xmlns:xlrd2="http://schemas.microsoft.com/office/spreadsheetml/2017/richdata2" ref="B3:Q24">
    <sortCondition ref="E3:E24"/>
  </sortState>
  <mergeCells count="2">
    <mergeCell ref="V5:W5"/>
    <mergeCell ref="V16:W1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Patente-PropiedadIntelectual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Mauricio Alfredo Gonzalez Aguero</dc:creator>
  <cp:lastModifiedBy>Mauricio Alfredo Gonzalez Aguero</cp:lastModifiedBy>
  <dcterms:created xsi:type="dcterms:W3CDTF">2025-12-12T15:48:35Z</dcterms:created>
  <dcterms:modified xsi:type="dcterms:W3CDTF">2025-12-15T20:46:41Z</dcterms:modified>
</cp:coreProperties>
</file>